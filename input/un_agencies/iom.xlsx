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overseasdevelopmenti.sharepoint.com/sites/TeamHPG/Commissioned projects/P000970_Oxfam Novib_HST LHL Programme/04.Project Work/Financing Outputs/01 - Global Stats Report/02 - Analysis/Datasets/IOM Partner Data/"/>
    </mc:Choice>
  </mc:AlternateContent>
  <xr:revisionPtr revIDLastSave="1874" documentId="8_{2EFC085C-3C68-44DE-8FA7-E75FDF852087}" xr6:coauthVersionLast="47" xr6:coauthVersionMax="47" xr10:uidLastSave="{CA598BA6-A48B-4CB1-BB04-2CBAB4B4A656}"/>
  <bookViews>
    <workbookView xWindow="-120" yWindow="-120" windowWidth="29040" windowHeight="17520" activeTab="1" xr2:uid="{025C0EBB-AEF3-493C-8310-5404CB2D4CB7}"/>
  </bookViews>
  <sheets>
    <sheet name="Humanitarian codes" sheetId="5" r:id="rId1"/>
    <sheet name="Org List" sheetId="6" r:id="rId2"/>
    <sheet name="2022" sheetId="3" r:id="rId3"/>
    <sheet name="2023" sheetId="2" r:id="rId4"/>
    <sheet name="2024" sheetId="1" r:id="rId5"/>
    <sheet name="Consolidated" sheetId="4" r:id="rId6"/>
    <sheet name="Sheet1" sheetId="7" r:id="rId7"/>
  </sheets>
  <definedNames>
    <definedName name="_xlnm._FilterDatabase" localSheetId="2" hidden="1">'2022'!$A$1:$M$1747</definedName>
    <definedName name="_xlnm._FilterDatabase" localSheetId="3" hidden="1">'2023'!$A$1:$M$1481</definedName>
    <definedName name="_xlnm._FilterDatabase" localSheetId="4" hidden="1">'2024'!$A$1:$L$1491</definedName>
    <definedName name="_xlnm._FilterDatabase" localSheetId="5" hidden="1">Consolidated!$A$1:$M$2414</definedName>
    <definedName name="_xlnm._FilterDatabase" localSheetId="1" hidden="1">'Org List'!$A$1:$C$1006</definedName>
  </definedNames>
  <calcPr calcId="191029"/>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7" l="1"/>
  <c r="B22" i="7"/>
  <c r="B21" i="7"/>
  <c r="B24" i="7" s="1"/>
  <c r="M3" i="4" l="1" a="1"/>
  <c r="M3" i="4" s="1"/>
  <c r="M4" i="4" a="1"/>
  <c r="M4" i="4" s="1"/>
  <c r="M5" i="4" a="1"/>
  <c r="M5" i="4" s="1"/>
  <c r="M6" i="4" a="1"/>
  <c r="M6" i="4" s="1"/>
  <c r="M7" i="4" a="1"/>
  <c r="M7" i="4" s="1"/>
  <c r="M8" i="4" a="1"/>
  <c r="M8" i="4" s="1"/>
  <c r="M9" i="4" a="1"/>
  <c r="M9" i="4" s="1"/>
  <c r="M10" i="4" a="1"/>
  <c r="M10" i="4" s="1"/>
  <c r="M11" i="4" a="1"/>
  <c r="M11" i="4" s="1"/>
  <c r="M12" i="4" a="1"/>
  <c r="M12" i="4" s="1"/>
  <c r="M13" i="4" a="1"/>
  <c r="M13" i="4" s="1"/>
  <c r="M14" i="4" a="1"/>
  <c r="M14" i="4" s="1"/>
  <c r="M15" i="4" a="1"/>
  <c r="M15" i="4" s="1"/>
  <c r="M16" i="4" a="1"/>
  <c r="M16" i="4" s="1"/>
  <c r="M17" i="4" a="1"/>
  <c r="M17" i="4" s="1"/>
  <c r="M18" i="4" a="1"/>
  <c r="M18" i="4" s="1"/>
  <c r="M19" i="4" a="1"/>
  <c r="M19" i="4" s="1"/>
  <c r="M20" i="4" a="1"/>
  <c r="M20" i="4" s="1"/>
  <c r="M21" i="4" a="1"/>
  <c r="M21" i="4" s="1"/>
  <c r="M22" i="4" a="1"/>
  <c r="M22" i="4" s="1"/>
  <c r="M23" i="4" a="1"/>
  <c r="M23" i="4" s="1"/>
  <c r="M24" i="4" a="1"/>
  <c r="M24" i="4" s="1"/>
  <c r="M25" i="4" a="1"/>
  <c r="M25" i="4" s="1"/>
  <c r="M26" i="4" a="1"/>
  <c r="M26" i="4" s="1"/>
  <c r="M27" i="4" a="1"/>
  <c r="M27" i="4" s="1"/>
  <c r="M28" i="4" a="1"/>
  <c r="M28" i="4" s="1"/>
  <c r="M29" i="4" a="1"/>
  <c r="M29" i="4" s="1"/>
  <c r="M30" i="4" a="1"/>
  <c r="M30" i="4" s="1"/>
  <c r="M31" i="4" a="1"/>
  <c r="M31" i="4" s="1"/>
  <c r="M32" i="4" a="1"/>
  <c r="M32" i="4" s="1"/>
  <c r="M33" i="4" a="1"/>
  <c r="M33" i="4" s="1"/>
  <c r="M34" i="4" a="1"/>
  <c r="M34" i="4" s="1"/>
  <c r="M35" i="4" a="1"/>
  <c r="M35" i="4" s="1"/>
  <c r="M36" i="4" a="1"/>
  <c r="M36" i="4" s="1"/>
  <c r="M37" i="4" a="1"/>
  <c r="M37" i="4" s="1"/>
  <c r="M38" i="4" a="1"/>
  <c r="M38" i="4" s="1"/>
  <c r="M39" i="4" a="1"/>
  <c r="M39" i="4" s="1"/>
  <c r="M40" i="4" a="1"/>
  <c r="M40" i="4" s="1"/>
  <c r="M41" i="4" a="1"/>
  <c r="M41" i="4" s="1"/>
  <c r="M42" i="4" a="1"/>
  <c r="M42" i="4" s="1"/>
  <c r="M43" i="4" a="1"/>
  <c r="M43" i="4" s="1"/>
  <c r="M44" i="4" a="1"/>
  <c r="M44" i="4" s="1"/>
  <c r="M45" i="4" a="1"/>
  <c r="M45" i="4" s="1"/>
  <c r="M46" i="4" a="1"/>
  <c r="M46" i="4" s="1"/>
  <c r="M47" i="4" a="1"/>
  <c r="M47" i="4" s="1"/>
  <c r="M48" i="4" a="1"/>
  <c r="M48" i="4" s="1"/>
  <c r="M49" i="4" a="1"/>
  <c r="M49" i="4" s="1"/>
  <c r="M50" i="4" a="1"/>
  <c r="M50" i="4" s="1"/>
  <c r="M51" i="4" a="1"/>
  <c r="M51" i="4" s="1"/>
  <c r="M52" i="4" a="1"/>
  <c r="M52" i="4" s="1"/>
  <c r="M53" i="4" a="1"/>
  <c r="M53" i="4" s="1"/>
  <c r="M54" i="4" a="1"/>
  <c r="M54" i="4" s="1"/>
  <c r="M55" i="4" a="1"/>
  <c r="M55" i="4" s="1"/>
  <c r="M56" i="4" a="1"/>
  <c r="M56" i="4" s="1"/>
  <c r="M57" i="4" a="1"/>
  <c r="M57" i="4" s="1"/>
  <c r="M58" i="4" a="1"/>
  <c r="M58" i="4" s="1"/>
  <c r="M59" i="4" a="1"/>
  <c r="M59" i="4" s="1"/>
  <c r="M60" i="4" a="1"/>
  <c r="M60" i="4" s="1"/>
  <c r="M61" i="4" a="1"/>
  <c r="M61" i="4" s="1"/>
  <c r="M62" i="4" a="1"/>
  <c r="M62" i="4" s="1"/>
  <c r="M63" i="4" a="1"/>
  <c r="M63" i="4" s="1"/>
  <c r="M64" i="4" a="1"/>
  <c r="M64" i="4" s="1"/>
  <c r="M65" i="4" a="1"/>
  <c r="M65" i="4" s="1"/>
  <c r="M66" i="4" a="1"/>
  <c r="M66" i="4" s="1"/>
  <c r="M67" i="4" a="1"/>
  <c r="M67" i="4" s="1"/>
  <c r="M68" i="4" a="1"/>
  <c r="M68" i="4" s="1"/>
  <c r="M69" i="4" a="1"/>
  <c r="M69" i="4" s="1"/>
  <c r="M70" i="4" a="1"/>
  <c r="M70" i="4" s="1"/>
  <c r="M71" i="4" a="1"/>
  <c r="M71" i="4" s="1"/>
  <c r="M72" i="4" a="1"/>
  <c r="M72" i="4" s="1"/>
  <c r="M73" i="4" a="1"/>
  <c r="M73" i="4" s="1"/>
  <c r="M74" i="4" a="1"/>
  <c r="M74" i="4" s="1"/>
  <c r="M75" i="4" a="1"/>
  <c r="M75" i="4" s="1"/>
  <c r="M76" i="4" a="1"/>
  <c r="M76" i="4" s="1"/>
  <c r="M77" i="4" a="1"/>
  <c r="M77" i="4" s="1"/>
  <c r="M78" i="4" a="1"/>
  <c r="M78" i="4" s="1"/>
  <c r="M79" i="4" a="1"/>
  <c r="M79" i="4" s="1"/>
  <c r="M80" i="4" a="1"/>
  <c r="M80" i="4" s="1"/>
  <c r="M81" i="4" a="1"/>
  <c r="M81" i="4" s="1"/>
  <c r="M82" i="4" a="1"/>
  <c r="M82" i="4" s="1"/>
  <c r="M83" i="4" a="1"/>
  <c r="M83" i="4" s="1"/>
  <c r="M84" i="4" a="1"/>
  <c r="M84" i="4" s="1"/>
  <c r="M85" i="4" a="1"/>
  <c r="M85" i="4" s="1"/>
  <c r="M86" i="4" a="1"/>
  <c r="M86" i="4" s="1"/>
  <c r="M87" i="4" a="1"/>
  <c r="M87" i="4" s="1"/>
  <c r="M88" i="4" a="1"/>
  <c r="M88" i="4" s="1"/>
  <c r="M89" i="4" a="1"/>
  <c r="M89" i="4" s="1"/>
  <c r="M90" i="4" a="1"/>
  <c r="M90" i="4" s="1"/>
  <c r="M91" i="4" a="1"/>
  <c r="M91" i="4" s="1"/>
  <c r="M92" i="4" a="1"/>
  <c r="M92" i="4" s="1"/>
  <c r="M93" i="4" a="1"/>
  <c r="M93" i="4" s="1"/>
  <c r="M94" i="4" a="1"/>
  <c r="M94" i="4" s="1"/>
  <c r="M95" i="4" a="1"/>
  <c r="M95" i="4" s="1"/>
  <c r="M96" i="4" a="1"/>
  <c r="M96" i="4" s="1"/>
  <c r="M97" i="4" a="1"/>
  <c r="M97" i="4" s="1"/>
  <c r="M98" i="4" a="1"/>
  <c r="M98" i="4" s="1"/>
  <c r="M99" i="4" a="1"/>
  <c r="M99" i="4" s="1"/>
  <c r="M100" i="4" a="1"/>
  <c r="M100" i="4" s="1"/>
  <c r="M101" i="4" a="1"/>
  <c r="M101" i="4" s="1"/>
  <c r="M102" i="4" a="1"/>
  <c r="M102" i="4" s="1"/>
  <c r="M103" i="4" a="1"/>
  <c r="M103" i="4" s="1"/>
  <c r="M104" i="4" a="1"/>
  <c r="M104" i="4" s="1"/>
  <c r="M105" i="4" a="1"/>
  <c r="M105" i="4" s="1"/>
  <c r="M106" i="4" a="1"/>
  <c r="M106" i="4" s="1"/>
  <c r="M107" i="4" a="1"/>
  <c r="M107" i="4" s="1"/>
  <c r="M108" i="4" a="1"/>
  <c r="M108" i="4" s="1"/>
  <c r="M109" i="4" a="1"/>
  <c r="M109" i="4" s="1"/>
  <c r="M110" i="4" a="1"/>
  <c r="M110" i="4" s="1"/>
  <c r="M111" i="4" a="1"/>
  <c r="M111" i="4" s="1"/>
  <c r="M112" i="4" a="1"/>
  <c r="M112" i="4" s="1"/>
  <c r="M113" i="4" a="1"/>
  <c r="M113" i="4" s="1"/>
  <c r="M114" i="4" a="1"/>
  <c r="M114" i="4" s="1"/>
  <c r="M115" i="4" a="1"/>
  <c r="M115" i="4" s="1"/>
  <c r="M116" i="4" a="1"/>
  <c r="M116" i="4" s="1"/>
  <c r="M117" i="4" a="1"/>
  <c r="M117" i="4" s="1"/>
  <c r="M118" i="4" a="1"/>
  <c r="M118" i="4" s="1"/>
  <c r="M119" i="4" a="1"/>
  <c r="M119" i="4" s="1"/>
  <c r="M120" i="4" a="1"/>
  <c r="M120" i="4" s="1"/>
  <c r="M121" i="4" a="1"/>
  <c r="M121" i="4" s="1"/>
  <c r="M122" i="4" a="1"/>
  <c r="M122" i="4" s="1"/>
  <c r="M123" i="4" a="1"/>
  <c r="M123" i="4" s="1"/>
  <c r="M124" i="4" a="1"/>
  <c r="M124" i="4" s="1"/>
  <c r="M125" i="4" a="1"/>
  <c r="M125" i="4" s="1"/>
  <c r="M126" i="4" a="1"/>
  <c r="M126" i="4" s="1"/>
  <c r="M127" i="4" a="1"/>
  <c r="M127" i="4" s="1"/>
  <c r="M128" i="4" a="1"/>
  <c r="M128" i="4" s="1"/>
  <c r="M129" i="4" a="1"/>
  <c r="M129" i="4" s="1"/>
  <c r="M130" i="4" a="1"/>
  <c r="M130" i="4" s="1"/>
  <c r="M131" i="4" a="1"/>
  <c r="M131" i="4" s="1"/>
  <c r="M132" i="4" a="1"/>
  <c r="M132" i="4" s="1"/>
  <c r="M133" i="4" a="1"/>
  <c r="M133" i="4" s="1"/>
  <c r="M134" i="4" a="1"/>
  <c r="M134" i="4" s="1"/>
  <c r="M135" i="4" a="1"/>
  <c r="M135" i="4" s="1"/>
  <c r="M136" i="4" a="1"/>
  <c r="M136" i="4" s="1"/>
  <c r="M137" i="4" a="1"/>
  <c r="M137" i="4" s="1"/>
  <c r="M138" i="4" a="1"/>
  <c r="M138" i="4" s="1"/>
  <c r="M139" i="4" a="1"/>
  <c r="M139" i="4" s="1"/>
  <c r="M140" i="4" a="1"/>
  <c r="M140" i="4" s="1"/>
  <c r="M141" i="4" a="1"/>
  <c r="M141" i="4" s="1"/>
  <c r="M142" i="4" a="1"/>
  <c r="M142" i="4" s="1"/>
  <c r="M143" i="4" a="1"/>
  <c r="M143" i="4" s="1"/>
  <c r="M144" i="4" a="1"/>
  <c r="M144" i="4" s="1"/>
  <c r="M145" i="4" a="1"/>
  <c r="M145" i="4" s="1"/>
  <c r="M146" i="4" a="1"/>
  <c r="M146" i="4" s="1"/>
  <c r="M147" i="4" a="1"/>
  <c r="M147" i="4" s="1"/>
  <c r="M148" i="4" a="1"/>
  <c r="M148" i="4" s="1"/>
  <c r="M149" i="4" a="1"/>
  <c r="M149" i="4" s="1"/>
  <c r="M150" i="4" a="1"/>
  <c r="M150" i="4" s="1"/>
  <c r="M151" i="4" a="1"/>
  <c r="M151" i="4" s="1"/>
  <c r="M152" i="4" a="1"/>
  <c r="M152" i="4" s="1"/>
  <c r="M153" i="4" a="1"/>
  <c r="M153" i="4" s="1"/>
  <c r="M154" i="4" a="1"/>
  <c r="M154" i="4" s="1"/>
  <c r="M155" i="4" a="1"/>
  <c r="M155" i="4" s="1"/>
  <c r="M156" i="4" a="1"/>
  <c r="M156" i="4" s="1"/>
  <c r="M157" i="4" a="1"/>
  <c r="M157" i="4" s="1"/>
  <c r="M158" i="4" a="1"/>
  <c r="M158" i="4" s="1"/>
  <c r="M159" i="4" a="1"/>
  <c r="M159" i="4" s="1"/>
  <c r="M160" i="4" a="1"/>
  <c r="M160" i="4" s="1"/>
  <c r="M161" i="4" a="1"/>
  <c r="M161" i="4" s="1"/>
  <c r="M162" i="4" a="1"/>
  <c r="M162" i="4" s="1"/>
  <c r="M163" i="4" a="1"/>
  <c r="M163" i="4" s="1"/>
  <c r="M164" i="4" a="1"/>
  <c r="M164" i="4" s="1"/>
  <c r="M165" i="4" a="1"/>
  <c r="M165" i="4" s="1"/>
  <c r="M166" i="4" a="1"/>
  <c r="M166" i="4" s="1"/>
  <c r="M167" i="4" a="1"/>
  <c r="M167" i="4" s="1"/>
  <c r="M168" i="4" a="1"/>
  <c r="M168" i="4" s="1"/>
  <c r="M169" i="4" a="1"/>
  <c r="M169" i="4" s="1"/>
  <c r="M170" i="4" a="1"/>
  <c r="M170" i="4" s="1"/>
  <c r="M171" i="4" a="1"/>
  <c r="M171" i="4" s="1"/>
  <c r="M172" i="4" a="1"/>
  <c r="M172" i="4" s="1"/>
  <c r="M173" i="4" a="1"/>
  <c r="M173" i="4" s="1"/>
  <c r="M174" i="4" a="1"/>
  <c r="M174" i="4" s="1"/>
  <c r="M175" i="4" a="1"/>
  <c r="M175" i="4" s="1"/>
  <c r="M176" i="4" a="1"/>
  <c r="M176" i="4" s="1"/>
  <c r="M177" i="4" a="1"/>
  <c r="M177" i="4" s="1"/>
  <c r="M178" i="4" a="1"/>
  <c r="M178" i="4" s="1"/>
  <c r="M179" i="4" a="1"/>
  <c r="M179" i="4" s="1"/>
  <c r="M180" i="4" a="1"/>
  <c r="M180" i="4" s="1"/>
  <c r="M181" i="4" a="1"/>
  <c r="M181" i="4" s="1"/>
  <c r="M182" i="4" a="1"/>
  <c r="M182" i="4" s="1"/>
  <c r="M183" i="4" a="1"/>
  <c r="M183" i="4" s="1"/>
  <c r="M184" i="4" a="1"/>
  <c r="M184" i="4" s="1"/>
  <c r="M185" i="4" a="1"/>
  <c r="M185" i="4" s="1"/>
  <c r="M186" i="4" a="1"/>
  <c r="M186" i="4" s="1"/>
  <c r="M187" i="4" a="1"/>
  <c r="M187" i="4" s="1"/>
  <c r="M188" i="4" a="1"/>
  <c r="M188" i="4" s="1"/>
  <c r="M189" i="4" a="1"/>
  <c r="M189" i="4" s="1"/>
  <c r="M190" i="4" a="1"/>
  <c r="M190" i="4" s="1"/>
  <c r="M191" i="4" a="1"/>
  <c r="M191" i="4" s="1"/>
  <c r="M192" i="4" a="1"/>
  <c r="M192" i="4" s="1"/>
  <c r="M193" i="4" a="1"/>
  <c r="M193" i="4" s="1"/>
  <c r="M194" i="4" a="1"/>
  <c r="M194" i="4" s="1"/>
  <c r="M195" i="4" a="1"/>
  <c r="M195" i="4" s="1"/>
  <c r="M196" i="4" a="1"/>
  <c r="M196" i="4" s="1"/>
  <c r="M197" i="4" a="1"/>
  <c r="M197" i="4" s="1"/>
  <c r="M198" i="4" a="1"/>
  <c r="M198" i="4" s="1"/>
  <c r="M199" i="4" a="1"/>
  <c r="M199" i="4" s="1"/>
  <c r="M200" i="4" a="1"/>
  <c r="M200" i="4" s="1"/>
  <c r="M201" i="4" a="1"/>
  <c r="M201" i="4" s="1"/>
  <c r="M202" i="4" a="1"/>
  <c r="M202" i="4" s="1"/>
  <c r="M203" i="4" a="1"/>
  <c r="M203" i="4" s="1"/>
  <c r="M204" i="4" a="1"/>
  <c r="M204" i="4" s="1"/>
  <c r="M205" i="4" a="1"/>
  <c r="M205" i="4" s="1"/>
  <c r="M206" i="4" a="1"/>
  <c r="M206" i="4" s="1"/>
  <c r="M207" i="4" a="1"/>
  <c r="M207" i="4" s="1"/>
  <c r="M208" i="4" a="1"/>
  <c r="M208" i="4" s="1"/>
  <c r="M209" i="4" a="1"/>
  <c r="M209" i="4" s="1"/>
  <c r="M210" i="4" a="1"/>
  <c r="M210" i="4" s="1"/>
  <c r="M211" i="4" a="1"/>
  <c r="M211" i="4" s="1"/>
  <c r="M212" i="4" a="1"/>
  <c r="M212" i="4" s="1"/>
  <c r="M213" i="4" a="1"/>
  <c r="M213" i="4" s="1"/>
  <c r="M214" i="4" a="1"/>
  <c r="M214" i="4" s="1"/>
  <c r="M215" i="4" a="1"/>
  <c r="M215" i="4" s="1"/>
  <c r="M216" i="4" a="1"/>
  <c r="M216" i="4" s="1"/>
  <c r="M217" i="4" a="1"/>
  <c r="M217" i="4" s="1"/>
  <c r="M218" i="4" a="1"/>
  <c r="M218" i="4" s="1"/>
  <c r="M219" i="4" a="1"/>
  <c r="M219" i="4" s="1"/>
  <c r="M220" i="4" a="1"/>
  <c r="M220" i="4" s="1"/>
  <c r="M221" i="4" a="1"/>
  <c r="M221" i="4" s="1"/>
  <c r="M222" i="4" a="1"/>
  <c r="M222" i="4" s="1"/>
  <c r="M223" i="4" a="1"/>
  <c r="M223" i="4" s="1"/>
  <c r="M224" i="4" a="1"/>
  <c r="M224" i="4" s="1"/>
  <c r="M225" i="4" a="1"/>
  <c r="M225" i="4" s="1"/>
  <c r="M226" i="4" a="1"/>
  <c r="M226" i="4" s="1"/>
  <c r="M227" i="4" a="1"/>
  <c r="M227" i="4" s="1"/>
  <c r="M228" i="4" a="1"/>
  <c r="M228" i="4" s="1"/>
  <c r="M229" i="4" a="1"/>
  <c r="M229" i="4" s="1"/>
  <c r="M230" i="4" a="1"/>
  <c r="M230" i="4" s="1"/>
  <c r="M231" i="4" a="1"/>
  <c r="M231" i="4" s="1"/>
  <c r="M232" i="4" a="1"/>
  <c r="M232" i="4" s="1"/>
  <c r="M233" i="4" a="1"/>
  <c r="M233" i="4" s="1"/>
  <c r="M234" i="4" a="1"/>
  <c r="M234" i="4" s="1"/>
  <c r="M235" i="4" a="1"/>
  <c r="M235" i="4" s="1"/>
  <c r="M236" i="4" a="1"/>
  <c r="M236" i="4" s="1"/>
  <c r="M237" i="4" a="1"/>
  <c r="M237" i="4" s="1"/>
  <c r="M238" i="4" a="1"/>
  <c r="M238" i="4" s="1"/>
  <c r="M239" i="4" a="1"/>
  <c r="M239" i="4" s="1"/>
  <c r="M240" i="4" a="1"/>
  <c r="M240" i="4" s="1"/>
  <c r="M241" i="4" a="1"/>
  <c r="M241" i="4" s="1"/>
  <c r="M242" i="4" a="1"/>
  <c r="M242" i="4" s="1"/>
  <c r="M243" i="4" a="1"/>
  <c r="M243" i="4" s="1"/>
  <c r="M244" i="4" a="1"/>
  <c r="M244" i="4" s="1"/>
  <c r="M245" i="4" a="1"/>
  <c r="M245" i="4" s="1"/>
  <c r="M246" i="4" a="1"/>
  <c r="M246" i="4" s="1"/>
  <c r="M247" i="4" a="1"/>
  <c r="M247" i="4" s="1"/>
  <c r="M248" i="4" a="1"/>
  <c r="M248" i="4" s="1"/>
  <c r="M249" i="4" a="1"/>
  <c r="M249" i="4" s="1"/>
  <c r="M250" i="4" a="1"/>
  <c r="M250" i="4" s="1"/>
  <c r="M251" i="4" a="1"/>
  <c r="M251" i="4" s="1"/>
  <c r="M252" i="4" a="1"/>
  <c r="M252" i="4" s="1"/>
  <c r="M253" i="4" a="1"/>
  <c r="M253" i="4" s="1"/>
  <c r="M254" i="4" a="1"/>
  <c r="M254" i="4" s="1"/>
  <c r="M255" i="4" a="1"/>
  <c r="M255" i="4" s="1"/>
  <c r="M256" i="4" a="1"/>
  <c r="M256" i="4" s="1"/>
  <c r="M257" i="4" a="1"/>
  <c r="M257" i="4" s="1"/>
  <c r="M258" i="4" a="1"/>
  <c r="M258" i="4" s="1"/>
  <c r="M259" i="4" a="1"/>
  <c r="M259" i="4" s="1"/>
  <c r="M260" i="4" a="1"/>
  <c r="M260" i="4" s="1"/>
  <c r="M261" i="4" a="1"/>
  <c r="M261" i="4" s="1"/>
  <c r="M262" i="4" a="1"/>
  <c r="M262" i="4" s="1"/>
  <c r="M263" i="4" a="1"/>
  <c r="M263" i="4" s="1"/>
  <c r="M264" i="4" a="1"/>
  <c r="M264" i="4" s="1"/>
  <c r="M265" i="4" a="1"/>
  <c r="M265" i="4" s="1"/>
  <c r="M266" i="4" a="1"/>
  <c r="M266" i="4" s="1"/>
  <c r="M267" i="4" a="1"/>
  <c r="M267" i="4" s="1"/>
  <c r="M268" i="4" a="1"/>
  <c r="M268" i="4" s="1"/>
  <c r="M269" i="4" a="1"/>
  <c r="M269" i="4" s="1"/>
  <c r="M270" i="4" a="1"/>
  <c r="M270" i="4" s="1"/>
  <c r="M271" i="4" a="1"/>
  <c r="M271" i="4" s="1"/>
  <c r="M272" i="4" a="1"/>
  <c r="M272" i="4" s="1"/>
  <c r="M273" i="4" a="1"/>
  <c r="M273" i="4" s="1"/>
  <c r="M274" i="4" a="1"/>
  <c r="M274" i="4" s="1"/>
  <c r="M275" i="4" a="1"/>
  <c r="M275" i="4" s="1"/>
  <c r="M276" i="4" a="1"/>
  <c r="M276" i="4" s="1"/>
  <c r="M277" i="4" a="1"/>
  <c r="M277" i="4" s="1"/>
  <c r="M278" i="4" a="1"/>
  <c r="M278" i="4" s="1"/>
  <c r="M279" i="4" a="1"/>
  <c r="M279" i="4" s="1"/>
  <c r="M280" i="4" a="1"/>
  <c r="M280" i="4" s="1"/>
  <c r="M281" i="4" a="1"/>
  <c r="M281" i="4" s="1"/>
  <c r="M282" i="4" a="1"/>
  <c r="M282" i="4" s="1"/>
  <c r="M283" i="4" a="1"/>
  <c r="M283" i="4" s="1"/>
  <c r="M284" i="4" a="1"/>
  <c r="M284" i="4" s="1"/>
  <c r="M285" i="4" a="1"/>
  <c r="M285" i="4" s="1"/>
  <c r="M286" i="4" a="1"/>
  <c r="M286" i="4" s="1"/>
  <c r="M287" i="4" a="1"/>
  <c r="M287" i="4" s="1"/>
  <c r="M288" i="4" a="1"/>
  <c r="M288" i="4" s="1"/>
  <c r="M289" i="4" a="1"/>
  <c r="M289" i="4" s="1"/>
  <c r="M290" i="4" a="1"/>
  <c r="M290" i="4" s="1"/>
  <c r="M291" i="4" a="1"/>
  <c r="M291" i="4" s="1"/>
  <c r="M292" i="4" a="1"/>
  <c r="M292" i="4" s="1"/>
  <c r="M293" i="4" a="1"/>
  <c r="M293" i="4" s="1"/>
  <c r="M294" i="4" a="1"/>
  <c r="M294" i="4" s="1"/>
  <c r="M295" i="4" a="1"/>
  <c r="M295" i="4" s="1"/>
  <c r="M296" i="4" a="1"/>
  <c r="M296" i="4" s="1"/>
  <c r="M297" i="4" a="1"/>
  <c r="M297" i="4" s="1"/>
  <c r="M298" i="4" a="1"/>
  <c r="M298" i="4" s="1"/>
  <c r="M299" i="4" a="1"/>
  <c r="M299" i="4" s="1"/>
  <c r="M300" i="4" a="1"/>
  <c r="M300" i="4" s="1"/>
  <c r="M301" i="4" a="1"/>
  <c r="M301" i="4" s="1"/>
  <c r="M302" i="4" a="1"/>
  <c r="M302" i="4" s="1"/>
  <c r="M303" i="4" a="1"/>
  <c r="M303" i="4" s="1"/>
  <c r="M304" i="4" a="1"/>
  <c r="M304" i="4" s="1"/>
  <c r="M305" i="4" a="1"/>
  <c r="M305" i="4" s="1"/>
  <c r="M306" i="4" a="1"/>
  <c r="M306" i="4" s="1"/>
  <c r="M307" i="4" a="1"/>
  <c r="M307" i="4" s="1"/>
  <c r="M308" i="4" a="1"/>
  <c r="M308" i="4" s="1"/>
  <c r="M309" i="4" a="1"/>
  <c r="M309" i="4" s="1"/>
  <c r="M310" i="4" a="1"/>
  <c r="M310" i="4" s="1"/>
  <c r="M311" i="4" a="1"/>
  <c r="M311" i="4" s="1"/>
  <c r="M312" i="4" a="1"/>
  <c r="M312" i="4" s="1"/>
  <c r="M313" i="4" a="1"/>
  <c r="M313" i="4" s="1"/>
  <c r="M314" i="4" a="1"/>
  <c r="M314" i="4" s="1"/>
  <c r="M315" i="4" a="1"/>
  <c r="M315" i="4" s="1"/>
  <c r="M316" i="4" a="1"/>
  <c r="M316" i="4" s="1"/>
  <c r="M317" i="4" a="1"/>
  <c r="M317" i="4" s="1"/>
  <c r="M318" i="4" a="1"/>
  <c r="M318" i="4" s="1"/>
  <c r="M319" i="4" a="1"/>
  <c r="M319" i="4" s="1"/>
  <c r="M320" i="4" a="1"/>
  <c r="M320" i="4" s="1"/>
  <c r="M321" i="4" a="1"/>
  <c r="M321" i="4" s="1"/>
  <c r="M322" i="4" a="1"/>
  <c r="M322" i="4" s="1"/>
  <c r="M323" i="4" a="1"/>
  <c r="M323" i="4" s="1"/>
  <c r="M324" i="4" a="1"/>
  <c r="M324" i="4" s="1"/>
  <c r="M325" i="4" a="1"/>
  <c r="M325" i="4" s="1"/>
  <c r="M326" i="4" a="1"/>
  <c r="M326" i="4" s="1"/>
  <c r="M327" i="4" a="1"/>
  <c r="M327" i="4" s="1"/>
  <c r="M328" i="4" a="1"/>
  <c r="M328" i="4" s="1"/>
  <c r="M329" i="4" a="1"/>
  <c r="M329" i="4" s="1"/>
  <c r="M330" i="4" a="1"/>
  <c r="M330" i="4" s="1"/>
  <c r="M331" i="4" a="1"/>
  <c r="M331" i="4" s="1"/>
  <c r="M332" i="4" a="1"/>
  <c r="M332" i="4" s="1"/>
  <c r="M333" i="4" a="1"/>
  <c r="M333" i="4" s="1"/>
  <c r="M334" i="4" a="1"/>
  <c r="M334" i="4" s="1"/>
  <c r="M335" i="4" a="1"/>
  <c r="M335" i="4" s="1"/>
  <c r="M336" i="4" a="1"/>
  <c r="M336" i="4" s="1"/>
  <c r="M337" i="4" a="1"/>
  <c r="M337" i="4" s="1"/>
  <c r="M338" i="4" a="1"/>
  <c r="M338" i="4" s="1"/>
  <c r="M339" i="4" a="1"/>
  <c r="M339" i="4" s="1"/>
  <c r="M340" i="4" a="1"/>
  <c r="M340" i="4" s="1"/>
  <c r="M341" i="4" a="1"/>
  <c r="M341" i="4" s="1"/>
  <c r="M342" i="4" a="1"/>
  <c r="M342" i="4" s="1"/>
  <c r="M343" i="4" a="1"/>
  <c r="M343" i="4" s="1"/>
  <c r="M344" i="4" a="1"/>
  <c r="M344" i="4" s="1"/>
  <c r="M345" i="4" a="1"/>
  <c r="M345" i="4" s="1"/>
  <c r="M346" i="4" a="1"/>
  <c r="M346" i="4" s="1"/>
  <c r="M347" i="4" a="1"/>
  <c r="M347" i="4" s="1"/>
  <c r="M348" i="4" a="1"/>
  <c r="M348" i="4" s="1"/>
  <c r="M349" i="4" a="1"/>
  <c r="M349" i="4" s="1"/>
  <c r="M350" i="4" a="1"/>
  <c r="M350" i="4" s="1"/>
  <c r="M351" i="4" a="1"/>
  <c r="M351" i="4" s="1"/>
  <c r="M352" i="4" a="1"/>
  <c r="M352" i="4" s="1"/>
  <c r="M353" i="4" a="1"/>
  <c r="M353" i="4" s="1"/>
  <c r="M354" i="4" a="1"/>
  <c r="M354" i="4" s="1"/>
  <c r="M355" i="4" a="1"/>
  <c r="M355" i="4" s="1"/>
  <c r="M356" i="4" a="1"/>
  <c r="M356" i="4" s="1"/>
  <c r="M357" i="4" a="1"/>
  <c r="M357" i="4" s="1"/>
  <c r="M358" i="4" a="1"/>
  <c r="M358" i="4" s="1"/>
  <c r="M359" i="4" a="1"/>
  <c r="M359" i="4" s="1"/>
  <c r="M360" i="4" a="1"/>
  <c r="M360" i="4" s="1"/>
  <c r="M361" i="4" a="1"/>
  <c r="M361" i="4" s="1"/>
  <c r="M362" i="4" a="1"/>
  <c r="M362" i="4" s="1"/>
  <c r="M363" i="4" a="1"/>
  <c r="M363" i="4" s="1"/>
  <c r="M364" i="4" a="1"/>
  <c r="M364" i="4" s="1"/>
  <c r="M365" i="4" a="1"/>
  <c r="M365" i="4" s="1"/>
  <c r="M366" i="4" a="1"/>
  <c r="M366" i="4" s="1"/>
  <c r="M367" i="4" a="1"/>
  <c r="M367" i="4" s="1"/>
  <c r="M368" i="4" a="1"/>
  <c r="M368" i="4" s="1"/>
  <c r="M369" i="4" a="1"/>
  <c r="M369" i="4" s="1"/>
  <c r="M370" i="4" a="1"/>
  <c r="M370" i="4" s="1"/>
  <c r="M371" i="4" a="1"/>
  <c r="M371" i="4" s="1"/>
  <c r="M372" i="4" a="1"/>
  <c r="M372" i="4" s="1"/>
  <c r="M373" i="4" a="1"/>
  <c r="M373" i="4" s="1"/>
  <c r="M374" i="4" a="1"/>
  <c r="M374" i="4" s="1"/>
  <c r="M375" i="4" a="1"/>
  <c r="M375" i="4" s="1"/>
  <c r="M376" i="4" a="1"/>
  <c r="M376" i="4" s="1"/>
  <c r="M377" i="4" a="1"/>
  <c r="M377" i="4" s="1"/>
  <c r="M378" i="4" a="1"/>
  <c r="M378" i="4" s="1"/>
  <c r="M379" i="4" a="1"/>
  <c r="M379" i="4" s="1"/>
  <c r="M380" i="4" a="1"/>
  <c r="M380" i="4" s="1"/>
  <c r="M381" i="4" a="1"/>
  <c r="M381" i="4" s="1"/>
  <c r="M382" i="4" a="1"/>
  <c r="M382" i="4" s="1"/>
  <c r="M383" i="4" a="1"/>
  <c r="M383" i="4" s="1"/>
  <c r="M384" i="4" a="1"/>
  <c r="M384" i="4" s="1"/>
  <c r="M385" i="4" a="1"/>
  <c r="M385" i="4" s="1"/>
  <c r="M386" i="4" a="1"/>
  <c r="M386" i="4" s="1"/>
  <c r="M387" i="4" a="1"/>
  <c r="M387" i="4" s="1"/>
  <c r="M388" i="4" a="1"/>
  <c r="M388" i="4" s="1"/>
  <c r="M389" i="4" a="1"/>
  <c r="M389" i="4" s="1"/>
  <c r="M390" i="4" a="1"/>
  <c r="M390" i="4" s="1"/>
  <c r="M391" i="4" a="1"/>
  <c r="M391" i="4" s="1"/>
  <c r="M392" i="4" a="1"/>
  <c r="M392" i="4" s="1"/>
  <c r="M393" i="4" a="1"/>
  <c r="M393" i="4" s="1"/>
  <c r="M394" i="4" a="1"/>
  <c r="M394" i="4" s="1"/>
  <c r="M395" i="4" a="1"/>
  <c r="M395" i="4" s="1"/>
  <c r="M396" i="4" a="1"/>
  <c r="M396" i="4" s="1"/>
  <c r="M397" i="4" a="1"/>
  <c r="M397" i="4" s="1"/>
  <c r="M398" i="4" a="1"/>
  <c r="M398" i="4" s="1"/>
  <c r="M399" i="4" a="1"/>
  <c r="M399" i="4" s="1"/>
  <c r="M400" i="4" a="1"/>
  <c r="M400" i="4" s="1"/>
  <c r="M401" i="4" a="1"/>
  <c r="M401" i="4" s="1"/>
  <c r="M402" i="4" a="1"/>
  <c r="M402" i="4" s="1"/>
  <c r="M403" i="4" a="1"/>
  <c r="M403" i="4" s="1"/>
  <c r="M404" i="4" a="1"/>
  <c r="M404" i="4" s="1"/>
  <c r="M405" i="4" a="1"/>
  <c r="M405" i="4" s="1"/>
  <c r="M406" i="4" a="1"/>
  <c r="M406" i="4" s="1"/>
  <c r="M407" i="4" a="1"/>
  <c r="M407" i="4" s="1"/>
  <c r="M408" i="4" a="1"/>
  <c r="M408" i="4" s="1"/>
  <c r="M409" i="4" a="1"/>
  <c r="M409" i="4" s="1"/>
  <c r="M410" i="4" a="1"/>
  <c r="M410" i="4" s="1"/>
  <c r="M411" i="4" a="1"/>
  <c r="M411" i="4" s="1"/>
  <c r="M412" i="4" a="1"/>
  <c r="M412" i="4" s="1"/>
  <c r="M413" i="4" a="1"/>
  <c r="M413" i="4" s="1"/>
  <c r="M414" i="4" a="1"/>
  <c r="M414" i="4" s="1"/>
  <c r="M415" i="4" a="1"/>
  <c r="M415" i="4" s="1"/>
  <c r="M416" i="4" a="1"/>
  <c r="M416" i="4" s="1"/>
  <c r="M417" i="4" a="1"/>
  <c r="M417" i="4" s="1"/>
  <c r="M418" i="4" a="1"/>
  <c r="M418" i="4" s="1"/>
  <c r="M419" i="4" a="1"/>
  <c r="M419" i="4" s="1"/>
  <c r="M420" i="4" a="1"/>
  <c r="M420" i="4" s="1"/>
  <c r="M421" i="4" a="1"/>
  <c r="M421" i="4" s="1"/>
  <c r="M422" i="4" a="1"/>
  <c r="M422" i="4" s="1"/>
  <c r="M423" i="4" a="1"/>
  <c r="M423" i="4" s="1"/>
  <c r="M424" i="4" a="1"/>
  <c r="M424" i="4" s="1"/>
  <c r="M425" i="4" a="1"/>
  <c r="M425" i="4" s="1"/>
  <c r="M426" i="4" a="1"/>
  <c r="M426" i="4" s="1"/>
  <c r="M427" i="4" a="1"/>
  <c r="M427" i="4" s="1"/>
  <c r="M428" i="4" a="1"/>
  <c r="M428" i="4" s="1"/>
  <c r="M429" i="4" a="1"/>
  <c r="M429" i="4" s="1"/>
  <c r="M430" i="4" a="1"/>
  <c r="M430" i="4" s="1"/>
  <c r="M431" i="4" a="1"/>
  <c r="M431" i="4" s="1"/>
  <c r="M432" i="4" a="1"/>
  <c r="M432" i="4" s="1"/>
  <c r="M433" i="4" a="1"/>
  <c r="M433" i="4" s="1"/>
  <c r="M434" i="4" a="1"/>
  <c r="M434" i="4" s="1"/>
  <c r="M435" i="4" a="1"/>
  <c r="M435" i="4" s="1"/>
  <c r="M436" i="4" a="1"/>
  <c r="M436" i="4" s="1"/>
  <c r="M437" i="4" a="1"/>
  <c r="M437" i="4" s="1"/>
  <c r="M438" i="4" a="1"/>
  <c r="M438" i="4" s="1"/>
  <c r="M439" i="4" a="1"/>
  <c r="M439" i="4" s="1"/>
  <c r="M440" i="4" a="1"/>
  <c r="M440" i="4" s="1"/>
  <c r="M441" i="4" a="1"/>
  <c r="M441" i="4" s="1"/>
  <c r="M442" i="4" a="1"/>
  <c r="M442" i="4" s="1"/>
  <c r="M443" i="4" a="1"/>
  <c r="M443" i="4" s="1"/>
  <c r="M444" i="4" a="1"/>
  <c r="M444" i="4" s="1"/>
  <c r="M445" i="4" a="1"/>
  <c r="M445" i="4" s="1"/>
  <c r="M446" i="4" a="1"/>
  <c r="M446" i="4" s="1"/>
  <c r="M447" i="4" a="1"/>
  <c r="M447" i="4" s="1"/>
  <c r="M448" i="4" a="1"/>
  <c r="M448" i="4" s="1"/>
  <c r="M449" i="4" a="1"/>
  <c r="M449" i="4" s="1"/>
  <c r="M450" i="4" a="1"/>
  <c r="M450" i="4" s="1"/>
  <c r="M451" i="4" a="1"/>
  <c r="M451" i="4" s="1"/>
  <c r="M452" i="4" a="1"/>
  <c r="M452" i="4" s="1"/>
  <c r="M453" i="4" a="1"/>
  <c r="M453" i="4" s="1"/>
  <c r="M454" i="4" a="1"/>
  <c r="M454" i="4" s="1"/>
  <c r="M455" i="4" a="1"/>
  <c r="M455" i="4" s="1"/>
  <c r="M456" i="4" a="1"/>
  <c r="M456" i="4" s="1"/>
  <c r="M457" i="4" a="1"/>
  <c r="M457" i="4" s="1"/>
  <c r="M458" i="4" a="1"/>
  <c r="M458" i="4" s="1"/>
  <c r="M459" i="4" a="1"/>
  <c r="M459" i="4" s="1"/>
  <c r="M460" i="4" a="1"/>
  <c r="M460" i="4" s="1"/>
  <c r="M461" i="4" a="1"/>
  <c r="M461" i="4" s="1"/>
  <c r="M462" i="4" a="1"/>
  <c r="M462" i="4" s="1"/>
  <c r="M463" i="4" a="1"/>
  <c r="M463" i="4" s="1"/>
  <c r="M464" i="4" a="1"/>
  <c r="M464" i="4" s="1"/>
  <c r="M465" i="4" a="1"/>
  <c r="M465" i="4" s="1"/>
  <c r="M466" i="4" a="1"/>
  <c r="M466" i="4" s="1"/>
  <c r="M467" i="4" a="1"/>
  <c r="M467" i="4" s="1"/>
  <c r="M468" i="4" a="1"/>
  <c r="M468" i="4" s="1"/>
  <c r="M469" i="4" a="1"/>
  <c r="M469" i="4" s="1"/>
  <c r="M470" i="4" a="1"/>
  <c r="M470" i="4" s="1"/>
  <c r="M471" i="4" a="1"/>
  <c r="M471" i="4" s="1"/>
  <c r="M472" i="4" a="1"/>
  <c r="M472" i="4" s="1"/>
  <c r="M473" i="4" a="1"/>
  <c r="M473" i="4" s="1"/>
  <c r="M474" i="4" a="1"/>
  <c r="M474" i="4" s="1"/>
  <c r="M475" i="4" a="1"/>
  <c r="M475" i="4" s="1"/>
  <c r="M476" i="4" a="1"/>
  <c r="M476" i="4" s="1"/>
  <c r="M477" i="4" a="1"/>
  <c r="M477" i="4" s="1"/>
  <c r="M478" i="4" a="1"/>
  <c r="M478" i="4" s="1"/>
  <c r="M479" i="4" a="1"/>
  <c r="M479" i="4" s="1"/>
  <c r="M480" i="4" a="1"/>
  <c r="M480" i="4" s="1"/>
  <c r="M481" i="4" a="1"/>
  <c r="M481" i="4" s="1"/>
  <c r="M482" i="4" a="1"/>
  <c r="M482" i="4" s="1"/>
  <c r="M483" i="4" a="1"/>
  <c r="M483" i="4" s="1"/>
  <c r="M484" i="4" a="1"/>
  <c r="M484" i="4" s="1"/>
  <c r="M485" i="4" a="1"/>
  <c r="M485" i="4" s="1"/>
  <c r="M486" i="4" a="1"/>
  <c r="M486" i="4" s="1"/>
  <c r="M487" i="4" a="1"/>
  <c r="M487" i="4" s="1"/>
  <c r="M488" i="4" a="1"/>
  <c r="M488" i="4" s="1"/>
  <c r="M489" i="4" a="1"/>
  <c r="M489" i="4" s="1"/>
  <c r="M490" i="4" a="1"/>
  <c r="M490" i="4" s="1"/>
  <c r="M491" i="4" a="1"/>
  <c r="M491" i="4" s="1"/>
  <c r="M492" i="4" a="1"/>
  <c r="M492" i="4" s="1"/>
  <c r="M493" i="4" a="1"/>
  <c r="M493" i="4" s="1"/>
  <c r="M494" i="4" a="1"/>
  <c r="M494" i="4" s="1"/>
  <c r="M495" i="4" a="1"/>
  <c r="M495" i="4" s="1"/>
  <c r="M496" i="4" a="1"/>
  <c r="M496" i="4" s="1"/>
  <c r="M497" i="4" a="1"/>
  <c r="M497" i="4" s="1"/>
  <c r="M498" i="4" a="1"/>
  <c r="M498" i="4" s="1"/>
  <c r="M499" i="4" a="1"/>
  <c r="M499" i="4" s="1"/>
  <c r="M500" i="4" a="1"/>
  <c r="M500" i="4" s="1"/>
  <c r="M501" i="4" a="1"/>
  <c r="M501" i="4" s="1"/>
  <c r="M502" i="4" a="1"/>
  <c r="M502" i="4" s="1"/>
  <c r="M503" i="4" a="1"/>
  <c r="M503" i="4" s="1"/>
  <c r="M504" i="4" a="1"/>
  <c r="M504" i="4" s="1"/>
  <c r="M505" i="4" a="1"/>
  <c r="M505" i="4" s="1"/>
  <c r="M506" i="4" a="1"/>
  <c r="M506" i="4" s="1"/>
  <c r="M507" i="4" a="1"/>
  <c r="M507" i="4" s="1"/>
  <c r="M508" i="4" a="1"/>
  <c r="M508" i="4" s="1"/>
  <c r="M509" i="4" a="1"/>
  <c r="M509" i="4" s="1"/>
  <c r="M510" i="4" a="1"/>
  <c r="M510" i="4" s="1"/>
  <c r="M511" i="4" a="1"/>
  <c r="M511" i="4" s="1"/>
  <c r="M512" i="4" a="1"/>
  <c r="M512" i="4" s="1"/>
  <c r="M513" i="4" a="1"/>
  <c r="M513" i="4" s="1"/>
  <c r="M514" i="4" a="1"/>
  <c r="M514" i="4" s="1"/>
  <c r="M515" i="4" a="1"/>
  <c r="M515" i="4" s="1"/>
  <c r="M516" i="4" a="1"/>
  <c r="M516" i="4" s="1"/>
  <c r="M517" i="4" a="1"/>
  <c r="M517" i="4" s="1"/>
  <c r="M518" i="4" a="1"/>
  <c r="M518" i="4" s="1"/>
  <c r="M519" i="4" a="1"/>
  <c r="M519" i="4" s="1"/>
  <c r="M520" i="4" a="1"/>
  <c r="M520" i="4" s="1"/>
  <c r="M521" i="4" a="1"/>
  <c r="M521" i="4" s="1"/>
  <c r="M522" i="4" a="1"/>
  <c r="M522" i="4" s="1"/>
  <c r="M523" i="4" a="1"/>
  <c r="M523" i="4" s="1"/>
  <c r="M524" i="4" a="1"/>
  <c r="M524" i="4" s="1"/>
  <c r="M525" i="4" a="1"/>
  <c r="M525" i="4" s="1"/>
  <c r="M526" i="4" a="1"/>
  <c r="M526" i="4" s="1"/>
  <c r="M527" i="4" a="1"/>
  <c r="M527" i="4" s="1"/>
  <c r="M528" i="4" a="1"/>
  <c r="M528" i="4" s="1"/>
  <c r="M529" i="4" a="1"/>
  <c r="M529" i="4" s="1"/>
  <c r="M530" i="4" a="1"/>
  <c r="M530" i="4" s="1"/>
  <c r="M531" i="4" a="1"/>
  <c r="M531" i="4" s="1"/>
  <c r="M532" i="4" a="1"/>
  <c r="M532" i="4" s="1"/>
  <c r="M533" i="4" a="1"/>
  <c r="M533" i="4" s="1"/>
  <c r="M534" i="4" a="1"/>
  <c r="M534" i="4" s="1"/>
  <c r="M535" i="4" a="1"/>
  <c r="M535" i="4" s="1"/>
  <c r="M536" i="4" a="1"/>
  <c r="M536" i="4" s="1"/>
  <c r="M537" i="4" a="1"/>
  <c r="M537" i="4" s="1"/>
  <c r="M538" i="4" a="1"/>
  <c r="M538" i="4" s="1"/>
  <c r="M539" i="4" a="1"/>
  <c r="M539" i="4" s="1"/>
  <c r="M540" i="4" a="1"/>
  <c r="M540" i="4" s="1"/>
  <c r="M541" i="4" a="1"/>
  <c r="M541" i="4" s="1"/>
  <c r="M542" i="4" a="1"/>
  <c r="M542" i="4" s="1"/>
  <c r="M543" i="4" a="1"/>
  <c r="M543" i="4" s="1"/>
  <c r="M544" i="4" a="1"/>
  <c r="M544" i="4" s="1"/>
  <c r="M545" i="4" a="1"/>
  <c r="M545" i="4" s="1"/>
  <c r="M546" i="4" a="1"/>
  <c r="M546" i="4" s="1"/>
  <c r="M547" i="4" a="1"/>
  <c r="M547" i="4" s="1"/>
  <c r="M548" i="4" a="1"/>
  <c r="M548" i="4" s="1"/>
  <c r="M549" i="4" a="1"/>
  <c r="M549" i="4" s="1"/>
  <c r="M550" i="4" a="1"/>
  <c r="M550" i="4" s="1"/>
  <c r="M551" i="4" a="1"/>
  <c r="M551" i="4" s="1"/>
  <c r="M552" i="4" a="1"/>
  <c r="M552" i="4" s="1"/>
  <c r="M553" i="4" a="1"/>
  <c r="M553" i="4" s="1"/>
  <c r="M554" i="4" a="1"/>
  <c r="M554" i="4" s="1"/>
  <c r="M555" i="4" a="1"/>
  <c r="M555" i="4" s="1"/>
  <c r="M556" i="4" a="1"/>
  <c r="M556" i="4" s="1"/>
  <c r="M557" i="4" a="1"/>
  <c r="M557" i="4" s="1"/>
  <c r="M558" i="4" a="1"/>
  <c r="M558" i="4" s="1"/>
  <c r="M559" i="4" a="1"/>
  <c r="M559" i="4" s="1"/>
  <c r="M560" i="4" a="1"/>
  <c r="M560" i="4" s="1"/>
  <c r="M561" i="4" a="1"/>
  <c r="M561" i="4" s="1"/>
  <c r="M562" i="4" a="1"/>
  <c r="M562" i="4" s="1"/>
  <c r="M563" i="4" a="1"/>
  <c r="M563" i="4" s="1"/>
  <c r="M564" i="4" a="1"/>
  <c r="M564" i="4" s="1"/>
  <c r="M565" i="4" a="1"/>
  <c r="M565" i="4" s="1"/>
  <c r="M566" i="4" a="1"/>
  <c r="M566" i="4" s="1"/>
  <c r="M567" i="4" a="1"/>
  <c r="M567" i="4" s="1"/>
  <c r="M568" i="4" a="1"/>
  <c r="M568" i="4" s="1"/>
  <c r="M569" i="4" a="1"/>
  <c r="M569" i="4" s="1"/>
  <c r="M570" i="4" a="1"/>
  <c r="M570" i="4" s="1"/>
  <c r="M571" i="4" a="1"/>
  <c r="M571" i="4" s="1"/>
  <c r="M572" i="4" a="1"/>
  <c r="M572" i="4" s="1"/>
  <c r="M573" i="4" a="1"/>
  <c r="M573" i="4" s="1"/>
  <c r="M574" i="4" a="1"/>
  <c r="M574" i="4" s="1"/>
  <c r="M575" i="4" a="1"/>
  <c r="M575" i="4" s="1"/>
  <c r="M576" i="4" a="1"/>
  <c r="M576" i="4" s="1"/>
  <c r="M577" i="4" a="1"/>
  <c r="M577" i="4" s="1"/>
  <c r="M578" i="4" a="1"/>
  <c r="M578" i="4" s="1"/>
  <c r="M579" i="4" a="1"/>
  <c r="M579" i="4" s="1"/>
  <c r="M580" i="4" a="1"/>
  <c r="M580" i="4" s="1"/>
  <c r="M581" i="4" a="1"/>
  <c r="M581" i="4" s="1"/>
  <c r="M582" i="4" a="1"/>
  <c r="M582" i="4" s="1"/>
  <c r="M583" i="4" a="1"/>
  <c r="M583" i="4" s="1"/>
  <c r="M584" i="4" a="1"/>
  <c r="M584" i="4" s="1"/>
  <c r="M585" i="4" a="1"/>
  <c r="M585" i="4" s="1"/>
  <c r="M586" i="4" a="1"/>
  <c r="M586" i="4" s="1"/>
  <c r="M587" i="4" a="1"/>
  <c r="M587" i="4" s="1"/>
  <c r="M588" i="4" a="1"/>
  <c r="M588" i="4" s="1"/>
  <c r="M589" i="4" a="1"/>
  <c r="M589" i="4" s="1"/>
  <c r="M590" i="4" a="1"/>
  <c r="M590" i="4" s="1"/>
  <c r="M591" i="4" a="1"/>
  <c r="M591" i="4" s="1"/>
  <c r="M592" i="4" a="1"/>
  <c r="M592" i="4" s="1"/>
  <c r="M593" i="4" a="1"/>
  <c r="M593" i="4" s="1"/>
  <c r="M594" i="4" a="1"/>
  <c r="M594" i="4" s="1"/>
  <c r="M595" i="4" a="1"/>
  <c r="M595" i="4" s="1"/>
  <c r="M596" i="4" a="1"/>
  <c r="M596" i="4" s="1"/>
  <c r="M597" i="4" a="1"/>
  <c r="M597" i="4" s="1"/>
  <c r="M598" i="4" a="1"/>
  <c r="M598" i="4" s="1"/>
  <c r="M599" i="4" a="1"/>
  <c r="M599" i="4" s="1"/>
  <c r="M600" i="4" a="1"/>
  <c r="M600" i="4" s="1"/>
  <c r="M601" i="4" a="1"/>
  <c r="M601" i="4" s="1"/>
  <c r="M602" i="4" a="1"/>
  <c r="M602" i="4" s="1"/>
  <c r="M603" i="4" a="1"/>
  <c r="M603" i="4" s="1"/>
  <c r="M604" i="4" a="1"/>
  <c r="M604" i="4" s="1"/>
  <c r="M605" i="4" a="1"/>
  <c r="M605" i="4" s="1"/>
  <c r="M606" i="4" a="1"/>
  <c r="M606" i="4" s="1"/>
  <c r="M607" i="4" a="1"/>
  <c r="M607" i="4" s="1"/>
  <c r="M608" i="4" a="1"/>
  <c r="M608" i="4" s="1"/>
  <c r="M609" i="4" a="1"/>
  <c r="M609" i="4" s="1"/>
  <c r="M610" i="4" a="1"/>
  <c r="M610" i="4" s="1"/>
  <c r="M611" i="4" a="1"/>
  <c r="M611" i="4" s="1"/>
  <c r="M612" i="4" a="1"/>
  <c r="M612" i="4" s="1"/>
  <c r="M613" i="4" a="1"/>
  <c r="M613" i="4" s="1"/>
  <c r="M614" i="4" a="1"/>
  <c r="M614" i="4" s="1"/>
  <c r="M615" i="4" a="1"/>
  <c r="M615" i="4" s="1"/>
  <c r="M616" i="4" a="1"/>
  <c r="M616" i="4" s="1"/>
  <c r="M617" i="4" a="1"/>
  <c r="M617" i="4" s="1"/>
  <c r="M618" i="4" a="1"/>
  <c r="M618" i="4" s="1"/>
  <c r="M619" i="4" a="1"/>
  <c r="M619" i="4" s="1"/>
  <c r="M620" i="4" a="1"/>
  <c r="M620" i="4" s="1"/>
  <c r="M621" i="4" a="1"/>
  <c r="M621" i="4" s="1"/>
  <c r="M622" i="4" a="1"/>
  <c r="M622" i="4" s="1"/>
  <c r="M623" i="4" a="1"/>
  <c r="M623" i="4" s="1"/>
  <c r="M624" i="4" a="1"/>
  <c r="M624" i="4" s="1"/>
  <c r="M625" i="4" a="1"/>
  <c r="M625" i="4" s="1"/>
  <c r="M626" i="4" a="1"/>
  <c r="M626" i="4" s="1"/>
  <c r="M627" i="4" a="1"/>
  <c r="M627" i="4" s="1"/>
  <c r="M628" i="4" a="1"/>
  <c r="M628" i="4" s="1"/>
  <c r="M629" i="4" a="1"/>
  <c r="M629" i="4" s="1"/>
  <c r="M630" i="4" a="1"/>
  <c r="M630" i="4" s="1"/>
  <c r="M631" i="4" a="1"/>
  <c r="M631" i="4" s="1"/>
  <c r="M632" i="4" a="1"/>
  <c r="M632" i="4" s="1"/>
  <c r="M633" i="4" a="1"/>
  <c r="M633" i="4" s="1"/>
  <c r="M634" i="4" a="1"/>
  <c r="M634" i="4" s="1"/>
  <c r="M635" i="4" a="1"/>
  <c r="M635" i="4" s="1"/>
  <c r="M636" i="4" a="1"/>
  <c r="M636" i="4" s="1"/>
  <c r="M637" i="4" a="1"/>
  <c r="M637" i="4" s="1"/>
  <c r="M638" i="4" a="1"/>
  <c r="M638" i="4" s="1"/>
  <c r="M639" i="4" a="1"/>
  <c r="M639" i="4" s="1"/>
  <c r="M640" i="4" a="1"/>
  <c r="M640" i="4" s="1"/>
  <c r="M641" i="4" a="1"/>
  <c r="M641" i="4" s="1"/>
  <c r="M642" i="4" a="1"/>
  <c r="M642" i="4" s="1"/>
  <c r="M643" i="4" a="1"/>
  <c r="M643" i="4" s="1"/>
  <c r="M644" i="4" a="1"/>
  <c r="M644" i="4" s="1"/>
  <c r="M645" i="4" a="1"/>
  <c r="M645" i="4" s="1"/>
  <c r="M646" i="4" a="1"/>
  <c r="M646" i="4" s="1"/>
  <c r="M647" i="4" a="1"/>
  <c r="M647" i="4" s="1"/>
  <c r="M648" i="4" a="1"/>
  <c r="M648" i="4" s="1"/>
  <c r="M649" i="4" a="1"/>
  <c r="M649" i="4" s="1"/>
  <c r="M650" i="4" a="1"/>
  <c r="M650" i="4" s="1"/>
  <c r="M651" i="4" a="1"/>
  <c r="M651" i="4" s="1"/>
  <c r="M652" i="4" a="1"/>
  <c r="M652" i="4" s="1"/>
  <c r="M653" i="4" a="1"/>
  <c r="M653" i="4" s="1"/>
  <c r="M654" i="4" a="1"/>
  <c r="M654" i="4" s="1"/>
  <c r="M655" i="4" a="1"/>
  <c r="M655" i="4" s="1"/>
  <c r="M656" i="4" a="1"/>
  <c r="M656" i="4" s="1"/>
  <c r="M657" i="4" a="1"/>
  <c r="M657" i="4" s="1"/>
  <c r="M658" i="4" a="1"/>
  <c r="M658" i="4" s="1"/>
  <c r="M659" i="4" a="1"/>
  <c r="M659" i="4" s="1"/>
  <c r="M660" i="4" a="1"/>
  <c r="M660" i="4" s="1"/>
  <c r="M661" i="4" a="1"/>
  <c r="M661" i="4" s="1"/>
  <c r="M662" i="4" a="1"/>
  <c r="M662" i="4" s="1"/>
  <c r="M663" i="4" a="1"/>
  <c r="M663" i="4" s="1"/>
  <c r="M664" i="4" a="1"/>
  <c r="M664" i="4" s="1"/>
  <c r="M665" i="4" a="1"/>
  <c r="M665" i="4" s="1"/>
  <c r="M666" i="4" a="1"/>
  <c r="M666" i="4" s="1"/>
  <c r="M667" i="4" a="1"/>
  <c r="M667" i="4" s="1"/>
  <c r="M668" i="4" a="1"/>
  <c r="M668" i="4" s="1"/>
  <c r="M669" i="4" a="1"/>
  <c r="M669" i="4" s="1"/>
  <c r="M670" i="4" a="1"/>
  <c r="M670" i="4" s="1"/>
  <c r="M671" i="4" a="1"/>
  <c r="M671" i="4" s="1"/>
  <c r="M672" i="4" a="1"/>
  <c r="M672" i="4" s="1"/>
  <c r="M673" i="4" a="1"/>
  <c r="M673" i="4" s="1"/>
  <c r="M674" i="4" a="1"/>
  <c r="M674" i="4" s="1"/>
  <c r="M675" i="4" a="1"/>
  <c r="M675" i="4" s="1"/>
  <c r="M676" i="4" a="1"/>
  <c r="M676" i="4" s="1"/>
  <c r="M677" i="4" a="1"/>
  <c r="M677" i="4" s="1"/>
  <c r="M678" i="4" a="1"/>
  <c r="M678" i="4" s="1"/>
  <c r="M679" i="4" a="1"/>
  <c r="M679" i="4" s="1"/>
  <c r="M680" i="4" a="1"/>
  <c r="M680" i="4" s="1"/>
  <c r="M681" i="4" a="1"/>
  <c r="M681" i="4" s="1"/>
  <c r="M682" i="4" a="1"/>
  <c r="M682" i="4" s="1"/>
  <c r="M683" i="4" a="1"/>
  <c r="M683" i="4" s="1"/>
  <c r="M684" i="4" a="1"/>
  <c r="M684" i="4" s="1"/>
  <c r="M685" i="4" a="1"/>
  <c r="M685" i="4" s="1"/>
  <c r="M686" i="4" a="1"/>
  <c r="M686" i="4" s="1"/>
  <c r="M687" i="4" a="1"/>
  <c r="M687" i="4" s="1"/>
  <c r="M688" i="4" a="1"/>
  <c r="M688" i="4" s="1"/>
  <c r="M689" i="4" a="1"/>
  <c r="M689" i="4" s="1"/>
  <c r="M690" i="4" a="1"/>
  <c r="M690" i="4" s="1"/>
  <c r="M691" i="4" a="1"/>
  <c r="M691" i="4" s="1"/>
  <c r="M692" i="4" a="1"/>
  <c r="M692" i="4" s="1"/>
  <c r="M693" i="4" a="1"/>
  <c r="M693" i="4" s="1"/>
  <c r="M694" i="4" a="1"/>
  <c r="M694" i="4" s="1"/>
  <c r="M695" i="4" a="1"/>
  <c r="M695" i="4" s="1"/>
  <c r="M696" i="4" a="1"/>
  <c r="M696" i="4" s="1"/>
  <c r="M697" i="4" a="1"/>
  <c r="M697" i="4" s="1"/>
  <c r="M698" i="4" a="1"/>
  <c r="M698" i="4" s="1"/>
  <c r="M699" i="4" a="1"/>
  <c r="M699" i="4" s="1"/>
  <c r="M700" i="4" a="1"/>
  <c r="M700" i="4" s="1"/>
  <c r="M701" i="4" a="1"/>
  <c r="M701" i="4" s="1"/>
  <c r="M702" i="4" a="1"/>
  <c r="M702" i="4" s="1"/>
  <c r="M703" i="4" a="1"/>
  <c r="M703" i="4" s="1"/>
  <c r="M704" i="4" a="1"/>
  <c r="M704" i="4" s="1"/>
  <c r="M705" i="4" a="1"/>
  <c r="M705" i="4" s="1"/>
  <c r="M706" i="4" a="1"/>
  <c r="M706" i="4" s="1"/>
  <c r="M707" i="4" a="1"/>
  <c r="M707" i="4" s="1"/>
  <c r="M708" i="4" a="1"/>
  <c r="M708" i="4" s="1"/>
  <c r="M709" i="4" a="1"/>
  <c r="M709" i="4" s="1"/>
  <c r="M710" i="4" a="1"/>
  <c r="M710" i="4" s="1"/>
  <c r="M711" i="4" a="1"/>
  <c r="M711" i="4" s="1"/>
  <c r="M712" i="4" a="1"/>
  <c r="M712" i="4" s="1"/>
  <c r="M713" i="4" a="1"/>
  <c r="M713" i="4" s="1"/>
  <c r="M714" i="4" a="1"/>
  <c r="M714" i="4" s="1"/>
  <c r="M715" i="4" a="1"/>
  <c r="M715" i="4" s="1"/>
  <c r="M716" i="4" a="1"/>
  <c r="M716" i="4" s="1"/>
  <c r="M717" i="4" a="1"/>
  <c r="M717" i="4" s="1"/>
  <c r="M718" i="4" a="1"/>
  <c r="M718" i="4" s="1"/>
  <c r="M719" i="4" a="1"/>
  <c r="M719" i="4" s="1"/>
  <c r="M720" i="4" a="1"/>
  <c r="M720" i="4" s="1"/>
  <c r="M721" i="4" a="1"/>
  <c r="M721" i="4" s="1"/>
  <c r="M722" i="4" a="1"/>
  <c r="M722" i="4" s="1"/>
  <c r="M723" i="4" a="1"/>
  <c r="M723" i="4" s="1"/>
  <c r="M724" i="4" a="1"/>
  <c r="M724" i="4" s="1"/>
  <c r="M725" i="4" a="1"/>
  <c r="M725" i="4" s="1"/>
  <c r="M726" i="4" a="1"/>
  <c r="M726" i="4" s="1"/>
  <c r="M727" i="4" a="1"/>
  <c r="M727" i="4" s="1"/>
  <c r="M728" i="4" a="1"/>
  <c r="M728" i="4" s="1"/>
  <c r="M729" i="4" a="1"/>
  <c r="M729" i="4" s="1"/>
  <c r="M730" i="4" a="1"/>
  <c r="M730" i="4" s="1"/>
  <c r="M731" i="4" a="1"/>
  <c r="M731" i="4" s="1"/>
  <c r="M732" i="4" a="1"/>
  <c r="M732" i="4" s="1"/>
  <c r="M733" i="4" a="1"/>
  <c r="M733" i="4" s="1"/>
  <c r="M734" i="4" a="1"/>
  <c r="M734" i="4" s="1"/>
  <c r="M735" i="4" a="1"/>
  <c r="M735" i="4" s="1"/>
  <c r="M736" i="4" a="1"/>
  <c r="M736" i="4" s="1"/>
  <c r="M737" i="4" a="1"/>
  <c r="M737" i="4" s="1"/>
  <c r="M738" i="4" a="1"/>
  <c r="M738" i="4" s="1"/>
  <c r="M739" i="4" a="1"/>
  <c r="M739" i="4" s="1"/>
  <c r="M740" i="4" a="1"/>
  <c r="M740" i="4" s="1"/>
  <c r="M741" i="4" a="1"/>
  <c r="M741" i="4" s="1"/>
  <c r="M742" i="4" a="1"/>
  <c r="M742" i="4" s="1"/>
  <c r="M743" i="4" a="1"/>
  <c r="M743" i="4" s="1"/>
  <c r="M744" i="4" a="1"/>
  <c r="M744" i="4" s="1"/>
  <c r="M745" i="4" a="1"/>
  <c r="M745" i="4" s="1"/>
  <c r="M746" i="4" a="1"/>
  <c r="M746" i="4" s="1"/>
  <c r="M747" i="4" a="1"/>
  <c r="M747" i="4" s="1"/>
  <c r="M748" i="4" a="1"/>
  <c r="M748" i="4" s="1"/>
  <c r="M749" i="4" a="1"/>
  <c r="M749" i="4" s="1"/>
  <c r="M750" i="4" a="1"/>
  <c r="M750" i="4" s="1"/>
  <c r="M751" i="4" a="1"/>
  <c r="M751" i="4" s="1"/>
  <c r="M752" i="4" a="1"/>
  <c r="M752" i="4" s="1"/>
  <c r="M753" i="4" a="1"/>
  <c r="M753" i="4" s="1"/>
  <c r="M754" i="4" a="1"/>
  <c r="M754" i="4" s="1"/>
  <c r="M755" i="4" a="1"/>
  <c r="M755" i="4" s="1"/>
  <c r="M756" i="4" a="1"/>
  <c r="M756" i="4" s="1"/>
  <c r="M757" i="4" a="1"/>
  <c r="M757" i="4" s="1"/>
  <c r="M758" i="4" a="1"/>
  <c r="M758" i="4" s="1"/>
  <c r="M759" i="4" a="1"/>
  <c r="M759" i="4" s="1"/>
  <c r="M760" i="4" a="1"/>
  <c r="M760" i="4" s="1"/>
  <c r="M761" i="4" a="1"/>
  <c r="M761" i="4" s="1"/>
  <c r="M762" i="4" a="1"/>
  <c r="M762" i="4" s="1"/>
  <c r="M763" i="4" a="1"/>
  <c r="M763" i="4" s="1"/>
  <c r="M764" i="4" a="1"/>
  <c r="M764" i="4" s="1"/>
  <c r="M765" i="4" a="1"/>
  <c r="M765" i="4" s="1"/>
  <c r="M766" i="4" a="1"/>
  <c r="M766" i="4" s="1"/>
  <c r="M767" i="4" a="1"/>
  <c r="M767" i="4" s="1"/>
  <c r="M768" i="4" a="1"/>
  <c r="M768" i="4" s="1"/>
  <c r="M769" i="4" a="1"/>
  <c r="M769" i="4" s="1"/>
  <c r="M770" i="4" a="1"/>
  <c r="M770" i="4" s="1"/>
  <c r="M771" i="4" a="1"/>
  <c r="M771" i="4" s="1"/>
  <c r="M772" i="4" a="1"/>
  <c r="M772" i="4" s="1"/>
  <c r="M773" i="4" a="1"/>
  <c r="M773" i="4" s="1"/>
  <c r="M774" i="4" a="1"/>
  <c r="M774" i="4" s="1"/>
  <c r="M775" i="4" a="1"/>
  <c r="M775" i="4" s="1"/>
  <c r="M776" i="4" a="1"/>
  <c r="M776" i="4" s="1"/>
  <c r="M777" i="4" a="1"/>
  <c r="M777" i="4" s="1"/>
  <c r="M778" i="4" a="1"/>
  <c r="M778" i="4" s="1"/>
  <c r="M779" i="4" a="1"/>
  <c r="M779" i="4" s="1"/>
  <c r="M780" i="4" a="1"/>
  <c r="M780" i="4" s="1"/>
  <c r="M781" i="4" a="1"/>
  <c r="M781" i="4" s="1"/>
  <c r="M782" i="4" a="1"/>
  <c r="M782" i="4" s="1"/>
  <c r="M783" i="4" a="1"/>
  <c r="M783" i="4" s="1"/>
  <c r="M784" i="4" a="1"/>
  <c r="M784" i="4" s="1"/>
  <c r="M785" i="4" a="1"/>
  <c r="M785" i="4" s="1"/>
  <c r="M786" i="4" a="1"/>
  <c r="M786" i="4" s="1"/>
  <c r="M787" i="4" a="1"/>
  <c r="M787" i="4" s="1"/>
  <c r="M788" i="4" a="1"/>
  <c r="M788" i="4" s="1"/>
  <c r="M789" i="4" a="1"/>
  <c r="M789" i="4" s="1"/>
  <c r="M790" i="4" a="1"/>
  <c r="M790" i="4" s="1"/>
  <c r="M791" i="4" a="1"/>
  <c r="M791" i="4" s="1"/>
  <c r="M792" i="4" a="1"/>
  <c r="M792" i="4" s="1"/>
  <c r="M793" i="4" a="1"/>
  <c r="M793" i="4" s="1"/>
  <c r="M794" i="4" a="1"/>
  <c r="M794" i="4" s="1"/>
  <c r="M795" i="4" a="1"/>
  <c r="M795" i="4" s="1"/>
  <c r="M796" i="4" a="1"/>
  <c r="M796" i="4" s="1"/>
  <c r="M797" i="4" a="1"/>
  <c r="M797" i="4" s="1"/>
  <c r="M798" i="4" a="1"/>
  <c r="M798" i="4" s="1"/>
  <c r="M799" i="4" a="1"/>
  <c r="M799" i="4" s="1"/>
  <c r="M800" i="4" a="1"/>
  <c r="M800" i="4" s="1"/>
  <c r="M801" i="4" a="1"/>
  <c r="M801" i="4" s="1"/>
  <c r="M802" i="4" a="1"/>
  <c r="M802" i="4" s="1"/>
  <c r="M803" i="4" a="1"/>
  <c r="M803" i="4" s="1"/>
  <c r="M804" i="4" a="1"/>
  <c r="M804" i="4" s="1"/>
  <c r="M805" i="4" a="1"/>
  <c r="M805" i="4" s="1"/>
  <c r="M806" i="4" a="1"/>
  <c r="M806" i="4" s="1"/>
  <c r="M807" i="4" a="1"/>
  <c r="M807" i="4" s="1"/>
  <c r="M808" i="4" a="1"/>
  <c r="M808" i="4" s="1"/>
  <c r="M809" i="4" a="1"/>
  <c r="M809" i="4" s="1"/>
  <c r="M810" i="4" a="1"/>
  <c r="M810" i="4" s="1"/>
  <c r="M811" i="4" a="1"/>
  <c r="M811" i="4" s="1"/>
  <c r="M812" i="4" a="1"/>
  <c r="M812" i="4" s="1"/>
  <c r="M813" i="4" a="1"/>
  <c r="M813" i="4" s="1"/>
  <c r="M814" i="4" a="1"/>
  <c r="M814" i="4" s="1"/>
  <c r="M815" i="4" a="1"/>
  <c r="M815" i="4" s="1"/>
  <c r="M816" i="4" a="1"/>
  <c r="M816" i="4" s="1"/>
  <c r="M817" i="4" a="1"/>
  <c r="M817" i="4" s="1"/>
  <c r="M818" i="4" a="1"/>
  <c r="M818" i="4" s="1"/>
  <c r="M819" i="4" a="1"/>
  <c r="M819" i="4" s="1"/>
  <c r="M820" i="4" a="1"/>
  <c r="M820" i="4" s="1"/>
  <c r="M821" i="4" a="1"/>
  <c r="M821" i="4" s="1"/>
  <c r="M822" i="4" a="1"/>
  <c r="M822" i="4" s="1"/>
  <c r="M823" i="4" a="1"/>
  <c r="M823" i="4" s="1"/>
  <c r="M824" i="4" a="1"/>
  <c r="M824" i="4" s="1"/>
  <c r="M825" i="4" a="1"/>
  <c r="M825" i="4" s="1"/>
  <c r="M826" i="4" a="1"/>
  <c r="M826" i="4" s="1"/>
  <c r="M827" i="4" a="1"/>
  <c r="M827" i="4" s="1"/>
  <c r="M828" i="4" a="1"/>
  <c r="M828" i="4" s="1"/>
  <c r="M829" i="4" a="1"/>
  <c r="M829" i="4" s="1"/>
  <c r="M830" i="4" a="1"/>
  <c r="M830" i="4" s="1"/>
  <c r="M831" i="4" a="1"/>
  <c r="M831" i="4" s="1"/>
  <c r="M832" i="4" a="1"/>
  <c r="M832" i="4" s="1"/>
  <c r="M833" i="4" a="1"/>
  <c r="M833" i="4" s="1"/>
  <c r="M834" i="4" a="1"/>
  <c r="M834" i="4" s="1"/>
  <c r="M835" i="4" a="1"/>
  <c r="M835" i="4" s="1"/>
  <c r="M836" i="4" a="1"/>
  <c r="M836" i="4" s="1"/>
  <c r="M837" i="4" a="1"/>
  <c r="M837" i="4" s="1"/>
  <c r="M838" i="4" a="1"/>
  <c r="M838" i="4" s="1"/>
  <c r="M839" i="4" a="1"/>
  <c r="M839" i="4" s="1"/>
  <c r="M840" i="4" a="1"/>
  <c r="M840" i="4" s="1"/>
  <c r="M841" i="4" a="1"/>
  <c r="M841" i="4" s="1"/>
  <c r="M842" i="4" a="1"/>
  <c r="M842" i="4" s="1"/>
  <c r="M843" i="4" a="1"/>
  <c r="M843" i="4" s="1"/>
  <c r="M844" i="4" a="1"/>
  <c r="M844" i="4" s="1"/>
  <c r="M845" i="4" a="1"/>
  <c r="M845" i="4" s="1"/>
  <c r="M846" i="4" a="1"/>
  <c r="M846" i="4" s="1"/>
  <c r="M847" i="4" a="1"/>
  <c r="M847" i="4" s="1"/>
  <c r="M848" i="4" a="1"/>
  <c r="M848" i="4" s="1"/>
  <c r="M849" i="4" a="1"/>
  <c r="M849" i="4" s="1"/>
  <c r="M850" i="4" a="1"/>
  <c r="M850" i="4" s="1"/>
  <c r="M851" i="4" a="1"/>
  <c r="M851" i="4" s="1"/>
  <c r="M852" i="4" a="1"/>
  <c r="M852" i="4" s="1"/>
  <c r="M853" i="4" a="1"/>
  <c r="M853" i="4" s="1"/>
  <c r="M854" i="4" a="1"/>
  <c r="M854" i="4" s="1"/>
  <c r="M855" i="4" a="1"/>
  <c r="M855" i="4" s="1"/>
  <c r="M856" i="4" a="1"/>
  <c r="M856" i="4" s="1"/>
  <c r="M857" i="4" a="1"/>
  <c r="M857" i="4" s="1"/>
  <c r="M858" i="4" a="1"/>
  <c r="M858" i="4" s="1"/>
  <c r="M859" i="4" a="1"/>
  <c r="M859" i="4" s="1"/>
  <c r="M860" i="4" a="1"/>
  <c r="M860" i="4" s="1"/>
  <c r="M861" i="4" a="1"/>
  <c r="M861" i="4" s="1"/>
  <c r="M862" i="4" a="1"/>
  <c r="M862" i="4" s="1"/>
  <c r="M863" i="4" a="1"/>
  <c r="M863" i="4" s="1"/>
  <c r="M864" i="4" a="1"/>
  <c r="M864" i="4" s="1"/>
  <c r="M865" i="4" a="1"/>
  <c r="M865" i="4" s="1"/>
  <c r="M866" i="4" a="1"/>
  <c r="M866" i="4" s="1"/>
  <c r="M867" i="4" a="1"/>
  <c r="M867" i="4" s="1"/>
  <c r="M868" i="4" a="1"/>
  <c r="M868" i="4" s="1"/>
  <c r="M869" i="4" a="1"/>
  <c r="M869" i="4" s="1"/>
  <c r="M870" i="4" a="1"/>
  <c r="M870" i="4" s="1"/>
  <c r="M871" i="4" a="1"/>
  <c r="M871" i="4" s="1"/>
  <c r="M872" i="4" a="1"/>
  <c r="M872" i="4" s="1"/>
  <c r="M873" i="4" a="1"/>
  <c r="M873" i="4" s="1"/>
  <c r="M874" i="4" a="1"/>
  <c r="M874" i="4" s="1"/>
  <c r="M875" i="4" a="1"/>
  <c r="M875" i="4" s="1"/>
  <c r="M876" i="4" a="1"/>
  <c r="M876" i="4" s="1"/>
  <c r="M877" i="4" a="1"/>
  <c r="M877" i="4" s="1"/>
  <c r="M878" i="4" a="1"/>
  <c r="M878" i="4" s="1"/>
  <c r="M879" i="4" a="1"/>
  <c r="M879" i="4" s="1"/>
  <c r="M880" i="4" a="1"/>
  <c r="M880" i="4" s="1"/>
  <c r="M881" i="4" a="1"/>
  <c r="M881" i="4" s="1"/>
  <c r="M882" i="4" a="1"/>
  <c r="M882" i="4" s="1"/>
  <c r="M883" i="4" a="1"/>
  <c r="M883" i="4" s="1"/>
  <c r="M884" i="4" a="1"/>
  <c r="M884" i="4" s="1"/>
  <c r="M885" i="4" a="1"/>
  <c r="M885" i="4" s="1"/>
  <c r="M886" i="4" a="1"/>
  <c r="M886" i="4" s="1"/>
  <c r="M887" i="4" a="1"/>
  <c r="M887" i="4" s="1"/>
  <c r="M888" i="4" a="1"/>
  <c r="M888" i="4" s="1"/>
  <c r="M889" i="4" a="1"/>
  <c r="M889" i="4" s="1"/>
  <c r="M890" i="4" a="1"/>
  <c r="M890" i="4" s="1"/>
  <c r="M891" i="4" a="1"/>
  <c r="M891" i="4" s="1"/>
  <c r="M892" i="4" a="1"/>
  <c r="M892" i="4" s="1"/>
  <c r="M893" i="4" a="1"/>
  <c r="M893" i="4" s="1"/>
  <c r="M894" i="4" a="1"/>
  <c r="M894" i="4" s="1"/>
  <c r="M895" i="4" a="1"/>
  <c r="M895" i="4" s="1"/>
  <c r="M896" i="4" a="1"/>
  <c r="M896" i="4" s="1"/>
  <c r="M897" i="4" a="1"/>
  <c r="M897" i="4" s="1"/>
  <c r="M898" i="4" a="1"/>
  <c r="M898" i="4" s="1"/>
  <c r="M899" i="4" a="1"/>
  <c r="M899" i="4" s="1"/>
  <c r="M900" i="4" a="1"/>
  <c r="M900" i="4" s="1"/>
  <c r="M901" i="4" a="1"/>
  <c r="M901" i="4" s="1"/>
  <c r="M902" i="4" a="1"/>
  <c r="M902" i="4" s="1"/>
  <c r="M903" i="4" a="1"/>
  <c r="M903" i="4" s="1"/>
  <c r="M904" i="4" a="1"/>
  <c r="M904" i="4" s="1"/>
  <c r="M905" i="4" a="1"/>
  <c r="M905" i="4" s="1"/>
  <c r="M906" i="4" a="1"/>
  <c r="M906" i="4" s="1"/>
  <c r="M907" i="4" a="1"/>
  <c r="M907" i="4" s="1"/>
  <c r="M908" i="4" a="1"/>
  <c r="M908" i="4" s="1"/>
  <c r="M909" i="4" a="1"/>
  <c r="M909" i="4" s="1"/>
  <c r="M910" i="4" a="1"/>
  <c r="M910" i="4" s="1"/>
  <c r="M911" i="4" a="1"/>
  <c r="M911" i="4" s="1"/>
  <c r="M912" i="4" a="1"/>
  <c r="M912" i="4" s="1"/>
  <c r="M913" i="4" a="1"/>
  <c r="M913" i="4" s="1"/>
  <c r="M914" i="4" a="1"/>
  <c r="M914" i="4" s="1"/>
  <c r="M915" i="4" a="1"/>
  <c r="M915" i="4" s="1"/>
  <c r="M916" i="4" a="1"/>
  <c r="M916" i="4" s="1"/>
  <c r="M917" i="4" a="1"/>
  <c r="M917" i="4" s="1"/>
  <c r="M918" i="4" a="1"/>
  <c r="M918" i="4" s="1"/>
  <c r="M919" i="4" a="1"/>
  <c r="M919" i="4" s="1"/>
  <c r="M920" i="4" a="1"/>
  <c r="M920" i="4" s="1"/>
  <c r="M921" i="4" a="1"/>
  <c r="M921" i="4" s="1"/>
  <c r="M922" i="4" a="1"/>
  <c r="M922" i="4" s="1"/>
  <c r="M923" i="4" a="1"/>
  <c r="M923" i="4" s="1"/>
  <c r="M924" i="4" a="1"/>
  <c r="M924" i="4" s="1"/>
  <c r="M925" i="4" a="1"/>
  <c r="M925" i="4" s="1"/>
  <c r="M926" i="4" a="1"/>
  <c r="M926" i="4" s="1"/>
  <c r="M927" i="4" a="1"/>
  <c r="M927" i="4" s="1"/>
  <c r="M928" i="4" a="1"/>
  <c r="M928" i="4" s="1"/>
  <c r="M929" i="4" a="1"/>
  <c r="M929" i="4" s="1"/>
  <c r="M930" i="4" a="1"/>
  <c r="M930" i="4" s="1"/>
  <c r="M931" i="4" a="1"/>
  <c r="M931" i="4" s="1"/>
  <c r="M932" i="4" a="1"/>
  <c r="M932" i="4" s="1"/>
  <c r="M933" i="4" a="1"/>
  <c r="M933" i="4" s="1"/>
  <c r="M934" i="4" a="1"/>
  <c r="M934" i="4" s="1"/>
  <c r="M935" i="4" a="1"/>
  <c r="M935" i="4" s="1"/>
  <c r="M936" i="4" a="1"/>
  <c r="M936" i="4" s="1"/>
  <c r="M937" i="4" a="1"/>
  <c r="M937" i="4" s="1"/>
  <c r="M938" i="4" a="1"/>
  <c r="M938" i="4" s="1"/>
  <c r="M939" i="4" a="1"/>
  <c r="M939" i="4" s="1"/>
  <c r="M940" i="4" a="1"/>
  <c r="M940" i="4" s="1"/>
  <c r="M941" i="4" a="1"/>
  <c r="M941" i="4" s="1"/>
  <c r="M942" i="4" a="1"/>
  <c r="M942" i="4" s="1"/>
  <c r="M943" i="4" a="1"/>
  <c r="M943" i="4" s="1"/>
  <c r="M944" i="4" a="1"/>
  <c r="M944" i="4" s="1"/>
  <c r="M945" i="4" a="1"/>
  <c r="M945" i="4" s="1"/>
  <c r="M946" i="4" a="1"/>
  <c r="M946" i="4" s="1"/>
  <c r="M947" i="4" a="1"/>
  <c r="M947" i="4" s="1"/>
  <c r="M948" i="4" a="1"/>
  <c r="M948" i="4" s="1"/>
  <c r="M949" i="4" a="1"/>
  <c r="M949" i="4" s="1"/>
  <c r="M950" i="4" a="1"/>
  <c r="M950" i="4" s="1"/>
  <c r="M951" i="4" a="1"/>
  <c r="M951" i="4" s="1"/>
  <c r="M952" i="4" a="1"/>
  <c r="M952" i="4" s="1"/>
  <c r="M953" i="4" a="1"/>
  <c r="M953" i="4" s="1"/>
  <c r="M954" i="4" a="1"/>
  <c r="M954" i="4" s="1"/>
  <c r="M955" i="4" a="1"/>
  <c r="M955" i="4" s="1"/>
  <c r="M956" i="4" a="1"/>
  <c r="M956" i="4" s="1"/>
  <c r="M957" i="4" a="1"/>
  <c r="M957" i="4" s="1"/>
  <c r="M958" i="4" a="1"/>
  <c r="M958" i="4" s="1"/>
  <c r="M959" i="4" a="1"/>
  <c r="M959" i="4" s="1"/>
  <c r="M960" i="4" a="1"/>
  <c r="M960" i="4" s="1"/>
  <c r="M961" i="4" a="1"/>
  <c r="M961" i="4" s="1"/>
  <c r="M962" i="4" a="1"/>
  <c r="M962" i="4" s="1"/>
  <c r="M963" i="4" a="1"/>
  <c r="M963" i="4" s="1"/>
  <c r="M964" i="4" a="1"/>
  <c r="M964" i="4" s="1"/>
  <c r="M965" i="4" a="1"/>
  <c r="M965" i="4" s="1"/>
  <c r="M966" i="4" a="1"/>
  <c r="M966" i="4" s="1"/>
  <c r="M967" i="4" a="1"/>
  <c r="M967" i="4" s="1"/>
  <c r="M968" i="4" a="1"/>
  <c r="M968" i="4" s="1"/>
  <c r="M969" i="4" a="1"/>
  <c r="M969" i="4" s="1"/>
  <c r="M970" i="4" a="1"/>
  <c r="M970" i="4" s="1"/>
  <c r="M971" i="4" a="1"/>
  <c r="M971" i="4" s="1"/>
  <c r="M972" i="4" a="1"/>
  <c r="M972" i="4" s="1"/>
  <c r="M973" i="4" a="1"/>
  <c r="M973" i="4" s="1"/>
  <c r="M974" i="4" a="1"/>
  <c r="M974" i="4" s="1"/>
  <c r="M975" i="4" a="1"/>
  <c r="M975" i="4" s="1"/>
  <c r="M976" i="4" a="1"/>
  <c r="M976" i="4" s="1"/>
  <c r="M977" i="4" a="1"/>
  <c r="M977" i="4" s="1"/>
  <c r="M978" i="4" a="1"/>
  <c r="M978" i="4" s="1"/>
  <c r="M979" i="4" a="1"/>
  <c r="M979" i="4" s="1"/>
  <c r="M980" i="4" a="1"/>
  <c r="M980" i="4" s="1"/>
  <c r="M981" i="4" a="1"/>
  <c r="M981" i="4" s="1"/>
  <c r="M982" i="4" a="1"/>
  <c r="M982" i="4" s="1"/>
  <c r="M983" i="4" a="1"/>
  <c r="M983" i="4" s="1"/>
  <c r="M984" i="4" a="1"/>
  <c r="M984" i="4" s="1"/>
  <c r="M985" i="4" a="1"/>
  <c r="M985" i="4" s="1"/>
  <c r="M986" i="4" a="1"/>
  <c r="M986" i="4" s="1"/>
  <c r="M987" i="4" a="1"/>
  <c r="M987" i="4" s="1"/>
  <c r="M988" i="4" a="1"/>
  <c r="M988" i="4" s="1"/>
  <c r="M989" i="4" a="1"/>
  <c r="M989" i="4" s="1"/>
  <c r="M990" i="4" a="1"/>
  <c r="M990" i="4" s="1"/>
  <c r="M991" i="4" a="1"/>
  <c r="M991" i="4" s="1"/>
  <c r="M992" i="4" a="1"/>
  <c r="M992" i="4" s="1"/>
  <c r="M993" i="4" a="1"/>
  <c r="M993" i="4" s="1"/>
  <c r="M994" i="4" a="1"/>
  <c r="M994" i="4" s="1"/>
  <c r="M995" i="4" a="1"/>
  <c r="M995" i="4" s="1"/>
  <c r="M996" i="4" a="1"/>
  <c r="M996" i="4" s="1"/>
  <c r="M997" i="4" a="1"/>
  <c r="M997" i="4" s="1"/>
  <c r="M998" i="4" a="1"/>
  <c r="M998" i="4" s="1"/>
  <c r="M999" i="4" a="1"/>
  <c r="M999" i="4" s="1"/>
  <c r="M1000" i="4" a="1"/>
  <c r="M1000" i="4" s="1"/>
  <c r="M1001" i="4" a="1"/>
  <c r="M1001" i="4" s="1"/>
  <c r="M1002" i="4" a="1"/>
  <c r="M1002" i="4" s="1"/>
  <c r="M1003" i="4" a="1"/>
  <c r="M1003" i="4" s="1"/>
  <c r="M1004" i="4" a="1"/>
  <c r="M1004" i="4" s="1"/>
  <c r="M1005" i="4" a="1"/>
  <c r="M1005" i="4" s="1"/>
  <c r="M1006" i="4" a="1"/>
  <c r="M1006" i="4" s="1"/>
  <c r="M1007" i="4" a="1"/>
  <c r="M1007" i="4" s="1"/>
  <c r="M1008" i="4" a="1"/>
  <c r="M1008" i="4" s="1"/>
  <c r="M1009" i="4" a="1"/>
  <c r="M1009" i="4" s="1"/>
  <c r="M1010" i="4" a="1"/>
  <c r="M1010" i="4" s="1"/>
  <c r="M1011" i="4" a="1"/>
  <c r="M1011" i="4" s="1"/>
  <c r="M1012" i="4" a="1"/>
  <c r="M1012" i="4" s="1"/>
  <c r="M1013" i="4" a="1"/>
  <c r="M1013" i="4" s="1"/>
  <c r="M1014" i="4" a="1"/>
  <c r="M1014" i="4" s="1"/>
  <c r="M1015" i="4" a="1"/>
  <c r="M1015" i="4" s="1"/>
  <c r="M1016" i="4" a="1"/>
  <c r="M1016" i="4" s="1"/>
  <c r="M1017" i="4" a="1"/>
  <c r="M1017" i="4" s="1"/>
  <c r="M1018" i="4" a="1"/>
  <c r="M1018" i="4" s="1"/>
  <c r="M1019" i="4" a="1"/>
  <c r="M1019" i="4" s="1"/>
  <c r="M1020" i="4" a="1"/>
  <c r="M1020" i="4" s="1"/>
  <c r="M1021" i="4" a="1"/>
  <c r="M1021" i="4" s="1"/>
  <c r="M1022" i="4" a="1"/>
  <c r="M1022" i="4" s="1"/>
  <c r="M1023" i="4" a="1"/>
  <c r="M1023" i="4" s="1"/>
  <c r="M1024" i="4" a="1"/>
  <c r="M1024" i="4" s="1"/>
  <c r="M1025" i="4" a="1"/>
  <c r="M1025" i="4" s="1"/>
  <c r="M1026" i="4" a="1"/>
  <c r="M1026" i="4" s="1"/>
  <c r="M1027" i="4" a="1"/>
  <c r="M1027" i="4" s="1"/>
  <c r="M1028" i="4" a="1"/>
  <c r="M1028" i="4" s="1"/>
  <c r="M1029" i="4" a="1"/>
  <c r="M1029" i="4" s="1"/>
  <c r="M1030" i="4" a="1"/>
  <c r="M1030" i="4" s="1"/>
  <c r="M1031" i="4" a="1"/>
  <c r="M1031" i="4" s="1"/>
  <c r="M1032" i="4" a="1"/>
  <c r="M1032" i="4" s="1"/>
  <c r="M1033" i="4" a="1"/>
  <c r="M1033" i="4" s="1"/>
  <c r="M1034" i="4" a="1"/>
  <c r="M1034" i="4" s="1"/>
  <c r="M1035" i="4" a="1"/>
  <c r="M1035" i="4" s="1"/>
  <c r="M1036" i="4" a="1"/>
  <c r="M1036" i="4" s="1"/>
  <c r="M1037" i="4" a="1"/>
  <c r="M1037" i="4" s="1"/>
  <c r="M1038" i="4" a="1"/>
  <c r="M1038" i="4" s="1"/>
  <c r="M1039" i="4" a="1"/>
  <c r="M1039" i="4" s="1"/>
  <c r="M1040" i="4" a="1"/>
  <c r="M1040" i="4" s="1"/>
  <c r="M1041" i="4" a="1"/>
  <c r="M1041" i="4" s="1"/>
  <c r="M1042" i="4" a="1"/>
  <c r="M1042" i="4" s="1"/>
  <c r="M1043" i="4" a="1"/>
  <c r="M1043" i="4" s="1"/>
  <c r="M1044" i="4" a="1"/>
  <c r="M1044" i="4" s="1"/>
  <c r="M1045" i="4" a="1"/>
  <c r="M1045" i="4" s="1"/>
  <c r="M1046" i="4" a="1"/>
  <c r="M1046" i="4" s="1"/>
  <c r="M1047" i="4" a="1"/>
  <c r="M1047" i="4" s="1"/>
  <c r="M1048" i="4" a="1"/>
  <c r="M1048" i="4" s="1"/>
  <c r="M1049" i="4" a="1"/>
  <c r="M1049" i="4" s="1"/>
  <c r="M1050" i="4" a="1"/>
  <c r="M1050" i="4" s="1"/>
  <c r="M1051" i="4" a="1"/>
  <c r="M1051" i="4" s="1"/>
  <c r="M1052" i="4" a="1"/>
  <c r="M1052" i="4" s="1"/>
  <c r="M1053" i="4" a="1"/>
  <c r="M1053" i="4" s="1"/>
  <c r="M1054" i="4" a="1"/>
  <c r="M1054" i="4" s="1"/>
  <c r="M1055" i="4" a="1"/>
  <c r="M1055" i="4" s="1"/>
  <c r="M1056" i="4" a="1"/>
  <c r="M1056" i="4" s="1"/>
  <c r="M1057" i="4" a="1"/>
  <c r="M1057" i="4" s="1"/>
  <c r="M1058" i="4" a="1"/>
  <c r="M1058" i="4" s="1"/>
  <c r="M1059" i="4" a="1"/>
  <c r="M1059" i="4" s="1"/>
  <c r="M1060" i="4" a="1"/>
  <c r="M1060" i="4" s="1"/>
  <c r="M1061" i="4" a="1"/>
  <c r="M1061" i="4" s="1"/>
  <c r="M1062" i="4" a="1"/>
  <c r="M1062" i="4" s="1"/>
  <c r="M1063" i="4" a="1"/>
  <c r="M1063" i="4" s="1"/>
  <c r="M1064" i="4" a="1"/>
  <c r="M1064" i="4" s="1"/>
  <c r="M1065" i="4" a="1"/>
  <c r="M1065" i="4" s="1"/>
  <c r="M1066" i="4" a="1"/>
  <c r="M1066" i="4" s="1"/>
  <c r="M1067" i="4" a="1"/>
  <c r="M1067" i="4" s="1"/>
  <c r="M1068" i="4" a="1"/>
  <c r="M1068" i="4" s="1"/>
  <c r="M1069" i="4" a="1"/>
  <c r="M1069" i="4" s="1"/>
  <c r="M1070" i="4" a="1"/>
  <c r="M1070" i="4" s="1"/>
  <c r="M1071" i="4" a="1"/>
  <c r="M1071" i="4" s="1"/>
  <c r="M1072" i="4" a="1"/>
  <c r="M1072" i="4" s="1"/>
  <c r="M1073" i="4" a="1"/>
  <c r="M1073" i="4" s="1"/>
  <c r="M1074" i="4" a="1"/>
  <c r="M1074" i="4" s="1"/>
  <c r="M1075" i="4" a="1"/>
  <c r="M1075" i="4" s="1"/>
  <c r="M1076" i="4" a="1"/>
  <c r="M1076" i="4" s="1"/>
  <c r="M1077" i="4" a="1"/>
  <c r="M1077" i="4" s="1"/>
  <c r="M1078" i="4" a="1"/>
  <c r="M1078" i="4" s="1"/>
  <c r="M1079" i="4" a="1"/>
  <c r="M1079" i="4" s="1"/>
  <c r="M1080" i="4" a="1"/>
  <c r="M1080" i="4" s="1"/>
  <c r="M1081" i="4" a="1"/>
  <c r="M1081" i="4" s="1"/>
  <c r="M1082" i="4" a="1"/>
  <c r="M1082" i="4" s="1"/>
  <c r="M1083" i="4" a="1"/>
  <c r="M1083" i="4" s="1"/>
  <c r="M1084" i="4" a="1"/>
  <c r="M1084" i="4" s="1"/>
  <c r="M1085" i="4" a="1"/>
  <c r="M1085" i="4" s="1"/>
  <c r="M1086" i="4" a="1"/>
  <c r="M1086" i="4" s="1"/>
  <c r="M1087" i="4" a="1"/>
  <c r="M1087" i="4" s="1"/>
  <c r="M1088" i="4" a="1"/>
  <c r="M1088" i="4" s="1"/>
  <c r="M1089" i="4" a="1"/>
  <c r="M1089" i="4" s="1"/>
  <c r="M1090" i="4" a="1"/>
  <c r="M1090" i="4" s="1"/>
  <c r="M1091" i="4" a="1"/>
  <c r="M1091" i="4" s="1"/>
  <c r="M1092" i="4" a="1"/>
  <c r="M1092" i="4" s="1"/>
  <c r="M1093" i="4" a="1"/>
  <c r="M1093" i="4" s="1"/>
  <c r="M1094" i="4" a="1"/>
  <c r="M1094" i="4" s="1"/>
  <c r="M1095" i="4" a="1"/>
  <c r="M1095" i="4" s="1"/>
  <c r="M1096" i="4" a="1"/>
  <c r="M1096" i="4" s="1"/>
  <c r="M1097" i="4" a="1"/>
  <c r="M1097" i="4" s="1"/>
  <c r="M1098" i="4" a="1"/>
  <c r="M1098" i="4" s="1"/>
  <c r="M1099" i="4" a="1"/>
  <c r="M1099" i="4" s="1"/>
  <c r="M1100" i="4" a="1"/>
  <c r="M1100" i="4" s="1"/>
  <c r="M1101" i="4" a="1"/>
  <c r="M1101" i="4" s="1"/>
  <c r="M1102" i="4" a="1"/>
  <c r="M1102" i="4" s="1"/>
  <c r="M1103" i="4" a="1"/>
  <c r="M1103" i="4" s="1"/>
  <c r="M1104" i="4" a="1"/>
  <c r="M1104" i="4" s="1"/>
  <c r="M1105" i="4" a="1"/>
  <c r="M1105" i="4" s="1"/>
  <c r="M1106" i="4" a="1"/>
  <c r="M1106" i="4" s="1"/>
  <c r="M1107" i="4" a="1"/>
  <c r="M1107" i="4" s="1"/>
  <c r="M1108" i="4" a="1"/>
  <c r="M1108" i="4" s="1"/>
  <c r="M1109" i="4" a="1"/>
  <c r="M1109" i="4" s="1"/>
  <c r="M1110" i="4" a="1"/>
  <c r="M1110" i="4" s="1"/>
  <c r="M1111" i="4" a="1"/>
  <c r="M1111" i="4" s="1"/>
  <c r="M1112" i="4" a="1"/>
  <c r="M1112" i="4" s="1"/>
  <c r="M1113" i="4" a="1"/>
  <c r="M1113" i="4" s="1"/>
  <c r="M1114" i="4" a="1"/>
  <c r="M1114" i="4" s="1"/>
  <c r="M1115" i="4" a="1"/>
  <c r="M1115" i="4" s="1"/>
  <c r="M1116" i="4" a="1"/>
  <c r="M1116" i="4" s="1"/>
  <c r="M1117" i="4" a="1"/>
  <c r="M1117" i="4" s="1"/>
  <c r="M1118" i="4" a="1"/>
  <c r="M1118" i="4" s="1"/>
  <c r="M1119" i="4" a="1"/>
  <c r="M1119" i="4" s="1"/>
  <c r="M1120" i="4" a="1"/>
  <c r="M1120" i="4" s="1"/>
  <c r="M1121" i="4" a="1"/>
  <c r="M1121" i="4" s="1"/>
  <c r="M1122" i="4" a="1"/>
  <c r="M1122" i="4" s="1"/>
  <c r="M1123" i="4" a="1"/>
  <c r="M1123" i="4" s="1"/>
  <c r="M1124" i="4" a="1"/>
  <c r="M1124" i="4" s="1"/>
  <c r="M1125" i="4" a="1"/>
  <c r="M1125" i="4" s="1"/>
  <c r="M1126" i="4" a="1"/>
  <c r="M1126" i="4" s="1"/>
  <c r="M1127" i="4" a="1"/>
  <c r="M1127" i="4" s="1"/>
  <c r="M1128" i="4" a="1"/>
  <c r="M1128" i="4" s="1"/>
  <c r="M1129" i="4" a="1"/>
  <c r="M1129" i="4" s="1"/>
  <c r="M1130" i="4" a="1"/>
  <c r="M1130" i="4" s="1"/>
  <c r="M1131" i="4" a="1"/>
  <c r="M1131" i="4" s="1"/>
  <c r="M1132" i="4" a="1"/>
  <c r="M1132" i="4" s="1"/>
  <c r="M1133" i="4" a="1"/>
  <c r="M1133" i="4" s="1"/>
  <c r="M1134" i="4" a="1"/>
  <c r="M1134" i="4" s="1"/>
  <c r="M1135" i="4" a="1"/>
  <c r="M1135" i="4" s="1"/>
  <c r="M1136" i="4" a="1"/>
  <c r="M1136" i="4" s="1"/>
  <c r="M1137" i="4" a="1"/>
  <c r="M1137" i="4" s="1"/>
  <c r="M1138" i="4" a="1"/>
  <c r="M1138" i="4" s="1"/>
  <c r="M1139" i="4" a="1"/>
  <c r="M1139" i="4" s="1"/>
  <c r="M1140" i="4" a="1"/>
  <c r="M1140" i="4" s="1"/>
  <c r="M1141" i="4" a="1"/>
  <c r="M1141" i="4" s="1"/>
  <c r="M1142" i="4" a="1"/>
  <c r="M1142" i="4" s="1"/>
  <c r="M1143" i="4" a="1"/>
  <c r="M1143" i="4" s="1"/>
  <c r="M1144" i="4" a="1"/>
  <c r="M1144" i="4" s="1"/>
  <c r="M1145" i="4" a="1"/>
  <c r="M1145" i="4" s="1"/>
  <c r="M1146" i="4" a="1"/>
  <c r="M1146" i="4" s="1"/>
  <c r="M1147" i="4" a="1"/>
  <c r="M1147" i="4" s="1"/>
  <c r="M1148" i="4" a="1"/>
  <c r="M1148" i="4" s="1"/>
  <c r="M1149" i="4" a="1"/>
  <c r="M1149" i="4" s="1"/>
  <c r="M1150" i="4" a="1"/>
  <c r="M1150" i="4" s="1"/>
  <c r="M1151" i="4" a="1"/>
  <c r="M1151" i="4" s="1"/>
  <c r="M1152" i="4" a="1"/>
  <c r="M1152" i="4" s="1"/>
  <c r="M1153" i="4" a="1"/>
  <c r="M1153" i="4" s="1"/>
  <c r="M1154" i="4" a="1"/>
  <c r="M1154" i="4" s="1"/>
  <c r="M1155" i="4" a="1"/>
  <c r="M1155" i="4" s="1"/>
  <c r="M1156" i="4" a="1"/>
  <c r="M1156" i="4" s="1"/>
  <c r="M1157" i="4" a="1"/>
  <c r="M1157" i="4" s="1"/>
  <c r="M1158" i="4" a="1"/>
  <c r="M1158" i="4" s="1"/>
  <c r="M1159" i="4" a="1"/>
  <c r="M1159" i="4" s="1"/>
  <c r="M1160" i="4" a="1"/>
  <c r="M1160" i="4" s="1"/>
  <c r="M1161" i="4" a="1"/>
  <c r="M1161" i="4" s="1"/>
  <c r="M1162" i="4" a="1"/>
  <c r="M1162" i="4" s="1"/>
  <c r="M1163" i="4" a="1"/>
  <c r="M1163" i="4" s="1"/>
  <c r="M1164" i="4" a="1"/>
  <c r="M1164" i="4" s="1"/>
  <c r="M1165" i="4" a="1"/>
  <c r="M1165" i="4" s="1"/>
  <c r="M1166" i="4" a="1"/>
  <c r="M1166" i="4" s="1"/>
  <c r="M1167" i="4" a="1"/>
  <c r="M1167" i="4" s="1"/>
  <c r="M1168" i="4" a="1"/>
  <c r="M1168" i="4" s="1"/>
  <c r="M1169" i="4" a="1"/>
  <c r="M1169" i="4" s="1"/>
  <c r="M1170" i="4" a="1"/>
  <c r="M1170" i="4" s="1"/>
  <c r="M1171" i="4" a="1"/>
  <c r="M1171" i="4" s="1"/>
  <c r="M1172" i="4" a="1"/>
  <c r="M1172" i="4" s="1"/>
  <c r="M1173" i="4" a="1"/>
  <c r="M1173" i="4" s="1"/>
  <c r="M1174" i="4" a="1"/>
  <c r="M1174" i="4" s="1"/>
  <c r="M1175" i="4" a="1"/>
  <c r="M1175" i="4" s="1"/>
  <c r="M1176" i="4" a="1"/>
  <c r="M1176" i="4" s="1"/>
  <c r="M1177" i="4" a="1"/>
  <c r="M1177" i="4" s="1"/>
  <c r="M1178" i="4" a="1"/>
  <c r="M1178" i="4" s="1"/>
  <c r="M1179" i="4" a="1"/>
  <c r="M1179" i="4" s="1"/>
  <c r="M1180" i="4" a="1"/>
  <c r="M1180" i="4" s="1"/>
  <c r="M1181" i="4" a="1"/>
  <c r="M1181" i="4" s="1"/>
  <c r="M1182" i="4" a="1"/>
  <c r="M1182" i="4" s="1"/>
  <c r="M1183" i="4" a="1"/>
  <c r="M1183" i="4" s="1"/>
  <c r="M1184" i="4" a="1"/>
  <c r="M1184" i="4" s="1"/>
  <c r="M1185" i="4" a="1"/>
  <c r="M1185" i="4" s="1"/>
  <c r="M1186" i="4" a="1"/>
  <c r="M1186" i="4" s="1"/>
  <c r="M1187" i="4" a="1"/>
  <c r="M1187" i="4" s="1"/>
  <c r="M1188" i="4" a="1"/>
  <c r="M1188" i="4" s="1"/>
  <c r="M1189" i="4" a="1"/>
  <c r="M1189" i="4" s="1"/>
  <c r="M1190" i="4" a="1"/>
  <c r="M1190" i="4" s="1"/>
  <c r="M1191" i="4" a="1"/>
  <c r="M1191" i="4" s="1"/>
  <c r="M1192" i="4" a="1"/>
  <c r="M1192" i="4" s="1"/>
  <c r="M1193" i="4" a="1"/>
  <c r="M1193" i="4" s="1"/>
  <c r="M1194" i="4" a="1"/>
  <c r="M1194" i="4" s="1"/>
  <c r="M1195" i="4" a="1"/>
  <c r="M1195" i="4" s="1"/>
  <c r="M1196" i="4" a="1"/>
  <c r="M1196" i="4" s="1"/>
  <c r="M1197" i="4" a="1"/>
  <c r="M1197" i="4" s="1"/>
  <c r="M1198" i="4" a="1"/>
  <c r="M1198" i="4" s="1"/>
  <c r="M1199" i="4" a="1"/>
  <c r="M1199" i="4" s="1"/>
  <c r="M1200" i="4" a="1"/>
  <c r="M1200" i="4" s="1"/>
  <c r="M1201" i="4" a="1"/>
  <c r="M1201" i="4" s="1"/>
  <c r="M1202" i="4" a="1"/>
  <c r="M1202" i="4" s="1"/>
  <c r="M1203" i="4" a="1"/>
  <c r="M1203" i="4" s="1"/>
  <c r="M1204" i="4" a="1"/>
  <c r="M1204" i="4" s="1"/>
  <c r="M1205" i="4" a="1"/>
  <c r="M1205" i="4" s="1"/>
  <c r="M1206" i="4" a="1"/>
  <c r="M1206" i="4" s="1"/>
  <c r="M1207" i="4" a="1"/>
  <c r="M1207" i="4" s="1"/>
  <c r="M1208" i="4" a="1"/>
  <c r="M1208" i="4" s="1"/>
  <c r="M1209" i="4" a="1"/>
  <c r="M1209" i="4" s="1"/>
  <c r="M1210" i="4" a="1"/>
  <c r="M1210" i="4" s="1"/>
  <c r="M1211" i="4" a="1"/>
  <c r="M1211" i="4" s="1"/>
  <c r="M1212" i="4" a="1"/>
  <c r="M1212" i="4" s="1"/>
  <c r="M1213" i="4" a="1"/>
  <c r="M1213" i="4" s="1"/>
  <c r="M1214" i="4" a="1"/>
  <c r="M1214" i="4" s="1"/>
  <c r="M1215" i="4" a="1"/>
  <c r="M1215" i="4" s="1"/>
  <c r="M1216" i="4" a="1"/>
  <c r="M1216" i="4" s="1"/>
  <c r="M1217" i="4" a="1"/>
  <c r="M1217" i="4" s="1"/>
  <c r="M1218" i="4" a="1"/>
  <c r="M1218" i="4" s="1"/>
  <c r="M1219" i="4" a="1"/>
  <c r="M1219" i="4" s="1"/>
  <c r="M1220" i="4" a="1"/>
  <c r="M1220" i="4" s="1"/>
  <c r="M1221" i="4" a="1"/>
  <c r="M1221" i="4" s="1"/>
  <c r="M1222" i="4" a="1"/>
  <c r="M1222" i="4" s="1"/>
  <c r="M1223" i="4" a="1"/>
  <c r="M1223" i="4" s="1"/>
  <c r="M1224" i="4" a="1"/>
  <c r="M1224" i="4" s="1"/>
  <c r="M1225" i="4" a="1"/>
  <c r="M1225" i="4" s="1"/>
  <c r="M1226" i="4" a="1"/>
  <c r="M1226" i="4" s="1"/>
  <c r="M1227" i="4" a="1"/>
  <c r="M1227" i="4" s="1"/>
  <c r="M1228" i="4" a="1"/>
  <c r="M1228" i="4" s="1"/>
  <c r="M1229" i="4" a="1"/>
  <c r="M1229" i="4" s="1"/>
  <c r="M1230" i="4" a="1"/>
  <c r="M1230" i="4" s="1"/>
  <c r="M1231" i="4" a="1"/>
  <c r="M1231" i="4" s="1"/>
  <c r="M1232" i="4" a="1"/>
  <c r="M1232" i="4" s="1"/>
  <c r="M1233" i="4" a="1"/>
  <c r="M1233" i="4" s="1"/>
  <c r="M1234" i="4" a="1"/>
  <c r="M1234" i="4" s="1"/>
  <c r="M1235" i="4" a="1"/>
  <c r="M1235" i="4" s="1"/>
  <c r="M1236" i="4" a="1"/>
  <c r="M1236" i="4" s="1"/>
  <c r="M1237" i="4" a="1"/>
  <c r="M1237" i="4" s="1"/>
  <c r="M1238" i="4" a="1"/>
  <c r="M1238" i="4" s="1"/>
  <c r="M1239" i="4" a="1"/>
  <c r="M1239" i="4" s="1"/>
  <c r="M1240" i="4" a="1"/>
  <c r="M1240" i="4" s="1"/>
  <c r="M1241" i="4" a="1"/>
  <c r="M1241" i="4" s="1"/>
  <c r="M1242" i="4" a="1"/>
  <c r="M1242" i="4" s="1"/>
  <c r="M1243" i="4" a="1"/>
  <c r="M1243" i="4" s="1"/>
  <c r="M1244" i="4" a="1"/>
  <c r="M1244" i="4" s="1"/>
  <c r="M1245" i="4" a="1"/>
  <c r="M1245" i="4" s="1"/>
  <c r="M1246" i="4" a="1"/>
  <c r="M1246" i="4" s="1"/>
  <c r="M1247" i="4" a="1"/>
  <c r="M1247" i="4" s="1"/>
  <c r="M1248" i="4" a="1"/>
  <c r="M1248" i="4" s="1"/>
  <c r="M1249" i="4" a="1"/>
  <c r="M1249" i="4" s="1"/>
  <c r="M1250" i="4" a="1"/>
  <c r="M1250" i="4" s="1"/>
  <c r="M1251" i="4" a="1"/>
  <c r="M1251" i="4" s="1"/>
  <c r="M1252" i="4" a="1"/>
  <c r="M1252" i="4" s="1"/>
  <c r="M1253" i="4" a="1"/>
  <c r="M1253" i="4" s="1"/>
  <c r="M1254" i="4" a="1"/>
  <c r="M1254" i="4" s="1"/>
  <c r="M1255" i="4" a="1"/>
  <c r="M1255" i="4" s="1"/>
  <c r="M1256" i="4" a="1"/>
  <c r="M1256" i="4" s="1"/>
  <c r="M1257" i="4" a="1"/>
  <c r="M1257" i="4" s="1"/>
  <c r="M1258" i="4" a="1"/>
  <c r="M1258" i="4" s="1"/>
  <c r="M1259" i="4" a="1"/>
  <c r="M1259" i="4" s="1"/>
  <c r="M1260" i="4" a="1"/>
  <c r="M1260" i="4" s="1"/>
  <c r="M1261" i="4" a="1"/>
  <c r="M1261" i="4" s="1"/>
  <c r="M1262" i="4" a="1"/>
  <c r="M1262" i="4" s="1"/>
  <c r="M1263" i="4" a="1"/>
  <c r="M1263" i="4" s="1"/>
  <c r="M1264" i="4" a="1"/>
  <c r="M1264" i="4" s="1"/>
  <c r="M1265" i="4" a="1"/>
  <c r="M1265" i="4" s="1"/>
  <c r="M1266" i="4" a="1"/>
  <c r="M1266" i="4" s="1"/>
  <c r="M1267" i="4" a="1"/>
  <c r="M1267" i="4" s="1"/>
  <c r="M1268" i="4" a="1"/>
  <c r="M1268" i="4" s="1"/>
  <c r="M1269" i="4" a="1"/>
  <c r="M1269" i="4" s="1"/>
  <c r="M1270" i="4" a="1"/>
  <c r="M1270" i="4" s="1"/>
  <c r="M1271" i="4" a="1"/>
  <c r="M1271" i="4" s="1"/>
  <c r="M1272" i="4" a="1"/>
  <c r="M1272" i="4" s="1"/>
  <c r="M1273" i="4" a="1"/>
  <c r="M1273" i="4" s="1"/>
  <c r="M1274" i="4" a="1"/>
  <c r="M1274" i="4" s="1"/>
  <c r="M1275" i="4" a="1"/>
  <c r="M1275" i="4" s="1"/>
  <c r="M1276" i="4" a="1"/>
  <c r="M1276" i="4" s="1"/>
  <c r="M1277" i="4" a="1"/>
  <c r="M1277" i="4" s="1"/>
  <c r="M1278" i="4" a="1"/>
  <c r="M1278" i="4" s="1"/>
  <c r="M1279" i="4" a="1"/>
  <c r="M1279" i="4" s="1"/>
  <c r="M1280" i="4" a="1"/>
  <c r="M1280" i="4" s="1"/>
  <c r="M1281" i="4" a="1"/>
  <c r="M1281" i="4" s="1"/>
  <c r="M1282" i="4" a="1"/>
  <c r="M1282" i="4" s="1"/>
  <c r="M1283" i="4" a="1"/>
  <c r="M1283" i="4" s="1"/>
  <c r="M1284" i="4" a="1"/>
  <c r="M1284" i="4" s="1"/>
  <c r="M1285" i="4" a="1"/>
  <c r="M1285" i="4" s="1"/>
  <c r="M1286" i="4" a="1"/>
  <c r="M1286" i="4" s="1"/>
  <c r="M1287" i="4" a="1"/>
  <c r="M1287" i="4" s="1"/>
  <c r="M1288" i="4" a="1"/>
  <c r="M1288" i="4" s="1"/>
  <c r="M1289" i="4" a="1"/>
  <c r="M1289" i="4" s="1"/>
  <c r="M1290" i="4" a="1"/>
  <c r="M1290" i="4" s="1"/>
  <c r="M1291" i="4" a="1"/>
  <c r="M1291" i="4" s="1"/>
  <c r="M1292" i="4" a="1"/>
  <c r="M1292" i="4" s="1"/>
  <c r="M1293" i="4" a="1"/>
  <c r="M1293" i="4" s="1"/>
  <c r="M1294" i="4" a="1"/>
  <c r="M1294" i="4" s="1"/>
  <c r="M1295" i="4" a="1"/>
  <c r="M1295" i="4" s="1"/>
  <c r="M1296" i="4" a="1"/>
  <c r="M1296" i="4" s="1"/>
  <c r="M1297" i="4" a="1"/>
  <c r="M1297" i="4" s="1"/>
  <c r="M1298" i="4" a="1"/>
  <c r="M1298" i="4" s="1"/>
  <c r="M1299" i="4" a="1"/>
  <c r="M1299" i="4" s="1"/>
  <c r="M1300" i="4" a="1"/>
  <c r="M1300" i="4" s="1"/>
  <c r="M1301" i="4" a="1"/>
  <c r="M1301" i="4" s="1"/>
  <c r="M1302" i="4" a="1"/>
  <c r="M1302" i="4" s="1"/>
  <c r="M1303" i="4" a="1"/>
  <c r="M1303" i="4" s="1"/>
  <c r="M1304" i="4" a="1"/>
  <c r="M1304" i="4" s="1"/>
  <c r="M1305" i="4" a="1"/>
  <c r="M1305" i="4" s="1"/>
  <c r="M1306" i="4" a="1"/>
  <c r="M1306" i="4" s="1"/>
  <c r="M1307" i="4" a="1"/>
  <c r="M1307" i="4" s="1"/>
  <c r="M1308" i="4" a="1"/>
  <c r="M1308" i="4" s="1"/>
  <c r="M1309" i="4" a="1"/>
  <c r="M1309" i="4" s="1"/>
  <c r="M1310" i="4" a="1"/>
  <c r="M1310" i="4" s="1"/>
  <c r="M1311" i="4" a="1"/>
  <c r="M1311" i="4" s="1"/>
  <c r="M1312" i="4" a="1"/>
  <c r="M1312" i="4" s="1"/>
  <c r="M1313" i="4" a="1"/>
  <c r="M1313" i="4" s="1"/>
  <c r="M1314" i="4" a="1"/>
  <c r="M1314" i="4" s="1"/>
  <c r="M1315" i="4" a="1"/>
  <c r="M1315" i="4" s="1"/>
  <c r="M1316" i="4" a="1"/>
  <c r="M1316" i="4" s="1"/>
  <c r="M1317" i="4" a="1"/>
  <c r="M1317" i="4" s="1"/>
  <c r="M1318" i="4" a="1"/>
  <c r="M1318" i="4" s="1"/>
  <c r="M1319" i="4" a="1"/>
  <c r="M1319" i="4" s="1"/>
  <c r="M1320" i="4" a="1"/>
  <c r="M1320" i="4" s="1"/>
  <c r="M1321" i="4" a="1"/>
  <c r="M1321" i="4" s="1"/>
  <c r="M1322" i="4" a="1"/>
  <c r="M1322" i="4" s="1"/>
  <c r="M1323" i="4" a="1"/>
  <c r="M1323" i="4" s="1"/>
  <c r="M1324" i="4" a="1"/>
  <c r="M1324" i="4" s="1"/>
  <c r="M1325" i="4" a="1"/>
  <c r="M1325" i="4" s="1"/>
  <c r="M1326" i="4" a="1"/>
  <c r="M1326" i="4" s="1"/>
  <c r="M1327" i="4" a="1"/>
  <c r="M1327" i="4" s="1"/>
  <c r="M1328" i="4" a="1"/>
  <c r="M1328" i="4" s="1"/>
  <c r="M1329" i="4" a="1"/>
  <c r="M1329" i="4" s="1"/>
  <c r="M1330" i="4" a="1"/>
  <c r="M1330" i="4" s="1"/>
  <c r="M1331" i="4" a="1"/>
  <c r="M1331" i="4" s="1"/>
  <c r="M1332" i="4" a="1"/>
  <c r="M1332" i="4" s="1"/>
  <c r="M1333" i="4" a="1"/>
  <c r="M1333" i="4" s="1"/>
  <c r="M1334" i="4" a="1"/>
  <c r="M1334" i="4" s="1"/>
  <c r="M1335" i="4" a="1"/>
  <c r="M1335" i="4" s="1"/>
  <c r="M1336" i="4" a="1"/>
  <c r="M1336" i="4" s="1"/>
  <c r="M1337" i="4" a="1"/>
  <c r="M1337" i="4" s="1"/>
  <c r="M1338" i="4" a="1"/>
  <c r="M1338" i="4" s="1"/>
  <c r="M1339" i="4" a="1"/>
  <c r="M1339" i="4" s="1"/>
  <c r="M1340" i="4" a="1"/>
  <c r="M1340" i="4" s="1"/>
  <c r="M1341" i="4" a="1"/>
  <c r="M1341" i="4" s="1"/>
  <c r="M1342" i="4" a="1"/>
  <c r="M1342" i="4" s="1"/>
  <c r="M1343" i="4" a="1"/>
  <c r="M1343" i="4" s="1"/>
  <c r="M1344" i="4" a="1"/>
  <c r="M1344" i="4" s="1"/>
  <c r="M1345" i="4" a="1"/>
  <c r="M1345" i="4" s="1"/>
  <c r="M1346" i="4" a="1"/>
  <c r="M1346" i="4" s="1"/>
  <c r="M1347" i="4" a="1"/>
  <c r="M1347" i="4" s="1"/>
  <c r="M1348" i="4" a="1"/>
  <c r="M1348" i="4" s="1"/>
  <c r="M1349" i="4" a="1"/>
  <c r="M1349" i="4" s="1"/>
  <c r="M1350" i="4" a="1"/>
  <c r="M1350" i="4" s="1"/>
  <c r="M1351" i="4" a="1"/>
  <c r="M1351" i="4" s="1"/>
  <c r="M1352" i="4" a="1"/>
  <c r="M1352" i="4" s="1"/>
  <c r="M1353" i="4" a="1"/>
  <c r="M1353" i="4" s="1"/>
  <c r="M1354" i="4" a="1"/>
  <c r="M1354" i="4" s="1"/>
  <c r="M1355" i="4" a="1"/>
  <c r="M1355" i="4" s="1"/>
  <c r="M1356" i="4" a="1"/>
  <c r="M1356" i="4" s="1"/>
  <c r="M1357" i="4" a="1"/>
  <c r="M1357" i="4" s="1"/>
  <c r="M1358" i="4" a="1"/>
  <c r="M1358" i="4" s="1"/>
  <c r="M1359" i="4" a="1"/>
  <c r="M1359" i="4" s="1"/>
  <c r="M1360" i="4" a="1"/>
  <c r="M1360" i="4" s="1"/>
  <c r="M1361" i="4" a="1"/>
  <c r="M1361" i="4" s="1"/>
  <c r="M1362" i="4" a="1"/>
  <c r="M1362" i="4" s="1"/>
  <c r="M1363" i="4" a="1"/>
  <c r="M1363" i="4" s="1"/>
  <c r="M1364" i="4" a="1"/>
  <c r="M1364" i="4" s="1"/>
  <c r="M1365" i="4" a="1"/>
  <c r="M1365" i="4" s="1"/>
  <c r="M1366" i="4" a="1"/>
  <c r="M1366" i="4" s="1"/>
  <c r="M1367" i="4" a="1"/>
  <c r="M1367" i="4" s="1"/>
  <c r="M1368" i="4" a="1"/>
  <c r="M1368" i="4" s="1"/>
  <c r="M1369" i="4" a="1"/>
  <c r="M1369" i="4" s="1"/>
  <c r="M1370" i="4" a="1"/>
  <c r="M1370" i="4" s="1"/>
  <c r="M1371" i="4" a="1"/>
  <c r="M1371" i="4" s="1"/>
  <c r="M1372" i="4" a="1"/>
  <c r="M1372" i="4" s="1"/>
  <c r="M1373" i="4" a="1"/>
  <c r="M1373" i="4" s="1"/>
  <c r="M1374" i="4" a="1"/>
  <c r="M1374" i="4" s="1"/>
  <c r="M1375" i="4" a="1"/>
  <c r="M1375" i="4" s="1"/>
  <c r="M1376" i="4" a="1"/>
  <c r="M1376" i="4" s="1"/>
  <c r="M1377" i="4" a="1"/>
  <c r="M1377" i="4" s="1"/>
  <c r="M1378" i="4" a="1"/>
  <c r="M1378" i="4" s="1"/>
  <c r="M1379" i="4" a="1"/>
  <c r="M1379" i="4" s="1"/>
  <c r="M1380" i="4" a="1"/>
  <c r="M1380" i="4" s="1"/>
  <c r="M1381" i="4" a="1"/>
  <c r="M1381" i="4" s="1"/>
  <c r="M1382" i="4" a="1"/>
  <c r="M1382" i="4" s="1"/>
  <c r="M1383" i="4" a="1"/>
  <c r="M1383" i="4" s="1"/>
  <c r="M1384" i="4" a="1"/>
  <c r="M1384" i="4" s="1"/>
  <c r="M1385" i="4" a="1"/>
  <c r="M1385" i="4" s="1"/>
  <c r="M1386" i="4" a="1"/>
  <c r="M1386" i="4" s="1"/>
  <c r="M1387" i="4" a="1"/>
  <c r="M1387" i="4" s="1"/>
  <c r="M1388" i="4" a="1"/>
  <c r="M1388" i="4" s="1"/>
  <c r="M1389" i="4" a="1"/>
  <c r="M1389" i="4" s="1"/>
  <c r="M1390" i="4" a="1"/>
  <c r="M1390" i="4" s="1"/>
  <c r="M1391" i="4" a="1"/>
  <c r="M1391" i="4" s="1"/>
  <c r="M1392" i="4" a="1"/>
  <c r="M1392" i="4" s="1"/>
  <c r="M1393" i="4" a="1"/>
  <c r="M1393" i="4" s="1"/>
  <c r="M1394" i="4" a="1"/>
  <c r="M1394" i="4" s="1"/>
  <c r="M1395" i="4" a="1"/>
  <c r="M1395" i="4" s="1"/>
  <c r="M1396" i="4" a="1"/>
  <c r="M1396" i="4" s="1"/>
  <c r="M1397" i="4" a="1"/>
  <c r="M1397" i="4" s="1"/>
  <c r="M1398" i="4" a="1"/>
  <c r="M1398" i="4" s="1"/>
  <c r="M1399" i="4" a="1"/>
  <c r="M1399" i="4" s="1"/>
  <c r="M1400" i="4" a="1"/>
  <c r="M1400" i="4" s="1"/>
  <c r="M1401" i="4" a="1"/>
  <c r="M1401" i="4" s="1"/>
  <c r="M1402" i="4" a="1"/>
  <c r="M1402" i="4" s="1"/>
  <c r="M1403" i="4" a="1"/>
  <c r="M1403" i="4" s="1"/>
  <c r="M1404" i="4" a="1"/>
  <c r="M1404" i="4" s="1"/>
  <c r="M1405" i="4" a="1"/>
  <c r="M1405" i="4" s="1"/>
  <c r="M1406" i="4" a="1"/>
  <c r="M1406" i="4" s="1"/>
  <c r="M1407" i="4" a="1"/>
  <c r="M1407" i="4" s="1"/>
  <c r="M1408" i="4" a="1"/>
  <c r="M1408" i="4" s="1"/>
  <c r="M1409" i="4" a="1"/>
  <c r="M1409" i="4" s="1"/>
  <c r="M1410" i="4" a="1"/>
  <c r="M1410" i="4" s="1"/>
  <c r="M1411" i="4" a="1"/>
  <c r="M1411" i="4" s="1"/>
  <c r="M1412" i="4" a="1"/>
  <c r="M1412" i="4" s="1"/>
  <c r="M1413" i="4" a="1"/>
  <c r="M1413" i="4" s="1"/>
  <c r="M1414" i="4" a="1"/>
  <c r="M1414" i="4" s="1"/>
  <c r="M1415" i="4" a="1"/>
  <c r="M1415" i="4" s="1"/>
  <c r="M1416" i="4" a="1"/>
  <c r="M1416" i="4" s="1"/>
  <c r="M1417" i="4" a="1"/>
  <c r="M1417" i="4" s="1"/>
  <c r="M1418" i="4" a="1"/>
  <c r="M1418" i="4" s="1"/>
  <c r="M1419" i="4" a="1"/>
  <c r="M1419" i="4" s="1"/>
  <c r="M1420" i="4" a="1"/>
  <c r="M1420" i="4" s="1"/>
  <c r="M1421" i="4" a="1"/>
  <c r="M1421" i="4" s="1"/>
  <c r="M1422" i="4" a="1"/>
  <c r="M1422" i="4" s="1"/>
  <c r="M1423" i="4" a="1"/>
  <c r="M1423" i="4" s="1"/>
  <c r="M1424" i="4" a="1"/>
  <c r="M1424" i="4" s="1"/>
  <c r="M1425" i="4" a="1"/>
  <c r="M1425" i="4" s="1"/>
  <c r="M1426" i="4" a="1"/>
  <c r="M1426" i="4" s="1"/>
  <c r="M1427" i="4" a="1"/>
  <c r="M1427" i="4" s="1"/>
  <c r="M1428" i="4" a="1"/>
  <c r="M1428" i="4" s="1"/>
  <c r="M1429" i="4" a="1"/>
  <c r="M1429" i="4" s="1"/>
  <c r="M1430" i="4" a="1"/>
  <c r="M1430" i="4" s="1"/>
  <c r="M1431" i="4" a="1"/>
  <c r="M1431" i="4" s="1"/>
  <c r="M1432" i="4" a="1"/>
  <c r="M1432" i="4" s="1"/>
  <c r="M1433" i="4" a="1"/>
  <c r="M1433" i="4" s="1"/>
  <c r="M1434" i="4" a="1"/>
  <c r="M1434" i="4" s="1"/>
  <c r="M1435" i="4" a="1"/>
  <c r="M1435" i="4" s="1"/>
  <c r="M1436" i="4" a="1"/>
  <c r="M1436" i="4" s="1"/>
  <c r="M1437" i="4" a="1"/>
  <c r="M1437" i="4" s="1"/>
  <c r="M1438" i="4" a="1"/>
  <c r="M1438" i="4" s="1"/>
  <c r="M1439" i="4" a="1"/>
  <c r="M1439" i="4" s="1"/>
  <c r="M1440" i="4" a="1"/>
  <c r="M1440" i="4" s="1"/>
  <c r="M1441" i="4" a="1"/>
  <c r="M1441" i="4" s="1"/>
  <c r="M1442" i="4" a="1"/>
  <c r="M1442" i="4" s="1"/>
  <c r="M1443" i="4" a="1"/>
  <c r="M1443" i="4" s="1"/>
  <c r="M1444" i="4" a="1"/>
  <c r="M1444" i="4" s="1"/>
  <c r="M1445" i="4" a="1"/>
  <c r="M1445" i="4" s="1"/>
  <c r="M1446" i="4" a="1"/>
  <c r="M1446" i="4" s="1"/>
  <c r="M1447" i="4" a="1"/>
  <c r="M1447" i="4" s="1"/>
  <c r="M1448" i="4" a="1"/>
  <c r="M1448" i="4" s="1"/>
  <c r="M1449" i="4" a="1"/>
  <c r="M1449" i="4" s="1"/>
  <c r="M1450" i="4" a="1"/>
  <c r="M1450" i="4" s="1"/>
  <c r="M1451" i="4" a="1"/>
  <c r="M1451" i="4" s="1"/>
  <c r="M1452" i="4" a="1"/>
  <c r="M1452" i="4" s="1"/>
  <c r="M1453" i="4" a="1"/>
  <c r="M1453" i="4" s="1"/>
  <c r="M1454" i="4" a="1"/>
  <c r="M1454" i="4" s="1"/>
  <c r="M1455" i="4" a="1"/>
  <c r="M1455" i="4" s="1"/>
  <c r="M1456" i="4" a="1"/>
  <c r="M1456" i="4" s="1"/>
  <c r="M1457" i="4" a="1"/>
  <c r="M1457" i="4" s="1"/>
  <c r="M1458" i="4" a="1"/>
  <c r="M1458" i="4" s="1"/>
  <c r="M1459" i="4" a="1"/>
  <c r="M1459" i="4" s="1"/>
  <c r="M1460" i="4" a="1"/>
  <c r="M1460" i="4" s="1"/>
  <c r="M1461" i="4" a="1"/>
  <c r="M1461" i="4" s="1"/>
  <c r="M1462" i="4" a="1"/>
  <c r="M1462" i="4" s="1"/>
  <c r="M1463" i="4" a="1"/>
  <c r="M1463" i="4" s="1"/>
  <c r="M1464" i="4" a="1"/>
  <c r="M1464" i="4" s="1"/>
  <c r="M1465" i="4" a="1"/>
  <c r="M1465" i="4" s="1"/>
  <c r="M1466" i="4" a="1"/>
  <c r="M1466" i="4" s="1"/>
  <c r="M1467" i="4" a="1"/>
  <c r="M1467" i="4" s="1"/>
  <c r="M1468" i="4" a="1"/>
  <c r="M1468" i="4" s="1"/>
  <c r="M1469" i="4" a="1"/>
  <c r="M1469" i="4" s="1"/>
  <c r="M1470" i="4" a="1"/>
  <c r="M1470" i="4" s="1"/>
  <c r="M1471" i="4" a="1"/>
  <c r="M1471" i="4" s="1"/>
  <c r="M1472" i="4" a="1"/>
  <c r="M1472" i="4" s="1"/>
  <c r="M1473" i="4" a="1"/>
  <c r="M1473" i="4" s="1"/>
  <c r="M1474" i="4" a="1"/>
  <c r="M1474" i="4" s="1"/>
  <c r="M1475" i="4" a="1"/>
  <c r="M1475" i="4" s="1"/>
  <c r="M1476" i="4" a="1"/>
  <c r="M1476" i="4" s="1"/>
  <c r="M1477" i="4" a="1"/>
  <c r="M1477" i="4" s="1"/>
  <c r="M1478" i="4" a="1"/>
  <c r="M1478" i="4" s="1"/>
  <c r="M1479" i="4" a="1"/>
  <c r="M1479" i="4" s="1"/>
  <c r="M1480" i="4" a="1"/>
  <c r="M1480" i="4" s="1"/>
  <c r="M1481" i="4" a="1"/>
  <c r="M1481" i="4" s="1"/>
  <c r="M1482" i="4" a="1"/>
  <c r="M1482" i="4" s="1"/>
  <c r="M1483" i="4" a="1"/>
  <c r="M1483" i="4" s="1"/>
  <c r="M1484" i="4" a="1"/>
  <c r="M1484" i="4" s="1"/>
  <c r="M1485" i="4" a="1"/>
  <c r="M1485" i="4" s="1"/>
  <c r="M1486" i="4" a="1"/>
  <c r="M1486" i="4" s="1"/>
  <c r="M1487" i="4" a="1"/>
  <c r="M1487" i="4" s="1"/>
  <c r="M1488" i="4" a="1"/>
  <c r="M1488" i="4" s="1"/>
  <c r="M1489" i="4" a="1"/>
  <c r="M1489" i="4" s="1"/>
  <c r="M1490" i="4" a="1"/>
  <c r="M1490" i="4" s="1"/>
  <c r="M1491" i="4" a="1"/>
  <c r="M1491" i="4" s="1"/>
  <c r="M1492" i="4" a="1"/>
  <c r="M1492" i="4" s="1"/>
  <c r="M1493" i="4" a="1"/>
  <c r="M1493" i="4" s="1"/>
  <c r="M1494" i="4" a="1"/>
  <c r="M1494" i="4" s="1"/>
  <c r="M1495" i="4" a="1"/>
  <c r="M1495" i="4" s="1"/>
  <c r="M1496" i="4" a="1"/>
  <c r="M1496" i="4" s="1"/>
  <c r="M1497" i="4" a="1"/>
  <c r="M1497" i="4" s="1"/>
  <c r="M1498" i="4" a="1"/>
  <c r="M1498" i="4" s="1"/>
  <c r="M1499" i="4" a="1"/>
  <c r="M1499" i="4" s="1"/>
  <c r="M1500" i="4" a="1"/>
  <c r="M1500" i="4" s="1"/>
  <c r="M1501" i="4" a="1"/>
  <c r="M1501" i="4" s="1"/>
  <c r="M1502" i="4" a="1"/>
  <c r="M1502" i="4" s="1"/>
  <c r="M1503" i="4" a="1"/>
  <c r="M1503" i="4" s="1"/>
  <c r="M1504" i="4" a="1"/>
  <c r="M1504" i="4" s="1"/>
  <c r="M1505" i="4" a="1"/>
  <c r="M1505" i="4" s="1"/>
  <c r="M1506" i="4" a="1"/>
  <c r="M1506" i="4" s="1"/>
  <c r="M1507" i="4" a="1"/>
  <c r="M1507" i="4" s="1"/>
  <c r="M1508" i="4" a="1"/>
  <c r="M1508" i="4" s="1"/>
  <c r="M1509" i="4" a="1"/>
  <c r="M1509" i="4" s="1"/>
  <c r="M1510" i="4" a="1"/>
  <c r="M1510" i="4" s="1"/>
  <c r="M1511" i="4" a="1"/>
  <c r="M1511" i="4" s="1"/>
  <c r="M1512" i="4" a="1"/>
  <c r="M1512" i="4" s="1"/>
  <c r="M1513" i="4" a="1"/>
  <c r="M1513" i="4" s="1"/>
  <c r="M1514" i="4" a="1"/>
  <c r="M1514" i="4" s="1"/>
  <c r="M1515" i="4" a="1"/>
  <c r="M1515" i="4" s="1"/>
  <c r="M1516" i="4" a="1"/>
  <c r="M1516" i="4" s="1"/>
  <c r="M1517" i="4" a="1"/>
  <c r="M1517" i="4" s="1"/>
  <c r="M1518" i="4" a="1"/>
  <c r="M1518" i="4" s="1"/>
  <c r="M1519" i="4" a="1"/>
  <c r="M1519" i="4" s="1"/>
  <c r="M1520" i="4" a="1"/>
  <c r="M1520" i="4" s="1"/>
  <c r="M1521" i="4" a="1"/>
  <c r="M1521" i="4" s="1"/>
  <c r="M1522" i="4" a="1"/>
  <c r="M1522" i="4" s="1"/>
  <c r="M1523" i="4" a="1"/>
  <c r="M1523" i="4" s="1"/>
  <c r="M1524" i="4" a="1"/>
  <c r="M1524" i="4" s="1"/>
  <c r="M1525" i="4" a="1"/>
  <c r="M1525" i="4" s="1"/>
  <c r="M1526" i="4" a="1"/>
  <c r="M1526" i="4" s="1"/>
  <c r="M1527" i="4" a="1"/>
  <c r="M1527" i="4" s="1"/>
  <c r="M1528" i="4" a="1"/>
  <c r="M1528" i="4" s="1"/>
  <c r="M1529" i="4" a="1"/>
  <c r="M1529" i="4" s="1"/>
  <c r="M1530" i="4" a="1"/>
  <c r="M1530" i="4" s="1"/>
  <c r="M1531" i="4" a="1"/>
  <c r="M1531" i="4" s="1"/>
  <c r="M1532" i="4" a="1"/>
  <c r="M1532" i="4" s="1"/>
  <c r="M1533" i="4" a="1"/>
  <c r="M1533" i="4" s="1"/>
  <c r="M1534" i="4" a="1"/>
  <c r="M1534" i="4" s="1"/>
  <c r="M1535" i="4" a="1"/>
  <c r="M1535" i="4" s="1"/>
  <c r="M1536" i="4" a="1"/>
  <c r="M1536" i="4" s="1"/>
  <c r="M1537" i="4" a="1"/>
  <c r="M1537" i="4" s="1"/>
  <c r="M1538" i="4" a="1"/>
  <c r="M1538" i="4" s="1"/>
  <c r="M1539" i="4" a="1"/>
  <c r="M1539" i="4" s="1"/>
  <c r="M1540" i="4" a="1"/>
  <c r="M1540" i="4" s="1"/>
  <c r="M1541" i="4" a="1"/>
  <c r="M1541" i="4" s="1"/>
  <c r="M1542" i="4" a="1"/>
  <c r="M1542" i="4" s="1"/>
  <c r="M1543" i="4" a="1"/>
  <c r="M1543" i="4" s="1"/>
  <c r="M1544" i="4" a="1"/>
  <c r="M1544" i="4" s="1"/>
  <c r="M1545" i="4" a="1"/>
  <c r="M1545" i="4" s="1"/>
  <c r="M1546" i="4" a="1"/>
  <c r="M1546" i="4" s="1"/>
  <c r="M1547" i="4" a="1"/>
  <c r="M1547" i="4" s="1"/>
  <c r="M1548" i="4" a="1"/>
  <c r="M1548" i="4" s="1"/>
  <c r="M1549" i="4" a="1"/>
  <c r="M1549" i="4" s="1"/>
  <c r="M1550" i="4" a="1"/>
  <c r="M1550" i="4" s="1"/>
  <c r="M1551" i="4" a="1"/>
  <c r="M1551" i="4" s="1"/>
  <c r="M1552" i="4" a="1"/>
  <c r="M1552" i="4" s="1"/>
  <c r="M1553" i="4" a="1"/>
  <c r="M1553" i="4" s="1"/>
  <c r="M1554" i="4" a="1"/>
  <c r="M1554" i="4" s="1"/>
  <c r="M1555" i="4" a="1"/>
  <c r="M1555" i="4" s="1"/>
  <c r="M1556" i="4" a="1"/>
  <c r="M1556" i="4" s="1"/>
  <c r="M1557" i="4" a="1"/>
  <c r="M1557" i="4" s="1"/>
  <c r="M1558" i="4" a="1"/>
  <c r="M1558" i="4" s="1"/>
  <c r="M1559" i="4" a="1"/>
  <c r="M1559" i="4" s="1"/>
  <c r="M1560" i="4" a="1"/>
  <c r="M1560" i="4" s="1"/>
  <c r="M1561" i="4" a="1"/>
  <c r="M1561" i="4" s="1"/>
  <c r="M1562" i="4" a="1"/>
  <c r="M1562" i="4" s="1"/>
  <c r="M1563" i="4" a="1"/>
  <c r="M1563" i="4" s="1"/>
  <c r="M1564" i="4" a="1"/>
  <c r="M1564" i="4" s="1"/>
  <c r="M1565" i="4" a="1"/>
  <c r="M1565" i="4" s="1"/>
  <c r="M1566" i="4" a="1"/>
  <c r="M1566" i="4" s="1"/>
  <c r="M1567" i="4" a="1"/>
  <c r="M1567" i="4" s="1"/>
  <c r="M1568" i="4" a="1"/>
  <c r="M1568" i="4" s="1"/>
  <c r="M1569" i="4" a="1"/>
  <c r="M1569" i="4" s="1"/>
  <c r="M1570" i="4" a="1"/>
  <c r="M1570" i="4" s="1"/>
  <c r="M1571" i="4" a="1"/>
  <c r="M1571" i="4" s="1"/>
  <c r="M1572" i="4" a="1"/>
  <c r="M1572" i="4" s="1"/>
  <c r="M1573" i="4" a="1"/>
  <c r="M1573" i="4" s="1"/>
  <c r="M1574" i="4" a="1"/>
  <c r="M1574" i="4" s="1"/>
  <c r="M1575" i="4" a="1"/>
  <c r="M1575" i="4" s="1"/>
  <c r="M1576" i="4" a="1"/>
  <c r="M1576" i="4" s="1"/>
  <c r="M1577" i="4" a="1"/>
  <c r="M1577" i="4" s="1"/>
  <c r="M1578" i="4" a="1"/>
  <c r="M1578" i="4" s="1"/>
  <c r="M1579" i="4" a="1"/>
  <c r="M1579" i="4" s="1"/>
  <c r="M1580" i="4" a="1"/>
  <c r="M1580" i="4" s="1"/>
  <c r="M1581" i="4" a="1"/>
  <c r="M1581" i="4" s="1"/>
  <c r="M1582" i="4" a="1"/>
  <c r="M1582" i="4" s="1"/>
  <c r="M1583" i="4" a="1"/>
  <c r="M1583" i="4" s="1"/>
  <c r="M1584" i="4" a="1"/>
  <c r="M1584" i="4" s="1"/>
  <c r="M1585" i="4" a="1"/>
  <c r="M1585" i="4" s="1"/>
  <c r="M1586" i="4" a="1"/>
  <c r="M1586" i="4" s="1"/>
  <c r="M1587" i="4" a="1"/>
  <c r="M1587" i="4" s="1"/>
  <c r="M1588" i="4" a="1"/>
  <c r="M1588" i="4" s="1"/>
  <c r="M1589" i="4" a="1"/>
  <c r="M1589" i="4" s="1"/>
  <c r="M1590" i="4" a="1"/>
  <c r="M1590" i="4" s="1"/>
  <c r="M1591" i="4" a="1"/>
  <c r="M1591" i="4" s="1"/>
  <c r="M1592" i="4" a="1"/>
  <c r="M1592" i="4" s="1"/>
  <c r="M1593" i="4" a="1"/>
  <c r="M1593" i="4" s="1"/>
  <c r="M1594" i="4" a="1"/>
  <c r="M1594" i="4" s="1"/>
  <c r="M1595" i="4" a="1"/>
  <c r="M1595" i="4" s="1"/>
  <c r="M1596" i="4" a="1"/>
  <c r="M1596" i="4" s="1"/>
  <c r="M1597" i="4" a="1"/>
  <c r="M1597" i="4" s="1"/>
  <c r="M1598" i="4" a="1"/>
  <c r="M1598" i="4" s="1"/>
  <c r="M1599" i="4" a="1"/>
  <c r="M1599" i="4" s="1"/>
  <c r="M1600" i="4" a="1"/>
  <c r="M1600" i="4" s="1"/>
  <c r="M1601" i="4" a="1"/>
  <c r="M1601" i="4" s="1"/>
  <c r="M1602" i="4" a="1"/>
  <c r="M1602" i="4" s="1"/>
  <c r="M1603" i="4" a="1"/>
  <c r="M1603" i="4" s="1"/>
  <c r="M1604" i="4" a="1"/>
  <c r="M1604" i="4" s="1"/>
  <c r="M1605" i="4" a="1"/>
  <c r="M1605" i="4" s="1"/>
  <c r="M1606" i="4" a="1"/>
  <c r="M1606" i="4" s="1"/>
  <c r="M1607" i="4" a="1"/>
  <c r="M1607" i="4" s="1"/>
  <c r="M1608" i="4" a="1"/>
  <c r="M1608" i="4" s="1"/>
  <c r="M1609" i="4" a="1"/>
  <c r="M1609" i="4" s="1"/>
  <c r="M1610" i="4" a="1"/>
  <c r="M1610" i="4" s="1"/>
  <c r="M1611" i="4" a="1"/>
  <c r="M1611" i="4" s="1"/>
  <c r="M1612" i="4" a="1"/>
  <c r="M1612" i="4" s="1"/>
  <c r="M1613" i="4" a="1"/>
  <c r="M1613" i="4" s="1"/>
  <c r="M1614" i="4" a="1"/>
  <c r="M1614" i="4" s="1"/>
  <c r="M1615" i="4" a="1"/>
  <c r="M1615" i="4" s="1"/>
  <c r="M1616" i="4" a="1"/>
  <c r="M1616" i="4" s="1"/>
  <c r="M1617" i="4" a="1"/>
  <c r="M1617" i="4" s="1"/>
  <c r="M1618" i="4" a="1"/>
  <c r="M1618" i="4" s="1"/>
  <c r="M1619" i="4" a="1"/>
  <c r="M1619" i="4" s="1"/>
  <c r="M1620" i="4" a="1"/>
  <c r="M1620" i="4" s="1"/>
  <c r="M1621" i="4" a="1"/>
  <c r="M1621" i="4" s="1"/>
  <c r="M1622" i="4" a="1"/>
  <c r="M1622" i="4" s="1"/>
  <c r="M1623" i="4" a="1"/>
  <c r="M1623" i="4" s="1"/>
  <c r="M1624" i="4" a="1"/>
  <c r="M1624" i="4" s="1"/>
  <c r="M1625" i="4" a="1"/>
  <c r="M1625" i="4" s="1"/>
  <c r="M1626" i="4" a="1"/>
  <c r="M1626" i="4" s="1"/>
  <c r="M1627" i="4" a="1"/>
  <c r="M1627" i="4" s="1"/>
  <c r="M1628" i="4" a="1"/>
  <c r="M1628" i="4" s="1"/>
  <c r="M1629" i="4" a="1"/>
  <c r="M1629" i="4" s="1"/>
  <c r="M1630" i="4" a="1"/>
  <c r="M1630" i="4" s="1"/>
  <c r="M1631" i="4" a="1"/>
  <c r="M1631" i="4" s="1"/>
  <c r="M1632" i="4" a="1"/>
  <c r="M1632" i="4" s="1"/>
  <c r="M1633" i="4" a="1"/>
  <c r="M1633" i="4" s="1"/>
  <c r="M1634" i="4" a="1"/>
  <c r="M1634" i="4" s="1"/>
  <c r="M1635" i="4" a="1"/>
  <c r="M1635" i="4" s="1"/>
  <c r="M1636" i="4" a="1"/>
  <c r="M1636" i="4" s="1"/>
  <c r="M1637" i="4" a="1"/>
  <c r="M1637" i="4" s="1"/>
  <c r="M1638" i="4" a="1"/>
  <c r="M1638" i="4" s="1"/>
  <c r="M1639" i="4" a="1"/>
  <c r="M1639" i="4" s="1"/>
  <c r="M1640" i="4" a="1"/>
  <c r="M1640" i="4" s="1"/>
  <c r="M1641" i="4" a="1"/>
  <c r="M1641" i="4" s="1"/>
  <c r="M1642" i="4" a="1"/>
  <c r="M1642" i="4" s="1"/>
  <c r="M1643" i="4" a="1"/>
  <c r="M1643" i="4" s="1"/>
  <c r="M1644" i="4" a="1"/>
  <c r="M1644" i="4" s="1"/>
  <c r="M1645" i="4" a="1"/>
  <c r="M1645" i="4" s="1"/>
  <c r="M1646" i="4" a="1"/>
  <c r="M1646" i="4" s="1"/>
  <c r="M1647" i="4" a="1"/>
  <c r="M1647" i="4" s="1"/>
  <c r="M1648" i="4" a="1"/>
  <c r="M1648" i="4" s="1"/>
  <c r="M1649" i="4" a="1"/>
  <c r="M1649" i="4" s="1"/>
  <c r="M1650" i="4" a="1"/>
  <c r="M1650" i="4" s="1"/>
  <c r="M1651" i="4" a="1"/>
  <c r="M1651" i="4" s="1"/>
  <c r="M1652" i="4" a="1"/>
  <c r="M1652" i="4" s="1"/>
  <c r="M1653" i="4" a="1"/>
  <c r="M1653" i="4" s="1"/>
  <c r="M1654" i="4" a="1"/>
  <c r="M1654" i="4" s="1"/>
  <c r="M1655" i="4" a="1"/>
  <c r="M1655" i="4" s="1"/>
  <c r="M1656" i="4" a="1"/>
  <c r="M1656" i="4" s="1"/>
  <c r="M1657" i="4" a="1"/>
  <c r="M1657" i="4" s="1"/>
  <c r="M1658" i="4" a="1"/>
  <c r="M1658" i="4" s="1"/>
  <c r="M1659" i="4" a="1"/>
  <c r="M1659" i="4" s="1"/>
  <c r="M1660" i="4" a="1"/>
  <c r="M1660" i="4" s="1"/>
  <c r="M1661" i="4" a="1"/>
  <c r="M1661" i="4" s="1"/>
  <c r="M1662" i="4" a="1"/>
  <c r="M1662" i="4" s="1"/>
  <c r="M1663" i="4" a="1"/>
  <c r="M1663" i="4" s="1"/>
  <c r="M1664" i="4" a="1"/>
  <c r="M1664" i="4" s="1"/>
  <c r="M1665" i="4" a="1"/>
  <c r="M1665" i="4" s="1"/>
  <c r="M1666" i="4" a="1"/>
  <c r="M1666" i="4" s="1"/>
  <c r="M1667" i="4" a="1"/>
  <c r="M1667" i="4" s="1"/>
  <c r="M1668" i="4" a="1"/>
  <c r="M1668" i="4" s="1"/>
  <c r="M1669" i="4" a="1"/>
  <c r="M1669" i="4" s="1"/>
  <c r="M1670" i="4" a="1"/>
  <c r="M1670" i="4" s="1"/>
  <c r="M1671" i="4" a="1"/>
  <c r="M1671" i="4" s="1"/>
  <c r="M1672" i="4" a="1"/>
  <c r="M1672" i="4" s="1"/>
  <c r="M1673" i="4" a="1"/>
  <c r="M1673" i="4" s="1"/>
  <c r="M1674" i="4" a="1"/>
  <c r="M1674" i="4" s="1"/>
  <c r="M1675" i="4" a="1"/>
  <c r="M1675" i="4" s="1"/>
  <c r="M1676" i="4" a="1"/>
  <c r="M1676" i="4" s="1"/>
  <c r="M1677" i="4" a="1"/>
  <c r="M1677" i="4" s="1"/>
  <c r="M1678" i="4" a="1"/>
  <c r="M1678" i="4" s="1"/>
  <c r="M1679" i="4" a="1"/>
  <c r="M1679" i="4" s="1"/>
  <c r="M1680" i="4" a="1"/>
  <c r="M1680" i="4" s="1"/>
  <c r="M1681" i="4" a="1"/>
  <c r="M1681" i="4" s="1"/>
  <c r="M1682" i="4" a="1"/>
  <c r="M1682" i="4" s="1"/>
  <c r="M1683" i="4" a="1"/>
  <c r="M1683" i="4" s="1"/>
  <c r="M1684" i="4" a="1"/>
  <c r="M1684" i="4" s="1"/>
  <c r="M1685" i="4" a="1"/>
  <c r="M1685" i="4" s="1"/>
  <c r="M1686" i="4" a="1"/>
  <c r="M1686" i="4" s="1"/>
  <c r="M1687" i="4" a="1"/>
  <c r="M1687" i="4" s="1"/>
  <c r="M1688" i="4" a="1"/>
  <c r="M1688" i="4" s="1"/>
  <c r="M1689" i="4" a="1"/>
  <c r="M1689" i="4" s="1"/>
  <c r="M1690" i="4" a="1"/>
  <c r="M1690" i="4" s="1"/>
  <c r="M1691" i="4" a="1"/>
  <c r="M1691" i="4" s="1"/>
  <c r="M1692" i="4" a="1"/>
  <c r="M1692" i="4" s="1"/>
  <c r="M1693" i="4" a="1"/>
  <c r="M1693" i="4" s="1"/>
  <c r="M1694" i="4" a="1"/>
  <c r="M1694" i="4" s="1"/>
  <c r="M1695" i="4" a="1"/>
  <c r="M1695" i="4" s="1"/>
  <c r="M1696" i="4" a="1"/>
  <c r="M1696" i="4" s="1"/>
  <c r="M1697" i="4" a="1"/>
  <c r="M1697" i="4" s="1"/>
  <c r="M1698" i="4" a="1"/>
  <c r="M1698" i="4" s="1"/>
  <c r="M1699" i="4" a="1"/>
  <c r="M1699" i="4" s="1"/>
  <c r="M1700" i="4" a="1"/>
  <c r="M1700" i="4" s="1"/>
  <c r="M1701" i="4" a="1"/>
  <c r="M1701" i="4" s="1"/>
  <c r="M1702" i="4" a="1"/>
  <c r="M1702" i="4" s="1"/>
  <c r="M1703" i="4" a="1"/>
  <c r="M1703" i="4" s="1"/>
  <c r="M1704" i="4" a="1"/>
  <c r="M1704" i="4" s="1"/>
  <c r="M1705" i="4" a="1"/>
  <c r="M1705" i="4" s="1"/>
  <c r="M1706" i="4" a="1"/>
  <c r="M1706" i="4" s="1"/>
  <c r="M1707" i="4" a="1"/>
  <c r="M1707" i="4" s="1"/>
  <c r="M1708" i="4" a="1"/>
  <c r="M1708" i="4" s="1"/>
  <c r="M1709" i="4" a="1"/>
  <c r="M1709" i="4" s="1"/>
  <c r="M1710" i="4" a="1"/>
  <c r="M1710" i="4" s="1"/>
  <c r="M1711" i="4" a="1"/>
  <c r="M1711" i="4" s="1"/>
  <c r="M1712" i="4" a="1"/>
  <c r="M1712" i="4" s="1"/>
  <c r="M1713" i="4" a="1"/>
  <c r="M1713" i="4" s="1"/>
  <c r="M1714" i="4" a="1"/>
  <c r="M1714" i="4" s="1"/>
  <c r="M1715" i="4" a="1"/>
  <c r="M1715" i="4" s="1"/>
  <c r="M1716" i="4" a="1"/>
  <c r="M1716" i="4" s="1"/>
  <c r="M1717" i="4" a="1"/>
  <c r="M1717" i="4" s="1"/>
  <c r="M1718" i="4" a="1"/>
  <c r="M1718" i="4" s="1"/>
  <c r="M1719" i="4" a="1"/>
  <c r="M1719" i="4" s="1"/>
  <c r="M1720" i="4" a="1"/>
  <c r="M1720" i="4" s="1"/>
  <c r="M1721" i="4" a="1"/>
  <c r="M1721" i="4" s="1"/>
  <c r="M1722" i="4" a="1"/>
  <c r="M1722" i="4" s="1"/>
  <c r="M1723" i="4" a="1"/>
  <c r="M1723" i="4" s="1"/>
  <c r="M1724" i="4" a="1"/>
  <c r="M1724" i="4" s="1"/>
  <c r="M1725" i="4" a="1"/>
  <c r="M1725" i="4" s="1"/>
  <c r="M1726" i="4" a="1"/>
  <c r="M1726" i="4" s="1"/>
  <c r="M1727" i="4" a="1"/>
  <c r="M1727" i="4" s="1"/>
  <c r="M1728" i="4" a="1"/>
  <c r="M1728" i="4" s="1"/>
  <c r="M1729" i="4" a="1"/>
  <c r="M1729" i="4" s="1"/>
  <c r="M1730" i="4" a="1"/>
  <c r="M1730" i="4" s="1"/>
  <c r="M1731" i="4" a="1"/>
  <c r="M1731" i="4" s="1"/>
  <c r="M1732" i="4" a="1"/>
  <c r="M1732" i="4" s="1"/>
  <c r="M1733" i="4" a="1"/>
  <c r="M1733" i="4" s="1"/>
  <c r="M1734" i="4" a="1"/>
  <c r="M1734" i="4" s="1"/>
  <c r="M1735" i="4" a="1"/>
  <c r="M1735" i="4" s="1"/>
  <c r="M1736" i="4" a="1"/>
  <c r="M1736" i="4" s="1"/>
  <c r="M1737" i="4" a="1"/>
  <c r="M1737" i="4" s="1"/>
  <c r="M1738" i="4" a="1"/>
  <c r="M1738" i="4" s="1"/>
  <c r="M1739" i="4" a="1"/>
  <c r="M1739" i="4" s="1"/>
  <c r="M1740" i="4" a="1"/>
  <c r="M1740" i="4" s="1"/>
  <c r="M1741" i="4" a="1"/>
  <c r="M1741" i="4" s="1"/>
  <c r="M1742" i="4" a="1"/>
  <c r="M1742" i="4" s="1"/>
  <c r="M1743" i="4" a="1"/>
  <c r="M1743" i="4" s="1"/>
  <c r="M1744" i="4" a="1"/>
  <c r="M1744" i="4" s="1"/>
  <c r="M1745" i="4" a="1"/>
  <c r="M1745" i="4" s="1"/>
  <c r="M1746" i="4" a="1"/>
  <c r="M1746" i="4" s="1"/>
  <c r="M1747" i="4" a="1"/>
  <c r="M1747" i="4" s="1"/>
  <c r="M1748" i="4" a="1"/>
  <c r="M1748" i="4" s="1"/>
  <c r="M1749" i="4" a="1"/>
  <c r="M1749" i="4" s="1"/>
  <c r="M1750" i="4" a="1"/>
  <c r="M1750" i="4" s="1"/>
  <c r="M1751" i="4" a="1"/>
  <c r="M1751" i="4" s="1"/>
  <c r="M1752" i="4" a="1"/>
  <c r="M1752" i="4" s="1"/>
  <c r="M1753" i="4" a="1"/>
  <c r="M1753" i="4" s="1"/>
  <c r="M1754" i="4" a="1"/>
  <c r="M1754" i="4" s="1"/>
  <c r="M1755" i="4" a="1"/>
  <c r="M1755" i="4" s="1"/>
  <c r="M1756" i="4" a="1"/>
  <c r="M1756" i="4" s="1"/>
  <c r="M1757" i="4" a="1"/>
  <c r="M1757" i="4" s="1"/>
  <c r="M1758" i="4" a="1"/>
  <c r="M1758" i="4" s="1"/>
  <c r="M1759" i="4" a="1"/>
  <c r="M1759" i="4" s="1"/>
  <c r="M1760" i="4" a="1"/>
  <c r="M1760" i="4" s="1"/>
  <c r="M1761" i="4" a="1"/>
  <c r="M1761" i="4" s="1"/>
  <c r="M1762" i="4" a="1"/>
  <c r="M1762" i="4" s="1"/>
  <c r="M1763" i="4" a="1"/>
  <c r="M1763" i="4" s="1"/>
  <c r="M1764" i="4" a="1"/>
  <c r="M1764" i="4" s="1"/>
  <c r="M1765" i="4" a="1"/>
  <c r="M1765" i="4" s="1"/>
  <c r="M1766" i="4" a="1"/>
  <c r="M1766" i="4" s="1"/>
  <c r="M1767" i="4" a="1"/>
  <c r="M1767" i="4" s="1"/>
  <c r="M1768" i="4" a="1"/>
  <c r="M1768" i="4" s="1"/>
  <c r="M1769" i="4" a="1"/>
  <c r="M1769" i="4" s="1"/>
  <c r="M1770" i="4" a="1"/>
  <c r="M1770" i="4" s="1"/>
  <c r="M1771" i="4" a="1"/>
  <c r="M1771" i="4" s="1"/>
  <c r="M1772" i="4" a="1"/>
  <c r="M1772" i="4" s="1"/>
  <c r="M1773" i="4" a="1"/>
  <c r="M1773" i="4" s="1"/>
  <c r="M1774" i="4" a="1"/>
  <c r="M1774" i="4" s="1"/>
  <c r="M1775" i="4" a="1"/>
  <c r="M1775" i="4" s="1"/>
  <c r="M1776" i="4" a="1"/>
  <c r="M1776" i="4" s="1"/>
  <c r="M1777" i="4" a="1"/>
  <c r="M1777" i="4" s="1"/>
  <c r="M1778" i="4" a="1"/>
  <c r="M1778" i="4" s="1"/>
  <c r="M1779" i="4" a="1"/>
  <c r="M1779" i="4" s="1"/>
  <c r="M1780" i="4" a="1"/>
  <c r="M1780" i="4" s="1"/>
  <c r="M1781" i="4" a="1"/>
  <c r="M1781" i="4" s="1"/>
  <c r="M1782" i="4" a="1"/>
  <c r="M1782" i="4" s="1"/>
  <c r="M1783" i="4" a="1"/>
  <c r="M1783" i="4" s="1"/>
  <c r="M1784" i="4" a="1"/>
  <c r="M1784" i="4" s="1"/>
  <c r="M1785" i="4" a="1"/>
  <c r="M1785" i="4" s="1"/>
  <c r="M1786" i="4" a="1"/>
  <c r="M1786" i="4" s="1"/>
  <c r="M1787" i="4" a="1"/>
  <c r="M1787" i="4" s="1"/>
  <c r="M1788" i="4" a="1"/>
  <c r="M1788" i="4" s="1"/>
  <c r="M1789" i="4" a="1"/>
  <c r="M1789" i="4" s="1"/>
  <c r="M1790" i="4" a="1"/>
  <c r="M1790" i="4" s="1"/>
  <c r="M1791" i="4" a="1"/>
  <c r="M1791" i="4" s="1"/>
  <c r="M1792" i="4" a="1"/>
  <c r="M1792" i="4" s="1"/>
  <c r="M1793" i="4" a="1"/>
  <c r="M1793" i="4" s="1"/>
  <c r="M1794" i="4" a="1"/>
  <c r="M1794" i="4" s="1"/>
  <c r="M1795" i="4" a="1"/>
  <c r="M1795" i="4" s="1"/>
  <c r="M1796" i="4" a="1"/>
  <c r="M1796" i="4" s="1"/>
  <c r="M1797" i="4" a="1"/>
  <c r="M1797" i="4" s="1"/>
  <c r="M1798" i="4" a="1"/>
  <c r="M1798" i="4" s="1"/>
  <c r="M1799" i="4" a="1"/>
  <c r="M1799" i="4" s="1"/>
  <c r="M1800" i="4" a="1"/>
  <c r="M1800" i="4" s="1"/>
  <c r="M1801" i="4" a="1"/>
  <c r="M1801" i="4" s="1"/>
  <c r="M1802" i="4" a="1"/>
  <c r="M1802" i="4" s="1"/>
  <c r="M1803" i="4" a="1"/>
  <c r="M1803" i="4" s="1"/>
  <c r="M1804" i="4" a="1"/>
  <c r="M1804" i="4" s="1"/>
  <c r="M1805" i="4" a="1"/>
  <c r="M1805" i="4" s="1"/>
  <c r="M1806" i="4" a="1"/>
  <c r="M1806" i="4" s="1"/>
  <c r="M1807" i="4" a="1"/>
  <c r="M1807" i="4" s="1"/>
  <c r="M1808" i="4" a="1"/>
  <c r="M1808" i="4" s="1"/>
  <c r="M1809" i="4" a="1"/>
  <c r="M1809" i="4" s="1"/>
  <c r="M1810" i="4" a="1"/>
  <c r="M1810" i="4" s="1"/>
  <c r="M1811" i="4" a="1"/>
  <c r="M1811" i="4" s="1"/>
  <c r="M1812" i="4" a="1"/>
  <c r="M1812" i="4" s="1"/>
  <c r="M1813" i="4" a="1"/>
  <c r="M1813" i="4" s="1"/>
  <c r="M1814" i="4" a="1"/>
  <c r="M1814" i="4" s="1"/>
  <c r="M1815" i="4" a="1"/>
  <c r="M1815" i="4" s="1"/>
  <c r="M1816" i="4" a="1"/>
  <c r="M1816" i="4" s="1"/>
  <c r="M1817" i="4" a="1"/>
  <c r="M1817" i="4" s="1"/>
  <c r="M1818" i="4" a="1"/>
  <c r="M1818" i="4" s="1"/>
  <c r="M1819" i="4" a="1"/>
  <c r="M1819" i="4" s="1"/>
  <c r="M1820" i="4" a="1"/>
  <c r="M1820" i="4" s="1"/>
  <c r="M1821" i="4" a="1"/>
  <c r="M1821" i="4" s="1"/>
  <c r="M1822" i="4" a="1"/>
  <c r="M1822" i="4" s="1"/>
  <c r="M1823" i="4" a="1"/>
  <c r="M1823" i="4" s="1"/>
  <c r="M1824" i="4" a="1"/>
  <c r="M1824" i="4" s="1"/>
  <c r="M1825" i="4" a="1"/>
  <c r="M1825" i="4" s="1"/>
  <c r="M1826" i="4" a="1"/>
  <c r="M1826" i="4" s="1"/>
  <c r="M1827" i="4" a="1"/>
  <c r="M1827" i="4" s="1"/>
  <c r="M1828" i="4" a="1"/>
  <c r="M1828" i="4" s="1"/>
  <c r="M1829" i="4" a="1"/>
  <c r="M1829" i="4" s="1"/>
  <c r="M1830" i="4" a="1"/>
  <c r="M1830" i="4" s="1"/>
  <c r="M1831" i="4" a="1"/>
  <c r="M1831" i="4" s="1"/>
  <c r="M1832" i="4" a="1"/>
  <c r="M1832" i="4" s="1"/>
  <c r="M1833" i="4" a="1"/>
  <c r="M1833" i="4" s="1"/>
  <c r="M1834" i="4" a="1"/>
  <c r="M1834" i="4" s="1"/>
  <c r="M1835" i="4" a="1"/>
  <c r="M1835" i="4" s="1"/>
  <c r="M1836" i="4" a="1"/>
  <c r="M1836" i="4" s="1"/>
  <c r="M1837" i="4" a="1"/>
  <c r="M1837" i="4" s="1"/>
  <c r="M1838" i="4" a="1"/>
  <c r="M1838" i="4" s="1"/>
  <c r="M1839" i="4" a="1"/>
  <c r="M1839" i="4" s="1"/>
  <c r="M1840" i="4" a="1"/>
  <c r="M1840" i="4" s="1"/>
  <c r="M1841" i="4" a="1"/>
  <c r="M1841" i="4" s="1"/>
  <c r="M1842" i="4" a="1"/>
  <c r="M1842" i="4" s="1"/>
  <c r="M1843" i="4" a="1"/>
  <c r="M1843" i="4" s="1"/>
  <c r="M1844" i="4" a="1"/>
  <c r="M1844" i="4" s="1"/>
  <c r="M1845" i="4" a="1"/>
  <c r="M1845" i="4" s="1"/>
  <c r="M1846" i="4" a="1"/>
  <c r="M1846" i="4" s="1"/>
  <c r="M1847" i="4" a="1"/>
  <c r="M1847" i="4" s="1"/>
  <c r="M1848" i="4" a="1"/>
  <c r="M1848" i="4" s="1"/>
  <c r="M1849" i="4" a="1"/>
  <c r="M1849" i="4" s="1"/>
  <c r="M1850" i="4" a="1"/>
  <c r="M1850" i="4" s="1"/>
  <c r="M1851" i="4" a="1"/>
  <c r="M1851" i="4" s="1"/>
  <c r="M1852" i="4" a="1"/>
  <c r="M1852" i="4" s="1"/>
  <c r="M1853" i="4" a="1"/>
  <c r="M1853" i="4" s="1"/>
  <c r="M1854" i="4" a="1"/>
  <c r="M1854" i="4" s="1"/>
  <c r="M1855" i="4" a="1"/>
  <c r="M1855" i="4" s="1"/>
  <c r="M1856" i="4" a="1"/>
  <c r="M1856" i="4" s="1"/>
  <c r="M1857" i="4" a="1"/>
  <c r="M1857" i="4" s="1"/>
  <c r="M1858" i="4" a="1"/>
  <c r="M1858" i="4" s="1"/>
  <c r="M1859" i="4" a="1"/>
  <c r="M1859" i="4" s="1"/>
  <c r="M1860" i="4" a="1"/>
  <c r="M1860" i="4" s="1"/>
  <c r="M1861" i="4" a="1"/>
  <c r="M1861" i="4" s="1"/>
  <c r="M1862" i="4" a="1"/>
  <c r="M1862" i="4" s="1"/>
  <c r="M1863" i="4" a="1"/>
  <c r="M1863" i="4" s="1"/>
  <c r="M1864" i="4" a="1"/>
  <c r="M1864" i="4" s="1"/>
  <c r="M1865" i="4" a="1"/>
  <c r="M1865" i="4" s="1"/>
  <c r="M1866" i="4" a="1"/>
  <c r="M1866" i="4" s="1"/>
  <c r="M1867" i="4" a="1"/>
  <c r="M1867" i="4" s="1"/>
  <c r="M1868" i="4" a="1"/>
  <c r="M1868" i="4" s="1"/>
  <c r="M1869" i="4" a="1"/>
  <c r="M1869" i="4" s="1"/>
  <c r="M1870" i="4" a="1"/>
  <c r="M1870" i="4" s="1"/>
  <c r="M1871" i="4" a="1"/>
  <c r="M1871" i="4" s="1"/>
  <c r="M1872" i="4" a="1"/>
  <c r="M1872" i="4" s="1"/>
  <c r="M1873" i="4" a="1"/>
  <c r="M1873" i="4" s="1"/>
  <c r="M1874" i="4" a="1"/>
  <c r="M1874" i="4" s="1"/>
  <c r="M1875" i="4" a="1"/>
  <c r="M1875" i="4" s="1"/>
  <c r="M1876" i="4" a="1"/>
  <c r="M1876" i="4" s="1"/>
  <c r="M1877" i="4" a="1"/>
  <c r="M1877" i="4" s="1"/>
  <c r="M1878" i="4" a="1"/>
  <c r="M1878" i="4" s="1"/>
  <c r="M1879" i="4" a="1"/>
  <c r="M1879" i="4" s="1"/>
  <c r="M1880" i="4" a="1"/>
  <c r="M1880" i="4" s="1"/>
  <c r="M1881" i="4" a="1"/>
  <c r="M1881" i="4" s="1"/>
  <c r="M1882" i="4" a="1"/>
  <c r="M1882" i="4" s="1"/>
  <c r="M1883" i="4" a="1"/>
  <c r="M1883" i="4" s="1"/>
  <c r="M1884" i="4" a="1"/>
  <c r="M1884" i="4" s="1"/>
  <c r="M1885" i="4" a="1"/>
  <c r="M1885" i="4" s="1"/>
  <c r="M1886" i="4" a="1"/>
  <c r="M1886" i="4" s="1"/>
  <c r="M1887" i="4" a="1"/>
  <c r="M1887" i="4" s="1"/>
  <c r="M1888" i="4" a="1"/>
  <c r="M1888" i="4" s="1"/>
  <c r="M1889" i="4" a="1"/>
  <c r="M1889" i="4" s="1"/>
  <c r="M1890" i="4" a="1"/>
  <c r="M1890" i="4" s="1"/>
  <c r="M1891" i="4" a="1"/>
  <c r="M1891" i="4" s="1"/>
  <c r="M1892" i="4" a="1"/>
  <c r="M1892" i="4" s="1"/>
  <c r="M1893" i="4" a="1"/>
  <c r="M1893" i="4" s="1"/>
  <c r="M1894" i="4" a="1"/>
  <c r="M1894" i="4" s="1"/>
  <c r="M1895" i="4" a="1"/>
  <c r="M1895" i="4" s="1"/>
  <c r="M1896" i="4" a="1"/>
  <c r="M1896" i="4" s="1"/>
  <c r="M1897" i="4" a="1"/>
  <c r="M1897" i="4" s="1"/>
  <c r="M1898" i="4" a="1"/>
  <c r="M1898" i="4" s="1"/>
  <c r="M1899" i="4" a="1"/>
  <c r="M1899" i="4" s="1"/>
  <c r="M1900" i="4" a="1"/>
  <c r="M1900" i="4" s="1"/>
  <c r="M1901" i="4" a="1"/>
  <c r="M1901" i="4" s="1"/>
  <c r="M1902" i="4" a="1"/>
  <c r="M1902" i="4" s="1"/>
  <c r="M1903" i="4" a="1"/>
  <c r="M1903" i="4" s="1"/>
  <c r="M1904" i="4" a="1"/>
  <c r="M1904" i="4" s="1"/>
  <c r="M1905" i="4" a="1"/>
  <c r="M1905" i="4" s="1"/>
  <c r="M1906" i="4" a="1"/>
  <c r="M1906" i="4" s="1"/>
  <c r="M1907" i="4" a="1"/>
  <c r="M1907" i="4" s="1"/>
  <c r="M1908" i="4" a="1"/>
  <c r="M1908" i="4" s="1"/>
  <c r="M1909" i="4" a="1"/>
  <c r="M1909" i="4" s="1"/>
  <c r="M1910" i="4" a="1"/>
  <c r="M1910" i="4" s="1"/>
  <c r="M1911" i="4" a="1"/>
  <c r="M1911" i="4" s="1"/>
  <c r="M1912" i="4" a="1"/>
  <c r="M1912" i="4" s="1"/>
  <c r="M1913" i="4" a="1"/>
  <c r="M1913" i="4" s="1"/>
  <c r="M1914" i="4" a="1"/>
  <c r="M1914" i="4" s="1"/>
  <c r="M1915" i="4" a="1"/>
  <c r="M1915" i="4" s="1"/>
  <c r="M1916" i="4" a="1"/>
  <c r="M1916" i="4" s="1"/>
  <c r="M1917" i="4" a="1"/>
  <c r="M1917" i="4" s="1"/>
  <c r="M1918" i="4" a="1"/>
  <c r="M1918" i="4" s="1"/>
  <c r="M1919" i="4" a="1"/>
  <c r="M1919" i="4" s="1"/>
  <c r="M1920" i="4" a="1"/>
  <c r="M1920" i="4" s="1"/>
  <c r="M1921" i="4" a="1"/>
  <c r="M1921" i="4" s="1"/>
  <c r="M1922" i="4" a="1"/>
  <c r="M1922" i="4" s="1"/>
  <c r="M1923" i="4" a="1"/>
  <c r="M1923" i="4" s="1"/>
  <c r="M1924" i="4" a="1"/>
  <c r="M1924" i="4" s="1"/>
  <c r="M1925" i="4" a="1"/>
  <c r="M1925" i="4" s="1"/>
  <c r="M1926" i="4" a="1"/>
  <c r="M1926" i="4" s="1"/>
  <c r="M1927" i="4" a="1"/>
  <c r="M1927" i="4" s="1"/>
  <c r="M1928" i="4" a="1"/>
  <c r="M1928" i="4" s="1"/>
  <c r="M1929" i="4" a="1"/>
  <c r="M1929" i="4" s="1"/>
  <c r="M1930" i="4" a="1"/>
  <c r="M1930" i="4" s="1"/>
  <c r="M1931" i="4" a="1"/>
  <c r="M1931" i="4" s="1"/>
  <c r="M1932" i="4" a="1"/>
  <c r="M1932" i="4" s="1"/>
  <c r="M1933" i="4" a="1"/>
  <c r="M1933" i="4" s="1"/>
  <c r="M1934" i="4" a="1"/>
  <c r="M1934" i="4" s="1"/>
  <c r="M1935" i="4" a="1"/>
  <c r="M1935" i="4" s="1"/>
  <c r="M1936" i="4" a="1"/>
  <c r="M1936" i="4" s="1"/>
  <c r="M1937" i="4" a="1"/>
  <c r="M1937" i="4" s="1"/>
  <c r="M1938" i="4" a="1"/>
  <c r="M1938" i="4" s="1"/>
  <c r="M1939" i="4" a="1"/>
  <c r="M1939" i="4" s="1"/>
  <c r="M1940" i="4" a="1"/>
  <c r="M1940" i="4" s="1"/>
  <c r="M1941" i="4" a="1"/>
  <c r="M1941" i="4" s="1"/>
  <c r="M1942" i="4" a="1"/>
  <c r="M1942" i="4" s="1"/>
  <c r="M1943" i="4" a="1"/>
  <c r="M1943" i="4" s="1"/>
  <c r="M1944" i="4" a="1"/>
  <c r="M1944" i="4" s="1"/>
  <c r="M1945" i="4" a="1"/>
  <c r="M1945" i="4" s="1"/>
  <c r="M1946" i="4" a="1"/>
  <c r="M1946" i="4" s="1"/>
  <c r="M1947" i="4" a="1"/>
  <c r="M1947" i="4" s="1"/>
  <c r="M1948" i="4" a="1"/>
  <c r="M1948" i="4" s="1"/>
  <c r="M1949" i="4" a="1"/>
  <c r="M1949" i="4" s="1"/>
  <c r="M1950" i="4" a="1"/>
  <c r="M1950" i="4" s="1"/>
  <c r="M1951" i="4" a="1"/>
  <c r="M1951" i="4" s="1"/>
  <c r="M1952" i="4" a="1"/>
  <c r="M1952" i="4" s="1"/>
  <c r="M1953" i="4" a="1"/>
  <c r="M1953" i="4" s="1"/>
  <c r="M1954" i="4" a="1"/>
  <c r="M1954" i="4" s="1"/>
  <c r="M1955" i="4" a="1"/>
  <c r="M1955" i="4" s="1"/>
  <c r="M1956" i="4" a="1"/>
  <c r="M1956" i="4" s="1"/>
  <c r="M1957" i="4" a="1"/>
  <c r="M1957" i="4" s="1"/>
  <c r="M1958" i="4" a="1"/>
  <c r="M1958" i="4" s="1"/>
  <c r="M1959" i="4" a="1"/>
  <c r="M1959" i="4" s="1"/>
  <c r="M1960" i="4" a="1"/>
  <c r="M1960" i="4" s="1"/>
  <c r="M1961" i="4" a="1"/>
  <c r="M1961" i="4" s="1"/>
  <c r="M1962" i="4" a="1"/>
  <c r="M1962" i="4" s="1"/>
  <c r="M1963" i="4" a="1"/>
  <c r="M1963" i="4" s="1"/>
  <c r="M1964" i="4" a="1"/>
  <c r="M1964" i="4" s="1"/>
  <c r="M1965" i="4" a="1"/>
  <c r="M1965" i="4" s="1"/>
  <c r="M1966" i="4" a="1"/>
  <c r="M1966" i="4" s="1"/>
  <c r="M1967" i="4" a="1"/>
  <c r="M1967" i="4" s="1"/>
  <c r="M1968" i="4" a="1"/>
  <c r="M1968" i="4" s="1"/>
  <c r="M1969" i="4" a="1"/>
  <c r="M1969" i="4" s="1"/>
  <c r="M1970" i="4" a="1"/>
  <c r="M1970" i="4" s="1"/>
  <c r="M1971" i="4" a="1"/>
  <c r="M1971" i="4" s="1"/>
  <c r="M1972" i="4" a="1"/>
  <c r="M1972" i="4" s="1"/>
  <c r="M1973" i="4" a="1"/>
  <c r="M1973" i="4" s="1"/>
  <c r="M1974" i="4" a="1"/>
  <c r="M1974" i="4" s="1"/>
  <c r="M1975" i="4" a="1"/>
  <c r="M1975" i="4" s="1"/>
  <c r="M1976" i="4" a="1"/>
  <c r="M1976" i="4" s="1"/>
  <c r="M1977" i="4" a="1"/>
  <c r="M1977" i="4" s="1"/>
  <c r="M1978" i="4" a="1"/>
  <c r="M1978" i="4" s="1"/>
  <c r="M1979" i="4" a="1"/>
  <c r="M1979" i="4" s="1"/>
  <c r="M1980" i="4" a="1"/>
  <c r="M1980" i="4" s="1"/>
  <c r="M1981" i="4" a="1"/>
  <c r="M1981" i="4" s="1"/>
  <c r="M1982" i="4" a="1"/>
  <c r="M1982" i="4" s="1"/>
  <c r="M1983" i="4" a="1"/>
  <c r="M1983" i="4" s="1"/>
  <c r="M1984" i="4" a="1"/>
  <c r="M1984" i="4" s="1"/>
  <c r="M1985" i="4" a="1"/>
  <c r="M1985" i="4" s="1"/>
  <c r="M1986" i="4" a="1"/>
  <c r="M1986" i="4" s="1"/>
  <c r="M1987" i="4" a="1"/>
  <c r="M1987" i="4" s="1"/>
  <c r="M1988" i="4" a="1"/>
  <c r="M1988" i="4" s="1"/>
  <c r="M1989" i="4" a="1"/>
  <c r="M1989" i="4" s="1"/>
  <c r="M1990" i="4" a="1"/>
  <c r="M1990" i="4" s="1"/>
  <c r="M1991" i="4" a="1"/>
  <c r="M1991" i="4" s="1"/>
  <c r="M1992" i="4" a="1"/>
  <c r="M1992" i="4" s="1"/>
  <c r="M1993" i="4" a="1"/>
  <c r="M1993" i="4" s="1"/>
  <c r="M1994" i="4" a="1"/>
  <c r="M1994" i="4" s="1"/>
  <c r="M1995" i="4" a="1"/>
  <c r="M1995" i="4" s="1"/>
  <c r="M1996" i="4" a="1"/>
  <c r="M1996" i="4" s="1"/>
  <c r="M1997" i="4" a="1"/>
  <c r="M1997" i="4" s="1"/>
  <c r="M1998" i="4" a="1"/>
  <c r="M1998" i="4" s="1"/>
  <c r="M1999" i="4" a="1"/>
  <c r="M1999" i="4" s="1"/>
  <c r="M2000" i="4" a="1"/>
  <c r="M2000" i="4" s="1"/>
  <c r="M2001" i="4" a="1"/>
  <c r="M2001" i="4" s="1"/>
  <c r="M2002" i="4" a="1"/>
  <c r="M2002" i="4" s="1"/>
  <c r="M2003" i="4" a="1"/>
  <c r="M2003" i="4" s="1"/>
  <c r="M2004" i="4" a="1"/>
  <c r="M2004" i="4" s="1"/>
  <c r="M2005" i="4" a="1"/>
  <c r="M2005" i="4" s="1"/>
  <c r="M2006" i="4" a="1"/>
  <c r="M2006" i="4" s="1"/>
  <c r="M2007" i="4" a="1"/>
  <c r="M2007" i="4" s="1"/>
  <c r="M2008" i="4" a="1"/>
  <c r="M2008" i="4" s="1"/>
  <c r="M2009" i="4" a="1"/>
  <c r="M2009" i="4" s="1"/>
  <c r="M2010" i="4" a="1"/>
  <c r="M2010" i="4" s="1"/>
  <c r="M2011" i="4" a="1"/>
  <c r="M2011" i="4" s="1"/>
  <c r="M2012" i="4" a="1"/>
  <c r="M2012" i="4" s="1"/>
  <c r="M2013" i="4" a="1"/>
  <c r="M2013" i="4" s="1"/>
  <c r="M2014" i="4" a="1"/>
  <c r="M2014" i="4" s="1"/>
  <c r="M2015" i="4" a="1"/>
  <c r="M2015" i="4" s="1"/>
  <c r="M2016" i="4" a="1"/>
  <c r="M2016" i="4" s="1"/>
  <c r="M2017" i="4" a="1"/>
  <c r="M2017" i="4" s="1"/>
  <c r="M2018" i="4" a="1"/>
  <c r="M2018" i="4" s="1"/>
  <c r="M2019" i="4" a="1"/>
  <c r="M2019" i="4" s="1"/>
  <c r="M2020" i="4" a="1"/>
  <c r="M2020" i="4" s="1"/>
  <c r="M2021" i="4" a="1"/>
  <c r="M2021" i="4" s="1"/>
  <c r="M2022" i="4" a="1"/>
  <c r="M2022" i="4" s="1"/>
  <c r="M2023" i="4" a="1"/>
  <c r="M2023" i="4" s="1"/>
  <c r="M2024" i="4" a="1"/>
  <c r="M2024" i="4" s="1"/>
  <c r="M2025" i="4" a="1"/>
  <c r="M2025" i="4" s="1"/>
  <c r="M2026" i="4" a="1"/>
  <c r="M2026" i="4" s="1"/>
  <c r="M2027" i="4" a="1"/>
  <c r="M2027" i="4" s="1"/>
  <c r="M2028" i="4" a="1"/>
  <c r="M2028" i="4" s="1"/>
  <c r="M2029" i="4" a="1"/>
  <c r="M2029" i="4" s="1"/>
  <c r="M2030" i="4" a="1"/>
  <c r="M2030" i="4" s="1"/>
  <c r="M2031" i="4" a="1"/>
  <c r="M2031" i="4" s="1"/>
  <c r="M2032" i="4" a="1"/>
  <c r="M2032" i="4" s="1"/>
  <c r="M2033" i="4" a="1"/>
  <c r="M2033" i="4" s="1"/>
  <c r="M2034" i="4" a="1"/>
  <c r="M2034" i="4" s="1"/>
  <c r="M2035" i="4" a="1"/>
  <c r="M2035" i="4" s="1"/>
  <c r="M2036" i="4" a="1"/>
  <c r="M2036" i="4" s="1"/>
  <c r="M2037" i="4" a="1"/>
  <c r="M2037" i="4" s="1"/>
  <c r="M2038" i="4" a="1"/>
  <c r="M2038" i="4" s="1"/>
  <c r="M2039" i="4" a="1"/>
  <c r="M2039" i="4" s="1"/>
  <c r="M2040" i="4" a="1"/>
  <c r="M2040" i="4" s="1"/>
  <c r="M2041" i="4" a="1"/>
  <c r="M2041" i="4" s="1"/>
  <c r="M2042" i="4" a="1"/>
  <c r="M2042" i="4" s="1"/>
  <c r="M2043" i="4" a="1"/>
  <c r="M2043" i="4" s="1"/>
  <c r="M2044" i="4" a="1"/>
  <c r="M2044" i="4" s="1"/>
  <c r="M2045" i="4" a="1"/>
  <c r="M2045" i="4" s="1"/>
  <c r="M2046" i="4" a="1"/>
  <c r="M2046" i="4" s="1"/>
  <c r="M2047" i="4" a="1"/>
  <c r="M2047" i="4" s="1"/>
  <c r="M2048" i="4" a="1"/>
  <c r="M2048" i="4" s="1"/>
  <c r="M2049" i="4" a="1"/>
  <c r="M2049" i="4" s="1"/>
  <c r="M2050" i="4" a="1"/>
  <c r="M2050" i="4" s="1"/>
  <c r="M2051" i="4" a="1"/>
  <c r="M2051" i="4" s="1"/>
  <c r="M2052" i="4" a="1"/>
  <c r="M2052" i="4" s="1"/>
  <c r="M2053" i="4" a="1"/>
  <c r="M2053" i="4" s="1"/>
  <c r="M2054" i="4" a="1"/>
  <c r="M2054" i="4" s="1"/>
  <c r="M2055" i="4" a="1"/>
  <c r="M2055" i="4" s="1"/>
  <c r="M2056" i="4" a="1"/>
  <c r="M2056" i="4" s="1"/>
  <c r="M2057" i="4" a="1"/>
  <c r="M2057" i="4" s="1"/>
  <c r="M2058" i="4" a="1"/>
  <c r="M2058" i="4" s="1"/>
  <c r="M2059" i="4" a="1"/>
  <c r="M2059" i="4" s="1"/>
  <c r="M2060" i="4" a="1"/>
  <c r="M2060" i="4" s="1"/>
  <c r="M2061" i="4" a="1"/>
  <c r="M2061" i="4" s="1"/>
  <c r="M2062" i="4" a="1"/>
  <c r="M2062" i="4" s="1"/>
  <c r="M2063" i="4" a="1"/>
  <c r="M2063" i="4" s="1"/>
  <c r="M2064" i="4" a="1"/>
  <c r="M2064" i="4" s="1"/>
  <c r="M2065" i="4" a="1"/>
  <c r="M2065" i="4" s="1"/>
  <c r="M2066" i="4" a="1"/>
  <c r="M2066" i="4" s="1"/>
  <c r="M2067" i="4" a="1"/>
  <c r="M2067" i="4" s="1"/>
  <c r="M2068" i="4" a="1"/>
  <c r="M2068" i="4" s="1"/>
  <c r="M2069" i="4" a="1"/>
  <c r="M2069" i="4" s="1"/>
  <c r="M2070" i="4" a="1"/>
  <c r="M2070" i="4" s="1"/>
  <c r="M2071" i="4" a="1"/>
  <c r="M2071" i="4" s="1"/>
  <c r="M2072" i="4" a="1"/>
  <c r="M2072" i="4" s="1"/>
  <c r="M2073" i="4" a="1"/>
  <c r="M2073" i="4" s="1"/>
  <c r="M2074" i="4" a="1"/>
  <c r="M2074" i="4" s="1"/>
  <c r="M2075" i="4" a="1"/>
  <c r="M2075" i="4" s="1"/>
  <c r="M2076" i="4" a="1"/>
  <c r="M2076" i="4" s="1"/>
  <c r="M2077" i="4" a="1"/>
  <c r="M2077" i="4" s="1"/>
  <c r="M2078" i="4" a="1"/>
  <c r="M2078" i="4" s="1"/>
  <c r="M2079" i="4" a="1"/>
  <c r="M2079" i="4" s="1"/>
  <c r="M2080" i="4" a="1"/>
  <c r="M2080" i="4" s="1"/>
  <c r="M2081" i="4" a="1"/>
  <c r="M2081" i="4" s="1"/>
  <c r="M2082" i="4" a="1"/>
  <c r="M2082" i="4" s="1"/>
  <c r="M2083" i="4" a="1"/>
  <c r="M2083" i="4" s="1"/>
  <c r="M2084" i="4" a="1"/>
  <c r="M2084" i="4" s="1"/>
  <c r="M2085" i="4" a="1"/>
  <c r="M2085" i="4" s="1"/>
  <c r="M2086" i="4" a="1"/>
  <c r="M2086" i="4" s="1"/>
  <c r="M2087" i="4" a="1"/>
  <c r="M2087" i="4" s="1"/>
  <c r="M2088" i="4" a="1"/>
  <c r="M2088" i="4" s="1"/>
  <c r="M2089" i="4" a="1"/>
  <c r="M2089" i="4" s="1"/>
  <c r="M2090" i="4" a="1"/>
  <c r="M2090" i="4" s="1"/>
  <c r="M2091" i="4" a="1"/>
  <c r="M2091" i="4" s="1"/>
  <c r="M2092" i="4" a="1"/>
  <c r="M2092" i="4" s="1"/>
  <c r="M2093" i="4" a="1"/>
  <c r="M2093" i="4" s="1"/>
  <c r="M2094" i="4" a="1"/>
  <c r="M2094" i="4" s="1"/>
  <c r="M2095" i="4" a="1"/>
  <c r="M2095" i="4" s="1"/>
  <c r="M2096" i="4" a="1"/>
  <c r="M2096" i="4" s="1"/>
  <c r="M2097" i="4" a="1"/>
  <c r="M2097" i="4" s="1"/>
  <c r="M2098" i="4" a="1"/>
  <c r="M2098" i="4" s="1"/>
  <c r="M2099" i="4" a="1"/>
  <c r="M2099" i="4" s="1"/>
  <c r="M2100" i="4" a="1"/>
  <c r="M2100" i="4" s="1"/>
  <c r="M2101" i="4" a="1"/>
  <c r="M2101" i="4" s="1"/>
  <c r="M2102" i="4" a="1"/>
  <c r="M2102" i="4" s="1"/>
  <c r="M2103" i="4" a="1"/>
  <c r="M2103" i="4" s="1"/>
  <c r="M2104" i="4" a="1"/>
  <c r="M2104" i="4" s="1"/>
  <c r="M2105" i="4" a="1"/>
  <c r="M2105" i="4" s="1"/>
  <c r="M2106" i="4" a="1"/>
  <c r="M2106" i="4" s="1"/>
  <c r="M2107" i="4" a="1"/>
  <c r="M2107" i="4" s="1"/>
  <c r="M2108" i="4" a="1"/>
  <c r="M2108" i="4" s="1"/>
  <c r="M2109" i="4" a="1"/>
  <c r="M2109" i="4" s="1"/>
  <c r="M2110" i="4" a="1"/>
  <c r="M2110" i="4" s="1"/>
  <c r="M2111" i="4" a="1"/>
  <c r="M2111" i="4" s="1"/>
  <c r="M2112" i="4" a="1"/>
  <c r="M2112" i="4" s="1"/>
  <c r="M2113" i="4" a="1"/>
  <c r="M2113" i="4" s="1"/>
  <c r="M2114" i="4" a="1"/>
  <c r="M2114" i="4" s="1"/>
  <c r="M2115" i="4" a="1"/>
  <c r="M2115" i="4" s="1"/>
  <c r="M2116" i="4" a="1"/>
  <c r="M2116" i="4" s="1"/>
  <c r="M2117" i="4" a="1"/>
  <c r="M2117" i="4" s="1"/>
  <c r="M2118" i="4" a="1"/>
  <c r="M2118" i="4" s="1"/>
  <c r="M2119" i="4" a="1"/>
  <c r="M2119" i="4" s="1"/>
  <c r="M2120" i="4" a="1"/>
  <c r="M2120" i="4" s="1"/>
  <c r="M2121" i="4" a="1"/>
  <c r="M2121" i="4" s="1"/>
  <c r="M2122" i="4" a="1"/>
  <c r="M2122" i="4" s="1"/>
  <c r="M2123" i="4" a="1"/>
  <c r="M2123" i="4" s="1"/>
  <c r="M2124" i="4" a="1"/>
  <c r="M2124" i="4" s="1"/>
  <c r="M2125" i="4" a="1"/>
  <c r="M2125" i="4" s="1"/>
  <c r="M2126" i="4" a="1"/>
  <c r="M2126" i="4" s="1"/>
  <c r="M2127" i="4" a="1"/>
  <c r="M2127" i="4" s="1"/>
  <c r="M2128" i="4" a="1"/>
  <c r="M2128" i="4" s="1"/>
  <c r="M2129" i="4" a="1"/>
  <c r="M2129" i="4" s="1"/>
  <c r="M2130" i="4" a="1"/>
  <c r="M2130" i="4" s="1"/>
  <c r="M2131" i="4" a="1"/>
  <c r="M2131" i="4" s="1"/>
  <c r="M2132" i="4" a="1"/>
  <c r="M2132" i="4" s="1"/>
  <c r="M2133" i="4" a="1"/>
  <c r="M2133" i="4" s="1"/>
  <c r="M2134" i="4" a="1"/>
  <c r="M2134" i="4" s="1"/>
  <c r="M2135" i="4" a="1"/>
  <c r="M2135" i="4" s="1"/>
  <c r="M2136" i="4" a="1"/>
  <c r="M2136" i="4" s="1"/>
  <c r="M2137" i="4" a="1"/>
  <c r="M2137" i="4" s="1"/>
  <c r="M2138" i="4" a="1"/>
  <c r="M2138" i="4" s="1"/>
  <c r="M2139" i="4" a="1"/>
  <c r="M2139" i="4" s="1"/>
  <c r="M2140" i="4" a="1"/>
  <c r="M2140" i="4" s="1"/>
  <c r="M2141" i="4" a="1"/>
  <c r="M2141" i="4" s="1"/>
  <c r="M2142" i="4" a="1"/>
  <c r="M2142" i="4" s="1"/>
  <c r="M2143" i="4" a="1"/>
  <c r="M2143" i="4" s="1"/>
  <c r="M2144" i="4" a="1"/>
  <c r="M2144" i="4" s="1"/>
  <c r="M2145" i="4" a="1"/>
  <c r="M2145" i="4" s="1"/>
  <c r="M2146" i="4" a="1"/>
  <c r="M2146" i="4" s="1"/>
  <c r="M2147" i="4" a="1"/>
  <c r="M2147" i="4" s="1"/>
  <c r="M2148" i="4" a="1"/>
  <c r="M2148" i="4" s="1"/>
  <c r="M2149" i="4" a="1"/>
  <c r="M2149" i="4" s="1"/>
  <c r="M2150" i="4" a="1"/>
  <c r="M2150" i="4" s="1"/>
  <c r="M2151" i="4" a="1"/>
  <c r="M2151" i="4" s="1"/>
  <c r="M2152" i="4" a="1"/>
  <c r="M2152" i="4" s="1"/>
  <c r="M2153" i="4" a="1"/>
  <c r="M2153" i="4" s="1"/>
  <c r="M2154" i="4" a="1"/>
  <c r="M2154" i="4" s="1"/>
  <c r="M2155" i="4" a="1"/>
  <c r="M2155" i="4" s="1"/>
  <c r="M2156" i="4" a="1"/>
  <c r="M2156" i="4" s="1"/>
  <c r="M2157" i="4" a="1"/>
  <c r="M2157" i="4" s="1"/>
  <c r="M2158" i="4" a="1"/>
  <c r="M2158" i="4" s="1"/>
  <c r="M2159" i="4" a="1"/>
  <c r="M2159" i="4" s="1"/>
  <c r="M2160" i="4" a="1"/>
  <c r="M2160" i="4" s="1"/>
  <c r="M2161" i="4" a="1"/>
  <c r="M2161" i="4" s="1"/>
  <c r="M2162" i="4" a="1"/>
  <c r="M2162" i="4" s="1"/>
  <c r="M2163" i="4" a="1"/>
  <c r="M2163" i="4" s="1"/>
  <c r="M2164" i="4" a="1"/>
  <c r="M2164" i="4" s="1"/>
  <c r="M2165" i="4" a="1"/>
  <c r="M2165" i="4" s="1"/>
  <c r="M2166" i="4" a="1"/>
  <c r="M2166" i="4" s="1"/>
  <c r="M2167" i="4" a="1"/>
  <c r="M2167" i="4" s="1"/>
  <c r="M2168" i="4" a="1"/>
  <c r="M2168" i="4" s="1"/>
  <c r="M2169" i="4" a="1"/>
  <c r="M2169" i="4" s="1"/>
  <c r="M2170" i="4" a="1"/>
  <c r="M2170" i="4" s="1"/>
  <c r="M2171" i="4" a="1"/>
  <c r="M2171" i="4" s="1"/>
  <c r="M2172" i="4" a="1"/>
  <c r="M2172" i="4" s="1"/>
  <c r="M2173" i="4" a="1"/>
  <c r="M2173" i="4" s="1"/>
  <c r="M2174" i="4" a="1"/>
  <c r="M2174" i="4" s="1"/>
  <c r="M2175" i="4" a="1"/>
  <c r="M2175" i="4" s="1"/>
  <c r="M2176" i="4" a="1"/>
  <c r="M2176" i="4" s="1"/>
  <c r="M2177" i="4" a="1"/>
  <c r="M2177" i="4" s="1"/>
  <c r="M2178" i="4" a="1"/>
  <c r="M2178" i="4" s="1"/>
  <c r="M2179" i="4" a="1"/>
  <c r="M2179" i="4" s="1"/>
  <c r="M2180" i="4" a="1"/>
  <c r="M2180" i="4" s="1"/>
  <c r="M2181" i="4" a="1"/>
  <c r="M2181" i="4" s="1"/>
  <c r="M2182" i="4" a="1"/>
  <c r="M2182" i="4" s="1"/>
  <c r="M2183" i="4" a="1"/>
  <c r="M2183" i="4" s="1"/>
  <c r="M2184" i="4" a="1"/>
  <c r="M2184" i="4" s="1"/>
  <c r="M2185" i="4" a="1"/>
  <c r="M2185" i="4" s="1"/>
  <c r="M2186" i="4" a="1"/>
  <c r="M2186" i="4" s="1"/>
  <c r="M2187" i="4" a="1"/>
  <c r="M2187" i="4" s="1"/>
  <c r="M2188" i="4" a="1"/>
  <c r="M2188" i="4" s="1"/>
  <c r="M2189" i="4" a="1"/>
  <c r="M2189" i="4" s="1"/>
  <c r="M2190" i="4" a="1"/>
  <c r="M2190" i="4" s="1"/>
  <c r="M2191" i="4" a="1"/>
  <c r="M2191" i="4" s="1"/>
  <c r="M2192" i="4" a="1"/>
  <c r="M2192" i="4" s="1"/>
  <c r="M2193" i="4" a="1"/>
  <c r="M2193" i="4" s="1"/>
  <c r="M2194" i="4" a="1"/>
  <c r="M2194" i="4" s="1"/>
  <c r="M2195" i="4" a="1"/>
  <c r="M2195" i="4" s="1"/>
  <c r="M2196" i="4" a="1"/>
  <c r="M2196" i="4" s="1"/>
  <c r="M2197" i="4" a="1"/>
  <c r="M2197" i="4" s="1"/>
  <c r="M2198" i="4" a="1"/>
  <c r="M2198" i="4" s="1"/>
  <c r="M2199" i="4" a="1"/>
  <c r="M2199" i="4" s="1"/>
  <c r="M2200" i="4" a="1"/>
  <c r="M2200" i="4" s="1"/>
  <c r="M2201" i="4" a="1"/>
  <c r="M2201" i="4" s="1"/>
  <c r="M2202" i="4" a="1"/>
  <c r="M2202" i="4" s="1"/>
  <c r="M2203" i="4" a="1"/>
  <c r="M2203" i="4" s="1"/>
  <c r="M2204" i="4" a="1"/>
  <c r="M2204" i="4" s="1"/>
  <c r="M2205" i="4" a="1"/>
  <c r="M2205" i="4" s="1"/>
  <c r="M2206" i="4" a="1"/>
  <c r="M2206" i="4" s="1"/>
  <c r="M2207" i="4" a="1"/>
  <c r="M2207" i="4" s="1"/>
  <c r="M2208" i="4" a="1"/>
  <c r="M2208" i="4" s="1"/>
  <c r="M2209" i="4" a="1"/>
  <c r="M2209" i="4" s="1"/>
  <c r="M2210" i="4" a="1"/>
  <c r="M2210" i="4" s="1"/>
  <c r="M2211" i="4" a="1"/>
  <c r="M2211" i="4" s="1"/>
  <c r="M2212" i="4" a="1"/>
  <c r="M2212" i="4" s="1"/>
  <c r="M2213" i="4" a="1"/>
  <c r="M2213" i="4" s="1"/>
  <c r="M2214" i="4" a="1"/>
  <c r="M2214" i="4" s="1"/>
  <c r="M2215" i="4" a="1"/>
  <c r="M2215" i="4" s="1"/>
  <c r="M2216" i="4" a="1"/>
  <c r="M2216" i="4" s="1"/>
  <c r="M2217" i="4" a="1"/>
  <c r="M2217" i="4" s="1"/>
  <c r="M2218" i="4" a="1"/>
  <c r="M2218" i="4" s="1"/>
  <c r="M2219" i="4" a="1"/>
  <c r="M2219" i="4" s="1"/>
  <c r="M2220" i="4" a="1"/>
  <c r="M2220" i="4" s="1"/>
  <c r="M2221" i="4" a="1"/>
  <c r="M2221" i="4" s="1"/>
  <c r="M2222" i="4" a="1"/>
  <c r="M2222" i="4" s="1"/>
  <c r="M2223" i="4" a="1"/>
  <c r="M2223" i="4" s="1"/>
  <c r="M2224" i="4" a="1"/>
  <c r="M2224" i="4" s="1"/>
  <c r="M2225" i="4" a="1"/>
  <c r="M2225" i="4" s="1"/>
  <c r="M2226" i="4" a="1"/>
  <c r="M2226" i="4" s="1"/>
  <c r="M2227" i="4" a="1"/>
  <c r="M2227" i="4" s="1"/>
  <c r="M2228" i="4" a="1"/>
  <c r="M2228" i="4" s="1"/>
  <c r="M2229" i="4" a="1"/>
  <c r="M2229" i="4" s="1"/>
  <c r="M2230" i="4" a="1"/>
  <c r="M2230" i="4" s="1"/>
  <c r="M2231" i="4" a="1"/>
  <c r="M2231" i="4" s="1"/>
  <c r="M2232" i="4" a="1"/>
  <c r="M2232" i="4" s="1"/>
  <c r="M2233" i="4" a="1"/>
  <c r="M2233" i="4" s="1"/>
  <c r="M2234" i="4" a="1"/>
  <c r="M2234" i="4" s="1"/>
  <c r="M2235" i="4" a="1"/>
  <c r="M2235" i="4" s="1"/>
  <c r="M2236" i="4" a="1"/>
  <c r="M2236" i="4" s="1"/>
  <c r="M2237" i="4" a="1"/>
  <c r="M2237" i="4" s="1"/>
  <c r="M2238" i="4" a="1"/>
  <c r="M2238" i="4" s="1"/>
  <c r="M2239" i="4" a="1"/>
  <c r="M2239" i="4" s="1"/>
  <c r="M2240" i="4" a="1"/>
  <c r="M2240" i="4" s="1"/>
  <c r="M2241" i="4" a="1"/>
  <c r="M2241" i="4" s="1"/>
  <c r="M2242" i="4" a="1"/>
  <c r="M2242" i="4" s="1"/>
  <c r="M2243" i="4" a="1"/>
  <c r="M2243" i="4" s="1"/>
  <c r="M2244" i="4" a="1"/>
  <c r="M2244" i="4" s="1"/>
  <c r="M2245" i="4" a="1"/>
  <c r="M2245" i="4" s="1"/>
  <c r="M2246" i="4" a="1"/>
  <c r="M2246" i="4" s="1"/>
  <c r="M2247" i="4" a="1"/>
  <c r="M2247" i="4" s="1"/>
  <c r="M2248" i="4" a="1"/>
  <c r="M2248" i="4" s="1"/>
  <c r="M2249" i="4" a="1"/>
  <c r="M2249" i="4" s="1"/>
  <c r="M2250" i="4" a="1"/>
  <c r="M2250" i="4" s="1"/>
  <c r="M2251" i="4" a="1"/>
  <c r="M2251" i="4" s="1"/>
  <c r="M2252" i="4" a="1"/>
  <c r="M2252" i="4" s="1"/>
  <c r="M2253" i="4" a="1"/>
  <c r="M2253" i="4" s="1"/>
  <c r="M2254" i="4" a="1"/>
  <c r="M2254" i="4" s="1"/>
  <c r="M2255" i="4" a="1"/>
  <c r="M2255" i="4" s="1"/>
  <c r="M2256" i="4" a="1"/>
  <c r="M2256" i="4" s="1"/>
  <c r="M2257" i="4" a="1"/>
  <c r="M2257" i="4" s="1"/>
  <c r="M2258" i="4" a="1"/>
  <c r="M2258" i="4" s="1"/>
  <c r="M2259" i="4" a="1"/>
  <c r="M2259" i="4" s="1"/>
  <c r="M2260" i="4" a="1"/>
  <c r="M2260" i="4" s="1"/>
  <c r="M2261" i="4" a="1"/>
  <c r="M2261" i="4" s="1"/>
  <c r="M2262" i="4" a="1"/>
  <c r="M2262" i="4" s="1"/>
  <c r="M2263" i="4" a="1"/>
  <c r="M2263" i="4" s="1"/>
  <c r="M2264" i="4" a="1"/>
  <c r="M2264" i="4" s="1"/>
  <c r="M2265" i="4" a="1"/>
  <c r="M2265" i="4" s="1"/>
  <c r="M2266" i="4" a="1"/>
  <c r="M2266" i="4" s="1"/>
  <c r="M2267" i="4" a="1"/>
  <c r="M2267" i="4" s="1"/>
  <c r="M2268" i="4" a="1"/>
  <c r="M2268" i="4" s="1"/>
  <c r="M2269" i="4" a="1"/>
  <c r="M2269" i="4" s="1"/>
  <c r="M2270" i="4" a="1"/>
  <c r="M2270" i="4" s="1"/>
  <c r="M2271" i="4" a="1"/>
  <c r="M2271" i="4" s="1"/>
  <c r="M2272" i="4" a="1"/>
  <c r="M2272" i="4" s="1"/>
  <c r="M2273" i="4" a="1"/>
  <c r="M2273" i="4" s="1"/>
  <c r="M2274" i="4" a="1"/>
  <c r="M2274" i="4" s="1"/>
  <c r="M2275" i="4" a="1"/>
  <c r="M2275" i="4" s="1"/>
  <c r="M2276" i="4" a="1"/>
  <c r="M2276" i="4" s="1"/>
  <c r="M2277" i="4" a="1"/>
  <c r="M2277" i="4" s="1"/>
  <c r="M2278" i="4" a="1"/>
  <c r="M2278" i="4" s="1"/>
  <c r="M2279" i="4" a="1"/>
  <c r="M2279" i="4" s="1"/>
  <c r="M2280" i="4" a="1"/>
  <c r="M2280" i="4" s="1"/>
  <c r="M2281" i="4" a="1"/>
  <c r="M2281" i="4" s="1"/>
  <c r="M2282" i="4" a="1"/>
  <c r="M2282" i="4" s="1"/>
  <c r="M2283" i="4" a="1"/>
  <c r="M2283" i="4" s="1"/>
  <c r="M2284" i="4" a="1"/>
  <c r="M2284" i="4" s="1"/>
  <c r="M2285" i="4" a="1"/>
  <c r="M2285" i="4" s="1"/>
  <c r="M2286" i="4" a="1"/>
  <c r="M2286" i="4" s="1"/>
  <c r="M2287" i="4" a="1"/>
  <c r="M2287" i="4" s="1"/>
  <c r="M2288" i="4" a="1"/>
  <c r="M2288" i="4" s="1"/>
  <c r="M2289" i="4" a="1"/>
  <c r="M2289" i="4" s="1"/>
  <c r="M2290" i="4" a="1"/>
  <c r="M2290" i="4" s="1"/>
  <c r="M2291" i="4" a="1"/>
  <c r="M2291" i="4" s="1"/>
  <c r="M2292" i="4" a="1"/>
  <c r="M2292" i="4" s="1"/>
  <c r="M2293" i="4" a="1"/>
  <c r="M2293" i="4" s="1"/>
  <c r="M2294" i="4" a="1"/>
  <c r="M2294" i="4" s="1"/>
  <c r="M2295" i="4" a="1"/>
  <c r="M2295" i="4" s="1"/>
  <c r="M2296" i="4" a="1"/>
  <c r="M2296" i="4" s="1"/>
  <c r="M2297" i="4" a="1"/>
  <c r="M2297" i="4" s="1"/>
  <c r="M2298" i="4" a="1"/>
  <c r="M2298" i="4" s="1"/>
  <c r="M2299" i="4" a="1"/>
  <c r="M2299" i="4" s="1"/>
  <c r="M2300" i="4" a="1"/>
  <c r="M2300" i="4" s="1"/>
  <c r="M2301" i="4" a="1"/>
  <c r="M2301" i="4" s="1"/>
  <c r="M2302" i="4" a="1"/>
  <c r="M2302" i="4" s="1"/>
  <c r="M2303" i="4" a="1"/>
  <c r="M2303" i="4" s="1"/>
  <c r="M2304" i="4" a="1"/>
  <c r="M2304" i="4" s="1"/>
  <c r="M2305" i="4" a="1"/>
  <c r="M2305" i="4" s="1"/>
  <c r="M2306" i="4" a="1"/>
  <c r="M2306" i="4" s="1"/>
  <c r="M2307" i="4" a="1"/>
  <c r="M2307" i="4" s="1"/>
  <c r="M2308" i="4" a="1"/>
  <c r="M2308" i="4" s="1"/>
  <c r="M2309" i="4" a="1"/>
  <c r="M2309" i="4" s="1"/>
  <c r="M2310" i="4" a="1"/>
  <c r="M2310" i="4" s="1"/>
  <c r="M2311" i="4" a="1"/>
  <c r="M2311" i="4" s="1"/>
  <c r="M2312" i="4" a="1"/>
  <c r="M2312" i="4" s="1"/>
  <c r="M2313" i="4" a="1"/>
  <c r="M2313" i="4" s="1"/>
  <c r="M2314" i="4" a="1"/>
  <c r="M2314" i="4" s="1"/>
  <c r="M2315" i="4" a="1"/>
  <c r="M2315" i="4" s="1"/>
  <c r="M2316" i="4" a="1"/>
  <c r="M2316" i="4" s="1"/>
  <c r="M2317" i="4" a="1"/>
  <c r="M2317" i="4" s="1"/>
  <c r="M2318" i="4" a="1"/>
  <c r="M2318" i="4" s="1"/>
  <c r="M2319" i="4" a="1"/>
  <c r="M2319" i="4" s="1"/>
  <c r="M2320" i="4" a="1"/>
  <c r="M2320" i="4" s="1"/>
  <c r="M2321" i="4" a="1"/>
  <c r="M2321" i="4" s="1"/>
  <c r="M2322" i="4" a="1"/>
  <c r="M2322" i="4" s="1"/>
  <c r="M2323" i="4" a="1"/>
  <c r="M2323" i="4" s="1"/>
  <c r="M2324" i="4" a="1"/>
  <c r="M2324" i="4" s="1"/>
  <c r="M2325" i="4" a="1"/>
  <c r="M2325" i="4" s="1"/>
  <c r="M2326" i="4" a="1"/>
  <c r="M2326" i="4" s="1"/>
  <c r="M2327" i="4" a="1"/>
  <c r="M2327" i="4" s="1"/>
  <c r="M2328" i="4" a="1"/>
  <c r="M2328" i="4" s="1"/>
  <c r="M2329" i="4" a="1"/>
  <c r="M2329" i="4" s="1"/>
  <c r="M2330" i="4" a="1"/>
  <c r="M2330" i="4" s="1"/>
  <c r="M2331" i="4" a="1"/>
  <c r="M2331" i="4" s="1"/>
  <c r="M2332" i="4" a="1"/>
  <c r="M2332" i="4" s="1"/>
  <c r="M2333" i="4" a="1"/>
  <c r="M2333" i="4" s="1"/>
  <c r="M2334" i="4" a="1"/>
  <c r="M2334" i="4" s="1"/>
  <c r="M2335" i="4" a="1"/>
  <c r="M2335" i="4" s="1"/>
  <c r="M2336" i="4" a="1"/>
  <c r="M2336" i="4" s="1"/>
  <c r="M2337" i="4" a="1"/>
  <c r="M2337" i="4" s="1"/>
  <c r="M2338" i="4" a="1"/>
  <c r="M2338" i="4" s="1"/>
  <c r="M2339" i="4" a="1"/>
  <c r="M2339" i="4" s="1"/>
  <c r="M2340" i="4" a="1"/>
  <c r="M2340" i="4" s="1"/>
  <c r="M2341" i="4" a="1"/>
  <c r="M2341" i="4" s="1"/>
  <c r="M2342" i="4" a="1"/>
  <c r="M2342" i="4" s="1"/>
  <c r="M2343" i="4" a="1"/>
  <c r="M2343" i="4" s="1"/>
  <c r="M2344" i="4" a="1"/>
  <c r="M2344" i="4" s="1"/>
  <c r="M2345" i="4" a="1"/>
  <c r="M2345" i="4" s="1"/>
  <c r="M2346" i="4" a="1"/>
  <c r="M2346" i="4" s="1"/>
  <c r="M2347" i="4" a="1"/>
  <c r="M2347" i="4" s="1"/>
  <c r="M2348" i="4" a="1"/>
  <c r="M2348" i="4" s="1"/>
  <c r="M2349" i="4" a="1"/>
  <c r="M2349" i="4" s="1"/>
  <c r="M2350" i="4" a="1"/>
  <c r="M2350" i="4" s="1"/>
  <c r="M2351" i="4" a="1"/>
  <c r="M2351" i="4" s="1"/>
  <c r="M2352" i="4" a="1"/>
  <c r="M2352" i="4" s="1"/>
  <c r="M2353" i="4" a="1"/>
  <c r="M2353" i="4" s="1"/>
  <c r="M2354" i="4" a="1"/>
  <c r="M2354" i="4" s="1"/>
  <c r="M2355" i="4" a="1"/>
  <c r="M2355" i="4" s="1"/>
  <c r="M2356" i="4" a="1"/>
  <c r="M2356" i="4" s="1"/>
  <c r="M2357" i="4" a="1"/>
  <c r="M2357" i="4" s="1"/>
  <c r="M2358" i="4" a="1"/>
  <c r="M2358" i="4" s="1"/>
  <c r="M2359" i="4" a="1"/>
  <c r="M2359" i="4" s="1"/>
  <c r="M2360" i="4" a="1"/>
  <c r="M2360" i="4" s="1"/>
  <c r="M2361" i="4" a="1"/>
  <c r="M2361" i="4" s="1"/>
  <c r="M2362" i="4" a="1"/>
  <c r="M2362" i="4" s="1"/>
  <c r="M2363" i="4" a="1"/>
  <c r="M2363" i="4" s="1"/>
  <c r="M2364" i="4" a="1"/>
  <c r="M2364" i="4" s="1"/>
  <c r="M2365" i="4" a="1"/>
  <c r="M2365" i="4" s="1"/>
  <c r="M2366" i="4" a="1"/>
  <c r="M2366" i="4" s="1"/>
  <c r="M2367" i="4" a="1"/>
  <c r="M2367" i="4" s="1"/>
  <c r="M2368" i="4" a="1"/>
  <c r="M2368" i="4" s="1"/>
  <c r="M2369" i="4" a="1"/>
  <c r="M2369" i="4" s="1"/>
  <c r="M2370" i="4" a="1"/>
  <c r="M2370" i="4" s="1"/>
  <c r="M2371" i="4" a="1"/>
  <c r="M2371" i="4" s="1"/>
  <c r="M2372" i="4" a="1"/>
  <c r="M2372" i="4" s="1"/>
  <c r="M2373" i="4" a="1"/>
  <c r="M2373" i="4" s="1"/>
  <c r="M2374" i="4" a="1"/>
  <c r="M2374" i="4" s="1"/>
  <c r="M2375" i="4" a="1"/>
  <c r="M2375" i="4" s="1"/>
  <c r="M2376" i="4" a="1"/>
  <c r="M2376" i="4" s="1"/>
  <c r="M2377" i="4" a="1"/>
  <c r="M2377" i="4" s="1"/>
  <c r="M2378" i="4" a="1"/>
  <c r="M2378" i="4" s="1"/>
  <c r="M2379" i="4" a="1"/>
  <c r="M2379" i="4" s="1"/>
  <c r="M2380" i="4" a="1"/>
  <c r="M2380" i="4" s="1"/>
  <c r="M2381" i="4" a="1"/>
  <c r="M2381" i="4" s="1"/>
  <c r="M2382" i="4" a="1"/>
  <c r="M2382" i="4" s="1"/>
  <c r="M2383" i="4" a="1"/>
  <c r="M2383" i="4" s="1"/>
  <c r="M2384" i="4" a="1"/>
  <c r="M2384" i="4" s="1"/>
  <c r="M2385" i="4" a="1"/>
  <c r="M2385" i="4" s="1"/>
  <c r="M2386" i="4" a="1"/>
  <c r="M2386" i="4" s="1"/>
  <c r="M2387" i="4" a="1"/>
  <c r="M2387" i="4" s="1"/>
  <c r="M2388" i="4" a="1"/>
  <c r="M2388" i="4" s="1"/>
  <c r="M2389" i="4" a="1"/>
  <c r="M2389" i="4" s="1"/>
  <c r="M2390" i="4" a="1"/>
  <c r="M2390" i="4" s="1"/>
  <c r="M2391" i="4" a="1"/>
  <c r="M2391" i="4" s="1"/>
  <c r="M2392" i="4" a="1"/>
  <c r="M2392" i="4" s="1"/>
  <c r="M2393" i="4" a="1"/>
  <c r="M2393" i="4" s="1"/>
  <c r="M2394" i="4" a="1"/>
  <c r="M2394" i="4" s="1"/>
  <c r="M2395" i="4" a="1"/>
  <c r="M2395" i="4" s="1"/>
  <c r="M2396" i="4" a="1"/>
  <c r="M2396" i="4" s="1"/>
  <c r="M2397" i="4" a="1"/>
  <c r="M2397" i="4" s="1"/>
  <c r="M2398" i="4" a="1"/>
  <c r="M2398" i="4" s="1"/>
  <c r="M2399" i="4" a="1"/>
  <c r="M2399" i="4" s="1"/>
  <c r="M2400" i="4" a="1"/>
  <c r="M2400" i="4" s="1"/>
  <c r="M2401" i="4" a="1"/>
  <c r="M2401" i="4" s="1"/>
  <c r="M2402" i="4" a="1"/>
  <c r="M2402" i="4" s="1"/>
  <c r="M2403" i="4" a="1"/>
  <c r="M2403" i="4" s="1"/>
  <c r="M2404" i="4" a="1"/>
  <c r="M2404" i="4" s="1"/>
  <c r="M2405" i="4" a="1"/>
  <c r="M2405" i="4" s="1"/>
  <c r="M2406" i="4" a="1"/>
  <c r="M2406" i="4" s="1"/>
  <c r="M2407" i="4" a="1"/>
  <c r="M2407" i="4" s="1"/>
  <c r="M2408" i="4" a="1"/>
  <c r="M2408" i="4" s="1"/>
  <c r="M2409" i="4" a="1"/>
  <c r="M2409" i="4" s="1"/>
  <c r="M2410" i="4" a="1"/>
  <c r="M2410" i="4" s="1"/>
  <c r="M2411" i="4" a="1"/>
  <c r="M2411" i="4" s="1"/>
  <c r="M2412" i="4" a="1"/>
  <c r="M2412" i="4" s="1"/>
  <c r="M2413" i="4" a="1"/>
  <c r="M2413" i="4" s="1"/>
  <c r="M2414" i="4" a="1"/>
  <c r="M2414" i="4" s="1"/>
  <c r="M2" i="4" a="1"/>
  <c r="M2" i="4" s="1"/>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388" i="2"/>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2" i="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2" i="2"/>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1028" i="3"/>
  <c r="M1029" i="3"/>
  <c r="M1030" i="3"/>
  <c r="M1031" i="3"/>
  <c r="M1032" i="3"/>
  <c r="M1033" i="3"/>
  <c r="M1034" i="3"/>
  <c r="M1035" i="3"/>
  <c r="M1036" i="3"/>
  <c r="M1037" i="3"/>
  <c r="M1038" i="3"/>
  <c r="M1039" i="3"/>
  <c r="M1040" i="3"/>
  <c r="M1041" i="3"/>
  <c r="M1042" i="3"/>
  <c r="M1043" i="3"/>
  <c r="M1044" i="3"/>
  <c r="M1045" i="3"/>
  <c r="M1046" i="3"/>
  <c r="M1047" i="3"/>
  <c r="M1048" i="3"/>
  <c r="M1049" i="3"/>
  <c r="M1050" i="3"/>
  <c r="M1051" i="3"/>
  <c r="M1052" i="3"/>
  <c r="M1053" i="3"/>
  <c r="M1054" i="3"/>
  <c r="M1055" i="3"/>
  <c r="M1056" i="3"/>
  <c r="M1057" i="3"/>
  <c r="M1058" i="3"/>
  <c r="M1059" i="3"/>
  <c r="M1060" i="3"/>
  <c r="M1061" i="3"/>
  <c r="M1062" i="3"/>
  <c r="M1063" i="3"/>
  <c r="M1064" i="3"/>
  <c r="M1065" i="3"/>
  <c r="M1066" i="3"/>
  <c r="M1067" i="3"/>
  <c r="M1068" i="3"/>
  <c r="M1069" i="3"/>
  <c r="M1070" i="3"/>
  <c r="M1071" i="3"/>
  <c r="M1072" i="3"/>
  <c r="M1073" i="3"/>
  <c r="M1074" i="3"/>
  <c r="M1075" i="3"/>
  <c r="M1076" i="3"/>
  <c r="M1077" i="3"/>
  <c r="M1078" i="3"/>
  <c r="M1079" i="3"/>
  <c r="M1080" i="3"/>
  <c r="M1081" i="3"/>
  <c r="M1082" i="3"/>
  <c r="M1083" i="3"/>
  <c r="M1084" i="3"/>
  <c r="M1085" i="3"/>
  <c r="M1086" i="3"/>
  <c r="M1087" i="3"/>
  <c r="M1088" i="3"/>
  <c r="M1089" i="3"/>
  <c r="M1090" i="3"/>
  <c r="M1091" i="3"/>
  <c r="M1092" i="3"/>
  <c r="M1093" i="3"/>
  <c r="M1094" i="3"/>
  <c r="M1095" i="3"/>
  <c r="M1096" i="3"/>
  <c r="M1097" i="3"/>
  <c r="M1098" i="3"/>
  <c r="M1099" i="3"/>
  <c r="M1100" i="3"/>
  <c r="M1101" i="3"/>
  <c r="M1102" i="3"/>
  <c r="M1103" i="3"/>
  <c r="M1104" i="3"/>
  <c r="M1105" i="3"/>
  <c r="M1106" i="3"/>
  <c r="M1107" i="3"/>
  <c r="M1108" i="3"/>
  <c r="M1109" i="3"/>
  <c r="M1110" i="3"/>
  <c r="M1111" i="3"/>
  <c r="M1112" i="3"/>
  <c r="M1113" i="3"/>
  <c r="M1114" i="3"/>
  <c r="M1115" i="3"/>
  <c r="M1116" i="3"/>
  <c r="M1117" i="3"/>
  <c r="M1118" i="3"/>
  <c r="M1119" i="3"/>
  <c r="M1120" i="3"/>
  <c r="M1121" i="3"/>
  <c r="M1122" i="3"/>
  <c r="M1123" i="3"/>
  <c r="M1124" i="3"/>
  <c r="M1125" i="3"/>
  <c r="M1126" i="3"/>
  <c r="M1127" i="3"/>
  <c r="M1128" i="3"/>
  <c r="M1129" i="3"/>
  <c r="M1130" i="3"/>
  <c r="M1131" i="3"/>
  <c r="M1132" i="3"/>
  <c r="M1133" i="3"/>
  <c r="M1134" i="3"/>
  <c r="M1135" i="3"/>
  <c r="M1136" i="3"/>
  <c r="M1137" i="3"/>
  <c r="M1138" i="3"/>
  <c r="M1139" i="3"/>
  <c r="M1140" i="3"/>
  <c r="M1141" i="3"/>
  <c r="M1142" i="3"/>
  <c r="M1143" i="3"/>
  <c r="M1144" i="3"/>
  <c r="M1145" i="3"/>
  <c r="M1146" i="3"/>
  <c r="M1147" i="3"/>
  <c r="M1148" i="3"/>
  <c r="M1149" i="3"/>
  <c r="M1150" i="3"/>
  <c r="M1151" i="3"/>
  <c r="M1152" i="3"/>
  <c r="M1153" i="3"/>
  <c r="M1154" i="3"/>
  <c r="M1155" i="3"/>
  <c r="M1156" i="3"/>
  <c r="M1157" i="3"/>
  <c r="M1158" i="3"/>
  <c r="M1159" i="3"/>
  <c r="M1160" i="3"/>
  <c r="M1161" i="3"/>
  <c r="M1162" i="3"/>
  <c r="M1163" i="3"/>
  <c r="M1164" i="3"/>
  <c r="M1165" i="3"/>
  <c r="M1166" i="3"/>
  <c r="M1167" i="3"/>
  <c r="M1168" i="3"/>
  <c r="M1169" i="3"/>
  <c r="M1170" i="3"/>
  <c r="M1171" i="3"/>
  <c r="M1172" i="3"/>
  <c r="M1173" i="3"/>
  <c r="M1174" i="3"/>
  <c r="M1175" i="3"/>
  <c r="M1176" i="3"/>
  <c r="M1177" i="3"/>
  <c r="M1178" i="3"/>
  <c r="M1179" i="3"/>
  <c r="M1180" i="3"/>
  <c r="M1181" i="3"/>
  <c r="M1182" i="3"/>
  <c r="M1183" i="3"/>
  <c r="M1184" i="3"/>
  <c r="M1185" i="3"/>
  <c r="M1186" i="3"/>
  <c r="M1187" i="3"/>
  <c r="M1188" i="3"/>
  <c r="M1189" i="3"/>
  <c r="M1190" i="3"/>
  <c r="M1191" i="3"/>
  <c r="M1192" i="3"/>
  <c r="M1193" i="3"/>
  <c r="M1194" i="3"/>
  <c r="M1195" i="3"/>
  <c r="M1196" i="3"/>
  <c r="M1197" i="3"/>
  <c r="M1198" i="3"/>
  <c r="M1199" i="3"/>
  <c r="M1200" i="3"/>
  <c r="M1201" i="3"/>
  <c r="M1202" i="3"/>
  <c r="M1203" i="3"/>
  <c r="M1204" i="3"/>
  <c r="M1205" i="3"/>
  <c r="M1206" i="3"/>
  <c r="M1207" i="3"/>
  <c r="M1208" i="3"/>
  <c r="M1209" i="3"/>
  <c r="M1210" i="3"/>
  <c r="M1211" i="3"/>
  <c r="M1212" i="3"/>
  <c r="M1213" i="3"/>
  <c r="M1214" i="3"/>
  <c r="M1215" i="3"/>
  <c r="M1216" i="3"/>
  <c r="M1217" i="3"/>
  <c r="M1218" i="3"/>
  <c r="M1219" i="3"/>
  <c r="M1220" i="3"/>
  <c r="M1221" i="3"/>
  <c r="M1222" i="3"/>
  <c r="M1223" i="3"/>
  <c r="M1224" i="3"/>
  <c r="M1225" i="3"/>
  <c r="M1226" i="3"/>
  <c r="M1227" i="3"/>
  <c r="M1228" i="3"/>
  <c r="M1229" i="3"/>
  <c r="M1230" i="3"/>
  <c r="M1231" i="3"/>
  <c r="M1232" i="3"/>
  <c r="M1233" i="3"/>
  <c r="M1234" i="3"/>
  <c r="M1235" i="3"/>
  <c r="M1236" i="3"/>
  <c r="M1237" i="3"/>
  <c r="M1238" i="3"/>
  <c r="M1239" i="3"/>
  <c r="M1240" i="3"/>
  <c r="M1241" i="3"/>
  <c r="M1242" i="3"/>
  <c r="M1243" i="3"/>
  <c r="M1244" i="3"/>
  <c r="M1245" i="3"/>
  <c r="M1246" i="3"/>
  <c r="M1247" i="3"/>
  <c r="M1248" i="3"/>
  <c r="M1249" i="3"/>
  <c r="M1250" i="3"/>
  <c r="M1251" i="3"/>
  <c r="M1252" i="3"/>
  <c r="M1253" i="3"/>
  <c r="M1254" i="3"/>
  <c r="M1255" i="3"/>
  <c r="M1256" i="3"/>
  <c r="M1257" i="3"/>
  <c r="M1258" i="3"/>
  <c r="M1259" i="3"/>
  <c r="M1260" i="3"/>
  <c r="M1261" i="3"/>
  <c r="M1262" i="3"/>
  <c r="M1263" i="3"/>
  <c r="M1264" i="3"/>
  <c r="M1265" i="3"/>
  <c r="M1266" i="3"/>
  <c r="M1267" i="3"/>
  <c r="M1268" i="3"/>
  <c r="M1269" i="3"/>
  <c r="M1270" i="3"/>
  <c r="M1271" i="3"/>
  <c r="M1272" i="3"/>
  <c r="M1273" i="3"/>
  <c r="M1274" i="3"/>
  <c r="M1275" i="3"/>
  <c r="M1276" i="3"/>
  <c r="M1277" i="3"/>
  <c r="M1278" i="3"/>
  <c r="M1279" i="3"/>
  <c r="M1280" i="3"/>
  <c r="M1281" i="3"/>
  <c r="M1282" i="3"/>
  <c r="M1283" i="3"/>
  <c r="M1284" i="3"/>
  <c r="M1285" i="3"/>
  <c r="M1286" i="3"/>
  <c r="M1287" i="3"/>
  <c r="M1288" i="3"/>
  <c r="M1289" i="3"/>
  <c r="M1290" i="3"/>
  <c r="M1291" i="3"/>
  <c r="M1292" i="3"/>
  <c r="M1293" i="3"/>
  <c r="M1294" i="3"/>
  <c r="M1295" i="3"/>
  <c r="M1296" i="3"/>
  <c r="M1297" i="3"/>
  <c r="M1298" i="3"/>
  <c r="M1299" i="3"/>
  <c r="M1300" i="3"/>
  <c r="M1301" i="3"/>
  <c r="M1302" i="3"/>
  <c r="M1303" i="3"/>
  <c r="M1304" i="3"/>
  <c r="M1305" i="3"/>
  <c r="M1306" i="3"/>
  <c r="M1307" i="3"/>
  <c r="M1308" i="3"/>
  <c r="M1309" i="3"/>
  <c r="M1310" i="3"/>
  <c r="M1311" i="3"/>
  <c r="M1312" i="3"/>
  <c r="M1313" i="3"/>
  <c r="M1314" i="3"/>
  <c r="M1315" i="3"/>
  <c r="M1316" i="3"/>
  <c r="M1317" i="3"/>
  <c r="M1318" i="3"/>
  <c r="M1319" i="3"/>
  <c r="M1320" i="3"/>
  <c r="M1321" i="3"/>
  <c r="M1322" i="3"/>
  <c r="M1323" i="3"/>
  <c r="M1324" i="3"/>
  <c r="M1325" i="3"/>
  <c r="M1326" i="3"/>
  <c r="M1327" i="3"/>
  <c r="M1328" i="3"/>
  <c r="M1329" i="3"/>
  <c r="M1330" i="3"/>
  <c r="M1331" i="3"/>
  <c r="M1332" i="3"/>
  <c r="M1333" i="3"/>
  <c r="M1334" i="3"/>
  <c r="M1335" i="3"/>
  <c r="M1336" i="3"/>
  <c r="M1337" i="3"/>
  <c r="M1338" i="3"/>
  <c r="M1339" i="3"/>
  <c r="M1340" i="3"/>
  <c r="M1341" i="3"/>
  <c r="M1342" i="3"/>
  <c r="M1343" i="3"/>
  <c r="M1344" i="3"/>
  <c r="M1345" i="3"/>
  <c r="M1346" i="3"/>
  <c r="M1347" i="3"/>
  <c r="M1348" i="3"/>
  <c r="M1349" i="3"/>
  <c r="M1350" i="3"/>
  <c r="M1351" i="3"/>
  <c r="M1352" i="3"/>
  <c r="M1353" i="3"/>
  <c r="M1354" i="3"/>
  <c r="M1355" i="3"/>
  <c r="M1356" i="3"/>
  <c r="M1357" i="3"/>
  <c r="M1358" i="3"/>
  <c r="M1359" i="3"/>
  <c r="M1360" i="3"/>
  <c r="M1361" i="3"/>
  <c r="M1362" i="3"/>
  <c r="M1363" i="3"/>
  <c r="M1364" i="3"/>
  <c r="M1365" i="3"/>
  <c r="M1366" i="3"/>
  <c r="M1367" i="3"/>
  <c r="M1368" i="3"/>
  <c r="M1369" i="3"/>
  <c r="M1370" i="3"/>
  <c r="M1371" i="3"/>
  <c r="M1372" i="3"/>
  <c r="M1373" i="3"/>
  <c r="M1374" i="3"/>
  <c r="M1375" i="3"/>
  <c r="M1376" i="3"/>
  <c r="M1377" i="3"/>
  <c r="M1378" i="3"/>
  <c r="M1379" i="3"/>
  <c r="M1380" i="3"/>
  <c r="M1381" i="3"/>
  <c r="M1382" i="3"/>
  <c r="M1383" i="3"/>
  <c r="M1384" i="3"/>
  <c r="M1385" i="3"/>
  <c r="M1386" i="3"/>
  <c r="M1387" i="3"/>
  <c r="M1388" i="3"/>
  <c r="M1389" i="3"/>
  <c r="M1390" i="3"/>
  <c r="M1391" i="3"/>
  <c r="M1392" i="3"/>
  <c r="M1393" i="3"/>
  <c r="M1394" i="3"/>
  <c r="M1395" i="3"/>
  <c r="M1396" i="3"/>
  <c r="M1397" i="3"/>
  <c r="M1398" i="3"/>
  <c r="M1399" i="3"/>
  <c r="M1400" i="3"/>
  <c r="M1401" i="3"/>
  <c r="M1402" i="3"/>
  <c r="M1403" i="3"/>
  <c r="M1404" i="3"/>
  <c r="M1405" i="3"/>
  <c r="M1406" i="3"/>
  <c r="M1407" i="3"/>
  <c r="M1408" i="3"/>
  <c r="M1409" i="3"/>
  <c r="M1410" i="3"/>
  <c r="M1411" i="3"/>
  <c r="M1412" i="3"/>
  <c r="M1413" i="3"/>
  <c r="M1414" i="3"/>
  <c r="M1415" i="3"/>
  <c r="M1416" i="3"/>
  <c r="M1417" i="3"/>
  <c r="M1418" i="3"/>
  <c r="M1419" i="3"/>
  <c r="M1420" i="3"/>
  <c r="M1421" i="3"/>
  <c r="M1422" i="3"/>
  <c r="M1423" i="3"/>
  <c r="M1424" i="3"/>
  <c r="M1425" i="3"/>
  <c r="M1426" i="3"/>
  <c r="M1427" i="3"/>
  <c r="M1428" i="3"/>
  <c r="M1429" i="3"/>
  <c r="M1430" i="3"/>
  <c r="M1431" i="3"/>
  <c r="M1432" i="3"/>
  <c r="M1433" i="3"/>
  <c r="M1434" i="3"/>
  <c r="M1435" i="3"/>
  <c r="M1436" i="3"/>
  <c r="M1437" i="3"/>
  <c r="M1438" i="3"/>
  <c r="M1439" i="3"/>
  <c r="M1440" i="3"/>
  <c r="M1441" i="3"/>
  <c r="M1442" i="3"/>
  <c r="M1443" i="3"/>
  <c r="M1444" i="3"/>
  <c r="M1445" i="3"/>
  <c r="M1446" i="3"/>
  <c r="M1447" i="3"/>
  <c r="M1448" i="3"/>
  <c r="M1449" i="3"/>
  <c r="M1450" i="3"/>
  <c r="M1451" i="3"/>
  <c r="M1452" i="3"/>
  <c r="M1453" i="3"/>
  <c r="M1454" i="3"/>
  <c r="M1455" i="3"/>
  <c r="M1456" i="3"/>
  <c r="M1457" i="3"/>
  <c r="M1458" i="3"/>
  <c r="M1459" i="3"/>
  <c r="M1460" i="3"/>
  <c r="M1461" i="3"/>
  <c r="M1462" i="3"/>
  <c r="M1463" i="3"/>
  <c r="M1464" i="3"/>
  <c r="M1465" i="3"/>
  <c r="M1466" i="3"/>
  <c r="M1467" i="3"/>
  <c r="M1468" i="3"/>
  <c r="M1469" i="3"/>
  <c r="M1470" i="3"/>
  <c r="M1471" i="3"/>
  <c r="M1472" i="3"/>
  <c r="M1473" i="3"/>
  <c r="M1474" i="3"/>
  <c r="M1475" i="3"/>
  <c r="M1476" i="3"/>
  <c r="M1477" i="3"/>
  <c r="M1478" i="3"/>
  <c r="M1479" i="3"/>
  <c r="M1480" i="3"/>
  <c r="M1481" i="3"/>
  <c r="M1482" i="3"/>
  <c r="M1483" i="3"/>
  <c r="M1484" i="3"/>
  <c r="M1485" i="3"/>
  <c r="M1486" i="3"/>
  <c r="M1487" i="3"/>
  <c r="M1488" i="3"/>
  <c r="M1489" i="3"/>
  <c r="M1490" i="3"/>
  <c r="M1491" i="3"/>
  <c r="M1492" i="3"/>
  <c r="M1493" i="3"/>
  <c r="M1494" i="3"/>
  <c r="M1495" i="3"/>
  <c r="M1496" i="3"/>
  <c r="M1497" i="3"/>
  <c r="M1498" i="3"/>
  <c r="M1499" i="3"/>
  <c r="M1500" i="3"/>
  <c r="M1501" i="3"/>
  <c r="M1502" i="3"/>
  <c r="M1503" i="3"/>
  <c r="M1504" i="3"/>
  <c r="M1505" i="3"/>
  <c r="M1506" i="3"/>
  <c r="M1507" i="3"/>
  <c r="M1508" i="3"/>
  <c r="M1509" i="3"/>
  <c r="M1510" i="3"/>
  <c r="M1511" i="3"/>
  <c r="M1512" i="3"/>
  <c r="M1513" i="3"/>
  <c r="M1514" i="3"/>
  <c r="M1515" i="3"/>
  <c r="M1516" i="3"/>
  <c r="M1517" i="3"/>
  <c r="M1518" i="3"/>
  <c r="M1519" i="3"/>
  <c r="M1520" i="3"/>
  <c r="M1521" i="3"/>
  <c r="M1522" i="3"/>
  <c r="M1523" i="3"/>
  <c r="M1524" i="3"/>
  <c r="M1525" i="3"/>
  <c r="M1526" i="3"/>
  <c r="M1527" i="3"/>
  <c r="M1528" i="3"/>
  <c r="M1529" i="3"/>
  <c r="M1530" i="3"/>
  <c r="M1531" i="3"/>
  <c r="M1532" i="3"/>
  <c r="M1533" i="3"/>
  <c r="M1534" i="3"/>
  <c r="M1535" i="3"/>
  <c r="M1536" i="3"/>
  <c r="M1537" i="3"/>
  <c r="M1538" i="3"/>
  <c r="M1539" i="3"/>
  <c r="M1540" i="3"/>
  <c r="M1541" i="3"/>
  <c r="M1542" i="3"/>
  <c r="M1543" i="3"/>
  <c r="M1544" i="3"/>
  <c r="M1545" i="3"/>
  <c r="M1546" i="3"/>
  <c r="M1547" i="3"/>
  <c r="M1548" i="3"/>
  <c r="M1549" i="3"/>
  <c r="M1550" i="3"/>
  <c r="M1551" i="3"/>
  <c r="M1552" i="3"/>
  <c r="M1553" i="3"/>
  <c r="M1554" i="3"/>
  <c r="M1555" i="3"/>
  <c r="M1556" i="3"/>
  <c r="M1557" i="3"/>
  <c r="M1558" i="3"/>
  <c r="M1559" i="3"/>
  <c r="M1560" i="3"/>
  <c r="M1561" i="3"/>
  <c r="M1562" i="3"/>
  <c r="M1563" i="3"/>
  <c r="M1564" i="3"/>
  <c r="M1565" i="3"/>
  <c r="M1566" i="3"/>
  <c r="M1567" i="3"/>
  <c r="M1568" i="3"/>
  <c r="M1569" i="3"/>
  <c r="M1570" i="3"/>
  <c r="M1571" i="3"/>
  <c r="M1572" i="3"/>
  <c r="M1573" i="3"/>
  <c r="M1574" i="3"/>
  <c r="M1575" i="3"/>
  <c r="M1576" i="3"/>
  <c r="M1577" i="3"/>
  <c r="M1578" i="3"/>
  <c r="M1579" i="3"/>
  <c r="M1580" i="3"/>
  <c r="M1581" i="3"/>
  <c r="M1582" i="3"/>
  <c r="M1583" i="3"/>
  <c r="M1584" i="3"/>
  <c r="M1585" i="3"/>
  <c r="M1586" i="3"/>
  <c r="M1587" i="3"/>
  <c r="M1588" i="3"/>
  <c r="M1589" i="3"/>
  <c r="M1590" i="3"/>
  <c r="M1591" i="3"/>
  <c r="M1592" i="3"/>
  <c r="M1593" i="3"/>
  <c r="M1594" i="3"/>
  <c r="M1595" i="3"/>
  <c r="M1596" i="3"/>
  <c r="M1597" i="3"/>
  <c r="M1598" i="3"/>
  <c r="M1599" i="3"/>
  <c r="M1600" i="3"/>
  <c r="M1601" i="3"/>
  <c r="M1602" i="3"/>
  <c r="M1603" i="3"/>
  <c r="M1604" i="3"/>
  <c r="M1605" i="3"/>
  <c r="M1606" i="3"/>
  <c r="M1607" i="3"/>
  <c r="M1608" i="3"/>
  <c r="M1609" i="3"/>
  <c r="M1610" i="3"/>
  <c r="M1611" i="3"/>
  <c r="M1612" i="3"/>
  <c r="M1613" i="3"/>
  <c r="M1614" i="3"/>
  <c r="M1615" i="3"/>
  <c r="M1616" i="3"/>
  <c r="M1617" i="3"/>
  <c r="M1618" i="3"/>
  <c r="M1619" i="3"/>
  <c r="M1620" i="3"/>
  <c r="M1621" i="3"/>
  <c r="M1622" i="3"/>
  <c r="M1623" i="3"/>
  <c r="M1624" i="3"/>
  <c r="M1625" i="3"/>
  <c r="M1626" i="3"/>
  <c r="M1627" i="3"/>
  <c r="M1628" i="3"/>
  <c r="M1629" i="3"/>
  <c r="M1630" i="3"/>
  <c r="M1631" i="3"/>
  <c r="M1632" i="3"/>
  <c r="M1633" i="3"/>
  <c r="M1634" i="3"/>
  <c r="M1635" i="3"/>
  <c r="M1636" i="3"/>
  <c r="M1637" i="3"/>
  <c r="M1638" i="3"/>
  <c r="M1639" i="3"/>
  <c r="M1640" i="3"/>
  <c r="M1641" i="3"/>
  <c r="M1642" i="3"/>
  <c r="M1643" i="3"/>
  <c r="M1644" i="3"/>
  <c r="M1645" i="3"/>
  <c r="M1646" i="3"/>
  <c r="M1647" i="3"/>
  <c r="M1648" i="3"/>
  <c r="M1649" i="3"/>
  <c r="M1650" i="3"/>
  <c r="M1651" i="3"/>
  <c r="M1652" i="3"/>
  <c r="M1653" i="3"/>
  <c r="M1654" i="3"/>
  <c r="M1655" i="3"/>
  <c r="M1656" i="3"/>
  <c r="M1657" i="3"/>
  <c r="M1658" i="3"/>
  <c r="M1659" i="3"/>
  <c r="M1660" i="3"/>
  <c r="M1661" i="3"/>
  <c r="M1662" i="3"/>
  <c r="M1663" i="3"/>
  <c r="M1664" i="3"/>
  <c r="M1665" i="3"/>
  <c r="M1666" i="3"/>
  <c r="M1667" i="3"/>
  <c r="M1668" i="3"/>
  <c r="M1669" i="3"/>
  <c r="M1670" i="3"/>
  <c r="M1671" i="3"/>
  <c r="M1672" i="3"/>
  <c r="M1673" i="3"/>
  <c r="M1674" i="3"/>
  <c r="M1675" i="3"/>
  <c r="M1676" i="3"/>
  <c r="M1677" i="3"/>
  <c r="M1678" i="3"/>
  <c r="M1679" i="3"/>
  <c r="M1680" i="3"/>
  <c r="M1681" i="3"/>
  <c r="M1682" i="3"/>
  <c r="M1683" i="3"/>
  <c r="M1684" i="3"/>
  <c r="M1685" i="3"/>
  <c r="M1686" i="3"/>
  <c r="M1687" i="3"/>
  <c r="M1688" i="3"/>
  <c r="M1689" i="3"/>
  <c r="M1690" i="3"/>
  <c r="M1691" i="3"/>
  <c r="M1692" i="3"/>
  <c r="M1693" i="3"/>
  <c r="M1694" i="3"/>
  <c r="M1695" i="3"/>
  <c r="M1696" i="3"/>
  <c r="M1697" i="3"/>
  <c r="M1698" i="3"/>
  <c r="M1699" i="3"/>
  <c r="M1700" i="3"/>
  <c r="M1701" i="3"/>
  <c r="M1702" i="3"/>
  <c r="M1703" i="3"/>
  <c r="M1704" i="3"/>
  <c r="M1705" i="3"/>
  <c r="M1706" i="3"/>
  <c r="M1707" i="3"/>
  <c r="M1708" i="3"/>
  <c r="M1709" i="3"/>
  <c r="M1710" i="3"/>
  <c r="M1711" i="3"/>
  <c r="M1712" i="3"/>
  <c r="M1713" i="3"/>
  <c r="M1714" i="3"/>
  <c r="M1715" i="3"/>
  <c r="M1716" i="3"/>
  <c r="M1717" i="3"/>
  <c r="M1718" i="3"/>
  <c r="M1719" i="3"/>
  <c r="M1720" i="3"/>
  <c r="M1721" i="3"/>
  <c r="M1722" i="3"/>
  <c r="M1723" i="3"/>
  <c r="M1724" i="3"/>
  <c r="M1725" i="3"/>
  <c r="M1726" i="3"/>
  <c r="M1727" i="3"/>
  <c r="M1728" i="3"/>
  <c r="M1729" i="3"/>
  <c r="M1730" i="3"/>
  <c r="M1731" i="3"/>
  <c r="M1732" i="3"/>
  <c r="M1733" i="3"/>
  <c r="M1734" i="3"/>
  <c r="M1735" i="3"/>
  <c r="M1736" i="3"/>
  <c r="M1737" i="3"/>
  <c r="M1738" i="3"/>
  <c r="M1739" i="3"/>
  <c r="M1740" i="3"/>
  <c r="M1741" i="3"/>
  <c r="M1742" i="3"/>
  <c r="M1743" i="3"/>
  <c r="M1744" i="3"/>
  <c r="M1745" i="3"/>
  <c r="M1746" i="3"/>
  <c r="M1747"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<sst xmlns="http://schemas.openxmlformats.org/spreadsheetml/2006/main" count="64274" uniqueCount="6446">
  <si>
    <t>Project ID</t>
  </si>
  <si>
    <t>Project Type</t>
  </si>
  <si>
    <t>Project Title</t>
  </si>
  <si>
    <t>Purchasing Country</t>
  </si>
  <si>
    <t>PO Number</t>
  </si>
  <si>
    <t>PO Type per Report</t>
  </si>
  <si>
    <t>Vendor Counterpart Name</t>
  </si>
  <si>
    <t>Vendor Country</t>
  </si>
  <si>
    <t>CD.0066</t>
  </si>
  <si>
    <t>MIGRATION AND DEVELOPMENT</t>
  </si>
  <si>
    <t>Scholarships for Educational Opportunities</t>
  </si>
  <si>
    <t>El Salvador</t>
  </si>
  <si>
    <t>Implementing Partner</t>
  </si>
  <si>
    <t>FUNDEPLAST</t>
  </si>
  <si>
    <t>CD.0099</t>
  </si>
  <si>
    <t>Consolidating the Reintegration Achievements of Senegalese Returned Migrants through Integrated Support to Micro and Small Enterprises (Phase II)</t>
  </si>
  <si>
    <t>Senegal</t>
  </si>
  <si>
    <t>VOLONTARIATO INTERNAZIONALE PER LO</t>
  </si>
  <si>
    <t>CD.0105</t>
  </si>
  <si>
    <t>Business Development Initiatives - IDEE Youth</t>
  </si>
  <si>
    <t>Niger</t>
  </si>
  <si>
    <t>CIPMEN</t>
  </si>
  <si>
    <t>ASSOCIATION BOUNKASSAR</t>
  </si>
  <si>
    <t>CD.0114</t>
  </si>
  <si>
    <t>Favorable Opportunity For Self-Advancement of Today’s Youth Plus Activity (FORSATY Plus)</t>
  </si>
  <si>
    <t>Morocco</t>
  </si>
  <si>
    <t>Association Atil</t>
  </si>
  <si>
    <t>Raouabit Assadaka</t>
  </si>
  <si>
    <t>Association UNFM Tetouan</t>
  </si>
  <si>
    <t>CS.1139</t>
  </si>
  <si>
    <t>MOVEMENT, EMERGENCY AND POST-CRISIS MIGRATION MANAGEMENT</t>
  </si>
  <si>
    <t>UN Joint Program for Strengthening Inclusive Social Cohesion and Economic Resilience in Abyei Area, Sudan</t>
  </si>
  <si>
    <t>Sudan</t>
  </si>
  <si>
    <t>Hope and Friendship for Development</t>
  </si>
  <si>
    <t>Association Chifae  pour</t>
  </si>
  <si>
    <t>CS.1202</t>
  </si>
  <si>
    <t>Addressing Human Security through Integrated Support for the Most Vulnerable and Crisis-Affected Communities in South Kordofan</t>
  </si>
  <si>
    <t>Alsalam Organization for Rehabilita</t>
  </si>
  <si>
    <t>CS.1203</t>
  </si>
  <si>
    <t>Coastal States Stability Mechanism (CSSM)</t>
  </si>
  <si>
    <t>Ghana</t>
  </si>
  <si>
    <t>NORTHERN REGIONAL PEACE COUNCIL</t>
  </si>
  <si>
    <t>CSD REFORM</t>
  </si>
  <si>
    <t>CS.1213</t>
  </si>
  <si>
    <t>Addressing Irregular Migration and Protecting the Rights and Wellbeing of Migrants and Refugees in Lebanon</t>
  </si>
  <si>
    <t>Lebanon</t>
  </si>
  <si>
    <t>Association Semeurs D Avenir</t>
  </si>
  <si>
    <t>CS.1227</t>
  </si>
  <si>
    <t>Supporting Peaceful, Safe, Sustainable Reintegration Support for Returning Migrants and Host Communities in Zimbabwe Impacted by the Non-renewal of the Zimbabwe Exemption Permit (ZEP)</t>
  </si>
  <si>
    <t>Zimbabwe</t>
  </si>
  <si>
    <t>Zimbabwe Food for the Hungry Intern</t>
  </si>
  <si>
    <t>CS.1228</t>
  </si>
  <si>
    <t>CS.1240</t>
  </si>
  <si>
    <t>Livelihood +: Economic Intergration of Internally Displaced People and Persons affected by Conflict</t>
  </si>
  <si>
    <t>Ukraine</t>
  </si>
  <si>
    <t>CO COUNTRY TO UKRAINE</t>
  </si>
  <si>
    <t>NGO Association for Democratic Deve</t>
  </si>
  <si>
    <t>CENTER FOR CIVIC INITIATIVES SUMY</t>
  </si>
  <si>
    <t>NGO Agency of City Initiatives</t>
  </si>
  <si>
    <t>CS.1276</t>
  </si>
  <si>
    <t>Strengthening Security and Social Cohesion in Conflict Hotspots along Migratory Routes in Blue Nile</t>
  </si>
  <si>
    <t>Darfur Development Recon Agency</t>
  </si>
  <si>
    <t>CS.1290</t>
  </si>
  <si>
    <t>Access to Essential Services and Integration Assistance for Vulnerable Migrants, Including Afghans in Uzbekistan</t>
  </si>
  <si>
    <t>Uzbekistan</t>
  </si>
  <si>
    <t>UNITED NATIONS CHILDRENS FUND</t>
  </si>
  <si>
    <t>DP.2051</t>
  </si>
  <si>
    <t>Individual Measure to Strengthen the Response Capacity to Manage Migration Flows in Bosnia and Herzegovina</t>
  </si>
  <si>
    <t>Bosnia and Herzegovina</t>
  </si>
  <si>
    <t>Drustvo Crvenog krsta kriza Bosne i</t>
  </si>
  <si>
    <t>DP.2413</t>
  </si>
  <si>
    <t>Support to Displaced Afghans in Pakistan, Iran, Central Asia, and Afghanistan</t>
  </si>
  <si>
    <t>Afghanistan</t>
  </si>
  <si>
    <t>ACTED</t>
  </si>
  <si>
    <t>DP.2470</t>
  </si>
  <si>
    <t>IOM Flash Appeal for Ukraine and Neighbouring Countries 2022 - Norway</t>
  </si>
  <si>
    <t>Republic of Moldova</t>
  </si>
  <si>
    <t>AO ASOCIATIA MOTIVATIE DIN MD</t>
  </si>
  <si>
    <t>AO CDPD</t>
  </si>
  <si>
    <t>BAZOVYJJ CENTR REABILITACII OSORC</t>
  </si>
  <si>
    <t>AO INTERACTIUNE</t>
  </si>
  <si>
    <t>DP.2506</t>
  </si>
  <si>
    <t>Humanitarian Response in Cabo Delgado, Mozambique (Phase III)</t>
  </si>
  <si>
    <t>Mozambique</t>
  </si>
  <si>
    <t>Pronanac Educacional</t>
  </si>
  <si>
    <t>AYUDA EN ACCION FOUNDATION</t>
  </si>
  <si>
    <t>OIKOS</t>
  </si>
  <si>
    <t>DP.2545</t>
  </si>
  <si>
    <t>Rapid Response Fund for Humanitarian Emergencies in Sudan</t>
  </si>
  <si>
    <t>NADA ELAZHAR FOR DISASTER PREVENTIO</t>
  </si>
  <si>
    <t>SUDANESE AMERICAN PHYSICIANS</t>
  </si>
  <si>
    <t>United States Virgin Islands</t>
  </si>
  <si>
    <t>Sadagaat Charity Organization</t>
  </si>
  <si>
    <t>Sudanese Organization Relief-(SORR)</t>
  </si>
  <si>
    <t>United Peace Organization</t>
  </si>
  <si>
    <t>Concern Worldwide U.S. Inc</t>
  </si>
  <si>
    <t>United States of America</t>
  </si>
  <si>
    <t>Building Resilience Development Org</t>
  </si>
  <si>
    <t>Aleshraq Organization for Developme</t>
  </si>
  <si>
    <t>SPACES for Peace and Development Or</t>
  </si>
  <si>
    <t>Sudan Agwa Organization</t>
  </si>
  <si>
    <t>LM International</t>
  </si>
  <si>
    <t>Sawa Sudan for Development and Huma</t>
  </si>
  <si>
    <t>Rural Community Development Organiz</t>
  </si>
  <si>
    <t>National Planning Organization</t>
  </si>
  <si>
    <t>Jasmar Human Security Organization</t>
  </si>
  <si>
    <t>Welthunger</t>
  </si>
  <si>
    <t>DP.2627</t>
  </si>
  <si>
    <t>Improving the living conditions of affected populations (IDPs and returnees) in the Central African Republic through multi-sectoral assistance</t>
  </si>
  <si>
    <t>Central African Republic</t>
  </si>
  <si>
    <t>PERSON NEED RELIEF MISSION(PNRM)</t>
  </si>
  <si>
    <t>UTEFAJEDE</t>
  </si>
  <si>
    <t>Association des Femmes Evang. BOSSA</t>
  </si>
  <si>
    <t>ONG NDA</t>
  </si>
  <si>
    <t>ASSOCIATION LE SAMARITAIN</t>
  </si>
  <si>
    <t>COLLECTIF¨POUR LA PAIX EN CENTRAFRI</t>
  </si>
  <si>
    <t>FNOHD</t>
  </si>
  <si>
    <t>CADRE D'APPUI SPIRIT. AUT. LOCALES</t>
  </si>
  <si>
    <t>ONG ESPERANCE</t>
  </si>
  <si>
    <t>JUPEDEC</t>
  </si>
  <si>
    <t>AFRICAN RELIEF SERVICE 2</t>
  </si>
  <si>
    <t>DP.2632</t>
  </si>
  <si>
    <t>Life-Saving Assistance to Earthquake-Affected Households in Northwest Syria</t>
  </si>
  <si>
    <t>Turkey</t>
  </si>
  <si>
    <t>MUZUN FOR HUMANITARIAN DEVELOPMENT</t>
  </si>
  <si>
    <t>ULUSLARARASI INSANI YARDIMLASMA DER</t>
  </si>
  <si>
    <t>DP.2655</t>
  </si>
  <si>
    <t>Provision of Protection Assistance and Improved Access to Essential Services for Internally Displaced People (IDPs) in Informal Settlements in Iraq</t>
  </si>
  <si>
    <t>Iraq</t>
  </si>
  <si>
    <t>Sorouh for Sustainable Development</t>
  </si>
  <si>
    <t>DP.2681</t>
  </si>
  <si>
    <t>Rapid Response Fund for Sudden Emergencies in Northeast Nigeria</t>
  </si>
  <si>
    <t>Nigeria</t>
  </si>
  <si>
    <t>CARE AID SUPPORT INITIATIVE</t>
  </si>
  <si>
    <t>SALIENT HUMANITARIAN ORGANIZATION</t>
  </si>
  <si>
    <t>Grassroots Lifesaving Outreach</t>
  </si>
  <si>
    <t>CENTER FOR ADV ,TRAN and ACC INT</t>
  </si>
  <si>
    <t>GHIV Africa</t>
  </si>
  <si>
    <t>WADATA RELIEF CARE INITIATIVE</t>
  </si>
  <si>
    <t>Solidarites International</t>
  </si>
  <si>
    <t>Safer World Foundation</t>
  </si>
  <si>
    <t>RELIEF RESCUE INITIATIVE RRI</t>
  </si>
  <si>
    <t>Community Engagement and Social Dev</t>
  </si>
  <si>
    <t>HOPE FOR STREET CHILDREN AND</t>
  </si>
  <si>
    <t>DP.2714</t>
  </si>
  <si>
    <t>Improving Living Conditions of Conflict and Disaster Affected Populations in Somalia</t>
  </si>
  <si>
    <t>Somalia</t>
  </si>
  <si>
    <t>Peace Hub Foundation</t>
  </si>
  <si>
    <t>DP.2764</t>
  </si>
  <si>
    <t>Strengthening Resilience of Afghan Nationals and Host Communities in Pakistan through Multi-sectoral Interventions</t>
  </si>
  <si>
    <t>Pakistan</t>
  </si>
  <si>
    <t>Tameer e Khalaq Foundation</t>
  </si>
  <si>
    <t>Islamic Relief</t>
  </si>
  <si>
    <t>DP.2773</t>
  </si>
  <si>
    <t>Regional Migration Response Plan for the Horn of Africa and Yemen</t>
  </si>
  <si>
    <t>Kenya</t>
  </si>
  <si>
    <t>DANISH REFUGEE COUNCIL</t>
  </si>
  <si>
    <t>DP.2784</t>
  </si>
  <si>
    <t>Addressing the Humanitarian and Protection Needs of Displaced Persons in Haiti through a Multisectoral Approach</t>
  </si>
  <si>
    <t>Haiti</t>
  </si>
  <si>
    <t>CESVI</t>
  </si>
  <si>
    <t>DP.2785</t>
  </si>
  <si>
    <t>Supporting the Establishment of a Humanitarian Programme for Africa 2024</t>
  </si>
  <si>
    <t>Djibouti</t>
  </si>
  <si>
    <t>CROISSANT ROUGE DE DJIBOUTI</t>
  </si>
  <si>
    <t>DP.2789</t>
  </si>
  <si>
    <t>Addressing the Urgent Needs of Vulnerable Myanmar Nationals and Other Vulnerable Populations Affected by the Myanmar Crisis in Thailand</t>
  </si>
  <si>
    <t>Thailand</t>
  </si>
  <si>
    <t>Help Without Frontiers</t>
  </si>
  <si>
    <t>DP.2806</t>
  </si>
  <si>
    <t>Enhanced Humanitarian Assistance and Social Cohesion and Resilience for Crisis-Affected Population</t>
  </si>
  <si>
    <t>MINISTER DE L INTERIEUR</t>
  </si>
  <si>
    <t>ONG DEDI</t>
  </si>
  <si>
    <t>DP.2809</t>
  </si>
  <si>
    <t>The Project for the Improvement of Camps for Displaced Persons from Myanmar and Host Communities in Cox’s Bazar District</t>
  </si>
  <si>
    <t>Bangladesh</t>
  </si>
  <si>
    <t>NGO FORUM FOR PUBLIC HEALTH</t>
  </si>
  <si>
    <t>DP.2811</t>
  </si>
  <si>
    <t>Supporting Humanitarian Assistance in Afghanistan Programme</t>
  </si>
  <si>
    <t>Norwegian Refugee Council NRC</t>
  </si>
  <si>
    <t>DP.2816</t>
  </si>
  <si>
    <t>Bangladesh Appeal 2024 – Rohingya Humanitarian Crisis.</t>
  </si>
  <si>
    <t>PROTTYASHI</t>
  </si>
  <si>
    <t>Danish Refugee Council(DRC)</t>
  </si>
  <si>
    <t>Denmark</t>
  </si>
  <si>
    <t>BNWLA</t>
  </si>
  <si>
    <t>NOWZUWAN</t>
  </si>
  <si>
    <t>DSK</t>
  </si>
  <si>
    <t>DP.2820</t>
  </si>
  <si>
    <t>Rohingya Response and National Resilience Programme (RRNRP)</t>
  </si>
  <si>
    <t>DP.2822</t>
  </si>
  <si>
    <t>DP.2824</t>
  </si>
  <si>
    <t>Assistance with Emergency Shelter and Household Items and Site Management for Displaced Populations in North Kivu</t>
  </si>
  <si>
    <t>Democratic Republic of the Congo</t>
  </si>
  <si>
    <t>RESEAU DES FEMMES ENTREPREUNEURES</t>
  </si>
  <si>
    <t>DP.2828</t>
  </si>
  <si>
    <t>Regional Refugee and Migrant Response Plan (RMRP) for the Venezuela Situation 2024</t>
  </si>
  <si>
    <t>Argentina</t>
  </si>
  <si>
    <t>FUSA PARA LA SALUD INTEG AC</t>
  </si>
  <si>
    <t>Aruba (Kingdom of the Netherlands)</t>
  </si>
  <si>
    <t>Fundacion Venearuba Solidaria</t>
  </si>
  <si>
    <t>Chile</t>
  </si>
  <si>
    <t>Instituto Catolico de Migrantes</t>
  </si>
  <si>
    <t>Fundacion Infocap Jovenes</t>
  </si>
  <si>
    <t>Universidad de Chile</t>
  </si>
  <si>
    <t>Ecuador</t>
  </si>
  <si>
    <t>HIAS-EC</t>
  </si>
  <si>
    <t>FUNDACION DIALOGO DIVERSO</t>
  </si>
  <si>
    <t>ASOCIACION MUJER Y MUJER COLECTIVO</t>
  </si>
  <si>
    <t>Coopi-Cooperazione Internazionale</t>
  </si>
  <si>
    <t>Peru</t>
  </si>
  <si>
    <t>HIAS PERU</t>
  </si>
  <si>
    <t>ANGELES DEL CAMINO</t>
  </si>
  <si>
    <t>Superintendencia Nac. de Migracione</t>
  </si>
  <si>
    <t>ASOCIACION BENEFICA PRISMA</t>
  </si>
  <si>
    <t>Encuen.Servicio Jesuita de la Solid</t>
  </si>
  <si>
    <t>CESAL</t>
  </si>
  <si>
    <t>Asociacion Caritas Madre de Dios</t>
  </si>
  <si>
    <t>PAN AMERICAN DEVELOPMENT FOUNDATION</t>
  </si>
  <si>
    <t>Trinidad and Tobago</t>
  </si>
  <si>
    <t>Women Owned Media and Education Net</t>
  </si>
  <si>
    <t>Chosen Hands</t>
  </si>
  <si>
    <t>Families In Action</t>
  </si>
  <si>
    <t>ASSOCIATION OF FEMALE EXECUTIVES OF</t>
  </si>
  <si>
    <t>DP.2833</t>
  </si>
  <si>
    <t>Responding to Urgent Needs of Affected Communities in Northern and Central Mali</t>
  </si>
  <si>
    <t>Mali</t>
  </si>
  <si>
    <t>ASS.TASSAGHT</t>
  </si>
  <si>
    <t>ADAZ</t>
  </si>
  <si>
    <t>ODISAHEL</t>
  </si>
  <si>
    <t>DP.2836</t>
  </si>
  <si>
    <t>Humanitarian Assistance to Rohingya and Host Communities in Bangladesh</t>
  </si>
  <si>
    <t>ACTION CONTRE LA FAIM (ACF)</t>
  </si>
  <si>
    <t>Pulse Bangladesh Society</t>
  </si>
  <si>
    <t>DP.2838</t>
  </si>
  <si>
    <t>Addressing Urgent Humanitarian Needs of the Vulnerable Refugees and Third-Country Nationals in the Republic of Moldova</t>
  </si>
  <si>
    <t>AO ADRA MOLDOVA</t>
  </si>
  <si>
    <t>DP.2840</t>
  </si>
  <si>
    <t>Humanitarian Response to International Migrants in Transit through Honduras</t>
  </si>
  <si>
    <t>Honduras</t>
  </si>
  <si>
    <t>ASOCIACION VISION MUNDIAL HONDURAS</t>
  </si>
  <si>
    <t>DP.2842</t>
  </si>
  <si>
    <t>Humanitarian Multisectoral Response to the Needs of People on the Move (Including Returnees) in Venezuela with a Lifesaving and Human Security Approach</t>
  </si>
  <si>
    <t>Venezuela (Bolivarian Republic of)</t>
  </si>
  <si>
    <t>Cruz Roja Sub Comite Guasdualito</t>
  </si>
  <si>
    <t>Cruz Roja Venezolana Seccional Zuli</t>
  </si>
  <si>
    <t>ASOCIACION CIVIL OBSERVATORIO DE</t>
  </si>
  <si>
    <t>DIOCESIS DE SAN CRISTOBAL</t>
  </si>
  <si>
    <t>DP.2846</t>
  </si>
  <si>
    <t>Adopting a Comprehensive Approach to Addressing the Critical Humanitarian and Protection Needs of Displaced Populations in Haiti</t>
  </si>
  <si>
    <t>Medicos del Mundo Argentina</t>
  </si>
  <si>
    <t>DP.2853</t>
  </si>
  <si>
    <t>El Niño Flood Relief II</t>
  </si>
  <si>
    <t>Burundi</t>
  </si>
  <si>
    <t>UNICEF BURUNDI OFFICE</t>
  </si>
  <si>
    <t>DP.2859</t>
  </si>
  <si>
    <t>Supporting Displaced and Crisis Affected Populations in Cameroon's Far North Region</t>
  </si>
  <si>
    <t>Cameroon</t>
  </si>
  <si>
    <t>ASSOCIATION SERBOWEL FACILITATEUR H</t>
  </si>
  <si>
    <t>DP.2861</t>
  </si>
  <si>
    <t>Regional Refugee And Migrant Response Plan (RMRP 2023 - 2024) For The Venezuelan Situation In Colombia</t>
  </si>
  <si>
    <t>Colombia</t>
  </si>
  <si>
    <t>CRUZ ROJA COLOMBIANA CUNDINAMARCA</t>
  </si>
  <si>
    <t>SECRETARIADO DIOCESANO DE PASTORAL</t>
  </si>
  <si>
    <t>WORLD VISION INTERNATIONAL (IP)</t>
  </si>
  <si>
    <t>DP.2863</t>
  </si>
  <si>
    <t>Addressing the Urgent and Ongoing Humanitarian Needs of War-Affected Populations in Ukraine</t>
  </si>
  <si>
    <t>CO RCC</t>
  </si>
  <si>
    <t>ICF Caritas Ukraine</t>
  </si>
  <si>
    <t>NGO ROAD TO LIFE</t>
  </si>
  <si>
    <t>NGO TMGK Vidrodzhennia Natsii</t>
  </si>
  <si>
    <t>ALLIANCE FOR CIVIL RIGHTS</t>
  </si>
  <si>
    <t>CO 100 Life Cherkasy</t>
  </si>
  <si>
    <t>NGO FAIITH HOPE LOVE - ODESA</t>
  </si>
  <si>
    <t>NGO Successful Women</t>
  </si>
  <si>
    <t>NGO Liubystok</t>
  </si>
  <si>
    <t>NGO Spring of Hope. Ukraine</t>
  </si>
  <si>
    <t>CF POSMISHKA UA</t>
  </si>
  <si>
    <t>NGO Caritas I-F Char Foundation</t>
  </si>
  <si>
    <t>VSEUKRAINSKE TOVARYSTVO PROSVITA</t>
  </si>
  <si>
    <t>CLEAR PAPER</t>
  </si>
  <si>
    <t>CO CF UA BROKERS WITHOUT BORDERS UK</t>
  </si>
  <si>
    <t>DP.2864</t>
  </si>
  <si>
    <t>Provision of Integrated Multi-sectoral Assistance to Vulnerable Displaced Population in Somalia</t>
  </si>
  <si>
    <t>KAALMO RELIEF AND DEVELOPMENT ORGAN</t>
  </si>
  <si>
    <t>Marginalized Communities Advocacy N</t>
  </si>
  <si>
    <t>Action Againts Poverty and Peace De</t>
  </si>
  <si>
    <t>DP.2867</t>
  </si>
  <si>
    <t>PRM Contribution to the Ukraine Refugee Regional Response (RRP 2024)</t>
  </si>
  <si>
    <t>Czechia</t>
  </si>
  <si>
    <t>Ukrajinska iniciativa</t>
  </si>
  <si>
    <t>Nadace Via</t>
  </si>
  <si>
    <t>Centrum pro cizince Jihomoravskeho</t>
  </si>
  <si>
    <t>Zensky vzdelavaci ustav Brno, z.u.</t>
  </si>
  <si>
    <t>Hub for Change, spolek</t>
  </si>
  <si>
    <t>Centrum pro integraci cizincu,o.ps.</t>
  </si>
  <si>
    <t>yourchance o.p.s.</t>
  </si>
  <si>
    <t>Kalyna</t>
  </si>
  <si>
    <t>Kroky Dobra z.s.</t>
  </si>
  <si>
    <t>InBaze, z.s.</t>
  </si>
  <si>
    <t>Tatrhy z.s.</t>
  </si>
  <si>
    <t>Ceske priority, z.u.</t>
  </si>
  <si>
    <t>Palacky University Olomouc</t>
  </si>
  <si>
    <t>Hungary</t>
  </si>
  <si>
    <t>Utcarol Lakasba Egyesulet</t>
  </si>
  <si>
    <t>Poland</t>
  </si>
  <si>
    <t>Fundacja im. Stefana Batorego</t>
  </si>
  <si>
    <t>FUNDACJA MIGRANT INFO POINT</t>
  </si>
  <si>
    <t>FUNDACJA UKRAINA-WALBRZYCH</t>
  </si>
  <si>
    <t>Fundacja Q</t>
  </si>
  <si>
    <t>STOWARZYSZENIE WAGA</t>
  </si>
  <si>
    <t>ASOCIATIA OBSTEASCA CIVIC AID</t>
  </si>
  <si>
    <t>AO AU Filantropia Crestina</t>
  </si>
  <si>
    <t>AO DO IT</t>
  </si>
  <si>
    <t>RESONANCE</t>
  </si>
  <si>
    <t>DP.2869</t>
  </si>
  <si>
    <t>Advancing Sustainable and State-Led Interventions in Support to the Transition in Bosnia and Herzegovina</t>
  </si>
  <si>
    <t>MINISTARSTVO ZA LJUDSKA PRAVA</t>
  </si>
  <si>
    <t>DP.2870</t>
  </si>
  <si>
    <t>Provision of Comprehensive Protection and Health Services to Migrants and Internally Displaced Persons (IDPs) in Yemen</t>
  </si>
  <si>
    <t>Yemen</t>
  </si>
  <si>
    <t>Danish Refugee Council-YE</t>
  </si>
  <si>
    <t>INTERSOS-YE</t>
  </si>
  <si>
    <t>DP.2872</t>
  </si>
  <si>
    <t>Area-Based Intervention for Multi-Sectoral Emergency and Recovery Assistance in Mozambique</t>
  </si>
  <si>
    <t>DP.2873</t>
  </si>
  <si>
    <t>Multi-Sectoral Support for Conflict-Affected Populations and Vulnerable Migrants in Lebanon</t>
  </si>
  <si>
    <t>Caritas Lebanon Migrant Center</t>
  </si>
  <si>
    <t>DP.2875</t>
  </si>
  <si>
    <t>Multi-Sectoral Assistance to Displaced Populations in the Lac Province, Chad</t>
  </si>
  <si>
    <t>Chad</t>
  </si>
  <si>
    <t>ASSOCIATION ACTED COMPTE USD</t>
  </si>
  <si>
    <t>CAIDEL</t>
  </si>
  <si>
    <t>DP.2881</t>
  </si>
  <si>
    <t>Enhancing Resilience in Border Communities: Climate-Adapted Water Resource Management and Feeder Roads (DARIS WACAN)</t>
  </si>
  <si>
    <t>ORG FOR SUSTAIN DEV AFRICA OSDA</t>
  </si>
  <si>
    <t>DP.2885</t>
  </si>
  <si>
    <t>Direct Lifesaving Assistance for Conflict-Affected Displaced Populations in Eastern Democratic Republic of the Congo</t>
  </si>
  <si>
    <t>AIDES</t>
  </si>
  <si>
    <t>DP.2893</t>
  </si>
  <si>
    <t>IOM –  Bangladesh – Cyclone Remal - 2024</t>
  </si>
  <si>
    <t>Friends Village Deve Bangladesh</t>
  </si>
  <si>
    <t>Uttaran</t>
  </si>
  <si>
    <t>DP.2895</t>
  </si>
  <si>
    <t>Elevating the Impact of Diaspora Operations and Coordination in Humanitarian Assistance through the Framework for Diaspora Engagement in Humanitarian Assistance – Phase IV</t>
  </si>
  <si>
    <t>Youth Initiative For Land In Africa</t>
  </si>
  <si>
    <t>Benin</t>
  </si>
  <si>
    <t>THE ADDIS CLINIC INC</t>
  </si>
  <si>
    <t>DP.2902</t>
  </si>
  <si>
    <t>Ensuring the Delivery of Critical Humanitarian Assistance to Vulnerable Migrants in the Dominican Republic and The Bahamas</t>
  </si>
  <si>
    <t>Dominican Republic</t>
  </si>
  <si>
    <t>Movimiento Socio Cultural-MOSCTHA</t>
  </si>
  <si>
    <t>DP.2908</t>
  </si>
  <si>
    <t>Integrated Multisectoral Emergency Response to Conflict and Climate Shocks to Affected Populations in Northern Mozambique</t>
  </si>
  <si>
    <t>DP.2921</t>
  </si>
  <si>
    <t>Provision of Life-Saving Cash and Shelter Assistance to Vulnerable Households Affected by Food Insecurity and Water-Borne Diseases in Nasir, Aweil East and Rubkona counties, South Sudan</t>
  </si>
  <si>
    <t>South Sudan</t>
  </si>
  <si>
    <t>CARE FOR CHILDREN AND OLD AGE</t>
  </si>
  <si>
    <t>DP.2929</t>
  </si>
  <si>
    <t>Displacement Tracking of Flood-Affected Populations in Chad</t>
  </si>
  <si>
    <t>CROIX ROUGE DU TCHAD</t>
  </si>
  <si>
    <t>DP.2932</t>
  </si>
  <si>
    <t>Emergency Grant in Response to the Deterioration of the Humanitarian Situation in Lebanon</t>
  </si>
  <si>
    <t>FUNDACION ACCION CONTRA EL HAMBRE</t>
  </si>
  <si>
    <t>DP.2939</t>
  </si>
  <si>
    <t>​​Multisectoral Humanitarian Assistance to Vulnerable Internally Displaced Persons (IDPs) and Other Conflict-Affected People in Northwest Syria ​(NWS)</t>
  </si>
  <si>
    <t>VATAN DERNEGI</t>
  </si>
  <si>
    <t>Kudra for Social Development Soluti</t>
  </si>
  <si>
    <t>VIOLET ORGANIZATION</t>
  </si>
  <si>
    <t>DP.2940</t>
  </si>
  <si>
    <t>German Federal Foreign Office (GFFO) Contribution to IOM's Humanitarian Response in Ukraine and Neighbouring Countries 2024</t>
  </si>
  <si>
    <t>Diakonie CCE - SZC</t>
  </si>
  <si>
    <t>Romodrom o.p.s.</t>
  </si>
  <si>
    <t>Diakonie CCE - SCPS</t>
  </si>
  <si>
    <t>Menedek-Hungarian Association</t>
  </si>
  <si>
    <t>DP.2944</t>
  </si>
  <si>
    <t>Provision of Humanitarian Assistance: Lebanon Humanitarian Crisis</t>
  </si>
  <si>
    <t>DP.2950</t>
  </si>
  <si>
    <t>Saving Lives &amp; Building Resilience by Bridging the Gap between Humanitarian Assistance Development in Nariño, Cauca and Atlántico, Colombia</t>
  </si>
  <si>
    <t>CLUB KIWANIS NUBES VERDES</t>
  </si>
  <si>
    <t>DP.2956</t>
  </si>
  <si>
    <t>The Project for Livelihood Improvement for Displaced Persons from Myanmar and Host Communities in Cox's Bazar District and Bhasan Char</t>
  </si>
  <si>
    <t>DP.2958</t>
  </si>
  <si>
    <t>Support of IOM Activities in Pakistan Outlined in the 2024-25 Regional Refugee Response Plan (3RP) for Afghanistan Situation</t>
  </si>
  <si>
    <t>Initiative for Develop and Empowerm</t>
  </si>
  <si>
    <t>DR.0060</t>
  </si>
  <si>
    <t>The Bor Flood Mitigation Project</t>
  </si>
  <si>
    <t>Dr.John Garang University Science T</t>
  </si>
  <si>
    <t>DR.0065</t>
  </si>
  <si>
    <t>Restoring the Environment and Strengthening Resilience of Rohingya Refugees and Host Communities in Cox’s Bazar</t>
  </si>
  <si>
    <t>Society for Health Extension &amp;Dev.(</t>
  </si>
  <si>
    <t>DR.0084</t>
  </si>
  <si>
    <t>Bosnia and Herzegovina: Strengthening Local Capacities for Disaster Preparedness and Response</t>
  </si>
  <si>
    <t>DR.0091</t>
  </si>
  <si>
    <t>Enhancing Protection and Strengthening Resilience of Vulnerable Refugee Hosting Communities in Cox's Bazar</t>
  </si>
  <si>
    <t>YPSA</t>
  </si>
  <si>
    <t>DS.0062</t>
  </si>
  <si>
    <t>Provision of Critical Support to Afghan Refugees and Migrants in Pakistan</t>
  </si>
  <si>
    <t>Save the Children</t>
  </si>
  <si>
    <t>DS.0079</t>
  </si>
  <si>
    <t>Scaling Up Durable Solutions and Increasing Resilience for Internally Displaced Somalis</t>
  </si>
  <si>
    <t>Save the Children Italia E.T.S</t>
  </si>
  <si>
    <t>Italy</t>
  </si>
  <si>
    <t>Concern Worldwide-SO</t>
  </si>
  <si>
    <t>DS.0089</t>
  </si>
  <si>
    <t>IOM Iraq - Contribute to the Economic Recovery of Iraq Through Employment Creation and Revitalization of Local Economies (Phase V)</t>
  </si>
  <si>
    <t>The Regents of the University of Ca</t>
  </si>
  <si>
    <t>DS.0101</t>
  </si>
  <si>
    <t>Hromada Reconstruction and Empowerment Facility (HREF)</t>
  </si>
  <si>
    <t>DS.0119</t>
  </si>
  <si>
    <t>Reducing Vulnerabilities of Displaced Communities through Durable Solutions Programming in Somalia - Danwadaag</t>
  </si>
  <si>
    <t>CESDO</t>
  </si>
  <si>
    <t>SOMALI COMMUNITY CONCERN-SCC</t>
  </si>
  <si>
    <t>DS.0120</t>
  </si>
  <si>
    <t>Water for Peace in Yemen: Strengthening the Role of Women in Water Conflict Resolution and Resource Management across the HDPN</t>
  </si>
  <si>
    <t>Martyr Bin Habreesh Foundation for</t>
  </si>
  <si>
    <t>DS.0123</t>
  </si>
  <si>
    <t>Resilient and Inclusive Communities in Ukraine</t>
  </si>
  <si>
    <t>VSEUKRAINSKA ASOTSIATSIA  GROMAD</t>
  </si>
  <si>
    <t>DS.0125</t>
  </si>
  <si>
    <t>Supporting Displaced and Crisis Affected Populations in Cameroon's Far North, North-West, and South-West Regions For Recovery and Resilience Building For Humanitarian Development Peace NEXUS</t>
  </si>
  <si>
    <t>STRATEGIC HUMANITARIAN SERVICES</t>
  </si>
  <si>
    <t>CARITAS DIOCESE OF KUMBA</t>
  </si>
  <si>
    <t>IYEC</t>
  </si>
  <si>
    <t>CAGEAD</t>
  </si>
  <si>
    <t>DS.0135</t>
  </si>
  <si>
    <t>Supporting National Leadership on Durable Solutions and Promoting Local Integration, Voluntary Return, and Social Cohesion in the Central African Republic</t>
  </si>
  <si>
    <t>DS.0140</t>
  </si>
  <si>
    <t>Reconstruction and Localisation Efforts in Hromadas</t>
  </si>
  <si>
    <t>DS.0141</t>
  </si>
  <si>
    <t>Support of IOM Activities in Türkiye as outlined in the 2024 Syria Regional Refugee and Resilience Plan (3RP)</t>
  </si>
  <si>
    <t>DUNYA DOKTORLARI DERNEGI</t>
  </si>
  <si>
    <t>International Blue Crescent Relief</t>
  </si>
  <si>
    <t>Field Ready Turkiye</t>
  </si>
  <si>
    <t>DS.0145</t>
  </si>
  <si>
    <t>​​Community Revitalization Program – Phase XIII</t>
  </si>
  <si>
    <t>Women Rehabilitation Organization</t>
  </si>
  <si>
    <t>DS.0150</t>
  </si>
  <si>
    <t>Empowering Livelihoods and Economic Vitality in Fragile and Conflict Zones (ELEVATE) Africa</t>
  </si>
  <si>
    <t>Horn of Africa Peace Network (HAPEN</t>
  </si>
  <si>
    <t>RURAL EDUCATION &amp; AGRICULTURE</t>
  </si>
  <si>
    <t>DS.0154</t>
  </si>
  <si>
    <t>Support the reintegration and implementation of durable solutions for returnees and IDPs through an area-based approach in Burundi's provinces of return</t>
  </si>
  <si>
    <t>DX.0101</t>
  </si>
  <si>
    <t>Strengthening the Evidence Base on Human Mobility Along the Eastern Corridor Under the Migrant Response Plan (MRP)</t>
  </si>
  <si>
    <t>DX.0141</t>
  </si>
  <si>
    <t>Supporting Multi-Sector Emergency Response Assistance for Populations Affected by the North-West, South-West Crisis in Cameroon</t>
  </si>
  <si>
    <t>EP.0053</t>
  </si>
  <si>
    <t>The United Nations’ Interagency Plan to Build the Capacity of Local Partners to Prepare and Respond to the Needs of People In-Transit through Costa Rica</t>
  </si>
  <si>
    <t>Costa Rica</t>
  </si>
  <si>
    <t>FONDO DE NACIONES UNIDAS PARA LA</t>
  </si>
  <si>
    <t>Fondo de Poblacion de las Naciones</t>
  </si>
  <si>
    <t>United Nations High Commissioner</t>
  </si>
  <si>
    <t>FC.0170</t>
  </si>
  <si>
    <t>Supporting Disengagement, Disassociation, Reintegration and Reconciliation (DDRR) and Peacebuilding in the Lake Chad Basin Region and the Sahel</t>
  </si>
  <si>
    <t>COM DEV</t>
  </si>
  <si>
    <t>FC.0221</t>
  </si>
  <si>
    <t>Pilot Initiatives to Support the National Program for Disarmament, Demobilization, Community Recovery and Stabilization (PDDRCS) in the reinsertion of ex-combatants in the Priority Areas of Ituri, North Kivu and South Kivu in the Eastern Democratic R</t>
  </si>
  <si>
    <t>ENTRAIDE PROTESTANTE SUISSE BUREAU</t>
  </si>
  <si>
    <t>FC.0233</t>
  </si>
  <si>
    <t>EU Support for the Disengagement, Review, Reintegration, and Reconciliation of Persons Formerly Associated with Non-State Armed Groups (NSAGs) in North-East Nigeria (SD3R)</t>
  </si>
  <si>
    <t>UNDP-NG</t>
  </si>
  <si>
    <t>United Nations Office Drugs N Crime</t>
  </si>
  <si>
    <t>Austria</t>
  </si>
  <si>
    <t>UNICEF-NG</t>
  </si>
  <si>
    <t>IS.0137</t>
  </si>
  <si>
    <t>FACILITATING MIGRATION</t>
  </si>
  <si>
    <t>Supporting the Integration of Venezuelan Refugees and Migrants into Peruvian Host Communities through Socioeconomic Interventions</t>
  </si>
  <si>
    <t>Union Venezolana en Perú</t>
  </si>
  <si>
    <t>IS.0145</t>
  </si>
  <si>
    <t>Supporting Socioeconomic Inclusion Efforts for Refugees from Ukraine in Selected European Union (EU) Member States</t>
  </si>
  <si>
    <t>Cesta z krize, z. u.</t>
  </si>
  <si>
    <t>IS.0160</t>
  </si>
  <si>
    <t>Improving Migration Governance and Access to Services for Displaced Afghans in Pakistan and Central Asia</t>
  </si>
  <si>
    <t>Kazakhstan</t>
  </si>
  <si>
    <t>Sana-Sezim, NGO Shymkent</t>
  </si>
  <si>
    <t>TARAQEE FOUNDATION</t>
  </si>
  <si>
    <t>Tajikistan</t>
  </si>
  <si>
    <t>Refugees, Children &amp; Vulnerable</t>
  </si>
  <si>
    <t>IS.0167</t>
  </si>
  <si>
    <t>Promoting and Advancing Language Rights in Kosovo - Phase II</t>
  </si>
  <si>
    <t>Kosovo  (SCR 1244)</t>
  </si>
  <si>
    <t>CENTAR ZA SOCIJALNE INICIJATIVE</t>
  </si>
  <si>
    <t>KM.0002</t>
  </si>
  <si>
    <t>MIGRATION POLICY,  RESEARCH AND COMMUNICATIONS</t>
  </si>
  <si>
    <t>E-Waste Circular Economy Scale: Synergies and Insights</t>
  </si>
  <si>
    <t>Uganda</t>
  </si>
  <si>
    <t>Mercy Corps Europe</t>
  </si>
  <si>
    <t>United Kingdom of Great Britain and Northern Ireland</t>
  </si>
  <si>
    <t>KM.0007</t>
  </si>
  <si>
    <t>A Diaspora-Guaranteed Microfinance Model for Safe Shelters</t>
  </si>
  <si>
    <t>LM.0459</t>
  </si>
  <si>
    <t>Strengthening the Employability and Entrepreneurship of Young People to Reduce the Risks of Irregular Migration - Youth, Employment and Migration (YEM 2)</t>
  </si>
  <si>
    <t>Burkina Faso</t>
  </si>
  <si>
    <t>ONG MANI TESE</t>
  </si>
  <si>
    <t>LM.0478</t>
  </si>
  <si>
    <t>Better Regional Migration Management II (BRMM II)</t>
  </si>
  <si>
    <t>CONSEIL REGIONAL D OBOCK</t>
  </si>
  <si>
    <t>LM.0529</t>
  </si>
  <si>
    <t>Access to Information on the Risks of Migration and Economic Opportunities for Young Mauritanians and Migrants in Mauritania</t>
  </si>
  <si>
    <t>Mauritania</t>
  </si>
  <si>
    <t>ACTED-MR</t>
  </si>
  <si>
    <t>LM.0545</t>
  </si>
  <si>
    <t>Safe Migration of Seasonal Workers from Central Asia to the UK</t>
  </si>
  <si>
    <t>Kyrgyzstan</t>
  </si>
  <si>
    <t>Branch of Business Association JIA</t>
  </si>
  <si>
    <t>Women &amp; Society</t>
  </si>
  <si>
    <t>LM.0547</t>
  </si>
  <si>
    <t>Displaced Talent for Europe 2.0</t>
  </si>
  <si>
    <t>Belgium</t>
  </si>
  <si>
    <t>Talent Beyond Boundaries (Belgium)</t>
  </si>
  <si>
    <t>MA.0335</t>
  </si>
  <si>
    <t>MIGRATION HEALTH</t>
  </si>
  <si>
    <t>TEAM 2 - Tuberculosis Elimination Among Migrants</t>
  </si>
  <si>
    <t>Dept. of Planning-Cooperation MoH</t>
  </si>
  <si>
    <t>Lao People's Democratic Republic</t>
  </si>
  <si>
    <t>World Vision Foundation of Thailand</t>
  </si>
  <si>
    <t>American Refugee Committee</t>
  </si>
  <si>
    <t>Myanmar</t>
  </si>
  <si>
    <t>World Vision Myanmar</t>
  </si>
  <si>
    <t>Shoklo Malaria Research Unit</t>
  </si>
  <si>
    <t>Dreamlopments Foundation</t>
  </si>
  <si>
    <t>National Lung Hospital</t>
  </si>
  <si>
    <t>Viet Nam</t>
  </si>
  <si>
    <t>MA.0485</t>
  </si>
  <si>
    <t>Fostering Health and Protection to Vulnerable Migrants Transiting through Morocco, Tunisia, Egypt, Libya, Yemen and Sudan (Phase III)</t>
  </si>
  <si>
    <t>Association droit et justice</t>
  </si>
  <si>
    <t>universite euromediterraneenne de F</t>
  </si>
  <si>
    <t>MA.0584</t>
  </si>
  <si>
    <t>Contribute to the Psychosocial Well-Being and Empowerment of the Rights of Children and Adolescent Family of Migrants</t>
  </si>
  <si>
    <t>Nicaragua</t>
  </si>
  <si>
    <t>ALDEAS SOS DE NICARAGUA</t>
  </si>
  <si>
    <t>MD.0032</t>
  </si>
  <si>
    <t>Strengthening Migration Data and Statistics Ecosystem in Egypt</t>
  </si>
  <si>
    <t>Egypt</t>
  </si>
  <si>
    <t>The central agency for puplic</t>
  </si>
  <si>
    <t>MP.0629</t>
  </si>
  <si>
    <t>Emergency Assistance for Vulnerable Populations in the States of Amazonas, Apure, Bolivar, Delta Amacuro and Zulia in Venezuela</t>
  </si>
  <si>
    <t>FUNDACION VEN DA TU MANO</t>
  </si>
  <si>
    <t>MP.0633</t>
  </si>
  <si>
    <t>Safe in Lebanon: Promoting Health and Well-being in Communities Prone to Irregular Migration</t>
  </si>
  <si>
    <t>RESTART CENTER</t>
  </si>
  <si>
    <t>MS.0050</t>
  </si>
  <si>
    <t>REGULATING MIGRATION</t>
  </si>
  <si>
    <t>Support to Access to Justice in Jordan</t>
  </si>
  <si>
    <t>Jordan</t>
  </si>
  <si>
    <t>Deutsche Gesellschaft fur Internati</t>
  </si>
  <si>
    <t>MS.0057</t>
  </si>
  <si>
    <t>Western Hemisphere Regional Migration Capacity-Building Program (WHP)</t>
  </si>
  <si>
    <t>Belize</t>
  </si>
  <si>
    <t>Humana People to People Belize</t>
  </si>
  <si>
    <t>Galen University</t>
  </si>
  <si>
    <t>Government of Belize</t>
  </si>
  <si>
    <t>INTERNATIONAL LABOUR OFFICE (ILO)</t>
  </si>
  <si>
    <t>Fundación Étnica Integral FEI</t>
  </si>
  <si>
    <t>Centro de Desarrollo Sostenible</t>
  </si>
  <si>
    <t>Casa Caribe</t>
  </si>
  <si>
    <t>Movimiento Mujeres Domi.-Haitiana</t>
  </si>
  <si>
    <t>FUNCAR</t>
  </si>
  <si>
    <t>NC.0138</t>
  </si>
  <si>
    <t>Strengthening Climate Adaptation to Address the Adverse Environmental Drivers of Migration in Agriculture- and Resource-Dependent Communities in Southern Mexico</t>
  </si>
  <si>
    <t>Mexico</t>
  </si>
  <si>
    <t>RAINFOREST ALLIANCE, INC.</t>
  </si>
  <si>
    <t>NC.0147</t>
  </si>
  <si>
    <t>Addressing Climate Migration Root Causes in Iraq - Phase II</t>
  </si>
  <si>
    <t>Peer Organization for Youth Develop</t>
  </si>
  <si>
    <t>Mercy Path for Womens Affairs</t>
  </si>
  <si>
    <t>Ur organization for woman child cul</t>
  </si>
  <si>
    <t>Sparda organisation</t>
  </si>
  <si>
    <t>Five One Labs Inc</t>
  </si>
  <si>
    <t>Alnajah Center for Training Develop</t>
  </si>
  <si>
    <t>Halabja Disabled Organization</t>
  </si>
  <si>
    <t>NC.0161</t>
  </si>
  <si>
    <t>Climate Change and Migration Data Programme</t>
  </si>
  <si>
    <t>CIGEM</t>
  </si>
  <si>
    <t>PB.0078</t>
  </si>
  <si>
    <t>Refugee and Internally Displaced Persons (IDPs) Profiling Towards Sustainable Peace and Durable Solutions in Darfur</t>
  </si>
  <si>
    <t>Sudanese Development Call Organizat</t>
  </si>
  <si>
    <t>PB.0089</t>
  </si>
  <si>
    <t>Conflict Mitigation and Community Reconciliation in Northwest Nigeria</t>
  </si>
  <si>
    <t>MERCY CORPS-NL</t>
  </si>
  <si>
    <t>Netherlands</t>
  </si>
  <si>
    <t>Centre for Democracy and Dev. (CDD)</t>
  </si>
  <si>
    <t>PB.0090</t>
  </si>
  <si>
    <t>Contributing to the Mitigation of Conflict over Natural Resources between Farmer and Herder Communities in Adamawa State, Nigeria (COMITAS Phase 2)</t>
  </si>
  <si>
    <t>SEARCH FOR COMMON GROUND-BE</t>
  </si>
  <si>
    <t>PB.0092</t>
  </si>
  <si>
    <t>Support Institutions and Communities to Build Open and Inclusive Society in Kosovo</t>
  </si>
  <si>
    <t>ECMI Kosovo</t>
  </si>
  <si>
    <t>ADVOCACY CENTER FOR DEMOCRATIC CULT</t>
  </si>
  <si>
    <t>PB.0095</t>
  </si>
  <si>
    <t>Support Institutions and Communities to Build Open and Inclusive Society in Kosovo (as per UNSC Res.1244 (1999))</t>
  </si>
  <si>
    <t>PB.0103</t>
  </si>
  <si>
    <t>Contributing to Sustainable Peace in the BARMM by Supporting IDP Inclusion and Displacement Resolution Measures</t>
  </si>
  <si>
    <t>Philippines</t>
  </si>
  <si>
    <t>Initiatives for Dialogue et Empower</t>
  </si>
  <si>
    <t>PE.0036</t>
  </si>
  <si>
    <t>Supporting National And Local Action To Prevent Violent Extremism In Iraq</t>
  </si>
  <si>
    <t>Al Erada org for relief et developm</t>
  </si>
  <si>
    <t>Success horizon organization for de</t>
  </si>
  <si>
    <t>Al Teeba Organization</t>
  </si>
  <si>
    <t>Watad Organization</t>
  </si>
  <si>
    <t>National Institute for Human Rights</t>
  </si>
  <si>
    <t>Wasel Tasel</t>
  </si>
  <si>
    <t>PO.0221</t>
  </si>
  <si>
    <t>SAWA: Towards Equitable Access to Quality Education and Health Services in Egypt for Women, Children and Other Members of Migrant and Host Communities in Vulnerable Situations</t>
  </si>
  <si>
    <t>Associazione Culturale Raizes</t>
  </si>
  <si>
    <t>PX.0327</t>
  </si>
  <si>
    <t>Protection of Vulnerable Migrants with Special Emphasis on Empowering Women in the Context of Migration in Central Asia</t>
  </si>
  <si>
    <t>PA Crisis Center Sezim</t>
  </si>
  <si>
    <t>Luch Solnca Public Foundation</t>
  </si>
  <si>
    <t>NGO Dunyoi Sabz</t>
  </si>
  <si>
    <t>NGO Women of East</t>
  </si>
  <si>
    <t>World Association of Youth of</t>
  </si>
  <si>
    <t>Karakalpakstan Regional Division Br</t>
  </si>
  <si>
    <t>Andijan regional division of Associ</t>
  </si>
  <si>
    <t>Switzerland</t>
  </si>
  <si>
    <t>PX.0342</t>
  </si>
  <si>
    <t>Promoting a Victim Centered Approach to Counter Trafficking in Persons in Uzbekistan</t>
  </si>
  <si>
    <t>Fergana branch of the public associ</t>
  </si>
  <si>
    <t>NGO Center of Family Entrepreneurs</t>
  </si>
  <si>
    <t>PX.0348</t>
  </si>
  <si>
    <t>Addressing Trafficking in Persons and Related Risks in the Ukraine Emergency Response</t>
  </si>
  <si>
    <t>PX.0353</t>
  </si>
  <si>
    <t>Strengthening Capacities for Protection of Ukrainian Refugees, Third Country Nationals and Host Communities in the Republic of Moldova</t>
  </si>
  <si>
    <t>PX.0365</t>
  </si>
  <si>
    <t>PRO-RIGHTS: Promoting the Rights of Venezuelan Refugees and Migrants in Latin America and the Caribbean</t>
  </si>
  <si>
    <t>OCASIVEN</t>
  </si>
  <si>
    <t>PX.0367</t>
  </si>
  <si>
    <t>Prevent TIP in Climate Change Affected Communities in Kenya</t>
  </si>
  <si>
    <t>CANDLE OF HOPE FOUNDATION</t>
  </si>
  <si>
    <t>PX.0379</t>
  </si>
  <si>
    <t>EU Support to the Fight Against Trafficking in Human Beings in Türkiye</t>
  </si>
  <si>
    <t>TURK KIZILAY DERNEGI</t>
  </si>
  <si>
    <t>PX.0397</t>
  </si>
  <si>
    <t>Tajikistan Safe Migration</t>
  </si>
  <si>
    <t>PO CSR Zerkalo</t>
  </si>
  <si>
    <t>PX.0421</t>
  </si>
  <si>
    <t>Prevention of Trafficking in Persons and Other Protection Risks of Vulnerable Conflict-Affected People of All Genders and Ages in Ukraine and Neighbouring Countries</t>
  </si>
  <si>
    <t>PX.0483</t>
  </si>
  <si>
    <t>Comprehensive Protection Programme for Vulnerable Migrant Populations and Host Communities in Morocco</t>
  </si>
  <si>
    <t>ASSOMAROC SOLIDARITE MEDICO SOCIALE</t>
  </si>
  <si>
    <t>CEFA MAROC</t>
  </si>
  <si>
    <t>ASSOCIATION CENTRE AFRO MED</t>
  </si>
  <si>
    <t>PX.0499</t>
  </si>
  <si>
    <t>Cooperation on Migration and Partnership to Achieve Sustainable Solutions (COMPASS) 2.0</t>
  </si>
  <si>
    <t>The United Iraqi Medical Society fo</t>
  </si>
  <si>
    <t>PX.0513</t>
  </si>
  <si>
    <t>Supporting Unaccompanied Migrant Children at the Northern Greek Borders and Lesvos Safe Area (MERIMNA III – Protection at Greek Borders)</t>
  </si>
  <si>
    <t>Greece</t>
  </si>
  <si>
    <t>VELA HUMANITARIAN ORGANIZATION FOOR</t>
  </si>
  <si>
    <t>PX.0527</t>
  </si>
  <si>
    <t>Provision of Evidence-Based Emergency Protection and Health Care Assistance to the Most Vulnerable Migrant Workers and Their Families Impacted by Multipronged Crises in Lebanon</t>
  </si>
  <si>
    <t>Amel Association</t>
  </si>
  <si>
    <t>PX.0533</t>
  </si>
  <si>
    <t>Protection of Boys, Girls, Teenagers and Women in the Migratory Context in the Dominican Republic</t>
  </si>
  <si>
    <t>PX.0557</t>
  </si>
  <si>
    <t>Assistance and Protection for Irregular Migrants and Their Communities in Lebanon (Phase III)</t>
  </si>
  <si>
    <t>Centre Libanais des Droits Humains</t>
  </si>
  <si>
    <t>PX.0559</t>
  </si>
  <si>
    <t>Global Assistance Fund to Provide Personalized Protection and Direct Sustainable Assistance to Migrants Who Have Experienced or Are Vulnerable to Violence, Exploitation and Abuse</t>
  </si>
  <si>
    <t>PX.0560</t>
  </si>
  <si>
    <t>CAPMiRs in Guatemala Phase 3</t>
  </si>
  <si>
    <t>Guatemala</t>
  </si>
  <si>
    <t>Cruz Roja Guatemala</t>
  </si>
  <si>
    <t>PX.0566</t>
  </si>
  <si>
    <t>Contribution to IOM Flash Appeal - Lebanon Humanitarian Crisis</t>
  </si>
  <si>
    <t>Migration Services and Development</t>
  </si>
  <si>
    <t>SHEILD</t>
  </si>
  <si>
    <t>RE.0538</t>
  </si>
  <si>
    <t>2023 Safe Mobility Office (SMO) initiative in Guatemala, Colombia, Costa Rica, and Ecuador</t>
  </si>
  <si>
    <t>RR.0130</t>
  </si>
  <si>
    <t>Integrated Responses on Migration from Central America Activity</t>
  </si>
  <si>
    <t>The Child Development Foundation</t>
  </si>
  <si>
    <t>Young Women Christian Association</t>
  </si>
  <si>
    <t>CAMARA DE COMERCIO E</t>
  </si>
  <si>
    <t>Panama</t>
  </si>
  <si>
    <t>AID FOR AIDS</t>
  </si>
  <si>
    <t>RR.0294</t>
  </si>
  <si>
    <t>Bangladesh: Reducing Irregular Migration and Supporting Returnees &amp; Displaced Persons</t>
  </si>
  <si>
    <t>BANGLADESH NARI SRAMIK KENDRA</t>
  </si>
  <si>
    <t>Katnarpara Nari Unnayan Sangstha</t>
  </si>
  <si>
    <t>Refugee &amp; Migratory Movements Resea</t>
  </si>
  <si>
    <t>RR.0336</t>
  </si>
  <si>
    <t>Recovery and Advancement of Informal Sector Employment (RAISE): Reintegration of Returning Migrants</t>
  </si>
  <si>
    <t>BRAC</t>
  </si>
  <si>
    <t>RR.0342</t>
  </si>
  <si>
    <t>Migrant Protection, Return and Reintegration Programme for Sub-Saharan Africa (MPRR-SSA)</t>
  </si>
  <si>
    <t>Côte d'Ivoire</t>
  </si>
  <si>
    <t>2IAE (INSTITUT INTERNAT. DES AFFAIR</t>
  </si>
  <si>
    <t>DGPC-NE</t>
  </si>
  <si>
    <t>ENDA SAHEL ET AFRIQUE DE L OUEST</t>
  </si>
  <si>
    <t>Sierra Leone</t>
  </si>
  <si>
    <t>Craving 4 Development</t>
  </si>
  <si>
    <t>RR.0394</t>
  </si>
  <si>
    <t>Bali Process Member States: Return and Reintegration Services to Stranded Migrants</t>
  </si>
  <si>
    <t>SN.0208</t>
  </si>
  <si>
    <t>Ensuring Protection and Life-Saving Assistance to Populations Affected by Gangs Violence in Haiti</t>
  </si>
  <si>
    <t>ALIMA ALLIANCE FOR INT MED ACTION</t>
  </si>
  <si>
    <t>Fondation SEROvie-SEROvie ARPA</t>
  </si>
  <si>
    <t>SN.0236</t>
  </si>
  <si>
    <t>Lifesaving Assistance to Displaced Populations in the Far-North and South-West Regions of Cameroon through Shelter/Non-food Items (NFI) and Cash for Rent</t>
  </si>
  <si>
    <t>TK.0034</t>
  </si>
  <si>
    <t>Supporting Cabo Verde's Local and National Government Towards Sustainable and Inclusive Diaspora Engagement</t>
  </si>
  <si>
    <t>Cabo Verde</t>
  </si>
  <si>
    <t>Universidade de Cabo Verde</t>
  </si>
  <si>
    <t>TK.0038</t>
  </si>
  <si>
    <t>O-REMIT: Offer Cost-Effective Alternatives for Remittances and Opportunities for Investment of Savings</t>
  </si>
  <si>
    <t>VZW Ondernemers voor Ondernemers</t>
  </si>
  <si>
    <t>Year and Quarter</t>
  </si>
  <si>
    <t>2024 Q4</t>
  </si>
  <si>
    <t>CD.0104</t>
  </si>
  <si>
    <t>Community Recovery: Ensuring Conducive Economic and Agriculture Environments in Sumska oblast</t>
  </si>
  <si>
    <t>Entity Grants</t>
  </si>
  <si>
    <t>NGU CLUSTER SLOBOZHANSKE KONOPLIARS</t>
  </si>
  <si>
    <t>CS.1266</t>
  </si>
  <si>
    <t>Regional Programme Supporting Chad, Ethiopia and South Sudan to Respond to the Sudan Crisis</t>
  </si>
  <si>
    <t>Ethiopia</t>
  </si>
  <si>
    <t>Jimma Univers Coll of Agr&amp;Vete Medi</t>
  </si>
  <si>
    <t>Facilitator for Change</t>
  </si>
  <si>
    <t>Positive Action for Development</t>
  </si>
  <si>
    <t>Relief Society of Tigray</t>
  </si>
  <si>
    <t>DP.2659</t>
  </si>
  <si>
    <t>Provision of Humanitarian Coordination, Shelter and Settlements, Water, Sanitation and Hygiene (WASH), Multi-Purpose Cash Assistance (MPCA), Health and Protection Assistance for Crisis-Affected Populations in Ethiopia</t>
  </si>
  <si>
    <t>Kelem Ethiopia</t>
  </si>
  <si>
    <t>Partnership for Pastoralist Devt As</t>
  </si>
  <si>
    <t>Advocacy Center Democracy Developme</t>
  </si>
  <si>
    <t>ZOA RELIEF /HOPE/ RECOVERY</t>
  </si>
  <si>
    <t>Development for Peace Organization</t>
  </si>
  <si>
    <t>DS.0083</t>
  </si>
  <si>
    <t>Strengthening Resilience of Disaster Affected Communities through Durable Solutions in Oromia and Somali Regions of Ethiopia</t>
  </si>
  <si>
    <t>Reach for change</t>
  </si>
  <si>
    <t>LM.0463</t>
  </si>
  <si>
    <t>Poverty Reduction Through Safe Migration, Skills Development and Enhanced Job Placement in Cambodia, Lao People's Democratic Republic, Myanmar and Thailand (PROMISE Phase II)</t>
  </si>
  <si>
    <t>Thailand Professional Qualification</t>
  </si>
  <si>
    <t>LM.0532</t>
  </si>
  <si>
    <t>Migration, Business and Human Rights in Asia: Promoting Corporate Responsibility and Migrant Worker’s Rights in Global Supply Chains</t>
  </si>
  <si>
    <t>PB.0086</t>
  </si>
  <si>
    <t>Strengthening Local Governance for Sustaining Peace in Two (2) PDET Subregions in Colombia</t>
  </si>
  <si>
    <t>FUNDACION CONCERN UNIVERSAL COLOMBI</t>
  </si>
  <si>
    <t>ASOCIACION COMUNAL DE JUNTAS DEL MU</t>
  </si>
  <si>
    <t>PB.0102</t>
  </si>
  <si>
    <t>Women Lead the Way Towards Peace and Security in Bosnia and Herzegovina</t>
  </si>
  <si>
    <t>History Museum of Bosnia and Herzeg</t>
  </si>
  <si>
    <t>NGO Femida</t>
  </si>
  <si>
    <t>NGO Akhtari bakht</t>
  </si>
  <si>
    <t>Counterpart Name</t>
  </si>
  <si>
    <t>Counterpart Location</t>
  </si>
  <si>
    <t>CD.0101</t>
  </si>
  <si>
    <t>WeBelong Phase II: Regional Migration and Development Program contributing toward the Sida 2021-2025 Regional LAC Strategy</t>
  </si>
  <si>
    <t>COALICION POR VENEZUELA INC</t>
  </si>
  <si>
    <t>USA</t>
  </si>
  <si>
    <t>CS.1239</t>
  </si>
  <si>
    <t>Promoting integration opportunity and community resilience for Refugees, Migrants and Host Communities, through actions focusing on the Humanitarian-Development-Peace nexus.</t>
  </si>
  <si>
    <t>SECRETARIADO PASTORAL S.D PALMIRA (</t>
  </si>
  <si>
    <t>CS.1222</t>
  </si>
  <si>
    <t>Support Programme for the Prevention of Conflicts and Violent Extremism in the Border Areas of Togo, Benin and Burkina Faso, Phase 2</t>
  </si>
  <si>
    <t>CNJ.BF</t>
  </si>
  <si>
    <t>CS.1175</t>
  </si>
  <si>
    <t>EU Support to Migration Management in Serbia – Improving Reception Capacity, Protection Services and Access to Education III</t>
  </si>
  <si>
    <t>Serbia</t>
  </si>
  <si>
    <t>OS Branko Radicevic PROJ EU PODR</t>
  </si>
  <si>
    <t>CS.1131</t>
  </si>
  <si>
    <t>Addressing the Root Causes of Irregular Migration Project</t>
  </si>
  <si>
    <t>Labor Mobility Partnership</t>
  </si>
  <si>
    <t>PRO MUJER INC - PROYECTO CRECER</t>
  </si>
  <si>
    <t>CS.1223</t>
  </si>
  <si>
    <t>Support Program for the Prevention of Conflicts and Violent Extremism in the Border Areas of Togo, Benin and Burkina Faso, Phase 2</t>
  </si>
  <si>
    <t>ASSOCIATION LES CHAMPIONS DE</t>
  </si>
  <si>
    <t>CS.1197</t>
  </si>
  <si>
    <t>Strengthened Access to Education and Livelihoods and Enhanced Reintegration and Community Cohesion in Areas Affected by Displacement and Returns</t>
  </si>
  <si>
    <t>UNICEF</t>
  </si>
  <si>
    <t>CS.1216</t>
  </si>
  <si>
    <t>ANPE</t>
  </si>
  <si>
    <t>Togo</t>
  </si>
  <si>
    <t>World Food Programme-SS</t>
  </si>
  <si>
    <t>OS Sremski front</t>
  </si>
  <si>
    <t>CS.1214</t>
  </si>
  <si>
    <t>Livelihood Enhancement Program for Refugees, Migrants, Mauritanian Returnees, and Host Communities in Hodh Chargui</t>
  </si>
  <si>
    <t>Delegation Regional Elevage Nema</t>
  </si>
  <si>
    <t>Reseau Femmes et Developpement des</t>
  </si>
  <si>
    <t>North East Regional House of Chiefs</t>
  </si>
  <si>
    <t>CS.1263</t>
  </si>
  <si>
    <t>Energetic Transition and Territorial Peace-Building in Colombia. Strengthening Community Organizations in PDET and ZOMAC Territories</t>
  </si>
  <si>
    <t>CORPORACION  COLOMBIANA RECREANDO I</t>
  </si>
  <si>
    <t>CS.1252</t>
  </si>
  <si>
    <t>CS.1280</t>
  </si>
  <si>
    <t>Prevention of Recruitment, Use and Exploitation of Children, Adolescents and Young People Phase III</t>
  </si>
  <si>
    <t>FUNDACION VISION DIVINA DEL MANANA</t>
  </si>
  <si>
    <t>NGO Revival of the Nation</t>
  </si>
  <si>
    <t>BO STO VIDSOTKIV ZHYTTIA CHERKASY</t>
  </si>
  <si>
    <t>DP.2537</t>
  </si>
  <si>
    <t>Protecting Vulnerable Migrants and Stabilizing Communities in Libya /Phase III</t>
  </si>
  <si>
    <t>Libya</t>
  </si>
  <si>
    <t>ENGINEERING ORGANIZATION OF DEVELOP</t>
  </si>
  <si>
    <t>Future Makers Society</t>
  </si>
  <si>
    <t>FAB LAB Libya</t>
  </si>
  <si>
    <t>Youth and Giving Organization</t>
  </si>
  <si>
    <t>Tunisia</t>
  </si>
  <si>
    <t>Africa Humanitarian Action</t>
  </si>
  <si>
    <t>HUMAN APPEAL</t>
  </si>
  <si>
    <t>Peace Light for Rural Development</t>
  </si>
  <si>
    <t>Samaritan Aid Organization</t>
  </si>
  <si>
    <t>Hands for Relief An Development Org</t>
  </si>
  <si>
    <t>Kuwaiti Patients Helping Fund (KPHF</t>
  </si>
  <si>
    <t>Driba Center for Environmental Stud</t>
  </si>
  <si>
    <t>TALAWIET ORGANIZATION FOR DEV (TOD)</t>
  </si>
  <si>
    <t>African Vision for Development Org</t>
  </si>
  <si>
    <t>Sahari Organization for Development</t>
  </si>
  <si>
    <t>Peace Initiative and Dev org</t>
  </si>
  <si>
    <t>MEDICAL TEAMS INTERNATIONAL-SD</t>
  </si>
  <si>
    <t>DP.2600</t>
  </si>
  <si>
    <t>Multi-Sector Assistance to Populations Affected by the Syria Crisis</t>
  </si>
  <si>
    <t>Shafak Organization</t>
  </si>
  <si>
    <t>CAR</t>
  </si>
  <si>
    <t>DP.2662</t>
  </si>
  <si>
    <t>Emergency Multisectoral Assistance for the Most Vulnerable Households in Northwest Syria (NWS) and Provision of SSAFE Programming</t>
  </si>
  <si>
    <t>FUTURE RESILIENCE AND DEVELOPMENT</t>
  </si>
  <si>
    <t>Yobe Peace and Community</t>
  </si>
  <si>
    <t>SHERIFF AID FOUNDATION</t>
  </si>
  <si>
    <t>Terre des Hommes Foundation</t>
  </si>
  <si>
    <t>GOALPRIME ORGANIZATION NIGERIA</t>
  </si>
  <si>
    <t>DP.2692</t>
  </si>
  <si>
    <t>A Rapid Response Fund (RRF) program responding to Emergency Needs of Disaster affected population in South Sudan under the states of Greater Equatoria (Central, Western, Eastern), greater Upper Nile (Unity, Upper Nile and Jonglei), Greater Bahr el Gh</t>
  </si>
  <si>
    <t>Hope Africa South Sudan</t>
  </si>
  <si>
    <t>VOICE OF THE PEACE</t>
  </si>
  <si>
    <t>African Relief and Devt Foundation</t>
  </si>
  <si>
    <t>COMMUNITY INITIATIVE FOR DEVELOPMEN</t>
  </si>
  <si>
    <t>WFP SOMALIA ( Somalia Off.)</t>
  </si>
  <si>
    <t>DP.2739</t>
  </si>
  <si>
    <t>Ensuring the Delivery of Critical Humanitarian Assistance to Vulnerable Migrants in the Dominican Republic and The Bahamas.</t>
  </si>
  <si>
    <t>Dominican Rep.</t>
  </si>
  <si>
    <t>Society for Human Rights</t>
  </si>
  <si>
    <t>DP.2791</t>
  </si>
  <si>
    <t>Saving Lives &amp; Building Resilience by Bridging the Gap between Humanitarian Assistance and Development in Bogotá and Santander, Colombia</t>
  </si>
  <si>
    <t>PARROQUIA BEATO JUAN BAUTISTA SCALA</t>
  </si>
  <si>
    <t>CARITAS</t>
  </si>
  <si>
    <t>DP.2792</t>
  </si>
  <si>
    <t>Strengthening Emergency Health Response and Humanitarian Border Management in Sudan</t>
  </si>
  <si>
    <t>DP.2794</t>
  </si>
  <si>
    <t>Responding to Urgent Needs of Internally Displaced People in Northern and Central Mali</t>
  </si>
  <si>
    <t>ONG NOVA MALI</t>
  </si>
  <si>
    <t>DIRECTION NAT.DEV. SOC</t>
  </si>
  <si>
    <t>DP.2798</t>
  </si>
  <si>
    <t>Responding to the Multifaceted Crisis of Migrants and Host Communities in Egypt</t>
  </si>
  <si>
    <t>UNDP - Egypt</t>
  </si>
  <si>
    <t>DP.2799</t>
  </si>
  <si>
    <t>Multisectoral Support to Enhance Integration of Refugees from Ukraine in Poland - 2024</t>
  </si>
  <si>
    <t>Konsorcjum Migracyjne</t>
  </si>
  <si>
    <t>DP.2800</t>
  </si>
  <si>
    <t>Ehancing Access To Essential WASH And Health Services For Conflict Affected Populations In Yemen</t>
  </si>
  <si>
    <t>Youth Creativity Organization for</t>
  </si>
  <si>
    <t>ONG ANTD</t>
  </si>
  <si>
    <t>DP.2818</t>
  </si>
  <si>
    <t>Emergency Protection and MHPSS Support for Returnees in Eastern Chad</t>
  </si>
  <si>
    <t>Association Help-Tchad pour le Dev</t>
  </si>
  <si>
    <t>FRIENDSHIP</t>
  </si>
  <si>
    <t>DP.2823</t>
  </si>
  <si>
    <t>IOM Responding to Humanitarian Needs and Building Local Capacities in Ukraine</t>
  </si>
  <si>
    <t>FUNDATSIIA SPRYIANNIA HROMAD AKTYV</t>
  </si>
  <si>
    <t>INICIA EMPRENDER PARA EL FUTURO</t>
  </si>
  <si>
    <t>FUNDACION LOYOLA (SERVICIO JESUITA)</t>
  </si>
  <si>
    <t>DIAGONAL ASOCIACION CIVIL</t>
  </si>
  <si>
    <t>ASOCIACION CIVIL ALIANZA POR VENEZU</t>
  </si>
  <si>
    <t>Bolivia (PS)</t>
  </si>
  <si>
    <t>PASTORAL SOCIAL CARITAS COCHABAMBA</t>
  </si>
  <si>
    <t>Caritas Boliviana</t>
  </si>
  <si>
    <t>Fundacion Scalabrini Bolivia</t>
  </si>
  <si>
    <t>Asociacion de Venezolanos Santiago</t>
  </si>
  <si>
    <t>ADRA</t>
  </si>
  <si>
    <t>Fundacion de Emigrantes y Refugiado</t>
  </si>
  <si>
    <t>FUNDACION ECUATORIANA EQUIDAD</t>
  </si>
  <si>
    <t>FUNDACION PARA EL DESARROLLO EMPRES</t>
  </si>
  <si>
    <t>CORPORACION KIMIRINA</t>
  </si>
  <si>
    <t>Fundacion Akuanuna</t>
  </si>
  <si>
    <t>Fundacion Alas de Colibrí</t>
  </si>
  <si>
    <t>FUNDACION RED INT DE ORG DE SA RIOS</t>
  </si>
  <si>
    <t>Fundación Lunita Lunera</t>
  </si>
  <si>
    <t>FUDELA - FUNDACION DE LAS AMERICAS</t>
  </si>
  <si>
    <t>DEFENSORIA PUBLICA</t>
  </si>
  <si>
    <t>Asociación Misioneros de San Carlos</t>
  </si>
  <si>
    <t>FUNDACION ACCION CONTRA EL HAMBR-PE</t>
  </si>
  <si>
    <t>Agencia Adventista para el Desarrol</t>
  </si>
  <si>
    <t>CENTRO DE DESARROLLO HUMANO</t>
  </si>
  <si>
    <t>VENEICA ASOCIACION</t>
  </si>
  <si>
    <t>Uruguay</t>
  </si>
  <si>
    <t>AGENCIA ADVENTISTA DE DESARROLLO Y</t>
  </si>
  <si>
    <t>CARE BANGLADESH</t>
  </si>
  <si>
    <t>FUNDACION ALIVIO DEL SUFRIMIENTO</t>
  </si>
  <si>
    <t>CARITAS DE HONDURAS</t>
  </si>
  <si>
    <t>Venezuela (BR)</t>
  </si>
  <si>
    <t>ASOC. CIVIL CARITAS GUASDUALITO</t>
  </si>
  <si>
    <t>FUNDACION PROYECTO MANIAPURE</t>
  </si>
  <si>
    <t>Diocesis Ciudad Guayana</t>
  </si>
  <si>
    <t>HIAS VENEZUELA</t>
  </si>
  <si>
    <t>DP.2848</t>
  </si>
  <si>
    <t>Providing Life-Saving Humanitarian Assistance to the Most Vulnerable and Contributing to Reduced Aid Dependency in Yemen</t>
  </si>
  <si>
    <t>ALDEAS INFANTILES SOS COLOMBIA</t>
  </si>
  <si>
    <t>Juba Foundation</t>
  </si>
  <si>
    <t>DP.2866</t>
  </si>
  <si>
    <t>Emergency Assistance to Displaced Populations and Host Communities Affected by Security Crises and Climate-Related Disasters in Niger (Shelter, Non-food Items and Water, Hygiene and Sanitation (WASH))</t>
  </si>
  <si>
    <t>ONG VISION PLUS</t>
  </si>
  <si>
    <t>Organizace pro pomoc uprchlikum</t>
  </si>
  <si>
    <t>Moldova (Rep)</t>
  </si>
  <si>
    <t>GERMANITAS</t>
  </si>
  <si>
    <t>FUNDACJA HABITAT</t>
  </si>
  <si>
    <t>PODKARPACKIE STOWARZYSZENIE DLA</t>
  </si>
  <si>
    <t>Fundacja To Proste</t>
  </si>
  <si>
    <t>Fundacja EduNowa</t>
  </si>
  <si>
    <t>Romania</t>
  </si>
  <si>
    <t>ADPARE</t>
  </si>
  <si>
    <t>Slovakia</t>
  </si>
  <si>
    <t>EQUITA</t>
  </si>
  <si>
    <t>DP.2876</t>
  </si>
  <si>
    <t>Comprehensive Multi-Sectoral Assistance To Internally Displaced Persons and Host Communities in Yemen</t>
  </si>
  <si>
    <t>Enhancing Resilience in Border communities: Climate-Adapted Water Resource Management and Feeder Roads (DARIS WACAN)</t>
  </si>
  <si>
    <t>IGAD CAEP</t>
  </si>
  <si>
    <t>DP.2883</t>
  </si>
  <si>
    <t>Humanitarian Assistance to IDPs and Other Conflict-Affected People in Lebanon</t>
  </si>
  <si>
    <t>DS.0070</t>
  </si>
  <si>
    <t>STFA Joint Programme for the Southern Region of Afghanistan: Addressing Basic Human Needs through the ABADEI Strategy  - Outcome 2 Livelihoods, businesses and local economy recovery</t>
  </si>
  <si>
    <t>Afghanistan Chamber of Commerce</t>
  </si>
  <si>
    <t>DR.0072</t>
  </si>
  <si>
    <t>Inclusive Mitigation and Preparedness in Action II (IMPACT II) The Federated States of Micronesia</t>
  </si>
  <si>
    <t>Micronesia (FS)</t>
  </si>
  <si>
    <t>Lelu Farmers Association</t>
  </si>
  <si>
    <t>ALAHLIA ASSOCIATION FOR WATER</t>
  </si>
  <si>
    <t>DS.0122</t>
  </si>
  <si>
    <t>Pathways to Durable Solutions: Fostering Peaceful Coexistence and Sustainable Reintegration for IDPs in Iraq</t>
  </si>
  <si>
    <t>Sabe Sanabul Organization</t>
  </si>
  <si>
    <t>Non-Governmental Organization STAN</t>
  </si>
  <si>
    <t>NGO SVITLO NADII</t>
  </si>
  <si>
    <t>DS.0142</t>
  </si>
  <si>
    <t>Comprehensive Reintegration Programme in Areas of Return in Burundi Phase V</t>
  </si>
  <si>
    <t>EP.0042</t>
  </si>
  <si>
    <t>Strengthening Local Capacity of the Republic of Korea in Preparedness and Response to Natural and Man-Made Disasters</t>
  </si>
  <si>
    <t>Korea (the Rep)</t>
  </si>
  <si>
    <t>THE PROMISE</t>
  </si>
  <si>
    <t>FC.0227</t>
  </si>
  <si>
    <t>Support for the Peace Process and the Stability of the Eastern the Democratic Republic of Congo Territories</t>
  </si>
  <si>
    <t>Congo (Dem Rep)</t>
  </si>
  <si>
    <t>UNIR POUR LA COHABITATION L AUTOPRO</t>
  </si>
  <si>
    <t>JEUNESSE POUR LA SOLIDARITE ET DEVE</t>
  </si>
  <si>
    <t>ACIAR ONGD asbl</t>
  </si>
  <si>
    <t>FORUM DES MAMANS DE L ITURI</t>
  </si>
  <si>
    <t>Peace of Mind Initiative Drc</t>
  </si>
  <si>
    <t>FONDATION POUR LA PAIX ET LE DEVELO</t>
  </si>
  <si>
    <t>CEDECO ASBL</t>
  </si>
  <si>
    <t>IB.0403</t>
  </si>
  <si>
    <t>Strengthening National Policing Capacity in the Republic of Moldova</t>
  </si>
  <si>
    <t>AO CNFACEM Centrul National de</t>
  </si>
  <si>
    <t>IB.0407</t>
  </si>
  <si>
    <t>Improved Specialization in Migration Governance and Integrated Border Management in Georgia</t>
  </si>
  <si>
    <t>Georgia</t>
  </si>
  <si>
    <t>UNHCR Voluntary Funds</t>
  </si>
  <si>
    <t>KOREA FOOD FOR THE HUNGRY INTERNATI</t>
  </si>
  <si>
    <t>IS.0156</t>
  </si>
  <si>
    <t>Reinforcing Integration through Sponsorship Enhancement in Belgium, Italy and Lithuania</t>
  </si>
  <si>
    <t>Lithuania</t>
  </si>
  <si>
    <t>Odisee vzw</t>
  </si>
  <si>
    <t>International Medical Corps</t>
  </si>
  <si>
    <t>NGO Womens Center Gulrukhsor</t>
  </si>
  <si>
    <t>NGO Zan va Jomeai asri 21</t>
  </si>
  <si>
    <t>Social-enlight.cent Barqaror Khayot</t>
  </si>
  <si>
    <t>IS.0162</t>
  </si>
  <si>
    <t>Support for the Voluntary Integration of Afghan Nationals in Albania</t>
  </si>
  <si>
    <t>Albania</t>
  </si>
  <si>
    <t>Nisma per Ndryshim Shoqeror ARSIS</t>
  </si>
  <si>
    <t>Qendra Plan and Go</t>
  </si>
  <si>
    <t>LM.0210</t>
  </si>
  <si>
    <t>Displaced Talent for Europe — DT4E</t>
  </si>
  <si>
    <t>Talent Beyond Boundaries UK</t>
  </si>
  <si>
    <t>United Kingdom</t>
  </si>
  <si>
    <t>Foundation For Rural Youth</t>
  </si>
  <si>
    <t>Foundation for Labour</t>
  </si>
  <si>
    <t>LM.0483</t>
  </si>
  <si>
    <t>Mauritania: Strengthening Local Labour Migration Management in Chami, with a Focus on Access to Health Resources and Protection Services</t>
  </si>
  <si>
    <t>ANSADE</t>
  </si>
  <si>
    <t>LM.0509</t>
  </si>
  <si>
    <t>Ethical Recruitment for Safe and Regular Labor Migration in Mexico</t>
  </si>
  <si>
    <t>Proy de Dere Eco Social y Cultural,</t>
  </si>
  <si>
    <t>LM.0533</t>
  </si>
  <si>
    <t>Towards a Holistic Approach to Labour Migration Governance and Labour Mobility (THAMM+) in Italy and North Africa</t>
  </si>
  <si>
    <t>Associazione Centro ELIS</t>
  </si>
  <si>
    <t>KODIKO</t>
  </si>
  <si>
    <t>France</t>
  </si>
  <si>
    <t>FEDASIL</t>
  </si>
  <si>
    <t>AMPF</t>
  </si>
  <si>
    <t>MA.0502</t>
  </si>
  <si>
    <t>Knows no Borders! Programme, Phase II</t>
  </si>
  <si>
    <t>Eswatini</t>
  </si>
  <si>
    <t>AMICAAL -ESWATINI</t>
  </si>
  <si>
    <t>Malawi</t>
  </si>
  <si>
    <t>Evangelical Lutheran Development</t>
  </si>
  <si>
    <t>MA.0547</t>
  </si>
  <si>
    <t>Responding to Mental Health and Psychosocial Support needs of International Protection Applicants in Ireland</t>
  </si>
  <si>
    <t>Ireland</t>
  </si>
  <si>
    <t>Akina Dada wa Africa Limited</t>
  </si>
  <si>
    <t>SPORT AGAINST RACISM IRELAND</t>
  </si>
  <si>
    <t>Third Age Foundation CLG</t>
  </si>
  <si>
    <t>MA.0583</t>
  </si>
  <si>
    <t>Promoting Comprehensive Sexual and Reproductive Health Rights for Migrants, Adolescents and Young People and Sex Workers in Mwanza Neno and Mchinji Districts of Malawi</t>
  </si>
  <si>
    <t>MP.0596</t>
  </si>
  <si>
    <t>Asian Development Bank Support for Continuation of COVID-19 Health Response</t>
  </si>
  <si>
    <t>International Centre for Diarrhoeal</t>
  </si>
  <si>
    <t>MS.0043</t>
  </si>
  <si>
    <t>Western Hemisphere Regional Migration Capacity Building Program (WHP)</t>
  </si>
  <si>
    <t>Belize Red Cross Society</t>
  </si>
  <si>
    <t>IDG-PROYECTO OIM IMPLEMENTACION</t>
  </si>
  <si>
    <t>MS.0047</t>
  </si>
  <si>
    <t>Asia Regional Migration Program</t>
  </si>
  <si>
    <t>Myanmar Civic Cooperation Network</t>
  </si>
  <si>
    <t>MS.0048</t>
  </si>
  <si>
    <t>Strengthening the Governance of Migration in Mauritania and Support the Implementation of the Action Plan of the SNGM</t>
  </si>
  <si>
    <t>NC.0149</t>
  </si>
  <si>
    <t>Environment-Migration Nexus Project in Mali and Strengthening Data Relating to Internal and Cross-Border Movements in the Sahel</t>
  </si>
  <si>
    <t>Kosovo</t>
  </si>
  <si>
    <t>PB.0101</t>
  </si>
  <si>
    <t>Promoting National Reconciliation and Social Cohesion through the Establishment of Provincial Peace and Reconciliation Commissions</t>
  </si>
  <si>
    <t>ONG ODIL</t>
  </si>
  <si>
    <t>AJLCDPE</t>
  </si>
  <si>
    <t>ASSOCIATION AGD</t>
  </si>
  <si>
    <t>ASSOCIATION KOULINA SAWA</t>
  </si>
  <si>
    <t>ASSOCIATION AJUDF</t>
  </si>
  <si>
    <t>AJBDSCE</t>
  </si>
  <si>
    <t>ONG ADSEC</t>
  </si>
  <si>
    <t>PB.0104</t>
  </si>
  <si>
    <t>Youth Empowered through Inclusive Schools and Societies (YESS)</t>
  </si>
  <si>
    <t>PB.0111</t>
  </si>
  <si>
    <t>Peacebuilding Strategies, Programs, and Initiatives Led by the Ministry of Interior in Colombia</t>
  </si>
  <si>
    <t>CORPORACION SEDECOM</t>
  </si>
  <si>
    <t>PE.0038</t>
  </si>
  <si>
    <t>Strengthening the Fishing Sector in Northern Mozambique for Gender-Inclusive Programming to Counter Violent Extremism</t>
  </si>
  <si>
    <t>Peace Winds Japan</t>
  </si>
  <si>
    <t>PO.0225</t>
  </si>
  <si>
    <t>Support to Free Movement of Persons and Migration in West Africa Phase II (FMM West Africa II)</t>
  </si>
  <si>
    <t>International Labour Organization</t>
  </si>
  <si>
    <t>ICMPD</t>
  </si>
  <si>
    <t>PR.0284</t>
  </si>
  <si>
    <t>Migration Research Unit (MRU): Enhancing Capacities in Migration Research and Policy Development in Egypt - Phase II</t>
  </si>
  <si>
    <t>PR.0293</t>
  </si>
  <si>
    <t>Environment, Stakeholders, and Perceptions Analysis for Delivering Humanitarian Response in North-East Nigeria</t>
  </si>
  <si>
    <t>United Nations Institute for Disarm</t>
  </si>
  <si>
    <t>PX.0162</t>
  </si>
  <si>
    <t>A Comprehensive Counter Trafficking Program to Address Human Trafficking in Bangladesh</t>
  </si>
  <si>
    <t>Rights Jessore</t>
  </si>
  <si>
    <t>PX.0318</t>
  </si>
  <si>
    <t>Access, Support and Coordination (ASC)  Programme:  A Collaborative Approach to Support Survivors of Human Trafficking</t>
  </si>
  <si>
    <t>Trinidad,Tobago</t>
  </si>
  <si>
    <t>Amethyst School of Martial Arts and</t>
  </si>
  <si>
    <t>NGO Chashmai Hayot/Kh</t>
  </si>
  <si>
    <t>Turkmenistan</t>
  </si>
  <si>
    <t>National society of Red Crescent</t>
  </si>
  <si>
    <t>Ynamly Egindesh</t>
  </si>
  <si>
    <t>Yenme</t>
  </si>
  <si>
    <t>Mashgala</t>
  </si>
  <si>
    <t>Ynanch Wepa</t>
  </si>
  <si>
    <t>Ynamly Durmush</t>
  </si>
  <si>
    <t>NGO Istiqlol Avlodi</t>
  </si>
  <si>
    <t>NGO Mekhrimiz Sizga</t>
  </si>
  <si>
    <t>NGO SALOMATLIK PLYUS EKOLOGIYA</t>
  </si>
  <si>
    <t>Shijoatli ayol</t>
  </si>
  <si>
    <t>PX.0338</t>
  </si>
  <si>
    <t>Tackling Modern Slavery in Viet Nam</t>
  </si>
  <si>
    <t>CWD</t>
  </si>
  <si>
    <t>NGO Agrar Soha Ayollari</t>
  </si>
  <si>
    <t>PX.0375</t>
  </si>
  <si>
    <t>CinemArena: The Itinerant Education and Information Programme Raising Awareness on Socio-Economic Opportunities and Promoting Empowerment in Africa, as Alternatives to Irregular Migration</t>
  </si>
  <si>
    <t>RO - Dakar</t>
  </si>
  <si>
    <t>ANPEJ</t>
  </si>
  <si>
    <t>PX.0395</t>
  </si>
  <si>
    <t>Countering Trafficking in Persons and Ensuring Assistance to Vulnerable Groups in Ukraine (CTIP/V)</t>
  </si>
  <si>
    <t>NGO SECURITY PRAV</t>
  </si>
  <si>
    <t>FROM YOUTH TO YOUTH</t>
  </si>
  <si>
    <t>EMPOWER U WAVE</t>
  </si>
  <si>
    <t>PX.0418</t>
  </si>
  <si>
    <t>Addressing Emerging Threats Related to Trafficking in Persons in the Republic of Moldova</t>
  </si>
  <si>
    <t>NGO LA STRADA</t>
  </si>
  <si>
    <t>PX.0455</t>
  </si>
  <si>
    <t>Action to Support the Capacity-building of National Stakeholders and the Access to Protection for Vulnerable Migrants in Egypt</t>
  </si>
  <si>
    <t>ELSHEHAB INSTITUTION</t>
  </si>
  <si>
    <t>PX.0453</t>
  </si>
  <si>
    <t>Protection and Assistance to VoTs and UASCs in Morocco</t>
  </si>
  <si>
    <t>ASSOCIATION ANIR</t>
  </si>
  <si>
    <t>Etijah</t>
  </si>
  <si>
    <t>Association Tadamone</t>
  </si>
  <si>
    <t>PX.0497</t>
  </si>
  <si>
    <t>Project for Protection and Assistance for Vulnerable People</t>
  </si>
  <si>
    <t>ASOC C CARITAS DE VENEZUELA</t>
  </si>
  <si>
    <t>FUNDACION CENTRO DE ESTUDIOS SOBRE</t>
  </si>
  <si>
    <t>PX.0504</t>
  </si>
  <si>
    <t>Sudan Better Migration Management (SBMM) Programme - Phase III</t>
  </si>
  <si>
    <t>CIVIPOL</t>
  </si>
  <si>
    <t>British Council-SD</t>
  </si>
  <si>
    <t>UN Office on Drugs and Crime (UNODC</t>
  </si>
  <si>
    <t>ARSIS</t>
  </si>
  <si>
    <t>PX.0514</t>
  </si>
  <si>
    <t>Strengthening Guardianship in the EU through Capacity Building, Knowledge Exchange and Peer Learning</t>
  </si>
  <si>
    <t>Stichting Nidos</t>
  </si>
  <si>
    <t>STOWARZYSZENIE INTERWENCJI PRAWNEJ</t>
  </si>
  <si>
    <t>RODE KRUIS VLANDEREN</t>
  </si>
  <si>
    <t>PX.0517</t>
  </si>
  <si>
    <t>Provision of Protection Assistance to Vulnerable Afghan Populations in Pakistan</t>
  </si>
  <si>
    <t>Society for Empowering Human</t>
  </si>
  <si>
    <t>PX.0519</t>
  </si>
  <si>
    <t>Enhancing Protection of VoTs in Tanzania through Provision of Comprehensive Services</t>
  </si>
  <si>
    <t>Tanzania (UR)</t>
  </si>
  <si>
    <t>WoteSawa Young Domestic Workers Org</t>
  </si>
  <si>
    <t>Courage World Wide Inc Construction</t>
  </si>
  <si>
    <t>L'UNION POUR LA PROTECTION DE L'ENF</t>
  </si>
  <si>
    <t>RP.0122</t>
  </si>
  <si>
    <t>Restoring Our Future Activity</t>
  </si>
  <si>
    <t>LAND, PROPERTY AND REPARATION PROGRAMMES</t>
  </si>
  <si>
    <t>COMPARTAMOS CON COLOMBIA</t>
  </si>
  <si>
    <t>Ministry of Immigration</t>
  </si>
  <si>
    <t>CAMARA DE COMERCIO E INDUSTRIAS DE</t>
  </si>
  <si>
    <t>Camara de comercio e Industria de</t>
  </si>
  <si>
    <t>Fund Consejo Noruego pr. Refugiados</t>
  </si>
  <si>
    <t>FUNDESPA</t>
  </si>
  <si>
    <t>Ovibashi Karmi Unnayan Program</t>
  </si>
  <si>
    <t>WARBE DEVELOPMENT FOUNDATION</t>
  </si>
  <si>
    <t>RR.0317</t>
  </si>
  <si>
    <t>Migrant Protection, Return and Reintegration in North Africa (MPRR-NA)</t>
  </si>
  <si>
    <t>CARITAS EGYPT</t>
  </si>
  <si>
    <t>RR.0328</t>
  </si>
  <si>
    <t>IOM Information and Return Counselling Centre Rhineland-Palatinate - 2023</t>
  </si>
  <si>
    <t>Germany</t>
  </si>
  <si>
    <t>Gemeinsame Diakonische Werke RL</t>
  </si>
  <si>
    <t>Guinea</t>
  </si>
  <si>
    <t>ONG SABOU GUINEE</t>
  </si>
  <si>
    <t>OGLMI</t>
  </si>
  <si>
    <t>MONDE DES ENFANTS</t>
  </si>
  <si>
    <t>LIFE BY DESIGN</t>
  </si>
  <si>
    <t>RR.0400</t>
  </si>
  <si>
    <t>Strengthening Information Networks Return Partners VT</t>
  </si>
  <si>
    <t>Oasis</t>
  </si>
  <si>
    <t>Network of Afghan Diaspora Organisa</t>
  </si>
  <si>
    <t>CAW Zuid-West-Vlaanderen</t>
  </si>
  <si>
    <t>ALEFA DIASPORA ASBL</t>
  </si>
  <si>
    <t>Belgium Kitchen</t>
  </si>
  <si>
    <t>Maison Culturelle Belgo-Albanaise</t>
  </si>
  <si>
    <t>SN.0183</t>
  </si>
  <si>
    <t>Supply Chain Support to Humanitarian Partners Providing Assistance to Populations in Northwest Syria</t>
  </si>
  <si>
    <t>SN.0217</t>
  </si>
  <si>
    <t>Addressing the Immediate Humanitarian Needs of the Most Vulnerable Populations in Ukraine</t>
  </si>
  <si>
    <t>SN.0237</t>
  </si>
  <si>
    <t>Emergency Grant Aid in Response to the Flood Disaster in Ethiopia, Somalia, and Kenya</t>
  </si>
  <si>
    <t>SOMALI VULNERABLE ACTORS</t>
  </si>
  <si>
    <t>TK.0037</t>
  </si>
  <si>
    <t>MIDA FINNSOM Phase III - Health and Education</t>
  </si>
  <si>
    <t>FINLAND SOMALI ASSOCIATION</t>
  </si>
  <si>
    <t>Finland</t>
  </si>
  <si>
    <t>2024 Q3</t>
  </si>
  <si>
    <t>USD Value (per PO and Project) / Sum of Value in USD (Charged to Project)</t>
  </si>
  <si>
    <t>Vision for Ethiopia Association</t>
  </si>
  <si>
    <t>Action for Integrated Sust Dev.Asso</t>
  </si>
  <si>
    <t>Environmentalists Development Assoc</t>
  </si>
  <si>
    <t>Dorcas Aid Ethiopia</t>
  </si>
  <si>
    <t>ASDEPO</t>
  </si>
  <si>
    <t>DanChurchAid</t>
  </si>
  <si>
    <t>Community in Action Against Poverty</t>
  </si>
  <si>
    <t>Gurmuu Development Association</t>
  </si>
  <si>
    <t>Lutheran World Feder'n WS-Eth</t>
  </si>
  <si>
    <t>SUMMIT OF FIRST LADIES AND GENTLEME</t>
  </si>
  <si>
    <t>PB.0087</t>
  </si>
  <si>
    <t>Sustaining Peace and Social Cohesion in Bosnia and Herzegovina through Enhanced Inter-Municipal and Inter-Entity Cooperation on Local Services</t>
  </si>
  <si>
    <t>Bosnia-Herz.</t>
  </si>
  <si>
    <t>Udruzenje Centar za izgradnju mira</t>
  </si>
  <si>
    <t>CORPORACION MUSEO LA TERTULIA</t>
  </si>
  <si>
    <t>CC.0031</t>
  </si>
  <si>
    <t>Supporting the Greek Authorities in Managing the National Reception System for Asylum Seekers and Vulnerable Migrants (SMS)</t>
  </si>
  <si>
    <t>CC.0075</t>
  </si>
  <si>
    <t>Strengthening Accountability to Affected Populations for conflict-affected people in Mocímboa da Praia District of Cabo Delgado, Mozambique</t>
  </si>
  <si>
    <t>ASMOG Parque Nacional Das Quirimbas</t>
  </si>
  <si>
    <t>Canada</t>
  </si>
  <si>
    <t>Asociacion Agape de El Salvador</t>
  </si>
  <si>
    <t>Universidad Centroamericana Jose Si</t>
  </si>
  <si>
    <t>ASOCIACION FE Y ALEGRIA</t>
  </si>
  <si>
    <t>CD.0071</t>
  </si>
  <si>
    <t>SME Boost: Economic Integration of Internally Displaced People and Business Recovery (via IOM to Mitigate the COVID-19 Crisis)</t>
  </si>
  <si>
    <t>PO STARTUP UKRAINE FOUNDATION</t>
  </si>
  <si>
    <t>INSTITUTION RDA OF LVIV REGION</t>
  </si>
  <si>
    <t>CS.1046</t>
  </si>
  <si>
    <t>EU – Community Stabilization Programme Phase IV (EU-CSP IV)</t>
  </si>
  <si>
    <t>Communication for Social Developmet</t>
  </si>
  <si>
    <t>Udruzenje Poslovnih Zena Avenija</t>
  </si>
  <si>
    <t>CS.1128</t>
  </si>
  <si>
    <t>Weaving Lives and Hope Activity (WLH)</t>
  </si>
  <si>
    <t>MICROEMPRESAS DE COLOMBIA</t>
  </si>
  <si>
    <t>FUNDACION SOLE COLOMBIA</t>
  </si>
  <si>
    <t>ASOC AGRICULTORES OCCIDENTE COLOMBI</t>
  </si>
  <si>
    <t>FEDERACION NACIONAL DE CAFETEROS CO</t>
  </si>
  <si>
    <t>Justice in Motion</t>
  </si>
  <si>
    <t>CS.1143</t>
  </si>
  <si>
    <t>Community Stabilization for Conflict-Affected Communities in Northern Mozambique</t>
  </si>
  <si>
    <t>CS.1168</t>
  </si>
  <si>
    <t>Strengthening Women’s Resilience as Peace Actors in Nord and Sahel 2022-25</t>
  </si>
  <si>
    <t>AAAE</t>
  </si>
  <si>
    <t>ASSOCIATION VISION ACTION DEVELOPPE</t>
  </si>
  <si>
    <t>ONG BURKINA VERT</t>
  </si>
  <si>
    <t>APED-RS CN</t>
  </si>
  <si>
    <t>WANEP BURKINA</t>
  </si>
  <si>
    <t>OS Djura Jaksic</t>
  </si>
  <si>
    <t>OS Radoje Domanovic</t>
  </si>
  <si>
    <t>Ekonomsko trgovinska skola</t>
  </si>
  <si>
    <t>Gimnazija Sava Sumanovic</t>
  </si>
  <si>
    <t>OS Branko Pesic</t>
  </si>
  <si>
    <t>OS LAZAR SAVATIC</t>
  </si>
  <si>
    <t>OS KRALJICA MARIJA</t>
  </si>
  <si>
    <t>OS Mile Dubljevic</t>
  </si>
  <si>
    <t>OS Svetozar Markovic</t>
  </si>
  <si>
    <t>OS Jovan Popovic</t>
  </si>
  <si>
    <t>OS Vasa Pelagic</t>
  </si>
  <si>
    <t>CS.1183</t>
  </si>
  <si>
    <t>Conflict Prevention and Resilience Building in the Areas of Return of the Communities of Bosso, Gueskerou and Kablewa in Diffa</t>
  </si>
  <si>
    <t>CS.1184</t>
  </si>
  <si>
    <t>Supporting Stability in Iraq through the Yazidi Female Survivors Law</t>
  </si>
  <si>
    <t>CS.1189</t>
  </si>
  <si>
    <t>Enhanced Water Resource Management in IDP Communities</t>
  </si>
  <si>
    <t>CS.1194</t>
  </si>
  <si>
    <t>Promoting Spaces for Conflict Prevention and Reduced Vulnerability in Abyei: A Joint Programme of the RCs in Sudan and South Sudan in Abyei (hereafter the UN Joint Programme in Abyei)</t>
  </si>
  <si>
    <t>CS.1195</t>
  </si>
  <si>
    <t>Improving Human Security through Community-Based, Community-Led Solutions in Conflict-Affected Repatriation Areas in Ukraine and Strengthening Consular Services of Ukraine</t>
  </si>
  <si>
    <t>United Arab Emirates</t>
  </si>
  <si>
    <t>CS.1206</t>
  </si>
  <si>
    <t>Supporting the Return of Displaced Population in Ninewa Plains and West Ninewa Program</t>
  </si>
  <si>
    <t>Al-Raja Foundation</t>
  </si>
  <si>
    <t>Nadia’s Initiative, Inc.</t>
  </si>
  <si>
    <t>Al Tadhamun Iraqi League for Youth</t>
  </si>
  <si>
    <t>ZIMBABWE HUMAN RIGHTS COMMISSION</t>
  </si>
  <si>
    <t>CIVIC FORUM ON HUMAN DEVELOPMENT</t>
  </si>
  <si>
    <t>CS.1264</t>
  </si>
  <si>
    <t>Support to Vulnerable Displaced Communities in Centre-Nord Region of Burkina Faso through Livelihoods and Mental Health and Psychosocial Support Activities</t>
  </si>
  <si>
    <t>VETERINAIRES SANS FRONTIERES BELGIQ</t>
  </si>
  <si>
    <t>CROIX ROUGE BURKINABE</t>
  </si>
  <si>
    <t>CS.1267</t>
  </si>
  <si>
    <t>EU Support to Migration Management in Serbia - Fostering Positive Narrative on Refugees and Migrants, Strengthening Social Cohesion and Improvement of Migration and Asylum Policies</t>
  </si>
  <si>
    <t>UNHCR Belgrade</t>
  </si>
  <si>
    <t>DP.1716</t>
  </si>
  <si>
    <t>Strengthening the Humanitarian Response for Vulnerable People on the Move in Mexico</t>
  </si>
  <si>
    <t>HOSPITALIDAD Y SOLIDARIDAD AC</t>
  </si>
  <si>
    <t>DIALOGO INTERCULTURAL MEXICANO AC</t>
  </si>
  <si>
    <t>DP.2398</t>
  </si>
  <si>
    <t>DP.2412</t>
  </si>
  <si>
    <t>Multi-Sectoral Humanitarian Assistance for Displaced and Mobile Populations in Sudan</t>
  </si>
  <si>
    <t>Iran(Islam Rep)</t>
  </si>
  <si>
    <t>DP.2437</t>
  </si>
  <si>
    <t>Everyone Counts - Inclusive Data for Stability and Development</t>
  </si>
  <si>
    <t>BF PRAVO NA ZAKHYST</t>
  </si>
  <si>
    <t>DP.2469</t>
  </si>
  <si>
    <t>Sanitation for All</t>
  </si>
  <si>
    <t>Norwegian Church Aid</t>
  </si>
  <si>
    <t>ThinkPlace Kenya Limited</t>
  </si>
  <si>
    <t>FikatBengat Garment Trading Plc</t>
  </si>
  <si>
    <t>ACTED UKRAINE</t>
  </si>
  <si>
    <t>DP.2482</t>
  </si>
  <si>
    <t>2022 French Contribution to IOM’s Activities for the Ukraine Crisis</t>
  </si>
  <si>
    <t>DP.2499</t>
  </si>
  <si>
    <t>Direct Life-Saving and Protection Assistance for Conflict-Affected Populations in Eastern Democratic Republic of the Congo</t>
  </si>
  <si>
    <t>PDHPES</t>
  </si>
  <si>
    <t>RESEAU D'ACTION POUR LE DVPT</t>
  </si>
  <si>
    <t>Humanity for Development and Prospe</t>
  </si>
  <si>
    <t>DP.2573</t>
  </si>
  <si>
    <t>​​Addressing the Needs of Vulnerable Migrants within the Humanitarian, Development and Peace Nexus in Thailand</t>
  </si>
  <si>
    <t>DP.2596</t>
  </si>
  <si>
    <t>Promoting Thermophilic Anaerobic Digestion in Faecal Sludge Treatment to Contribute to the Prevention of Cholera Outbreaks in Bangladesh’s Rohingyas Refugee Camps</t>
  </si>
  <si>
    <t>DP.2598</t>
  </si>
  <si>
    <t>Contributing to Improved Living Conditions and Safety for Flood Affected Populations in Pakistan through Provision of Multisectoral Assistance</t>
  </si>
  <si>
    <t>DP.2604</t>
  </si>
  <si>
    <t>Promoting Shelter Upgrade and Community Building in Bhasan Char and Cox's Bazar District</t>
  </si>
  <si>
    <t>DP.2612</t>
  </si>
  <si>
    <t>Enhancing Diasporas’ Operations and Coordination in Humanitarian Assistance for Increased Impact within a Framework for Diaspora Engagement in Humanitarian Assistance – Phase III</t>
  </si>
  <si>
    <t>SHABAKA SOCIAL ENTERPRISE, C.I.C.</t>
  </si>
  <si>
    <t>DP.2613</t>
  </si>
  <si>
    <t>Regional Refugee and Migrant Response Plan (RMRP 2023 - 2024) for the Venezuelan situation in Colombia</t>
  </si>
  <si>
    <t>DP.2614</t>
  </si>
  <si>
    <t>Regional Refugee and Migrant Response Plan (RMRP) for the Venezuela Situation 2023</t>
  </si>
  <si>
    <t>CRUZ ROJA ARGENTINA</t>
  </si>
  <si>
    <t>Brazil</t>
  </si>
  <si>
    <t>Improving the Living Conditions of Affected Populations (IDPS and returnees) in the Central African Republic through Multi-Sectoral Assistance</t>
  </si>
  <si>
    <t>SYRIA RELIEF</t>
  </si>
  <si>
    <t>DP.2638</t>
  </si>
  <si>
    <t>Humanitarian Assistance to Displaced Populations in Lac Province, Chad</t>
  </si>
  <si>
    <t>New Millennium Women Empowerment Or</t>
  </si>
  <si>
    <t>DP.2664</t>
  </si>
  <si>
    <t>Enhanced Displacement and Mobility Tracking and Multi-Sectoral Support for Displaced Populations in Nigeria</t>
  </si>
  <si>
    <t>DP.2667</t>
  </si>
  <si>
    <t>Strengthening NGOs' as well as Local and Diaspora-led CSOs’ Capacities on Preparedness and Emergency Response in the Context of Mixed Migration Flows in LAC and Shelter Support for Migrants and Host Communities in Ecuador</t>
  </si>
  <si>
    <t>DP.2669</t>
  </si>
  <si>
    <t>Addressing Urgent Humanitarian Needs of Conflict-Affected Populations in Ukraine</t>
  </si>
  <si>
    <t>NGO Maysternya Dobra</t>
  </si>
  <si>
    <t>CO CF IMPLEMENTATION OF IDEAS</t>
  </si>
  <si>
    <t>NGO West Ukrainian Resource Center</t>
  </si>
  <si>
    <t>DP.2671</t>
  </si>
  <si>
    <t>IOM's Earthquake Response in Türkiye</t>
  </si>
  <si>
    <t>Genc Hayat Vakfi</t>
  </si>
  <si>
    <t>HAYATA DESTEK DERNEGI</t>
  </si>
  <si>
    <t>DP.2678</t>
  </si>
  <si>
    <t>​​Humanitarian Response to People in Situations of Mobility, Transit, and Displacement in Honduras in the Context of Insecurity and Humanitarian Crises ​</t>
  </si>
  <si>
    <t>Novel Alliance for Development Aid</t>
  </si>
  <si>
    <t>CATHOLIC CARITAS FOUNDATION OF NIG</t>
  </si>
  <si>
    <t>Peace restoration and Integral</t>
  </si>
  <si>
    <t>DP.2690</t>
  </si>
  <si>
    <t>​​PRM Voluntary Contribution to the Sudan Emergency Regional Refugee Response Plan (3RP) 2023​</t>
  </si>
  <si>
    <t>DP.2691</t>
  </si>
  <si>
    <t>Multi-purpose Cash Response for Food Insecure Households impacted by Drought</t>
  </si>
  <si>
    <t>YOUTH EMPOWERMENT AND DEVELOPMENT A</t>
  </si>
  <si>
    <t>UNITED NETWORKS FOR HEALTH</t>
  </si>
  <si>
    <t>African Christian Ecumenical</t>
  </si>
  <si>
    <t>Hold the Child</t>
  </si>
  <si>
    <t>HOPE RESTORATION</t>
  </si>
  <si>
    <t>THE RESCUE MISSION</t>
  </si>
  <si>
    <t>RURAL DEVELOPMENT ACTION AID</t>
  </si>
  <si>
    <t>COMMUNITY AID FOR RELIEF AND DEVELO</t>
  </si>
  <si>
    <t>HEALTH LINK SOUTH SUDAN</t>
  </si>
  <si>
    <t>HEALTH ACTION AFRICA</t>
  </si>
  <si>
    <t>DP.2693</t>
  </si>
  <si>
    <t>Provision Of Life-Saving Multi-Sectoral Assistance To Internally Displaced Persons and Host Communities in Yemen</t>
  </si>
  <si>
    <t>DP.2701</t>
  </si>
  <si>
    <t>2023 Ukraine Response to Support Refugees from Ukraine across Europe</t>
  </si>
  <si>
    <t>The City of Sokolov</t>
  </si>
  <si>
    <t>The Statutory City of Ostrava</t>
  </si>
  <si>
    <t>Mesto Tachov</t>
  </si>
  <si>
    <t>Egyseg Ukran Egyesulet</t>
  </si>
  <si>
    <t>Ukran Hagyomanyok Haza Nonprofit</t>
  </si>
  <si>
    <t>Internews Network</t>
  </si>
  <si>
    <t>Fundacja Po Drugie</t>
  </si>
  <si>
    <t>La Strada Fundacja</t>
  </si>
  <si>
    <t>Fundacja Inna Przestrzen</t>
  </si>
  <si>
    <t>Centralna Rada Romow w Polsce</t>
  </si>
  <si>
    <t>Asociatia Suryam- Mures Hub</t>
  </si>
  <si>
    <t>AIDROM</t>
  </si>
  <si>
    <t>AsociatiaCentrulpentruResurseCivice</t>
  </si>
  <si>
    <t>DP.2704</t>
  </si>
  <si>
    <t>Enhancing Resilience and Recovery in Mykolaiv</t>
  </si>
  <si>
    <t>DP.2706</t>
  </si>
  <si>
    <t>Multisectoral Emergency Response to Conflict and Climate Shock Affected Internally Displaced Populations and Communities in Northern Mozambique – Phase III</t>
  </si>
  <si>
    <t>DP.2707</t>
  </si>
  <si>
    <t>Provision of Integrated Protection and Life-Saving Health Services to Migrants and Internally Displaced Persons (IDPs) in Yemen</t>
  </si>
  <si>
    <t>China</t>
  </si>
  <si>
    <t>DP.2729</t>
  </si>
  <si>
    <t>IOM - Ukraine Kakhovka dam - 2023</t>
  </si>
  <si>
    <t>DP.2731</t>
  </si>
  <si>
    <t>Providing Integrated Humanitarian Assistance to Displaced Populations in Iraq</t>
  </si>
  <si>
    <t>DP.2733</t>
  </si>
  <si>
    <t>IOM Assistance Program for Afghans in US managed Transit Center, Camp As Sayliyah (CAS), in Doha, Qatar</t>
  </si>
  <si>
    <t>Qatar</t>
  </si>
  <si>
    <t>DP.2748</t>
  </si>
  <si>
    <t>Multi-Sectoral Humanitarian Assistance to Drought-Affected Displaced Communities in Marsabit and Isiolo in Kenya</t>
  </si>
  <si>
    <t>DP.2751</t>
  </si>
  <si>
    <t>Direct Humanitarian Assistance to Vulnerable Populations Affcted by Forced Displacement in Niger- PHASE VII</t>
  </si>
  <si>
    <t>DP.2759</t>
  </si>
  <si>
    <t>Support of IOM Activities in Pakistan Outlines in the 2023 Refugee Response Plan (RRP) for the Afghanistan Situation</t>
  </si>
  <si>
    <t>Precision Helath Consultants (PHC)</t>
  </si>
  <si>
    <t>Norway</t>
  </si>
  <si>
    <t>India</t>
  </si>
  <si>
    <t>DP.2781</t>
  </si>
  <si>
    <t>Emergency Lifesaving Assistance to Flood Affected Population in Ethiopia through Cash and Shelter/Non-food Items Assistance</t>
  </si>
  <si>
    <t>ACTED Haiti</t>
  </si>
  <si>
    <t>DP.2786</t>
  </si>
  <si>
    <t>Emergency Assistance to Flood Affected Populations in Burundi</t>
  </si>
  <si>
    <t>TERRA RENAISSANCE</t>
  </si>
  <si>
    <t>CROIX ROUGE DU BURUNDI</t>
  </si>
  <si>
    <t>DP.2790</t>
  </si>
  <si>
    <t>Evidence-Based Protection Assistance for Populations Affected by Natural Hazards in Burundi</t>
  </si>
  <si>
    <t>DP.2795</t>
  </si>
  <si>
    <t>Provision of Integrated Multi-sectoral Humanitarian Assistance to Vulnerable Displaced Populations in South Sudan</t>
  </si>
  <si>
    <t>Narrative Hub</t>
  </si>
  <si>
    <t>COMMUNITY ENGAGEMENT NETWORK CEN</t>
  </si>
  <si>
    <t>DP.2805</t>
  </si>
  <si>
    <t>Multisectoral Support to Respond to Needs of Refugees and Host Communities in the Republic of Moldova</t>
  </si>
  <si>
    <t>DP.2813</t>
  </si>
  <si>
    <t>Supporting vulnerable refugees and host communities in Cox's Bazar, Bangladesh through improved access to Health, Protection, Shelter, Site Management &amp; Site Development services, and through enhanced disaster displacement management at national leve</t>
  </si>
  <si>
    <t>FUNDACION COMISION CATOLICA ARG</t>
  </si>
  <si>
    <t>DR.0046</t>
  </si>
  <si>
    <t>Together for Equality: Preventing and Responding to Gender-Based Violence in Timor-Leste</t>
  </si>
  <si>
    <t>Timor-Leste</t>
  </si>
  <si>
    <t>Palau</t>
  </si>
  <si>
    <t>DR.0062</t>
  </si>
  <si>
    <t>Strengthening National and Local Disaster Preparedness and Response Capacities in Border Areas and Transhumance Corridors in Hodh Ech Chargui Region of Mauritania.</t>
  </si>
  <si>
    <t>Fiji</t>
  </si>
  <si>
    <t>DR.0071</t>
  </si>
  <si>
    <t>Action and Support to Avert, Minimise and Address Displacement Related with the Adverse Impacts of Climate Change in Bangladesh</t>
  </si>
  <si>
    <t>ICCCAD</t>
  </si>
  <si>
    <t>DS.0033</t>
  </si>
  <si>
    <t>Internally Displaced Person (IDP) Housing</t>
  </si>
  <si>
    <t>DS.0059</t>
  </si>
  <si>
    <t>Promoting Durable Solutions to Displacement Affected Populations In Tanganyika Province of the Democratic Republic of the Congo</t>
  </si>
  <si>
    <t>AVUDS</t>
  </si>
  <si>
    <t>DS.0074</t>
  </si>
  <si>
    <t>Localizing SDGs: for Local by Local in Bangladesh</t>
  </si>
  <si>
    <t>DS.0092</t>
  </si>
  <si>
    <t>Sustainable and Gender Sensitive Integration of IDPs in Pemba through the Implementation of Urban Durable Solutions</t>
  </si>
  <si>
    <t>DS.0093</t>
  </si>
  <si>
    <t>Enhancing Resilience and Recovery Through Area-Based Support in Ukraine</t>
  </si>
  <si>
    <t>Armenia</t>
  </si>
  <si>
    <t>DS.0105</t>
  </si>
  <si>
    <t>Support of IOM Activities in Türkiye as Outlined in the 2023 Syria Regional Refugee Response Plan (3RP)</t>
  </si>
  <si>
    <t>Baylan Olcu Aletleri San.Tic. A.S.</t>
  </si>
  <si>
    <t>Karesi Polyester ve Petrokimya</t>
  </si>
  <si>
    <t>DS.0112</t>
  </si>
  <si>
    <t>Building cohesive communities in Dnipropetrovsk Oblast</t>
  </si>
  <si>
    <t>DS.0121</t>
  </si>
  <si>
    <t>Netherlands Flexible Mechanism Fund (2023-2024) - Unity in Transition: Towards Community-led Triple Nexus Programming in Unity State</t>
  </si>
  <si>
    <t>Cross Cultures Project Association</t>
  </si>
  <si>
    <t>UK-MED</t>
  </si>
  <si>
    <t>VRRTEMD</t>
  </si>
  <si>
    <t>MEDICAL TEAMS INTERNATIONAL-UA</t>
  </si>
  <si>
    <t>DS.0128</t>
  </si>
  <si>
    <t>Urban Durable Solutions, Pemba, Cabo Delgado</t>
  </si>
  <si>
    <t>UNHABITAT</t>
  </si>
  <si>
    <t>DX.0096</t>
  </si>
  <si>
    <t>Supporting Conflict-Affected Populations in the Far North of Cameroon through Providing Reliable Displacement Figures/Trends and Timely Shelter/Settlements Support</t>
  </si>
  <si>
    <t>COMUNITY HUMANITARIAN EMERGENCY</t>
  </si>
  <si>
    <t>ASSOCIATION DES ANIMATEURS ET ENCAD</t>
  </si>
  <si>
    <t>DX.0097</t>
  </si>
  <si>
    <t>Mobility Tracking and Multi-Sectoral Humanitarian Needs in Localities and Sites Affected by Displacement/Return in the Central African Republic (National Coverage)</t>
  </si>
  <si>
    <t>DX.0112</t>
  </si>
  <si>
    <t>The International Organization for Migration Displacement Tracking Matrix</t>
  </si>
  <si>
    <t>ASOCIACION CIVIL ACCION ZULIANA</t>
  </si>
  <si>
    <t>Cruz Roja Venezolana Secc Apure</t>
  </si>
  <si>
    <t>Asociacion Civil Centro de Desarrol</t>
  </si>
  <si>
    <t>RO - Pretoria R</t>
  </si>
  <si>
    <t>South Africa</t>
  </si>
  <si>
    <t>EP.0036</t>
  </si>
  <si>
    <t>Enhancing Disaster Risk Management (DRM) in Libya</t>
  </si>
  <si>
    <t>Marshall Islnds</t>
  </si>
  <si>
    <t>FC.0219</t>
  </si>
  <si>
    <t>Enhancing Ukrainian Resilience through Strengthened Capacities of Psychosocial Support for Veterans</t>
  </si>
  <si>
    <t>MAVUNO GRASSROOTS DVPT FOR CONGO</t>
  </si>
  <si>
    <t>BEARIC ASBL</t>
  </si>
  <si>
    <t>FC.0229</t>
  </si>
  <si>
    <t>South – South Cooperation Program for Peacebuilding from Colombia to the World</t>
  </si>
  <si>
    <t>ONG CORPORACION PROCASUR</t>
  </si>
  <si>
    <t>IB.0055</t>
  </si>
  <si>
    <t>Secure Cross Border Social Economic and Commercial Activities in the Great Lakes Region</t>
  </si>
  <si>
    <t>Rwanda</t>
  </si>
  <si>
    <t>Trade mark East Africa</t>
  </si>
  <si>
    <t>IB.0276</t>
  </si>
  <si>
    <t>Strengthening Government of Pakistan's Capacities for Countering Trafficking in Persons and Smuggling of Migrants</t>
  </si>
  <si>
    <t>IRARA Service (pvt) LTD</t>
  </si>
  <si>
    <t>IB.0284</t>
  </si>
  <si>
    <t>Strengthening the Northern Borders of Côte d'Ivoire, Ghana, and Togo</t>
  </si>
  <si>
    <t>Cote d'Ivoire</t>
  </si>
  <si>
    <t>STAR GHANA FOUNDATION</t>
  </si>
  <si>
    <t>IB.0303</t>
  </si>
  <si>
    <t>Provision of Critical Support to Afghan Refugees and Migrants in Iran</t>
  </si>
  <si>
    <t>IB.0332</t>
  </si>
  <si>
    <t>Public Information Campaign to Deter Potential Irregular Maritime Migration from Vietnam to Australia in 2022-23</t>
  </si>
  <si>
    <t>Quang Binh Immigration Division</t>
  </si>
  <si>
    <t>Binh Thuan Border Guard</t>
  </si>
  <si>
    <t>IB.0340</t>
  </si>
  <si>
    <t>Mekong Region: Responding to Cross Border Mobility Challenges at Points of Entry Phase III</t>
  </si>
  <si>
    <t>Cambodia</t>
  </si>
  <si>
    <t>Sri Lanka</t>
  </si>
  <si>
    <t>Montenegro</t>
  </si>
  <si>
    <t>IB.0386</t>
  </si>
  <si>
    <t>Costa Rica: Strengthening Law Enforcement and Criminal Justice Agencies' Capacity to Coordinate and Exchange Information to Investigate and Prosecute Human Trafficking and the Smuggling of Migrants</t>
  </si>
  <si>
    <t>FUNDEPREDI</t>
  </si>
  <si>
    <t>IS.0028</t>
  </si>
  <si>
    <t>Oportunidades: Economic Integration of Migrants in Brazil</t>
  </si>
  <si>
    <t>SERVIÇO PASTORAL DOS MIGRANTES DO</t>
  </si>
  <si>
    <t>PIA SOCIEDADE MISSION S CARLOS</t>
  </si>
  <si>
    <t>IS.0101</t>
  </si>
  <si>
    <t>Promoting Social Cohesion by Combatting Xenophobia and Anti-Migrant Sentiments Against International Migrants in the Kyrgyz Republic</t>
  </si>
  <si>
    <t>PF Tvorcheskih Jenshin Asii</t>
  </si>
  <si>
    <t>IS.0105</t>
  </si>
  <si>
    <t>Promotion of the Integration of the Refugee Population into the Labour Market</t>
  </si>
  <si>
    <t>MEDECINS DU MONDE GREECE</t>
  </si>
  <si>
    <t>IS.0127</t>
  </si>
  <si>
    <t>Balochistan Rural Support Program</t>
  </si>
  <si>
    <t>IS.0139</t>
  </si>
  <si>
    <t>Promoting and Advancing Language Rights in Kosovo</t>
  </si>
  <si>
    <t>DOMOVIK</t>
  </si>
  <si>
    <t>IS.0144</t>
  </si>
  <si>
    <t>Novas Vidas: Promoting Sustainable Integration of Vulnerable Young Migrants in Brazil</t>
  </si>
  <si>
    <t>Instituto Adus</t>
  </si>
  <si>
    <t>Associacao Educacao Sem Fronteiras</t>
  </si>
  <si>
    <t>Canadian Orientation Abroad (COA)</t>
  </si>
  <si>
    <t>Refugee Reception Centre</t>
  </si>
  <si>
    <t>Universita degli Studi Roma Tre</t>
  </si>
  <si>
    <t>Algeria</t>
  </si>
  <si>
    <t>IV.0037</t>
  </si>
  <si>
    <t>Western Hemisphere Regional Processing Center Capacity and Infrastructure</t>
  </si>
  <si>
    <t>Hong Kong</t>
  </si>
  <si>
    <t>Vanuatu</t>
  </si>
  <si>
    <t>LM.0405</t>
  </si>
  <si>
    <t>Project to Reduce Youth Unemployment Through Capacity Building and the Involvement of the Diaspora</t>
  </si>
  <si>
    <t>PAEEJ</t>
  </si>
  <si>
    <t>LM.0502</t>
  </si>
  <si>
    <t>IRIS Global Policy Network</t>
  </si>
  <si>
    <t>LM.0516</t>
  </si>
  <si>
    <t>Promoting Intra-Regional Labour Migration for Local Development in West African Countries - Migration for Development Program (MDP)</t>
  </si>
  <si>
    <t>Fundation Privada Instituto salud</t>
  </si>
  <si>
    <t>Spain</t>
  </si>
  <si>
    <t>Pfuka Lixile</t>
  </si>
  <si>
    <t>FUNDACAO WIWANANA</t>
  </si>
  <si>
    <t>Save the children-NL</t>
  </si>
  <si>
    <t>MA.0569</t>
  </si>
  <si>
    <t>BARMM Resilience</t>
  </si>
  <si>
    <t>Notre Dame University</t>
  </si>
  <si>
    <t>Mindanao Organization for Social</t>
  </si>
  <si>
    <t>MH.0076</t>
  </si>
  <si>
    <t>Services for Assisted Passage, Medical and Related Services for Australian Government Funded Refugees and Special Humanitarian Program Entrants</t>
  </si>
  <si>
    <t>Malaysia</t>
  </si>
  <si>
    <t>MH.0101</t>
  </si>
  <si>
    <t>Health Assessments in Africa</t>
  </si>
  <si>
    <t>World Food Programme-KE</t>
  </si>
  <si>
    <t>Zambia</t>
  </si>
  <si>
    <t>MH.0102</t>
  </si>
  <si>
    <t>Health Assessments in Middle East and North Africa</t>
  </si>
  <si>
    <t>MH.0115</t>
  </si>
  <si>
    <t>Vaccine Demand and Confidence: Sustaining the expansion of the Overseas Health Assessment and Management of U.S. - Bound Refugees, Non-Immigrant Visa Applicants and other Migrant Populations</t>
  </si>
  <si>
    <t>MP.0371</t>
  </si>
  <si>
    <t>Middle East Response – Ensuring Continuity of Treatment and Essential Services for People Affected by HIV, TB and Malaria in Yemen, Syria, Iraq, Jordan, Lebanon and Palestine.</t>
  </si>
  <si>
    <t>MP.0523</t>
  </si>
  <si>
    <t>Health and Gender Support Project for Cox's Bazar District</t>
  </si>
  <si>
    <t>MP.0621</t>
  </si>
  <si>
    <t>Humanitarian Response to Venezuelan Migrants and Refugees in Colombia, Ecuador, Peru and Venezuela – Phase IV</t>
  </si>
  <si>
    <t>ADRA- CORPORACION AGENCIA</t>
  </si>
  <si>
    <t>MS.0024</t>
  </si>
  <si>
    <t>Voluntary Contribution From the Ministry of Foreign Affairs of the Republic of Uruguay to Support the Operation of the IOM Office in Uruguay and to Finance Jointly Defined Activities</t>
  </si>
  <si>
    <t>Asociacion Psicoanalitica Uruguay</t>
  </si>
  <si>
    <t>MS.0038</t>
  </si>
  <si>
    <t>Enhance Migration Governance Through Evidence-Based Programming and Strengthened Capacities of Authorities in Kosovo (as per UNSC Res.1244 (1999))</t>
  </si>
  <si>
    <t>Roma Versitas Kosovo</t>
  </si>
  <si>
    <t>MS.0042</t>
  </si>
  <si>
    <t>European Union Support to Uganda’s Engagement on Forced Displacement and Migration</t>
  </si>
  <si>
    <t>AGENCY FOR TECHNICAL CO-OP AND DEVT</t>
  </si>
  <si>
    <t>RAISING GABDHO FOUNDATION LIMITED</t>
  </si>
  <si>
    <t>MS.0045</t>
  </si>
  <si>
    <t>Africa Regional Migration Program</t>
  </si>
  <si>
    <t>ONG CSVVDH</t>
  </si>
  <si>
    <t>AIFPDEC</t>
  </si>
  <si>
    <t>Indonesia</t>
  </si>
  <si>
    <t>Yay Inisiasi Pengkajian Resiliensi</t>
  </si>
  <si>
    <t>Yay Pusat Penelitian Aceh dan Samud</t>
  </si>
  <si>
    <t>Yayasan Pos Bantuan Hukum dan HAM</t>
  </si>
  <si>
    <t>Forum LSM Aceh</t>
  </si>
  <si>
    <t>NC.0115</t>
  </si>
  <si>
    <t>Climate Security Risks and Natural Resources Management to Safeguard Human Mobility and Peaceful Co-existence in Central Mali</t>
  </si>
  <si>
    <t>NC.0134</t>
  </si>
  <si>
    <t>Addressing Climate and Environment-Induced Mobility in the Arid and Semi-Arid Lands (ASALs) in Kenya</t>
  </si>
  <si>
    <t>KENYA RED CROSS SOCIETY</t>
  </si>
  <si>
    <t>VSF GERMANY</t>
  </si>
  <si>
    <t>PB.0077</t>
  </si>
  <si>
    <t>Building the MHPSS-Gender-Peacebuilding Nexus: Fostering Wellbeing, Non-violent, Gender Equitable Masculinity, and Social Restoration with Young People in West Darfur, Sudan</t>
  </si>
  <si>
    <t>PB.0080</t>
  </si>
  <si>
    <t>NAB'IL: Organized Mayan and Mestizo Youth Contributing to the Construction of Inclusive Societies and Peaceful Coexistence in Huehuetenango</t>
  </si>
  <si>
    <t>CHILDFUND INTERNATIONAL, USA</t>
  </si>
  <si>
    <t>Proni - Centar za omladinski razvoj</t>
  </si>
  <si>
    <t>Universiteti i Prishtines</t>
  </si>
  <si>
    <t>PB.0105</t>
  </si>
  <si>
    <t>Enhancing and Sustaining Peace and Security Mechanims through Support to Joint Peace and Security Teams in Mindanao, Philippines</t>
  </si>
  <si>
    <t>Madagascar</t>
  </si>
  <si>
    <t>PE.0030</t>
  </si>
  <si>
    <t>Preventing Violent Extremism and Building Social Cohesion in the Northern Region of Mozambique</t>
  </si>
  <si>
    <t>B. WEARS AND SONS LIMITED</t>
  </si>
  <si>
    <t>PX.0326</t>
  </si>
  <si>
    <t>Heal, Empower, Rise – Counter Trafficking in Persons (HER CTIP)</t>
  </si>
  <si>
    <t>Public Foundation Daris-2016</t>
  </si>
  <si>
    <t>NGO Rodnik Almaty</t>
  </si>
  <si>
    <t>Kaysar</t>
  </si>
  <si>
    <t>Institution Skills Development fund</t>
  </si>
  <si>
    <t>NGO Chashma</t>
  </si>
  <si>
    <t>NGO Society Development Fund</t>
  </si>
  <si>
    <t>NGO Mayram</t>
  </si>
  <si>
    <t>PO Women Lawyers for Development</t>
  </si>
  <si>
    <t>NGO Ruhafzo</t>
  </si>
  <si>
    <t>PX.0328</t>
  </si>
  <si>
    <t>Ensuring Critical Protection Assistance for People On-The-Move and Strengthening National Disaster Management Capacities to Address Natural and Man-Made Threats in Haiti</t>
  </si>
  <si>
    <t>VGT Volonter</t>
  </si>
  <si>
    <t>PX.0412</t>
  </si>
  <si>
    <t>Better Migration Management Phase III</t>
  </si>
  <si>
    <t>COMMUNITY EMPOWERMENT FOR PROGRESS</t>
  </si>
  <si>
    <t>The Organization For Children Harmo</t>
  </si>
  <si>
    <t>PX.0419</t>
  </si>
  <si>
    <t>Robust Interventions to Combat Human Trafficking in Mexico</t>
  </si>
  <si>
    <t>INNOV.TEC. EDU. SALUD DESAR. COM.AC</t>
  </si>
  <si>
    <t>ONG AVD NIGER</t>
  </si>
  <si>
    <t>GSC AL-HIKMAT</t>
  </si>
  <si>
    <t>ONG BLADIA</t>
  </si>
  <si>
    <t>PX.0452</t>
  </si>
  <si>
    <t>Reinforcing the Capacity of the Mauritanian Government to Protect Children on the Move and Victims of Trafficking (VoT)</t>
  </si>
  <si>
    <t>ONG SEDF</t>
  </si>
  <si>
    <t>pionniers du changement pour</t>
  </si>
  <si>
    <t>A.C.O.D.E.C</t>
  </si>
  <si>
    <t>Fondation Orient-Occident</t>
  </si>
  <si>
    <t>Organisation des jeunes africains</t>
  </si>
  <si>
    <t>PX.0467</t>
  </si>
  <si>
    <t>PX.0471</t>
  </si>
  <si>
    <t>Protection and Reintegration of Victims of Trafficking</t>
  </si>
  <si>
    <t>association d appui a l espace</t>
  </si>
  <si>
    <t>Association AL KARAM</t>
  </si>
  <si>
    <t>Association Bayti</t>
  </si>
  <si>
    <t>PX.0496</t>
  </si>
  <si>
    <t>Supporting Unaccompanied Migrant Children at Greek Borders  (MERIMNA III – Protection)</t>
  </si>
  <si>
    <t>ZEUXIS N.G.O.</t>
  </si>
  <si>
    <t>VICARIATO APOSTOLICO DEL CARONI</t>
  </si>
  <si>
    <t>Threads of Hope</t>
  </si>
  <si>
    <t>PX.0507</t>
  </si>
  <si>
    <t>Emergency Protection, Assistance, and Mental Health and Psychosocial Support (MHPSS) for Vulnerable Communities and Migrants at Risk of Human Trafficking or Other Types of Violence and Abuse</t>
  </si>
  <si>
    <t>RA.0119</t>
  </si>
  <si>
    <t>Multi-Sectoral Support for Vulnerable Mobile Populations in Libya</t>
  </si>
  <si>
    <t>Resettlement from Middle East and North Africa</t>
  </si>
  <si>
    <t>RE.0473</t>
  </si>
  <si>
    <t>Resettlement from East and Southern Africa</t>
  </si>
  <si>
    <t>Botswana</t>
  </si>
  <si>
    <t>Refugees and Returnees Service</t>
  </si>
  <si>
    <t>RE.0475</t>
  </si>
  <si>
    <t>Support to IOM for Canada's Resettlement Activities Globally</t>
  </si>
  <si>
    <t>DRC DANISH REFUGEE COUNCIL PROGRAMM</t>
  </si>
  <si>
    <t>RE.0540</t>
  </si>
  <si>
    <t>Canadian Refugees Resettlement Travel</t>
  </si>
  <si>
    <t>RE.0549</t>
  </si>
  <si>
    <t>Providing Refugee Resettlement Assistance to the Government of the Netherlands in 2024</t>
  </si>
  <si>
    <t>ASOCIACION KOMBILESA (B)</t>
  </si>
  <si>
    <t>FUND SOCIAL SINTRAINAGRO NUEVO MILE</t>
  </si>
  <si>
    <t>FUNDACION NUESTRO FUTURO</t>
  </si>
  <si>
    <t>ASOC VICTIMAS RURALES CALIMA RESILE</t>
  </si>
  <si>
    <t>SENTIDOS DE LA TIERRA</t>
  </si>
  <si>
    <t>RESGUARDO INDIGENA AWA DE PALMAR IM</t>
  </si>
  <si>
    <t>ASOCIACION CESAL-SV</t>
  </si>
  <si>
    <t>CASA ALIANZA</t>
  </si>
  <si>
    <t>VISION MUNDIAL</t>
  </si>
  <si>
    <t>ACTIVADOS PANAMA</t>
  </si>
  <si>
    <t>Assisted Voluntary Return and Reintegration of Irregular Migrants in Turkey</t>
  </si>
  <si>
    <t>RR.0281</t>
  </si>
  <si>
    <t>Nigeria: Managing Migration through Development (MMDP) 2.0 in Edo State</t>
  </si>
  <si>
    <t>RR.0311</t>
  </si>
  <si>
    <t>Empowering Women and Girls Affected by Migration and Forced Displacement in Honduras, Guatemala and El Salvador</t>
  </si>
  <si>
    <t>Assistance for Informed, Safe and Dignified Voluntary Returns of Vulnerable Migrants in Participating Countries of the Americas (WHA Regional AVR Program)</t>
  </si>
  <si>
    <t>AISVIP</t>
  </si>
  <si>
    <t>KASHAM GIRLS WOMEN YOUTH AND COM</t>
  </si>
  <si>
    <t>CIVIL SOCIETY NETWORK ON MIGRATION</t>
  </si>
  <si>
    <t>LANI Consulting Nigeria Limited</t>
  </si>
  <si>
    <t>AFRICAN NETWORK FOR THE PREVENTION</t>
  </si>
  <si>
    <t>GLOBALIMPR.OF LESS PRIV.PERS.INIT</t>
  </si>
  <si>
    <t>Patriotic Citizen Initiatives (PCI)</t>
  </si>
  <si>
    <t>SN.0211</t>
  </si>
  <si>
    <t>SN.0228</t>
  </si>
  <si>
    <t>Winterization Support for Conflict-Affected Populations in Ukraine</t>
  </si>
  <si>
    <t>SN.0234</t>
  </si>
  <si>
    <t>Emergency Grant Aid in response to the flood disaster in Ethiopia, Somalia, and Kenya</t>
  </si>
  <si>
    <t>SN.0235</t>
  </si>
  <si>
    <t>SN.0238</t>
  </si>
  <si>
    <t>Emergency support through NFIs and shelter for IDPs affected by Cyclone Gamane in Northern Madagascar</t>
  </si>
  <si>
    <t>ASSOCIATION SOFIASIVE</t>
  </si>
  <si>
    <t>SN.0239</t>
  </si>
  <si>
    <t>Joint Recovery Action Plan (JRAP) - Western Nepal Earthquake</t>
  </si>
  <si>
    <t>Nepal</t>
  </si>
  <si>
    <t>Nepal Red Cross Society</t>
  </si>
  <si>
    <t>Community Impact Nepal</t>
  </si>
  <si>
    <t>Catholic Relief Services</t>
  </si>
  <si>
    <t>SN.0243</t>
  </si>
  <si>
    <t>Emergency shelter and non-food item (NFI) assistance to flood-affected people in Kenya</t>
  </si>
  <si>
    <t>WORLD VISION KENYA</t>
  </si>
  <si>
    <t>USD Value (total per PO) / Total Value in USD / Total PO Value in USD</t>
  </si>
  <si>
    <t>2024 Q2</t>
  </si>
  <si>
    <t>Escuela Especializada en Ingenieria</t>
  </si>
  <si>
    <t>Escuela Superior Franciscana Especi</t>
  </si>
  <si>
    <t>Instituto tecnologico de Chalatenan</t>
  </si>
  <si>
    <t>Universidad Catolica de El Salvador</t>
  </si>
  <si>
    <t>La Joie des Orphelins</t>
  </si>
  <si>
    <t>COMPLEXE AGROTOURISTIQUE ECOLOGIQUE</t>
  </si>
  <si>
    <t>CS.1038</t>
  </si>
  <si>
    <t>Supporting Peace and Stability in Abyei Permanent Court of Arbitration (PCA) Box: Decreasing Tensions Between Communities</t>
  </si>
  <si>
    <t>Strong Start</t>
  </si>
  <si>
    <t>MoLEVSA-MINISTRY OF LABOUR IN SRB</t>
  </si>
  <si>
    <t>CS.1188</t>
  </si>
  <si>
    <t>Support for Peaceful Cohabitation between the Communities of Logone Birni in the Far North of Cameroon</t>
  </si>
  <si>
    <t>ASSOCIATION CAMEROUNAISE POUR LE DI</t>
  </si>
  <si>
    <t>SYNERGIE POUR LE DEVELOPPEMENT LOCA</t>
  </si>
  <si>
    <t>CARPA</t>
  </si>
  <si>
    <t>Yemen Family Care Association</t>
  </si>
  <si>
    <t>Bena Charity For Human Development</t>
  </si>
  <si>
    <t>Accepting Others Organization</t>
  </si>
  <si>
    <t>Free Yezidi Foundation</t>
  </si>
  <si>
    <t>CS.1246</t>
  </si>
  <si>
    <t>Locally Driven Solutions for Social Cohesion and Early Recovery in the Country’s Former Breadbasket phase II</t>
  </si>
  <si>
    <t>FINN CHURCH AID (FCA)</t>
  </si>
  <si>
    <t>WHITAKER PEACE DEVELOPMENT INITIATI</t>
  </si>
  <si>
    <t>SUPPORT FOR PEACE AND EDUCATION</t>
  </si>
  <si>
    <t>EL COLEGIO DE LA FRONTERA NORTE AC</t>
  </si>
  <si>
    <t>TPO Fondacija</t>
  </si>
  <si>
    <t>Inicijativa mladih za ljudska prava</t>
  </si>
  <si>
    <t>HU ISUSOVACKA SLUZBA ZA IZBJEGLICE</t>
  </si>
  <si>
    <t>IPSIA BiH, Institut za mir, razvoj,</t>
  </si>
  <si>
    <t>Centar za odrzivi razvoj Bihac</t>
  </si>
  <si>
    <t>Udruzenje SCENA</t>
  </si>
  <si>
    <t>Udruzenje Vijece mladih Grada Cazin</t>
  </si>
  <si>
    <t>Durra for Social Development Organi</t>
  </si>
  <si>
    <t>Dar for community development organ</t>
  </si>
  <si>
    <t>MEDICAL TEAMS INTERNATIONAL</t>
  </si>
  <si>
    <t>DP.2532</t>
  </si>
  <si>
    <t>Strengthening the Humanitarian Health and Water Sanitation and Hygiene Response for the Most Vulnerable Populations in Northern Abyei</t>
  </si>
  <si>
    <t>Plan International sudan</t>
  </si>
  <si>
    <t>Near East Foundation</t>
  </si>
  <si>
    <t>We Are All Values Organization</t>
  </si>
  <si>
    <t>U.S. Virgin Islands</t>
  </si>
  <si>
    <t>CDF Child Development Foundation</t>
  </si>
  <si>
    <t>ALTWAKI DEVELOPMENT ORGANIZATION</t>
  </si>
  <si>
    <t>DP.2557</t>
  </si>
  <si>
    <t>Supporting Conflict Affected Communities in Cameroon’s Far-North and North-West, South-West Regions to Recover through Resilience Building and Reconciliation for the Humanitarian Development Peace Nexus</t>
  </si>
  <si>
    <t>ZOURIA  THEATRE</t>
  </si>
  <si>
    <t>DP.2565</t>
  </si>
  <si>
    <t>Multi-Sectoral Support for Conflict Affected Populations, Specifically People Living with Disabilities, in East and Southern Ukraine</t>
  </si>
  <si>
    <t>CF SLAVIC HEART</t>
  </si>
  <si>
    <t>DP.2605</t>
  </si>
  <si>
    <t>Strengthening the Humanitarian Response to Crisis-Affected Populations in Czechia</t>
  </si>
  <si>
    <t>ADRA, o.p.s.</t>
  </si>
  <si>
    <t>ASOENVEAR ASOCIACION DE ENFERMEROS</t>
  </si>
  <si>
    <t>ASOMEVENAR ASOCIACION CIVIL MEDICOS</t>
  </si>
  <si>
    <t>FUNDACION HUESPED</t>
  </si>
  <si>
    <t>Fundacion Servicio Jesuita</t>
  </si>
  <si>
    <t>CAMARA DE COMERCIO DOMINICO CADOVEN</t>
  </si>
  <si>
    <t>Fundacion Migrantes Venezolanos</t>
  </si>
  <si>
    <t>Catholic Commission for Social</t>
  </si>
  <si>
    <t>The University of the West Indies</t>
  </si>
  <si>
    <t>Roxborough Police Youth Club</t>
  </si>
  <si>
    <t>LIVING WATER COMMUNITY</t>
  </si>
  <si>
    <t>ONG VISION ET DEVELOPPEMENT</t>
  </si>
  <si>
    <t>INSEED</t>
  </si>
  <si>
    <t xml:space="preserve"> CROIX ROUGE DU TCHAD</t>
  </si>
  <si>
    <t>DP.2639</t>
  </si>
  <si>
    <t>Bangladesh Appeal 2023 – Rohingya Humanitarian Crisis</t>
  </si>
  <si>
    <t>DP.2642</t>
  </si>
  <si>
    <t>Emergency Assistance for Displaced People in the Lake Province</t>
  </si>
  <si>
    <t>NGO UKRAINSKA ASOTSIATSIIA TSENTRIV</t>
  </si>
  <si>
    <t>NGO AHALAR CENTER</t>
  </si>
  <si>
    <t>Sened Dernegi</t>
  </si>
  <si>
    <t>CIVIL SOCIETY FOR POVERTY ERADICATI</t>
  </si>
  <si>
    <t>HOPE AND RURAL AID FOUNDATION</t>
  </si>
  <si>
    <t>Initiative for Justice Development</t>
  </si>
  <si>
    <t>NKAFAMIYA RESCUE MISSION</t>
  </si>
  <si>
    <t>SMILING HEARTS INITIATIVES INTERNAT</t>
  </si>
  <si>
    <t>DP.2684</t>
  </si>
  <si>
    <t>Multisectoral Emergency Response to Internally Displaced Persons and Host Communities in Northern Mozambique - Phase III</t>
  </si>
  <si>
    <t>UNIVERSAL NETWORK FOR KNOWLEDGE</t>
  </si>
  <si>
    <t>HEALTHCARE FOUNDATION ORGANIZATION</t>
  </si>
  <si>
    <t>Women Agency for Res.and Transform.</t>
  </si>
  <si>
    <t>Lukluk Community Association For</t>
  </si>
  <si>
    <t>GRASSROOTS EMPOWERMENT AND</t>
  </si>
  <si>
    <t>ALLIANCE FOR COMMUNITY DEVELOPMENT</t>
  </si>
  <si>
    <t>STOP POVERTY COMMUNAL INITIATIVE (S</t>
  </si>
  <si>
    <t>HUMANE-AID FOR COMMUNITY</t>
  </si>
  <si>
    <t>SMILE AGAIN AFRICA DEVELOPMENT ORG</t>
  </si>
  <si>
    <t>AFRICA DEVELOPMENT AID</t>
  </si>
  <si>
    <t>KHK Karlovarskeho kraje</t>
  </si>
  <si>
    <t>Krajska hospodarska komora KH kraje</t>
  </si>
  <si>
    <t>NS MAS CR, z.s.</t>
  </si>
  <si>
    <t>Ceska asociace streetwork, z.s.</t>
  </si>
  <si>
    <t>CeHuPo - Centrum humanitarni pomoci</t>
  </si>
  <si>
    <t>proFem o.p.s.</t>
  </si>
  <si>
    <t>Ponton z.s.</t>
  </si>
  <si>
    <t>Mesto Valasske Mezirici</t>
  </si>
  <si>
    <t>Statutarni mesto Chomutov</t>
  </si>
  <si>
    <t>The Statutory City of Pardubice</t>
  </si>
  <si>
    <t>Consortium of Migrants Assisting Or</t>
  </si>
  <si>
    <t>AO BIAZ GUL</t>
  </si>
  <si>
    <t>AO PAS CU PAS REGIUNEA SUD</t>
  </si>
  <si>
    <t>NGO JENSKIE INITSIATIVY</t>
  </si>
  <si>
    <t>ASSOC</t>
  </si>
  <si>
    <t>DP.2702</t>
  </si>
  <si>
    <t>Supporting Vulnerable Refugees and Local Communities in Cox’s Bazar, Bangladesh, through Improved Access to Health, Protection, Shelter, Site Management and Site Development, Water, Sanitation and Hygiene (WASH) Services</t>
  </si>
  <si>
    <t>DP.2720</t>
  </si>
  <si>
    <t>Provision of Shelter Services and Non-food Items to Vulnerable Ethiopian Returnee</t>
  </si>
  <si>
    <t>Agar Ethiopia Charitable Society</t>
  </si>
  <si>
    <t>BETTER WORLD ORGANIZATION</t>
  </si>
  <si>
    <t>DP.2735</t>
  </si>
  <si>
    <t>IOM Ukraine Crisis Response Plan 2023</t>
  </si>
  <si>
    <t>THE POLISH HUMANITARIAN ACTION FUND</t>
  </si>
  <si>
    <t>STRATEGIES FOR NORTHERN DEVELOPMENT</t>
  </si>
  <si>
    <t>DP.2750</t>
  </si>
  <si>
    <t>Support to Vulnerable Malian Refugees and Selected Host and IDP Communities through Protection and Shelter Activities in the Nord and Sahel Regions – Phase V</t>
  </si>
  <si>
    <t>ASSOCIATION EVEIL CLUB DE DJIBO</t>
  </si>
  <si>
    <t>TITI FOUNDATION</t>
  </si>
  <si>
    <t>Delegation Environnement</t>
  </si>
  <si>
    <t>DS.0088</t>
  </si>
  <si>
    <t>Promotion of the Development of Small- and Medium-Sized Enterprises (SMEs) in Iraq</t>
  </si>
  <si>
    <t>TOP MOUNTAIN</t>
  </si>
  <si>
    <t>DX.0130</t>
  </si>
  <si>
    <t>Addressing Climate Migration Root Causes in KRI</t>
  </si>
  <si>
    <t>Peace Paradigms Company</t>
  </si>
  <si>
    <t>We world GVC</t>
  </si>
  <si>
    <t>FC.0220</t>
  </si>
  <si>
    <t>Enhancing Women’s Meaningful Involvement in DDR Policy Design and Implementation in Cameroon Based on the National DDR Gender Strategy 2021-25: Strengthening of Platforms for Women’s Associations</t>
  </si>
  <si>
    <t>ASSOCIATION DES FEMMES COMMERCANTES</t>
  </si>
  <si>
    <t>PLATEFORME DES JEUNES VOLONTAIRES</t>
  </si>
  <si>
    <t>ASSOCIATION FEMMES SOLIDAIRES</t>
  </si>
  <si>
    <t>Association des Femmes Solidaires</t>
  </si>
  <si>
    <t>GIC NTEHANGARI DES AGRO ELEVEURS</t>
  </si>
  <si>
    <t>ASSOCIATION DES  PERSONNES VIOLENTE</t>
  </si>
  <si>
    <t>ASSOCIATION ZIVARZE DES PRODUCTEURS</t>
  </si>
  <si>
    <t>SCOOPS MERES DENFANTS PASTORAUX DE</t>
  </si>
  <si>
    <t>ASSOCIATION DES FEMMES TAM TAM</t>
  </si>
  <si>
    <t>GIC ASSALAMA DES AGRO ELEVEURS DE</t>
  </si>
  <si>
    <t>Association AL FAN</t>
  </si>
  <si>
    <t>ASSOCIATION POUR LAUTONOMIE ET</t>
  </si>
  <si>
    <t>International Peace Institute, Inc</t>
  </si>
  <si>
    <t>IB.0128</t>
  </si>
  <si>
    <t>Enhancing Cross-Border Cooperation on Border Management and Counter-Trafficking between Niger and Nigeria</t>
  </si>
  <si>
    <t>HAPDP</t>
  </si>
  <si>
    <t>Hoi Lien hiep Phu nu tinh Ha Tinh</t>
  </si>
  <si>
    <t>BD BIEN PHONG NA</t>
  </si>
  <si>
    <t>IB.0333</t>
  </si>
  <si>
    <t>Supporting Internally Displaced Persons and Vulnerable Mobile Populations in Cameroon's Centre and East Regions Through Assessments and Access to Legal Identity Solutions</t>
  </si>
  <si>
    <t>COMMUNE D ARRONDISSEMENT DE YAOUNDE</t>
  </si>
  <si>
    <t>ASSOCIATION MAINS SOLIDAIRES</t>
  </si>
  <si>
    <t>IB.0392</t>
  </si>
  <si>
    <t>Promotion of Inclusive Cross-Border Governance and Strengthening the Resilience of Populations in the Border Areas of Mauritania and Senegal</t>
  </si>
  <si>
    <t>IB.0412</t>
  </si>
  <si>
    <t>Transcending Borders:  Strengthening Coordination, Detection and Management of Migration-Related Transnational Organized Maritime Crime in Indonesia</t>
  </si>
  <si>
    <t>Coventry University</t>
  </si>
  <si>
    <t>IS.0125</t>
  </si>
  <si>
    <t>HIAS, Inc.</t>
  </si>
  <si>
    <t>LM.0413</t>
  </si>
  <si>
    <t>New Infrastructure for Migration Opportunities and Empowerment of Migrants on the South-East Borderline</t>
  </si>
  <si>
    <t>Taungoo Youth Association</t>
  </si>
  <si>
    <t>STATE DEPT FOR YOUTH AFFAIRS ARTS</t>
  </si>
  <si>
    <t>Pravasi Nepali Cod. Committee (GG)</t>
  </si>
  <si>
    <t>LM.0512</t>
  </si>
  <si>
    <t>Promoting Safe and Adequate Accommodation for Internal Migrant Workers and their Families in Viet Nam</t>
  </si>
  <si>
    <t>Hoi Lien Hiep Phu Nu TP Hanoi</t>
  </si>
  <si>
    <t>UFR S2ATA</t>
  </si>
  <si>
    <t>CONCREE SAS</t>
  </si>
  <si>
    <t>LM.0523</t>
  </si>
  <si>
    <t>Promoting Safe Migration to the UK for Kyrgyzstan, Tajikistan, and Uzbekistan Nationals</t>
  </si>
  <si>
    <t>Centre des droits des gens</t>
  </si>
  <si>
    <t>Association de lutte contre le sida</t>
  </si>
  <si>
    <t>FUTURE FAMILIES</t>
  </si>
  <si>
    <t>BANGLA-GERMAN SAMPREETI</t>
  </si>
  <si>
    <t>RESEARCH TRAINING &amp; MANAGEMENT INT</t>
  </si>
  <si>
    <t>MUKTI Cox's Bazar</t>
  </si>
  <si>
    <t>Scalabrini International Migration</t>
  </si>
  <si>
    <t>MS.0049</t>
  </si>
  <si>
    <t>Enhancing Policy Framework and Capacity for Effective Migration and Asylum Management in Armenia</t>
  </si>
  <si>
    <t>UNHCR</t>
  </si>
  <si>
    <t>NC.0110</t>
  </si>
  <si>
    <t>Enhancing Capacities and Frameworks to Collect Data and Evidence on Migration, the Environment and Climate Change in Mexico</t>
  </si>
  <si>
    <t>TASSAGHT</t>
  </si>
  <si>
    <t>PB.0085</t>
  </si>
  <si>
    <t>Empowering Trust and Cohesion in Bosnia and Herzegovina’s Communities</t>
  </si>
  <si>
    <t>Gorska sluzba spasavanje Gradiska</t>
  </si>
  <si>
    <t>Nonviolent Peaceforce</t>
  </si>
  <si>
    <t>Civic Forum On Human Development</t>
  </si>
  <si>
    <t>Institute for Strategic Dialogue</t>
  </si>
  <si>
    <t>PO.0186</t>
  </si>
  <si>
    <t>Migration Governance for Sustainable Development in Indonesia</t>
  </si>
  <si>
    <t>PT Semut Berdaya Sejahtera</t>
  </si>
  <si>
    <t>PKBM Puncang Hijau</t>
  </si>
  <si>
    <t>Serikat Buruh Migran Indonesia</t>
  </si>
  <si>
    <t>Egyptian Red Crescent</t>
  </si>
  <si>
    <t>BMAK Business and Technology</t>
  </si>
  <si>
    <t>Public Foundation Blagodat</t>
  </si>
  <si>
    <t>Public Fund Ulybka</t>
  </si>
  <si>
    <t>PF Aimira</t>
  </si>
  <si>
    <t>So Lao dong Thuong binh va Xa hoi</t>
  </si>
  <si>
    <t>NGO Faith Hope Love - Odesa</t>
  </si>
  <si>
    <t>NGO AHENTSIIA RBH</t>
  </si>
  <si>
    <t>PX.0398</t>
  </si>
  <si>
    <t>Supporting Unaccompanied Migrant Children at the Greek Borders through Shelter (MERIMNA II - Shelter)</t>
  </si>
  <si>
    <t>PX.0408</t>
  </si>
  <si>
    <t>One UN Joint Action to Strengthen Human Rights in the Transnistrian Region of the Republic of Moldova (2022-2025)</t>
  </si>
  <si>
    <t>PX.0440</t>
  </si>
  <si>
    <t>Supporting Lesotho in VoT Protection and TiP Prosecution</t>
  </si>
  <si>
    <t>Lesotho</t>
  </si>
  <si>
    <t>BEAUTIFUL DREAMS SOCIETY</t>
  </si>
  <si>
    <t>Love Justice International</t>
  </si>
  <si>
    <t>ONG Assistance - Education</t>
  </si>
  <si>
    <t>ONG ID</t>
  </si>
  <si>
    <t>UNODC Morocco</t>
  </si>
  <si>
    <t>PX.0492</t>
  </si>
  <si>
    <t>Strengthening Child Protection and Assistance, Particularly for Unaccompanied and Separated Children (UASC) in Selected Regions in Morocco</t>
  </si>
  <si>
    <t>Asticude</t>
  </si>
  <si>
    <t>CESVI Fondazione Onlus</t>
  </si>
  <si>
    <t>Association voix de femmes</t>
  </si>
  <si>
    <t>PX.0501</t>
  </si>
  <si>
    <t>Supporting Migrant Returnees and Communities in Vulnerable Situations to Uplift Their Livelihoods, Enhance Their Skills and Promote Safe and Regular Migration (UPLIFT)</t>
  </si>
  <si>
    <t>ACDI VOCA</t>
  </si>
  <si>
    <t>CADENA COSTA RICA</t>
  </si>
  <si>
    <t>FUNDACION PLAN EL SALVADOR</t>
  </si>
  <si>
    <t>FUNDACION EMPRESARIAL PARA LA ACCIO</t>
  </si>
  <si>
    <t>DGPC</t>
  </si>
  <si>
    <t>SN.0213</t>
  </si>
  <si>
    <t>Lifesaving Assistance to Earthquake Affected Populations in Northwest Syria (NWS)</t>
  </si>
  <si>
    <t>SDI (Social Development Internation</t>
  </si>
  <si>
    <t>SN.0226</t>
  </si>
  <si>
    <t>Emergency Response to Cyclone-Affected Populations in Vanuatu with Lifesaving Shelter and Non-Food Items (ES/NFI)</t>
  </si>
  <si>
    <t>ADRA Vanuatu</t>
  </si>
  <si>
    <t>TK.0024</t>
  </si>
  <si>
    <t>Draft the Future! Towards a Diaspora Forum in Italy</t>
  </si>
  <si>
    <t>LE RESEAU ASSOCIAZIONE DI PROMOZION</t>
  </si>
  <si>
    <t>2024 Q1</t>
  </si>
  <si>
    <t>Udruzenje RESPEKT</t>
  </si>
  <si>
    <t>MCMDO</t>
  </si>
  <si>
    <t>Women and pastoralist youth dev org</t>
  </si>
  <si>
    <t>Pastoralist in action dev.t Org</t>
  </si>
  <si>
    <t>Agro Pastoral Initiative for Dev.t</t>
  </si>
  <si>
    <t>Isiksoy Tekstil</t>
  </si>
  <si>
    <t>NGO Surhob</t>
  </si>
  <si>
    <t>CONS PARA DERECHOS HUMANOS Y DESPLA</t>
  </si>
  <si>
    <t>IPARTICIPATE APS</t>
  </si>
  <si>
    <t>Afro Fashion Association</t>
  </si>
  <si>
    <t>Promueve RD Aps</t>
  </si>
  <si>
    <t>MABOTA S.A.S.</t>
  </si>
  <si>
    <t>Sunugal Associazione Socio-Cultural</t>
  </si>
  <si>
    <t>Tigray Youth Empowerment Solutions</t>
  </si>
  <si>
    <t>EDO STATE SKILLS DEVELOPMENT AGENCY</t>
  </si>
  <si>
    <t>CONCERN FOR WOMEN AND CHILDREN</t>
  </si>
  <si>
    <t>Afro Ethiopia Integrated Dev't</t>
  </si>
  <si>
    <t>JOSE MARIA VILASECA A.C.</t>
  </si>
  <si>
    <t>Organization for Social Services He</t>
  </si>
  <si>
    <t>CC.0072</t>
  </si>
  <si>
    <t>Enhancing Humanitarian Assistance to Populations Affected by Conflict and Natural Hazards in Central and Northern Mali</t>
  </si>
  <si>
    <t>LVIVSKA TORHOVO</t>
  </si>
  <si>
    <t>CD.0074</t>
  </si>
  <si>
    <t>Regional Migration and Development Program Contributing Toward the Sida 2021-2025 Regional LAC Strategy</t>
  </si>
  <si>
    <t>Fundebmuni</t>
  </si>
  <si>
    <t>CS.1119</t>
  </si>
  <si>
    <t>Integrated Support to Job Creation in Iraq through Agri-Business Value Chain Development and Financial Inclusion</t>
  </si>
  <si>
    <t>COOPERATIVE HOUSING FOUNDATION</t>
  </si>
  <si>
    <t>CORP PARQUE TECNOLOG INOVA CAFE Y C</t>
  </si>
  <si>
    <t>ADIPO</t>
  </si>
  <si>
    <t>Centro Internacional de Agricultura</t>
  </si>
  <si>
    <t>Mujeres por la Justicia, Educacion</t>
  </si>
  <si>
    <t>Farida Global Organization</t>
  </si>
  <si>
    <t>Jesuit Refugee Service</t>
  </si>
  <si>
    <t>CS.1186</t>
  </si>
  <si>
    <t>Implementation of Social Services Work package for Component 1 Activities of the Mozambique Northern Crisis Recovery Project (NCRP- 23064-001)</t>
  </si>
  <si>
    <t>Grupo de Teatro Oprimido</t>
  </si>
  <si>
    <t>CARDEN</t>
  </si>
  <si>
    <t>GFT w KAR organisation</t>
  </si>
  <si>
    <t>CS.1218</t>
  </si>
  <si>
    <t>Strengthening Peaceful Coexistence between Displaced Populations and Local Communities through Social Cohesion Initiatives in Burundi</t>
  </si>
  <si>
    <t>CS.1221</t>
  </si>
  <si>
    <t>Farmers-Fisherfolks’ Advancement and Integration to Resilient Value Chains in BARMM (FAIR-VALUE)</t>
  </si>
  <si>
    <t>Food and Agriculture Organization</t>
  </si>
  <si>
    <t>INTERNATIONAL TRADE CENTRE</t>
  </si>
  <si>
    <t>CS.1230</t>
  </si>
  <si>
    <t>Prevention of Recruitment, Use and Exploitation of Children, Adolescents and Young People Phase II</t>
  </si>
  <si>
    <t>DP.1204</t>
  </si>
  <si>
    <t>Comprehensive Action Plan for Afghanistan and Neighbouring Countries</t>
  </si>
  <si>
    <t>Crisis Center Zabota</t>
  </si>
  <si>
    <t>Sana</t>
  </si>
  <si>
    <t>Udruzenje Ujedinjene Zene</t>
  </si>
  <si>
    <t>DP.2057</t>
  </si>
  <si>
    <t>Multisectoral Emergency Response to Conflict and Climate Shock Affected Internally Displaced Populations and Communities in Northern Mozambique – Phase II</t>
  </si>
  <si>
    <t>DP.2338</t>
  </si>
  <si>
    <t>Enhancing Programme Quality and Inclusion in Crisis Response</t>
  </si>
  <si>
    <t>CBM Nepal Country Office</t>
  </si>
  <si>
    <t>Addition for Disasters Assistance</t>
  </si>
  <si>
    <t>Dosha for Social Development Org</t>
  </si>
  <si>
    <t>Elemar Charitable Development org</t>
  </si>
  <si>
    <t>Sudan Family Planning Association</t>
  </si>
  <si>
    <t>NGO STEP</t>
  </si>
  <si>
    <t>Menedek</t>
  </si>
  <si>
    <t>DP.2523</t>
  </si>
  <si>
    <t>Multi-sectoral and Integrated Lifesaving Humanitarian and Development Support to South Sudan</t>
  </si>
  <si>
    <t>Blue Sky Voluntary Organization</t>
  </si>
  <si>
    <t>CAFA Development Organization</t>
  </si>
  <si>
    <t>Muslim Aid</t>
  </si>
  <si>
    <t>DP.2558</t>
  </si>
  <si>
    <t>Emergency Response to conflict-affected populations in Northern Mozambique</t>
  </si>
  <si>
    <t>DP.2560</t>
  </si>
  <si>
    <t>Supporting the Establishment of a Humanitarian Programme for Africa</t>
  </si>
  <si>
    <t>DP.2563</t>
  </si>
  <si>
    <t>Establishment of the Global Emergency Response Program</t>
  </si>
  <si>
    <t>SOLIDARITES INTERNATIONAL</t>
  </si>
  <si>
    <t>The Border Consortium</t>
  </si>
  <si>
    <t>DP.2575</t>
  </si>
  <si>
    <t>Providing Humanitarian Assistance among the Most Drought-Affected Communities and Support Their Resilience Building</t>
  </si>
  <si>
    <t>LOKADO FOR CLIMATE CHANGE</t>
  </si>
  <si>
    <t>WASO RESOURCE DEVP. AGENCY(WARDA)</t>
  </si>
  <si>
    <t>DP.2586</t>
  </si>
  <si>
    <t>Emergency Response and Assistance to Displaced Persons (DP) in Syria</t>
  </si>
  <si>
    <t>Bagimsiz Doktorlar Dernegi</t>
  </si>
  <si>
    <t>MIHAD DERNEGI</t>
  </si>
  <si>
    <t>SYRIAN AMERICAN MEDICAL SOCIETYFOUN</t>
  </si>
  <si>
    <t>TAKAFUL AL SHAM ORGANIZATION</t>
  </si>
  <si>
    <t>Uluslararasi Insani Yardimlasma Der</t>
  </si>
  <si>
    <t>International Rescue Committee</t>
  </si>
  <si>
    <t>Sustainable Economic Agriculture</t>
  </si>
  <si>
    <t>Care International</t>
  </si>
  <si>
    <t>CeHuPo</t>
  </si>
  <si>
    <t>NADEJE</t>
  </si>
  <si>
    <t>FUNDACION CRISFE</t>
  </si>
  <si>
    <t>Guyana</t>
  </si>
  <si>
    <t>Childlink Inc</t>
  </si>
  <si>
    <t>Aldeas Infantiles SOS PERU</t>
  </si>
  <si>
    <t>DP.2637</t>
  </si>
  <si>
    <t>WoS PSEA - CAP 2023/24</t>
  </si>
  <si>
    <t>Shushilan</t>
  </si>
  <si>
    <t>WORLD FOOD PROGRAMME</t>
  </si>
  <si>
    <t>DP.2645</t>
  </si>
  <si>
    <t>Lifesaving and Transitional Support to Refugees and Host Communities in Cox’s Bazar District, Bangladesh</t>
  </si>
  <si>
    <t>NSU Global Health Institute</t>
  </si>
  <si>
    <t>DP.2654</t>
  </si>
  <si>
    <t>Emergency Multisectoral Assistance to Vulnerable Populations in North Kivu and Ituri and Support for Durable Solutions for Displaced Persons</t>
  </si>
  <si>
    <t>LIVING PEACE INSTITUTE</t>
  </si>
  <si>
    <t>The Justice Centre to Support</t>
  </si>
  <si>
    <t>NORWEGIAN REFUGEE COUNCIL</t>
  </si>
  <si>
    <t>OHCHR OFFICE OF THE UNITED NATIONS</t>
  </si>
  <si>
    <t>CFSR</t>
  </si>
  <si>
    <t>CO CF ANGELS OF SALVATION</t>
  </si>
  <si>
    <t>CRUZ ROJA HONDUREÑA</t>
  </si>
  <si>
    <t>CARE BEST INITIATIVE</t>
  </si>
  <si>
    <t>GREEN CONCERN FOR DEVELOPMENT</t>
  </si>
  <si>
    <t>JESUIT REFUGEE SERVICES LTDGTE</t>
  </si>
  <si>
    <t>DP.2689</t>
  </si>
  <si>
    <t>Providing life-saving humanitarian assistance and protection support to vulnerable conflict-affected people in Ukraine and Neighbouring Countries</t>
  </si>
  <si>
    <t>Ceska federace potravinovych bank</t>
  </si>
  <si>
    <t>Ukrainian Red Cross Society</t>
  </si>
  <si>
    <t>Impact for Education Services</t>
  </si>
  <si>
    <t>PLAN International</t>
  </si>
  <si>
    <t>ACRA</t>
  </si>
  <si>
    <t>African Humanitarian Corps</t>
  </si>
  <si>
    <t>COMMUNITY ACTION ORGANIZATION</t>
  </si>
  <si>
    <t>Facilitating Action For Community E</t>
  </si>
  <si>
    <t>Nile hope</t>
  </si>
  <si>
    <t>PEACE IN ACTION AND SOCIAL SERVICE</t>
  </si>
  <si>
    <t>REACH AFRICA ORGANIZATION (RAO)</t>
  </si>
  <si>
    <t>Relief Corps Organization</t>
  </si>
  <si>
    <t>Salvation and Light Develop Action</t>
  </si>
  <si>
    <t>THE RESCUE INITIATIVE</t>
  </si>
  <si>
    <t>Trust Guarantee Community Devt Aid</t>
  </si>
  <si>
    <t>Women and children health</t>
  </si>
  <si>
    <t>WOMEN FOR CHANGE</t>
  </si>
  <si>
    <t>DP.2696</t>
  </si>
  <si>
    <t>Provision of Integrated Humanitarian Assistance to the Most Vulnerable Crisis-Affected People through Mobile Teams in Sudan</t>
  </si>
  <si>
    <t>DP.2698</t>
  </si>
  <si>
    <t>Providing Multi-Purpose Cash Assistance (MPCA) to Address the Most Urgent Needs of the Drought Affected Communities</t>
  </si>
  <si>
    <t>ARID LANDS DEVELOPMENT FOCUS</t>
  </si>
  <si>
    <t>RURAL AGENCY FOR COMMUNITY DEVELOPM</t>
  </si>
  <si>
    <t>SUSTAIN APPROACH FOR COM SAPCONE</t>
  </si>
  <si>
    <t>WAJIR SOUTH DEVELOPMENT ASSOCIATION</t>
  </si>
  <si>
    <t>Slovo 21 z.s.</t>
  </si>
  <si>
    <t>Avalon</t>
  </si>
  <si>
    <t>Stowarzyszenie Lambda Warszawa</t>
  </si>
  <si>
    <t>DP.2730</t>
  </si>
  <si>
    <t>Regional Migrants’ Response Plan (RMRP) for the Horn of Africa and Yemen 2023</t>
  </si>
  <si>
    <t>Qatar Red Crescent</t>
  </si>
  <si>
    <t>CF PATIENTS OF UKRAINE</t>
  </si>
  <si>
    <t>UK</t>
  </si>
  <si>
    <t>DP.2746</t>
  </si>
  <si>
    <t>CHEF International</t>
  </si>
  <si>
    <t>INNOVATIVE DEVELOPMENT ORGANIZATION</t>
  </si>
  <si>
    <t>DS.0057</t>
  </si>
  <si>
    <t>Durable Solutions Through Sustainable Returns and Reintegration in Iraq</t>
  </si>
  <si>
    <t>Home of Coexistence</t>
  </si>
  <si>
    <t>Public Aid Organization</t>
  </si>
  <si>
    <t>Youth Bridge Development</t>
  </si>
  <si>
    <t>DS.0118</t>
  </si>
  <si>
    <t>Community Revitalization Program – Phase XII</t>
  </si>
  <si>
    <t>DX.0099</t>
  </si>
  <si>
    <t>EDUCATION FIGHT AIDS (EFA)</t>
  </si>
  <si>
    <t>FC.0174</t>
  </si>
  <si>
    <t>Strengthening Socio-Economic Reincorporation Initiatives for Sustainability in Colombia</t>
  </si>
  <si>
    <t>CORPORACION UNIVERSITARIA COMFACAUC</t>
  </si>
  <si>
    <t>KUJITEGEMEA ACTIONS RD CONGO</t>
  </si>
  <si>
    <t>FC.0224</t>
  </si>
  <si>
    <t>Implementation of the “Early Reintegration Model in Productive Environments” with former FARC-EP members in Colombia - Phase VI</t>
  </si>
  <si>
    <t>CELEBRONS LE COURAGE DE LA FEMME</t>
  </si>
  <si>
    <t>ARCT RUHUKA</t>
  </si>
  <si>
    <t>IB.0309</t>
  </si>
  <si>
    <t>Border and Migration Management Action for Georgia (BMMAG): Supporting the Government of Georgia in the Further Development of Border and Migration Management Capacities</t>
  </si>
  <si>
    <t>BUNEC</t>
  </si>
  <si>
    <t>Commune de Yaounde 6</t>
  </si>
  <si>
    <t>Ha Tinh Border Guard</t>
  </si>
  <si>
    <t>Quang Binh Border Guard</t>
  </si>
  <si>
    <t>IS.0094</t>
  </si>
  <si>
    <t>Enhanced Socio-Economic Integration of Migrants and Host Community Members (With an Emphasis on Women and Youth) Focused On Entrepreneurship Opportunities through and Innovation and Community-Based Approach in Imbabura and Sucumbíos</t>
  </si>
  <si>
    <t>NGO Korgau</t>
  </si>
  <si>
    <t>NGO Inson va Adolat</t>
  </si>
  <si>
    <t>Women Organization Network</t>
  </si>
  <si>
    <t>Dept. of Planning</t>
  </si>
  <si>
    <t>Lao People's DR</t>
  </si>
  <si>
    <t>Service Workers in Group Foundation</t>
  </si>
  <si>
    <t>MA.0409</t>
  </si>
  <si>
    <t>Preventing Lost to Follow Up and Sustaining HIV and TB Treatment Among Migrant Populations in Lesotho</t>
  </si>
  <si>
    <t>MIGRANT WORKERS ASSOCIATION OF LESO</t>
  </si>
  <si>
    <t>AMICAAL</t>
  </si>
  <si>
    <t>MA.0562</t>
  </si>
  <si>
    <t>A Health System Strengthing Approach to Tackling Occupational Health Challenges by Migrant Workers-Integrating Occupational An Migrant Health into National Health System (no.3)</t>
  </si>
  <si>
    <t>RIGHT TO CARE</t>
  </si>
  <si>
    <t>MA.0568</t>
  </si>
  <si>
    <t>Producing Population Mobility Indicators to Identify Mobile Populations and Optimize Vaccination Sites</t>
  </si>
  <si>
    <t>Stiftelsen Flowminder</t>
  </si>
  <si>
    <t>BELIZE RED CROSS SOCIETY</t>
  </si>
  <si>
    <t>GOVERNMENT OF BELIZE</t>
  </si>
  <si>
    <t>HUMANA PEOPLE TO PEOPLE BELIZE</t>
  </si>
  <si>
    <t>Movimiento Mujeres Domi.</t>
  </si>
  <si>
    <t>Mon State Community Association</t>
  </si>
  <si>
    <t>NATIONAL COUNCIL OF YMCAs OF MYANMA</t>
  </si>
  <si>
    <t>Yangon Kayin Baptist Women's Associ</t>
  </si>
  <si>
    <t>NC.0067</t>
  </si>
  <si>
    <t>Tajikistan: Mainstreaming the Migration, Environment and Climate Change Nexus into the National Adaptation Plan</t>
  </si>
  <si>
    <t>University of Vienna</t>
  </si>
  <si>
    <t>NC.0068</t>
  </si>
  <si>
    <t>Strengthening NGOs to Promote Climate Change Adaptation and Displacement Prevention Measures across Micronesia</t>
  </si>
  <si>
    <t>KIRIBATI WOMEN IN MAPPING</t>
  </si>
  <si>
    <t>Kiribati</t>
  </si>
  <si>
    <t>NC.0102</t>
  </si>
  <si>
    <t>Pacific Climate Change Migration and Human Security (PCCMHS) Programme - Phase II</t>
  </si>
  <si>
    <t>Pacific Islands Forum Secretariat</t>
  </si>
  <si>
    <t>NC.0117</t>
  </si>
  <si>
    <t>Promoting the Inclusion of Internal Migrants in Green Renovation in Kyrgyzstan</t>
  </si>
  <si>
    <t>Public Foundation Unison</t>
  </si>
  <si>
    <t>PB.0081</t>
  </si>
  <si>
    <t>Colombia: Building Trust, Relationships, and Community Coexistence, and Preventing Rural Violence with a Human Rights Approach</t>
  </si>
  <si>
    <t>FUNDACION GRAN AMIGO</t>
  </si>
  <si>
    <t>Kulturno umjetnicko drustvo KOLOVIT</t>
  </si>
  <si>
    <t>UDRUZENJE MLADI ZA MIR</t>
  </si>
  <si>
    <t>UG Hereditas Prozor Rama</t>
  </si>
  <si>
    <t>CINEP CENTRO INVESTIGACION EDUCACIO</t>
  </si>
  <si>
    <t>PB.0099</t>
  </si>
  <si>
    <t>Support for the Peace Agreement's Transitional Justice System</t>
  </si>
  <si>
    <t>COOAGROPAZ COOP MULTIACTIVA AGROPEC</t>
  </si>
  <si>
    <t>PE.0031</t>
  </si>
  <si>
    <t>Supporting the Iraqi National Efforts for an Enhanced Implementation of the National Strategies on the Prevention of Violent Extremism</t>
  </si>
  <si>
    <t>R.M TEAM FZE</t>
  </si>
  <si>
    <t>Un Ponte Per</t>
  </si>
  <si>
    <t>WOMEN EMPOWERMENT ORGANIZATION</t>
  </si>
  <si>
    <t>PX.0089</t>
  </si>
  <si>
    <t>Assistance and Protection of Unaccompanied and Separated Children in Morocco</t>
  </si>
  <si>
    <t>PX.0140</t>
  </si>
  <si>
    <t>EUROFRONT - Support to the Fight against Human Trafficking and Migrant Smuggling in Latin America</t>
  </si>
  <si>
    <t>FUNDACION MUNASIM KULLAKITA</t>
  </si>
  <si>
    <t>PX.0259</t>
  </si>
  <si>
    <t>Labour Standards on Fishing Vessels</t>
  </si>
  <si>
    <t>Solomon Islands</t>
  </si>
  <si>
    <t>Pacific Islands Forum Fisheries Age</t>
  </si>
  <si>
    <t>PX.0376</t>
  </si>
  <si>
    <t>Cooperation on Migration and Partnerships to Achieve Sustainable Solutions (COMPASS)</t>
  </si>
  <si>
    <t>PX.0390</t>
  </si>
  <si>
    <t>Protection Assistance for Vulnerable Communities and Migrants at Risk of Human Trafficking in Venezuela</t>
  </si>
  <si>
    <t>PX.0410</t>
  </si>
  <si>
    <t>Supporting Unaccompanied Migrant Children at the Greek Borders through Protection Assistance (MERIMNA II - Complementary Support)</t>
  </si>
  <si>
    <t>ASS FEDERATION HANDICAP INT</t>
  </si>
  <si>
    <t>Association afro</t>
  </si>
  <si>
    <t>PX.0456</t>
  </si>
  <si>
    <t>Assistance and Protection for Irregular Migrants and Their Communities in Lebanon - PHASE II</t>
  </si>
  <si>
    <t>Continue CAPMiR Implementation and Coordination Joint Support with UNHCR and UNICEF</t>
  </si>
  <si>
    <t>HIAS</t>
  </si>
  <si>
    <t>CORPORACI AGENCIA AFROCOLOMBIANA HI</t>
  </si>
  <si>
    <t>RODEEMOS EL DIALOGO</t>
  </si>
  <si>
    <t>RP.0128</t>
  </si>
  <si>
    <t>Advocacy on Public Policy for Victims and Strengthening the Implementation of Planning Tools and the Development of Territorial Actions, for the Comprehensive Reparation of Victims in Colombia</t>
  </si>
  <si>
    <t>RR.0310</t>
  </si>
  <si>
    <t>CONEX IOM Project 2023</t>
  </si>
  <si>
    <t>SERVICE SOCIAL DES SOLIDARITES</t>
  </si>
  <si>
    <t>RR.0340</t>
  </si>
  <si>
    <t>Strengthening Return and Reintegration Management and Addressing Irregular Migration in Lebanon</t>
  </si>
  <si>
    <t>Rene Mouawad Foundation</t>
  </si>
  <si>
    <t>CABINET DU JUGE DES MINEURS</t>
  </si>
  <si>
    <t>RR.0348</t>
  </si>
  <si>
    <t>Providing Tailored Post Arrival Assistance and Sustainable Reintegration to Returnees in the Bolivarian Republic of Venezuela</t>
  </si>
  <si>
    <t>SUPERATEC, A.C.</t>
  </si>
  <si>
    <t>SN.0205</t>
  </si>
  <si>
    <t>Emergency Humanitarian Support for Earthquake-Affected Population in Northwest Syria (NWS)</t>
  </si>
  <si>
    <t>INITIATIVE CITOYENNE POUR LE DROIT</t>
  </si>
  <si>
    <t>SN.0209</t>
  </si>
  <si>
    <t>Provision of Immediate Lifesaving Emergency Shelter and Non-food Item (NFI) Assistance for Cyclone and Flood Affected Populations in Central and Northern Mozambique</t>
  </si>
  <si>
    <t>Accao para Desenvolvimento Social</t>
  </si>
  <si>
    <t>SN.0216</t>
  </si>
  <si>
    <t>Envelope 2: Shelter and Non-Food Items (NFI) Emergency Assistance to Vulnerable Populations in Northwest Syria</t>
  </si>
  <si>
    <t>SN.0221</t>
  </si>
  <si>
    <t>Post-Flood Housing Reconstruction Pilot in Pakistan</t>
  </si>
  <si>
    <t>TK.0042</t>
  </si>
  <si>
    <t>Harnessing Inclusive Global Alliances for Diaspora Engagement</t>
  </si>
  <si>
    <t>Migration Youth and Children</t>
  </si>
  <si>
    <t>2023 Q4</t>
  </si>
  <si>
    <t>Title of the Purchase Order or Contract</t>
  </si>
  <si>
    <t>grant support "protection of vulnerable migrants with emphasis on empowering women in the context of migration in Central Asia" fina ncially supported by the Ministry of Affairs of the Kingdom of Norway</t>
  </si>
  <si>
    <t>Entity Grant</t>
  </si>
  <si>
    <t>GRANT WLH - WLH-002-059  - 12629243 FUNDACION GAITEROS DE SAN JACINTO LANDERO VIVE  TOTAL VALUE: COP 150.000.000 IOM CONTRIB: COP 127.500.000 FUN CONTRIB: COP 22.500.000</t>
  </si>
  <si>
    <t>FUNDACION GAITEROS DE SAN JACINTO -</t>
  </si>
  <si>
    <t>GRANT WLH-002-070 DE 2023 12600453 FUNDACION PARA LA RECONCILIACION  TOTAL VALUE: COP 345.023.923 IOM CONTRIB: COP 285.815.000 FUN CONTRIB: COP  59.208.923</t>
  </si>
  <si>
    <t>FUNDACION PARA LA RECONCILIACION</t>
  </si>
  <si>
    <t>Grants Recipients - National CSOs</t>
  </si>
  <si>
    <t>CORPORACION ECOSS</t>
  </si>
  <si>
    <t>CORFOARTE CORPORACION FOLCLORICA</t>
  </si>
  <si>
    <t>HOSPITAL NUESTRA SEÑORA DEL CARMEN</t>
  </si>
  <si>
    <t>APROACA ASOCIACION DE PRODUCTORES</t>
  </si>
  <si>
    <t>GRANT WLH-  002-082 - 12622642 ESE HOSPITAL SAN JUAN DE DIOS  TOTAL VALUE: COP 369.500.000 IOM CONTRIB: COP 300.000.000 FUN CONTRIB: COP 69.500.000</t>
  </si>
  <si>
    <t>ESE HOSPITAL SAN JUAN DE DIOS</t>
  </si>
  <si>
    <t>GRANT WLH-  002-071- 12612600 FUNDACION POLIEDRO  TOTAL VALUE: COP 370.000.000 IOM CONTRIB: COP 300.000.000 FUN CONTRIB: COP 70.000.000</t>
  </si>
  <si>
    <t>FUNDACION POLIEDRO</t>
  </si>
  <si>
    <t>GRANT WLH-  002-072 12601016 UNIVERSIDAD TECNOLOGICA DE BOLIVAR  TOTAL VALUE: COP 293.249.528 IOM CONTRIB: COP 230.701.630 FUN CONTRIB: COP 62.547.898</t>
  </si>
  <si>
    <t>UNIVERSIDAD TECNOLOGICA DE BOLIVAR</t>
  </si>
  <si>
    <t>GRANT WLH-002-073 DE 2023 12629290 ASOCIACION CAFES ESPECIALES LAS INMMENSAS DEL CAUCA  TOTAL VALUE: COP 187.510.000 IOM CONTRIB: COP 160.060.000 ASOCIACION CAFE:COP 27.450.000</t>
  </si>
  <si>
    <t>ASOCIACION CAFES ESPECIALES LAS INM</t>
  </si>
  <si>
    <t>GRANT WLH-002-079 DE 2023 12629289 ASOCIACION DE AGRICULTORES VEREDA EL DESEO  TOTAL VALUE: COP 215.285.000 IOM CONTRIB: COP 147.560.000 AAVED:       COP 67.725.000</t>
  </si>
  <si>
    <t>ASOCIACION DE AGRICULTORES VEREDA D</t>
  </si>
  <si>
    <t>GRANT WLH-002-075 DE 2023 12619527 ASOCIACION PARTERAS UNIDAS PACIFICO (ASOPARUPA)  TOTAL VALUE: COP 295.880.000 IOM CONTRIB: COP 239.980.000 ASOPARUPA:   COP 55.900.000</t>
  </si>
  <si>
    <t>ASOCIACION PARTERAS UNIDAS PACIFICO</t>
  </si>
  <si>
    <t>2023 Q3</t>
  </si>
  <si>
    <t>Project Title / Project Description</t>
  </si>
  <si>
    <t>CC.0070</t>
  </si>
  <si>
    <t>Improving Site Coordination, Management Services, and Monitoring of Displacement and Multisectoral Humanitarian Needs in Communities and Sites Affected by Displacement/Return in Eastern DRC, Democratic Republic of the Congo</t>
  </si>
  <si>
    <t>IP transfers – National CSOs</t>
  </si>
  <si>
    <t>AHADI-RD Congo</t>
  </si>
  <si>
    <t>CC.0071</t>
  </si>
  <si>
    <t>Emergency Response to Cyclone Mocha: Rehabilitation of Camp Structures, through Strengthened Site Development and Site Management to Improve Rohingya Refugees’ Living Conditions</t>
  </si>
  <si>
    <t>PR-4200511781 Unit-SMSD Requestor-Arman Rahim CHY  Cost of DRC Contract agreement of Site Management Support in Camp 8E,8W ,10 &lt;(&gt;&amp;&lt;)&gt; 12 (01 Jul - 30 Sep 23)</t>
  </si>
  <si>
    <t>PR-4200518725 Unit-SMSD Requestor-Arman Rahim CHY  Cost of CARE Contract agreement of Site Management Support in Camp 13 &lt;(&gt;&amp;&lt;)&gt; 16 ( 1 Jul - 30 Sep 2023)</t>
  </si>
  <si>
    <t>Contrat d'implémentation d'enregistrement biométrique de la DNDS / Contrat CT N°AC-IOMBKO-23-031 / PR 4200533567 / Unité DTM</t>
  </si>
  <si>
    <t>CD.0033</t>
  </si>
  <si>
    <t>Fostering Local Communities of Solidarity for Migrants and Refugees from Venezuela</t>
  </si>
  <si>
    <t>CD.0050</t>
  </si>
  <si>
    <t>Republic of the Marshall Islands, Federated States of Micronesia and Republic of Palau: Inspiring Women’s Advancement through Collective Action</t>
  </si>
  <si>
    <t>Project Implementation Agreement on Inspiring Women's Advancement Through Collective Actions PW/IP/2023/004 dated 31 July 2023</t>
  </si>
  <si>
    <t>The Angel Center- School of Pacific</t>
  </si>
  <si>
    <t>Project Implementation Agreement on Inspiring Women's Advancement Through Collective Actions PW/IP/2023/003 dated 31 July 2023</t>
  </si>
  <si>
    <t>O.N.E LEEP</t>
  </si>
  <si>
    <t>Project Implementation Agreement on Inspiring Women's Advancement Through Collective Actions PW/IP/2023/001 dated 31 July 2023</t>
  </si>
  <si>
    <t>Belau Association of Non-Government</t>
  </si>
  <si>
    <t>Project Implementation Agreement on Inspiring Women's Advancement Through Collective Actions FM/IP/2023/005 dated 20 September 2023</t>
  </si>
  <si>
    <t>Pohnpei Women Council</t>
  </si>
  <si>
    <t>CD.0061</t>
  </si>
  <si>
    <t>IDEE BRIDGE - Development Initiatives for the BRIDGE Enterprise</t>
  </si>
  <si>
    <t>3rd amendement payment for CIPMEN  PRF/4200508627</t>
  </si>
  <si>
    <t>Extension of PIA Somos Oportunidades with Instituto ADUS - access to rights, private sector outreach and job intermediation to 500 vulnerable migrants across the state of São Paulo, 10 months.</t>
  </si>
  <si>
    <t>PR 4200513894_IP_Proceso de inclusión socio económica dirigida a población migrante y de la comunidad de acogida</t>
  </si>
  <si>
    <t>Contratación del Socio Implementador PR 4200527650</t>
  </si>
  <si>
    <t>PR_4200525968 REGIONAL MIGRATION AND DEVELOPMENT PROGRAM CONTRIBUTING TOWARD THE SIDA 2021-2025 (PARAGUAY)</t>
  </si>
  <si>
    <t>CS.1065</t>
  </si>
  <si>
    <t>Promotion of Peaceful Transhumance in the Liptako-Gourma Region</t>
  </si>
  <si>
    <t>Subvention au RESEAU DE COMMUNICATION SUR LE PASTORALISME pour la mise en œuvre des activites du projet PROMOTION D'UNE TRANSHUMANCE PACIFIQUE DANS LE LIPTAKO-GOURMA.  PR_4200494009</t>
  </si>
  <si>
    <t>RECOPA</t>
  </si>
  <si>
    <t>Subvention au CONSEIL REGIONAL DES UNIONS DU SAHEL (CRUS) pour LA MISE EN ŒUVRE DES ACTIVITES  DU PROJET PROMOTION D'UNE TRANSHUMANCE PACIFIQUE DANS LE LIPTAKO-GOURMA  PR_4200494040</t>
  </si>
  <si>
    <t>CRUS SAHEL</t>
  </si>
  <si>
    <t>Subvention au RESEAU BILITAL MAROOBE (RBM) pour l'appui technique au CRUS et au RECOPA dans la mise en œuvre des activités à Kantchari, Tin-Akof, Seytenga, Gorom-Gorom et Dori dans le cadre du projet PROMOTION D'UNE TRANSHUMANCE PACIFIQUE DANS LE LIPTAKO-GOURMA  PR_4200494070 PR_4200494084 COMPLEMENTAIRE</t>
  </si>
  <si>
    <t>RESEAU BILLITAL MAROOBE</t>
  </si>
  <si>
    <t>CONVENIO WLH-OT-118 WLH-002-078 DE 2023 12612707 FUNDACION MUJER ARTE Y VIDA TOTAL VALUE: COP 880.000.000 IOM CONTRIB: COP 800.000.000 FUN CONTRIB: COP  80.000.000</t>
  </si>
  <si>
    <t>FUNDACION MUJER ARTE Y VIDA</t>
  </si>
  <si>
    <t>ACUERDO DE IMPLEMENTACIÓN DE PROYECTO WLH-002-084 DE 2023 12627331RECREANDO  TOTAL VALUE: COP 680.000.000 IOM CONTRIB: COP 680.000.000</t>
  </si>
  <si>
    <t>Community development project implementation services between IOM and Pro Mujer Inc GUA114</t>
  </si>
  <si>
    <t>Pro Mujer Guatemala, S.A.</t>
  </si>
  <si>
    <t>QUI098 Community development project implementation services between IOM Asociación Civil KWA  PR. 4200512400</t>
  </si>
  <si>
    <t>KWA</t>
  </si>
  <si>
    <t>GUA348 Community development project implementation services between IOM and FUNDACION RED SOBREVIVIENTES DE VIOLENCIA DOMESTICA PR.4200504205</t>
  </si>
  <si>
    <t>Fundacion Red de Sobrevivientes de</t>
  </si>
  <si>
    <t>Implementing Partner under the Project entitled "Preventing Violent Extremism and Building Social Cohesion in the Northern Region of Mozambique.  PR No  4200475290</t>
  </si>
  <si>
    <t>Implementing partner to facilitate the construction in the location of Macomia, Mocimboa da Praia and Palma  PR No4200505791</t>
  </si>
  <si>
    <t>ALPS RESILIENCE</t>
  </si>
  <si>
    <t>implementing partner of the Project "Prevention of conflicts and strengthening of resilience in the Diffa's reagion. PRF#4200492888</t>
  </si>
  <si>
    <t>ONG ID-VERT</t>
  </si>
  <si>
    <t>AGR ACTIVITIES IN DIFFA'S REGION. PRF# 4200492888</t>
  </si>
  <si>
    <t>ONG RICO</t>
  </si>
  <si>
    <t>Implementing partner of the Project "Prevention of conflicts and strengthening of resilience DIFFA. PRF#4200492888.</t>
  </si>
  <si>
    <t>ONG GARKUA</t>
  </si>
  <si>
    <t>PR#4200471065&lt;(&gt;&amp;&lt;)&gt;4200523890</t>
  </si>
  <si>
    <t>Jiyan Foundation for Human Rights</t>
  </si>
  <si>
    <t>CS.1191</t>
  </si>
  <si>
    <t>Addressing the Return and Reintegration of Iraqis with Perceived Affiliation to Islamic State of Iraq and the Levant (ISIL) – Phase II</t>
  </si>
  <si>
    <t>PR#4200443899</t>
  </si>
  <si>
    <t>PR#4200443899 &lt;(&gt;&amp;&lt;)&gt;4200518300</t>
  </si>
  <si>
    <t>PR#4200521655</t>
  </si>
  <si>
    <t>Ashor Iraqi Foundation for Relief</t>
  </si>
  <si>
    <t>UA1-2023-13033.4_TRD_IP Transfer_implement activ.</t>
  </si>
  <si>
    <t>PO Mariupol Youth Union</t>
  </si>
  <si>
    <t>UA1-2023-13033.1_TRD_IP Transfer</t>
  </si>
  <si>
    <t>KYYIVSKA OO TCHKHU</t>
  </si>
  <si>
    <t>UA1-2023-13033.2_TRD_IP transfer</t>
  </si>
  <si>
    <t>CHERNIGIV RO RCSU</t>
  </si>
  <si>
    <t>UA1-2023-13033.3_TRD_IP Transfe</t>
  </si>
  <si>
    <t>POLTAVA RO RCSU</t>
  </si>
  <si>
    <t>UA1-2023-10130.3 _4th&lt;(&gt;&amp;&lt;)&gt;5th installments for the activities implemented by IP of Artists "Pectoral"UA</t>
  </si>
  <si>
    <t>HO KHUDOZHNYKIV PEKTORAL</t>
  </si>
  <si>
    <t>UA1-2023-2810_PX_Raising awareness on safe migration employment vulnerable population_Kyiv</t>
  </si>
  <si>
    <t>CS.1204</t>
  </si>
  <si>
    <t>Promotion of Human Security of Ukrainian Refugees, Third-Country Nationals (TCNs), and the Host Communities in Moldova through Socio-Economic Empowerment and Inclusion</t>
  </si>
  <si>
    <t>Social cohesion activities UNTFHS project (Aug-Dec'23)</t>
  </si>
  <si>
    <t>Alianta Asociatiilor Bastinasi MD</t>
  </si>
  <si>
    <t>PR#4200521618</t>
  </si>
  <si>
    <t>PR#4200521436</t>
  </si>
  <si>
    <t>Al Jeel Organization</t>
  </si>
  <si>
    <t>PR#4200521801</t>
  </si>
  <si>
    <t>Almortaqa Foundation for Developmen</t>
  </si>
  <si>
    <t>PR#4200521776</t>
  </si>
  <si>
    <t>Bent Al-Rafedain Organization</t>
  </si>
  <si>
    <t>PR#4200521756</t>
  </si>
  <si>
    <t>Shakoufyan  Organization</t>
  </si>
  <si>
    <t>PR#4200521795</t>
  </si>
  <si>
    <t>PR#4200521789</t>
  </si>
  <si>
    <t>Iraqi Al-Firdaws Society</t>
  </si>
  <si>
    <t>PR#4200521752</t>
  </si>
  <si>
    <t>Empowerment Organization</t>
  </si>
  <si>
    <t>PR#4200521747</t>
  </si>
  <si>
    <t>Hemam Alshabab Organization</t>
  </si>
  <si>
    <t>PR#4200521767</t>
  </si>
  <si>
    <t>Sabe Sanabul Organization for Reli</t>
  </si>
  <si>
    <t>ACUERDO DE IMPLEMENTACION DE PROYECTO PDR -0022-001 DE 2023 12629377 FUNDACION VISION DIVINA DEL MANANA TOTAL VALUE: COP 379.920.000 IOM CONTRIB: COP 379.920.000</t>
  </si>
  <si>
    <t>CT.1178</t>
  </si>
  <si>
    <t>Perennial Solutions for Host Populations, Refugees and the Most Vulnerable Migrants in the Territory of Djibouti</t>
  </si>
  <si>
    <t>IP AGREEMENT WITH SOS VILLAGES  PR# 4200482529 DU 08-06-2023</t>
  </si>
  <si>
    <t>SOS village d enfants Djibouti</t>
  </si>
  <si>
    <t>DP.0970</t>
  </si>
  <si>
    <t>Addressing Mixed Migration Flows in the Western Balkans</t>
  </si>
  <si>
    <t>Provision of services and field support to IOM Mixed Mobile Teams with Red Cross of RS for period 01 Jul 2023 - 30 Nov 2023  Contract No.:180-23-EM-BA10-NP</t>
  </si>
  <si>
    <t>Red Cross of the Republic of Srpska</t>
  </si>
  <si>
    <t>Provision of services and field support to IOM Mixed Mobile Teams with Red Cross of Tuzla Canton for period 01 Jul 2023 - 30 Nov 2023  Contract No.: 181-23-EM-BA10-NP</t>
  </si>
  <si>
    <t>Crveni kriz Tuzlanskog kantona</t>
  </si>
  <si>
    <t>Individual measure to strengthen the response capacity to manage migration flows in Bosnia and Herzegovina for the period of 01 April to 31 December 2023</t>
  </si>
  <si>
    <t>Danish Refugee Council (DRC)</t>
  </si>
  <si>
    <t>This Agreement refers to the activities that will be carried out within the project entitled ‘’Individual measure to strengthen the response capacity to manage migration flows in Bosnia and Herzegovina’’ (hereinafter referred to as the ‘’Project’’), which is financed by the European Union (‘’Donor’’) in accordance with the Financing Agreement No. IPA/2022/435-616 (hereinafter ‘’EU Agreement’’).  The general goal of the Project is to provide support to the institutions of Bosnia and Herzegovina (BiH) in the areas of migration, reception and border management in the context of the number of migrants, asylum seekers and refugees who have been passing through the country since the end of 2017.  This long-term approach is in accordance with the Commission’s Opinion on BiH’s application for membership in the European Union, Key Priority No. 8, which calls for ‘’ensuring effective coordination, at all levels, of border management capacity and migration management capacity, as well as ensuring the functioning of the asylum system.’’  The activities proposed by IOM under the Donor-funded Project are designed to respond to the basic needs of migrants, depending on the type of assistance, by providing support to government institutions to maintain or improve their response to the refugee and migrant situation, by providing assistance in state-run facilities, in temporary reception centers, and beyond.  Goals will be achieved by strengthening the role of the Ministy in coordination and management of migration, in accordance with the legal competencies of the Ministry.  PIA ref. no. 120-23-EM-BA10-NP</t>
  </si>
  <si>
    <t>Ministry of Security BiH</t>
  </si>
  <si>
    <t>DP.2254</t>
  </si>
  <si>
    <t>Expanding Burundi’s Humanitarian, Early Recovery and Emergency Response for Vulnerable Displaced Populations</t>
  </si>
  <si>
    <t>Fees for the Implementing Partner in data collection by the Burundian Red Cross PR # 4200534412</t>
  </si>
  <si>
    <t>DP.2305</t>
  </si>
  <si>
    <t>Improved Sanitation and Waste Management for Rohingya Camps and Host Communities in Bangladesh</t>
  </si>
  <si>
    <t>PR-4200433134 Requestor-Mubashara TUMPA  PR-4200529480 Requestor-Moury RAHMAN  Unit-WASH  IP contract agreement with SHED -Camp 13 (Apr-Sep'23)</t>
  </si>
  <si>
    <t>Sudanese Red Crecent Socciety</t>
  </si>
  <si>
    <t>PR # 4200529075 Conducting community outreach to raise awareness of SRH and MHM, Strengthen and enhance awareness, knowledge and understanding among the Afghan population on GBV and in addressing root causes.</t>
  </si>
  <si>
    <t>Blue Veins</t>
  </si>
  <si>
    <t>Protect Women GBV Emergency_Apr-Aug'23 MD10-121/23</t>
  </si>
  <si>
    <t>Support refugees disabilities_Feb-Nov'23 IP Agreement "Needs-based support for refugees with disabilities from Ukraine in Moldova"</t>
  </si>
  <si>
    <t>Protection Assistance Refugees</t>
  </si>
  <si>
    <t>STRENGTHEN CAPACITIES PROTECTION/INCLUSION_JUL-NOV'23</t>
  </si>
  <si>
    <t>A Ray of Light_May-Nov'23</t>
  </si>
  <si>
    <t>Assistance affected population Transnistria (Apr-Oct'23)</t>
  </si>
  <si>
    <t>PROTECTION ASSISTANCE REFUGEES_JUN-SEP'23</t>
  </si>
  <si>
    <t>AO STIMUL</t>
  </si>
  <si>
    <t>DP.2530</t>
  </si>
  <si>
    <t>Assistance for Conflict-Affected People in Romania</t>
  </si>
  <si>
    <t>GLOBAL HELP CRAIOVA</t>
  </si>
  <si>
    <t>PRF Details: 4200489429 approved on 21/June/2023 Contract Tracking/LEG Advisory Code: LBY/IMPL/KE0078/2023  Program Name: CS</t>
  </si>
  <si>
    <t>PRF Details: 4200489438 approved on 21/June/2023 Contract Tracking/LEG Advisory Code: LBY/IMPL/KE0081/2023  Program Name: CS</t>
  </si>
  <si>
    <t>PRF Details: 4200489438 approved on 21/June/2023 Contract Tracking/LEG Advisory Code: LBY/IMPL/KE0080/2023  Program Name: CS</t>
  </si>
  <si>
    <t>SOS Sahel Sudan</t>
  </si>
  <si>
    <t>PR:4200431861</t>
  </si>
  <si>
    <t>PR No.4200498204</t>
  </si>
  <si>
    <t>PR No:4200473114</t>
  </si>
  <si>
    <t>Premiere Urgence Internationale</t>
  </si>
  <si>
    <t>PR.No.4200504996</t>
  </si>
  <si>
    <t>Direct assistance to implementation partners for community projects</t>
  </si>
  <si>
    <t>ASSOCIATION POUR LA PROMOTION ET LA</t>
  </si>
  <si>
    <t>Services for the implementation of the NFI Shelter project activities of the Japons and Echo projects in the Far North region</t>
  </si>
  <si>
    <t>INTERNAL PO   PIA REFERANCE IOM OFFICE SPESFIC REF NO - ETH/ADD/JULY/1323/2023 IOM GRANT NUMBER SNFI0153 IOM PROJECT CODE /PRIMA CODE DP2560/CH10P1126  PO is edited following 1st Amendment Leg Referance IOM spesfic Ref No  ETH/AA/SEPTEMBER/580/2023 RRF GRANT NUMBER SNFI0153 IOM PROJECT CODE DP2560CH10P1126</t>
  </si>
  <si>
    <t>PIA_UA1-2023-12619 dd.04/04/2023</t>
  </si>
  <si>
    <t>DP.2571</t>
  </si>
  <si>
    <t>Providing Protection and Humanitarian Assistance to Vulnerable Venezuelans in Border Areas in Venezuela and Brazil</t>
  </si>
  <si>
    <t>IP.2023.033 - ACUERDO DE IMPLEMENTACION DE PROYECTO CARITAS DE VENEZUELA (CORO) IOMVE/CONTR/2023/054 "Provision de asistencia y proteccion a personas en contexto de movilidad en condiciones de vulnerabilidad en las regiones fronterizas de Venezuela y Brasil (Extension)"</t>
  </si>
  <si>
    <t>IP.2023.029 - IP Ext Caritas MBO ECHO ACUERDO DE IMPLEMENTACION DE PROYECTO MARACAIBO "Provision de asistencia y proteccion a personas en contexto de movilidad en condiciones de vulnerabilidad en las regiones fronterizas de Venezuela Extension" IOMVE/CONT/2023/057</t>
  </si>
  <si>
    <t>IP.2023.030 - IP Ext Cruz roja ZULIA ECHO "Provision de asistencia y proteccion a personas en contexto de movilidad en condiciones de vulnerabilidad en las regiones fronterizas de Venezuela Extension" IOMVE/CONTR/2023/056</t>
  </si>
  <si>
    <t>IP.2023.031 - IP Ext Diocesis SC ECHO "Provision de asistencia y proteccion a personas en contexto de movilidad en condiciones de vulnerabilidad en las regiones fronterizas de Venezuela- Extensión" IOMVE/CONT/2023/060</t>
  </si>
  <si>
    <t>IP.2023.032 - IP Ext Caritas Carupano ECHO ACUERDO DE IMPLEMENTACION DE PROYECTO CARUPANO "Provision de asistencia y proteccion a personas en contexto de movilidad en condiciones de vulnerabilidad en las regiones fronterizas de Venezuela - Extensión" IOMVE/CONT/2023/055</t>
  </si>
  <si>
    <t>IP.2023.035 - IP Ext ODISEF ECHO IOMVE/CONTR/2023/059 ACUERDO DE IMPLEMENTACION DE PROYECTO CON LA ASOCIACION CIVIL OBSERVATORIO DE INVESTIGACIONES SOCIALES EN FRONTERA (ODISEF) "Provision de asistencia y proteccion a personas en contexto de movilidad en condiciones de vulnerabilidad en las regiones fronterizas de Venezuela y Brasi (Extension)"</t>
  </si>
  <si>
    <t>IP.2023.036 - IP Ext Caritas Guadualito ECHO IOMVE/CONTR/2023/058 ACUERDO DE IMPLEMENTACION DE PROYECTO CARITAS GUASDUALITO "Provision de asistencia y proteccion a personas en contexto de movilidad en condiciones de vulnerabilidad en las regiones fronterizas de Venezuela y Brasil (Extension)"</t>
  </si>
  <si>
    <t>IP.2023.037 - IP Ext Cruz roja Guadualito ECHO IOMVE/CONTR/2023/053 ACUERDO DE IMPLEMENTACON DE PROYECTO SUBCOMITE GUASDUALITO SECCIONAL APURE DE LA CRUZ ROJA VENEZOLANA "Provision de asistencia y proteccion a personas en contexto de movilidad en condiciones de vulnerabilidad en las regiones fronterizas de Venezuela y Brasil (Extension)"</t>
  </si>
  <si>
    <t>IP.2023.034 - IP Maniapure ECHO ACUERDO DE IMPLEMENTACIÓN DE PROYECTO Fundación Proyecto Maniapure "Provisión de asistencia y protección a personas en contexto de movilidad en condiciones de vulnerabilidad en las regiones fronterizas de Venezuela y Brasil ”</t>
  </si>
  <si>
    <t>Project implementing of Small grants programme for localized safe migration, labour rights, protection and assistance services targeting Myanmar migrants in Myanmar and Thailand from 1 July 2023 to 31 January 2024 in the maximum amount of 1,664,790.00</t>
  </si>
  <si>
    <t>Human Rights and Development</t>
  </si>
  <si>
    <t>Implementing Partner in implementing Small grants programme for localized safe migration, labour rights, protection and assistance s ervices targeting Myanmar migrants in Myanmar and Thailand (the "Project") from 1 July 2023 to 31 December 2023 in the maximum amount of 1,286,810.00</t>
  </si>
  <si>
    <t>MAP Foundation</t>
  </si>
  <si>
    <t>IP transfers – International CSOs</t>
  </si>
  <si>
    <t>Accept International</t>
  </si>
  <si>
    <t>DP.2578</t>
  </si>
  <si>
    <t>Humanitarian Assistance to Mauritanian Returnees, Migrants, and Host Communities in Hodh Chargui (Mauritania)</t>
  </si>
  <si>
    <t>DP.2585</t>
  </si>
  <si>
    <t>Provision of Life-saving Assistance to Displaced Populations in Ethiopia</t>
  </si>
  <si>
    <t>Emergency shelter and Non-Food Items for conflict-affected returnees in Guba Woreda, Metekel zone, Benishangul Gumuz Region for Returnees: 1500 households (7500 individuals).  Reference:  Project Implementation Agreement number: ETH/ADD/June/1314/2023  PR number: 4200492486  PO Issued by: Mr. Nathaniel Abera/ Behailu  Contact Person: Mr. Abdu Mohammed (RRF)  Following the first amendment, PO edited 10/11/2023 Behailu,  PIA amendment Reference ETH/ADD/SEPTEMBER /577/2023 PR# 4200553178  20 AND 30 LINES ARE FINAL PAYMENT</t>
  </si>
  <si>
    <t>MULTI INTEGRATED SUPPORT</t>
  </si>
  <si>
    <t>YERYUZU DOKTORLARI DERNEGI</t>
  </si>
  <si>
    <t>ATAA FOR RELIEF AND DEVELOPMENT</t>
  </si>
  <si>
    <t>DP.2587</t>
  </si>
  <si>
    <t>Multisectoral Emergency Assistance for Vulnerable Displaced Populations in Northwest Syria (NWS)</t>
  </si>
  <si>
    <t>DP.2589</t>
  </si>
  <si>
    <t>Multisectoral Support to Enhance Integration of Ukrainians and Third Country Nationals in Poland</t>
  </si>
  <si>
    <t>PR 4200448044 Labour market inclusion - Labor Market Integration Center GDANS IP WAGA</t>
  </si>
  <si>
    <t>PR4200514224 Contracting NGOs for implementation of Provision of Protection against Sexual Exploitation and Abuse</t>
  </si>
  <si>
    <t>UFUK Horizon</t>
  </si>
  <si>
    <t>DP.2601</t>
  </si>
  <si>
    <t>Closing the Loop of Sustainable Procurement in Displacement Setting Using Innovative Finance</t>
  </si>
  <si>
    <t>Mercy Corps</t>
  </si>
  <si>
    <t>DP.2602</t>
  </si>
  <si>
    <t>Emergency Grant Aid in Response to the Earthquake in Türkiye and Syria</t>
  </si>
  <si>
    <t>DP.2606</t>
  </si>
  <si>
    <t>Enhancing the Food Security, Nutrition, and Resilience of Vulnerable Populations in Nortwest Syria (NWS)</t>
  </si>
  <si>
    <t>PROJECT IMPLEMENTING AGREEMENT AS PER US10-PIA-23-002 BETWEEN IOM - D.C AND GDC</t>
  </si>
  <si>
    <t>GLOBAL DIASPORA CONFEDERATION</t>
  </si>
  <si>
    <t>CONVENIO E&lt;(&gt;&amp;&lt;)&gt;E-036-034 FGM 12600281 CORPORACION DESARROLLO CORPRODINCO  TOTAL VALUE: COP 181.127.300 IOM CONTRIB: COP  80.000.000 + 80.074.800 SOC CONTRIB: COP  21.052.500</t>
  </si>
  <si>
    <t>CORPORACION DESARROLLO CORPRODINCO</t>
  </si>
  <si>
    <t>PROYECTO PRM 2023  ACUERDO DE IPLEMENTACION  DURACION DE JUNIO A NOVIEMBRE  ENMIENDA #1 POR ARS 8.813.500  LINEAS NUEVAS 120-130-140 LINEAS COMPLEMENTARIAS A LAS ACTIVIDADES 30-90-100:  110-160-170</t>
  </si>
  <si>
    <t>Acuerdo FCCAM Abr-Nov RMRP 2023</t>
  </si>
  <si>
    <t>Acuerdo SJM Abr-Nov 2023</t>
  </si>
  <si>
    <t>Acuerdo APdeBA Jun-Nov 2023  ENMIENDA # 1 POR ARS 1.190.000</t>
  </si>
  <si>
    <t>ASOCIACION PSICOANALITICA DE BUENOS</t>
  </si>
  <si>
    <t>Acuerdo CRA 01/04-30/08 de 2023</t>
  </si>
  <si>
    <t>Acuerdo Alianza por Venezuela Abr-Nov 2023</t>
  </si>
  <si>
    <t>PROYECTO PRM 2023  CONTRATO SOCIO IMPLEMENTADOR  DURACION DE SEP A NOV 2023</t>
  </si>
  <si>
    <t>PROYECTO PRM 2023  Acuerdo IP Fundación Nobleza Obliga 01/08/23 al 30/11/23</t>
  </si>
  <si>
    <t>FUNDACION NOBLEZA OBLIGA PARA EL</t>
  </si>
  <si>
    <t>Recruitment of an implementing partner in the city of Cochabamba to provide assistance to migrants with the delivery of family</t>
  </si>
  <si>
    <t>Recruitment of an implementing partner in the city of La Paz to provide assistance to migrants with the delivery of family food kits, basic household supplies, support with the payment of housing rent, regularization procedures and provision of seed capital for the establishment of entrepreneurships.</t>
  </si>
  <si>
    <t>Recruitment of an implementing partner in the city of Santa Cruz to provide assistance to migrants with the delivery of family food kits, hygiene kits, regularization procedures, and events.</t>
  </si>
  <si>
    <t>C.Arquidiocesana de P. Social Carit</t>
  </si>
  <si>
    <t>ACUERDO DE IMPLEMENTACIÓN DE PROYECTO "ASESORÍA E INFORMACIÓN JURÍDICA, SOCIAL Y LABORAL EN ASUNTOS MIGRATORIOS PARA MIGRANTES VENEZOLANOS Y OTRAS COLECTIVIDADES”</t>
  </si>
  <si>
    <t>Service for:  IP 2-Assistance and protection actions for Venezuelans migrants Dominican Republic.  The parties wish to extend the activities from August 31, 2023 to November 30, 2023.</t>
  </si>
  <si>
    <t>Service for:  IP 1-Assistance and protection actions for Venezuelans migrants Dominican Republic.  IP 3-Assistance and protection actions for Venezuelans migrants Dominican Republic.  The partner in execution will begin the activities as of August 31, 2023 and must complete the activities completely and satisfactorily on November 30, 2023.</t>
  </si>
  <si>
    <t>PR 4200500225 - Salud - IP - Atención Integral en Salud</t>
  </si>
  <si>
    <t>SOCIEDAD NACIONAL DE LA CRUZ ROJA E</t>
  </si>
  <si>
    <t>PR 4200493799   IP Fortalecimiento capacidades en emprendimientos sostenibles y competencias técnicas en UIO y Loja  ACUERDO DE IMPLEMENTACIÓN DE PROYECTO entre la Organización Internacional para las Migraciones (OIM) y Fundación para el Desarrollo Empresarial y Social (FEDES) relativo al proyecto de Fortalecimiento de Capacidades en Emprendimientos Sostenibles Fortalecimiento de Competencias Técnicas para Personas en Situación de Movilidad Humana  Núm. Ref. de la Oficina de la OIM IP_2023_13 Código de Proyecto OIM            DP.2614.</t>
  </si>
  <si>
    <t>PR: 4200503292 Acuerdo de Implementación de Proyecto, Num. de referencia: IP-2023-14, relativo al: "Programa de Fortalecimiento de Habilidades Blandas, Formación Técnica y Asesoría para el Acceso al Empleo (Relación Bajo Dependencia y Autoempleo) que Promueva la Integración Social y Económica de la Población Venezolana y Comunidad de Acogida".</t>
  </si>
  <si>
    <t>Acuerdo de Implementación de Proyecto, Num. de referencia: IP-2023-12, relativo al: "Proyecto de integración socio económica de personas en situación de movilidad humana y de la comunidad de acogida a través del emprendimiento (Quito y Cuenca)".</t>
  </si>
  <si>
    <t>CHILDFUND INTERNATIONAL USA</t>
  </si>
  <si>
    <t>Blossom Inc</t>
  </si>
  <si>
    <t>ACUERDO DE IMPLEMENTACIÓN DE PROYECTO ENTRE LA ORGANIZACIÓN INTERNACIONAL PARA LAS MIGRACIONES (OIM) Y ALDEAS INFANTILES SOS PERÚ -ASOCIACIÓN NACIONAL RELATIVO A CONTRATACION DE SOCIO IMPLEMENTADOR PARA BRINDAR SERVICIOS ESPECIALIZADOS PARA LA ASISTENCIA Y PROTECCION DE NIÑAS, NIÑOS Y ADOLESCENTES MIGRANTES Y REFUGIADOS SEPARADOS, NO ACOMPAÑADOS O EN SITUACION DE VULNERABILIDAD.</t>
  </si>
  <si>
    <t>Contratación de IP para Asistencia humanitaria (NFI) para Lima y Tacna</t>
  </si>
  <si>
    <t>Contratación de IP para Asistencia humanitaria (NFI –kits de insumos no alimentarios y WASH) y GRD</t>
  </si>
  <si>
    <t>Contratación de IP para gestión de casos Cash for rent para población refugiada y migrante.</t>
  </si>
  <si>
    <t>CARITAS CHOSICA</t>
  </si>
  <si>
    <t>Puno: Servicio para la implementación PAO de Desaguadero IP</t>
  </si>
  <si>
    <t>Contratación de IP mejoras de infraestructura de servicios básicos en Piura y Tumbes</t>
  </si>
  <si>
    <t>ONG COOPERAZIONE INTERNAZIONALE</t>
  </si>
  <si>
    <t>Contratación de IP para servicio de Regularización Migratoria en Lima Metropolitana y Callao</t>
  </si>
  <si>
    <t>Contratación de IP para asistencia humanitaria en Madre de Dios</t>
  </si>
  <si>
    <t>Contratación de IP para provisión de asistencia alimentaria a las personas refugiadas y migrantes.</t>
  </si>
  <si>
    <t>Implementing Partner - Housing; food; hygiene; DP.2614</t>
  </si>
  <si>
    <t>DP.2624</t>
  </si>
  <si>
    <t>Provision of Immediate Lifesaving Emergency Shelter, Non-food Items (NFI) and Camp Coordination and Camp Management Assistance in Response to Tropical Cyclone Freddy’s Impact</t>
  </si>
  <si>
    <t>Malawi Red Cross Society</t>
  </si>
  <si>
    <t>HABITAT FOR HUMANITY MALAWI</t>
  </si>
  <si>
    <t>MOBILITY TRACKING RUND 19 AND 20 OTHER DTM ACTIVITY PRF 4200493619</t>
  </si>
  <si>
    <t>MOBILITY TRACKING ROUND 19 AND 20 OTHER DTM ACTIVITIES PRF 4200493616</t>
  </si>
  <si>
    <t>MOBILITY TRACKING ROUND 19 AND 20 OTHER DTM ACTIVITIES PRF 4200493619</t>
  </si>
  <si>
    <t>MOBILITY TRACKING ROUND 19 AND 20 AND OTHER ACTIVITIES 4200493619</t>
  </si>
  <si>
    <t>DP.2633</t>
  </si>
  <si>
    <t>IP YCO Third Extension || 2 Months from 1 July 2023 until 31 August 2023_ (SFI22_077) SAP PR: 4200494789</t>
  </si>
  <si>
    <t>PR_4200505816 PO created on behalf of M.Tamim</t>
  </si>
  <si>
    <t>Human Relief Foundation</t>
  </si>
  <si>
    <t>DP.2636</t>
  </si>
  <si>
    <t>Emergency Shelter for Populations Affected by the Cyclone in the Great South-East of Madagascar</t>
  </si>
  <si>
    <t>Croix Rouge Malagasy</t>
  </si>
  <si>
    <t>MEDAIR</t>
  </si>
  <si>
    <t>Association ANKOSI</t>
  </si>
  <si>
    <t>DP.2641</t>
  </si>
  <si>
    <t>Additional Emergency Grant Aid in Response to the Earthquake in Syria</t>
  </si>
  <si>
    <t>ESNFI kits Provision for newly displaced flood affected IDPs in Afdher Zone of Somali Region for IDPs: 1500 HHs (7,500 individuals).  Reference:  Project Implementation Agreement number: ETH/ADD/June/1315/2023  PR number: 4200493165  PO Issued by: Mr. Nathaniel Abera  Contact Person: Mr. Abdu Mohammed (RRF)</t>
  </si>
  <si>
    <t>Somali Ethiopian Social and E.D.A</t>
  </si>
  <si>
    <t>Emergency WASH assistance for cholera-affected communities at Teltele Woreda, Borena Zone for 20,877 individuals.  Reference:  Project Implementation Agreement number: ETH/ADD/June/1316/2023  PR number: 4200493885  PO Issued by: Mr. Nathaniel Abera  Contact Person: Mr. Abdu Mohammed (RRF)</t>
  </si>
  <si>
    <t>IP for ESNFI Kits distribution to 700 HH IDPs in Siyat Site, Hintalo Woreda (RRFE0159 IP ACDD)</t>
  </si>
  <si>
    <t>Advocacy Center for Democracy and D</t>
  </si>
  <si>
    <t>Internal PO for MIGO MIRO  Iom Project Code DP2659/CH1HP0547 IOM Office Spesfic Ref No ETH/ADD/September/1346/2023</t>
  </si>
  <si>
    <t>DP.2666</t>
  </si>
  <si>
    <t>Emergency Grant Aid in Response to the Cyclone in Myanmar and Bangladesh</t>
  </si>
  <si>
    <t>PR-4200502321 Unit-WASH Requestor-Moury RAHMAN  IP agreement with SHED- Host Community (16 July - 30 November, 2023) Moury</t>
  </si>
  <si>
    <t>Kalkinma icin Inovasyon Dernegi</t>
  </si>
  <si>
    <t>DP.2673</t>
  </si>
  <si>
    <t>Providing life-saving humanitarian protection and health care assistance to migrants and other vulnerable individuals in Lebanon</t>
  </si>
  <si>
    <t>Legal Action Worldwide</t>
  </si>
  <si>
    <t>DP.2675</t>
  </si>
  <si>
    <t>Provision of Cash Assistance to Mitigate the Risk of Forced Relocation of IDPs in Abyei Administrative Areas</t>
  </si>
  <si>
    <t>Provision of cash assistance to mitigate the risk of forced relocation of IDPs in Abyei Administrative Areas. PRF#4200501716</t>
  </si>
  <si>
    <t>IP Internal PO  PIA Referance  IOM Office Spesfic No ETH/ADD/JULY/1329/2023 RRF GRANT NUMBER SNFI0156 IOM PROJECT CODE /PRIMA CODE DP.2691/CH1HP0556</t>
  </si>
  <si>
    <t>IP Internal PO  PIA Referance Number  ETH/ADD/JULY/1331/2023 RRF GRANT NUMBER SNFI00158 IOM PROJCET CODE /PRIMA CODE DP2691/CH1HP0556</t>
  </si>
  <si>
    <t>IP Internal PO  PIA Refarance IOM OFFICE -SPESFIC REF NO - ETH/ADD/JULY/1328/2023 RRF GRANT NUMBER SNFI0155 IOM PROJCET CODE /PRIMA CODE DP2691/CH1HP0556</t>
  </si>
  <si>
    <t>ACTION FOR THE NEEDY IN ETH (ANE)</t>
  </si>
  <si>
    <t>IP INTERNAL PO  PIA REFERANCE ETH/ADD/JULY/1327/2023 RRF GRANT NUMBER SNFI10154 IOM PROJECT CODE /PRIMA CODE DP2691/CH1HP0556</t>
  </si>
  <si>
    <t>RRF0363 - Emergency Measles response among children (from 6 months to 15 years) and active surveillance in Leer and Fangak Counties under PRF Ref #4200525553</t>
  </si>
  <si>
    <t>RRF0364 - Emergency Shelter/NFIs response to the returnees and the most ulnerable host populations in Abyei affected by the on-going Sudan Crisis.  4200531639</t>
  </si>
  <si>
    <t>IMPACT HEALTH ORGANIZATION (IHO)</t>
  </si>
  <si>
    <t>PRF# 4200500964 as per the attached Annex C - Budget Template</t>
  </si>
  <si>
    <t>Yanabia Al-Khair Charity Foundation</t>
  </si>
  <si>
    <t>YCO _SFI23_097 | Taiz warehouse extension | 4 Month (September to December 2023)  SAP PR: 4200530595  INSTALLMENT SCHEDULE: - First Installment - will be paid after 30 days from the signature of the agreement. - Final Installment - after 30 days of project completion.</t>
  </si>
  <si>
    <t>PRF# 4200532716</t>
  </si>
  <si>
    <t>DP.2697</t>
  </si>
  <si>
    <t>Comprehensive Reintegration Programme in Areas of Returns in Burundi (Phase IV)</t>
  </si>
  <si>
    <t>IP Cost of implementation service for small-scale community stabilization projects PR reference # 4200528201</t>
  </si>
  <si>
    <t>Open call for civic initiatives throgh Foundation Via - IP</t>
  </si>
  <si>
    <t>IP - Preventing od loss of housing in the most vulnerable groups of refugees</t>
  </si>
  <si>
    <t>Longer-term Housing Pilot - Moldova (Aug-Nov'23) Housing Ecosystem Assessment</t>
  </si>
  <si>
    <t>HABITAT FOR HUMANITY INTERNATIONAL</t>
  </si>
  <si>
    <t>Stowarzyszenie Edukacji dla</t>
  </si>
  <si>
    <t>PR Number: 4200504494 IP fund transfer.</t>
  </si>
  <si>
    <t>PR Number:4200504478 Polish and Engligh Languase course provided by IP.</t>
  </si>
  <si>
    <t>Malopolski Fundusz Ekonomi Spoleczn</t>
  </si>
  <si>
    <t>PR4200504507 Labour market inclusion - Labor Market IC WAŁBRZYCH and IC WROCŁAW IP Fundacija Ukraina</t>
  </si>
  <si>
    <t>Fundacja Ukraina</t>
  </si>
  <si>
    <t>PR-4200525081 Unit-Protection Requestor-Thui Sha Ching MARMA  Pulse Bangladesh Society partnership new agreement for 1st August to 30 November 2023</t>
  </si>
  <si>
    <t>PR-4200494670 Unit-WASH Requestor-Moury Rahman.  IOM-DSK project implementation agreement for 4 months (1 June - 30 Sep, 2023) for monitoring, operation and maintenance of WASH</t>
  </si>
  <si>
    <t>PRF# 4200528014</t>
  </si>
  <si>
    <t>Intersos</t>
  </si>
  <si>
    <t>PRF# 4200527947</t>
  </si>
  <si>
    <t>DR.0036</t>
  </si>
  <si>
    <t>Inclusive Mitigation and Preparedness in Action (IMPACT) - Federated States of Micronesia</t>
  </si>
  <si>
    <t>Project Implementation Agreement on "Strengthening the Food Security for the Community of Malem" FM/IP/2023/003 dated 30 June 2023</t>
  </si>
  <si>
    <t>DS.0055</t>
  </si>
  <si>
    <t>Community Revitalization Programme - Phase X</t>
  </si>
  <si>
    <t>PR# 4200461408  The PROJECT IMPLEMENTATION AGREEMENT between the International Organization for Migration and Bibliothèques Sans Frontières</t>
  </si>
  <si>
    <t>BIBLIOTHEQUES SANS FRONTIERES</t>
  </si>
  <si>
    <t>PR # 4200535631  Implementing Partner for provision of GBV prevention activities</t>
  </si>
  <si>
    <t>Women Empowerment Organization</t>
  </si>
  <si>
    <t>Surdurulebilir Sosyal ve Ekonomik K</t>
  </si>
  <si>
    <t>MOBILITY TRACKING ROUND 19 AND 20 OTHER ACTIVITIES PRF 4200493619</t>
  </si>
  <si>
    <t>EP.0041</t>
  </si>
  <si>
    <t>Addressing Protection Risks in Humanitarian Settings in Timor-Leste and Papua New Guinea</t>
  </si>
  <si>
    <t>UN Partnerships</t>
  </si>
  <si>
    <t>Project to strengthen and consolidate community mechanisms for reintegration and of reconciliation  PR: 4200512829</t>
  </si>
  <si>
    <t>CLSPD</t>
  </si>
  <si>
    <t>Payment for the construction of two listening centers and rehabilitation of ten boreholes at the Lac  PR: 4200512838</t>
  </si>
  <si>
    <t>ENTREPRISE EPRASER</t>
  </si>
  <si>
    <t>COODEPAZC COOP MULT DESARROLLO Y PA</t>
  </si>
  <si>
    <t>CONVENIO PDR-0023-002 DE 2023 12617999 ASOCI AGRIC OCCIDENTE COLOMBIANO  TOTAL VALUE: COP 323.287.500 IOM CONTRIB: COP 316.760.000 FUN CONTRIB:  COP  6.527.500</t>
  </si>
  <si>
    <t>ADAGRO ASOCIACION OCCIDENTE</t>
  </si>
  <si>
    <t>UA02023-13031 dd. 25/07/2023</t>
  </si>
  <si>
    <t>SOUS TRAITANCE POUR LA MISE EN OEUVRE DE LA STRATEGIE DE SENSIBILITE AUX CONFLITS DU PROJET PDDRCS</t>
  </si>
  <si>
    <t>INTERNATIONAL ALERT</t>
  </si>
  <si>
    <t>ACUERDO DE IMPLEMENTACION DE PROYECTO PDR-0023-001 DE 2023 12627373 FUNDACION INCOLMOTOS YAMAHA TOTAL VALUE: COP 680.461.600 IOM CONTRIB: COP 680.461.600</t>
  </si>
  <si>
    <t>FUNDACION INCOLMOTOS YAMAHA</t>
  </si>
  <si>
    <t>Fostering Rehabilitation PIA signed and approved LEG#IRN/IMPL/KE0090/2023</t>
  </si>
  <si>
    <t>SHREE BHAGWAN MAHAVEER VIKLANG</t>
  </si>
  <si>
    <t>INSTITUT NATIONAL DE LA STATISTIQUE</t>
  </si>
  <si>
    <t>IS.0092</t>
  </si>
  <si>
    <t>Costa Rica: Integration of Migrants through Regularization and Access to Employment in Costa Rica</t>
  </si>
  <si>
    <t>IP transfers – National Gov Entities</t>
  </si>
  <si>
    <t>ASOCIACION ALIANZA VEN CR</t>
  </si>
  <si>
    <t>PR 4200478011  MPTF: Inclusión Socioeconómica a mujeres y jóvenes en Lago Agrio e Ibarra</t>
  </si>
  <si>
    <t>PROJECT IMPLEMENTATION AGREEMENT No. 2023_PIA-03 between the International Organization for Migration and Association of Legal Entit ies "Association for the Advancement of Health" within IS.0101 Project</t>
  </si>
  <si>
    <t>Association - Advancement of Health</t>
  </si>
  <si>
    <t>IS.0124</t>
  </si>
  <si>
    <t>InterACT - Active Participation and Integration of Migrants in Romania (2023)</t>
  </si>
  <si>
    <t>HIAS provides pre-departure orientation for Canada-bound refugees in accordance with agreement</t>
  </si>
  <si>
    <t>IP Agreement on 'Provision of Emeregency Health Services to flood-affected populations in Peshawar and Nowshera districts - KPK</t>
  </si>
  <si>
    <t>MAAN EDUCATION and HEALTH DEV.ORG</t>
  </si>
  <si>
    <t>PR # 4200532912 IP SEHER for implementation of Protection Case Management project for Afghan response programme in Balochistan</t>
  </si>
  <si>
    <t>ACUERDO DE IMPLEMENTACIÓN E&lt;(&gt;&amp;&lt;)&gt;E-039-002 de 2023 12628992 CARE  TOTAL VALUE: COP  1,502,519,136 IOM CONTRIB: COP  1,502,519,136</t>
  </si>
  <si>
    <t>COOP FOR ASSISTANCE AND RELIEF EVER</t>
  </si>
  <si>
    <t>ACUERDO DE IMPLEMENTACIÓN E&lt;(&gt;&amp;&lt;)&gt;E-039-001 de 2023 12613461 CRUZ ROJA COLOMBIANA CUNDINAMARCA  TOTAL VALUE: COP  837,827,029 IOM CONTRIB: COP  837,827,029</t>
  </si>
  <si>
    <t>LM.0331</t>
  </si>
  <si>
    <t>Asia: Enhancing Corporate Responsibility in Eliminating Slavery and Trafficking (CREST) in Asia</t>
  </si>
  <si>
    <t>PR4200457578  Project and finance: IOM agrees to provide financial support to the Implementing Partner in implementing Delivery of Capacity Building Trainings for Civil Society Organization (CSOs) and Migrant Leaders (the"Project") from 1 June 2023 to 30 November 2023 in the maximum amount of 1,023,860.00 (One million Twenty-Three Thousand Eight Hundred Sixty)</t>
  </si>
  <si>
    <t>HIEP HOI XUAT KHAU LAO DONG VN</t>
  </si>
  <si>
    <t>LM.0408</t>
  </si>
  <si>
    <t>Governance of Labour Migration in South and South-East Asia (GOALS)</t>
  </si>
  <si>
    <t>COMMUNITY DEVELOPMENT SERVICES</t>
  </si>
  <si>
    <t>To implement the safe migration, labor rights, protection, and assistance services for vulnerable migrants LM.0413.MM10.D4.02.018 LM.0413.MM10.D4.02.019 YGN_PR_4200524512 OFFICE RECORD</t>
  </si>
  <si>
    <t>Arr Man Thit</t>
  </si>
  <si>
    <t>IP Agreement to Organize and Facilitate the Field Visit as a part of the Bilateral Consultation on Collaboration on Pre-Departure Training for Cambodian Construction Workers</t>
  </si>
  <si>
    <t>Department of Standard</t>
  </si>
  <si>
    <t>Organization and Facilitation of the 2nd Meeting of the Regional Programme Advisory Committee Meeting of the Poverty Reduction Through Safe Migration, Skills Development and Enhanced Job Placement in Cambodia, Laos, Myanmar and Thailand (PROMISE)</t>
  </si>
  <si>
    <t>Department of Employment and Manpow</t>
  </si>
  <si>
    <t>LM.0465</t>
  </si>
  <si>
    <t>Cambodia: Contributing to Socioeconomic Recovery through Improved Skill Training and Access to Employment for Migrant Workers Impacted by COVID-19</t>
  </si>
  <si>
    <t>IP Agreement with DGTVET to organizing and facilitating the workshop</t>
  </si>
  <si>
    <t>Organization and Facilitation of the Provincial Dissemination Workshop on the Study to Develop a Roadmap to Improve the TVET Skills, Training Opportunities and Curricula for Cambodian Migrant and Other Workers on 17th Aug 2023 at Siem Reap province</t>
  </si>
  <si>
    <t>Organization and Facilitation of the Dissemination Workshop on the study to "Existing Skills among migrantworkers and the Skill needs of employers in Cambodia in the context of COVID-19 recovery</t>
  </si>
  <si>
    <t>LM.0479</t>
  </si>
  <si>
    <t>Labour Migration Programme - Central Asia</t>
  </si>
  <si>
    <t>PROJECT IMPLEMENTATION AGREEMENT No. 2023_PIA-02 between the International Organization for Migration and El agartuu Public Associat ion within LM.0479 Project</t>
  </si>
  <si>
    <t>PU El Agartuu</t>
  </si>
  <si>
    <t>LM.0487</t>
  </si>
  <si>
    <t>Western Hemisphere Regional Migration Capacity-Building Program</t>
  </si>
  <si>
    <t>YOUNG WOMEN CHRISTIAN ASSOCIATION</t>
  </si>
  <si>
    <t>Implementing Partner Agreement with Fundación Gabo.     Acuerdo de Implementación con Fundación Gabo.</t>
  </si>
  <si>
    <t>FUNDACION GABRIEL GARCIA MARQUEZ PA</t>
  </si>
  <si>
    <t>PIA RO23/249 Project code: MA0335  PR4200499760 Sub Recipient Agreement for Global Fund Grant QSE-T-IOM-TEAM2: Tuberculosis Elimination Among Migrants  Project commence from 1 July 2023 to 31 December 2024 in the maximum amount of USD 73,284.48 (Seventy-three Thousand Two Hundred Eighty-Four and 48/100) (the "Contribution") in accordance with the Project Budget (Annex B).</t>
  </si>
  <si>
    <t>National Center for Tuberculosis</t>
  </si>
  <si>
    <t>Sub Recipient Agreement for Global Fund Grant QSE-T-IOM-TEAM: Tuberculosis Elimination Among Migrants  Installment to SRs: REG - Dreamlopment, year 2 (2023) Q5 - Q8</t>
  </si>
  <si>
    <t>Sub Recipient Agreement for Global Fund Grant QSE-T-IOM-TEAM2: Tuberculosis Elimination Among Migrants  ** SMRU Thailand ** PR4200528425</t>
  </si>
  <si>
    <t>Sub Recipient Agreement for Global Fund Grant QSE-T-IOM-TEAM2: Tuberculosis Elimination Among Migrants ** SMRU Myanmar ** PR4200528559I</t>
  </si>
  <si>
    <t>IP Comprehensive SRHR Interventions in Lesotho, Leribe district-Cost Extension</t>
  </si>
  <si>
    <t>Skillshare Lesotho</t>
  </si>
  <si>
    <t>THEMBALETHU NKOMAZI</t>
  </si>
  <si>
    <t>MA.0542</t>
  </si>
  <si>
    <t>Psycho-Emotional Care for Children and Adolescents in Situations of Mobility in Uruguay</t>
  </si>
  <si>
    <t>Extension - APU association (service) according to the UN to UN agencies donor cooperation agreement.</t>
  </si>
  <si>
    <t>MD.0014</t>
  </si>
  <si>
    <t>Joint IOM-UNDP Global Programme on Making Migration Work for Sustainable Development (Phase III)</t>
  </si>
  <si>
    <t>Reintegration Fair for Migrant workers and Local Community at Dhankuta from 15 Sep 2023 to 20 Oct 2023.</t>
  </si>
  <si>
    <t>Nepal Institute of Development Stud</t>
  </si>
  <si>
    <t>MD.0030</t>
  </si>
  <si>
    <t>Concrete Actions for the Territorialization of the SNIA at the Regional Level</t>
  </si>
  <si>
    <t>PR-4200513176 Unit-MHD Requestor-Md. Alamgir MIAH  Require budget for IP BGS for the period of 1 July 2023 to 31 December 2023 to implement ''Community Based Health Outreach.</t>
  </si>
  <si>
    <t>MP.0592</t>
  </si>
  <si>
    <t>Regional Humanitarian Response to Venezuelan Migrants, Refugees and Vulnerable Populations - Phase III</t>
  </si>
  <si>
    <t>IP.2023.019 - Convenio Caritas de Venezuela DTM IOMVE/CONTR/2023/052 DTM Caritas Táchira (Venezuela) - AECID III Acuerdo de Implementacion de Proyecto entre Organizacion Internacional para las migraciones y Caritas de Venezuela relativo a levantamiento de Información - DTM Tachira y Zulia</t>
  </si>
  <si>
    <t>MP.0601</t>
  </si>
  <si>
    <t>Emergency Assistance for Vulnerable Populations in the States of Bolívar and Amazonas, Venezuela</t>
  </si>
  <si>
    <t>IP.2023.027 - IP Aseinc "Asistencia a víctimas de trata o de algún tipo de violencia identificadas en los estados Amazonas y Bolívar" (proyecto BHA) Contrato Numero IOMVE/CONTR/2023/062</t>
  </si>
  <si>
    <t>ASOC DESARR EDUC INTEGRAL Y COMUNIT</t>
  </si>
  <si>
    <t>MS.0010</t>
  </si>
  <si>
    <t>YMCA - 26'Jun to 25'Aug 2023 - IP Transfer EPR 4200485134 Line 1, Requester : Ms Sandar Min</t>
  </si>
  <si>
    <t>MSCA _ 26'Jun to 25'Aug 2023_ IP Transfers EPR 4200485134</t>
  </si>
  <si>
    <t>YKBWA _ 26'Jun to 25'Aug 2023 _ IP Transfers EPR 4200485134</t>
  </si>
  <si>
    <t>Transfer agreement between IOM and ILO.   Acuerdo de Transferencia entre OIM y OIT</t>
  </si>
  <si>
    <t>Project Implementation Agreement on "Strengthening the Capacity of NGOs to implement Small Grant Awards" MH/IP/2023/003 dated 26 June 2023</t>
  </si>
  <si>
    <t>Marshall Islands Disabled Persons O</t>
  </si>
  <si>
    <t>Project Implementation Agreement on "Strengthening the Capacity of NGOs to implement Small Grant Awards" MH/IP/2023/004 dated 26 June 2023</t>
  </si>
  <si>
    <t>Jek Na Lemen Inc.</t>
  </si>
  <si>
    <t>Project Implementation Agreement on Strengthening the Capacity of NGOs to implement Small Grants Awards KI/IP/2023/001 dated 19 September 2023.</t>
  </si>
  <si>
    <t>TOFMA</t>
  </si>
  <si>
    <t>Paiements relatifs au contrat pour la gestion des risques liés à la sécurité climatique et gestion des ressources naturelles pour préserver la mobilité humaine et la coexistence pacifique dans le centre du Mali.</t>
  </si>
  <si>
    <t>PB.0047</t>
  </si>
  <si>
    <t>Peace through Health: Peacebuilding and Violence Reduction in Communities in the Far-North, through Inclusive Health and Social Interventions</t>
  </si>
  <si>
    <t>DDR CVR Training: Partnership with UNITAR for Training Delivery</t>
  </si>
  <si>
    <t>UNITED NATIONS TRAINING AND RESEARC</t>
  </si>
  <si>
    <t>PB.0048</t>
  </si>
  <si>
    <t>Conflict Transformation in Areas Affected by Armed Conflict in the Bangsamoro Autonomous Region of Muslim Mindanao (BARMM) through Area-Based Community Driven Development</t>
  </si>
  <si>
    <t>MINDANAO PEOPLES CAUCUS</t>
  </si>
  <si>
    <t>Implementation agreement for activity in Maglaj, Doboj and Zepce</t>
  </si>
  <si>
    <t>Udruzenje mladih Dictum factum</t>
  </si>
  <si>
    <t>This Agreement concerns project activities to be implemented by the Implementing Partner under the Project entitled "Empowering Trust and Cohesion in Bosnia and Herzegovina’s Communities" (hereinafter "the Project") financed under the European Union (the "Donor") Contribution Agreement No. NDICI CRISIS FPI/2022/434-650 (OPSYS PC-17416) (hereinafter the "EU Agreement").  During five months of activity implementation, the Hrvatsko kulturno društvo "Naša baština" Globarica (in text: HKD "Naša baština"), as an implementing partner, will provide a supportive environment for mutual learning and collaboration of different cultural societies and organizations from Doboj, Maglaj, and Žepče, strengthening their ability for proactive engagement in their communities. Planned activities will bring together different cultural societies and organizations groups around a common goal and thus further strengthen the community’s social cohesion and sense of collaboration.  PIA ref. no. 164-23-EM-BA10-NP</t>
  </si>
  <si>
    <t>HKUD Nasa bastina Globarica</t>
  </si>
  <si>
    <t>During six months of activity implementation, the Udruženje "Bosansko pozorište Tešanj" (transl. Association "Bosnian Theatre Tešanj")  in collaboration with an informal group of youth from Teslić, will work on the creation of a theatre play expressing narratives encompassing the topics of social cohesion and trust building and use it as a platform for exploration of common values and identities. In this way, the theatre troupes will present new narratives in their local communities and engage individuals (audiences) in critical reflections of the messages portrayed in the theatre play. Additionally, the co-created theatre play will be added to the portfolio of performances of the two theatre groups which will serve not only as a medium for continued collaboration between the two communities but also as a potential source of income through future tickets sales.  PIA ref. no. 183-23-EM-BA10-NP 1st Amendment 209-23-EM-BA10-P</t>
  </si>
  <si>
    <t>Udruzenje Bosansko Pozoriste Tesanj</t>
  </si>
  <si>
    <t>During five months of activity implementation, the "Biciklistički klub Kalesija" (translation in text Cycling club Kalesija) will engage with individuals, particularly young people, in both Kalesija and Zvornik and foster interaction between them through collective action towards a shared goal of environmental protection. Through a variety of activities such as workshops, an awareness campaign, community action and recreational bicycle tour, individuals from both communities will develop skills and awareness on personal responsibility regarding ecology, but also engage in collective action and aim to create sustainable connections and changes.  PIA ref. no. 197-23-EM-BA10-NP</t>
  </si>
  <si>
    <t>Biciklisticki klub Kalesija</t>
  </si>
  <si>
    <t>During six months of activity implementation, the Udruženje mladih "TRIK" from Kalesija (translation in text Youth Association "TRIK") will focus on building connections between young people from Kalesija and Zvornik, through non-formal learning, youth-friendly events and actions, as well as their mobility between the two communities. Through this process, focus will be placed on building capacities of youth to act as peer educators and changemakers, and thus serve as a resource to their respective organizations and ensure continued and sustainable offer of youth events in the communities. By engaging in workshops and youth-led activities, young people from Kalesija and Zvornik will explore ways in which their can contribute to the development of their communities and their role in advancing trust and cohesion.  PIA ref. no. 196-23-EM-BA10-NP</t>
  </si>
  <si>
    <t>Udruzenje mladih Trik</t>
  </si>
  <si>
    <t>Implementation agreement for acitivities in Tešanj &lt;(&gt;&amp;&lt;)&gt; Teslić  During six months of activity implementation, the Udruženje za razvoj, unapređenje i podršku zajednice from Teslić (translation in text Association for development Teslić) will engage with young people from the communities of Teslić, Tešanj, Žepče and Prnjavor and raise their capacities for engagement through non-formal educations, youth-led community activities, and youth mobility between communities. Through this young people will develop skills as peer educators and learn how to use youth work to foster change within their communities, particularly through youth-friendly topics such as culture and arts. Additionally, young people will connect with their peers from other communities, thus experiencing the benefits of collective action and exploring ways in which they can support each other in youth engagement, trust-building and cohesion.  Ref.No.:194-23-EM-BA10-NP</t>
  </si>
  <si>
    <t>UDRUZENJE ZA RAZVOJ</t>
  </si>
  <si>
    <t>Implementation agreement for acitivities in Doboj, Maglaj and Žepče During six months of activity implementation, the Udruzenje gradjana "ToPeeR - Tolerancijom protiv razlicitosti" (translation in text: Association "ToPeeR"), as an implementing partner, will focus on building capacities of civil society organizations working with marginalized groups (associations of amputees, individuals with health issues and low social/living conditions, as well as other individuals with needs for specific support and social services). Through the activity, the implementing partner will gather civil society organizations from the communities of Doboj, Maglaj and Zepce and through capacity building and unify them in joint advocacy for rights of marginalized groups and through this collective action ease the relationship between the three communities and build trust and cohesion.</t>
  </si>
  <si>
    <t>UG Tolerancijom protiv razlicitosti</t>
  </si>
  <si>
    <t>Implementation agreement for acitivities in Tešanj, Teslić, Usora and Jelah  During six months of activity implementation, the Udruženje mladih "ForTe" (translation in text Youth Association "ForTe") will focus on facilitating interaction, collaborative learning and fostering new bonds between the young people of Tesanj, Teslic, Usora and Jelah, by using civic activism and youth-friendly topics to mobilize and gather youth. Through the activity, young people will develop skills and agency to act as changemakers within their community, but also engage with their peers of different ethnic, religious and social background to explore common identities, needs and visions on how to advance youth’s role in decision-making process and contribution to trust-building and cohesion within the Usora region.  Contract ref.:200-23-EM-BA10-NP</t>
  </si>
  <si>
    <t>UDRUZENJE MLADIH FORTE</t>
  </si>
  <si>
    <t>Growing and Valuing Unity in Gornji Vakuf-Uskoplje within PB.0085  During six months of activity implementation, the Udruženje "Muški rukometni klub "Sloga" Gornji Vakuf-Uskoplje" (translated in text Man`s handball club "Sloga") will focus on using sports activities and the work of the many sports associations as a place of encounter to facilitate cooperation and deepen the social bonds between different community groups, in particular between young people. Building on the existing common identity of sports associations – under the name "Sloga" (translation: Harmony), several sports organizations (gathering different ethnic groups) will collaborate on joint activities and showcase sports as a medium for trust-building and cohesion. Contract ref.:219-23-AV-BA10-NP</t>
  </si>
  <si>
    <t>MRK SLOGA Gornji Vakuf-Uskoplje</t>
  </si>
  <si>
    <t>CONVENIO FIP-011-001 DE 2023 12629315 FUNDACION REDPRODEPAZ  TOTAL VALUE: COP 3.191.040.000 IOM CONTRIB: COP 3.146.640.000 FUN CONTRIB:  COP  44.400.000</t>
  </si>
  <si>
    <t>FUNDACION REDPRODEPAZ</t>
  </si>
  <si>
    <t>To further promote healthy relationships among citizens in and across communities, Pravipožar will implement a set of trainings for war veteran’s and professionals from target local communities using a methodology to address transgenerational transmitting of war traumatic experience.  Building on IOM’s "Bosnia and Herzegovina Resilience Initiative" program funded dialogues between youth and veterans, this activity will support capacity building of professionals and war veterans from different armies from targeted project locations on PTSD and war trauma. In addition, through this activity partner organization "Pravi Požar" will expand its network of veterans that will be able to actively take part in CUVE dialogues with youth and women in targeted geographical area and wider.  Pravi Požar will, in cooperation with Centre for war trauma, organize set of 4 sessions and workshops for newly identified professionals and veterans in the region of Una-Sana Canton, Canton 10 of Federation of Bosnia and Herzegovina and several local communities in Republika Srpska bordering with mentioned cantons by administrative entity line. This will create an opportunity for almost forgotten people from marginalized and rural area of Bosnia and Herzegovina and generation that suffered the most in the war, to discuss war trauma, PTSD, support mechanisms and ways to utilize their experience constructively in their communities.  PIA ref. no. 185-23-AV-BA10-NP</t>
  </si>
  <si>
    <t>Udruzenje Pravipozar</t>
  </si>
  <si>
    <t>Social Inclusion : ACDC (IOM Partner Organization) OCA and DPM supported to ensure interest and rights of communities 2nd installement</t>
  </si>
  <si>
    <t>PB.0093</t>
  </si>
  <si>
    <t>Project Multipurpose Cadastre Colombia</t>
  </si>
  <si>
    <t>Social Inclusion- CSI (IOM Partner Organization) Development of C2 level and support to public institutions.  Payment for the second installement</t>
  </si>
  <si>
    <t>FUNDACION AULAS DE PAZ</t>
  </si>
  <si>
    <t>CONVENIO VISP-211-011 12628132 LA PAZ QUERIDA  TOTAL VALUE: COP 90.778.800 IOM CONTRIB: COP 90.778.800 LA PAZ CONTRIB: COP 0</t>
  </si>
  <si>
    <t>LA PAZ QUERIDA (IP)</t>
  </si>
  <si>
    <t>PB.0100</t>
  </si>
  <si>
    <t>Strengthening Rural Educational Institutions in Bogota as a Key Scenario for Peace Building, Promotion of Peaceful Coexistence, Reconciliation and Non-repetition</t>
  </si>
  <si>
    <t>Acuerdo de Implementación de Proyecto ROF-002-001 de 2023 12629172 FUNDACIÓN COLOMBIA CRECE CON TODOS  TOTAL VALUE: COP 1.900.777.134 IOM CONTRIB: COP 1.762.777.314 FUND COLOMBIA CONTRIB: 138.000.000</t>
  </si>
  <si>
    <t>FUNDACION COLOMBIA CRECE CON TODOS</t>
  </si>
  <si>
    <t>PE.0026</t>
  </si>
  <si>
    <t>IOM Bosnia and Herzegovina Crisis Response Plan 2021 – Resilience Initiative</t>
  </si>
  <si>
    <t>This activity seeks to empowering youth for tolerance, dialogue, respect for human rights, and active citizenship through dramatic and artistic learning. The "TEXT (Theatre Exchange for Togetherness)" will be implemented with the aim to establish new connections among young people in BiH and raise awareness of the issues that divide the country and find common ground for meaningful dialogue and cooperation through artistic approach. Agreement No. 128-23-EM-BA10-NP</t>
  </si>
  <si>
    <t>DIS-Pozoriste mladih</t>
  </si>
  <si>
    <t>Development of the methodology for working with young people in theatre and art projects</t>
  </si>
  <si>
    <t>Udruzenje Studio Teatar</t>
  </si>
  <si>
    <t>PR#4200490947</t>
  </si>
  <si>
    <t>Stichting International Centre</t>
  </si>
  <si>
    <t>PR#4200491093</t>
  </si>
  <si>
    <t>Soqya Foudation for Relief and deve</t>
  </si>
  <si>
    <t>NAMA ORGANIZATION</t>
  </si>
  <si>
    <t>PR#4200521534</t>
  </si>
  <si>
    <t>PR#4200521480</t>
  </si>
  <si>
    <t>Elite Youth League</t>
  </si>
  <si>
    <t>PR#4200521650</t>
  </si>
  <si>
    <t>Human Line Foundation</t>
  </si>
  <si>
    <t>PR#4200521686</t>
  </si>
  <si>
    <t>PR#4200521663</t>
  </si>
  <si>
    <t>The Iraqi National Center for Youth</t>
  </si>
  <si>
    <t>PR#4200521630</t>
  </si>
  <si>
    <t>Book Forum Foundation</t>
  </si>
  <si>
    <t>PR#4200521732</t>
  </si>
  <si>
    <t>Democracy and Human Rights</t>
  </si>
  <si>
    <t>PR#4200521642</t>
  </si>
  <si>
    <t>Khalooha Ajmal Foundation</t>
  </si>
  <si>
    <t>PR#4200521654</t>
  </si>
  <si>
    <t>Jud Humanitarian Organization</t>
  </si>
  <si>
    <t>PX.0060</t>
  </si>
  <si>
    <t>Reinforce Capacities to Identify and Provide Adequate Care to Victims of Trafficking in Tunisia</t>
  </si>
  <si>
    <t>Association AMAL pour la famille et</t>
  </si>
  <si>
    <t>PX.0074</t>
  </si>
  <si>
    <t>Risk Management: Sustainable Models and Practices for Effective PSEA Response</t>
  </si>
  <si>
    <t>CONSORTIUM OF BANGSAMORO CIVIL SOCI</t>
  </si>
  <si>
    <t>PX.0305</t>
  </si>
  <si>
    <t>Migration Resource Centers in Guatemala</t>
  </si>
  <si>
    <t>MRC PROJECT PR 4200491588 Implementing partner to provide information and counseling services for young people</t>
  </si>
  <si>
    <t>IGLESIA CATOLICA ARQUIDIOCESIS</t>
  </si>
  <si>
    <t>PX.0314</t>
  </si>
  <si>
    <t>Strengthened Justice for Children in Viet Nam</t>
  </si>
  <si>
    <t>[Revised PR 2023] Transfer of fund to UNICEF for project implementation - PX.0314</t>
  </si>
  <si>
    <t>Transfer of fund to DBG for activity implementation per Letter of Support 14 Sep 2023 - PX.0314</t>
  </si>
  <si>
    <t>Cuc Cua Khau</t>
  </si>
  <si>
    <t>PROJECT IMPLEMENTATION AGREEMENT No. 2023_PIA-01 between the International Organization for Migration and Aymira Public Foundation w ithin PX.0327 Project</t>
  </si>
  <si>
    <t>TT Thanh thieu nien Trung uong</t>
  </si>
  <si>
    <t>Needs-based support UA refugees disabilities (Feb-Nov'23)</t>
  </si>
  <si>
    <t>CENTRU DREPTURILE PERS.DIZABILITATI</t>
  </si>
  <si>
    <t>Protection assistance refugees (Apr-Nov'23) IP MD1O-137/23_EMERGENCY ASSISTANCE PHYCHOLOGICAL REINTEGRATION AND REHABILITATION_WOMEN AND CHILDREN</t>
  </si>
  <si>
    <t>Protection assistance UA refugees_Jun-Nov'23 PSYCHOLOGICAL, SOCIAL AND MEDICAL ASSISTANCE UA REFUGEES,CAUSENI AND STEFAN VODA REGIONS</t>
  </si>
  <si>
    <t>AO ASOCIATIA PSIHOLOGILOR TIGHINA</t>
  </si>
  <si>
    <t>PX.0354</t>
  </si>
  <si>
    <t>Assistance to Vulnerable Migrants Stranded on the Central Mediterranean Route (AVUMED II)</t>
  </si>
  <si>
    <t>Remboursement des frais de restauration dans le cadre de la reunion examen et adoption de divers points / PR 4200516158 / Unité DTM</t>
  </si>
  <si>
    <t>University of Massachusetts Lowell</t>
  </si>
  <si>
    <t>PARTNER PYMENT FOR THE DATA COLLECTION IN LAKE PR4200535908</t>
  </si>
  <si>
    <t>ACHDR</t>
  </si>
  <si>
    <t>Improving access to diversified livelihoods and employment opportunities for returning and potential migrants in Jimma Zone Selected three Woredas: Sokoru, Omo- Nada and Setema. The partner agrees to implement three interrelated projects to reach 350 peoples as direct recipients of the intervention and indirectly to reach more than 16,000 population in the intervention catchment.  Reference:  Project Implementation Agreement number: ETH/ADD/June/1306/2023  PR number: 4200480849  PO Issued by: Mr. Nathaniel Abera  Contact Person: Mrs. Meron Befekadu</t>
  </si>
  <si>
    <t>PX.0380</t>
  </si>
  <si>
    <t>Reducing Vulnerabilities of Refugees and Third-Country Nationals in the Republic of Moldova</t>
  </si>
  <si>
    <t>AWARENESS RAISING VICTIMS CRIME (JUN-NOV'23) ENHANCE ACCESS VICTIMS CRIME SUPPORT SERVICES THROUGH INFORMATION AND AWARENESS RAISING</t>
  </si>
  <si>
    <t>PX.0413</t>
  </si>
  <si>
    <t>Preventing Human Trafficking and Gender based Violence in Falcón</t>
  </si>
  <si>
    <t>IP.2023.028 - IP Azul Positivo</t>
  </si>
  <si>
    <t>This PO is created for Internal MIGO /MIRO Purpose PO supports  agreement ETH/ADD/March/1020/2022 Leg Approval Code ETH/OTHE/AP0088/2022</t>
  </si>
  <si>
    <t>RE.0521</t>
  </si>
  <si>
    <t>Resettlement Programme with the Government of Romania from Jordan, Lebanon, Turkey and Egypt in 2023 (STARRT V)</t>
  </si>
  <si>
    <t>FUNDATIA SCHOTTENER SERV. SOCIALE</t>
  </si>
  <si>
    <t>COACUERDO DE IMPLEMENTACIÓN ROF-001-006 DE 2023 12627331 CORPORACION  COLOMBIANA RECREANDO  +OTROSI 1 (4200566513)  1.242.260.890,00  TOTAL VALUE: COP 1.156.300.890 IOM CONTRIB: COP 1.121.300.890 RECREADNDO CONTRIB: COP 35.000.000</t>
  </si>
  <si>
    <t>CONVENIO ROF-001-005 DE 2023 12600444 FUNDACION FORO NACIONAL POR COLOMBI TOTAL VALUE: COP 2.243.358.227 IOM CONTRIB: COP 1.885.613.317 FUN CONTRIB: COP   357.744.910</t>
  </si>
  <si>
    <t>FUNDACION FORO NACIONAL POR COLOMBI</t>
  </si>
  <si>
    <t>CORPORACION VIVA LA CIUDADANIA</t>
  </si>
  <si>
    <t>CONVENIO ROF-004-001 DE 2023 12627331 CORPORACION  COLOMBIANA RECREANDO I  TOTAL VALUE:      COP 3.323.222.271 IOM CONTRIB:      COP 3,245,222,271 RECRENADO CONTRIB:COP 78.000.000</t>
  </si>
  <si>
    <t>CONVENIO ROF-003-001 2616503 CORPORACION SEDECOM  TOTAL VALUE: COP 812.949.721 IOM CONTRIB: COP 769.821.647 + 43.128.074</t>
  </si>
  <si>
    <t>RP.0123</t>
  </si>
  <si>
    <t>Reconciliation and Peace-Building Actions in Bogotá D.C.</t>
  </si>
  <si>
    <t>RP.0124</t>
  </si>
  <si>
    <t>Territorialization of Public Policy for Victims of Armed Conflict for the Construction of Total and Integral Peace, Phase IV</t>
  </si>
  <si>
    <t>RP.0125</t>
  </si>
  <si>
    <t>Cultural Transformation in Bogotá for the Promotion of a Culture of Peace, Reconciliation and Non-repetition.</t>
  </si>
  <si>
    <t>FEDERACION LUTERANA MUNDIAL</t>
  </si>
  <si>
    <t>FUNDACION CRISTOSAL</t>
  </si>
  <si>
    <t>RR.0292</t>
  </si>
  <si>
    <t>Assisted Voluntary Return and Reintegration (AVRR) Programme in Romania 2022-2023</t>
  </si>
  <si>
    <t>Reimb no.10 August 2023_JRS_acc to the PA for AVRR Project implementation FAMI/22.01.02</t>
  </si>
  <si>
    <t>JRS Asociatia Serviciul Iezuitilor</t>
  </si>
  <si>
    <t>Recruitment of NGOs for training services and scholarships for women and girls / Project: empowering PR 4200446821</t>
  </si>
  <si>
    <t>Amigos de Santa Cruz ONG</t>
  </si>
  <si>
    <t>PR# 4200494133</t>
  </si>
  <si>
    <t>PR# 4200494589</t>
  </si>
  <si>
    <t>PR# 4200494667</t>
  </si>
  <si>
    <t>PR# 4200494644</t>
  </si>
  <si>
    <t>PR# 4200494646</t>
  </si>
  <si>
    <t>PR# 4200494627</t>
  </si>
  <si>
    <t>PR# 4200494662</t>
  </si>
  <si>
    <t>IP.2023.038 - IP Finampyme Acuerdo de Implementacion de proyecto entre la Organizacion Internacional para las migraciones y fundacion Finampyme relativo a Brin dar asistncia personalizada posterir a la llegada y reintegracion sostenible a los retornados en la Republica Bolivariana de Venezuela. Ref. IOMVE/CONTR/2023/073 Proyecto: RR.0348</t>
  </si>
  <si>
    <t>FUNDACION FINAMPYME</t>
  </si>
  <si>
    <t>SN.0157</t>
  </si>
  <si>
    <t>Emergency Assistance to Displaced Populations Affected by Conflict/Natural Disasters in Camp, Camp-like Settings, and Host Communities in the Central African Republic (CAR)</t>
  </si>
  <si>
    <t>Mise en oeuvre d mecanisme de suivi des evaluations a Bangui et Ombella Mpoko PRF 4200493522</t>
  </si>
  <si>
    <t>MOBILITY TRACKING/SMI AND REGISTRATION OF RETURN FROM ABROAT AND DISPLACEMENT FROM TCHAD PRF 4200493520</t>
  </si>
  <si>
    <t>CONTRAT IP AGR 4200520862</t>
  </si>
  <si>
    <t>ASSOCIATION EPHPHATHA</t>
  </si>
  <si>
    <t>SN.0170</t>
  </si>
  <si>
    <t>Addressing Immediate Humanitarian Needs of the Most Vulnerable Populations in Ukraine</t>
  </si>
  <si>
    <t>UA1-2022-3090_IP service_Winter in Hospitals_UA Brokers without Borders extension for PR 4200397137</t>
  </si>
  <si>
    <t>SN.0184</t>
  </si>
  <si>
    <t>Enhancing Protection of Persons of Concern in Mexico, Guatemala, El Salvador, Honduras and Costa Rica through Humanitarian/Shelter Assistance, Protection Assistance, Cash-Based Interventions and Improved Coordination among Actors</t>
  </si>
  <si>
    <t>Purchase Order for CADENA COSTA RICA PROJECT IMPLEMENTATION AGREEMENT</t>
  </si>
  <si>
    <t>SN.0200</t>
  </si>
  <si>
    <t>Lifesaving Assistance to Displaced Populations in the Far-North Region of Cameroon through Shelter/Non-Food Items (NFI)</t>
  </si>
  <si>
    <t>NUR DERNEGI</t>
  </si>
  <si>
    <t>UA1-2023-13011.2.EU "Addressing the immediate humanitarian needs of the most vulnerable pop."</t>
  </si>
  <si>
    <t>Dora e Pajtimit APS</t>
  </si>
  <si>
    <t>UNIVERSO APS</t>
  </si>
  <si>
    <t>ASBARL</t>
  </si>
  <si>
    <t>UNIPOP INTERAZIONE APS</t>
  </si>
  <si>
    <t>Associazione Soomaaliya</t>
  </si>
  <si>
    <t>Total PO/Contract Value in USD/Total PO Value in USD</t>
  </si>
  <si>
    <t>Purchase Order or Contract Number</t>
  </si>
  <si>
    <t>Procurement, IP or GRE?</t>
  </si>
  <si>
    <t>The “weaving lives and hope” activity</t>
  </si>
  <si>
    <t>GRANT WLH-002-066 DE 2023 12629236 ASOCIACIÓN DE CACOTEROS DE VALDIVIA  TOTAL VALUE: COP 317.160.000 IOM CONTRIB: COP 237.240.000 ASOCAVAL:    COP 79.920.000</t>
  </si>
  <si>
    <t>Grant Recipient</t>
  </si>
  <si>
    <t>ASOCIACION DE CACAOTEROS DE VALDIVI</t>
  </si>
  <si>
    <t>GRANT WLH-002-042 DE 2023 12611970 ALDEAS INFANTILES SOS COLOMBIA  TOTAL VALUE: COP 301.942.254 IOM CONTRIB: COP 211.350.776 ASOCAVAL:    COP 90.591.478</t>
  </si>
  <si>
    <t>GRANT WLH-002-047 DE 2023 12629249 ASOCIACION DE MUJERES AFROCOLOMBIANAS DESPLAZADAS EN RESISTENCIA (LA COMADRE AFRODES) TOTAL VALUE: COP 183.413.608 IOM CONTRIB: COP 152.911.340 LA COMADRE AFRODES: COP 30.502.268</t>
  </si>
  <si>
    <t>ASOCIACION MUJERES AFROCOLOMBIANAS</t>
  </si>
  <si>
    <t>CORPORACION DE TEATRO Y DANZA CONTE</t>
  </si>
  <si>
    <t>GRANT WLH - 002-060 - 12629244 FUNDACION POP MAGICO  TOTAL VALUE: COP 360.000.000 IOM CONTRIB: COP 300.000.000 FUN CONTRIB: COP 60.000.000</t>
  </si>
  <si>
    <t>FUNDACION POP MAGICO</t>
  </si>
  <si>
    <t>GRANT WLH-002-040 - 12629213 HOSPITAL DEPARTAMENTAL PSIQUIATRICO  TOTAL VALUE: COP 300.269.056 IOM CONTRIB: COP 238.773.538 FUN CONTRIB: COP 61.495.518</t>
  </si>
  <si>
    <t>HOSPITAL DEPARTAMENTAL PSIQUIATRICO</t>
  </si>
  <si>
    <t>GRANT WLH-002-050 - 12629251 RESGUARDO INDIGENA CANOAS  TOTAL VALUE: COP 212.217.000 IOM CONTRIB: COP 148.190.000 FUN CONTRIB: COP 64.027.000</t>
  </si>
  <si>
    <t>RESGUARDO INDIGENA CANOAS</t>
  </si>
  <si>
    <t>GRANT WLH-002-043 - 12629253 SECRETARIADO DIOCESANO PASTORAL SOCIAL  TOTAL VALUE: COP 367.832.000 IOM CONTRIB: COP 299.756.000 FUN CONTRIB: COP 68.076.000</t>
  </si>
  <si>
    <t>SECRETARIADO DIOCESANO PASTORAL SOC</t>
  </si>
  <si>
    <t>QUILISALUD E.S.E.</t>
  </si>
  <si>
    <t>ASOCIACION DE RECICLADORES DE ANTIO</t>
  </si>
  <si>
    <t>E.S.E HOSPITAL SAN JUAN DE DIOS</t>
  </si>
  <si>
    <t>CORPORACION COLECTIVA COMUNICACIONE</t>
  </si>
  <si>
    <t>CORPORACION NARRAR PARA VIVIR</t>
  </si>
  <si>
    <t>CORPORACION GRUPO TROPICO DIVERSO</t>
  </si>
  <si>
    <t>FUNDACION ESCUELA REHABILITACION</t>
  </si>
  <si>
    <t>ESE HOSPITAL SAN JUAN NEPOMUCENO</t>
  </si>
  <si>
    <t>GRANT WLH-002-045 - 12629261 RESGUARDO INDIGENA KWET WALA  TOTAL VALUE: COP 200.000.000 IOM CONTRIB: COP 160.000.000 FUN CONTRIB: COP 40.000.000</t>
  </si>
  <si>
    <t>RESGUARDO INDIGENA KWET WALA</t>
  </si>
  <si>
    <t>GRANT WLH-002-054 - 12604876 UNIVERSIDAD DE CARTAGENA  TOTAL VALUE: COP 380.000.000 IOM CONTRIB: COP 300.000.000 FUN CONTRIB: COP 80.000.000</t>
  </si>
  <si>
    <t>UNIVERSIDAD DE CARTAGENA</t>
  </si>
  <si>
    <t>Labour standards on fishing vessels</t>
  </si>
  <si>
    <t>2023 Q2</t>
  </si>
  <si>
    <t>PO Type / Procurement, IP or GRE?</t>
  </si>
  <si>
    <t>Sum of Value in USD (Charged to the Project) / PO Value per Project (USD)</t>
  </si>
  <si>
    <t>CC.0067</t>
  </si>
  <si>
    <t>Provision of lifesaving humanitarian assistance through comprehensive site management and coordination services in displacement sites in Ma’rib and Al Hodeidah, Yemen</t>
  </si>
  <si>
    <t>PRF# 4200476062</t>
  </si>
  <si>
    <t>IPs</t>
  </si>
  <si>
    <t>PRF# 4200476057</t>
  </si>
  <si>
    <t>CC.0068</t>
  </si>
  <si>
    <t>Wellbeing of populations affected is strengthened through camp coordination and camp management (CCCM) support to IDPs and host community in Tigray region</t>
  </si>
  <si>
    <t>SNFI0143 IP TYES CCCM support in Freweyni Town, Eastern Zone, Tigray Region.  Reference:  Project Implementation Agreement number: ETH/ADD/March/1277/2023  PR number: 4200447057  PO Issued by: Mr. Nathaniel Abera  Contact Person: Mr. Abdu Mohammed (RRF)</t>
  </si>
  <si>
    <t>CCCM support to IDPs in 4 Settlement sites Tigray Region for 469 households/1,349 individuals.  Reference:  Project Implementation Agreement number: ETH/ADD/March/1276/2023  PR number: 4200447038  PO Issued by: Mr. Nathaniel Abera  Contact Person: Mr. Abd</t>
  </si>
  <si>
    <t>SNFI0141 IP HOP CCCM support to IDPs in 4 Settlement sites Tigray Region  for 469 households/1,349 individuals.  Reference:  Project Implementation Agreement number: ETH/ADD/March/1278/2023  PR number: 4200447040  PO Issued by: Mr. Nathaniel Abera  Contac</t>
  </si>
  <si>
    <t>Heal Our People</t>
  </si>
  <si>
    <t>CD.0067</t>
  </si>
  <si>
    <t>Bosnia and Herzegovina: engaging youth in environmentally and socioeconomically sustainable initiatives</t>
  </si>
  <si>
    <t>Project Green City – the impact of the population on environmental processes in Jablanica</t>
  </si>
  <si>
    <t>RODITELJI ZA RODITELJE JABLANICA</t>
  </si>
  <si>
    <t>Small and medium-sized enterprise boost: economic integration of internally displaced people and business recovery to mitigate the COVID-19 crisis</t>
  </si>
  <si>
    <t>UA1-2023-3007_SME event_to address current needs_Ternopil</t>
  </si>
  <si>
    <t>West Ukraine Digital NGO</t>
  </si>
  <si>
    <t>UA1-2023-3008_IP services: organization of 10 business development trainings_</t>
  </si>
  <si>
    <t>European Union – Community stabilization programme – phase IV</t>
  </si>
  <si>
    <t>IP transfers – Intergovernmental Orgs (n</t>
  </si>
  <si>
    <t>MUNDESIA</t>
  </si>
  <si>
    <t>CONVENIO WLH-002-039 DE 2023 12601988 CORPORACION SOCIAL MANANTIAL  TOTAL VALUE: COP 278.762.760 IOM CONTRIB: COP 240.382.380 COR CONTRIB: COP  38.380.380</t>
  </si>
  <si>
    <t>CORPORACION SOCIAL MANANTIAL</t>
  </si>
  <si>
    <t>Community recovery and stabilization project</t>
  </si>
  <si>
    <t>GUA291 Community development project implementation services between IOM and AFEDES</t>
  </si>
  <si>
    <t>AFEDES</t>
  </si>
  <si>
    <t>CS.1166</t>
  </si>
  <si>
    <t>Support of IOM activities in Türkiye as outlined in the 2022 Syrian Arab Republic regional refugee and resilience plan (3RP)</t>
  </si>
  <si>
    <t>PR-GZT-2023-01062 Survey Working Service implemented by Gaziantep Chamber of Industry in Earthquake Region (Gaziantep, Kahramanmaraş, Malatya, Adıyaman, Antakya provinces)  GZTRRP/SERV/ED73/2023(EQ Assessment-Conditional)</t>
  </si>
  <si>
    <t>Gaziantep Chamber of Industry (GSO)</t>
  </si>
  <si>
    <t>CS.1182</t>
  </si>
  <si>
    <t>Improving agricultural livelihoods assistance for affected populations in north-east Nigeria</t>
  </si>
  <si>
    <t>Support in Implementation of Agricultural Livelihoods Activity in Gombi and Hong Adamawa State PR Ref: 4200447016</t>
  </si>
  <si>
    <t>CONCERN ON CLIMATE CHANGE</t>
  </si>
  <si>
    <t>Supporting stability in Iraq through the Yazidi female survivors law</t>
  </si>
  <si>
    <t>PR#4200423762 &lt;(&gt;&amp;&lt;)&gt;4200496928 IP agreement with Dr. Denis Mukwege Foundation (Fp Sandra+Muroj)</t>
  </si>
  <si>
    <t>DR.DENIS MUKWEGE FOUNDATION</t>
  </si>
  <si>
    <t>Addressing the return and reintegration of Iraqis with perceived affiliation to Islamic State of Iraq and the Levant (ISIL) – Phase II</t>
  </si>
  <si>
    <t>Sustainable Peace Foundation</t>
  </si>
  <si>
    <t>PR#4200348606</t>
  </si>
  <si>
    <t>Young Messengers Organization</t>
  </si>
  <si>
    <t>Strengthened access to education and livelihoods and enhanced reintegration and community cohesion in areas affected by displacement and returns</t>
  </si>
  <si>
    <t>Year One - Fund Transfer to IP SPECIAL (UNICEF) to support implementation of EU project (CS1197) activities for 2023. PRF#4200442768</t>
  </si>
  <si>
    <t>Year One - Fund Transfer to IP SPECIAL (WFP) to support implementation of EU project (CS1197) activities for 2023. PRF#4200442753</t>
  </si>
  <si>
    <t>United Nations World Food Programme</t>
  </si>
  <si>
    <t>Supporting the return of displaced population in Ninewa plains and West Ninewa program</t>
  </si>
  <si>
    <t>Perennial solutions for host populations, refugees and the most vulnerable migrants in the territory of Djibouti</t>
  </si>
  <si>
    <t>PR_4200402355</t>
  </si>
  <si>
    <t>DP.0843</t>
  </si>
  <si>
    <t>Ukraine crisis response plan 2021–2023</t>
  </si>
  <si>
    <t>UA1-2023-12619_IP_In-kind and cash grants for small farm owners</t>
  </si>
  <si>
    <t>Strengthening the humanitarian response for vulnerable people on the move in Mexico</t>
  </si>
  <si>
    <t>Aportación De OIM Mexico A Red PEAS</t>
  </si>
  <si>
    <t>ALTO COMISIONADO DE LAS NACIONES</t>
  </si>
  <si>
    <t>IP Diseño Y Levantamiento De Las Encuestas De Migración En Las Fronteras De México (EMIF) 2023</t>
  </si>
  <si>
    <t>DP.2044</t>
  </si>
  <si>
    <t>Protection and winterization assistance to the most vulnerable conflict-affected populations in Ukraine</t>
  </si>
  <si>
    <t>UA1-2023-13021_IP service_Ukraine: distribution of humanitarian aid to Donetsk and Kharkiv regions</t>
  </si>
  <si>
    <t>U-SAVED CF</t>
  </si>
  <si>
    <t>Bosnia and Herzegovina: Individual measures to support the response to the refugee and migrant situation</t>
  </si>
  <si>
    <t>Implementation of Activities within the framework of "Individual measure to strengthen the response capacity to manage migration flows in Bosnia and Herzegovina”- to provide support to the institutions of Bosnia and Herzegovina (BiH) in the areas of migra</t>
  </si>
  <si>
    <t>The Service for Foreigners Affairs</t>
  </si>
  <si>
    <t>Multisectoral emergency response to conflict and climate shock-affected internally displaced populations and communities in northern Mozambique – phase II</t>
  </si>
  <si>
    <t>Implementation of Disability Inclusion Activities in Mueda 4200418645</t>
  </si>
  <si>
    <t>Handicap International Federation</t>
  </si>
  <si>
    <t>Expanding Burundi’s humanitarian, early recovery and emergency response for vulnerable displaced populations</t>
  </si>
  <si>
    <t>Fees for the Implementing Partner in data collection by the Burundian Red Cross PR # 4200456612</t>
  </si>
  <si>
    <t>Improved sanitation and waste management for Rohingya camps and host communities in Bangladesh</t>
  </si>
  <si>
    <t>Six(6) month(Apr to Sep'2023) project implementation agreement with NGO Forum for improving WASH condition in Rohingya camps through operation and maintenance of WASH infrastructures and Hygiene Promotion for around 34,943 Rohingya refugees and host communities living in Kutupalong-Balukhali Expansion Camp 09 under the project "Implementation of WASH Services for the Rohingya Refugees Living in Camp in Cox’s Bazar District".  PR: 4200437653 Program: WASH Requester: Mubashara TUMPA</t>
  </si>
  <si>
    <t>DP.2312</t>
  </si>
  <si>
    <t>Provision of shelter, settlement and WASH assistance for populations affected by the crisis in northern Ethiopia</t>
  </si>
  <si>
    <t>IP Transfers - National CSO - As per agreement # ETH/ADD/April/1289/2023  - RRF Frant Number - RRFE0146  - PR# 4200454347</t>
  </si>
  <si>
    <t>DP.2314</t>
  </si>
  <si>
    <t>Supporting refugees and local communities in situations of vulnerability in Cox's Bazar through improved access to health, protection, and water, sanitation and hygiene services</t>
  </si>
  <si>
    <t>DP.2322</t>
  </si>
  <si>
    <t>Enhanced displacement and mobility tracking and multisectoral support for displaced populations in Nigeria</t>
  </si>
  <si>
    <t>Support Continues Functioning of UNDSS Security Information and Operations PR Ref: 4200466115 UNDP as the UNDSS financial custodian</t>
  </si>
  <si>
    <t>UNDP</t>
  </si>
  <si>
    <t>DP.2376</t>
  </si>
  <si>
    <t>Provision of humanitarian coordination and shelter and settlements assistance to crisis-affected populations in Ethiopia</t>
  </si>
  <si>
    <t>RRFE0145 IP DAE ES Support for Conflict Displaced People in Oromia Special Zone, Amhara for IDPs: 2,000 HHs (10,000 Individuals).  Reference:  Project Implementation Agreement number: ETH/ADD/April/1281/2023  PR number: 4200450419  PO Issued by: Mr. Natha</t>
  </si>
  <si>
    <t>Dorcas Aid Ethiopia (DAE)</t>
  </si>
  <si>
    <t>DP.2389</t>
  </si>
  <si>
    <t>Multisectoral humanitarian response for persons affected by violence in northern Mozambique and supporting the COVID-19 vaccination campaign roll-out in Mozambique, Botswana and South Africa</t>
  </si>
  <si>
    <t>IP Agreement</t>
  </si>
  <si>
    <t>BOTSWANA RED CROSS SOCIETY</t>
  </si>
  <si>
    <t>Assistance to repatriated migrants in Haiti</t>
  </si>
  <si>
    <t>IP - Flow monitoring at 30 border points with Dominican Republic</t>
  </si>
  <si>
    <t>GROUPE APPUI RAPATRIES ET REFUGIES(</t>
  </si>
  <si>
    <t>Everyone counts – inclusive data for stability and development</t>
  </si>
  <si>
    <t>UA1-2022-3071 T&lt;(&gt;&amp;&lt;)&gt;R_IP contracting within the Everyone Counts Project</t>
  </si>
  <si>
    <t>NGO Svitlo Nadii</t>
  </si>
  <si>
    <t>UA1-2023-12050_T&lt;(&gt;&amp;&lt;)&gt;R_IP contracting within the Everyone Counts Project</t>
  </si>
  <si>
    <t>PIA_UA1-2022-3071 dd.06/04/2023</t>
  </si>
  <si>
    <t>UA1-2023-12049_T&lt;(&gt;&amp;&lt;)&gt;R_IP contracting within the Everyone Counts Project</t>
  </si>
  <si>
    <t>IOM flash appeal for Ukraine and neighbouring countries 2022 – Norway</t>
  </si>
  <si>
    <t>IP La Strada</t>
  </si>
  <si>
    <t>La Strada Ceska Republika, o.p.s.</t>
  </si>
  <si>
    <t>CBI DATA COLLECTION AND DISTRIBUITION_TRANSNITRIAN REGION</t>
  </si>
  <si>
    <t>UA1-2023-13025_Implementation of protection activities in Odesa oblast.</t>
  </si>
  <si>
    <t>UA1-2023-13023_IP services_Ensuring comprehensive protection response in Ivano-Frankivsk oblast</t>
  </si>
  <si>
    <t>UA1-2023-13026_IP Services_Ensuring comprehensive protection response in Donetsk Oblast</t>
  </si>
  <si>
    <t>UA1-2023-13028_IP Services_Ensuring comprehensive protection in Kherson Oblast</t>
  </si>
  <si>
    <t>UA1-2023-13024 IP Services Ensuring comprehensive protection in Cherkasy oblast</t>
  </si>
  <si>
    <t>UA1-2023-11026_Provision of emergency health response to the humanitarian crisis in Ukraine Noway funding</t>
  </si>
  <si>
    <t>UA1-2023-13022_IP Services_Ensuring comprehensive protection response in Vinnytsia Oblast</t>
  </si>
  <si>
    <t>NGO Dzherelo Nadii</t>
  </si>
  <si>
    <t>UA1-2023-13027_IP services Provision of comprehensive protection assistance_Kharkiv _Kropyvnytskyi</t>
  </si>
  <si>
    <t>UA1-2023-11027_Health and MHPSS Support to conflict affected populations within Khersonka Oblast, Mykolaiv</t>
  </si>
  <si>
    <t>UA1-2023-13029_PX Ensuring protection response in Ternopil oblast</t>
  </si>
  <si>
    <t>UA1-2023-13034_PX_Provision of comprehensive protection of people in Mykolaiv region</t>
  </si>
  <si>
    <t>UA1-2023-11021_Provision of Capacity Building to Health workers and Health facilities</t>
  </si>
  <si>
    <t>NGO REVIVAL INSTITUTE FOR FUTURE</t>
  </si>
  <si>
    <t>DP.2491</t>
  </si>
  <si>
    <t>Regional migrant response plan for the Horn of Africa and Yemen 2021 - 2024  - France</t>
  </si>
  <si>
    <t>Internal PO created for service aggrement No ETH/ADD/March/1275/2023</t>
  </si>
  <si>
    <t>Bright Star Relief and Development</t>
  </si>
  <si>
    <t>DP.2510</t>
  </si>
  <si>
    <t>Direct humanitarian assistance to vulnerable populations affected by forced displacement in the Niger</t>
  </si>
  <si>
    <t>PPAYEMENT DE LA PREMEIERE ET DEUXIEME TRANCHES DES ACTIVITES DE LA CAMPAGNES DE SENSIBILIATION EN MILEIU SCOLAIRE SUR LES THEMATIQUES DE PROTECTION DNS LES COMMUNES DE DIFFA GUESKEROU ET CHETIMARI   PR 4200436487</t>
  </si>
  <si>
    <t>WARAKA</t>
  </si>
  <si>
    <t>Distribution of shelters, non-food items (ABNA), implementation of mental health activities and psychosocial support for IDPs and host communities in targeted communes of the Tillabéry 25 juilet au 25 octobre 2023  prf/4200466525</t>
  </si>
  <si>
    <t>DP.2512</t>
  </si>
  <si>
    <t>Supporting access to housing and basic services for people fleeing the conflict in Ukraine</t>
  </si>
  <si>
    <t>DP.2526</t>
  </si>
  <si>
    <t>Responding to emergency needs of disaster-affected populations in South Sudan</t>
  </si>
  <si>
    <t>Provision of emergency GBV response to the IPC4 and conflict affected population in Waat Payam in Nyirol County, Jonglei. PRF#4200441846</t>
  </si>
  <si>
    <t>Emergency livelihood inputs distribution to the most vulnerable IPC4 population in Mayom county, Unity State. PRF#4200441549</t>
  </si>
  <si>
    <t>RURAL COMMUNITY DEVELOPMENT</t>
  </si>
  <si>
    <t>Provision of emergency Gender Based Violence (GBV) and Psychosocial support services to the IPC 4 affected population inTwic County, Warrap State. PRF#4200446238</t>
  </si>
  <si>
    <t>Emergency Food Security Response for IDPs and vulnerable host communities Project in Fashoda County. PRF#4200446377</t>
  </si>
  <si>
    <t>National Relief and Develop Corps</t>
  </si>
  <si>
    <t>Netherlands Antilles</t>
  </si>
  <si>
    <t>Provision of Emergency Non-food items to the Food Insecure communities (IPC 4) in Mayom, Unity State. PRF#4200451528</t>
  </si>
  <si>
    <t>Provision of emergency wash services to drought affected people of the Jie community, Kapoeta East, EEC of South Sudan. PRF#4200451377</t>
  </si>
  <si>
    <t>RURAL WATER AND SANITATION</t>
  </si>
  <si>
    <t>Provision of Non-food items to Internally Displaced Persons and Host community experiencing emergency (IPC)food insecurity (IPC 4) in Tonj North, Warrap State. PRF#4200467984</t>
  </si>
  <si>
    <t>Provision of Emergency multi-sectoral assistance to IPC affected population through Non-Food Items (NFIs) in Akobo East County and WASH services in Marren/Gokjak Payam Canal/Pigi County, Jonglei State. PRF#4200469703</t>
  </si>
  <si>
    <t>Implementing Emergency Livelihood to support 2,800 IPC 4 affected households in Gogrial East County. PRF#4200446974</t>
  </si>
  <si>
    <t>lukluk community association for De</t>
  </si>
  <si>
    <t>WASH Response to the Hepatitis E Outbreak in Wau County, Western Bahr El Ghazel. PRF#4200465192</t>
  </si>
  <si>
    <t>Improving access to emergency food security services to the IPC4 affected households in Gogrial West, Warrap state of South Sudan. PRF#4200449950</t>
  </si>
  <si>
    <t>South Sudan Grassroots Initiative</t>
  </si>
  <si>
    <t>DP.2535</t>
  </si>
  <si>
    <t>Multisectoral and integrated in protection and camp coordination and camp management/non-food items/shelter  assistance targeting displaced populations in the Central African Republic</t>
  </si>
  <si>
    <t>DTM RETURN INTENTION SURVEY IN HOST FAMILLIES PRF 4200438368 et 4200438174</t>
  </si>
  <si>
    <t>MOBILITYTRACKING AND RETURN INTENTION SURVEY ACTIVITIES IN OUHAM AND MBOMOU AND DTM RETURN INTENTION SURVEY IN HOST FAMILLIES PRF 4200438174 ET 4200438368</t>
  </si>
  <si>
    <t>Rapid response fund for humanitarian emergencies in the Sudan</t>
  </si>
  <si>
    <t>PR.4200430284</t>
  </si>
  <si>
    <t>Al Massar Charity Organization</t>
  </si>
  <si>
    <t>PR#4200473108</t>
  </si>
  <si>
    <t>Abuhadia Society for Women</t>
  </si>
  <si>
    <t>DP.2546</t>
  </si>
  <si>
    <t>Multisectoral assistance for internally displaced persons and persons with disabilities in north-east Nigeria</t>
  </si>
  <si>
    <t>Implementing Partner for distributing 200 ESKs &lt;(&gt;&amp;&lt;)&gt; 200 Improved NFI Kits in Dikwa, Nganzai, and Benisheikh PR Ref: 4200387276</t>
  </si>
  <si>
    <t>DP.2556</t>
  </si>
  <si>
    <t>Emergency response to migration situation in Mexico and central America</t>
  </si>
  <si>
    <t>Implementation Partner Agreement between IOM Emergency Unit and Alianza Ven CR for humanitarian operations.    Acuerdo de Implementación entre Unidad de Emergencias de OIM y Alianza Ven CR para operaciones humanitarias.</t>
  </si>
  <si>
    <t>Supporting conflict affected communities in Cameroon’s far-North and North-West, South-West regions to recover through resilience building and reconciliation for the humanitarian development peace nex</t>
  </si>
  <si>
    <t>TRANSFER TO IP FOR ETT &lt;(&gt;&amp;&lt;)&gt; RINA NW: APRIL - SEPTEMBER 2023</t>
  </si>
  <si>
    <t>TRANSFER TO IP FOR : ETT &lt;(&gt;&amp;&lt;)&gt; RINA SW: APRIL - SEPTEMBER 2023</t>
  </si>
  <si>
    <t>DP.2561</t>
  </si>
  <si>
    <t>Protection of vulnerable conflict-affected communities in Ukraine and provision of urgent mental health and psychosocial support</t>
  </si>
  <si>
    <t>UA1-2023-10130_IP_Community-based MHPSS,mobile MHPSS_awareness raising_Kharkiv,Poltava,Kremencuk</t>
  </si>
  <si>
    <t>Multi-sectoral support for conflict affected populations, specifically people living with disabilities, in East and Southern Ukraine</t>
  </si>
  <si>
    <t>​​Addressing the needs of vulnerable migrants within the humanitarian, development and peace nexus in Thailand</t>
  </si>
  <si>
    <t>PR # 4200456577</t>
  </si>
  <si>
    <t>PIA TH044-2023 THA/IMPL/PA0059/2023 PR4200483111</t>
  </si>
  <si>
    <t>Providing humanitarian assistance among the most drought-affected communities and support their resilience building</t>
  </si>
  <si>
    <t>OSDA</t>
  </si>
  <si>
    <t>Provision of life-saving assistance to displaced populations in Ethiopia</t>
  </si>
  <si>
    <t>Emergency NFI support for Jara IDPs for 1000 households / 5000 people.  Reference:  Project Implementation Agreement number: ETH/ADD/April/1280/2023  PR number: 4200450271  PO Issued by: Mr. Nathaniel Abera  Contact Person: Mr. Abdu Mohammed (RRF)</t>
  </si>
  <si>
    <t>E/Shelter Support for Conflict Displaced People in Oromia Special Zone.  Reference:  Project Implementation Agreement number: ETH/ADD/May/1299/2023  PR number: 420047382  PO Issued by: Mr. Nathaniel Abera  Contact Person: Mr. Abdu Mohammed (RRF)</t>
  </si>
  <si>
    <t>Multisectoral emergency response for vulnerable displaced populations in Northwest Syria (NWS)</t>
  </si>
  <si>
    <t>Development and Health Organization</t>
  </si>
  <si>
    <t>Multisectoral support To enhance integration of Ukrainians and third country nationals in Poland</t>
  </si>
  <si>
    <t>PR 4200448047 Labour market inclusion - Labor Market Integration Center RZESZOW IP EKOS</t>
  </si>
  <si>
    <t>DP.2595</t>
  </si>
  <si>
    <t>Strengthening the humanitarian response to crisis-affected populations in Hungary</t>
  </si>
  <si>
    <t>PR 4200481522. FoodBank services for 100 HHs / week from June to November.</t>
  </si>
  <si>
    <t>FoodBank Segito Alapitvany</t>
  </si>
  <si>
    <t>Contributing to improved living conditions and safety for flood affected populations in Pakistan through provision of multisectoral assistance, Pakistan.</t>
  </si>
  <si>
    <t>IP for Stregthen Protection Mechanisms for At-Risk Population Affected by Flood Emeregency (SAFE)</t>
  </si>
  <si>
    <t>Multi-sector assistance to populations affected by the Syria crisis</t>
  </si>
  <si>
    <t>GOAL</t>
  </si>
  <si>
    <t>Emergency lifesaving NFI, wash support to earthquake-affected populations in Northwest Syria (NWS)</t>
  </si>
  <si>
    <t>Promoting shelter upgrade and community building in Bhasan Char and Cox's Bazar district</t>
  </si>
  <si>
    <t>SHUSHILAN</t>
  </si>
  <si>
    <t>PR-4200451521 Requestor-Faiz Noor Unit-SoCo</t>
  </si>
  <si>
    <t>PR-4200454188 Requestor-Faiz Noor Unit-Soco</t>
  </si>
  <si>
    <t>Regional refugee and migrant response plan (RMRP 2023 - 2024) for the Venezuelan situation in Colombia</t>
  </si>
  <si>
    <t>CONVENIO E&lt;(&gt;&amp;&lt;)&gt;E-036-001 DE 2023 12611970 ALDEAS INFANTILES COLOMBIA  TOTAL VALUE: COP   $309.279.955.oo IOM CONTRIB: COP   $247.651.416.oo SOC CONTRIB: COP   $ 61.628.539.oo</t>
  </si>
  <si>
    <t>CONVENIO E&lt;(&gt;&amp;&lt;)&gt;E - 036 - 028 DE 2023 12626899 ASOCIACION DE APOYO AL DESARROLLO (IP)  TOTAL VALUE:  COP 375.690.000 OIM CONTRIB:  COP 365.940.000 FUD CONTRIB:  COP   9.750.000</t>
  </si>
  <si>
    <t>ASOCIACION DE APOYO AL DESARROLLO</t>
  </si>
  <si>
    <t>SOCIEDAD NACIONAL DE LA CRUZ ROJA (</t>
  </si>
  <si>
    <t>CONVENIO E&lt;(&gt;&amp;&lt;)&gt;E-036-027 de 2023 12601091 SOCIEDAD NACIONAL DE LA CRUZ ROJA  TOTAL VALUE: COP 412.420.561 IOM CONTRIB: COP 361.050.000 FUN CONTRIB: COP  51.370.561</t>
  </si>
  <si>
    <t>ACUERDO IMPLEMENTACION E&lt;(&gt;&amp;&lt;)&gt;E-036-032 DE 2023 12601139 CORPORACION OPCION LEGAL (IP)  TOTAL VALUE: COP  2,047,853,628 IOM CONTRIB: COP  2,047,853,628</t>
  </si>
  <si>
    <t>CORPORACION OPCION LEGAL (IP)</t>
  </si>
  <si>
    <t>CONVENIO FGM - 036 - 033 DE 2023 12627208 FUNDACION RENACER  TOTAL VALUE:  COP 241.083.181 OIM CONTRIB:  COP 241.083.181 FUD CONTRIB:  COP 0.00</t>
  </si>
  <si>
    <t>FUNDACION RENACER</t>
  </si>
  <si>
    <t>Regional refugee and migrant response plan (RMRP) for the Venezuela situation 2023</t>
  </si>
  <si>
    <t>ACUERDO DE IMPLEMENTACIÓN DE PROYECTO entre la Organización Internacional para las Migraciones (OIM) y Corporación Agencia Adventista de Desarrollo y Recursos Asistenciales del Ecuador – ADRA -Ecuador relativo a Atención Integral A Población En Situación</t>
  </si>
  <si>
    <t>Tejiendo Sueños, Cohesión y Fortalecimiento del Tejido Social Comunitario a través de la Artesanía, Arte y Creatividad.</t>
  </si>
  <si>
    <t>Corporación Humor y Vida</t>
  </si>
  <si>
    <t>ACUERDO DE IMPLEMENTACIÓN DE PROYECTO entre la Organización Internacional para las Migraciones (OIM) y Fundación Alas de Colibrí relativo a "Asistencia y protección a víctimas y/o sobrevivientes de Trata de Personas y Violencia Basada en Género y fortalec</t>
  </si>
  <si>
    <t>ACUERDO DE IMPLEMENTACIÓN DE PROYECTO entre la Organización Internacional para las Migraciones (OIM) y Fundación Diálogo Diverso relativo a "Atención integral a población LGBTIQ+ y fortalecimiento de la capacidad de respuesta para la prevención y atención</t>
  </si>
  <si>
    <t>ACUERDO DE IMPLEMENTACIÓN DE PROYECTO entre la Organización Internacional para las Migraciones (OIM) y Asociación Mujer &lt;(&gt;&amp;&lt;)&gt; Mujer Colectivo LGBTI relativo a "Asistencia y protección a víctimas y/o sobrevivientes de Trata de Personas y Violencia Basada</t>
  </si>
  <si>
    <t>ACUERDO DE IMPLEMENTACIÓN DE PROYECTO entre la Organización Internacional para las Migraciones (OIM) y Fundación AKUANUNA relativo a Atención integral a sobrevivientes de violencia basada en género y fortalecimiento del abordaje para prevención y asistenc</t>
  </si>
  <si>
    <t>ACUERDO DE IMPLEMENTACIÓN DE PROYECTO entre la Organización Internacional para las Migraciones (OIM) y Fundación Quimera relativo a "Asistencia y protección a víctimas y/o sobrevivientes de Trata de Personas y Violencia Basada en Género y fortalecimiento</t>
  </si>
  <si>
    <t>FUNDACION QUIMERA</t>
  </si>
  <si>
    <t>Proyecto Arte Que Nos Mueve: Diversidades Escénicas.</t>
  </si>
  <si>
    <t>FUNDACIÓN HACIENDO PANAS</t>
  </si>
  <si>
    <t>4200475765 Acuerdo de Implementación de Proyecto, Num. de referencia: IP-2023-09, relativo a: "Inclusión Socio Económica dirigida a Población en Movilidad Humana y Comunidad de Acogida a través del escalamiento de emprendimientos a través de la formalización y enlaces comerciales".</t>
  </si>
  <si>
    <t>ACUERDO DE IMPLEMENTACIÓN SNM - Descentralización e incremento de la capacidad operativa</t>
  </si>
  <si>
    <t>Hiring of an implementing partner to assist refugees and migrants</t>
  </si>
  <si>
    <t>DP.2619</t>
  </si>
  <si>
    <t>EQ Phase 1 [FSL support for earthquake-affected populations in Northwest Syria (NWS)]</t>
  </si>
  <si>
    <t>DP.2620</t>
  </si>
  <si>
    <t>Lifesaving emergency assistance for affected populations</t>
  </si>
  <si>
    <t>Provision of immediate lifesaving emergency shelter, non-food items (NFI) and camp coordination and camp management assistance in response to tropical cyclone freddy’s impact</t>
  </si>
  <si>
    <t>DP.2634</t>
  </si>
  <si>
    <t>Lifesaving CCCM, NFI and MPC assistance to IDPs affected by extreme rainfall and Yaku cyclone emergency in the coast of Peru to restore their dignity and improve their living conditions</t>
  </si>
  <si>
    <t>CERF - Contratación de IP para asistencia humanitaria y gestión de albergue en Piura</t>
  </si>
  <si>
    <t>CERF - Contratación de IP para CBI de necesidades básicas en Lambayeque, Lima, Piura y Tumbes</t>
  </si>
  <si>
    <t>CERF - Contratación de IP para asistencia humanitaria y gestión de albergue en Lambayeque.</t>
  </si>
  <si>
    <t>FUNDACION AYUDA EN ACCIÓN</t>
  </si>
  <si>
    <t>CERF - Contratación de IP para asistencia humanitaria y gestión de albergue en Lambayeque</t>
  </si>
  <si>
    <t>SAVE THE CHILDREN INTERNATIONAL</t>
  </si>
  <si>
    <t>Bangladesh appeal 2023 – Rohingya humanitarian crisis</t>
  </si>
  <si>
    <t>Lifesaving and transitional support to refugees and host communities in Cox’s Bazar District, Bangladesh</t>
  </si>
  <si>
    <t>Provision of humanitarian coordination, shelter and settlements, water, sanitation and hygiene (WASH), Multi-Purpose Cash Assistance (MPCA), Health and Protection Assistance for Crisis-Affected Popula</t>
  </si>
  <si>
    <t>Improving well-being of drought-affected populations through camp coordination and camp management (CCCM) support to IDPs and host community.  Reference:  Project Implementation Agreement number: ETH/ADD/June/1307/2023  PR number: 4200488625  PO Issued by: Mr. Nathaniel Abera  Contact Person: Mr. Abdu Mohammed (RRF)</t>
  </si>
  <si>
    <t>Provision of Emergency Shelter and Non-Food Items (NFIs) for the flood-displaced households in Abakarow Woreda, Shabelle Zone, Somali Region for IDPs: 1,500 HHs / 7, 500 individuals.  Reference:  Project Implementation Agreement number: ETH/ADD/June/1308/2023  PR number: 4200490120  PO Issued by: Mr. Nathaniel Abera  Contact Person: Mr. Abdu Mohammed (RRF)</t>
  </si>
  <si>
    <t>DR.0029</t>
  </si>
  <si>
    <t>Strengthening resilience to natural disasters in Burundi</t>
  </si>
  <si>
    <t>Prevention and mitigation interventions at Gasekebuye ravin  PR:4200473490</t>
  </si>
  <si>
    <t>OBUHA</t>
  </si>
  <si>
    <t>Restoring the environment and strengthening resilience of Rohingya refugees and host communities in Cox’s Bazar</t>
  </si>
  <si>
    <t>PR-4200433226 Requestor-Mubashara TUMPA Unit-WASH</t>
  </si>
  <si>
    <t>DS.0081</t>
  </si>
  <si>
    <t>Promoting cohesion in conflict-affected communities in Ukraine supported with inclusive housing solutions</t>
  </si>
  <si>
    <t>UA1-2023-12025_TRD_Instalments in frames of the "Promoting Cohesion" project</t>
  </si>
  <si>
    <t>NGO BUILDING UKRAINE TOGETHER</t>
  </si>
  <si>
    <t>DS.0095</t>
  </si>
  <si>
    <t>Expanded support for durable resettlement and reintegration in Sri Lanka (EDRR)</t>
  </si>
  <si>
    <t>OFERR CEYLON</t>
  </si>
  <si>
    <t>CENTRE FOR CHILD DEVELOPMENT</t>
  </si>
  <si>
    <t>Mobility tracking and multisectoral humanitarian needs in localities and sites affected by displacement/return in the Central African Republic (national coverage)</t>
  </si>
  <si>
    <t>DTM RETURN INTENTION SURVEY IN HOST FAMILIES PRF 4200438368</t>
  </si>
  <si>
    <t>DTM RETURN SURVEY IN HOST FAMILLIES PRF 4200438368</t>
  </si>
  <si>
    <t>DTM RETURN SURVEY IN HOST FAMILIES PRF 4200438368</t>
  </si>
  <si>
    <t>DTM RETURN INTENTION SURVEY IN HOST FAMILLIES PRF 4200438368</t>
  </si>
  <si>
    <t>Supporting multisectoral emergency response assistance for populations affected by the crisis in the North-West and South-West regions in Cameroon</t>
  </si>
  <si>
    <t>Enhancing women’s meaningful involvement in DDR policy design and implementation in Cameroon based on the national DDR gender strategy 2021-25: strengthening of platforms for women’s associations</t>
  </si>
  <si>
    <t>IP to empower women’s organizations (WO) to contribute meaningfully and sustainably to Disarmament, Demobilization andReintegration (DDR) and DDR-related processes in Cameroon</t>
  </si>
  <si>
    <t>LOCAL YOUTH CORNER CAMEROON</t>
  </si>
  <si>
    <t>Supporting internally displaced persons and vulnerable mobile populations in Cameroon's centre and east regions through assessments and access to legal identity solutions</t>
  </si>
  <si>
    <t>Transfer to IP for DTM - Monitoring point of mixed migration flow in the East - Data collection exercise. JUN-AUG 2023</t>
  </si>
  <si>
    <t>IB.0381</t>
  </si>
  <si>
    <t>Strengthening the operational capacity of the Egyptian Coast and border guards to manage migration flows through effective border surveillance and search and rescue at land and sea</t>
  </si>
  <si>
    <t>Reference Agreement# EGY/IMPL/MB0040/2023</t>
  </si>
  <si>
    <t>IB.0382</t>
  </si>
  <si>
    <t>Enhancing humanitarian support to vulnerable and conflict-affected communities and local authorities in the Republic of Moldova</t>
  </si>
  <si>
    <t>PROJECT IMPLEMENTATION ACTIVITIES_MHPSS UNIT</t>
  </si>
  <si>
    <t>Economic integration of vulnerable nationals from the Bolivarian Republic of Venezuela in Brazil</t>
  </si>
  <si>
    <t>CARITAS ARQUIDIOCESANA DE BRASILIA</t>
  </si>
  <si>
    <t>Servico Nacional de Aprendizagem In</t>
  </si>
  <si>
    <t>SPM NE</t>
  </si>
  <si>
    <t>ASSOCIACAO SCALABRINI A SERVICO DOS</t>
  </si>
  <si>
    <t>Promoting social cohesion by combatting xenophobia and anti-migrant sentiments against international migrants in Kyrgyzstan</t>
  </si>
  <si>
    <t>PROJECT IMPLEMENTATION AGREEMENT between the International Organization for Migration and NGO Institute for Youth Development on Conducting an awareness-raising campaign within IS.0101 Project</t>
  </si>
  <si>
    <t>NGO Institute for Youth Development</t>
  </si>
  <si>
    <t>IS.0118</t>
  </si>
  <si>
    <t>Training on "interculturality an empathy"</t>
  </si>
  <si>
    <t>Croix Rouge Luxembourgeoise</t>
  </si>
  <si>
    <t>Luxembourg</t>
  </si>
  <si>
    <t>InterACT - Active participation and integration of migrants in Romania (2023)</t>
  </si>
  <si>
    <t>ASIA: enhancing corporate responsibility in eliminating slavery and trafficking (CREST) in Asia – Viet Nam</t>
  </si>
  <si>
    <t>Hoi Lien Hiep Phu Nu TP Can Tho</t>
  </si>
  <si>
    <t>African Development Bank –Project to reduce youth unemployment through capacity-building and with the involvement of the diaspora – Burundi</t>
  </si>
  <si>
    <t>PR4200438818 : Payment of second instalment of ABEJ</t>
  </si>
  <si>
    <t>ABEJ</t>
  </si>
  <si>
    <t>PR4200448034 : ABEJ- the implementing partner payment - 1st Amendment to IP Contract</t>
  </si>
  <si>
    <t>New infrastructure for migration opportunities and empowerment of migrants in the south-east border area of Myanmar</t>
  </si>
  <si>
    <t>First instalment to be paid within 15 days after signing contract</t>
  </si>
  <si>
    <t>Migrants Monitoring Group</t>
  </si>
  <si>
    <t>K Paw Htaw Foundation</t>
  </si>
  <si>
    <t>Ngwe Kandayawady CBO</t>
  </si>
  <si>
    <t>Mon Cetana Development Foundation</t>
  </si>
  <si>
    <t>Fisrt instalment to be paid within 15 days after signing contract</t>
  </si>
  <si>
    <t>Good Shepherd Myanmar</t>
  </si>
  <si>
    <t>Civic Engagement Network</t>
  </si>
  <si>
    <t>Shwe Kyun Thar Network</t>
  </si>
  <si>
    <t>Karuna Mission Social Solidarity</t>
  </si>
  <si>
    <t>Strengthening the employability and entrepreneurship of young people to reduce the risks of irregular migration</t>
  </si>
  <si>
    <t>SUIVI ET COACHING DE 80 JEUNES PROMOTEURS DE MICROENTREPRISES ST DE DEUX COOPERATIVES BENEFICIAIRES DU PROJET JEMII DANS LA REGION DU CENTRE-EST (LOT 3 ET 4)  Refferences de la demande : PR_4200301425 PR_4200454813 COMPLEMENTAIRE</t>
  </si>
  <si>
    <t>ASSOCIATION COOPERATI RURALE EN AFR</t>
  </si>
  <si>
    <t>Sélection ONG 8 pour le coaching/ appui conseils au profit de 42 jeunes (lot 8) pendant  12 mois  PR_4200301425</t>
  </si>
  <si>
    <t>ADIJR</t>
  </si>
  <si>
    <t>Coaching / appui conseils au profit de 65 jeunes (lot 2) pendant  12 mois  PR_4200301425 LIGNE 20 ; 130 ET 140</t>
  </si>
  <si>
    <t>SUIVI ET COACHING DE 61 JEUNES PROMOTEURS DE MICROENTREPRISES ST DE DEUX COOPERATIVES BENEFICIAIRES DU PROJET JEM II DANS LA REGION DU CENTRE-EST (LOT 5)  PR_4200301425 PR_4200454813 COMPLEMENTAIRE</t>
  </si>
  <si>
    <t>ADMR</t>
  </si>
  <si>
    <t>SUIVI ET COACHING DE 78 JEUNES PROMOTEURS DE MICROENTREPRISES ST DE DEUX COOPERATIVES BENEFICIAIRES DU PROJET JEMII DANS LA REGION DU CENTRE-EST (LOT 1 = 42 JEUNES PROMOTEURS ;  ET LOT 7 = 36 JEUNES PROMOTEURS)  PR_4200301425_LIGNES 10 ET 70 PR_4200454813 COMPLEMENTAIRE_LIGNE 10</t>
  </si>
  <si>
    <t>COMUNITA IMPEGNO SERVIZIO VOLON</t>
  </si>
  <si>
    <t>SUIVI ET COACHING DE 49 JEUNES PROMOTEURS DE MICROENTREPRISES ST DE DEUX COOPERATIVES BENEFICIAIRES DU PROJET JEMII DANS LA REGION DU CENTRE-EST (LOT 6)</t>
  </si>
  <si>
    <t>Association Jeunesse Volontaire pou</t>
  </si>
  <si>
    <t>Poverty reduction through safe migration, skills development and enhanced job placement in Cambodia, Lao People's Democratic Republic, Myanmar and Thailand (PROMISE) – phase II</t>
  </si>
  <si>
    <t>IP Agreement - Organization and Facilitation of the Validation Workshop on the Report on Strengthening Pre-departureOrientation in Cambodia</t>
  </si>
  <si>
    <t>Extra 4 participants joined Validation WS on Assessment Report on Strengthening PDO in Cambodia on 16 May 2023 at PNH Hotel</t>
  </si>
  <si>
    <t>For arranging 2nd NPAC (Organization and Facilitation) on 8th Jun 2023 at BTB province</t>
  </si>
  <si>
    <t>Additional cost for Organization and Facilitation of the NPAC meeting on 8th June</t>
  </si>
  <si>
    <t>Western hemisphere regional migration capacity-building programme</t>
  </si>
  <si>
    <t>Transfer agreement between IOM and ILO.    Acuerdo de Transferencia entre OIM y OIT.</t>
  </si>
  <si>
    <t>Fostering the health and protection of vulnerable migrants transiting Egypt, Libya, Morocco, the Sudan, Tunisia and Yemen – phase III</t>
  </si>
  <si>
    <t>MA.0497</t>
  </si>
  <si>
    <t>Establishment of a regional migration and health capacity-building hub in Mexico</t>
  </si>
  <si>
    <t>UNIVERSIDAD IBEROAMERICANA AC</t>
  </si>
  <si>
    <t>MA.0498</t>
  </si>
  <si>
    <t>Promoting a multi-stakeholder response to mental health and disability issues among returned migrants</t>
  </si>
  <si>
    <t>Organization (logistical and technical support) of meetings in Dushanbe, Bokhtar, Khujand, and Khorog</t>
  </si>
  <si>
    <t>Union of people with disabilities</t>
  </si>
  <si>
    <t>SRHR-HIV knows no borders – South Africa – phase II</t>
  </si>
  <si>
    <t>Responding to mental health and psychosocial support needs of international protection applicants in Ireland</t>
  </si>
  <si>
    <t>MHPSS Implementing Partner</t>
  </si>
  <si>
    <t>MA.0552</t>
  </si>
  <si>
    <t>Enhanced humanitarian assistance and access to health for crisis-affected population in the Diffa and Tahoua Regions</t>
  </si>
  <si>
    <t>MD.0010</t>
  </si>
  <si>
    <t>Understanding and managing internal migration in Mongolia</t>
  </si>
  <si>
    <t>Mongolia</t>
  </si>
  <si>
    <t>Shudarga Dens Center Social Service NGO on Women’s economic empowerment, support start-up business, increase income</t>
  </si>
  <si>
    <t>Shudraga Dens Center NGO</t>
  </si>
  <si>
    <t>PROJECT IMPLEMENTATION AGREEMENT between the International Organization for Migration and National Statistics Office of Mongolia on Mongolian diaspora survey (Study on Mongolian citizens living abroad)</t>
  </si>
  <si>
    <t>NATIONAL STATISTICS OFFICE</t>
  </si>
  <si>
    <t>IOM is cooperating with General authority for education by funding a two-day workshop "Virtual school challenges and possible under IPA</t>
  </si>
  <si>
    <t>General Authority for Education</t>
  </si>
  <si>
    <t>Joint IOM–UNDP global programme on making migration work for sustainable development – phase III</t>
  </si>
  <si>
    <t>Project Implementation Agreement between the International Organization for Migration and Diaspora Association Bildung-Initiative-Zusammenarbeit within MD.0014 Project</t>
  </si>
  <si>
    <t>Bildung Initiative Zusammenarbeit</t>
  </si>
  <si>
    <t>Regional humanitarian response to Venezuelan migrants, refugees and vulnerable populations - phase III</t>
  </si>
  <si>
    <t>ACUERDO DE IMPLEMENTACION E&lt;(&gt;&amp;&lt;)&gt;E-035-002 12607926 FUNDACION PLAN (IP)  TOTAL VALUE: COP   374,431,143 IOM CONTRIB: COP   374,431,143</t>
  </si>
  <si>
    <t>FUNDACION PLAN</t>
  </si>
  <si>
    <t>PR_4200444636 Fortalecimiento de Capacidades a la Red Clamor en Materia de Lucha y Prevención Contra el Delito de Trata de Personas</t>
  </si>
  <si>
    <t>CONSEJO EPISCOPAL LATINOAMERICANO</t>
  </si>
  <si>
    <t>PR_4200458642 Humanitarian Response to Venezuelan Migrants and Refugees Phase III</t>
  </si>
  <si>
    <t>contratación de socio implementador para servicio de regularización migratoria.</t>
  </si>
  <si>
    <t>Emergency assistance for vulnerable populations in the states of Bolívar and Amazonas, Venezuela</t>
  </si>
  <si>
    <t>ACUERDO DE IMPLEMENTACIÓN DE PROYECTO entra la Organizacion Internacional para las Migraciones (OIM) y la Fundación para la Educacion de los Refugiados (RET) Relativo a "Asistencia para mejorar los servicios de infraestructura WASH en el estado Bolívar" CONTRATO: IOMVE/CONTR/2023/040 CODIGO DE PROYECTO: MP.0601</t>
  </si>
  <si>
    <t>FUNDACION PARA LA EDUCACION DE LOS</t>
  </si>
  <si>
    <t>MS.0030</t>
  </si>
  <si>
    <t>Advancing sustainable development for nine local communities in the region of Labé by enhancing the humanitarian-development nexus through the human security approach</t>
  </si>
  <si>
    <t>Purchase Requisition 4200471661 Prestation de service de l'ONG VSF pour la mise en oeuvre des activités du projet Human Security PF #Appolinaire Lamah</t>
  </si>
  <si>
    <t>ONG VISION SANS FRONTIERE</t>
  </si>
  <si>
    <t>MS.0031</t>
  </si>
  <si>
    <t>Strengthening migration management capacities in support of government reform agenda in line with CEPA</t>
  </si>
  <si>
    <t>PROJECT IMPLEMENTATION AGREEMENT # IP/2023-01 Title: Implementation of Induction Training Sessions for the personnel of the Migration and Citizenship Service</t>
  </si>
  <si>
    <t>Academy of Justice SNCO</t>
  </si>
  <si>
    <t>Strengthening NGOs to promote climate change adaptation and displacement prevention measures across the Federated States of Micronesia</t>
  </si>
  <si>
    <t>Project Implementation Agreement on Strengthening the Capacity of NGOs to Implement Small Grant Awards MH/IP/2023/002 dated 17 May 2023</t>
  </si>
  <si>
    <t>MAJURO MINIONS</t>
  </si>
  <si>
    <t>Project Implementation Agreement on "Strengthening NGOs to Promote Climate Change Adaptation and Displacement Measures across Micronesia” FM/IP/2023/002 dated 09 June 2023</t>
  </si>
  <si>
    <t>Project Implementation Agreement on "Strengthening NGOs to Promote Climate Change Adaptation and Displacement Measures across Micronesia" FM/IP/2023/001 dated 09 June 2023</t>
  </si>
  <si>
    <t>KOHWA Incorporated</t>
  </si>
  <si>
    <t>Project Implementation Agreement on Strengthening the Capacity of NGOs to Implement Small Grant Awards FM/IP/2023/004 dated 26 June 2023</t>
  </si>
  <si>
    <t>Sapwuahfik Development Inc</t>
  </si>
  <si>
    <t>Pacific climate change migration and human security (PCCMHS) programme - phase II</t>
  </si>
  <si>
    <t>UNOHCHR</t>
  </si>
  <si>
    <t>Empowering trust and cohesion in Bosnia and Herzegovina's communities</t>
  </si>
  <si>
    <t>Implementing Agreement under the project 'Empowering Trust and Cohesion in Bosnia and Herzegovina's Communities' for activity in Vares.</t>
  </si>
  <si>
    <t>UZRRPO Zvijezda Vares</t>
  </si>
  <si>
    <t>This Agreement concerns project activities to be implemented by the Implementing Partner under the Project entitled "Empowering Trust and Cohesion in Bosnia and Herzegovina’s Communities" (hereinafter "the Project") financed under the European Union (the</t>
  </si>
  <si>
    <t>Udruzenje zena Jagoda</t>
  </si>
  <si>
    <t>Udruzenje Moja Prva Nota</t>
  </si>
  <si>
    <t>Gorska sluzba spasavanja Zepce</t>
  </si>
  <si>
    <t>Udruzenje Kolona BB Ugljevik</t>
  </si>
  <si>
    <t>Sustaining peace and social cohesion in Bosnia and Herzegovina through enhanced intermunicipal and inter-entity cooperation on local services</t>
  </si>
  <si>
    <t>Project Implementation Agreement with Centre for Educational Initiatives Step by Step.  Project output 1.2. Young women and men engage in cross-community and inter-entity activities and implementation of activity 1.2.1. Capacity development of teachers an</t>
  </si>
  <si>
    <t>Center for Educational Initiatives</t>
  </si>
  <si>
    <t>Funded by the UN Secretary General’s Peacebuilding Fund (PBF), project called "Sustaining peace and social cohesion in Bosnia and Herzegovina through enhanced inter-municipal and inter-entity cooperation on local services" (SPSC) is part of IOM’s multi-do</t>
  </si>
  <si>
    <t>Udruzenje Gradjana Psiholuminis</t>
  </si>
  <si>
    <t>PB.0091</t>
  </si>
  <si>
    <t>Local solutions to build climate resilience and advance peace and stability in Bor, Pibor and Malakal</t>
  </si>
  <si>
    <t>Implementing Partner Payment request for local solution to build climate Resilience and advance peace and stability Project in Bor under PRF #4200483655</t>
  </si>
  <si>
    <t>IOM Bosnia and Herzegovina crisis response plan 2021: resilience initiative</t>
  </si>
  <si>
    <t>Small grants facility-Youth voices for change and activism  The activities will include collaborations with local media and government stakeholders from 5 local communities and 50 youth from 5 local communities. The Implementing Partner shall commence the</t>
  </si>
  <si>
    <t>Omladinska Novinska Asocijacija BiH</t>
  </si>
  <si>
    <t>Project Implementation Agreement with the aim to strengthen collaboration among youth engaged in youth councils and youth to amplify  a more unified voice that advocates for issues affecting youth across Bosanski Petrovac and Una Sana Canton. The project</t>
  </si>
  <si>
    <t>YOUTH COUNCIL BOSANSKI PETROVAC</t>
  </si>
  <si>
    <t>This activity seeks to strengthen connection and collaboration among youth people of Brčko district, youth and youth organization in Brčko district to amplify voices to advocates for issues affecting youth across the Brčko district, especially when it comes to the implementation of the Youth policy. IOM will expand the activities and capacities of Youth council of Brčko district by organizing meetings with local authorities, advocacy campaigns and gatherings of youth from Brčko district. Youth council of Brčko district will take the teas as the awardee of this activity as the umbrella youth organization in Brčko district, drawing its experience of organizing event and being partner on previous activities.  *IP agreement ref. no. 106-23-AV-BA10-NP</t>
  </si>
  <si>
    <t>Vijece/Savjet mladih Brcko distrikt</t>
  </si>
  <si>
    <t>This Agreement concerns project activities to be implemented by the Implementing Partner in scope of the project "Bosnia and Herzegovina Resilience Initiative". Young people in Bosnia and Herzegovina show dissatisfaction with the situation in which they find themselves and therefore seek happiness in more developed countries. The lack of information among young people about the ways in which they can act together and create positive changes in their society presents itself as another problem directly tied to this.  Youth organizing is a tool which is recognized through the Law on Youth of the Federation of BiH since 2010. Through the same Law, the system of youth councils was established as a way to structure youth organizing and support young people in the "bottom-up" approach to make their voices more relevant in all parts of the Federation. Even though Youth Law in the FBiH have its downsides and there is space for improvement having in mind that it has not been changed for 12 years, it is one of the good examples taking into consideration its compliance with EU youth policy and youth work legislation. The activities of the project will tackle these problems and through this project the impleme ntation partner will work on informing youth on youth organizing. In addition, they will cooperate with the new convocation of the Federal Commission for Youth Affairs in order to improve the operation of this Commission through joint work.</t>
  </si>
  <si>
    <t>Vijece mladih FBiH</t>
  </si>
  <si>
    <t>This activity seeks to strengthen collaboration and communication among city Bosanska Krupa and municipality Novi Grad, neighbouring communities with different ethnic composition.  The project "Youth in focus" will be implemented with the aim to foster direct cooperation and support young people from these communities for youth activism and civic engagement in strengthening social cohesion, creation of positive narratives and promoting shared heritage, values and needs in neighbouring areas.  PIA ref. no. 124-23-AV-BA10-NP</t>
  </si>
  <si>
    <t>Udruzenje gradjana Dar prirode</t>
  </si>
  <si>
    <t>Supporting Iraqi national efforts for enhanced implementation of the national strategies on the prevention of violent extremism</t>
  </si>
  <si>
    <t>PR#4200464877 IP Agreement with international CSO for the Engagement Protocol Phase II (PSD/PVE)</t>
  </si>
  <si>
    <t>The Global Startegy Network Ltd</t>
  </si>
  <si>
    <t>PX.0055</t>
  </si>
  <si>
    <t>Strengthening counter-trafficking efforts in the Republic of Moldova</t>
  </si>
  <si>
    <t>Rehabilitation VoTs Moldova_Apr-Dec'23 IMPLEMENTING ACTIVITIES_JTip PTOJECT_PP UNIT 01.04.23 - 31.12.23</t>
  </si>
  <si>
    <t>United Nations Office on Drugs and</t>
  </si>
  <si>
    <t>PX.0263</t>
  </si>
  <si>
    <t>Cooperation on migration and partnerships to achieve sustainable solutions (COMPASS)</t>
  </si>
  <si>
    <t>Protection of people on the move, combat human trafficking and smuggling, and support dignified return while promoting sustainable r eintegration.  Reference:  Project Implementation Agreement number: ETH/ADD/November/1200/2022  PR number: 4200279964 (lin</t>
  </si>
  <si>
    <t>Wollo University School of Law</t>
  </si>
  <si>
    <t>Migration resource centres in Guatemala</t>
  </si>
  <si>
    <t>IP agreement to provide basic medical and psychosocial health care in the CAPMiRs. PR 4200419804</t>
  </si>
  <si>
    <t>Access, support and coordination programme: a collaborative approach to support survivors of human trafficking</t>
  </si>
  <si>
    <t>Protection of vulnerable migrants with special emphasis on empowering women in the context of migration in Central Asia</t>
  </si>
  <si>
    <t>grant support on "Protection of Vulnerable MIgrants with Sepcial Emphasis on Empowering Women in the Context of Migration in Central Asia" financially supported by the Ministry of Foreign Affairs of the Kingdom of Norway</t>
  </si>
  <si>
    <t>Public Fund "Damytu"</t>
  </si>
  <si>
    <t>Provision of individual reintegration packages for 4 project beneficiaries in Dushanbe in order to organize self-employment.</t>
  </si>
  <si>
    <t>Provision of individual reintegration packages for 4 project beneficiaries in Bokhtar in order to organize self-employment.</t>
  </si>
  <si>
    <t>Provision of individual reintegration packages for 4 project beneficiaries in GBAO in order to organize self-employment.</t>
  </si>
  <si>
    <t>NGO Madina</t>
  </si>
  <si>
    <t>Provision of individual reintegration packages for 4 project beneficiaries in Khujand in order to organize self-employment.</t>
  </si>
  <si>
    <t>Provision of individual reintegration packages for 4 project beneficiaries in Panjakent in order to organize self-employment.</t>
  </si>
  <si>
    <t>Provision of individual reintegration packages for 4 project beneficiaries in Qubodiyon in order to organize self-employment.</t>
  </si>
  <si>
    <t>Provision of individual reintegration packages for 4 project beneficiaries in Yovon in order to organize self-employment.</t>
  </si>
  <si>
    <t>Provision of individual reintegration packages for 4 project beneficiaries in Kulob in order to organize self-employment.</t>
  </si>
  <si>
    <t>Provision of individual reintegration packages for 4 project beneficiaries in Istaravshan in order to organize self-employment.</t>
  </si>
  <si>
    <t>Provision of individual reintegration packages for 4 project beneficiaries in Tojikobod in order to organize self-employment.</t>
  </si>
  <si>
    <t>Provide individual reintegration assistance for 4 beneficiaries for organizing income-generation activities Suport for NGO " Womon Federation of Qaratag" to provide assistance 4 beneficiaries</t>
  </si>
  <si>
    <t>Women Federation of Qaratag</t>
  </si>
  <si>
    <t>Support of the partner NGO 'Madina' in Khorog for the implementation of the project activities</t>
  </si>
  <si>
    <t>Support to NGO partner "AWS" for reintegration assistance for beneficiary Additional group grant for 3 (three) VCM in B.Gafurov district, Sughd region</t>
  </si>
  <si>
    <t>Provision of direct protection assistance to VoTs and VMs, including stranded migrants, including to legal, mental health and psychosocial support services to VoTs, VMs and their families.</t>
  </si>
  <si>
    <t>Support for NGO "Women Lawyers for Development" to provide Direct assistance for VOT and VM Provide direct protection assistance to 5 VoTs and VMs, including stranded migrants, including to legal, mental health and psychosocial support services to VoTs, V</t>
  </si>
  <si>
    <t>Support to NGO partner AWS in Khujand city for assistance for beneficiary Purchase and delivery of integration assistance to 4 (four) beneficiaries and direct protection assistance to 4 VoTs and VMs, including stranded migrants, including to legal, mental health and psychosocial support services to VoTs</t>
  </si>
  <si>
    <t>Provide direct protection assistance to VoTs and VMs, including stranded migrants, including to legal, mental health and psychosocial support services to VoTs, VMs and their families</t>
  </si>
  <si>
    <t>Korvoni umed</t>
  </si>
  <si>
    <t>Ensuring critical protection assistance for people on the move and strengthening national disaster management capacities to address natural and man-made threats in Haiti</t>
  </si>
  <si>
    <t>IP-Support to rehab/refurbish house</t>
  </si>
  <si>
    <t>Medecins du Monde Suisse</t>
  </si>
  <si>
    <t>Legal introduction for IDPs</t>
  </si>
  <si>
    <t>CALSDH</t>
  </si>
  <si>
    <t>Tackling modern slavery in Viet Nam</t>
  </si>
  <si>
    <t>Quang Binh Department of Labour,</t>
  </si>
  <si>
    <t>PX.0341</t>
  </si>
  <si>
    <t>Prevention of trafficking in persons and other protection risks of vulnerable conflict-affected men, women, boys and girls in Ukraine</t>
  </si>
  <si>
    <t>Pro-rights: promoting the rights of Venezuelan refugees and migrants in Latin America and the Caribbean</t>
  </si>
  <si>
    <t>CONVENIO FGM - 046 - 001 DE 2023 12629082 CORPORACION LA GRAN COLOMBIA  TOTAL VALUE:  COP 811.354.000 OIM CONTRIB:  COP 775.505.003 FUD CONTRIB:  COP  35.849.997</t>
  </si>
  <si>
    <t>CORPORACION LA GRAN COLOMBIA</t>
  </si>
  <si>
    <t>Prevent trafficking in persons in climate change-affected communities in Kenya</t>
  </si>
  <si>
    <t>Trace Kenya</t>
  </si>
  <si>
    <t>New York University</t>
  </si>
  <si>
    <t>Facilitation of community-based reintegration activities for 120 returnees and 40 host community members in one of the migration hotspots found in SNNPR, Hadiya Zone, and Gibe Woreda targeting three Kebeles (Amborn, Danga, and Gaseda).  Reference:  Project Implementation Agreement number: ETH/ ADD/June/558/2023 (Amendment 4)  PR number: 4200486228  PO Issued by: Mr. Nathaniel Abera  Contact Person: Mrs. Meron Befekadu</t>
  </si>
  <si>
    <t>Bethany Christian Services Global</t>
  </si>
  <si>
    <t>Implementation of integrated irrigation activities to improve the livelihoods of small holder farmers and support both returnees, po tential migrants and host community members.  Reference:  Project Implementation Agreement number: ETH/ADD/June/559/2023 (Amendement 3)  PR number: 4200486333  PO Issued by: Mr. Nathaniel Abera  Contact Person: Mrs. Meron Befekadu</t>
  </si>
  <si>
    <t>Ethiopian Evang Chur Mek.Yes-NC br</t>
  </si>
  <si>
    <t>Partnership to produce briquettes from Khat Waste in Aweday and Kombolcha Woredas target to benefit 150 returnees and host community members.  Reference:  Project Implementation Agreement number: ETH/ADD/June/557/2023 (Amendment 3)  PR number: 4200486349  PO Issued by: Mr. Nathaniel Abera  Contact Person: Mrs. Meron Befekadu</t>
  </si>
  <si>
    <t>Budget pour une enquête de présence des migrants au Mali/ Accord AC-IOMBKO-23-022 / PR 4200466487 / Unité DTM</t>
  </si>
  <si>
    <t>Contribution-Support migration coordination platforms in Tahoua and Zinder to facilitate the integration of migration in regional de velopment PLANS PRF 4200450296</t>
  </si>
  <si>
    <t>CONSEIL REGIONAL TAHOUA</t>
  </si>
  <si>
    <t>PX.0378</t>
  </si>
  <si>
    <t>Improving protection and socio-economic integration of migrants in vulnerable situations in Morocco</t>
  </si>
  <si>
    <t>Association Carrefour</t>
  </si>
  <si>
    <t>Fédération Handicap International</t>
  </si>
  <si>
    <t>PX.0382</t>
  </si>
  <si>
    <t>Migrant women protection in Central America and the Dominican Republic: Resilience and gender-based violence prevention (Phase II)</t>
  </si>
  <si>
    <t>Secretaria Tecnica del COMMCA</t>
  </si>
  <si>
    <t>Protection assistance for vulnerable communities and migrants at risk of human trafficking in Venezuela</t>
  </si>
  <si>
    <t>IP.2023.016 - Caritas Sn Fernando CERF   ACUERDO DE IMPLEMENTACIÓN DE PROYECTO entre la Organización Internacional para las Migraciones (OIM) y Asociación Civil Cáritas de Venezuela Relativo a "Rehabilitación de espacio de alojamiento para Victimas de Tra</t>
  </si>
  <si>
    <t>Countering trafficking in persons and ensuring assistance to vulnerable groups in Ukraine (CTIP/V)</t>
  </si>
  <si>
    <t>UA1-2023-13035_PX_IP services in Volyn oblast (NRM</t>
  </si>
  <si>
    <t>NGO Volyn Perspectives</t>
  </si>
  <si>
    <t>UA1-2023-13036_PX_IP services in Rivne oblast (NRM)</t>
  </si>
  <si>
    <t>Center Chayka</t>
  </si>
  <si>
    <t>UA1-2023-13037_PX_IP services in Lviv oblast (NRM)</t>
  </si>
  <si>
    <t>NGO Women s Perspectives</t>
  </si>
  <si>
    <t>UA1-2023-13039_PX_IP services in Chernivtsi oblast (NRM)</t>
  </si>
  <si>
    <t>NGO TGA Synergiya</t>
  </si>
  <si>
    <t>UA1-2023-13040_PX_IP services in Zhytomyr oblast (NRM)</t>
  </si>
  <si>
    <t>NGO Women Inf-Consulting Center</t>
  </si>
  <si>
    <t>UA1-2023-13038_PX_IP services in Zakarpattia oblast (NRM)</t>
  </si>
  <si>
    <t>NGO Vesta</t>
  </si>
  <si>
    <t>UA1-2023-13042_PX_IP Services (Economic Empowerment by Vinnytsia NGO)</t>
  </si>
  <si>
    <t>UA1-2023-13046_PX_IP_Operation of the National 527 Hotline</t>
  </si>
  <si>
    <t>UA1-2023-13043_PX_IP Services (Economic Empowerment by Poltava NGO)</t>
  </si>
  <si>
    <t>UA1-2023-13044_PX_IP Services (Economic Empowerment by Odesa NGO)</t>
  </si>
  <si>
    <t>UA1-2023-13045_PX_IP Services (Economic Empowerment by Lviv NGO)</t>
  </si>
  <si>
    <t>One UN joint action to strengthen human rights in the transnistrian region of  the Republic of Moldova (2022-2025)</t>
  </si>
  <si>
    <t>Emergency assistance to GBV, domestic and sexual violence victims_Agreement MD10-62/23</t>
  </si>
  <si>
    <t>RP.0112</t>
  </si>
  <si>
    <t>Support for strengthened reconciliation processes and increased access to person-centered, comprehensive, and credible reparations mechanisms in Sri Lanka</t>
  </si>
  <si>
    <t>INSTITUTE FOR HEALTH POLICY</t>
  </si>
  <si>
    <t>Integrated responses on migration from Central America</t>
  </si>
  <si>
    <t>Peacework Belize</t>
  </si>
  <si>
    <t>RR.0135</t>
  </si>
  <si>
    <t>Reintegration assistance for potential and returned migrant youth focused on training and entrepreneurship in eastern El Salvador</t>
  </si>
  <si>
    <t>Universidad Don Bosco</t>
  </si>
  <si>
    <t>RR.0260</t>
  </si>
  <si>
    <t>Assistance for informed, safe and dignified voluntary returns of vulnerable migrants in participating countries of the Americas (WHA regional AVR programme)</t>
  </si>
  <si>
    <t>Empowering women and girls affected by migration and forced displacement in Honduras, Guatemala and El Salvador</t>
  </si>
  <si>
    <t>Emergency assistance to displaced populations affected by conflict/natural disasters in camp, camp-like settings, and host communities in the Central African Republic</t>
  </si>
  <si>
    <t>CONTRAT DE MISE EN OEUVRE D'UNE ACTIVITE DE DISTRIBUTION D'URGENCE DANS LA VAKAGA ET D'UNE MISE EN OEUVRE D'UN FLOW MONITORING POINT A AM DAFOK PRF 4200464468- 4200460722</t>
  </si>
  <si>
    <t>FLOW MONITORING DTM DANS LE CADRE DE LA CRISE DES REFUGIES SOUDANAIS A NDELE ET HAUTE KOTTO PRF 4200474895</t>
  </si>
  <si>
    <t>Distribution des kits a Zemio PRF 4200480354</t>
  </si>
  <si>
    <t>SN.0159</t>
  </si>
  <si>
    <t>Provision of critical shelter and non-food item assistance to displaced populations in Yemen – 2021</t>
  </si>
  <si>
    <t>Diversity Organization (DO)</t>
  </si>
  <si>
    <t>Addressing immediate humanitarian needs of the most vulnerable populations in Ukraine</t>
  </si>
  <si>
    <t>IP_ distribution of items in Chernivetska and Ivano-Frankivska Obl.</t>
  </si>
  <si>
    <t>UA1-2023-13041_IP services for distribution of items in Kochubeyivka village council</t>
  </si>
  <si>
    <t>UA1-2023-13020_IP service_Ukraine Assessment and distribution of ESKs in hard-to-reach areas</t>
  </si>
  <si>
    <t>SN.0185</t>
  </si>
  <si>
    <t>IOM Ukraine winterization strategy</t>
  </si>
  <si>
    <t>SN.0201</t>
  </si>
  <si>
    <t>Improving access to shelter and non-food items (NFIs) for internally displaced persons (IDPs) in Gao and Kidal</t>
  </si>
  <si>
    <t>AC-IOMBKO-23-007 et l'amendement N° AD-IOMBKO-23-083 / SN.0201 / LEG: MLI/IMPL/LH001/2023 Accords relatif à l'exécution d'un projet relatif à l'amélioration d'accès en abris d'urgence et NFI des PDI à Gao et Ansongo / PR 4200432319 &lt;(&gt;&amp;&lt;)&gt; 4200477666 / Un</t>
  </si>
  <si>
    <t>ONG STOP SAHEL</t>
  </si>
  <si>
    <t>Contrat AC-IOMBKO-23-009 / MLI/IMPL/LH002/2023 / Améliorer l'accès en abris d'urgence et en biens non alimentaires des personnes déplacées internes (PDI) dans la regions de Kidal / PR 4200432257 / Unité PPSU</t>
  </si>
  <si>
    <t>CROIX ROUGE MALIENNE</t>
  </si>
  <si>
    <t>Emergency humanitarian support for earthquake-affected population in northwest Syria (NWS)</t>
  </si>
  <si>
    <t>Yardim ve Koordine Birimi Dernegi</t>
  </si>
  <si>
    <t>Provision of non-food items (NFI) and lifesaving shelter assistance to earthquake-affected households in Türkiye</t>
  </si>
  <si>
    <t>TK.0032</t>
  </si>
  <si>
    <t>Leveraging the potential of the diaspora for the development of Mongolia</t>
  </si>
  <si>
    <t>GRANTS  WLH-002-024 12629146 COMUNICACIONES VALDIVIA  TOTAL VALUE: COP 178.000.000 IOM CONTRIB: COP 150.000.000 FUN CONTRIB: COP 28.000.000</t>
  </si>
  <si>
    <t>COMUNICACIONES VALDIVIA</t>
  </si>
  <si>
    <t>PX.0319</t>
  </si>
  <si>
    <t>Strengthening the Capacity of Civil Society Organisations in Solomon Islands to Prevent Trafficking in Persons (TIP) and Gender-Based Violence (GBV) and to Protect Survivors</t>
  </si>
  <si>
    <t>Solomon Islands National Council of</t>
  </si>
  <si>
    <t>GRANT WLH-002-030 ASOCIACION PRODUCTORES RADIO Y TV  TOTAL VALUE: COP 257.790.000 IOM CONTRIB: COP 205.490.000 FUN CONTRIB: COP 52.300.000</t>
  </si>
  <si>
    <t>ASOCIACION PRODUCTORES RADIO Y TV</t>
  </si>
  <si>
    <t>GRANT WLH-002-033 DE 2023 12629171 ASOCIACION CIMIENTOS DE LUZ  TOTAL VALUE: COP 265.250.000 IOM CONTRIB: COP 220.150.000 ASOCIACION CIMIENTOS DE LUZ CONTRIB: COP 45.100.000</t>
  </si>
  <si>
    <t>ASOCIACION CIMIENTOS DE LUZ</t>
  </si>
  <si>
    <t>GRANT WLH-002-035 ASOECOTURCHAL  TOTAL VALUE: COP 369.505.000 IOM CONTRIB: COP 295.546.000 FUN CONTRIB: COP 73.959.000</t>
  </si>
  <si>
    <t>ASOECOTURCHAL</t>
  </si>
  <si>
    <t>ASOCIACION DESARROLLO INTEGRAL</t>
  </si>
  <si>
    <t>GRANT WHL-002-029 DE 2023 12629169 FUNDESGLOBAL  TOTAL VALUE: COP 408.665.000 IOM CONTRIB: COP 299.615.000 FUNDESGLOBAL CONTRIB: COP 109.050.000</t>
  </si>
  <si>
    <t>FUNDESOGLOBAL FUNDACION DESARROLLO</t>
  </si>
  <si>
    <t>GRANT WLH-002-032 DE 2023 12629173 FUNDACION SOCIAL BIENESTAR COLOMBIA  TOTAL VALUE: COP 389.675.000 IOM CONTRIB: COP 299.975.000 FUNDACION SOCIAL BIENESTAR COLOMBIA: COP 89.700.000</t>
  </si>
  <si>
    <t>FUNDACION SOCIAL BIENESTAR COLOMBIA</t>
  </si>
  <si>
    <t>GRANTS GRANT WLH-002-034 FUNDAMUPPAZCOL FUNDACION DESARROLLO  TOTAL VALUE: COP 360.000.000 IOM CONTRIB: COP 300.000.000 FUN CONTRIB: COP 60.000.000</t>
  </si>
  <si>
    <t>FUNDAMUPPAZCOL FUNDACION DESARROLLO</t>
  </si>
  <si>
    <t>GRANT WLH-002-028 CORPORACION CARIBE AFIRMATIVO  TOTAL VALUE: COP 375.563.000 IOM CONTRIB: COP 300.000.000 FUN CONTRIB: COP 75.563.000</t>
  </si>
  <si>
    <t>CORPORACION CARIBE AFIRMATIVO</t>
  </si>
  <si>
    <t>GRANT GRANT WLH-002-025 FUNDACION COLOMBIA CRECE CON TODOS  TOTAL VALUE: COP 360.000.000 IOM CONTRIB: COP 300.000.000 FUN CONTRIB: COP 60.000.000</t>
  </si>
  <si>
    <t>GRANT WLH-002-026 DE 2023 12602134 FUNDACION ONG LA RED  TOTAL VALUE: COP 374.000.000 IOM CONTRIB: COP 300.000.000 FUNDACION ONG LA RED CONTRIB:  COP  40.000.000</t>
  </si>
  <si>
    <t>FUNDACION ONG LA RED</t>
  </si>
  <si>
    <t>GRANT WLH-002-027 - 12607926 FUNDACION PLAN  TOTAL VALUE: COP 429.700.848 IOM CONTRIB: COP 300.000.000 FUN CONTRIB: COP 92.665.848              COP 37.035.000( PAGO EN ESPECIE)</t>
  </si>
  <si>
    <t>DP.2465</t>
  </si>
  <si>
    <t>IOM Flash Appeal for Ukraine and Neighboring Countries</t>
  </si>
  <si>
    <t>PR 4200388741 IP Agreement - The Central Council of Roma - Annex 2</t>
  </si>
  <si>
    <t>2023 Q1</t>
  </si>
  <si>
    <t>CD.0024</t>
  </si>
  <si>
    <t>Morocco Community Resilience Activity (MCRA)</t>
  </si>
  <si>
    <t>Implementing Partners</t>
  </si>
  <si>
    <t>Coopérative de Conseil</t>
  </si>
  <si>
    <t>Forum Associatif de Martil</t>
  </si>
  <si>
    <t>Association Académie Marocaine</t>
  </si>
  <si>
    <t>Asso al amal suivi accomp det ep</t>
  </si>
  <si>
    <t>JEUNES POUR JEUNES</t>
  </si>
  <si>
    <t>FORUM DE LA CITOYENNETE 4</t>
  </si>
  <si>
    <t>Association marocaine pour enfance</t>
  </si>
  <si>
    <t>forum azzahrae pour la femme maroca</t>
  </si>
  <si>
    <t>IP_MSD_Consultancies_Ukranian business</t>
  </si>
  <si>
    <t>The Ukrainian Chamber of Commerce</t>
  </si>
  <si>
    <t>IP_MSD_Consultancies to Ukrainian SMEs</t>
  </si>
  <si>
    <t>KYIV SCHOOL OF ECONOMICS INSTITUTE</t>
  </si>
  <si>
    <t>Two days off-line event_MSD</t>
  </si>
  <si>
    <t>REGIONAL DEVELOPMENT AGENCY OF SUMY</t>
  </si>
  <si>
    <t>UA1-2022-3075_IP_Labour market study</t>
  </si>
  <si>
    <t>UA1-2023-3005_Intensive course on Export for craft producers of Poltava region</t>
  </si>
  <si>
    <t>NGO POLTAVSKA PLATFORMA</t>
  </si>
  <si>
    <t>CS.1093</t>
  </si>
  <si>
    <t>Joint Initiative for Migrant Protection and Reintegration: Regional Action for the Sahel and Lake Chad</t>
  </si>
  <si>
    <t>THIMO pour ramassage de dechets plastiques de Assamak  PRF/4200127830</t>
  </si>
  <si>
    <t>COMMUNE RURALE INGALL</t>
  </si>
  <si>
    <t>CONVENIO WLH-002-037 DE 2023 12628628 FUNDACION SOLE COLOMBIA  TOTAL VALUE: COP 828.886.075 IOM CONTRIB: COP 720.770.500 FUNDACION SOLE COLOMBIA CONTRIB:  COP 108.115.575</t>
  </si>
  <si>
    <t>CONVENIO WLH-002-023 DE 2022 FICHA WLH R3 037 12608127 FEDERACION NACIONAL CACAOTEROS (IP) TOTAL VALUE: COP 260.476.628 IOM CONTRIB: COP 236.908.228 PRO CONTRIB: COP  23.568.400</t>
  </si>
  <si>
    <t>FEDERACION NACIONAL DE CACAOTEROS</t>
  </si>
  <si>
    <t>Community development project implementation services between IOM and IGA HUE203</t>
  </si>
  <si>
    <t>INSTITUTO GUATEMALTECO AMERICANO-IG</t>
  </si>
  <si>
    <t>Community development project implementation services between IOM and Amigos Lago de Atitlán SOL141</t>
  </si>
  <si>
    <t>Asociacion Amigos del Lago de Atitl</t>
  </si>
  <si>
    <t>HUE072- Community development Research project implementation services between IOM and Consejo Nacional Empresarial (CNE).</t>
  </si>
  <si>
    <t>Asociacion Consejo Nacional de Empr</t>
  </si>
  <si>
    <t>Community development project implementation services between IOM and Peronia Adolescente GUA121</t>
  </si>
  <si>
    <t>Asociacion Guatemalteca de Jovenes</t>
  </si>
  <si>
    <t>GUA200 Community development project implementation services between IOM and DIALOGOS</t>
  </si>
  <si>
    <t>Asociacion Civil Dialogos</t>
  </si>
  <si>
    <t>CS.1138</t>
  </si>
  <si>
    <t>Strengthening of the Binational Dialogue between Haiti and the Dominican Republic to Promote Social Cohesion in the Border Area</t>
  </si>
  <si>
    <t>Implementing partner for Access to knowledge and information for border populations in the Dominican Republic to improve their perception of the positive contributions of safe, orderly, and regular migration, of the risks associated with irregular migrati</t>
  </si>
  <si>
    <t>Implementation agreement for the strengthening of work spaces on the Dajabón border, with cross-border dialogue tables and preparation of emergency response plans for the province of Dajabón and Montecristi, in conjunction with the CRPM and the provincial</t>
  </si>
  <si>
    <t>United Nation Population Fund</t>
  </si>
  <si>
    <t>CS.1165</t>
  </si>
  <si>
    <t>Support to Strategic Priorities 1 (Resilience) and 3 (Governance) of the IOM Strategy for Iraq (2022-23)</t>
  </si>
  <si>
    <t>PR#4200341966 Project implementation partner Agreement with International Disability Alliance</t>
  </si>
  <si>
    <t>INTERNATIONAL DISBILITY ALLIANCE</t>
  </si>
  <si>
    <t>Support of IOM Activities in Turkey as outlined in the 2022 Syria Regional Refugee and Resilience Plan (3RP)</t>
  </si>
  <si>
    <t>Project Title: Robotic Coding Training for Children and the Youth in Sanliurfa</t>
  </si>
  <si>
    <t>Harran Universitesi Surekli Egitim</t>
  </si>
  <si>
    <t>CS.1178</t>
  </si>
  <si>
    <t>Supporting Stabilisation through Sustainable, Safe and Dignified Return and Reintegration in Iraq</t>
  </si>
  <si>
    <t>PR#4200394428 UN-UN Agreement with UNIDIR</t>
  </si>
  <si>
    <t>CS.1180</t>
  </si>
  <si>
    <t>Promoting Peaceful Electoral Environment and Community Security in Liberia</t>
  </si>
  <si>
    <t>Liberia</t>
  </si>
  <si>
    <t>Migrants As Messengers Association</t>
  </si>
  <si>
    <t>Center for conflict Prevention</t>
  </si>
  <si>
    <t>CS.1185</t>
  </si>
  <si>
    <t>P-DDRCS Pilot Project to Support the Stabilization of Bantu and Twa Communities in the Village of Lambo Katenga, in the Tanganyika Province</t>
  </si>
  <si>
    <t>UA1-2023-13009_IP Services_Ensuring comprehensive protection in Poltava Oblast</t>
  </si>
  <si>
    <t>UA1-2023-13018_IP services_Ensuring comprehensive protection response in Chernihiv oblast</t>
  </si>
  <si>
    <t>NGO Chernihiv Publ Com for HRP</t>
  </si>
  <si>
    <t>CT.1032</t>
  </si>
  <si>
    <t>Countering Trafficking in Persons: Belarus</t>
  </si>
  <si>
    <t>Belarus</t>
  </si>
  <si>
    <t>Small grant to BWC "Southwest", Pinsk  on prevention</t>
  </si>
  <si>
    <t>Pinsk Business Women Club</t>
  </si>
  <si>
    <t>Small grant on prevention and reintegration</t>
  </si>
  <si>
    <t>Belarus Red Cross Society/Minsk</t>
  </si>
  <si>
    <t>Small grant to BWC Brest on reintegration and prevention</t>
  </si>
  <si>
    <t>BREST BUSINESS WOMEN CLUB</t>
  </si>
  <si>
    <t>USC - 01.09.2022. - 31.03.2023. - Red Cross Support to Mobile Teams at USC</t>
  </si>
  <si>
    <t>Red Cross USC/ Crveni Kriz USK</t>
  </si>
  <si>
    <t>DP.2036</t>
  </si>
  <si>
    <t>IOM – Multi Country Humanitarian Assistance – CAP 2022</t>
  </si>
  <si>
    <t>Transfer of funds under the IPA IM as per Contribution Agreement IPA/2022/435-616 BIH/EUR/LC0094/2022</t>
  </si>
  <si>
    <t>UNFPA</t>
  </si>
  <si>
    <t>DP.2060</t>
  </si>
  <si>
    <t>Comprehensive Reintegration Programme in Areas of Returns in Burundi (Phase III)</t>
  </si>
  <si>
    <t>implementing service fees to carry out the project activities in Ruyigi and Muyinga provinces.  PR:4200424705</t>
  </si>
  <si>
    <t>DP.2141</t>
  </si>
  <si>
    <t>Greening Humanitarian Responses through Recovery, Repair, and Recycling of Solar Products in Camps</t>
  </si>
  <si>
    <t>DP.2202</t>
  </si>
  <si>
    <t>PR-4200279863 Unit-NFI &lt;(&gt;&amp;&lt;)&gt; Shelter Requestor-Md. Anamul HAQUE</t>
  </si>
  <si>
    <t>NORWEGIAN REFUGEE COUNCIL (NRC)</t>
  </si>
  <si>
    <t>Provision of Shelter, Settlements, and WASH Assistance for Populations Affected by the Northern Ethiopian Crisis</t>
  </si>
  <si>
    <t>EPC_RRF - RRFE0129 IP ZOA Emergency NFI Support in Northwestern Tigray.   PR#4200391786</t>
  </si>
  <si>
    <t>Rehabilitation of conflict affected Households through provision of emergency NFI kits in Maichewu Town, Southern Zone of TigrayRegion  Pr#4200392063</t>
  </si>
  <si>
    <t>New Millennium Women Empowerm.t Org</t>
  </si>
  <si>
    <t>FI response for conflict affected communities in Abala and Berhale   PR#4200392068</t>
  </si>
  <si>
    <t>Voice of Wilderness Dev.t Org</t>
  </si>
  <si>
    <t>PIA referance Number ETH/ADD/FEB/1254/2023  PO is created for Internal MIGO /MIRO</t>
  </si>
  <si>
    <t>PIA Refarance NO ETH/ADD/FEB/1255/2023 po IS CREATED FOR iNTERNAL migo miro  PO delivery date changed from 31.03.2023 to 15 MAy 2023 as the signed contract duration amendment n the final report delivery due date is 15May2023 as per request received from RRF_Abdu Mohammed</t>
  </si>
  <si>
    <t>Rehabilitation of Emergency Shelters for Sebacare 4 IDP Site for 733 HH (3,665 individuals).  Reference:  Project Implementation Agreement number: ETH/ADD/February/1262/2023  PR number: 4200422234  PO Issued by: Mr. Nathaniel Abera  Contact Person: Mr. Abdu Mohammed (RRF)</t>
  </si>
  <si>
    <t>Supporting Vulnerable Refugees and Local Communities in Cox's Bazar, Bangladesh, through Improved  Access to Health, Protection, and Water, Sanitation and Hygiene (WASH) Services</t>
  </si>
  <si>
    <t>PR-4200404885 Requestor-Thui Sha Ching MARMA Unit-Protection</t>
  </si>
  <si>
    <t>PR-4200393634 Requestor-Thui Sha Ching MARMA Unit- Protection</t>
  </si>
  <si>
    <t>DP.2374</t>
  </si>
  <si>
    <t>Assistance to Populations Affected by Floods in Bujumbura Rural and Bujumbura Mairie, Burundi</t>
  </si>
  <si>
    <t>PR4200419777 : Implementing Partner in data collection by the Burundian Red Cross</t>
  </si>
  <si>
    <t>Provision of Humanitarian Coordination and Shelter and Settlements Assistance for Crisis-Affected Populations in Ethiopia</t>
  </si>
  <si>
    <t>PIA REFERANCE ETH/ADD/FEB/1253/2023  PROJECT END DATE MARCH 31 2023 PIA  payment term is USD 50,620 upon signing the PIA agreement and 9 ,039.19 upon completion of the project. Due to Budget /PR s raised from two WBS lines, in order to fully link the PR value, PO is created on the basis of the PRF value.</t>
  </si>
  <si>
    <t>Emergency Water Trucking for Drought-Affected IDPs and Host Communities in 4 Districts of Borena Zone, Oromia for IDPs: 40,400 (8,080 HH) and Host Community: 15,600 (3,120 HH).  Reference:  Project Implementation Agreement number: ETH/ADD/February/1262/2023  PR number: 4200422251  PO Issued by: Mr. Nathaniel Abera  Contact Person: Mr. Abdu Mohammed (RRF)</t>
  </si>
  <si>
    <t>COMITATO INTERNAZIONALE PER LO</t>
  </si>
  <si>
    <t>DP.2405</t>
  </si>
  <si>
    <t>Multisectoral Emergency Response to Conflict Affected Internally Displaced Populations and Communities in Cabo Delgado, Mozambique</t>
  </si>
  <si>
    <t>PR No: 4200399074</t>
  </si>
  <si>
    <t>NIDAA</t>
  </si>
  <si>
    <t>DP.2419</t>
  </si>
  <si>
    <t>Strengthening the Response for US-bound Afghan Evacuees in Transit Center as Sayliyah in Doha, Qatar</t>
  </si>
  <si>
    <t>*Provision of Community Based Services and Mental Health and Psychosocial Support to assist Afhani people at CAS 01 Dec. 2022- 30 Sep. 2023  Agreement Ref: QA 2023-001_IP Program: AP</t>
  </si>
  <si>
    <t>DP.2436</t>
  </si>
  <si>
    <t>Strengthening Community Resilience and Reducing Violence in Cameroon for the Humanitarian Development Peace Nexus</t>
  </si>
  <si>
    <t>IP AGM FOR: construction of community latrines, including awareness campaigns on good hygiene practices in the communities of Mabeta, Idenau ,Misselele et Motombolobo</t>
  </si>
  <si>
    <t>LUKMEF-CAMEROON</t>
  </si>
  <si>
    <t>DP.2439</t>
  </si>
  <si>
    <t>Emergency Livelihoods and Cash Assistance for Vulnerable Populations in Afghanistan</t>
  </si>
  <si>
    <t>Multi-Purpose Cash Distribution (IP) - SRR Unit.</t>
  </si>
  <si>
    <t>Save the Children Italia</t>
  </si>
  <si>
    <t>DP.2457</t>
  </si>
  <si>
    <t>2022 Joint Response Plan for the Rohingya Humanitarian Crisis</t>
  </si>
  <si>
    <t>PR-4200391403 Requestor-Kazi Mahfuzur Rahman Unit- WASH</t>
  </si>
  <si>
    <t>PR-4200403015 Requestor - Thui Sha Ching MARMA Dept - Protection.</t>
  </si>
  <si>
    <t>PR - 4200401706 Requestor - Arman Rahim CHY Dept - Programme Support SMSD</t>
  </si>
  <si>
    <t>PR - 4200402127 Requestor - Md. Alamgir MIAH Dept - MHD</t>
  </si>
  <si>
    <t>PR-4200402120 Requestor-Md. Alamgir MIAH Unit-MHD</t>
  </si>
  <si>
    <t>PR - 4200401577 Requestor - Arman Rahim CHY Unit - SMSD</t>
  </si>
  <si>
    <t>PR-4200400183 (Implementation agreement for 2 months (1 February - 31 March, 2023) Requestor-Mubashara TUMPA Unit-WASH</t>
  </si>
  <si>
    <t>DP.2458</t>
  </si>
  <si>
    <t>2022 Regional Refugee and Migrant Response Plan (RMRP) for the Venezuela Situation</t>
  </si>
  <si>
    <t>SJM - Acuerdo de implementación enero-marzo2023 (RMRP2022)</t>
  </si>
  <si>
    <t>PROYECTO PRM 2022  ACUERDO DE IMPLEMENTACION  DURACION DE 1 DE ENERO AL 15 DE MARZO BAJA DE LINEAS NO EJECUTADAS SEGUN IAF FINAL</t>
  </si>
  <si>
    <t>PROYECTO PRM 2023  ACUERDO DE IMPLEMENTACION  DURACION DE 1 DE ENERO AL 15 DE MARZO</t>
  </si>
  <si>
    <t>PROYECTO PRM  ACUERDO DE IMPLEMENTACION  DURACION DE ENERO AL 15 DE MARZO DE 2023</t>
  </si>
  <si>
    <t>ASOCIACION MUTUAL ISRAELITA ARGENTI</t>
  </si>
  <si>
    <t>APdeBA - Acuerdo de implementación diciembre - marzo 2023 (RMRP 2022)  16 de diciembre de 2022 y hasta el 31 de marzo de 2023,  importe máximo de ARS 1.239.600</t>
  </si>
  <si>
    <t>AxV - Acuerdo de implementación RMRP2022 (enero-marzo23)  a partir del 1° de enero de 2023 y hasta el 15 de marzo de 2023, por un importe máximo de ARS 4.645.800 BAJA DE LINEAS NO EJECUTADAS SEGUN IAF FINAL</t>
  </si>
  <si>
    <t>Hiring of an implementing partner to support migrant population with the payment of housing rent and the provision of basic household supplies and food kits in the city of Cochabamba</t>
  </si>
  <si>
    <t>ACUERDO DE IMPLEMENTACION DE PROYECTO "Asesoría e Información Jurídica, Social y Laboral en Asuntos Migratorios para Migrantes Venezolanos y otras Colectividades en Chile”</t>
  </si>
  <si>
    <t>4200348423 Contrato del Acuerdo de implementación de proyecto entre la Organización Internacional para las Migraciones (OIM) y Comitato Internazionale per lo Sviluppo dei Popoli – CISP, RUC: 1791382307001- "IP - Asistencia humanitaria multisectorial integral a población migrante para el acceso a derechos, estabilización e integración local”</t>
  </si>
  <si>
    <t>CISP COMITATO INTERNAZIONALE PER</t>
  </si>
  <si>
    <t>PR 4200411865  IP: Gestióde albergues y comedores  ACUERDO DE IMPLEMENTACIÓN DE PROYECTO entre la Organización Internacional para las Migraciones (OIM) y Agencia Adventista de Desarrollo y Recursos Asistenciales - ADRA relativo a Atención Integral en Tres Centros de Alojamiento Temporal y Dos Comedores Comunitarios para Grupos Vulnerables en Situación de Movilidad Humana  Núm. Ref de OIM 4200411865 Código de proyecto DP.2458</t>
  </si>
  <si>
    <t>Assistance adaptation service in migratory regularization procedures</t>
  </si>
  <si>
    <t>Generation of quantitative and qualitative knowledge about recent migrant population in order to develop evidence based response.</t>
  </si>
  <si>
    <t>IHC JUAN PABLO TERRA</t>
  </si>
  <si>
    <t>Grant to the Implementation partner (Belarusian Red Cross Society) for the continuation for DTM survey</t>
  </si>
  <si>
    <t>IP Nadace Via</t>
  </si>
  <si>
    <t>IP Klubíčko 2 (1 - 3_2023)</t>
  </si>
  <si>
    <t>Klubicko Cheb z.s.</t>
  </si>
  <si>
    <t>IP Adra 2 - housing pilot</t>
  </si>
  <si>
    <t>IMplementing partner AMSP</t>
  </si>
  <si>
    <t>AMSP</t>
  </si>
  <si>
    <t>IP - Consortium</t>
  </si>
  <si>
    <t>IP Slovo 21</t>
  </si>
  <si>
    <t>Amendment 1 to the Project Implementation Agreeement Project implementation activities, Providing Longer term safe accommodation, transportation and environment with basic needs for per sons displaced by the conflict in Ukraine.  Reference: PO # 4500221528 - the first installment PO # 4500240378 - the second and third installments (Original Agreement installments)</t>
  </si>
  <si>
    <t>IP for implementation of activities for establishing an Integration Center in Gdansk to provide the following services: 1)Polish and English language courses to be conducted by the Implementing Partner for adult beneficiaries of temporary protection in Gdansk; 2) Vocational counselling including career and business counselling and assistance in finding job opportunities matching the candidate's profile prepared by the counsellor will be provided by the Implementing Partner in close cooperation with IOM for 200 persons from the target group; and 3) Project promotion and sensitization events as per PR 4200359265</t>
  </si>
  <si>
    <t>Rent of space and coordination of the integration center for the period Jan - Mar 2023 as per 4200400309</t>
  </si>
  <si>
    <t>ASOCIATIA FILANTROPIA ORADEA</t>
  </si>
  <si>
    <t>PR 4200412218</t>
  </si>
  <si>
    <t>IPcko</t>
  </si>
  <si>
    <t>DP.2471</t>
  </si>
  <si>
    <t>Strengthening Protection Mechanisms in Poland Following the Crisis in Ukraine</t>
  </si>
  <si>
    <t>IP services for distribution of Relief items in Chernihivska Oblast</t>
  </si>
  <si>
    <t>FPC UKRAINIAN PRISM</t>
  </si>
  <si>
    <t>UA1-2023-8017_IP_Distribution_Vinnytsia Oblast</t>
  </si>
  <si>
    <t>NGO SPILNA SPRAVA</t>
  </si>
  <si>
    <t>UA1-2023-13016_IP services for distribution of items in Mykolaivska Oblast</t>
  </si>
  <si>
    <t>PA DREAMACTION</t>
  </si>
  <si>
    <t>DP.2488</t>
  </si>
  <si>
    <t>Greening Humanitarian Responses Through Enhanced Solar Energy Harvesting</t>
  </si>
  <si>
    <t>PIA for Greening humanitarian responses through enhanced Solar Energy harvesting  Budject: In the maximum amount of EUR 267,390.00 (Two hundred sixty-seven thousand three hundred ninety EUROS only)  Project duration: 01 Feb 2023 and fully and satisfactori</t>
  </si>
  <si>
    <t>Practical Action</t>
  </si>
  <si>
    <t>Regional Migrant Response Plan for the Horn of Africa and Yemen</t>
  </si>
  <si>
    <t>Provision of dignified temporary accommodation assistance, protection assistance; and comprehensive psychosocial services and skills training to the most vulnerable migrant returnees in partnership with AGAR Ethiopia Charitable Society.</t>
  </si>
  <si>
    <t>DP.2492</t>
  </si>
  <si>
    <t>DP.2504</t>
  </si>
  <si>
    <t>Integrated Humanitarian Multi-Sector Assistance to Internally Displaced Persons (IDPs) in Iraq</t>
  </si>
  <si>
    <t>PR#4200348606 Provision of Mental Health and Psychosocial Support to IDPs in  Dawodia Camp</t>
  </si>
  <si>
    <t>Rusaz Organization</t>
  </si>
  <si>
    <t>PR#4200348606 Provision of Mental Health and Psychosocial Support to IDPs in Kabarto 1 and 2 Camps</t>
  </si>
  <si>
    <t>Supporting Access to Housing and Basic Services for People Fleeing the Conflict in Ukraine</t>
  </si>
  <si>
    <t>PROJECT IMPLEMENTATION AGREEMENT on Non-formal development and education activities for Ukrainian refugees in Budapest  Reference; PR # 4200401335 Project Implemantion Agreement signed 10 January 2023</t>
  </si>
  <si>
    <t>Implementation of IOM Project Activities;  Supplimentaly integration service and employment related information provision to displaced persons from Ukraine.   Reference: PR # 4200403567 Project Implementation Agreement dated 18 Jan 2023.</t>
  </si>
  <si>
    <t>DP.2518</t>
  </si>
  <si>
    <t>Regional Migrant Response Plan (RMRP) for the Horn of Africa and Yemen 2022 dated February 2022</t>
  </si>
  <si>
    <t>DP.2525</t>
  </si>
  <si>
    <t>Improving Protection and Living Conditions and Reducing Vulnerabilities of Crisis-Affected Populations in North-East Nigeria</t>
  </si>
  <si>
    <t>Counselling and Conflict Transformation  #PRF REF 4200393993</t>
  </si>
  <si>
    <t>CENTER FOR PEACE, DIPLOMATIC AND DE</t>
  </si>
  <si>
    <t>A Rapid Response Fund (RRF) Program Responding to Emergency Needs of Disaster Affected Populations in South Sudan</t>
  </si>
  <si>
    <t>Provision of emergency food security and livelihoods support to populations under IPC 4 in Aweil East County. PRF#4200387797</t>
  </si>
  <si>
    <t>Provision of Emergency Food Security Response for IDPs and vulnerable host communities in Ayod County. PRF#4200392077</t>
  </si>
  <si>
    <t>CHRISTIAN MISSION FOR DEVELOPMENT</t>
  </si>
  <si>
    <t>Provision of livelihood assistance to acute food insecure populations in IPC phase 4 in Aweil South County in Northern Bahr El Ghazal State, South Sudan PRF#4200393081</t>
  </si>
  <si>
    <t>MOTHER AND CHILDREN DEVELOPMENT AID</t>
  </si>
  <si>
    <t>Implementing Lifesaving GBV Prevention and Response to the People affected by conflict in Pibor, Lekuangole, Verteth,Kongkong, Jom, Lukurnyang,Ellashok school, Kondako. PRF#4200393802</t>
  </si>
  <si>
    <t>Provision of Emergency lifesaving Nutrition Interventions to affected population in IPC AMN phase 4 (Catastrophe) in Fangak County, Jonglei state. PRF#4200393804</t>
  </si>
  <si>
    <t>Provision of Emergency Livelihood support to 4,000 IPC 4 affected communities in Twic East County, Jonglei state. PRF#4200399540</t>
  </si>
  <si>
    <t>Implementing Provision of non-food items assistance to most vulnerable IPC 4 populations in Uror County, Jonglei State. PRF#4200403217</t>
  </si>
  <si>
    <t>Implementing Increase in food security of the most vulnerable population under IPC 4 through providing relevant inputsand training to 4,000 Households in Aweil East County. PRF#4200403129</t>
  </si>
  <si>
    <t>HELP RESTORE YOUTH</t>
  </si>
  <si>
    <t>Provision of Life saving Emergency Non-food Items (NFIs) to food insecure vulnerable communities (IPC Phase 4) in the five payamsof Tonj South County, Warrap State. PRF#4200406084</t>
  </si>
  <si>
    <t>TOUCH AFRICA DEVELOPMENT ORGANIZATI</t>
  </si>
  <si>
    <t>Emergency WASH response to the affected IPC 4 households in Aweil East and North Counties, Northern Bahr elGhazal State. PRF#4200411482</t>
  </si>
  <si>
    <t>CENTRE FOR EMERGENCY &amp; DEVELOPMENT</t>
  </si>
  <si>
    <t>Emergency S/NFIs response to IPC 4 households in Nyirol County, Jonglei State. PRF#4200411445</t>
  </si>
  <si>
    <t>Provision of Emergency Health Care Services for People Affected by IPC 4 in Akobo East, Akobo County, Jonglei State, South Sudan PRF#4200406110</t>
  </si>
  <si>
    <t>MEDICAIR</t>
  </si>
  <si>
    <t>Emergency FSL response to IPC 4 affected households in Kapoeta East, Eastern Equatoria State. PRF#4200411448</t>
  </si>
  <si>
    <t>RURAL ACTION AGAINST HUNGER</t>
  </si>
  <si>
    <t>Provision of emergency GBV response and prevention services to the vulnerable population in Emergency (IPC 4) in Uror County,Jonglei State  PRF#4200417488</t>
  </si>
  <si>
    <t>Provision of emergency Shelter and life-saving Non-food Items response to food insecure vulnerable populations (IPC 4) in GogrialWest County. PRF#4200417454</t>
  </si>
  <si>
    <t>Responding to Measles Outbreak through Reactive Measles Vaccination Campaigns in 3 Payams of Bor South County, Jonglei State. PRF#4200418447</t>
  </si>
  <si>
    <t>Livewell South Sudan Organization</t>
  </si>
  <si>
    <t>Emergency WASH services to IPC affected Households in Twic East, Jonglei State. PRF#4200420093</t>
  </si>
  <si>
    <t>Provision of Emergency WASH Basic services to IPC4 population in Mayom County, Unity State. PRF#4200425044</t>
  </si>
  <si>
    <t>Emergency WASH intervention to the IPC 4 Affected households in Ayod County, Jonglei State. PRF#4200431812</t>
  </si>
  <si>
    <t>Emergency Shelter intervention to the conflict affected households in Gumuru Payam - Greater Pibor, Jonglei State. PRF#4200431808</t>
  </si>
  <si>
    <t>Emergency lifesaving intervention through coordinated and effective information management system(Nutrition Cluster) with local and international NGOs of South Sudan. PRF#4200424661</t>
  </si>
  <si>
    <t>International Medical Corps UK</t>
  </si>
  <si>
    <t>Provision of emergency primary healthcare services to conflict affected IDPs in Kajo-Keji County, South Sudan. PRF#4200435833</t>
  </si>
  <si>
    <t>SOUTH SUDAN HEALTH ASSOCIATION (SSU</t>
  </si>
  <si>
    <t>Provision of multi-sectoral emergency Shelters/Non-Food Items (NFIs) and Gender Based Violence (GBV) prevention in Kajo-Keji County. PRF#4200440182</t>
  </si>
  <si>
    <t>POLISH HUMANITARIAN ACTION (PAH)</t>
  </si>
  <si>
    <t>WATER FOR SOUTH SUDAN</t>
  </si>
  <si>
    <t>Elgoni Charitable Organization</t>
  </si>
  <si>
    <t>DP.2536</t>
  </si>
  <si>
    <t>IOM Appeal - Ukraine and Neighbouring Countries</t>
  </si>
  <si>
    <t>IP Amiga</t>
  </si>
  <si>
    <t>Amiga z.s.</t>
  </si>
  <si>
    <t>IP Naděje</t>
  </si>
  <si>
    <t>Implementing Partner MAS Vladar 2</t>
  </si>
  <si>
    <t>MAS Vladar o.p.s.</t>
  </si>
  <si>
    <t>Brdy-Vltava o.p.s.</t>
  </si>
  <si>
    <t>IP_Healthcare Services by Alima_Kherson and Mykolaiv region</t>
  </si>
  <si>
    <t>ALIMA</t>
  </si>
  <si>
    <t>IP_Ensuring comprehensive protection response_Kherson obl.</t>
  </si>
  <si>
    <t>UA1-2022-3090_IP_NGO_Comprehensive Protection Response_Kirovohrad and KharkivEnter text here...</t>
  </si>
  <si>
    <t>UA1-2022-3088_IP services_Ensuring comprehensive protection response in Donetska Oblast</t>
  </si>
  <si>
    <t>UK MED Emergency Health Response to the Humanitarian Crisis in Ukraine- FCDO projectEnter text here...</t>
  </si>
  <si>
    <t>PR# 4200378490</t>
  </si>
  <si>
    <t>INTERNATIONAL RESCUE COMMITTEE INC</t>
  </si>
  <si>
    <t>Multi-Sectoral Assistance for Internally Displaced Persons (IDPs) and Persons with Disabilities in North-East Nigeria</t>
  </si>
  <si>
    <t>Provision of Critical Camp Management Services in North-east Nigeria to Improve Living Conditions in Camp and Camp-like Settings during the rainy season (IP) PR Ref: 4200394081</t>
  </si>
  <si>
    <t>DP.2549</t>
  </si>
  <si>
    <t>Winterisation Assistance for Early Recovery in Mykolaiv Oblast, Ukraine</t>
  </si>
  <si>
    <t>UA1-2023-13012_NGO IP_water supply in Mykolaiv</t>
  </si>
  <si>
    <t>Mission10forty</t>
  </si>
  <si>
    <t>DP.2550</t>
  </si>
  <si>
    <t>Multi-Sectoral Response to Increased CCCM, S-NFIs, WASH, and Health Multi-Sectoral Response to Increased Cccm, S-Nfis, Wash, and Health Needs of the Most Vulnerable Populations Affected by Increased Violence, Natural Disasters and Food Insecurity in</t>
  </si>
  <si>
    <t>Provision of Camp Coordination and camp Management services for internally Displaced Persons in Greater Pibor Administravtive Area. PRF#4200397994</t>
  </si>
  <si>
    <t>PEACE CORPS ORG. SOUTH SUDAN</t>
  </si>
  <si>
    <t>DP.2559</t>
  </si>
  <si>
    <t>Ukraine - Humanitarian - IOM 2022</t>
  </si>
  <si>
    <t>UA1-2023-13017 IP service_Ukraine: Window repairs in the damaged Ukrainian hospitals</t>
  </si>
  <si>
    <t>Protection of Vulnerable Conflict-Affected Communities in Ukraine and Provision of Urgent Mental Health and Psychosocial Support</t>
  </si>
  <si>
    <t>PIA_UA1-2023-13001 dd.13/01/2023</t>
  </si>
  <si>
    <t>UA1-2023-13007_IP services_Dnipro oblast</t>
  </si>
  <si>
    <t>NGO Promin Dnipro</t>
  </si>
  <si>
    <t>DP.2566</t>
  </si>
  <si>
    <t>Ukraine: Protection of Vulnerable Conflict-Affected Population</t>
  </si>
  <si>
    <t>UA1-2022-3089_IP services_Ensuring comprehensive protection response in Ternopil oblast</t>
  </si>
  <si>
    <t>DP.2567</t>
  </si>
  <si>
    <t>Provision of Emergency Shelter, NFI, and WASH Support to Flood-Affected Populations in Pakistan</t>
  </si>
  <si>
    <t>IP.2023.001 ACUERDO DE IMPLEMENTACION DE PROYECTO "Provisión de asistencia y protección a personas en contexto de movilidad en condiciones de vulnerabilidad en las regiones fronterizas de Venezuela y Brasil” IOMVE/CONTR/2023/020</t>
  </si>
  <si>
    <t>IP.2023.002 - ACUERDO DE IMPLEMENTACION DE PROYECTO "Provision de asistencia y proteccion a personas en contexto de movilidad en condiciones de vulnerabilidad en las regiones fronterizas de Venezuela y Brasil" IOMVE/CONTR/2023/017</t>
  </si>
  <si>
    <t>IP.2023.003 - ACUERDO DE IMPLEMENTACION DE PROYECTO "Provision de asistencia y proteccion a personas en contexto de movilidad en condiciones de vulnerabilidad en las regiones fronterizas de Venezuela y Brasil" IOMVE/CONT/2023/021</t>
  </si>
  <si>
    <t>IP.2023.005 - ACUERDO DE IMPLEMENTACION DE PROYECTO MARACAIBO "Provision de asistencia y proteccion a personas en contexto de movilidad en condiciones de vulnerabilidad en las regiones fronterizas de Venezuela y Brasil" IOMVE/CONT/2023/018</t>
  </si>
  <si>
    <t>IP.2023.006 - ACUERDO DE IMPLEMENTACION DE PROYECTO CORO "Provision de asistencia y proteccion a personas en contexto de movilidad en condiciones de vulnerabilidad en las regiones fronterizas de Venezuela y Brasil" IOMVE/CONT/2023/015</t>
  </si>
  <si>
    <t>IP.2023.007 - ACUERDO DE IMPLEMENTACION DE PROYECTO CARUPANO "Provision de asistencia y proteccion a personas en contexto de movilidad en condiciones de vulnerabilidad en las regiones fronterizas de Venezuela y Brasil" IOMVE/CONT/2023/016</t>
  </si>
  <si>
    <t>IP.2023.004 - ACUERDO DE IMPLEMENTACION DE PROYECTO "Provision de asistencia y proteccion a personas en contexto de movilidad en condiciones de vulnerabilidad en las regiones fronterizas de Venezuela y Brasil" IOMVE/CONT/2023/014</t>
  </si>
  <si>
    <t>IP.2023.009 - ACUERDO DE IMPLEMENTACIÓN DE PROYECTO entre Organización Internacional para las Migraciones (OIM) y Cáritas de Venezuela relativo a la recolección de Información DTM IOMVE/CONTR/2023/023 DP 2571</t>
  </si>
  <si>
    <t>IP.2023.008 - ACUERDO DE IMPLEMENTACION DE PROYECTO GUASDUALITO "Provision de asistencia y proteccion a personas en contexto de movilidad en condiciones de vulnerabilidad en las regiones fronterizas de Venezuela y Brasil" IOMVE/CONT/2023/019</t>
  </si>
  <si>
    <t>DP.2579</t>
  </si>
  <si>
    <t>Enhancing Protection of Vulnerable Host Communities in Cox's Bazar</t>
  </si>
  <si>
    <t>PR-4200411637 Requestor-Thui Sha Ching MARMA Unit-Protection  BNWLA IPs agreement for 1st January to 31st October 2023 on Assistance to Vulnerable Migrants and Counter Trafficking (CT)</t>
  </si>
  <si>
    <t>DP.2584</t>
  </si>
  <si>
    <t>Provision of Multi-Purpose Cash Assistance (MPCA) to Address the Most Critical Needs of Crisis-Affected Communities</t>
  </si>
  <si>
    <t>Payment Implementing Partner CCOSS (Care for Children and Old Age in South Sudan CERF-4200432554</t>
  </si>
  <si>
    <t>DP.2592</t>
  </si>
  <si>
    <t>​​Provision of Emergency Shelter and Non-Food Items (NFIs) for Populations Affected by Drought and the Northern Ethiopian Crisis</t>
  </si>
  <si>
    <t>Provision of Emergency Shelter and Cash for Non-Food Items (NFIs) for Populations Affected by drought in the Somali Region for IDPs: 3,055 HHs / 15, 275 individuals.</t>
  </si>
  <si>
    <t>Provision of Cash for Non-Food Items (NFIs) for Populations Affected by the Northern Ethiopian Crisis in the Tigray Region for IDPs: 1,180 HH / 6,490 individuals.</t>
  </si>
  <si>
    <t>Provision of Emergency Shelter and Cash for Non-Food Items (NFIs) for Populations Affected by drought in Oromia Region for IDPs: 2,070 HH / 11 ,385 Individuals.</t>
  </si>
  <si>
    <t>Provision of Emergency Shelter and Non-Food Items (NFIs) for Populations Affected by the Northern Ethiopian Crisis in Afar Region for 1,054 HHs / 5,798 individuals.</t>
  </si>
  <si>
    <t>IP Laxus</t>
  </si>
  <si>
    <t>Laxus, z.u.</t>
  </si>
  <si>
    <t>Cruz Vermelha de Timor Leste</t>
  </si>
  <si>
    <t>PR#4200405114 the provision of GBV services in Jeddah 1 by WRO</t>
  </si>
  <si>
    <t>RADIO PAREC</t>
  </si>
  <si>
    <t>AFIA ASBL</t>
  </si>
  <si>
    <t>Supporting Conflict-Affected Populations in the Far North of Cameroon through Providing Humanitarian Actors with Reliable and Timely Displacement Figures and Trends</t>
  </si>
  <si>
    <t>DTM Mobility Tracking (MT) Round 26 and Stabiliy index (SI) Round 3 Data collection exercise</t>
  </si>
  <si>
    <t>COMUNITY HUMANITARIAN EMERGENCY BOA</t>
  </si>
  <si>
    <t>DX.0098</t>
  </si>
  <si>
    <t>Humanitarian Assistance to Displaced Population in Lac Province, Chad</t>
  </si>
  <si>
    <t>AGREEMENT TO COLLECT INFORMATION ON POPULATION MOVEMENTS IN THE LAKE PROVINCE ACCORD SUR LA COLLECTE D'INFORMATION SUR LES MOUVEMENTS DE POPULATION DANS LA PROVINCE DU LAC PR:4200394054</t>
  </si>
  <si>
    <t>FC.0164</t>
  </si>
  <si>
    <t>Implementation of Gender-Based Violence Prevention Plans and Autonomy Promotion of Former FARC Women Combatants in Transit to Civil Life in Colombia (Phase II)</t>
  </si>
  <si>
    <t>CONVENIO No.1 DE 2023 RPR-0182 FC.0164 12601137 PONTIFICIA UNIVERSIDAD JAVERIANA  TOTAL VALUE: COP 81.250.000 IOM CONTRIB: COP 81.250.000</t>
  </si>
  <si>
    <t>PONTIFICIA UNIVERSIDAD JAVERIANA</t>
  </si>
  <si>
    <t>COOPERATIVA AGROAMBIENTAL CORINTO C</t>
  </si>
  <si>
    <t>FC.0178</t>
  </si>
  <si>
    <t>Supporting Transitional Justice, Community-Based Reintegration and Economic Recovery in the Context of Spontaneous Surrenders in Kasai, Kasai Central and Tanganyika Provinces of the Democratic Republic of the Congo</t>
  </si>
  <si>
    <t>DEVELOPMENT ACTION IN AFRICA</t>
  </si>
  <si>
    <t>FC.0208</t>
  </si>
  <si>
    <t>Support for the Reinsertion and Reintegration of Former Combatants in Bangui, Bria and Kaga Bandoro in Central African Republic</t>
  </si>
  <si>
    <t>contrat IP formation ex-combattants et des autorites a Bangui et Bria dans le cadre de PREC PRF 4200410202</t>
  </si>
  <si>
    <t>CONTRAT IP FORMATION DES EX-COMBATTANTS ET DES AUTORITES LOCALES DE MARKOUNDA DANS LE CADRE DU PROJET PREC PRF 4200410198</t>
  </si>
  <si>
    <t>IB.0253</t>
  </si>
  <si>
    <t>Strengthening Community Security and Stability in Communities Affected by Violence in the Northern Region of Mozambique through Police Capacity Building and Community Engagement</t>
  </si>
  <si>
    <t>Funding for Ha Tinh Women's Union to carry out communication activities - DHA-funded IB.0332</t>
  </si>
  <si>
    <t>Economic Integration of Vulnerable Nationals from Venezuela in Brazil</t>
  </si>
  <si>
    <t>SIGNED PROJECT IMPLEMENTATION AGREEMENT BETWEEN THE IOM BRAZIL AND CARITAS ARQUIDIOCESANA OF RIO DE JANEIRO-RJ ANNEX IN THE INTERNAL PURCHASE ORDER.</t>
  </si>
  <si>
    <t>CARITAS ARQUIDIOCESANA DO RIO DE JA</t>
  </si>
  <si>
    <t>CIRCULOS DE HOSPITALIDADE</t>
  </si>
  <si>
    <t>INSTITUTO TOTI</t>
  </si>
  <si>
    <t>INSTITUTO MIGRAÇÃO E DIREITOS HUMAN</t>
  </si>
  <si>
    <t>ADRA BRASIL REGIONAL RIO GRANDE DO</t>
  </si>
  <si>
    <t>Associacao Antonio Vieira</t>
  </si>
  <si>
    <t>CARITAS BRASILEIRA REGIONAL PARANA</t>
  </si>
  <si>
    <t>BESOURO AGENCIA DE FOMENTO SOCIAL L</t>
  </si>
  <si>
    <t>CN Phong TM VA CN TP.HCM (VCCI)</t>
  </si>
  <si>
    <t>LM.0379</t>
  </si>
  <si>
    <t>Migration, Livelihood and Social Cohesion Strategy for Ethnic Groups (Tribes and Indigenous Population) in Bangladesh</t>
  </si>
  <si>
    <t>PR# 4200364116</t>
  </si>
  <si>
    <t>REF# BD22-344/DHK PR# 4200364116</t>
  </si>
  <si>
    <t>LM.0460</t>
  </si>
  <si>
    <t>Supporting the Government of Viet Nam in the Digital Transformation of Labour through Enhancing Technical and Vocational Education and Training</t>
  </si>
  <si>
    <t>IP Agreement to conduct launching of the Official Integration of Safe Migration Module into National TVET Curriculum</t>
  </si>
  <si>
    <t>PIA TH059-2022  PR4200300175  Project: Enhancing Networking and Skills Development of Migrant Domestic Workers  Duration: shall commence the activities on August 24, 2022 and fully and satisfactorily complete them by August 23, 2023</t>
  </si>
  <si>
    <t>Implementing partner Legal assistance project for Haitian migrants, their families and the fight against human trafficking in the Dominican Republic. Aimed at 400 migrants and their families from which 5 institutions of the Dominican State will benefit (DGM, PGR, MIREX, CESFRONT, Dominican Navy). From February 1 to July 15, 2023.  The 1st installment will be payable after seven (7) days after the signing of this Agreement and when the OIM has received the request for payment of the Execution Couple.  The 2nd installment will be payable after seven (7) days after OIM has received and approved the interim financial reports report as described in clause 7, subject to receipt of the payment request and verification of successful completion of the following activities: I. work plan with schedule ii. Payroll of contracted personnel iii. interim financial report  The 3rd installment will be due seven (7) days after the final report is delivered and the project is completed.</t>
  </si>
  <si>
    <t>Implementing partner for Organization of Courses in ENM, Baseline Study and Organization of Event presentation study labor demand in tourism.</t>
  </si>
  <si>
    <t>M and E Consultants PSDHS</t>
  </si>
  <si>
    <t>Project implementation partner for support and promotion of capacity building for groups and network. From February 1 to July 15, 2023.  The 1st installment will be payable after seven (7) days after the signing of this Agreement and when the OIM has received the request for payment of the Execution Couple.  The 2nd installment will be payable after seven (7) days after OIM has received and approved the interim financial reports report as described in clause 7, subject to receipt of the payment request and verification of successful completion of the following activities: I. work plan with schedule ii. Payroll of contracted personnel iii. interim financial report  The 3rd installment will be due seven (7) days after the final report is delivered and the project is completed.</t>
  </si>
  <si>
    <t>LM.0491</t>
  </si>
  <si>
    <t>Supporting Safe and Orderly Migration from Kyrgyzstan and Tajikistan to the UK</t>
  </si>
  <si>
    <t>NGO Akhtari Bakht will support the PDO centre in Bokhtar to deliver PDO sessions for migrants travelling to the UK</t>
  </si>
  <si>
    <t>NGOs will support the PDO Centre in Khujand to deliver PDO sessions for migrants travelling to the UK</t>
  </si>
  <si>
    <t>NGO Femida will support the PDO centre in Dushanbe to deliver PDO sessions for migrants travelling to the UK</t>
  </si>
  <si>
    <t>NGO Madina will support the PDO Centre in Khorugh to deliver PDO sessions for migrants travelling to the UK</t>
  </si>
  <si>
    <t>CHISOMO COMMUNITY PROGRAMME</t>
  </si>
  <si>
    <t>MA.0513</t>
  </si>
  <si>
    <t>Southern Africa Tuberculosis and Health Systems Support Project (SATBHSS)</t>
  </si>
  <si>
    <t>4th Amendment: Agreement between IOM and Right to care. Tackling the Occupational Health Challenges Faced by Mozambican Miners and Migrant Workers  PR 4200431718</t>
  </si>
  <si>
    <t>RIGHT TO CARE-NPC</t>
  </si>
  <si>
    <t>special psycho-emotional support for children and young migrants in vulnerable situation</t>
  </si>
  <si>
    <t>MP.0248</t>
  </si>
  <si>
    <t>Prevention and Response to Acute Trafficking in People, Mental Health and Psychosocial Concerns in North-East Nigeria, Phase 2</t>
  </si>
  <si>
    <t>PR-4200414752 Requestor-Md. Alamgir MIAH Unit-MHD  Mukti (Feb,23 - Jun,23)</t>
  </si>
  <si>
    <t>PR-4200413891 Requestor-Md. Alamgir MIAH Unit-MHD  Bangla-German Sampreeti (BGS) Feb,23 - Jun,23.</t>
  </si>
  <si>
    <t>MP.0580</t>
  </si>
  <si>
    <t>Humanitarian Assistance for Myanmar Muslims from Rakhine State and Special At-Risk Groups in Thailand</t>
  </si>
  <si>
    <t>PR 4200408861</t>
  </si>
  <si>
    <t>International Detention Coalition</t>
  </si>
  <si>
    <t>Australia</t>
  </si>
  <si>
    <t>Asia Regional Migration Program.</t>
  </si>
  <si>
    <t>MS.0026</t>
  </si>
  <si>
    <t>Strengthening Capacities and Partnerships for Migration Management in Serbia</t>
  </si>
  <si>
    <t>NGO Be Active 16</t>
  </si>
  <si>
    <t>NGO CENTER FOR ACTIVISM VRANJE</t>
  </si>
  <si>
    <t>NGO CIM-Center F Youth Integration</t>
  </si>
  <si>
    <t>NGO CRPC-Crisis Response Policy Cen</t>
  </si>
  <si>
    <t>NGO Indigo</t>
  </si>
  <si>
    <t>NGO Atina</t>
  </si>
  <si>
    <t>NGO JRS Serbia</t>
  </si>
  <si>
    <t>NGO PIN Mreza psihosoc.inovacija</t>
  </si>
  <si>
    <t>NGO Ecumenical Humanitarian org.</t>
  </si>
  <si>
    <t>United Nations Economic and Social</t>
  </si>
  <si>
    <t>PB.0017</t>
  </si>
  <si>
    <t>Consolidate Cross-Border Social Cohesion between Côte D’Ivoire and Guinea for a Better Understanding and Anticipation of Risks and the Strengthening of Trust and Collaboration between Local Actors</t>
  </si>
  <si>
    <t>AIDE A LA FAMILLE AFRICAINE</t>
  </si>
  <si>
    <t>Implementing partner transfer for services for video production and COSA engagement for socio cultural activities</t>
  </si>
  <si>
    <t>COMMON THERAPY FOR COMMUNITY</t>
  </si>
  <si>
    <t>PB.0049</t>
  </si>
  <si>
    <t>Co-creating Peace: Participation of Diverse Young Women in the Urban-Rural and Indigenous Civic Space in Nariño and Cauca</t>
  </si>
  <si>
    <t>CONVENIO CM-356 FIP-003 12629137 FUNBIDESO FUND PARA EL BIENESTAR  TOTAL VALUE: COP 102.440.000 IOM CONTRIB: COP 100.000.000 FUN CONTRIB: COP   2.440.000</t>
  </si>
  <si>
    <t>FUNBIDESO FUND PARA EL BIENESTAR Y</t>
  </si>
  <si>
    <t>CONVENIO CM-356 FIP-002 12629138 ASOCIACION RED DEPARTAMENTAL DE JOV  TOTAL VALUE: COP 106.053.996 IOM CONTRIB: COP  92.253.996 FUN CONTRIB: COP  13.800.000</t>
  </si>
  <si>
    <t>ASOCIACION RED DEPARTAMENTAL DE JOV</t>
  </si>
  <si>
    <t>CONVENIO CM-356 FIP-004 12616503 CORPORACION SEDECOM  TOTAL VALUE: COP 264.694.000 IOM CONTRIB: COP 244.000.000 FUN CONTRIB: COP  20.694.000</t>
  </si>
  <si>
    <t>CONVENIO CM-356 FIP-004 12612860 CORPORACION SISMA MUJER  TOTAL VALUE: COP 230.000.000 IOM CONTRIB: COP 230.000.000 FUN CONTRIB: COP 0</t>
  </si>
  <si>
    <t>CORPORACION SISMA MUJER</t>
  </si>
  <si>
    <t>CONVENIO FIP-010-001 PB.0081 12627331 CORPORACION COLOMBIANA RECREANDO  TOTAL VALUE: COP 1.825.000.000 IOM CONTRIB: COP 1.825.000.000 FUN CONTRIB: COP 0</t>
  </si>
  <si>
    <t>Implementing Partner Agreement - Center for Democracy and Development (CDD) from 16th January 2023 to 15th July 2024  4200422211</t>
  </si>
  <si>
    <t>Implementing Partner Agreement; Conflict mitigation and community reconciliation in Northwest Nigeria  Payment Terms  As Per Contract Agreement and Deliverables  PR 4200424076</t>
  </si>
  <si>
    <t>Implementing Partner Agreement - Search for Common Ground (SFCG) - (COMITAS II)  PR:4200433559</t>
  </si>
  <si>
    <t>SEARCH FOR COMMON GROUND</t>
  </si>
  <si>
    <t>Implementing Partner Agreement - Mercy Corps (COMITAS II)  4200433407</t>
  </si>
  <si>
    <t>PE.0025</t>
  </si>
  <si>
    <t>Strengthening Government and Civil Society Capacity to Prevent Violent Extremism in Iraq</t>
  </si>
  <si>
    <t>PR#4200347340 Grant under Wasl Civil Society Fund for Al Jeel Organization for the duration 6 months Nov 2022- April 2023</t>
  </si>
  <si>
    <t>PR#4200311472 Grants for Wasl Civil Society Fund (Halabja, Hawija, Mosul)</t>
  </si>
  <si>
    <t>BUSTAN ASSOCIATION</t>
  </si>
  <si>
    <t>Freedom Foundation of Human Rights</t>
  </si>
  <si>
    <t>PR#4200337397 Developing engagement protocols for families and individuals exposed to VEOs</t>
  </si>
  <si>
    <t>PO.0165</t>
  </si>
  <si>
    <t>Evidence-Based Migration Policy Planning and Discourse in North Macedonia</t>
  </si>
  <si>
    <t>North Macedonia</t>
  </si>
  <si>
    <t>1.2.2.2 Piloting of the migration module - by the State Statistical Office (SSO) implementation agreement (IA) activities as per PR 4200408256</t>
  </si>
  <si>
    <t>Drzaven zavod za statistika</t>
  </si>
  <si>
    <t>Maroc Solidarité Médico-Sociale (MS</t>
  </si>
  <si>
    <t>PX.0092</t>
  </si>
  <si>
    <t>Enhancing Protection and Prevention against Human Trafficking</t>
  </si>
  <si>
    <t>KAFA (enough) Violence and exploita</t>
  </si>
  <si>
    <t>PX.0246</t>
  </si>
  <si>
    <t>Informing on Risks of Irregular Migration and Promoting Safe Migration Though the Strengthening of Community Engagement in Transit Countries Along Central and Western Mediterranean Routes</t>
  </si>
  <si>
    <t>Organizing awareness raising activities and writing workshop for students in high school</t>
  </si>
  <si>
    <t>Traversees Mauritanides</t>
  </si>
  <si>
    <t>IP - To provide legal assistance to vulnerable migrants including returnees in Jimma.</t>
  </si>
  <si>
    <t>Jimma University Legal Aid Centre</t>
  </si>
  <si>
    <t>IP - To provide legal assistance to vulnerable migrants including returnees in Gondar.</t>
  </si>
  <si>
    <t>Gondar University</t>
  </si>
  <si>
    <t>Reintegration assistance for vulnerable group women (3 beneficiaries) to organize income-generation activities</t>
  </si>
  <si>
    <t>IP -Training on IGA - Victims GBV/SEA</t>
  </si>
  <si>
    <t>REZO FANM KAPAB DAYITI</t>
  </si>
  <si>
    <t>PX.0336</t>
  </si>
  <si>
    <t>Strengthening Survivor Protection and Services</t>
  </si>
  <si>
    <t>IP Agreement - IOM-IJM  Strengthening survivor protection and services  Duration: 1 October 2022 to 31 January 2025  LEG Advisory Code: KHM/IMPL/CC0095/2022</t>
  </si>
  <si>
    <t>International Justice Mission</t>
  </si>
  <si>
    <t>HATINH DOLISA</t>
  </si>
  <si>
    <t>Prevention of Trafficking in Persons and Other Protection Risks of Vulnerable Conflict-Affected Men, Women, Boys and Girls in Ukraine</t>
  </si>
  <si>
    <t>IP_National_Toll-Free_CT_Mugrant advice Hotline</t>
  </si>
  <si>
    <t>PX.0350</t>
  </si>
  <si>
    <t>Assistance and Protection for Irregular Migrants and Their Communities in Lebanon</t>
  </si>
  <si>
    <t>IP.2023.010 - IP Manipure ACUERDO DE IMPLEMENTACIÓN DE PROYECTO entre la Organización Internacional para las Migraciones (OIM) y Fundación Proyecto Maniapure Relativo a "Sensibilizaciones comunitarias y capacitaciones sobre prevención de trata de personas</t>
  </si>
  <si>
    <t>IP.2023.011 - IP Aseinc ACUERDO DE IMPLEMENTACIÓN DE PROYECTO entre la Organización Internacional para las Migraciones (OIM)y ASEINC Relativo a "Asistencia a víctimas de trata o de algún tipo de violencia identificadas en los estados Amazonas,Apure y Sucr</t>
  </si>
  <si>
    <t>IP.2023.013 - Caritas Carupano CERF ACUERDO DE IMPLEMENTACION DE PROYECTO entre la Organizacion Internacional para las Migraciones y Asociacion Civil Caritas de Venezuela Relativo a "SENSIBILIZACION Y CONCIENTIZACION SOBRE LA PREVENCION DE TRATA, VIOLENCI</t>
  </si>
  <si>
    <t>IP_Ensuring comprehensive protection response_Vinnytska obl.</t>
  </si>
  <si>
    <t>IP_Ensuring_comprehensive protection response_Odesa onl.</t>
  </si>
  <si>
    <t>IP_provision_protection response_Volyn obl.</t>
  </si>
  <si>
    <t>IP_NGO_Ensuring comprehensive response_Ivano-Frankivsk obl.- 3d installment</t>
  </si>
  <si>
    <t>IP_Ensuring_comprehensive protection response_Rivne reg.</t>
  </si>
  <si>
    <t>UA1-2023-13019_Early prevention of human trafficking and exploitation among children aged</t>
  </si>
  <si>
    <t>NGO Child Well-Being Fund Ukraine</t>
  </si>
  <si>
    <t>RA.0054</t>
  </si>
  <si>
    <t>Voluntary Humanitarian Return for Third Country Nationals Fleeing Ukraine to Neighboring Countries</t>
  </si>
  <si>
    <t>ASOCIATIA PROIECT VOIAJOR</t>
  </si>
  <si>
    <t>REFUGEE AFFAIRS SECRETARIAT</t>
  </si>
  <si>
    <t>RR.0027</t>
  </si>
  <si>
    <t>Individual Measure for the EU-IOM Joint Initiative in Sub-Saharan Africa</t>
  </si>
  <si>
    <t>Reque for payment of the invoices of the General Direction of Civil Protection for the support and costs of making available</t>
  </si>
  <si>
    <t>MPRR Request for payment of the invoices of General Direction of Civil Protection for support and costs of making available twelve</t>
  </si>
  <si>
    <t>MPRR Expenses from the DGPC for all cost support for SAR/ for first rotation PR N°4200431054</t>
  </si>
  <si>
    <t>FUNDACION AYUDA EN ACCION</t>
  </si>
  <si>
    <t>RR.0273</t>
  </si>
  <si>
    <t>Return and Reintegration Assistance to Trafficked Victims in Japan</t>
  </si>
  <si>
    <t>PR No.: 4200398697 Activity Grant to Batis Center to implement Social Enterprise Activity to former RRATVJ Benefs  with signed Implementation Agreement</t>
  </si>
  <si>
    <t>BATIS CENTER FOR WOMEN</t>
  </si>
  <si>
    <t>RR.0289</t>
  </si>
  <si>
    <t>Pillar 1: Enhanced Voluntary Return Assistance for Vulnerable Migrants in Lebanon</t>
  </si>
  <si>
    <t>Provision of Critical Shelter and Non-Food Items Assistance to Displaced Populations in Yemen-2021</t>
  </si>
  <si>
    <t>IP,SNFI,IOM       IP Prepositioning and Distribution of 253 (ESKs &lt;(&gt;&amp;&lt;)&gt; NFIs ) in Al-wadi Camp Abyan _DO org. ----------------------------------------------------------------------- 4200408716</t>
  </si>
  <si>
    <t>IP (HRF) Warehousing Agreement Extension for 3 months until May 2023_ SFI22_085_ Aden SAP PR: 4200419044  DLEIVERY ADDRESS: Yemen - Aden - Al Solban  FOCAL POINT: BINSHUAIB Aseel - TEL: 779181643</t>
  </si>
  <si>
    <t>IP grant SFI23_087_ Prepositioning, Distribution and transportation of 104 Emergency Shelter Kits (ESKs) in Hays _WC through YRC org SAP PR: 4200408609  DELIVERY ADDRESS: Hays, West Coast  FOCAL POINT: Anas Qasem - Email: amohammedqasem@iom.int</t>
  </si>
  <si>
    <t>Yemeni Response Council</t>
  </si>
  <si>
    <t>YRC- IP Distribution &lt;(&gt;&amp;&lt;)&gt; Transporation of 16 NFI &lt;(&gt;&amp;&lt;)&gt; 323 ESK in Hays - Al Hudaydah SAP PR: 4200359234  DELIVERY ADDRESS: Hays, West Coast  FOCAL POINT: Anas Qasem - Email: amohammedqasem@iom.int</t>
  </si>
  <si>
    <t>UA1-2023-13015I_P service for 2nd distribution of NFI to Sumy, Kyiv, Cherkasy, Lviv, Mykolaiv oblast</t>
  </si>
  <si>
    <t>HO ROTARI KLUB KYIV INTERNESHENAL</t>
  </si>
  <si>
    <t>IP service_Winter in Hospitals_UA Brokers without Borders</t>
  </si>
  <si>
    <t>IOM Ukraine Winterization Strategy</t>
  </si>
  <si>
    <t>UA1-2023-8098_IP services for distribution of items in Khersonska Oblast</t>
  </si>
  <si>
    <t>UA1-2023-13014_IP services for the 3d distribution of items in CCs of Kyivska OBlast</t>
  </si>
  <si>
    <t>SN.0187</t>
  </si>
  <si>
    <t>Winterization Support for Conflict-Affected Populations in Remote and Rural Areas in Ukraine</t>
  </si>
  <si>
    <t>Heating appliances distribution by NGO Implementation of ideas</t>
  </si>
  <si>
    <t>IP services_Heating appliances distribution by NGO Posmishka UA</t>
  </si>
  <si>
    <t>IP services_ Heating appliances distribution</t>
  </si>
  <si>
    <t>CF NEW WAY</t>
  </si>
  <si>
    <t>SN.0190</t>
  </si>
  <si>
    <t>Multisectoral Humanitarian Assistance for People Affected by Ancuabe Attacks in Cabo Delgado</t>
  </si>
  <si>
    <t>Value of PO/Contract per Project (USD)</t>
  </si>
  <si>
    <t>Total Value of PO/Contract (USD)</t>
  </si>
  <si>
    <t xml:space="preserve"> Grant_SME Boost_LLC "Brand Roomio", Lviv region</t>
  </si>
  <si>
    <t>Grant Awards</t>
  </si>
  <si>
    <t>LLC BREND ROOMIO</t>
  </si>
  <si>
    <t xml:space="preserve"> Grant_SME Boost_PE Pyvovar Serhii, Lviv</t>
  </si>
  <si>
    <t>PE Pyvovar Serhii L.</t>
  </si>
  <si>
    <t xml:space="preserve"> Grant_SME Boost_PE Liubchenko Vladyslav, Lviv</t>
  </si>
  <si>
    <t>PE Liubchenko Vladyslav V.</t>
  </si>
  <si>
    <t xml:space="preserve"> Grant_SME Boost_## SPO Melitopolproekt engineering, Zaporizhya region</t>
  </si>
  <si>
    <t>PE SPO MELITOPOLPROEKT ENGINEERING</t>
  </si>
  <si>
    <t xml:space="preserve"> UA1-2022-5615_Grant_SME Boost_PE BONDAR V.V._Zakarpattia</t>
  </si>
  <si>
    <t>PE Bondar Valerii V.</t>
  </si>
  <si>
    <t xml:space="preserve"> UA1-2022-5628_Grant_SME Boost_LLC KYIVTEKHMET</t>
  </si>
  <si>
    <t>LLC KYIVTEKHMET</t>
  </si>
  <si>
    <t xml:space="preserve"> Implementation of the SME boost grant projectEnter text here...</t>
  </si>
  <si>
    <t>PP NVF KVOTA</t>
  </si>
  <si>
    <t xml:space="preserve"> Hiring of Implementing partners for provision of logistical and technical support to IOM within the project "Support to Displaced Af ghans in Pakistan, Iran, Central Asia, and Afghanistan”  Reference Documents: PR No.: 4200302087 dated 04 August 2022 Pro</t>
  </si>
  <si>
    <t xml:space="preserve"> Hiring of Implementing partners for provision of logistical and technical support to IOM within the project "Support to Displaced Af ghans in Pakistan, Iran, Central Asia, and Afghanistan"  Reference Documents: PR No.: 4200302087 dated 04 August 2022 Pro</t>
  </si>
  <si>
    <t>DP.2423</t>
  </si>
  <si>
    <t>Emergency Multi-Purpose Cash Assistance to Vulnerable Households in Tonga</t>
  </si>
  <si>
    <t>Tonga</t>
  </si>
  <si>
    <t xml:space="preserve"> Interim Report</t>
  </si>
  <si>
    <t>MORDI Tonga Trust</t>
  </si>
  <si>
    <t>DP.2452</t>
  </si>
  <si>
    <t>Lifesaving Assistance for Conflict-Affected People in Ukraine and Neighbouring Countries</t>
  </si>
  <si>
    <t xml:space="preserve"> Implementing partner agreement as per PR 4200245571</t>
  </si>
  <si>
    <t>Unitatem Foundation</t>
  </si>
  <si>
    <t>IP - Agreement - The Central Council of Roma</t>
  </si>
  <si>
    <t xml:space="preserve"> Grant to implementing partner</t>
  </si>
  <si>
    <t>Movement of Medical Workers</t>
  </si>
  <si>
    <t xml:space="preserve"> GRANT No.35 DE 2022 35 CM 356 FC.0180 FC.0174 12628916 COOPERATIVA MULTIACTIVA DE PAZ DEL  TOTAL VALUE: COP 367.706.770 IOM CONTRIB: COP 367.706.770</t>
  </si>
  <si>
    <t>COOPERATIVA MULTIACTIVA DE PAZ DEL</t>
  </si>
  <si>
    <t>FC.0180</t>
  </si>
  <si>
    <t>Peace and Reconciliation Environments</t>
  </si>
  <si>
    <t xml:space="preserve"> GRANT 32 DE 2022 CM-356 FC.0180 12628790 COOPERATIVA MULTIACTIVA MEMORIA, VI TOTAL VALUE: COP 211.998.032 IOM CONTRIB: COP 211.998.032</t>
  </si>
  <si>
    <t>COOPERATIVA MULTIACTIVA MEMORIA, VI</t>
  </si>
  <si>
    <t xml:space="preserve"> Prestation de service pour la formation de 143 beneficaires en auto-ecole dans le cadre de Projet PREC 2 a Bangui - Kaga Bandoro et Bria. PR# 4200219063</t>
  </si>
  <si>
    <t>SIDYSEYA SURL</t>
  </si>
  <si>
    <t>Central African Rep</t>
  </si>
  <si>
    <t>IB.0238</t>
  </si>
  <si>
    <t>Strengthen Border Management and Security in Mali and Niger through Capacity Building of Border Authorities and Enhanced Dialogue with Border Communities</t>
  </si>
  <si>
    <t xml:space="preserve"> Achat de Kits - Boucherie/rôtisserie pour 1 bénéficiaire - Lot 2</t>
  </si>
  <si>
    <t>ZAMANI</t>
  </si>
  <si>
    <t xml:space="preserve"> Achat de Kits - Cyber pour 5 bénéficiaires - Lot 5</t>
  </si>
  <si>
    <t>KBC SERVICE</t>
  </si>
  <si>
    <t>IS.0010</t>
  </si>
  <si>
    <t>Development Pillar to Support the Regional Development and Protection Programme (RDPP) in North Africa</t>
  </si>
  <si>
    <t xml:space="preserve"> (a) Le premier versement de 3,259 EUR (Trois mille deux cent cinquante-neuf euros) sera exigible a la signature du present accord et a la reception par l'OIM de la demande de paiement du partenaire d'execution.</t>
  </si>
  <si>
    <t>ASSOC PATRIMOIN PR ECO SOLI</t>
  </si>
  <si>
    <t xml:space="preserve"> GRANT CM-356 FIP-001 PB 0040 12614593 FUNDEURCA  TOTAL VALUE: COP 128.220.000 IOM CONTRIB: COP 109.980.000 FUN CONTRIB: COP 18.240.000</t>
  </si>
  <si>
    <t>FUNDEURCA</t>
  </si>
  <si>
    <t xml:space="preserve"> GRANT CM-356 FIP-002 PB 0049 12629122 CORPORACION DE MUJERES ECOFEMINISTA  TOTAL VALUE: COP 205.095.000 IOM CONTRIB: COP 187.095.000 FUN CONTRIB: COP 18.000.000</t>
  </si>
  <si>
    <t>CORPORACION DE MUJERES ECOFEMINISTA</t>
  </si>
  <si>
    <t xml:space="preserve"> GRANT CM-356 FIP-003 PB 0049 12615268 CORPORACION OTRA ESCUELA  TOTAL VALUE: COP 253.225.500 IOM CONTRIB: COP 199.978.500 FUN CONTRIB: COP  53.250.000</t>
  </si>
  <si>
    <t>CORPORACION OTRA ESCUELA</t>
  </si>
  <si>
    <t xml:space="preserve"> Third-Party Monitoring &amp; Evaluation Service Provider for CSO grants (PVE/Wasl)</t>
  </si>
  <si>
    <t>Stoos Company</t>
  </si>
  <si>
    <t>PX.0362</t>
  </si>
  <si>
    <t>2021 IOM Belarus Response Plan covering November 1, 2021 to April 30, 2023</t>
  </si>
  <si>
    <t xml:space="preserve"> LAst Payment according to 5th amendment</t>
  </si>
  <si>
    <t>Croissant Rouge Tunisien</t>
  </si>
  <si>
    <t>SN.0195</t>
  </si>
  <si>
    <t>Shelter and Non-food Items Emergency Assistance to Affected People in Batken Region of the Kyrgyz Republic</t>
  </si>
  <si>
    <t xml:space="preserve"> Grant to National Implementing Partner PF "Ulybka" to carry out NFIs distribution. Agreement 2022_NFI/02. Project code: SN.0195/ DP.2533.</t>
  </si>
  <si>
    <t>000000000500000132-Grants Recipients - National CSOs</t>
  </si>
  <si>
    <t xml:space="preserve">Year </t>
  </si>
  <si>
    <t xml:space="preserve"> IP for the implementation of the project ""Supporting the Greek Authorities in Managing the National Reception System for Asylum Seekers and Vulnerable Migrants (SMS 2020)"</t>
  </si>
  <si>
    <t xml:space="preserve"> IP for the Implementation of the project "Supporting the Greek Authorities in Managing the National Reception System for Asylum Seekers and Vulnerable Migrants (SMS)"</t>
  </si>
  <si>
    <t xml:space="preserve"> IP (TDH-CP) for the implementation of the project  "Supporting the Greek Authorities in Managing the National Reception System forAsylum Seekers and Vulnerable Migrants (SMS)</t>
  </si>
  <si>
    <t>TERRE DES HOMMES HELLAS</t>
  </si>
  <si>
    <t xml:space="preserve"> IP for the implementation of the program "Supporting the Greek Authorities in Managing the National Reception System for Asylum Seekers and Vulnerable Migrants (SMS)"</t>
  </si>
  <si>
    <t xml:space="preserve"> IP (Metadrasi) for the project "Supporting the Greek Authorities in Managing the National Reception System for Asylum Seekers and Vulnerable Migrants (SMS)"</t>
  </si>
  <si>
    <t>METADRASI (Implementing Partner)</t>
  </si>
  <si>
    <t xml:space="preserve"> IP (ASB) for the implementation of the project "Supporting the Greek Authorities in Managing the National Reception System for Asylum Seekers and Vulnerable Migrants (SMS)".</t>
  </si>
  <si>
    <t>ARBEITER SAMARITER BUND DEUTSCHLAND</t>
  </si>
  <si>
    <t>CC.0038</t>
  </si>
  <si>
    <t>Provision of Critical Camp Management Services in North-East Nigeria to Improve Living Conditions in Camp and Camp-like Settings during the Rainy Season.</t>
  </si>
  <si>
    <t xml:space="preserve"> Provision of Critical Camp Management Service in North-east Nigeria to Improving Living conditions in Camp and Camp-like Setting durring rainy season PR Ref: 4200363263 Contract Ref: NGA22-040/MDG</t>
  </si>
  <si>
    <t>CC.0049</t>
  </si>
  <si>
    <t>Addressing Humanitarian Needs of Internally Displaced Persons (IDPs) in Port-au-Prince and Providing Emergency Assistance to People Affected by the Earthquake</t>
  </si>
  <si>
    <t xml:space="preserve"> Support ops capacity local partner health</t>
  </si>
  <si>
    <t>Mouvman Fanm Vizyone Dayiti MOFAVID</t>
  </si>
  <si>
    <t xml:space="preserve"> Support ops capacity local prtnr health</t>
  </si>
  <si>
    <t>COMPLEXE DE SERVICE COMMUNAUTAIRE</t>
  </si>
  <si>
    <t xml:space="preserve"> IP for Konpayi Nanm Soley Dayiti for wash activities in ZMPP</t>
  </si>
  <si>
    <t>KONPAYI NANM SOLEY DAYITI</t>
  </si>
  <si>
    <t xml:space="preserve"> IP with LIDEE for wash activities in ZMPP</t>
  </si>
  <si>
    <t>LIGUE INTERSCOLAIRE (LIDEE)</t>
  </si>
  <si>
    <t>CC.0050</t>
  </si>
  <si>
    <t>Improving the Well-Being of Persons with Disabilities in Camp and Camp-like Settings</t>
  </si>
  <si>
    <t xml:space="preserve"> PO was raised for the purpose of payment, as  transaction could not be posted through FB60, since the vendor was created as an IP</t>
  </si>
  <si>
    <t>UNIVERSITY OF MAIDUGURI TEACHING</t>
  </si>
  <si>
    <t>CC.0053</t>
  </si>
  <si>
    <t>Camp Coordination and Camp Management and Emergency Shelter and Non-Food Items (NFI) Assistance for Conflict Affected Populations in Northern Ethiopia</t>
  </si>
  <si>
    <t xml:space="preserve"> IP Transfer ... Providing emergency shelter non food items kits (ESNFI)for 2,000 IDPs in Eokota Town, Wag Hemra Zone, Amhara region state at a total amount USD 54,071.50.  Reference;- PR-4200201538 PIA NO-ETH/ADD/FEB/990/2022.</t>
  </si>
  <si>
    <t xml:space="preserve"> Service for: C/GOJ/ECHO -Cash for Rent Response for Woldiya and mersa Woreda in North Wollo Zone of Amhara Region for 3,500 HHs (17,500 family members) based on the agreement between International Organization for Migration (IOM) and the Implementing Par</t>
  </si>
  <si>
    <t>CARE Inc.</t>
  </si>
  <si>
    <t xml:space="preserve"> IP - Emergency shelter response - Cash rent - In Amhara region for 1,000 Households (5,000 Individuals)  Reference- PR-4200220795 Agreement- ETH/ADD/MARCH/1013/2022</t>
  </si>
  <si>
    <t xml:space="preserve"> IP - Live saving emeergency shelter and NFI assistance for conflict affected displaced communities in Berahale of Afar region.  Reference- PR-4200212270 Agreement-ETH/ADD/MARCH/1002/2022</t>
  </si>
  <si>
    <t xml:space="preserve"> Emergency NFI support for IDPs Hintalo and Adigerat for 3400 household at the total amount of 213,383.00 USD PRF#4500206584</t>
  </si>
  <si>
    <t xml:space="preserve"> SNFI0099 - IP LWF Life-saving assistance through emergency NFIs to IDP Households in Abergele Woreda of Central Zone in the Tigray Region</t>
  </si>
  <si>
    <t xml:space="preserve"> PIA Referance ETH/ADD/June/1055/2022 PO created for MIGO/MIRO</t>
  </si>
  <si>
    <t>Danish refugee Council (DRC)</t>
  </si>
  <si>
    <t>CC.0055</t>
  </si>
  <si>
    <t>Integrated Assistance in CCCM/NFI/Shelter Targeting Displaced Populations in Sites/Locations and Those of Recent Shocks in the Prefectures of Ouham Pende, Ouham, Bamingui Bangoran and Basse Kotto</t>
  </si>
  <si>
    <t xml:space="preserve"> Contrat IP projet de mise en place des mecanismes de redevabilité a Paoua, Ndele et Bocaranga.  PR# 4200233579</t>
  </si>
  <si>
    <t>CINEMA NUMERIQUE AMBULANT RCA</t>
  </si>
  <si>
    <t xml:space="preserve"> Round 15 DTM contrat partenaire ouham Bangui Ombrella Mpoko and Nana Mambere pr# 4200219841 / 4200236460</t>
  </si>
  <si>
    <t xml:space="preserve"> Mobility tracking a Ouham</t>
  </si>
  <si>
    <t>VISION ENFANT REPUBLIQUE CENTRAFRIC</t>
  </si>
  <si>
    <t xml:space="preserve"> Distribution kit shelter a Alidao. P#4200314495</t>
  </si>
  <si>
    <t xml:space="preserve"> DTM activity a Basse Kotto</t>
  </si>
  <si>
    <t>CC.0062</t>
  </si>
  <si>
    <t>Wellbeing of Populations Affected is Strengthened through Camp Coordination and Camp Management (CCCM) Support to IDPs and Host Community.</t>
  </si>
  <si>
    <t xml:space="preserve"> PO Created for MIGO/MIRO Purpose pls refer PIA EDD/ADD/June/1056/2022</t>
  </si>
  <si>
    <t>March 15, 2022-March 14, 2023.  Capacity building of Morocco youth</t>
  </si>
  <si>
    <t>ASSOCIATION ACADEMY OF CHANGE</t>
  </si>
  <si>
    <t>March 07, 2022 to June 30, 2023.  Capacity building of Tetouan municipality</t>
  </si>
  <si>
    <t>Oct. 01, 2022 - Sept 30, 2023. Appropriate services to marginalized youth</t>
  </si>
  <si>
    <t>Association Anciens Eleves de Fnide</t>
  </si>
  <si>
    <t>Association Al Amal</t>
  </si>
  <si>
    <t>AESVT-AL Hoceima</t>
  </si>
  <si>
    <t>Association régionale l'UNFM</t>
  </si>
  <si>
    <t xml:space="preserve"> Project Implementation Agreement between IOM and FUNDESPA - Contract B2</t>
  </si>
  <si>
    <t xml:space="preserve"> SOCIO IMPLEMENTADOR PARA INTEGRACIÓN ECONÓMICA, EMPODERAMIENTO ECONÓMICO DE LA MUJER 30 MUJERES PR 4200217915</t>
  </si>
  <si>
    <t>FUNDACION CALICANTO</t>
  </si>
  <si>
    <t xml:space="preserve"> IP:Research services</t>
  </si>
  <si>
    <t>QURE Limited</t>
  </si>
  <si>
    <t>Trinidad &amp; Tobago</t>
  </si>
  <si>
    <t xml:space="preserve"> Final installment</t>
  </si>
  <si>
    <t>Freely Give Foundation</t>
  </si>
  <si>
    <t xml:space="preserve"> 1ST INSTALLMENT</t>
  </si>
  <si>
    <t xml:space="preserve"> 3rd Installment</t>
  </si>
  <si>
    <t>Brechin Castle Utd Yth Empowerment</t>
  </si>
  <si>
    <t>000000000500000124-IP transfers – National CSOs</t>
  </si>
  <si>
    <t xml:space="preserve"> Transfert des fonds de formation techniques pour le projet IDEE PRF/4200264112</t>
  </si>
  <si>
    <t>CD.0062</t>
  </si>
  <si>
    <t>United Nations Pilot Project for Strengthening Migrant Integration and Social Cohesion through Stakeholders’ Engagement, Socio-Economic Activities and Countering Anti-Migrant Narratives in South Africa</t>
  </si>
  <si>
    <t xml:space="preserve"> Contracting of Implementing Partner (IP) Zoe Life</t>
  </si>
  <si>
    <t>ZOE LIFE INNOVATIVE SOLUTIONS</t>
  </si>
  <si>
    <t xml:space="preserve"> Pago tercera cuota, se cancelará 6 meses después de la firma de los Acuerdos. Con productos entregables que se derivan de lasiguiente manera: P3: Informes técnicos trimestrales de los programas formativos que  incluyan rendimientos académicos, asistencia</t>
  </si>
  <si>
    <t xml:space="preserve"> Pago de primera cuota, que deberá contener: plan de trabajo, y cronograma que refleje el cumplimiento de los TDR y el producto 2: informes de actividades de promoción, difusión e inscripción de participantes.  PR-4200223962 BECAS SEDES SANTA ANA- ZACATEC</t>
  </si>
  <si>
    <t xml:space="preserve"> Pago de primera cuota, se cancelará 15 días después de la firma de los Acuerdos.  Los entregables deberán de contener:  P1: Plan de  trabajo, y cronograma que refleje el cumplimiento de los TDR y el P2: informes de actividades de promoción, difusión e in</t>
  </si>
  <si>
    <t xml:space="preserve"> Pago segunda cuota, se cancelará 3 meses después de la firma de los Acuerdos. Con productos entregables que se derivan de la siguiente manera: P3. Informe técnico trimestral de los programas formativos que incluya rendimientos académicos, asistencias a c</t>
  </si>
  <si>
    <t xml:space="preserve"> Pago de primera cuota, se cancelará 15 días después de la firma de los Acuerdos. Los entregables deberán de contener: P1A: Plan detrabajo y cronograma;  propuesta de inducción que incluya actividades de sensibilización en temas transversales como género,</t>
  </si>
  <si>
    <t>UNIVERSIDAD DON BOSCO</t>
  </si>
  <si>
    <t xml:space="preserve"> Pago de primera cuota, se cancelará 15 días después de la firma de los Acuerdos. Los entregables deberán de contener: P1A: Plan detrabajo y cronograma; propuesta de inducción que incluya actividades de sensibilización  en temas transversales como género,</t>
  </si>
  <si>
    <t xml:space="preserve"> Pago de primera cuota, se cancelará 15 días después  de la firma de los Acuerdos. Los entregables deberán  de contener: P1A: Plan detrabajo y cronograma; propuesta de inducción que incluya actividades de sensibilización en temas transversales como género</t>
  </si>
  <si>
    <t>FUNDACION PARA LA EDUCACION INTEGRA</t>
  </si>
  <si>
    <t xml:space="preserve"> Pago de primera cuota, se cancelará 15 días después de la firma de los Acuerdos. Los entregables deberán  de contener: P1A: Plan detrabajo y cronograma; propuesta de inducción que incluya actividades de sensibilización en temas transversales como género,</t>
  </si>
  <si>
    <t>CD.0070</t>
  </si>
  <si>
    <t>Consolidating the Reintegration Achievements of Senegalese Returned Migrants through Integrated Support to Micro and Small Enterprises</t>
  </si>
  <si>
    <t xml:space="preserve"> PLANNING PREPARATION AND ORGANSATION SERVICES OF THE GREEN JOB FAIR IN TAMBA</t>
  </si>
  <si>
    <t xml:space="preserve"> Implementation partner services for the participation of 2000 returned migrants in the green job fair.</t>
  </si>
  <si>
    <t>CABINET RH CONSULTING</t>
  </si>
  <si>
    <t xml:space="preserve"> PR NO. (4200284541) UA1-2022-3021-NGO Small and Medium Business Support Consulting Center-Go-Adapt Business Forum  Type of contract signed: Project Implementation Agreement Mission LEG Approval Code: UKR/SS/VI312/2022  PO is for internal use  - financial</t>
  </si>
  <si>
    <t>NGO SAMBS CC UA</t>
  </si>
  <si>
    <t xml:space="preserve"> UA1-2022-3065_IP services_Organisation of off-line event for business in Chernihiv_Nov, 2022</t>
  </si>
  <si>
    <t>REGIONAL DEVELOPVENT AGENCY</t>
  </si>
  <si>
    <t xml:space="preserve"> (IP) Proyecto de fortalecimiento de capacidades de la Cámara de Empresarios Venezolanos en el Exterior PR 4200245125</t>
  </si>
  <si>
    <t>Camara de Empresarios Panamena Vene</t>
  </si>
  <si>
    <t xml:space="preserve"> SOCIO IMPLEMENTADOR PARA INTEGRACIÓN ECONÓMICA, ACELERACIÓN DE NEGOCIOS. PR 4200217949 ADENDA PR 4200217949 SOCIO IMPLEMENTADOR PARA INTEGRACIÓN ECONÓMICA, ACELERACIÓN DE NEGOCIOS PR 4200329784 alcance</t>
  </si>
  <si>
    <t xml:space="preserve"> Document on Regularization Processes PR-4200257295</t>
  </si>
  <si>
    <t>MIGRATION POLICY INSTITUTE</t>
  </si>
  <si>
    <t xml:space="preserve"> IP Study of Employability in the Private Sector in urban areas of Latin America PR-4200269224</t>
  </si>
  <si>
    <t>Universidad Nacional de Tres de Feb</t>
  </si>
  <si>
    <t>CE.0363</t>
  </si>
  <si>
    <t>Increasing the Developmental Impact of Labour Migration through Strengthened Governance and Partnership</t>
  </si>
  <si>
    <t xml:space="preserve"> Implementation agreement for Twe Let project WBS: CE.0363 -  15 Lines YGN_PR_4200184241</t>
  </si>
  <si>
    <t>Centre for Economic &amp; Social Develo</t>
  </si>
  <si>
    <t xml:space="preserve"> Emergency Responses Activities) in Magway Region (April-May 2022)</t>
  </si>
  <si>
    <t>Social Care Volunteer Group</t>
  </si>
  <si>
    <t>CS.0420</t>
  </si>
  <si>
    <t>Supporting Community Stabilization in Communities of Return and Displacement in Iraq</t>
  </si>
  <si>
    <t xml:space="preserve"> Frist payment for the signed agreement of return and durable solutions profile assessments.</t>
  </si>
  <si>
    <t>IMPACT Initiatives</t>
  </si>
  <si>
    <t xml:space="preserve"> First  payment for the signed IP agreement of enhancing safe access government services, freedom of movement, civil documentation, housing land and property (HLP) in Ramadi and Fallujah.</t>
  </si>
  <si>
    <t>IRAQ ORGANIZATION FOR WOMEN &amp; FUTUR</t>
  </si>
  <si>
    <t xml:space="preserve"> First payment for the signed implementing partner agreement for Thematic round tables on prosecution, rehabilitation and/ or reintegration practices.</t>
  </si>
  <si>
    <t>CS.0532</t>
  </si>
  <si>
    <t>Mitigating the Potential for Tension and Conflict in Areas Impacted by the Refugee Influx in Sudan</t>
  </si>
  <si>
    <t xml:space="preserve"> Two PRs :4200241783             &lt;(&gt;&amp;&lt;)&gt;          4200334697</t>
  </si>
  <si>
    <t xml:space="preserve"> Two PRs No: 4200241789                 &lt;(&gt;&amp;&lt;)&gt;             4200334697</t>
  </si>
  <si>
    <t>CS.0654</t>
  </si>
  <si>
    <t>Support Livestock Mobility through the Optimization of Cross-Border and Local Consultation Frameworks and the Delivery of Assistance in Time of COVID-19</t>
  </si>
  <si>
    <t xml:space="preserve"> Financial support _ Maradi Round Tables workshop (IP RBM) for the launch of activities_ New Transhumance Project _ CS.0654  PRF/4200227955</t>
  </si>
  <si>
    <t>CS.0800</t>
  </si>
  <si>
    <t>Multi-Sector Support to Return and Reintegration of Migrants in Iraq</t>
  </si>
  <si>
    <t xml:space="preserve"> First payment for implementing partner agreement of "Enhancing youth role in Policymaking".</t>
  </si>
  <si>
    <t>PLATFORM CENTER FOR SUSTAINABLE DEV</t>
  </si>
  <si>
    <t>CS.0851</t>
  </si>
  <si>
    <t>Early Childhood Development in Migration Context</t>
  </si>
  <si>
    <t xml:space="preserve"> CONVENIO PDR 0017-01 DE 2022 CS.0851 12623516 FUNDACION SIGNIFICARTE (IP)  TOTAL VALUE: COP 312.000.000 IOM CONTRIB: COP 312.000.000</t>
  </si>
  <si>
    <t>FUNDACION SIGNIFICARTE (IP)</t>
  </si>
  <si>
    <t>SECRETARIADO PASTORAL SOCIAL CARITA</t>
  </si>
  <si>
    <t xml:space="preserve"> CONVENIO PDR-0017-03 DE 2022 CS.0851 12628964 NU3  TOTAL VALUE: COP 120.000.000 IOM CONTRIB: COP 120.000.000</t>
  </si>
  <si>
    <t>NU3</t>
  </si>
  <si>
    <t>CS.0982</t>
  </si>
  <si>
    <t>Strengthening Sustainable Pacific Coexistence and the Empowerment of Displaced Youth in the Communes of Littoral and Western Regions of Cameroon</t>
  </si>
  <si>
    <t>ASSOCIATION HORIZONS FEMMES</t>
  </si>
  <si>
    <t>Mother of Hope Cameroon</t>
  </si>
  <si>
    <t>Association Femmes Et Enfants</t>
  </si>
  <si>
    <t>CS.0990</t>
  </si>
  <si>
    <t>Community Violence Reduction and Stabilization of Communities at High Risk</t>
  </si>
  <si>
    <t xml:space="preserve"> Prestation de service pour les activites de facilitationde l'acces aux communautes eligibles aux projets dans la zone de Paoua et Bocaranga du 01.09.2021 au 31.08.2022 PR# 4200117545</t>
  </si>
  <si>
    <t>CS.0993</t>
  </si>
  <si>
    <t>Community Stabilization Activity (CSA)</t>
  </si>
  <si>
    <t xml:space="preserve"> CONVENIO FGM-017-064 DE 2021 12627635 FUNDACION COLOMBIANA SIGLA FUCOLDE - CSA-0061  TOTAL VALUE: COP 8.800.000.00 IOM CONTRIB: COP 2.701.000.000 + 4.699.000.000 + 1.400.000.000</t>
  </si>
  <si>
    <t>FUNDACION COLOMBIANA SIGLA FUCOLDE</t>
  </si>
  <si>
    <t>CS.0994</t>
  </si>
  <si>
    <t>Consolidation of Peace and Security between Farming and Herding Communities in the Provinces of Salamat, Sila and Ouaddaï</t>
  </si>
  <si>
    <t xml:space="preserve"> Implementing data collection for thirteen months in the East province of Chad  PR: 4200293432</t>
  </si>
  <si>
    <t>COPAFIB TCHAD</t>
  </si>
  <si>
    <t xml:space="preserve"> IP Data collect INSEED  PR: 4200342935</t>
  </si>
  <si>
    <t>CS.1017</t>
  </si>
  <si>
    <t>Promoting Community Stabilization in Border Communities through Durable Solutions for Mixed Migration Flows and Effective Border Management between Angola and the Democratic Republic of the Congo</t>
  </si>
  <si>
    <t xml:space="preserve"> Recruitment of implementing partner in Kasai central province  (a) Le premier versement de de USD 10,000.00 (dix mille dollars) sera  exigible à partir de la signature du présent accord et la réception  par l’OIM de la demande de paiement du partenaire d'ex</t>
  </si>
  <si>
    <t>GOUVERNANCE PLUS</t>
  </si>
  <si>
    <t xml:space="preserve"> Recruitment of implementing partner in Kasai province  (a) Le premier versement de de USD 10,000.00 (dix mille dollars) sera  exigible à partir de la signature du présent accord et la réception  par l’OIM de la demande de paiement du partenaire d'exécution.</t>
  </si>
  <si>
    <t xml:space="preserve"> Recruitment of implementing partner for Kasai central, Kasai Oriental and Kasai</t>
  </si>
  <si>
    <t>CS.1054</t>
  </si>
  <si>
    <t>Government of the Republic of Zambia (GRZ) - United Nations (UN) Joint Programme on Gender Based Violence Phase II</t>
  </si>
  <si>
    <t xml:space="preserve"> First Disbursement</t>
  </si>
  <si>
    <t xml:space="preserve"> MISE EN OEUVRE DES ACTIVITES</t>
  </si>
  <si>
    <t>ASSOCIATION REDYNAMISATION ELLEVAGE</t>
  </si>
  <si>
    <t>CS.1066</t>
  </si>
  <si>
    <t>Programme of Support in the Prevention of Conflicts and Violent Extremism in the Border Areas of Benin, Burkina Faso and Togo</t>
  </si>
  <si>
    <t xml:space="preserve"> Pour la mise en oeuvre du projet(pour la mise en oeuvre des activités dans le cadre des projets"programme d'appui a la prevention des conflits et l'extremisme violent dans les regions de l'Est et du centre Est "du 1er au 4 Mars 2022.</t>
  </si>
  <si>
    <t>PLATEFORME ORGANISATIONS (OSC/PPG)</t>
  </si>
  <si>
    <t>CS.1075</t>
  </si>
  <si>
    <t>Understanding and Addressing Conflict Drivers and Migration Routes in Agadez</t>
  </si>
  <si>
    <t xml:space="preserve"> Rremier paiment Avanc/Activités génératrices de revenus, zones 2 et 4 (communes de Agadez, Ingall, Arlit, Assamaka, Dannet) - 20%</t>
  </si>
  <si>
    <t>CS.1076</t>
  </si>
  <si>
    <t>Building Community Resilience in Rakhine State to Reduce the Threat of Communal Violence and the Risks of Irregular Migration</t>
  </si>
  <si>
    <t xml:space="preserve"> IP transfers – International CSOs (Goods Project Implementation Partner) From 20 October 2021 to 31 July 2022.  Payment term mentioned in provision 6.2, - Maximum amount of EUR 745,070.34  (Seven Hundred Forty-Five Thousand Seventy Euros Thirty-Four Cent</t>
  </si>
  <si>
    <t>People in Need</t>
  </si>
  <si>
    <t>CS.1090</t>
  </si>
  <si>
    <t>Improving the Resilience of Marginalized Communities in Ouham Pende Region, Central African Republic</t>
  </si>
  <si>
    <t>000000000500000122-IP transfers – Intergovernmental Orgs (n</t>
  </si>
  <si>
    <t>RADIO LA VOIX DE PENDE</t>
  </si>
  <si>
    <t xml:space="preserve"> Achat de service Contractualisation des partenaires de la radio communautaire #LA VOIX DE KOYALE# à Bozoum Ref PR n°4200288925</t>
  </si>
  <si>
    <t>Radio Communautaire  la voix de Koy</t>
  </si>
  <si>
    <t>ONAPREGECC</t>
  </si>
  <si>
    <t xml:space="preserve"> Ia mise en reuvre du sous pro jet intitule « Appui a Ia formation professionnelle eta !'insertion economique de 210 jeunes filles et gar~;ons issus des sept communes cibles de Ia region de I'EST »</t>
  </si>
  <si>
    <t>DRJE</t>
  </si>
  <si>
    <t xml:space="preserve"> Sélection d’une ONG/Structure pour la mise en œuvre d’un sous projet de formation modulaire qualifiante de courte durée dans lesmétiers porteurs au profit de 80 jeunes des communes cibles (Dori et Bani) de la région du Sahel au Burkina Faso  PR 420027772</t>
  </si>
  <si>
    <t>ASSOCIATION TARTIT</t>
  </si>
  <si>
    <t xml:space="preserve"> SELECTION DE ACCOD SAHEL EN TANT QUE PARTENAIRE DE MISE EN OUEVRE D'ACTIVITES GENERATRICES DE REVENUS ET DE RELEVEMENT ECONOMIQUE DANS LES COMMUNES CIBLES DE BANI ET DORI DANS LA REGION DU SAHEL  PR 4200277809</t>
  </si>
  <si>
    <t>ACCOD SAHEL</t>
  </si>
  <si>
    <t xml:space="preserve"> SELECTION DE APED-RS/CN EN TANT QUE PARTENAIRE DE MISE EN OEUVRE D'ACTIVITE GENERATRICE DE REVENUS ET DE RELEVEMENT ECONOMIQUE DANS LES COMMUNES CIBLES DE KAYA,KORSIMORO,BOUSSOUMA,BARSSALOGHO ET MANEDANS LES REGIONS DU CENTRE NORD.  PR 4200277804 ET PR 4</t>
  </si>
  <si>
    <t>Asso Solidarite DVPMT</t>
  </si>
  <si>
    <t xml:space="preserve"> Renforcement des initiatives locales de promotion de la cohésion sociale dans la commune de Boussouma, Province du Sanmatenga.  PR 4200266854</t>
  </si>
  <si>
    <t>COMITE DE SUIVI A LA BASE</t>
  </si>
  <si>
    <t xml:space="preserve"> Selection de Association Weeti Weli en tant que partenaire de mise en oeuvre pour le renforcement des initiatives locales de promotion de la cohésion sociale dans la commune de Bani , région du Sahel, dans le cadre du Projet initiatives visant a renforce</t>
  </si>
  <si>
    <t>ASSOCIATION WEETI WELI</t>
  </si>
  <si>
    <t xml:space="preserve"> Selection de ARJFCPB en tant que partenaire de mise en oeuvre pour le renforcement des initiatives de promotion de la cohésion sociale dans la commune de Barsalogho, province du Sanmatenga dans lecadre du projet initiatives visant a renforcer la stabilis</t>
  </si>
  <si>
    <t>ARJFCPB</t>
  </si>
  <si>
    <t xml:space="preserve"> Pour la mise en oeuvre d'activitees de sensibilisation et de promotion de la cohesion sociale dans la commune de kaya region du centre nord.  PR 4200266767</t>
  </si>
  <si>
    <t>CONSEIL COMMUNAL DE LA JEUNESSE</t>
  </si>
  <si>
    <t xml:space="preserve"> Financement Atelier communal de formation su l'autonmisation des jeunes  et des femme a Ingall PRF 4200158257</t>
  </si>
  <si>
    <t>PLATEFORME DES JEUNES</t>
  </si>
  <si>
    <t xml:space="preserve"> Rencontre d'ELMECKY CR Dabaga</t>
  </si>
  <si>
    <t>COMMUNE RURALE DE DABAGA</t>
  </si>
  <si>
    <t xml:space="preserve"> Formation des AUSPE de la commune de Djado et Dirkou ( paiement première tranche 70%)</t>
  </si>
  <si>
    <t>DRHA-AGADEZ</t>
  </si>
  <si>
    <t xml:space="preserve"> Activités génératrices de revenus (AGR), zone 3 (commune de Tabelot et de Timia)  PR: 4200200163</t>
  </si>
  <si>
    <t xml:space="preserve"> Activités génératrices de revenus et de cohésion sociale pour les zone 1, 2 et 6 (les communes d'Aderbissanat, Tchirozerine,Dabaga, Agadez, Ingall Bilma, Dirkou, Djado, Fachi)  PR: 4200200536</t>
  </si>
  <si>
    <t xml:space="preserve"> Activité generatrice de revenu et activite de cohesion sociale Zone 3 4 5 et 6/ Tabelot/Tchimai /Arlit/Assamak/Dannet/Ifferouane/Gou garam/Bilma/Dirkou/Djado et Fachi  prf/42002002000</t>
  </si>
  <si>
    <t>EAM-PROGRES</t>
  </si>
  <si>
    <t xml:space="preserve"> Activite de cohesion sociale zone 1/ communes de Aderbissanet/Tchiro et Dabaga  PRF/4200200154</t>
  </si>
  <si>
    <t>ONG AGHIRIN MAN</t>
  </si>
  <si>
    <t xml:space="preserve"> Formation des jeunes sur l' instalation ,entretien et reparation des installation solaire dans la commune Rurale d'Iferouane  PRF/4200135766</t>
  </si>
  <si>
    <t>COMMUNE RURALE D'IFEROUANE</t>
  </si>
  <si>
    <t xml:space="preserve"> Avance/Premiere tranche de 70% des la signature du PO</t>
  </si>
  <si>
    <t>COMMUNE RURALE DE TABELOT</t>
  </si>
  <si>
    <t xml:space="preserve"> Premiere tranche 70% des la signature du PO</t>
  </si>
  <si>
    <t xml:space="preserve"> Appui à l’organisation de la fête culturelle course de chameaux à Assodey dans la commune rurale de Timia PRF 4200158052</t>
  </si>
  <si>
    <t>COMMUNE TIMIA</t>
  </si>
  <si>
    <t xml:space="preserve"> atelier de réflexion sur le rôle et la contribution de la jeunesse à la paix, la stabilité et la cohésion sociale suivi de l’élaboration du plan d’action annuel du Conseil Régional de la Jeunesse d’Agadez sensible à la stabilisation communautaire à Tchir</t>
  </si>
  <si>
    <t>CONSEIL REGIONAL DE LA JEUNESSE</t>
  </si>
  <si>
    <t xml:space="preserve"> Support for the commemoration of the Concorde days  PR: 4200242695</t>
  </si>
  <si>
    <t>CONSEIL REGIONAL D 'AGADEZ</t>
  </si>
  <si>
    <t xml:space="preserve"> Support for the implementation of the waste management plan in the urban municipality of Agadez  PRF/4200231276</t>
  </si>
  <si>
    <t>COMMUNE URBAINE AGADEZ</t>
  </si>
  <si>
    <t xml:space="preserve"> Renforcement de capacité et suivi 70%</t>
  </si>
  <si>
    <t xml:space="preserve"> Inter-community meeting on strengthening social cohesion, peaceful coexistence PRF: 4200271459 Paiement de première tranche de 70% en avance paiement de deuxième tranche de 30% après réception du rapport final</t>
  </si>
  <si>
    <t xml:space="preserve"> Accompaniment for the school festival and the awards of excellence  PRF/4200273100</t>
  </si>
  <si>
    <t xml:space="preserve"> Support of the Urban Municipality of Agadez in the organization of the annual festival of BIANOU 2022 PRF 4200295613</t>
  </si>
  <si>
    <t xml:space="preserve"> Sell of butane"ASKRA" PRF/4200245093</t>
  </si>
  <si>
    <t>ASKRA</t>
  </si>
  <si>
    <t xml:space="preserve"> Commercialisation du natron ( Achat et revente) PRF/4200245095</t>
  </si>
  <si>
    <t>societe coop jamaa</t>
  </si>
  <si>
    <t xml:space="preserve"> Commercialisation de dattes (achat et revente de dattes) PRF/4200245088</t>
  </si>
  <si>
    <t>Misrata</t>
  </si>
  <si>
    <t xml:space="preserve"> Elevage de petits ruminants (chèvres) PRF/4200245703</t>
  </si>
  <si>
    <t>KLAFOKI</t>
  </si>
  <si>
    <t xml:space="preserve"> Elevage des petits ruminants (ovins et caprins) PRF/4200245707</t>
  </si>
  <si>
    <t>Groupement BEZZA</t>
  </si>
  <si>
    <t xml:space="preserve"> Embouche ovines ( achat et revente des ovins) PRF/4200245678</t>
  </si>
  <si>
    <t>ZEYRO II</t>
  </si>
  <si>
    <t xml:space="preserve"> Stand de vente de viande PRF/4200245071</t>
  </si>
  <si>
    <t>KANNI</t>
  </si>
  <si>
    <t xml:space="preserve"> Embouche de petits ruminants (achat et revente des ovins et caprins) PRF/4200245090</t>
  </si>
  <si>
    <t>GROUPEMENT NAMTOU DJINAYE</t>
  </si>
  <si>
    <t xml:space="preserve"> Elevage petits ruminants (ovins et caprins) PRF/4200245683</t>
  </si>
  <si>
    <t>GROUPEMENT INTCHI BOULLA</t>
  </si>
  <si>
    <t xml:space="preserve"> Vente aliment bétail ( achat et revente ) PRF/4200245694</t>
  </si>
  <si>
    <t>BOULABOULINE</t>
  </si>
  <si>
    <t xml:space="preserve"> Vente aliment bétaill ( achat et revente ) PRF/4200245609</t>
  </si>
  <si>
    <t>Groupement Mourdji</t>
  </si>
  <si>
    <t xml:space="preserve"> Maraichage et élevage PRF/4200245641</t>
  </si>
  <si>
    <t>GROUPEMENT JARDINIER NIYA 2</t>
  </si>
  <si>
    <t xml:space="preserve"> Boutique aliment bétail (achat et revente) PRF/4200245625</t>
  </si>
  <si>
    <t>Glimane</t>
  </si>
  <si>
    <t xml:space="preserve"> Vente de gaz butane (achat et revente de gaz butane) PRF/4200245629</t>
  </si>
  <si>
    <t>GROUPEMENT FEMININ ZOUMOURI</t>
  </si>
  <si>
    <t xml:space="preserve"> Vente de fourniture scolaires et bureautique(achat et revente) PRF/4200245084</t>
  </si>
  <si>
    <t>MJDEMI</t>
  </si>
  <si>
    <t xml:space="preserve"> Commercialisation de dattes (achat et revente de dattes) PRF/4200245096</t>
  </si>
  <si>
    <t>GROUPEMENT GASSA</t>
  </si>
  <si>
    <t xml:space="preserve"> commercialisation de produits alimentaires ( achat et revente des denrées alimentaires) PRF/4200245089</t>
  </si>
  <si>
    <t>GROUPEMENT CHARAGALFIA</t>
  </si>
  <si>
    <t xml:space="preserve"> Vente de gaz butane (achat et revente de gaz butane) PRF/4200245647</t>
  </si>
  <si>
    <t>KOCHIMI</t>
  </si>
  <si>
    <t xml:space="preserve"> vente des pieces détachées des motos et moto pompe PRF/4200245048</t>
  </si>
  <si>
    <t>GROUPEMENT DOGOUMBLO</t>
  </si>
  <si>
    <t xml:space="preserve"> Vente de produits pharmaceutiques(achat et revente) PRF/4200245053</t>
  </si>
  <si>
    <t>LAFIA</t>
  </si>
  <si>
    <t xml:space="preserve"> Equipement en matériel de couture PRF/4200245082</t>
  </si>
  <si>
    <t>DJETTOU</t>
  </si>
  <si>
    <t xml:space="preserve"> Vente aliment bétaill(achat et revente) PRF/4200245110</t>
  </si>
  <si>
    <t>GROUPEMENT DJAMAOULO</t>
  </si>
  <si>
    <t xml:space="preserve"> Vente d'intrants agricoles (achat et revente) PRF/4200245066</t>
  </si>
  <si>
    <t>TOULI</t>
  </si>
  <si>
    <t xml:space="preserve"> Vente de gaz butane (achat et revente de gaz butane) PRF/4200245072</t>
  </si>
  <si>
    <t>ASSOCIATION RA AI II</t>
  </si>
  <si>
    <t xml:space="preserve"> Vente aliments bétail (achat et revente) PRF/4200245078</t>
  </si>
  <si>
    <t>SOUFARRE</t>
  </si>
  <si>
    <t xml:space="preserve"> Commercialisation du sel ( achat et revente) PRF/4200245057</t>
  </si>
  <si>
    <t>GROUPEMENT KAFAYA</t>
  </si>
  <si>
    <t xml:space="preserve"> Update of the communal development plan-Commune of Tchirozerine (Agadez Region) for the period 2022-2027  PR: 4200325296</t>
  </si>
  <si>
    <t>COMMUNE URBAINE DE TCHIROZERINE</t>
  </si>
  <si>
    <t xml:space="preserve"> Financing of the awareness-raising activity and the forum on safety in the rural municipality of Ingall at la cure salée( 1st tranche 70%)</t>
  </si>
  <si>
    <t xml:space="preserve"> The 3rd edition of farmer's week : PR N°4200355868</t>
  </si>
  <si>
    <t>GOUVERNORAT D'AGADEZ</t>
  </si>
  <si>
    <t xml:space="preserve"> AGR-Timia-"Establishment of a bank of agricultural inputs and equipment (SCOOP TAKRIS NAKALTASSALOT)  PRF/4200344616</t>
  </si>
  <si>
    <t>TAKRIST NAKAL</t>
  </si>
  <si>
    <t xml:space="preserve"> AGR-Timia-"Drilling of market garden wells for the benefit of producers(GM ABARAKAN)  PRF/4200344371</t>
  </si>
  <si>
    <t>GM ABARAKAN</t>
  </si>
  <si>
    <t xml:space="preserve"> AGR-Timia-"Small ruminant mouth with TIMIA"(SCOOP ALGHADATE TADIK) PRF/4200344463</t>
  </si>
  <si>
    <t>SCOOPS ALGHADATE DE TADIK</t>
  </si>
  <si>
    <t xml:space="preserve"> AGR-Timia-"Support in agricultural equipment, materials and inputs for the benefit of producers "(SCOOP ANIYATE)  PRF/4200344450</t>
  </si>
  <si>
    <t>ANIYATE KRIP KRIP</t>
  </si>
  <si>
    <t xml:space="preserve"> AGR-Timia-"Training and equipping young people in craft trades(SCOOP TCHICHIT)  PRF/4200344448</t>
  </si>
  <si>
    <t>TCHITCHIT</t>
  </si>
  <si>
    <t xml:space="preserve"> AGR-Timia-""Establishment of a zootechnical bank and sanitation activities around wells and public establishments (SCOOP TAMATCHIRT)  PRF/4200344525</t>
  </si>
  <si>
    <t>Scoops Tamatchirte</t>
  </si>
  <si>
    <t xml:space="preserve"> AGR-Timia-"Establishment of a Feed Bank "(SCOOP TCHIRIKENE)  PRF/4200344622</t>
  </si>
  <si>
    <t>TCHIRIKENE</t>
  </si>
  <si>
    <t xml:space="preserve"> AGR-Timia-"Creation of a sewing and knitting workshop(SCOOP FEMMES ANWANISSAN)  PRF/4200344633</t>
  </si>
  <si>
    <t>FEMMES ANWANISSAN</t>
  </si>
  <si>
    <t xml:space="preserve"> AGR-Timia-"Establishment of a sheep fattening activity (SCOOP ABIZGUIN)  PRF/4200344652</t>
  </si>
  <si>
    <t>ABIZGUIN</t>
  </si>
  <si>
    <t xml:space="preserve"> AGR-Timia-"Creation of a sewing and knitting workshop(SCOOP TESSALIT)  PRF/4200344825</t>
  </si>
  <si>
    <t>SCOOPS TESSALIT</t>
  </si>
  <si>
    <t xml:space="preserve"> AGR-Timia-Feed bank, sanitation and construction of 2 latrines in the village (SCOOP TADEINE)  PRF/4200344799</t>
  </si>
  <si>
    <t>TADAINE</t>
  </si>
  <si>
    <t xml:space="preserve"> AGR-Timia-"Setting up an Agricultural Input Shop(Scoops USCOOP ZT)  PRF/4200344795</t>
  </si>
  <si>
    <t>USCOOPS ZT</t>
  </si>
  <si>
    <t xml:space="preserve"> AGR-Timia"Establishment of a cereal shop and an agricultural input shop in the rural area of TEGUERT and AJIROU(SCOOP TALIZDIK)  PRF/4200344808</t>
  </si>
  <si>
    <t>SCOOPS TALIZDIK</t>
  </si>
  <si>
    <t xml:space="preserve"> AGR-Timia-"Creation of a feed bank(SCOOP TALLITE)  PRF/4200344789</t>
  </si>
  <si>
    <t>SCOOPS TALLITE</t>
  </si>
  <si>
    <t xml:space="preserve"> AGR_Tabelot_SETTING UP OF A COMMUNITY FOOD STORE FOR THE BENEFIT OF YOUNG PEOPLE (Scoop AZOUM AFASSAS)  PRF4200344923</t>
  </si>
  <si>
    <t>AZOUM</t>
  </si>
  <si>
    <t xml:space="preserve"> AGR_Tabelot_SUPPORT IN MATERIALS AND AGRICULTURAL INPUTS FOR FIVE MARKET GARDENERS (Scoop TAZDAYE)  4200344924</t>
  </si>
  <si>
    <t>TAZDEYE</t>
  </si>
  <si>
    <t xml:space="preserve"> AGR_Tabelot_SUPPORT IN MATERIALS AND AGRICULTURAL INPUTS FOR FIVE MARKET GARDENERS (Scoop HADINKAY BANAGA)  PRF4200344921</t>
  </si>
  <si>
    <t>HADINKAY</t>
  </si>
  <si>
    <t xml:space="preserve"> AGR_Tabelot_SUPPORT IN MATERIALS AND AGRICULTURAL INPUTS FOR SIX MARKET GARDENERS (Scoop NAKAL)  PRF4200344866</t>
  </si>
  <si>
    <t>TAKRIS NAKAL</t>
  </si>
  <si>
    <t xml:space="preserve"> AGR_Tabelot_TRAINING OF TEN YOUNG PEOPLE IN MAINTENANCE OF SOLAR PUMPING SYSTEMS (Scoop ABORAK)  PRF4200344879</t>
  </si>
  <si>
    <t>ABORAK</t>
  </si>
  <si>
    <t xml:space="preserve"> AGR_Tabelot_SUPPORT IN MATERIALS AND AGRICULTURAL INPUTS FOR FOURTEEN MARKET GARDENERS (Scoop TAGALAT)  PRF/4200344877</t>
  </si>
  <si>
    <t>TAGALAT TALHATA</t>
  </si>
  <si>
    <t xml:space="preserve"> AGR_Tabelot_SETTING UP OF A COMMUNITY FOOD STORE (Scoop ENMILAL)  PRF/4200344873</t>
  </si>
  <si>
    <t>ENMILAL</t>
  </si>
  <si>
    <t xml:space="preserve"> AGR_Tabelot_SUPPORT IN AGRICULTURAL INPUTS FOR SEVEN YOUNG MARKET GARDENERS (Scoop TANAHDAMT)  PRF/4200344813</t>
  </si>
  <si>
    <t>tanahdamte</t>
  </si>
  <si>
    <t xml:space="preserve"> AGR_Tabelot_SUPPORT IN MATERIALS AND AGRICULTURAL INPUTS FOR TEN YOUNG MARKET GARDENERS (Scoop TAMAWALTE)  PRF/4200344903</t>
  </si>
  <si>
    <t>TAMAWALTE</t>
  </si>
  <si>
    <t xml:space="preserve"> AGR_Tabelot_SUPPORT IN AGRICULTURAL INPUTS FOR FIFTEEN MARKET GARDENERS (Scoop TANAGHIL)  PRF/4200344901</t>
  </si>
  <si>
    <t>TANEGHAL</t>
  </si>
  <si>
    <t xml:space="preserve"> AGR_Tabelot_SUPPORT IN MARKET GARDENING KITS FOR SIX PRODUCERS (Scoop TAMANKAY)  PRF/4200344857</t>
  </si>
  <si>
    <t>TAMANKAYE</t>
  </si>
  <si>
    <t xml:space="preserve"> AGR_Tabelot_SETTING UP OF A COMMUNITY MILL (Scoop TCHIMELITIN)  PRF4200344815</t>
  </si>
  <si>
    <t>TCHIMELITIN</t>
  </si>
  <si>
    <t xml:space="preserve"> AGR_Tabelot_SUPPORT IN AGRICULTURAL INPUTS FOR FIVE YOUNG MARKET GARDENERS (Scoop TAKACHWARE) PRF/4200344811</t>
  </si>
  <si>
    <t>TAKACHWARE</t>
  </si>
  <si>
    <t xml:space="preserve"> AGR_Tabelot_SUPPORT IN MARKET GARDENING KITS FOR SIX PRODUCERS (Scoop GOLMA)  PRF/4200344820</t>
  </si>
  <si>
    <t>GOLMA</t>
  </si>
  <si>
    <t xml:space="preserve"> CS-Agadez-Project to support eight (8) women's craft initiatives in the urban commune of Agadez(TAKRIS) PRF/4200348877</t>
  </si>
  <si>
    <t>TAKRIS</t>
  </si>
  <si>
    <t xml:space="preserve"> CS_Agadez_Communication and awareness-raising activities on peace, security and cohesion through the media (Scoop REJEPAZ  PRF/4200345512</t>
  </si>
  <si>
    <t>REJEPAZ</t>
  </si>
  <si>
    <t xml:space="preserve"> CS_Agadez_SEPTIC TANK TREATMENT TRAINING (Scoop AFARAD) PRF/4200345513</t>
  </si>
  <si>
    <t>ASSOCIATION AFARAD</t>
  </si>
  <si>
    <t xml:space="preserve"> CS_Agadez_Awareness caravan on living together (Scoop Guezibi)  PRF/4200345467</t>
  </si>
  <si>
    <t>GUEZIBI GASSAR</t>
  </si>
  <si>
    <t xml:space="preserve"> AGR_Agadez_Training of 35 women from the group and Reinforcement of equipment for processing (Scoop Imankayane)  PRF4200344582</t>
  </si>
  <si>
    <t>IMANKAYANE</t>
  </si>
  <si>
    <t xml:space="preserve"> CS_Agadez_Mass awareness on juvenile delinquency and the consumption of stupefiants (Scoop Talizdath)  PRF/4200345472</t>
  </si>
  <si>
    <t>ONG TALIZDAGH</t>
  </si>
  <si>
    <t xml:space="preserve"> CS-Agadez-promotion of community stability through sketches and theatres(Tchoukoubouss)  PRF/4200345441</t>
  </si>
  <si>
    <t>TCHIKOUBOUS</t>
  </si>
  <si>
    <t xml:space="preserve"> CS-Agadez-Peace, security, social cohesion between migrants and indigenous people: women commit to peaceful coexistence in Agadez(AFNCG)  PRF/4200345445</t>
  </si>
  <si>
    <t>AFNCG</t>
  </si>
  <si>
    <t xml:space="preserve"> CS-Agadez-Intercultural exchanges for peace, cohesion and peaceful coexistence between migrants and indigenous peoples(Galgadi)  PRF/4200345430</t>
  </si>
  <si>
    <t>GALGADIN MATASSA</t>
  </si>
  <si>
    <t xml:space="preserve"> CS-Agadez-raising awareness among orphans about the danger of immigration and social cohesion(AMODRA)  PRF/4200345451</t>
  </si>
  <si>
    <t>AMODRA</t>
  </si>
  <si>
    <t xml:space="preserve"> CS-Agadez-Community dialogue to combat insecurity and kidnapping(AFAAC)  PRF/4200345397</t>
  </si>
  <si>
    <t>ASSOCIATION AFAAC</t>
  </si>
  <si>
    <t xml:space="preserve"> CS-Agadez-Awareness-raising caravan on peace, social cohesion and the fight against juvenile delinquency(ALPZP - TEKARKART)  PRF/4200345382</t>
  </si>
  <si>
    <t>ASSOCIATION ALPZP</t>
  </si>
  <si>
    <t xml:space="preserve"> CS-Agadez-Awareness-raising campaign on the CS-CS-Agadez-prevention and non-violent management of migration-related conflicts(migrant, international and Tambara)(OLPS ANAKAD)  PRF/4200345421</t>
  </si>
  <si>
    <t>ONG OLPS ANAKAD</t>
  </si>
  <si>
    <t xml:space="preserve">  C-Agadez-CARAVAN TO RAISE WOMEN'S AWARENESS OF THEIR ROLE IN PEACE AND INTER- AND INTRA-COMMUNITY COHESION(ZINARI)  PRF/4200345358</t>
  </si>
  <si>
    <t>ZINARI</t>
  </si>
  <si>
    <t xml:space="preserve"> CS-Agadez-Community discussion on peace, security and social cohesion(ONG CODDAE)  PRF/4200345358</t>
  </si>
  <si>
    <t>ONG CODDAE</t>
  </si>
  <si>
    <t xml:space="preserve"> CS-Agadez-Travelling cinema on the risk linked to irregular migration and on the prevention of inter- and intra-community conflictsin the desert and on social cohesion(AAMR)  PRF4200345328</t>
  </si>
  <si>
    <t>AAMR</t>
  </si>
  <si>
    <t xml:space="preserve"> CS-Agadez-Community awareness activity at the level of 11 districts of the CU of Agadez to improve trust and collaboration betweenthe populations and the SDF(Association culturelle:Death Gang)  PRF/4200345313</t>
  </si>
  <si>
    <t>DEATH GANG</t>
  </si>
  <si>
    <t xml:space="preserve"> CS-Agadez-Intercultural exchange and peaceful coexistence between communities and migrants(CHAGAT)  PRF/42003475288</t>
  </si>
  <si>
    <t>CHAGHAT</t>
  </si>
  <si>
    <t xml:space="preserve"> CS-Agadez-Awareness-raising caravan on gender-based violence sensitive to migration(Rayuwa Mata)  PRF/4200345295</t>
  </si>
  <si>
    <t>RAYUWA MATA</t>
  </si>
  <si>
    <t xml:space="preserve"> CS-Agadez-"Information and community awareness on peace, social cohesion and peaceful coexistence between migrants and indigenouspeople(Mata Massou Nazari)  PRF/4200345229</t>
  </si>
  <si>
    <t>MATA MASSOU NAZARI</t>
  </si>
  <si>
    <t xml:space="preserve"> CS-Agadez-"raising awareness about living together between migrants and local populations(Diaspora estudiantine/ AJD/CODED)  PRF/4200345232</t>
  </si>
  <si>
    <t>AJD</t>
  </si>
  <si>
    <t xml:space="preserve"> CS-Agadez-Raising awareness among young people at risk of drug use on the importance of tobacco products(ABZIN) PRF/4200345245</t>
  </si>
  <si>
    <t>ABZIN</t>
  </si>
  <si>
    <t xml:space="preserve"> AGR_Tabelot_SUPPORT IN MATERIALS AND AGRICULTURAL INPUTS FOR TEN MARKET GARDENERS (Scoop TILLILT)  PRF/4200344920</t>
  </si>
  <si>
    <t>TILLILT</t>
  </si>
  <si>
    <t>CS.1108</t>
  </si>
  <si>
    <t>Project for Support of Kawar Economic Development</t>
  </si>
  <si>
    <t xml:space="preserve"> Training of local technical monitoring agents for farms in the communes of Bilma, Dirkou, Fachi and Djado as part of the PADEK project (Paiement premiere tranche 70%)</t>
  </si>
  <si>
    <t>DIRECTION DEPARTEMENTALE ELEVAGE</t>
  </si>
  <si>
    <t>CS.1110</t>
  </si>
  <si>
    <t>Promoting Peaceful Coexistence in the COVID-19 Response for Migrants, Refugees and Other Vulnerable Populations in Central America and the Caribbean</t>
  </si>
  <si>
    <t>CS.1111</t>
  </si>
  <si>
    <t>Addressing the Return and Reintegration of Iraqis with Perceived Affiliation to Islamic State of Iraqis and the Levant (ISIL)</t>
  </si>
  <si>
    <t xml:space="preserve"> receipt and verification of completion phase one of Annex B.</t>
  </si>
  <si>
    <t>Violence Prevention Network GmbH</t>
  </si>
  <si>
    <t xml:space="preserve"> PR#4200186902 IOM – VITAS GROUP Partnership Terms of Reference.</t>
  </si>
  <si>
    <t>CS.1126</t>
  </si>
  <si>
    <t>Promotion of Community Stabilisation to Support Conflict Affected Communities in Conflict Hotspot Areas in Sudan</t>
  </si>
  <si>
    <t xml:space="preserve"> Increasing access to livelihood opportunity in Dalami locality, SKS</t>
  </si>
  <si>
    <t>Vet Care Organization</t>
  </si>
  <si>
    <t xml:space="preserve"> Public health service in line with the agreed TOR - 3 installment</t>
  </si>
  <si>
    <t xml:space="preserve"> PR# 4200166685- Focal Point Asako - TRU</t>
  </si>
  <si>
    <t xml:space="preserve"> CONVENIO WLH-002-002 CS.1128 12628760 FUNDACION PACIFISTA  TOTAL VALUE: COP 431.424.010 IOM CONTRIB: COP 310.424.010 FUN CONTRIB: COP 121.000.000</t>
  </si>
  <si>
    <t>FUNDACION PACIFISTA</t>
  </si>
  <si>
    <t xml:space="preserve"> CONVENIO WLH-002--003 CS.1128 12612707 FUNDACION MUJER ARTE Y VIDA  TOTAL VALUE: COP 566.500.000 IOM CONTRIB: COP 460.000.000+70.500.000 FUN CONTRIB: COP  36.000.000</t>
  </si>
  <si>
    <t xml:space="preserve"> CONVENIO WLH-002-004 CS.1128 12607059 FUNDACION MI SANGRE  TOTAL VALUE: COP 2.082.704.011 IOM CONTRIB: COP 2.019.988.800 FUN CONTRIB: COP    62.715.211</t>
  </si>
  <si>
    <t>FUNDACION MI SANGRE</t>
  </si>
  <si>
    <t xml:space="preserve"> WLH R3 034 CONVENIO WLH-002-005 DE 2022 12625093 FEDERACION NACIONAL DE CACAOTEROS  TOTAL VALUE: COP 121.838.000 IOM CONTRIB: COP 106.140.000 FDN CONTRIB: COP 15.698.000</t>
  </si>
  <si>
    <t xml:space="preserve"> CONVENIO WLH-002-021 DE 2021 12629111 CAMARA DE COMERCIO BUENAVENTURA  TOTAL VALUE: COP 93.320.000 IOM CONTRIB: COP 75.400.000 CCB CONTRIB: COP 17.920.000</t>
  </si>
  <si>
    <t>CAMARA DE COMERCIO BUENAVENTURA</t>
  </si>
  <si>
    <t xml:space="preserve"> CONVENIO WLH-002-022 DE 2022 12624803 FEDER NACION CAFETE COLOMBIA  (IP)  TOTAL VALUE: COP 484.795.813 IOM CONTRIB: COP 453.995.813 PRO CONTRIB: COP 30.800.000</t>
  </si>
  <si>
    <t>FEDERACION NACIONAL DE CAFETEROS</t>
  </si>
  <si>
    <t xml:space="preserve"> ACUERDO DE IMPLEMENTACION WLH002-020 DE 2022 12624803 FEDERACION NACIONAL DE CAFETEROS  TOTAL VALUE: COP 219.075.339 IOM CONTRIB: COP 197.036.739 FEDE CONTRIB COP 22.038.600</t>
  </si>
  <si>
    <t>CS.1129</t>
  </si>
  <si>
    <t>Supporting Durable Solutions, Social Cohesion and Reintegration in Iraq</t>
  </si>
  <si>
    <t xml:space="preserve"> Partnership with CSO for Provision of Legal Services in Ba’aj, Ninawa governorate</t>
  </si>
  <si>
    <t>AID GATE ORGANIZATION (NGO)</t>
  </si>
  <si>
    <t>000000000500000123-IP transfers – International CSOs</t>
  </si>
  <si>
    <t>OPEN LEARNING EXCHANGE INC.</t>
  </si>
  <si>
    <t xml:space="preserve"> Community development project implementation services between IOM and Glasswing in order to contribute to the reduction of irregular migration.  PR.4200192857</t>
  </si>
  <si>
    <t>FUNDACION CRISALIDA INTERNACIONAL</t>
  </si>
  <si>
    <t xml:space="preserve"> Community development project implementation services between IOM and Ixmukané in order to contribute to the reduction of irregular migration.  PR.4200197146 QUI008</t>
  </si>
  <si>
    <t>ASOCIACION PARA NOSOTRAS IXMUKANE P</t>
  </si>
  <si>
    <t xml:space="preserve"> Community development project implementation services between IOM and ISDM in order to contribute to the reduction of irregular migration.  PR.4200210620 HUE007</t>
  </si>
  <si>
    <t>INSTANCIA POR LA SALUD Y EL DESARRO</t>
  </si>
  <si>
    <t xml:space="preserve"> CHI028 - FUNDATED - IP AGREEMENT - Training processes of craft/business entrepreneurship and psycho-emotional therapies for women and youth, in the Municipalities of Patzún and San Martin Jilotepeque, Chimaltenango  PR 4200226251</t>
  </si>
  <si>
    <t>Fundacion Asistencia Tecnica para</t>
  </si>
  <si>
    <t xml:space="preserve"> HUE017 - IP Agreeemnt - TIERRA NUEVA - Active Youth, promoting positive development  PR 4200226284</t>
  </si>
  <si>
    <t>Tierra Nueva ONG</t>
  </si>
  <si>
    <t xml:space="preserve"> Community development project implementation services between IOM and Ixtatán in order to contribute to the reduction of irregular migration. PR. 4200235819</t>
  </si>
  <si>
    <t>FUNDACION IXTATAN</t>
  </si>
  <si>
    <t xml:space="preserve"> QUI013 - IP AGREEMENT - Bárbara Ford - Promotion of economic opportunities in the municipality of Joyabaj, Quiché  PR 4200236094</t>
  </si>
  <si>
    <t>Asociacion Centro Paz Barbara Ford</t>
  </si>
  <si>
    <t xml:space="preserve"> Community development project implementation services between IOM and LAMBDA - GUA027.  PR.4200240804</t>
  </si>
  <si>
    <t>Asociacion Lambda</t>
  </si>
  <si>
    <t xml:space="preserve"> Community development project implementation services between IOM and Fundación Propaz - HUE012.  PR.4200245239</t>
  </si>
  <si>
    <t>Fundacion Propaz ONG</t>
  </si>
  <si>
    <t xml:space="preserve"> Community development project implementation services between IOM and Amigos de Santa Cruz -SOL11.  PR.4200245846</t>
  </si>
  <si>
    <t xml:space="preserve"> Community development project implementation services between IOM and WJI - CHI014. PR. 4200245235</t>
  </si>
  <si>
    <t>Asociacion Iniciativa de los Derech</t>
  </si>
  <si>
    <t xml:space="preserve"> SMA016 - IGLESIA CATOLICA DIOCESIS DE SAN MARCOS - FIRST PAYMENT AT CONTRACT SIGNATURE PR.4200241566</t>
  </si>
  <si>
    <t>Iglesia Catolica Diocesis de San Ma</t>
  </si>
  <si>
    <t xml:space="preserve"> SOL021 - KASLIMAAL - Implementation of the first accredited nursing assistant school in Sololá, to improve the quality of life and reduce irregular migration  PR 4200249192</t>
  </si>
  <si>
    <t>Asociacion Kaslimaal</t>
  </si>
  <si>
    <t xml:space="preserve"> SOL015 - IP AGREEMENT - Jóvenes y familias productoras de amaranto fortaleciendo el comercio local en San Lucas Tolimán y San Pablo La Laguna, Sololá  PR 4200251079</t>
  </si>
  <si>
    <t>IMAP</t>
  </si>
  <si>
    <t xml:space="preserve"> HUE032 - ATRAHDOM - Labour human rights for women empowerment  PR 4200261066</t>
  </si>
  <si>
    <t>ATRAHDOM</t>
  </si>
  <si>
    <t xml:space="preserve"> QUE031 - Aldeas Infantiles - SOS JUVENTUDES EN ACCION  PR 4200263597</t>
  </si>
  <si>
    <t>Asociacion Aldeas Infantiles SOS</t>
  </si>
  <si>
    <t xml:space="preserve"> QUE020 - SINERGIAS - ALTERNATIVAS PARA EL BUEN VIVIR  PR 4200267688</t>
  </si>
  <si>
    <t>Asociacion SINERGIAS</t>
  </si>
  <si>
    <t xml:space="preserve"> SMA009 - ADIPO - Implementation of productive activities and generation of economic income in rural families of three municipalities of the Altiplano de San Marcos  PR 4200241535</t>
  </si>
  <si>
    <t xml:space="preserve"> QUI025 - ADESI - Develop youth's knowledge and interest in development opportunities in the municipality of Ixcán, Quiché  PR 4200247878</t>
  </si>
  <si>
    <t>Asociacion de Desarrollo Social de</t>
  </si>
  <si>
    <t xml:space="preserve"> QUI019 - ASAUNIXIL - Economic empowerment of Ixil indigenous women and generation of prosperous alternatives for young people and their families as groups vulnerable to irregular migration  PR 4200280561</t>
  </si>
  <si>
    <t>Asociacion de Asentamientos Unidos</t>
  </si>
  <si>
    <t xml:space="preserve"> SAC010 - AFEDES - Strengthening the autonomy of indigenous women and their families to reduce irregular migration in Guatemala  PR 4200280455</t>
  </si>
  <si>
    <t xml:space="preserve"> HUE040 - COCULTURA - Self-management of opportunities for a dignified and prosperous life for Guatemalan women  PR 4200285511</t>
  </si>
  <si>
    <t>COOP INTL D AH Y CRT CULT COMUNITAR</t>
  </si>
  <si>
    <t xml:space="preserve"> QUI023 - MANOS UNIDAS JUNAM QAB - Generate opportunities for youth in the El Quiche department  PR 4200285512</t>
  </si>
  <si>
    <t>Junam Qab R.L</t>
  </si>
  <si>
    <t xml:space="preserve"> JAL046 - COPIJ - Young entrepreneurs project implementation  PR 4200293353</t>
  </si>
  <si>
    <t>COPIJ</t>
  </si>
  <si>
    <t xml:space="preserve"> QUI024 - IDEI - Project generating economic opportunities for young Mayans from western Guatemala, through value chains, the use of permaculture techniques and ancestral wisdom in coffee, cocoa and sustainable livestock with a territorial approach.  PR 4</t>
  </si>
  <si>
    <t>ASOCIACION IDEI</t>
  </si>
  <si>
    <t xml:space="preserve"> GUA069 - Fundación Riecken - Community Libraries in Guatemala  PR 4200298295</t>
  </si>
  <si>
    <t>The Frances and Henry Riecken Found</t>
  </si>
  <si>
    <t xml:space="preserve"> QUE045 - AMA  - Promoting empowerment of women in the Altiplano Occidental, Guatemala  PR 4200298281</t>
  </si>
  <si>
    <t>Asociacion de Mujeres del Altiplano</t>
  </si>
  <si>
    <t xml:space="preserve"> Community development project implementation services between IOM and AMIGOS MAYAN FAMILIES - SOL048 PR.4200288051</t>
  </si>
  <si>
    <t>Asociacion Amigos Mayan Families</t>
  </si>
  <si>
    <t xml:space="preserve"> Community development project implementation services between IOM and FUNDEVIDA - ALV059. PR. 4200298302</t>
  </si>
  <si>
    <t>FUNDEVIDA</t>
  </si>
  <si>
    <t xml:space="preserve"> Community development project implementation services between IOM and CDRO - QUI076 PR.4200297635</t>
  </si>
  <si>
    <t>Asociacion de Cooperacion para el D</t>
  </si>
  <si>
    <t xml:space="preserve"> Community development project implementation services between IOM and Lead up International SAC056. PR.4200304014</t>
  </si>
  <si>
    <t>Asociacion de Equipo de Apoyo</t>
  </si>
  <si>
    <t xml:space="preserve"> Community development project implementation services between IOM and KOMON MAYAB- SMA041. PR.4200304802</t>
  </si>
  <si>
    <t>Colectivo de Organizaciones Mayas d</t>
  </si>
  <si>
    <t xml:space="preserve"> Community development project implementation services between IOM and ESAP - QUI042. PR.4200304780</t>
  </si>
  <si>
    <t>Fundacion Equinos Sanos para el Pue</t>
  </si>
  <si>
    <t xml:space="preserve"> Community development project implementation services between IOM and ChildFund. PR.4200306543</t>
  </si>
  <si>
    <t xml:space="preserve"> Community development project implementation services between IOM and KUCHUB´AL. PR.4200307172</t>
  </si>
  <si>
    <t>Asociacion Red Kuchubal</t>
  </si>
  <si>
    <t xml:space="preserve"> Community development project implementation services between IOM and FUNDACIÓN ACH. PR.4200306554</t>
  </si>
  <si>
    <t xml:space="preserve"> Community development project implementation services between IOM and CIPREVICA. PR.4200304930</t>
  </si>
  <si>
    <t>CIPREVICA  PREVENCION</t>
  </si>
  <si>
    <t xml:space="preserve"> Community development project implementation services between IOM and 3IE - GUA033. PR.4200297594</t>
  </si>
  <si>
    <t>International Iniciative for Impact</t>
  </si>
  <si>
    <t xml:space="preserve"> Community development project implementation services between IOM and Asociación -APEVIHS-. PR.4200314954</t>
  </si>
  <si>
    <t>Apevihs</t>
  </si>
  <si>
    <t xml:space="preserve"> SOL060 MIL MILAGROS FIRST PAYMENT AT CONTRACT SIGNATURE PR. 4200313294</t>
  </si>
  <si>
    <t>Mil Milagros Inc.</t>
  </si>
  <si>
    <t xml:space="preserve"> Community development project implementation services between IOM and COOPERATIVA CHAMPEL. PR.4200309070</t>
  </si>
  <si>
    <t>Cooperativa Integral de Ahorro y Cr</t>
  </si>
  <si>
    <t xml:space="preserve"> Community development project implementation services between IOM and Wuqu’ Kawoq. PR.4200312382</t>
  </si>
  <si>
    <t>Wuqu Kawoq</t>
  </si>
  <si>
    <t xml:space="preserve"> Community development project implementation services between IOM and International Hands in Service -QUI057 PR.4200313283</t>
  </si>
  <si>
    <t>International Hands in Service</t>
  </si>
  <si>
    <t xml:space="preserve"> SOL034- Community development project implementation services between IOM and MAIA. PR.4200318245</t>
  </si>
  <si>
    <t>MAIA Guatemala</t>
  </si>
  <si>
    <t xml:space="preserve"> HUE051- Community development project implementation services between IOM and Tu Consejería. PR.4200326201</t>
  </si>
  <si>
    <t>Tu Consejeria, S.A.</t>
  </si>
  <si>
    <t xml:space="preserve"> HUE106- Community development project implementation services between IOM and NIMD. PR. 4200390085</t>
  </si>
  <si>
    <t>Netherlands Institute of Multiparty</t>
  </si>
  <si>
    <t xml:space="preserve"> SMA089 - Community development project implementation services between IOM and Asociación ECO PR.4200390080</t>
  </si>
  <si>
    <t>Asociacion Civil Estudios de Cooper</t>
  </si>
  <si>
    <t>CS.1132</t>
  </si>
  <si>
    <t>IOM Activities in Turkey Outlined in the 2021 Syria Regional Refugee and Resilience Plan (3RP)</t>
  </si>
  <si>
    <t xml:space="preserve"> The First Instalment- Agreement Article 6.2 (a)</t>
  </si>
  <si>
    <t xml:space="preserve"> First Instalment Agreement Article 6.a</t>
  </si>
  <si>
    <t>Ege University</t>
  </si>
  <si>
    <t>CS.1137</t>
  </si>
  <si>
    <t xml:space="preserve"> In the framework of the PBF Binational project, an implementation agreement is under signature with Quisqueya University</t>
  </si>
  <si>
    <t>UNIVERSITE QUISQUEYA</t>
  </si>
  <si>
    <t xml:space="preserve"> Service for:  Implementation agreement regarding the Regional Project for Migration WHP LM 0471 and PBF CS 1138.  Project implementation agreement to contribute to the orientation, regularization, legal assistance, training and strengthening of m igratio</t>
  </si>
  <si>
    <t>ASCALA</t>
  </si>
  <si>
    <t xml:space="preserve"> Service for: Implementation agreement regarding the Regional Project for Migration WHP LM 0471 and PBF CS 1138.  Project implementation agreement to contribute to the orientation, regularization, legal assistance, training and strengthening of m igration</t>
  </si>
  <si>
    <t xml:space="preserve"> Fund Transfer to Implementing Partner (WFP) to support implementation of KOICA-UN Joint Program for Strengthening Inclusive Social Cohesion and Economic Resilience in Abyei Under the Reference PRF# ABYTNR221682</t>
  </si>
  <si>
    <t xml:space="preserve"> Funds Transfer for Implementing Partner – UNICEF to support implementation of KOICKA UN Joint Programme in Abyei Under the PRF# ABYT NR221782</t>
  </si>
  <si>
    <t xml:space="preserve"> Funds Transfer for Implementing Partner- FAO to support implementation of KOICKA UN Joint Programme in Abyei under PR No. ABYTNR221783</t>
  </si>
  <si>
    <t>FAO OF THE UNITED NATIONS</t>
  </si>
  <si>
    <t>CS.1144</t>
  </si>
  <si>
    <t>Support to Vulnerable Malian Refugees and Selected Host and IDP Communities Through Livelihoods and Protection Activities in the North Region of Burkina Faso Phase IV</t>
  </si>
  <si>
    <t xml:space="preserve"> PARTENAIRE DE MISE EN OEUVRE PROTECTION(EQUIPE MOBILE DE PROTECTION) DU PROJET PRM VI NORD.  PR 4200340634</t>
  </si>
  <si>
    <t xml:space="preserve"> Le premier  versement  de USD cent vingt-trois mille  huit  cent quarante  (123 840) sera exigible dans un délai de sept (7) jours civils à partir de la signature du présent accord et la réception par I'OIM de la demande de paiement du partenaire d'exécutio</t>
  </si>
  <si>
    <t>CS.1146</t>
  </si>
  <si>
    <t>Support to Vulnerable Malian Refugees and Selected Host and IDP Communities Through Livelihoods and Protection Activities in the North and Sahel Regions of Burkina Faso- PHASE III</t>
  </si>
  <si>
    <t xml:space="preserve"> Virement 1ère tranche _  Partenaire de mise en oeuvre du volet Protection</t>
  </si>
  <si>
    <t xml:space="preserve"> Virement 1ère tranche _Partenaire de mise en oeuvre renforcement des moyens d'existence</t>
  </si>
  <si>
    <t>CS.1151</t>
  </si>
  <si>
    <t>Locally-Driven Solutions for Social Cohesion and Promoting Early Recovery in South Sudan’s Former Breadbasket Region</t>
  </si>
  <si>
    <t xml:space="preserve"> PO Note: RSTRF Project to Southern Central Equatoria (IP Grant) with reference to PRF#JUBTNR220589.</t>
  </si>
  <si>
    <t xml:space="preserve"> PO Note: RSTRF Project in Southern Central Equatoria (Implementing Grant) with reference to PRF#JUBTNR220589.</t>
  </si>
  <si>
    <t xml:space="preserve"> PO Note: RSTRF Project in Southern Central Equatoria (Implementing Agreement) with reference to PRF#JUBTNR220589.</t>
  </si>
  <si>
    <t xml:space="preserve"> PO Note: RSTRF Project in for Southern Central Equatoria (Implementing Grant) with reference to PRF#UBTNR220589.</t>
  </si>
  <si>
    <t>CS.1156</t>
  </si>
  <si>
    <t>Bosnia and Herzegovina: Enhancing Social Cohesion in Communities Hosting People on the Move</t>
  </si>
  <si>
    <t xml:space="preserve"> Udruženje "Igra 27" Cazin- Association "Igra27"  Project Implementation Agreement signed with Udruženje "Igra 27" Cazin on I have a dream for the period 4 March until 31 July 2022  Ref. 111-22-AD-BA10-NP  1 Am ref. 196-22-LEG-BA10-NP</t>
  </si>
  <si>
    <t>Association “Igra27”</t>
  </si>
  <si>
    <t>Bosnia and Hezergovina</t>
  </si>
  <si>
    <t xml:space="preserve"> Centar za odrzivi razvoj Bihac  Project Implementation Agreement signed with CoR Bihac for implementation of the project Youth and migration action in the period 04 March until 31 July 2022  Ref. 113-22-AD-BA10-NP  PO revised in accordance with Amendment</t>
  </si>
  <si>
    <t xml:space="preserve"> Udruženje za razvoj kulture, nauke i umjetnosti SCENA  Project Implementation Agreement on I have the right to theatre /my story for the period 4 March until 31 July 2022  Ref.110-22-AD-BA10-NP</t>
  </si>
  <si>
    <t xml:space="preserve"> Project Implementation Agreement signed with Udruženje "OMAHA" Cazin on COME CLOSER TO ME - UNDERSTAND ME BETTER for the period 4 March until 31 July 2022</t>
  </si>
  <si>
    <t>Udruzenje Centar OMAHA</t>
  </si>
  <si>
    <t xml:space="preserve"> Project Implementation Agreement signed with Udruženje "Ujedinjene zene" Bihac on International Grace United (United through cultures for the period 09 March until 31 July 2022</t>
  </si>
  <si>
    <t xml:space="preserve"> Project Implementation Agreement signed with  IPSIA BiH, Institut za mir, razvoj, Bihac on "Grow together, learn from each other" for the period 04 March until 31 July 2022</t>
  </si>
  <si>
    <t xml:space="preserve"> Contract 221-22-AD-BA410-NP  Project Implemenetation Agreement signed with Association ASUS on SMILE (Saradnja migrantskih i lokalnih ekipa/ Cooperation between migrant and local teams)  *Po revised after signed 1 Amendment ref 352-22-AD-BA410-NP</t>
  </si>
  <si>
    <t>Udruzenje ASUS</t>
  </si>
  <si>
    <t xml:space="preserve"> Udruzenje Zenski odbojkaski klub Bihac  Project Implementation Agreement signed for the implementation period 16 March until 31 July 2022 for the project Vollyball sport for women population  ref. 217-22-AD-BA10-NP</t>
  </si>
  <si>
    <t>Udruzenje Zenski odbojkaski klub</t>
  </si>
  <si>
    <t xml:space="preserve"> Akademija nogometa Jedinstvo-The first instalment in the amount of BAM 9.710,40 (Nine Thousand Seven Hundred and Ten Bosnian Convertible Marks and Forty Pfennigs) shall become due after signature of this Agreement and upon IOM’s receipt of the Partner’s</t>
  </si>
  <si>
    <t>Akademija nogometa Jedinstvo</t>
  </si>
  <si>
    <t xml:space="preserve"> Udruzenje zena Most Jablanica-The first instalment in the amount of BAM 3,500.00 (Three Thousand Five Hundred Bosnian Convertible Marks) shall become due after signature of this Agreement and upon IOM’s receipt of the Partner’s payment request.</t>
  </si>
  <si>
    <t>Udruzenje zena Most Jablanica</t>
  </si>
  <si>
    <t xml:space="preserve"> Udruzenje Obojena klapa-1st instalement after signature of this Agreement and upon IOM’s receipt of the Implementing Partner’s payment request.</t>
  </si>
  <si>
    <t>Udruzenje Obojena Klapa</t>
  </si>
  <si>
    <t>CS.1157</t>
  </si>
  <si>
    <t>“Mamuncia” Program for the Cauca Littoral</t>
  </si>
  <si>
    <t xml:space="preserve"> CONVENIO CM-407-001 DE 2022 12616503 CORPORACION SEDECOM  TOTAL VALUE: COP 607.729.178 IOM CONTRIB: COP 500.000.000 + 60,229,178 COR CONTRIB: COP 40.000.000 + 7.500.000</t>
  </si>
  <si>
    <t xml:space="preserve"> PR#4200291677 Implementing Partner Agreement with Liwan Organization to facilitate the project on Towards Social Dialogue and Cohesion</t>
  </si>
  <si>
    <t>LIWAN ORGANIZATION FOR CULTURE AND</t>
  </si>
  <si>
    <t xml:space="preserve"> Project Title: People Without Barriers</t>
  </si>
  <si>
    <t>Konak Municipality</t>
  </si>
  <si>
    <t xml:space="preserve"> Project Title: Specialized Entrepreneurship Training Program (Mersin) - WEPOWER: Empowering Women Entrepreneurs</t>
  </si>
  <si>
    <t>Mersin Technopark</t>
  </si>
  <si>
    <t xml:space="preserve"> Project Title: Turkish Language Courses</t>
  </si>
  <si>
    <t xml:space="preserve"> This is an additional PO to allocate the final installment under the agreenment to a new WBS i.e. CS.1166.TR40.D4.02.001</t>
  </si>
  <si>
    <t>Getham Tasarim ve Modelleme Merkezi</t>
  </si>
  <si>
    <t>CS.1176</t>
  </si>
  <si>
    <t>Leaving No One Behind: Improving the Skills and the Economic Opportunities for the Bangladeshi Community and Rohingya Women and Youth in Cox’s Bazar, Bangladesh</t>
  </si>
  <si>
    <t xml:space="preserve"> PR - 4200345930 Unit- SoCo Requestor - Faiz Noor.</t>
  </si>
  <si>
    <t xml:space="preserve"> PR - 4200352361 Unit - SoCo Requestor - Faiz Noor</t>
  </si>
  <si>
    <t xml:space="preserve"> PI services in prevention and reintegration activities</t>
  </si>
  <si>
    <t xml:space="preserve"> Small grant for the operation of the hotline by BWC Brest (USAID project)</t>
  </si>
  <si>
    <t xml:space="preserve"> Small grant for the operation of the hotline by BWC Brest</t>
  </si>
  <si>
    <t>CT.1074</t>
  </si>
  <si>
    <t>UN Joint Programme for the Region of Kigoma – Violence against Women and Children</t>
  </si>
  <si>
    <t xml:space="preserve"> Staff cost</t>
  </si>
  <si>
    <t>Tanzania (United Republic)</t>
  </si>
  <si>
    <t>CT.1133</t>
  </si>
  <si>
    <t>Counter Trafficking in Persons (CTIP) in Ukraine</t>
  </si>
  <si>
    <t xml:space="preserve"> UA1-2021-3013/NGO report/01.02-07.10.22/2 inst Conduct micro-enterprise development training for at least 25 former VoTs, assist with business plan development and facilitatecompetitive business plan presentation session. Facilitate procurement and trans</t>
  </si>
  <si>
    <t xml:space="preserve"> UA1-2022-3051_IP Services_Ensuring comprehensive protection response in Zakarpattia Oblast_Implementation of project on counter trafficking, exploitation, and GBV</t>
  </si>
  <si>
    <t xml:space="preserve"> IP services_Ensuring comprehensive protection response in Ternopil oblast</t>
  </si>
  <si>
    <t xml:space="preserve"> IP _ Ensuring comprehensive protection response in Chernivtsi oblast</t>
  </si>
  <si>
    <t xml:space="preserve"> Premier versement à la signature du IP agreement et à la réception par l'OIM de la demande de paiement du partenaire d'exécution</t>
  </si>
  <si>
    <t>SOLIDARITE FEMININE</t>
  </si>
  <si>
    <t xml:space="preserve">    IP CONTRACT EXTENSIONS -CARITAS  PR N°4200179073 du 16-01-2022</t>
  </si>
  <si>
    <t xml:space="preserve">   IP AGREEMENT WITH SOS VILLAGES  PR N°4200284276 DU 13-06-2022</t>
  </si>
  <si>
    <t>DP.0675</t>
  </si>
  <si>
    <t>Assist Northbound Transregional/Continental Mixed Migration Flow in Colombia</t>
  </si>
  <si>
    <t xml:space="preserve"> CONVENIO E&lt;(&gt;&amp;&lt;)&gt;E - 024 - 001 DE 2022 12626899 ASOCIACION DE APOYO AL DESARROLLO (IP)  TOTAL VALUE:  COP 137.850.200 OIM CONTRIB:  COP 80.000.000 + 46.000.000 FUD CONTRIB:  COP 7.000.000 + 4.850.200</t>
  </si>
  <si>
    <t>DP.0740</t>
  </si>
  <si>
    <t>Upscaling Multisector Humanitarian Assistance for Populations Affected by Insecurity in Cabo Delgado, Mozambique</t>
  </si>
  <si>
    <t xml:space="preserve"> IP transfers – International CSOs (Goods Emergency Shelter Intervention for the most vulnerable IDPs in Ibo District</t>
  </si>
  <si>
    <t>DP.0788</t>
  </si>
  <si>
    <t>Improving Migrant Assistance and Supporting Local Communities in Republika Srpska</t>
  </si>
  <si>
    <t xml:space="preserve"> Red Cross mobile units support and coordination (Visegrad, Bijeljina, Banja Luka) from 15.02.-15.11.2022 Contract ref.:225-22-AD-BA10-NP</t>
  </si>
  <si>
    <t xml:space="preserve"> Red Cross mobile units support and coordination in Tuzla Canton Contract ref.:381-22-AV-BA10-NP</t>
  </si>
  <si>
    <t>DP.0962</t>
  </si>
  <si>
    <t>2022 Regional Refugee and Migrant Response Plan (RMRP) for the Venezuelan Situation</t>
  </si>
  <si>
    <t xml:space="preserve"> CONVENIO E&lt;(&gt;&amp;&lt;)&gt;E - 019 - 003 DE 2021 12626433 CORPORACION VIVE - EME CONTINUE TO PO 4500139136  TOTAL VALUE: COP 1.420.964.788 OIM CONTRIB: COP   499.126.272 + 153.163.200 + 162.489.600 CRP CONTRIB: COP   606.185.716</t>
  </si>
  <si>
    <t>CORPORACION VIVE</t>
  </si>
  <si>
    <t xml:space="preserve"> CONVENIO E&lt;(&gt;&amp;&lt;)&gt;E-019-012 DE 2021 12626963 CORPORACION SCALABRINI (IP) -EME CONTINUE TO PO 4500140773 TOTAL VALUE: COP 2.571.108.043 IOM CONTRIB: COP 399.600.000 + 140.775.000 + 131.960.000 BOGOTÁ              COP 754.800.000 + 225.240.000 + 100.000.000</t>
  </si>
  <si>
    <t>CORPORACION SCALABRINI</t>
  </si>
  <si>
    <t xml:space="preserve"> CONVENIO E&lt;(&gt;&amp;&lt;)&gt;E-019-009 DE 2021 12610326 SEC. DIOCES. PASTORAL SOCIAL IPI CONTINUE TO PO 4500139120 TOTAL VALUE:  COP 1.838.158.050 IOM CONTRIB: COP   732.600.000 + 168.930.000 + 187.488.000 + 80.000.000 SEC CONTRIB: COP    352.066.000 + 317.074.050</t>
  </si>
  <si>
    <t>SEC. DIOCES. PASTORAL SOCIAL IPIALE</t>
  </si>
  <si>
    <t xml:space="preserve"> CONVENIO E&lt;(&gt;&amp;&lt;)&gt;E-019-007 DE 2021 12628262 SECRETARIADO DIOCESANO PASTORAL S  TOTAL VALUE: COP 1.702.896.044 IOM CONTRIB: COP 732.600.000 + 168.930.000 + 187.488.000 + 55.844.711 SEC CONTRIB: COP 257.133.333 + 300.900.000  CONTINUE TO PO  4500142878</t>
  </si>
  <si>
    <t xml:space="preserve"> CONVENIO E&lt;(&gt;&amp;&lt;)&gt;E-019-008 DE 2021 12626896 FUNDACION PERSONAS PASO A PASO IP EME CONTINUE TO PO 4500139123  TOTAL VALUE: COP 1.602.787.600 IOM CONTRIB: COP   754.800.000 + 302.770.000 + 168.930.000 FUN CONTRIB: COP   376.287.600</t>
  </si>
  <si>
    <t>FUNDACION PERSONAS PASO A PASO (IP)</t>
  </si>
  <si>
    <t xml:space="preserve"> CONVENIO E&lt;(&gt;&amp;&lt;)&gt;E-019-002 DE 2021 12626894 SECRETARIADO PASTORAL S.D PALMIRA  CONTINUE TO PO 4500142215  TOTAL VALUE: COP 2.145.128.598 IOM CONTRIB: COP 580.000.000 + 67.000.000 + 202.716.000 + 200.000.000 +                  293.025.000 + 204.480.000 +</t>
  </si>
  <si>
    <t xml:space="preserve"> CONVENIO E&lt;(&gt;&amp;&lt;)&gt;E-019-013 DE 2021 12626899 ASOCIACION DE APOYO AL DESARROLLO EME CONTINUE TO PO 4500139837 TOTAL VALUE: COP 2.009.040.000 IOM CONTRIB: COP 1.443.000.000 + 225.240.000 + 270.000.000 ASC CONTRIB: COP    45.800.000 +  25.000.000</t>
  </si>
  <si>
    <t xml:space="preserve"> CONVENIO E&lt;(&gt;&amp;&lt;)&gt;E - 019 - 005 DE 2021 12628275 FUNDACION COMMUNITAS (IP) CONTINUE TO PO 4500145547 TOTAL VALUE:  COP 593.303.200 OIM CONTRIB:  COP 299.700.000 + 84.465.000 + 113.000.000 SOC CONTRIB:  COP 96.138.200</t>
  </si>
  <si>
    <t>FUNDACION COMMUNITAS (IP)</t>
  </si>
  <si>
    <t xml:space="preserve"> CONVENIO E&lt;(&gt;&amp;&lt;)&gt;E - 019 - 006 DE 2021 12617462 SECRETA DE PASTORAL SOCIAL RIOHACHA - EME CONTINUE TO PO 4500139138  TOTAL VALUE:  COP 1.624.315.470 OIM CONTRIB:  COP 444.000.000 + 168.930.000 + 187.488.000 SOC CONTRIB:  COP 823.897.470</t>
  </si>
  <si>
    <t>SECRETA DE PASTORAL SOCIAL RIOHACHA</t>
  </si>
  <si>
    <t xml:space="preserve"> CONVENIO E&lt;(&gt;&amp;&lt;)&gt;E-019-023 DE 2021 12627606 WORLD VISION INTERNATIONAL (IP)- EME CONTINUE TO PO 4500149018 TOTAL VALUE: COP 1.706.627.858 IOM CONTRIB: COP 1.084.723.238 + 503.370.000 + 76.500.000 UNV CONTRIB:  COP   42.034.620</t>
  </si>
  <si>
    <t xml:space="preserve"> CONVENIO E&lt;(&gt;&amp;&lt;)&gt;E-019-016 DE 2021 12607926 FUNDACION PLAN - EME CONTINUE TO PO 4500140763 TOTAL VALUE: COP 3.044.122.407 IOM CONTRIB: COP 1.531.800.029 + 97.604.000 + 551.310.000 +709.090.001 UNV CONTRIB: COP   154.318.377</t>
  </si>
  <si>
    <t xml:space="preserve"> CONVENIO E&lt;(&gt;&amp;&lt;)&gt;E-019-017 DE 2021 12623516 FUNDACION SIGNIFICANTE (IP)-EME CONTINUE TO PO 4500146217 TOTAL VALUE: COP 704.136.000 IOM CONTRIB: COP 296.000.000 + 159.800.000+ 218.736.000 FND CONTRIB:  COP 29.600.000</t>
  </si>
  <si>
    <t xml:space="preserve"> CONVENIO E&lt;(&gt;&amp;&lt;)&gt;E-019-001 DE 2021 12624738 CENTRO ARQUIDIOCESANO DEL MIGRANT EME CONTINUE TO PO 4500140761 TOTAL VALUE: COP  1.520.433.984 IOM CONTRIB: COP   486.000.000 + 29.100.000 + 168.930.000 + 200.000.000 + 87.640.000 ARQ CONTRIB: COP   246.871.97</t>
  </si>
  <si>
    <t>CENTRO ARQUIDIOCESANO DEL MIGRANTE</t>
  </si>
  <si>
    <t xml:space="preserve"> CONVENIO E&lt;(&gt;&amp;&lt;)&gt;E-019-015 DE 2021 12601091 SOCIEDAD NACIONAL DE LA CRUZ ROJA  -EME CONTINUE TO PO 4500146820 TOTAL VALUE: COP 5.201.630.056 IOM CONTRIB: COP 1.443.000.000 + 379.933.886 CASANARE + 1.332.000.000 +  446.573.288 N. SANTANDER + 382.460.800 C</t>
  </si>
  <si>
    <t xml:space="preserve"> CONVENIO E&lt;(&gt;&amp;&lt;)&gt;E-019-025 DE 2021 12615137 CORPORACION VIVIENDO JUNTOS  CONTINUE TO PO 4500142485  TOTAL VALUE: COP 656.453.732 IOM CONTRIB: COP 178.219.798 + 119.850.000 + $218.736.000 COR CONTRIB: COP 139.647.934</t>
  </si>
  <si>
    <t>CORPORACION VIVIENDO JUNTOS</t>
  </si>
  <si>
    <t xml:space="preserve"> CONVENIO E&lt;(&gt;&amp;&lt;)&gt;E-019-028 DE 2021 12611970 ALDEAS INFANTILES SOS COLOMBIA -EME CONTINUE TO PO 4500147631 TOTAL VALUE: COP 2.097.133.679 IOM CONTRIB: COP 1.198.800.000 -154.276.393 + 275.655.000 + 794.422.460                                   - 67.867.38</t>
  </si>
  <si>
    <t>ALDEAS INFANTILES COLOMBIA</t>
  </si>
  <si>
    <t xml:space="preserve"> CONVENIO E&lt;(&gt;&amp;&lt;)&gt;E-019-022 DE 2021 12601139 CORPORACION OPCION LEGAL (IP)-EME CONTINUE TO PO 4500146225 TOTAL VALUE: COP 6.265.620.352 IOM CONTRIB: COP 2.990.526.938 + 1.402.245.000 + 1.659.245.000 CRP CONTRIB:  COP  213.120.562</t>
  </si>
  <si>
    <t xml:space="preserve"> CONVENIO E&lt;(&gt;&amp;&lt;)&gt;E-019-024 DE 2021 12613461 CRUZ ROJA COLOM SECC C/MARCA (IP) CONTINUE TO PO 4500143476 TOTAL VALUE: COP 865.393.818 IOM CONTRIB: COP 333.000.000 + 191.760.000 + 210.000.000 CRC CONTRIB: COP 130.633.818</t>
  </si>
  <si>
    <t xml:space="preserve"> CONVENIO E&lt;(&gt;&amp;&lt;)&gt;E-019-014 DE 2021 12600942 SECRETARIADO PASTORAL SOCIAL CARI EME CONTINUE TO PO 4500140777 TOTAL VALUE: COP 379.762.041 IOM CONTRIB: COP 130.874.600 + 25.013.540 + 45.048.000 + 11.929.340 + 99.930.561 SCR CONTRIB: COP  66.966.000</t>
  </si>
  <si>
    <t xml:space="preserve"> CONVENIO E&lt;(&gt;&amp;&lt;)&gt;E-026-002 DE 2022 12600281 CORPORACION DESARROLLO-CORPRODINCO  TOTAL VALUE: COP 584.551.000 IOM CONTRIB: COP 346.806.000 + 97.675.000 + 68.160.000 + 71.910.000 COR CONTRIB: COP $9.000.000 + 20.750.000 + 1.550.000 + 3.850.000</t>
  </si>
  <si>
    <t xml:space="preserve"> CONVENIO E&lt;(&gt;&amp;&lt;)&gt;E-026-001 DE 2022 12627606 WORLD VISION INTERNATIONAL (IP)  TOTAL VALUE: COP 197.982.975 IOM CONTRIB: COP 184.193.372 WVI CONTRIB: COP  13.789.603</t>
  </si>
  <si>
    <t xml:space="preserve"> CONVENIO E&lt;(&gt;&amp;&lt;)&gt;E-026-008 DE 2022 12613461 CRUZ ROJA COLOM SECC C/MARCA (IP)  TOTAL VALUE: COP 1.645.884.497 IOM CONTRIB: COP 664.353.000 + 408.960.000 + 119.850.000 CRU CONTRIB: COP 347.635.664 + 105.085.833</t>
  </si>
  <si>
    <t xml:space="preserve"> CONVENIO E&lt;(&gt;&amp;&lt;)&gt;E-026-007 DE 2022 12617462 SECRETA DE PASTORAL SOCIAL RIOHACHA  TOTAL VALUE:  COP 1.328.588.940 OIM CONTRIB:  COP 456.600.000 + 182.640.000 PAS CONTRIB:  COP 437.485.380 + 251.863.560</t>
  </si>
  <si>
    <t xml:space="preserve"> CONVENIO E&lt;(&gt;&amp;&lt;)&gt;E-026-009 DE 2022 12628275 FUNDACION COMMUNITAS (IP)  TOTAL VALUE:  COP 465.152.000 OIM CONTRIB:  COP 385.167.000 FUN CONTRIB:  COP 79.985.000</t>
  </si>
  <si>
    <t xml:space="preserve"> CONVENIO E&lt;(&gt;&amp;&lt;)&gt;E-026-012-2022 12611970 ALDEAS INFANTILES COLOMBIA  TOTAL VALUE:  COP 512.606.520 OIM CONTRIB:  COP 228.300.000 + 136,320,000 + 71.910.000 ALD CONTRIB:  COP 34.695.000 + 23.252.446 + 17.129.074</t>
  </si>
  <si>
    <t xml:space="preserve"> CONVENIO E&lt;(&gt;&amp;&lt;)&gt;E-026-022-2022 12628262 SECRETARIADO DIOCESANO PASTORAL SOC  TOTAL VALUE:  COP 972.480.000 OIM CONTRIB:  COP 342.450.000 + 204.480.000 + 95.880.000 ALD CONTRIB:  COP 179.500.000 + 106.100.000 + 44.070.000</t>
  </si>
  <si>
    <t xml:space="preserve"> CONVENIO E&lt;(&gt;&amp;&lt;)&gt;E 026-024- DE 2022 12627208 FUNDACION RENACER  TOTAL VALUE:  COP 1.130.754.775 OIM CONTRIB:  COP 608.904.775 + 115.950.000 + 285.000.000 FUN CONTRIB:  COP 120.900.000</t>
  </si>
  <si>
    <t xml:space="preserve"> CONVENIO E&lt;(&gt;&amp;&lt;)&gt;E-026-023 DE 2022 12610326 SEC. DIOCES. PASTORAL SOCIAL IPIALE TOTAL VALUE: COP 1.559.527.750 IOM CONTRIB: COP 570.750.000 + 340.800.000 + 191.760.000 SEC CONTRIB: COP 244.417.750 + 146.000.000 + 65.800.000</t>
  </si>
  <si>
    <t xml:space="preserve"> CONVENIO EE-026-019 DE 2022 12601091 SOCIEDAD NACIONAL DE LA CRUZ ROJA  TOTAL VALUE:  COP 2.133.915.468 OIM CONTRIB:  COP 456.600.000 + 313.536.000 VLLA DEL ROSARIO + 570.750.000 + 340.800.000 YOPAL 114.150.000 + 68.160.000 POPAYAN SOC CONTRIB:  COP 66.7</t>
  </si>
  <si>
    <t xml:space="preserve"> CONVENIO E&lt;(&gt;&amp;&lt;)&gt;E 026 - 017 DE 2022 12626899 ASOCIACION DE APOYO AL DESARROLLO  TOTAL VALUE:  COP 400.218.795 OIM CONTRIB:  COP 390.218.795 SOC CONTRIB:  COP 10.000.000</t>
  </si>
  <si>
    <t xml:space="preserve"> CONVENIO E&lt;(&gt;&amp;&lt;)&gt;E-026-013 DE 2022 12628992 Cooperative Assistance and Relief  TOTAL VALUE: COP 2.324.433.920 IOM CONTRIB: COP 1.201.755.000 + 832.100.597 COO CONTRIB: COP   191.486.444 + 99.091.879</t>
  </si>
  <si>
    <t xml:space="preserve"> CONVENIO E&lt;(&gt;&amp;&lt;)&gt;E 026-004 DE 2022 12627606 WORLD VISION INTERNATIONAL (IP)  TOTAL VALUE:  COP 463.930.660 OIM CONTRIB:  COP 280,765,394 + 155.781.762 WOR CONTRIB:  COP 17.823.574  +   9.559.930</t>
  </si>
  <si>
    <t xml:space="preserve"> CONVENIO E&lt;(&gt;&amp;&lt;)&gt;E-026-003 DE 2022 12626899 ASOCIACION DE APOYO AL DESARROLLO  TOTAL VALUE:  COP 768.450.000 OIM CONTRIB:  COP 741.000.000 SOC CONTRIB:  COP  27.450.000</t>
  </si>
  <si>
    <t xml:space="preserve"> CONVENIO E&lt;(&gt;&amp;&lt;)&gt;E-026-016 DE 2022 12627606 WORLD VISION INTERNATIONAL (IP)  TOTAL VALUE: COP 457.379.552 IOM CONTRIB: COP 280.080.000 + 145.162.294 WOR CONTRIB: COP  18.100.000 +  14.037.258</t>
  </si>
  <si>
    <t xml:space="preserve"> CONVENIO E&lt;(&gt;&amp;&lt;)&gt;E-026-018 DE 2022 12611970 ALDEAS INFANTILES COLOMBIA  TOTAL VALUE: COP 1.225.639.455 IOM CONTRIB: COP 1.225.639.455</t>
  </si>
  <si>
    <t xml:space="preserve"> CONVENIO E&lt;(&gt;&amp;&lt;)&gt;E-026-010 DE 2022 12627100 SAMARITAN S PURSE (IP)  TOTAL VALUE: COP 570.004.805 IOM CONTRIB: COP 365.280.000 + 204.724.803</t>
  </si>
  <si>
    <t>SAMARITAN S PURSE (IP)</t>
  </si>
  <si>
    <t xml:space="preserve"> CONVENIO E&lt;(&gt;&amp;&lt;)&gt;E -026-027 DE 2022 12601139 CORPORACION OPCION LEGAL (IP)  TOTAL VALUE: COP 3.507.267.905 OIM CONTRIB: COP 3.507.267.905</t>
  </si>
  <si>
    <t xml:space="preserve"> CONVENIO E&lt;(&gt;&amp;&lt;)&gt;E-026-014 DE 2022 12607926 FUNDACION PLAN  TOTAL VALUE: COP 1.487.989.072 IOM CONTRIB: COP 900.299.240 + 515.523.739 FUN CONTRIB: COP  45.491.421 +  26.674.672</t>
  </si>
  <si>
    <t xml:space="preserve"> CONVENIO E&lt;(&gt;&amp;&lt;)&gt;E-026-020 DE 2022 12627606 WORLD VISION INTERNATIONAL (IP)  TOTAL VALUE:  COP 577.615.657 OIM CONTRIB:  COP 280.080.000 + 139.419.187 WOR CONTRIB:  COP 80.950.988 + 77.165.482</t>
  </si>
  <si>
    <t xml:space="preserve"> CONVENIO E&lt;(&gt;&amp;&lt;)&gt;E-026-028 DE 2022 12628992 COOP FOR ASSISTANCE AND RELIEF EVER  TOTAL VALUE: COP   868.654.663 IOM CONTRIB: COP   652.641.876 + 87.742.174 SOC CONTRIB: COP   106.595.110 + 21.975.503</t>
  </si>
  <si>
    <t xml:space="preserve"> CONVENIO E&lt;(&gt;&amp;&lt;)&gt;E-019-036 DE 2022 12613461 CRUZ ROJA COLOM SECC C/MARCA (IP)  TOTAL VALUE: COP 650.349.500 IOM CONTRIB: COP 293.025.000 + 308.745.000 SOC CONTRIB: COP 48.579.000</t>
  </si>
  <si>
    <t xml:space="preserve"> CONVENIO E&lt;(&gt;&amp;&lt;)&gt;E-026-025 DE 2022 12627100 SAMARITAN S PURSE (IP)  TOTAL VALUE:  COP 684.900.000 + 368.064.000 OIM CONTRIB:  COP 684.900.000 + 368.064.000</t>
  </si>
  <si>
    <t xml:space="preserve"> CONVENIO E&lt;(&gt;&amp;&lt;)&gt;E-026-015 de 2022 12627208 FUNDACION RENACER  TOTAL VALUE: COP   412.416.318 IOM CONTRIB: COP   171.031.462 + 104.163.222 SOC CONTRIB: COP   171.031.462 - 33.809.828</t>
  </si>
  <si>
    <t xml:space="preserve"> CONVENIO E&lt;(&gt;&amp;&lt;)&gt;E - 026 - 021 - DE 2022 12600259 CONSEJO NORUEGO PARA REFUGIADOS  TOTAL VALUE: COP  612.700.000 IOM CONTRIB: COP  612.700.000</t>
  </si>
  <si>
    <t>CONSEJO NORUEGO PARA REFUGIADOS</t>
  </si>
  <si>
    <t xml:space="preserve"> CONVENIO E&lt;(&gt;&amp;&lt;)&gt;E - 026 - 026 - DE 2022 12629047 FUNDACION BLUMONT COLOMBIA  TOTAL VALUE: COP  1.033.072.105 IOM CONTRIB: COP  1.033.072.105</t>
  </si>
  <si>
    <t>FUNDACION BLUMONT COLOMBIA</t>
  </si>
  <si>
    <t xml:space="preserve"> CONVENIO E&lt;(&gt;&amp;&lt;)&gt;E - 026 - 011 DE 2022 12627606 WORLD VISION INTERNATIONAL (IP)  TOTAL VALUE: COP  1.297.719.956 IOM CONTRIB: COP  1.297.719.956</t>
  </si>
  <si>
    <t xml:space="preserve"> CONVENIO E&lt;(&gt;&amp;&lt;)&gt;E-026-030 de 2022 12615137 CORPORACION VIVIENDO JUNTOS  TOTAL VALUE: COP   322.172.535 IOM CONTRIB: COP   192.000.000 SOC CONTRIB: COP   130.172.535</t>
  </si>
  <si>
    <t xml:space="preserve"> CONVENIO E&lt;(&gt;&amp;&lt;)&gt;E-026-029 DE 2022 12628992 COOP FOR ASSISTANCE AND RELIEF  TOTAL VALUE: COP 900.546.005 OIM CONTRIB: COP 824.603.406 SOC CONTRIB: COP 75.942.599</t>
  </si>
  <si>
    <t xml:space="preserve"> PR # 4200367027 IP Agreement (Baluchistan Rural Development Society (BRDS)</t>
  </si>
  <si>
    <t>BRDS PRJ</t>
  </si>
  <si>
    <t xml:space="preserve"> PR # 4200367052 mproving health facility infrastructure and Health service delivery in areas most affected by the floods, with focus on vulnerable Afghan and host communities</t>
  </si>
  <si>
    <t xml:space="preserve"> Implementation of activities under IOM Project - Comprehensive Action Plan for Afghanistan and neighbouring countries.</t>
  </si>
  <si>
    <t>DP.1246</t>
  </si>
  <si>
    <t>Responding to Typhoon Rai (Odette) in Eastern Visayas and Caraga Region</t>
  </si>
  <si>
    <t xml:space="preserve"> PR No.: 4200196192 Please refer to the attached Project Implementation Agreement between IOM and CRS on Typhoon Rai Response in Eastern Visayas and Caraga Region</t>
  </si>
  <si>
    <t>CATHOLIC RELIEF SERVICES-UNITED STA</t>
  </si>
  <si>
    <t xml:space="preserve"> PR NO.: 4200204425 IP CARE PHILIPPINES on Typhoon RAI Response in Surigao City and Siargao Island (BHA)  Please see attached signed Project Implementation Agreement</t>
  </si>
  <si>
    <t>CARE Philippines</t>
  </si>
  <si>
    <t>DP.1398</t>
  </si>
  <si>
    <t>Emergency Grant Aid in Response to the Deterioration of the Humanitarian Situation in Belarus</t>
  </si>
  <si>
    <t xml:space="preserve"> Grant to IP for emergency humanitarian support</t>
  </si>
  <si>
    <t xml:space="preserve"> Grant to IP on counselling migrants coming from the territory of Ukraine on long-term solutions</t>
  </si>
  <si>
    <t xml:space="preserve"> IP grant on counselling migrants coming from the territory of Ukraine on long-term solutions</t>
  </si>
  <si>
    <t xml:space="preserve"> Grant to IP to conduct the activities within Displacement Tracking Matrix</t>
  </si>
  <si>
    <t>DP.1427</t>
  </si>
  <si>
    <t>Emergency Response to Stranded Migrants in Belarus</t>
  </si>
  <si>
    <t>DP.1685</t>
  </si>
  <si>
    <t>Emergency Assistance for Afghan Returnee, Displaced and Otherwise Vulnerable Populations and Humanitarian Response Strengthening</t>
  </si>
  <si>
    <t xml:space="preserve"> Relief Humanitarian Development Organization (RHDO) for supporting of COVID-19 responses in Nangarhar and Herat provinces of Afghanistan for the month of November 2021 to December 2021</t>
  </si>
  <si>
    <t>RELIEF HUMANITARIAN DEVELOPMENT</t>
  </si>
  <si>
    <t xml:space="preserve"> Organization for Health promotion and Management (OHPM) for supporting to COVID-19 response in Kandahar and Helmand provinces in Afghanistan from November 2021 to December 2021</t>
  </si>
  <si>
    <t>ORGANIZATION FOR HEALTH PROMOTION</t>
  </si>
  <si>
    <t xml:space="preserve"> Third payment upon delivery and approval of the second financial and technical report. COLEF</t>
  </si>
  <si>
    <t>EL COLEGIO DE LA  FRONTERA NORTE AC</t>
  </si>
  <si>
    <t xml:space="preserve"> Third instalment Training for shelters on requirements for thelr legal constitution, selection and training of university volunteers to support shelters.</t>
  </si>
  <si>
    <t>DP.1853</t>
  </si>
  <si>
    <t>Emergency Grant Aid for the Philippines in Response to Typhoon Disaster</t>
  </si>
  <si>
    <t xml:space="preserve"> PR No.: 4200211467 IP Catholic Relief Services on Typhoon Rai Shelter Support in Southern Leyte  Please refer to the attached PIA signed on 18-February2022</t>
  </si>
  <si>
    <t>DP.1940</t>
  </si>
  <si>
    <t xml:space="preserve"> Implementing Partners for NFI distribution in RMM implementation NW: NOV 2022- FEB 2023</t>
  </si>
  <si>
    <t xml:space="preserve"> Implementing Partners for NFI distribution in RMM implementation SW - NOV 2022 - FEB 2023</t>
  </si>
  <si>
    <t>DP.2035</t>
  </si>
  <si>
    <t>Addressing Urgent Humanitarian Needs of Internally Displaced Persons and Returnees in Iraq</t>
  </si>
  <si>
    <t xml:space="preserve"> PR#4200206448 Erbil/developing IP agreement with WRO supplementary PR for 4200099908 and 4200177543 for contusing</t>
  </si>
  <si>
    <t>DP.2038</t>
  </si>
  <si>
    <t>Strengthening National Level Coordination and Collaboration for more effective Disaster Risk Reduction (DRR) Interventions in Bangladesh</t>
  </si>
  <si>
    <t xml:space="preserve"> IP Special-Overhead</t>
  </si>
  <si>
    <t>UN RESIDENT COORDINATOR'S OFFICE</t>
  </si>
  <si>
    <t>DP.2042</t>
  </si>
  <si>
    <t>Protection of Vulnerable Conflict-Affected Communities in Ukraine and Provision of Financial Assistance to Address Essential Needs</t>
  </si>
  <si>
    <t>Protection and Winterization Assistance to the Most Vulnerable Conflict-Affected Populations in Ukraine</t>
  </si>
  <si>
    <t xml:space="preserve"> IP Agreement UA1-2022-3047_Implementing Partner for Operation of the National Toll-Free Counter-Trafficking and Migrant Advice Hotline 527 during August-December 2022</t>
  </si>
  <si>
    <t xml:space="preserve"> IP services_Implementation of the project on ensuring comprehensive protection assistance for survivors of trafficking, exploitation and GBV in Odesa oblast</t>
  </si>
  <si>
    <t xml:space="preserve"> IP services_Implementation of the project on ensuring comprehensive protection response for survivors of trafficking, exploitation and GBV in Volyn oblast</t>
  </si>
  <si>
    <t xml:space="preserve"> IP services_Implementation of the project on ensuring comprehensive protection response for survivors of trafficking, exploitation and GBV In RIVNE OBLAST</t>
  </si>
  <si>
    <t xml:space="preserve"> IP services for the project on CHT, exploitation and GBV_Chernihiv obl</t>
  </si>
  <si>
    <t xml:space="preserve"> Our Reference: PR NO. (4200351099) IP services for distribution of NFI items in Mykolaivska Oblast  Type of contract signed: Framework agreement  PO is for internal use  - financial tracking only (no signature required).</t>
  </si>
  <si>
    <t xml:space="preserve"> Individual measure to strengthen the response capacity to manage migration flows in Bosnia and Herzegovina for the period of 01 April to 31 December 2022 * PO prepared retoactively from 01 April 2022</t>
  </si>
  <si>
    <t>DP.2058</t>
  </si>
  <si>
    <t>Humanitarian Assistance to Conflict Affected Households in Greater Upper Nile, South Sudan</t>
  </si>
  <si>
    <t xml:space="preserve"> Contractual cost for implementation of GBV Response project in Juba through FCDO funds under REF #4200332637.</t>
  </si>
  <si>
    <t>ACTIVE YOUTH AGENCY (AYA)</t>
  </si>
  <si>
    <t>DP.2093</t>
  </si>
  <si>
    <t>ACTED Sudan</t>
  </si>
  <si>
    <t xml:space="preserve"> PR# 4200200149</t>
  </si>
  <si>
    <t xml:space="preserve"> PR#4200211706</t>
  </si>
  <si>
    <t>International Aid Service</t>
  </si>
  <si>
    <t xml:space="preserve"> PR#4200211716 PR#4200269926</t>
  </si>
  <si>
    <t xml:space="preserve"> PR# 4200211638</t>
  </si>
  <si>
    <t>SORR-Sudanese Organization Relief &amp;</t>
  </si>
  <si>
    <t xml:space="preserve"> PR#4200212761 Additional PR#4200270224</t>
  </si>
  <si>
    <t>Triangle Generation HUmanitaire</t>
  </si>
  <si>
    <t xml:space="preserve"> PR# 4200217749</t>
  </si>
  <si>
    <t>Peace Light for Rural Development O</t>
  </si>
  <si>
    <t xml:space="preserve"> RRF-22-06-protection/WASH PR# 4200270004</t>
  </si>
  <si>
    <t xml:space="preserve"> 1st installment (advanced upon signature of the agreement and upon IOM's receipt of the sub-grantees payment request).</t>
  </si>
  <si>
    <t>DOSHA for Social Development Org</t>
  </si>
  <si>
    <t xml:space="preserve"> RRF-22-08-Health DP.2093 PR#4200281119</t>
  </si>
  <si>
    <t xml:space="preserve"> First installment payment as per contract</t>
  </si>
  <si>
    <t>Community Technology Empowerment</t>
  </si>
  <si>
    <t>DP.2200</t>
  </si>
  <si>
    <t>Multi-Sectoral Support for Crisis-Affected Population in Libya</t>
  </si>
  <si>
    <t xml:space="preserve"> Consultancy services- Mr. Mohammed Khaldi Tayeb, Mig Expert ***UNHCR-IOM Contribution Agreement***  PO Reference: PR 4200206278 approved on 23/Feb/2022   PO revision dated 12 July 2022 - wbs amended per finance email 18 May 2022, only line 10 retained an</t>
  </si>
  <si>
    <t xml:space="preserve"> IP agreement with BRAC at camp 10 PR#4200183186 Duration: Jan to Dec 2022 Program: WASH Requester: Tumpa Mubashara</t>
  </si>
  <si>
    <t xml:space="preserve"> IP Agreement with SHED at Camp 2W PR#4200183262 Program: WASH Requester: Tumpa Mubashara Duration: one Year from January 1, 2022 to December 31, 2022</t>
  </si>
  <si>
    <t xml:space="preserve"> Cost of CARE Bangladesh contract agreement of Site Management support and site development activities Duration: January 1, 202 to March 31, 2022 PR#4200183772 Program: Site Management Requester: Arman Rahim Chy</t>
  </si>
  <si>
    <t xml:space="preserve"> IP cost IP: Catholic Relief Services (CRS) Duration: SIx Months from January 1, 2022 to June 30, 2022 Program: Shelter Requester: Md. Anamul Haque PR#4200183299</t>
  </si>
  <si>
    <t xml:space="preserve"> IP cost IP: CRS Duration: Six Month from January 1, 2022 to June 30, 2022 PR#4200185366 Program; Shelter Requester: Md. Anamul Haque</t>
  </si>
  <si>
    <t xml:space="preserve"> BNWLA new contract for January to December 2022 PR#4200183735 Program: Protection Requester: Thui Sha Ching Marma</t>
  </si>
  <si>
    <t xml:space="preserve"> IP cost caritas Duration: Jan-Mar 2022 PR#4200185375 Program: Shelter Requester: Md. Anamul Haque</t>
  </si>
  <si>
    <t>CARITAS BANGLADESH</t>
  </si>
  <si>
    <t xml:space="preserve"> ACAPS - RLA Agreement (First installment of payment from Jan-December 2022 PR#4200185098 Program:NPM Requester:Mohammad Fahim HASAN</t>
  </si>
  <si>
    <t xml:space="preserve"> Cost of Shushilan Contract agreement of Site Development activities on camp 22, 24 &lt;(&gt;&amp;&lt;)&gt; 25 PR#4200232052 Program/Unit: Programme Support SMSD Requester: Arman Rahim Chy Duration: April01- June 30, 2022</t>
  </si>
  <si>
    <t xml:space="preserve"> Fund Transfer to IP RTMI PR#4200228599 Program/Unit: Medical Response Requester: Md.Alamgir MIah Duration: April to June 2022</t>
  </si>
  <si>
    <t xml:space="preserve"> Fund transfer to IP Caritas Bangladesh. P#4200265861 Program: NFI and Shelter Requester: Md. Anamul Haque Duration: April 1, 2022 to June 30, 2022</t>
  </si>
  <si>
    <t xml:space="preserve"> Fund Transfer to IP RTMI(Extension) PR#4200276513 Program: Medical Response Duration: July 1, 2022 to December 31, 2022 Requester: Md. Alamgir Miah</t>
  </si>
  <si>
    <t xml:space="preserve"> Fund trnasfer to Prattyashi for 1 August 2022 to 31 December 2022 PR#4200299093 Program: Social COhesion Requester: Faiz Noor</t>
  </si>
  <si>
    <t xml:space="preserve"> Fund Transfer to Nowzuwan for three months from July 1, 2022 to September 31, 2022 PR#4200311420 Program: Programme Support SMSD Requester: Arman Rahim Chy</t>
  </si>
  <si>
    <t xml:space="preserve"> Fund Transfer to the IP Shushilan for three months from July 1, 2022- September 30, 2022 PR#4200310143 Program: Programme  Support SMSD Requester: Arman Rahim Chy</t>
  </si>
  <si>
    <t xml:space="preserve"> Cost of DRC  Contract agreement of Site Management Support it Camp 8E, 8W, 11 &lt;(&gt;&amp;&lt;)&gt; 12 PR#4200310271 Program:Programme Support SMSD Requester: Arman Rahim Chy</t>
  </si>
  <si>
    <t xml:space="preserve"> PR-4200280755 Unit-NFI &lt;(&gt;&amp;&lt;)&gt; Shelter Requester- Md Anamu HAQUE</t>
  </si>
  <si>
    <t xml:space="preserve"> IP transfers – National CSOs (Goods) Staff cost</t>
  </si>
  <si>
    <t>DP.2233</t>
  </si>
  <si>
    <t>Improving Efficiency of Humanitarian Water Supply Interventions through the Use of Solar Energy</t>
  </si>
  <si>
    <t xml:space="preserve"> PR4200206863 BAS  IOM office-specific Ref. No.: TH002-2022 LEG Reference: TH/06551/IMPL  Project entitled "IMPROVING EFFICIENCY OF HUMANITARIAN WATER SUPPLY INTERVENTIONS THROUGH THE USE OF SOLAR ENERGY" (hereinafter "the Project")   1 Jan - 31 Mar 2022.</t>
  </si>
  <si>
    <t>Oxfam GB</t>
  </si>
  <si>
    <t xml:space="preserve"> REFERENCE PR:4200181532  Fees for DTM data collection by Implementing partener Burundian Red Cross from January to June 2022  PIA Agreement signed dated Dec 31 2021</t>
  </si>
  <si>
    <t xml:space="preserve"> 30% of the lumpsum to be paid to the partner in charge of the implementation of quick impact projects that will consist of the rehabilitation of public infrastructure in the provinces of Makamba, Rutana and Muyinga. Second payment installment.</t>
  </si>
  <si>
    <t>DP.2256</t>
  </si>
  <si>
    <t>Emergency Assistance to Displaced Populations in the Lake Chad Region</t>
  </si>
  <si>
    <t xml:space="preserve"> IP DTM Mobility Tracking R24 and Stability Index R2 Data collection exercice Feb. 2022.</t>
  </si>
  <si>
    <t xml:space="preserve"> IP Contract extension with Shushilan at camp 12 Period: Six Month (April to September 2022) PR#4200228651 Program/Unit: Water Sanitation and Hygience(WASH) Requester: Mubashara Tumpa</t>
  </si>
  <si>
    <t xml:space="preserve"> IP agreement with NGOF at camp 9 PR#4200229417 Program/Unit: Water Sanitation adn Gygiene Duration: Aprail 1-30, 2022</t>
  </si>
  <si>
    <t xml:space="preserve"> IP Constract extension with ACF-camp 11 Duration: April 2022 to September 2022 PR#4200230827 Program: Water Sanitation and Hygiene(WASH) Requester: Mubashara TUMPA</t>
  </si>
  <si>
    <t xml:space="preserve"> IP Cost extension agreement with NGOF for camp -9 Duration: One Month(ay 1-31, 2022) PR#4200244428 Program: Water Sanitation and Hygiene(WASH) Requester: Mubashara TUMPA</t>
  </si>
  <si>
    <t xml:space="preserve"> Pulse cost extension agreement Duration: June 1-30, 2022 Program: Protection Requester: Thui Sha Ching Marma</t>
  </si>
  <si>
    <t xml:space="preserve"> IP agreement with NGOF -camp 9 Duration: June 2022 to March 2023 PR#4200277510 Program: Water Sanitation and Hygine(WASH) Requester: Mubashara Tumpa</t>
  </si>
  <si>
    <t xml:space="preserve"> PR-4200335228 Unit-WASH Requester-Mubshara TUMPA</t>
  </si>
  <si>
    <t xml:space="preserve"> PR-4200326687 Unit-WASH Requester-Kazi Mafizur Rahman</t>
  </si>
  <si>
    <t xml:space="preserve"> PR 4200329433 Unit- WASH Requestor- Kazi Maffuzur Rahman</t>
  </si>
  <si>
    <t xml:space="preserve"> PR no - 4200330167 Unit - WASH Requestor - Mubashara TUMPA</t>
  </si>
  <si>
    <t>DP.2310</t>
  </si>
  <si>
    <t>IOM - WoS PSEA Mechanism - 2021</t>
  </si>
  <si>
    <t xml:space="preserve"> IOM Turkey - Solicitation of New IPs under project Provision of Protection againt Sexual Exploitation</t>
  </si>
  <si>
    <t xml:space="preserve"> Project Title: Provision of Protection against Sexual Exploitation and Abuse (PSEA) to Affected Populations in Northeast Syria (NES)</t>
  </si>
  <si>
    <t xml:space="preserve"> RRFE0092 - IP CARE Emergency NFI support in Jara IDP Camp, Amhara Region</t>
  </si>
  <si>
    <t xml:space="preserve"> * RRFE0093 - IP DAE Emergency Returnee Response: North Wollo Zone, Amhara Region</t>
  </si>
  <si>
    <t xml:space="preserve"> RRFE094-IP PAD Providing NFIs for conflict affected IDPs in Ziquala, Amhara</t>
  </si>
  <si>
    <t xml:space="preserve"> IP Transfer PAD for 6 unit communal shelters in Jara IDP site at a total amount USD 266,541.90.   Reference- PR-4200246062 Agreement- ETH/ADD/May/1039/22 Contact Person - Abdu Mohammed (RRF)</t>
  </si>
  <si>
    <t xml:space="preserve"> PO is created for Internal MIGO MIRO Purpose PIA Reference ETH/ADD/MAY/1046/2022</t>
  </si>
  <si>
    <t>Organization for Social Ser (OSSHD)</t>
  </si>
  <si>
    <t xml:space="preserve"> PO created for MIGO/MIRO PIA Referance # ETH/ADD/June/1058/2022</t>
  </si>
  <si>
    <t xml:space="preserve"> Addressing urgent needs of returnees with NFI kits at Konneba Woreda of Afar Region.</t>
  </si>
  <si>
    <t xml:space="preserve"> Emergency shelter and NFI  assistance for conflict affected displaced/ returnee families in Megalle Woreda,Zone-2 of Afar Region</t>
  </si>
  <si>
    <t xml:space="preserve"> Provision of NFI and Emergency Shelter for IDPs Based at Awash 7 Kilo for 2100 to 2,500 individuals Under the PRF# 4200326064</t>
  </si>
  <si>
    <t xml:space="preserve"> EPC_RRF - RRFE0128 IP DPO Emergency NFI support for conflict affected households in Shiraro.  PR#4200391778</t>
  </si>
  <si>
    <t xml:space="preserve"> Agreement with University of Dhaka for two month from 1 April 2022 to 31 May 2022 PR#4200224677 Program/Unit: Water Sanitation and Hygience(WASH) Requester: Mubashara Tumpa  Revised: Duration exteded from May 30, 2022 to July 31, 2022</t>
  </si>
  <si>
    <t>DEPARTMENT GEOLOGY</t>
  </si>
  <si>
    <t xml:space="preserve"> IP fund transfer YPSA cost extension agreement for 1 May 2021 to 31 January 2023 PR#420246033 Program: Protection Requester: Thui Sha Ching Marma</t>
  </si>
  <si>
    <t xml:space="preserve"> IP contract extension with DSK at camp 24 &lt;(&gt;&amp;&lt;)&gt; 25 Duration: May 1, 2022 to Jan 31, 2023 PR#4200244440 Program: Water Sanitation and Hygience(WASH) Requester: Mubashara TUMPA</t>
  </si>
  <si>
    <t xml:space="preserve"> Fund Transfer to PULSE Bangladesh Society PR#4200275573 Program: Protection Duration: 1 July 2022 to 31 January 2022 Requester: Thui Sha Ching Marma</t>
  </si>
  <si>
    <t xml:space="preserve"> Enhanced displacement and mobility tracking and multi-sectoral support for displaced populations in Nigeria PR Ref: 4200285239</t>
  </si>
  <si>
    <t>CLEAR Global, INC</t>
  </si>
  <si>
    <t>DP.2325</t>
  </si>
  <si>
    <t>Humanitarian Assistance to IDPs Displaced by Conflict in Central Rakhine State</t>
  </si>
  <si>
    <t xml:space="preserve"> EPR : 4200250202 WBS : DP.2325.MM10.N1.01.001 - 93%       DP.2325.MM10.N1.01.001 - 7% Payment for Implementing Partner for DP.2325  1st Installment : 108,957 USD (One Hundred and Eight Thousand, Nine Hundred and Fifty-Seven US Dollars) shall be due withi</t>
  </si>
  <si>
    <t>DP.2331</t>
  </si>
  <si>
    <t>IOM Activities in Bangladesh Outlined in the Rohingya Refugee Crisis 2021 Joint Response Plan</t>
  </si>
  <si>
    <t xml:space="preserve"> IP agreement with NGO Forum at camp 9 PR#4200183301 DurationL January  to March 2022 Program: WASH Requester: Mubashara Tumpa</t>
  </si>
  <si>
    <t xml:space="preserve"> DRC new agreement PR#4200184037 Program: Protection Requester: Thui Sha Ching MARMA Duration: January 1, 2022 to March 31, 2022</t>
  </si>
  <si>
    <t xml:space="preserve"> Shushilan-IP fir site Development Activities n camp 22, 24 and 25 Duration: Three month from January - March 2022 PR#4200183608 Program: Site Management Requester: Arman Rahim Chy</t>
  </si>
  <si>
    <t xml:space="preserve"> Cost of AAB contract agreement of Site Development activities at camp 11, 12 and 19 Duration: Three Months from January 1, 2022 to March 31, 2022 PR#4200183766 Program: Site Management Requester: Arman Rahim Chy</t>
  </si>
  <si>
    <t>ACTION AID BANGLADESH</t>
  </si>
  <si>
    <t xml:space="preserve"> Cost of DRC contract agreement of SMS activities in camps 8E, 8W, 10, 11 and 12 Duration: Three months from January 1, 2022 to March 31, 2022 PR#4200183756 Program: Site Management Requester: Arman Rahim Chy</t>
  </si>
  <si>
    <t xml:space="preserve"> Fund Transfer to IP RTMI PR#4200185600 Program: MHD(Medical Response) Requester: Md. Alamgir Miah</t>
  </si>
  <si>
    <t xml:space="preserve"> Fund Transfer to IP World Concern PR#4200185591 Program: MHD(Medical Response) Requester:Md. Alamgir Miah</t>
  </si>
  <si>
    <t>WORLD CONCERN</t>
  </si>
  <si>
    <t xml:space="preserve"> Deployment of CwC Technical Support Officer to CXB Bangladesh (Apr-Sep 2021)</t>
  </si>
  <si>
    <t>DP.2334</t>
  </si>
  <si>
    <t xml:space="preserve"> Implementing partner -Nowzuwan for Site Management activities in camp 20 and 20 ex Duration: January 1, 2022 to March 31, 2022 PR#4200183685 Program: Site Management Requester: Arman Rahim CHy</t>
  </si>
  <si>
    <t xml:space="preserve"> Cost of CARE contract agreement of Camp 16's fire Response-Site Development  Emergency Response Duration: Jan-Mar 2022 PR#4200200380 Program: SMSD Requester: Arman Rahim Chy</t>
  </si>
  <si>
    <t>DP.2336</t>
  </si>
  <si>
    <t>Provision of Health, Protection and Food Assistance to Vulnerable Populations in Venezuela</t>
  </si>
  <si>
    <t xml:space="preserve">  SDC.2022.113 ACUERDO DE IMPLEMENTACIÓN DE PROYECTO "ASISTENCIA DE PROTECCION A LAS COMUNIDADES DE ACOGIDA Y PERSONAS EN MOVILIDAD” CONTRATO IOMVE/CONTR/2022/026</t>
  </si>
  <si>
    <t>COOPI COOPERAZIONE INTERNAZIONALE</t>
  </si>
  <si>
    <t>Venezuela</t>
  </si>
  <si>
    <t xml:space="preserve"> SDC.2022.163 - PRIMER PAGO ACUERDO DE IMPLEMENTACIÓN DE PROYECTO PAGADERO EN EL PLAZO DE DIEZ (10) DÍAS LUEGO DE LA FIRMA DEL PRESENTE ACUERDO Y CUANDO LA OIM HAYA RECIBIDO LA SOLICITUD DE PAGO DE PARTE DEL ASOCIADO EN LA EJECUCIÓN</t>
  </si>
  <si>
    <t xml:space="preserve"> SDC.2022.162 - PRIMER PAGO ACUERDO DE IMPLEMENTACIÓN DE PROYECTO PAGADERO EN EL PLAZO DE DIEZ (10) DÍAS LUEGO DE LA FIRMA DEL PRESENTE ACUERDO Y CUANDO LA OIM HAYA RECIBIDO LA SOLICITUD DE PAGO DE PARTE DEL ASOCIADO EN LA EJECUCIÓN</t>
  </si>
  <si>
    <t>DP.2341</t>
  </si>
  <si>
    <t>Emergency Humanitarian Assistance to Vulnerable Populations in Northern Syria</t>
  </si>
  <si>
    <t xml:space="preserve"> PR-GZT-2022-01807 - Transportation and Distribution Costs of 1100 NFI Kits and 1107 Tents of IP Muzun to inside Syria</t>
  </si>
  <si>
    <t>DP.2344</t>
  </si>
  <si>
    <t>Provision of Integrated Protection and Life-Saving Health Services to Migrants and IDPs in Yemen</t>
  </si>
  <si>
    <t xml:space="preserve"> Grant MPA22_014 with DRC under the ECHO-Funded Consortium</t>
  </si>
  <si>
    <t xml:space="preserve">  Grant MPA22_014 instalment 2</t>
  </si>
  <si>
    <t>DP.2345</t>
  </si>
  <si>
    <t>Emergency Multisectoral Assistance for the Most Vulnerable Households in Northwest Syria and Provision of Information Management and PSEA Programming</t>
  </si>
  <si>
    <t xml:space="preserve"> PR-GZT-2021-04326 - Cost of cash implementation of transfer fees to IYD for CBI MPCA project (370 HHs) under ECHO</t>
  </si>
  <si>
    <t xml:space="preserve"> PR-GZT-2022-00604 Cost of winter cash implementation and transfer fees to implementing partner Violet - CBI winterisation cash project (710 households) - ECHO DP.2345</t>
  </si>
  <si>
    <t xml:space="preserve"> PR-GZT-2022-00615 Cost of cash implementation, IP costs, and transfer fees to GOAL's CBI project (winterization and MPCA) targeting 3288 HHs</t>
  </si>
  <si>
    <t>DP.2347</t>
  </si>
  <si>
    <t xml:space="preserve"> IPRF-GZT-2022-00010 Providing financial support for the implementation of Providing Integrated Protection and MHPSS Services in Northwest Syria</t>
  </si>
  <si>
    <t>HOPE REVIVAL ORGANIZATION</t>
  </si>
  <si>
    <t xml:space="preserve"> IPRF-GZT-2022-00027 - Improve Living Conditions for Vulnerable Populations in North-West Syria (NWS) through Cash for Work</t>
  </si>
  <si>
    <t xml:space="preserve"> IPRF-GZT-2022-00028 - Implementing partner (IYD) cost for MPCA component under GFFO with MPCA to Beneficiaries 1 Apr 22-30 Sept 22</t>
  </si>
  <si>
    <t xml:space="preserve"> IPRF-GZT-2022-00030 - Contracting NGO for implementation of HNAP data collection support in 14 Syrian governorates for 5 months (1 May 2022 to 30 September 2022)</t>
  </si>
  <si>
    <t>DEPLASMAN TOPLUMUN IHTIYACLARI</t>
  </si>
  <si>
    <t xml:space="preserve"> Rapid Response Mechanism for Emergency Cash-Based Intervention</t>
  </si>
  <si>
    <t xml:space="preserve"> Agreement Title: Third Party Monitoring in Northern Western Syria</t>
  </si>
  <si>
    <t xml:space="preserve"> Project Title: Rapid Response Mechanism for Cash Based Interventions</t>
  </si>
  <si>
    <t>Big Heart Foundation, Inc</t>
  </si>
  <si>
    <t xml:space="preserve"> PRs: PR-GZT-2022-03810 and PR-GZT-2022-03813</t>
  </si>
  <si>
    <t>DP.2354</t>
  </si>
  <si>
    <t>2021 Regional Refugee and Migrant Response Plan (RMRP) for the Venezuela Situation</t>
  </si>
  <si>
    <t xml:space="preserve"> APdeBA- Acuerdo de implementación de Proyecto. Diciembre 2021-Marzo 2022.  El objetivo de la presente solicitud es contribuir a brindar atención en salud mental a personas migrantes, especialmente a personas de origen venezolano, a partir de la constituc</t>
  </si>
  <si>
    <t xml:space="preserve"> NOBLEZA OBLIGA- Acuerdo de Implementación de Proyecto. Enero-Marzo 2022.  El proyecto tiene como objetivo contribuir con la integración sociolaboral de personas migrantes en Argentina a través de las industrias del reciclaje y textil, en línea con las pr</t>
  </si>
  <si>
    <t xml:space="preserve"> PROYECTO PRM 2021  CONTRATO IP DURACION DE 01.12.2021 AL 31.03.2022 segun detalle contrato adjunto</t>
  </si>
  <si>
    <t xml:space="preserve"> PROYECTO PRM 2021 ACUERDO DE IMPLEMENTACION CRUZ ROJA Actividades destinadas a brindar asistencia a la población migrante y refugiada  CONTRATO PO 4500142489 ARS 16,397,666.00 Período de implementación: julio - noviembre 2021  ADENDA 2 INCREMENTO PRESUPU</t>
  </si>
  <si>
    <t xml:space="preserve"> PROYECTO PRM  2021  CONTRATO DE IP  DURACION DIC 2021 A MARZO 2022</t>
  </si>
  <si>
    <t xml:space="preserve"> PROYECTO PRM 2021  ACUERDO DE IP  DURACION DICIEMBRE 2021 A ABRIL 2022</t>
  </si>
  <si>
    <t xml:space="preserve"> Segunda Enmienda al ACUERDO DE IMPLEMENTACIÓN DE PROYECTO entre Organización Internacional para las Migraciones (OIM) Y Asociación Civil Alianzavencr relativo a Actividades de 1) psiquiatría, 2) pago de alquiler, 3) alojamiento temporal de emergencia, 4)</t>
  </si>
  <si>
    <t xml:space="preserve"> Service for:  Assistance and protection actions for Venezuelan immigration in the Dominican Republic  Related PO number 4500156627  Note: Modification according to second amendment, reference number DO10/I29/2022. Modification accordin to third and fourt</t>
  </si>
  <si>
    <t>FUNCOVERD</t>
  </si>
  <si>
    <t xml:space="preserve"> IP PRM4 Extensión de personal operativo en territorio hasta marzo 2022</t>
  </si>
  <si>
    <t xml:space="preserve"> Emergency shelter and accommodation for Migrants in Region 1,2 and 7</t>
  </si>
  <si>
    <t xml:space="preserve"> GSA 2021 086 Amend 1</t>
  </si>
  <si>
    <t>Fundashon Famia Plania</t>
  </si>
  <si>
    <t xml:space="preserve"> Contratación de un socio implementador para implmentación de un PAO móvil en la región Puno</t>
  </si>
  <si>
    <t>Sociedad Peruana de la Cruz Roja</t>
  </si>
  <si>
    <t xml:space="preserve"> Contratación de un socio implementador para implementación de acciones de alojamiento temporal</t>
  </si>
  <si>
    <t>DP.2356</t>
  </si>
  <si>
    <t>Life-Saving, Multi-Sectoral Emergency Assistance and Protection to Vulnerable Displaced Persons in Ethiopia</t>
  </si>
  <si>
    <t xml:space="preserve"> IP- Emergency NFI response project for conflict displaced IDP/Returnees in Wadla Woreda in north Wollo zone Amhara region.  Reference- PR-4200220767 Agreement- ETH/ADD/MARCH/1001/2022</t>
  </si>
  <si>
    <t>DP.2359</t>
  </si>
  <si>
    <t>Reintegration and Shelter Support to Returnees, Internally Displaced Persons (IDPs), and Host Communities in Burundi</t>
  </si>
  <si>
    <t xml:space="preserve"> Implementing Partner of quick impact projects in Kirundo, Muyinga, Ruyigi and Makamba Provinces  Implementing Partner between IOM &lt;(&gt;&amp;&lt;)&gt; Danish Refugee Council   PR:4200267305</t>
  </si>
  <si>
    <t>DP.2366</t>
  </si>
  <si>
    <t>Multi-Sectoral Support for Vulnerable Mobile Populations and Communities in Libya</t>
  </si>
  <si>
    <t xml:space="preserve"> Consultancy services- Mr. Mohammed Khaldi Tayeb, Mig Expert ***UNHCR-IOM Contribution Agreement***  PO Reference: PR 4200206278 approved on 23/Feb/2022 continuation of PO 4500193164</t>
  </si>
  <si>
    <t>DP.2367</t>
  </si>
  <si>
    <t>Promoting Reduction of and Improved Operational Response to Gender-based Violence (GBV) through Camp Management and Site Planning – Phase VII</t>
  </si>
  <si>
    <t xml:space="preserve"> Appui financier à l'ONG SAFEKA afin d'assurer l'alphabetisation des 60 femmes et filles du site de KIKUMBE. Cet appui comprend la prime aux formateurs, achat fournitures de bureau ainsi que  de materiels dydactiques pour une periode de 3 mois.  L'OIM acce</t>
  </si>
  <si>
    <t>SAFEKA asbl</t>
  </si>
  <si>
    <t>DP.2372</t>
  </si>
  <si>
    <t>Provision of Life-Saving Multi-Sectoral Assistance to Internally Displaced Persons (IDPs) and Other Conflict-Affected Communities in Yemen</t>
  </si>
  <si>
    <t xml:space="preserve"> Enhancing Response Capacity of Humanitarian Actors through Prepositioning of Essential Relief Items ( ( Warehousing Service in Ibb and South Taiz - 5th Extension)).  SAH-SFI-2022-10005</t>
  </si>
  <si>
    <t>DEEM FOR DEVELOPMENT ORGANIZATION</t>
  </si>
  <si>
    <t>DP.2373</t>
  </si>
  <si>
    <t>Consolidating and Operationalizing a Framework for Diaspora’s Engagement in Humanitarian Assistance – Phase II</t>
  </si>
  <si>
    <t>HAITI RENEWAL ALLIANCE, INC.</t>
  </si>
  <si>
    <t xml:space="preserve"> PROJECT IMPLEMENTING AGREEMENT AS PER US10-PIA-22-002 BETWEEN IOM - D.C AND NATIONAL FEDERATION OF FILIPINO AMERICAN ASSOCIATIONS  AMENDMENT TO ADJUST LINES 10 AND 20 TO REFLECT THE AMOUNT FOR THE 1ST EXPENSES REPORT</t>
  </si>
  <si>
    <t>NATIONAL FEDERATION OF FILIPINO AME</t>
  </si>
  <si>
    <t xml:space="preserve"> PROJECT IMPLEMENTING AGREEMENT AS PER US10-PIA-22-003 BETWEEN IOM - D.C AND GLOBAL DIASPORA CONFEDERATION  CHANGES IN LINES 10 &lt;(&gt;&amp;&lt;)&gt; 20 TO REFLECT THE AMOUNT OF THE 1ST REPORT EXPENSES  CHANGES IN LINES 20 &lt;(&gt;&amp;&lt;)&gt; 30 TO REFLECT THE AMOUNT OF THE 2ND RE</t>
  </si>
  <si>
    <t xml:space="preserve"> COST EXTENSION AS PER US10-PIA-22-003 FOR THE PROJECT"CONSOLIDATING AND OPERATIONALIZING A FRAMEWORK FOR DIASPORA'S ENGAGEMENT IN HUMANITARIAN ASSITANCE - PHASE II"</t>
  </si>
  <si>
    <t xml:space="preserve"> First Installment payment to IP Burundian Red Cross from October to 30th November 2022 and  Second Installment payment to IP Burundian Red Cross from December 2022 to 15 January 2023 PR references # 4200330014</t>
  </si>
  <si>
    <t xml:space="preserve"> Service for  RRFE079- IP ACTED CCCM for the most vulnerable displaced populations in Siti and Dawa Zones, Somali  Camp Coordination and Camp Management (CCCM) for the most vulnerable displaced populations in Siti and Dawa Zones, Somali Region</t>
  </si>
  <si>
    <t>Agency forTech Coop &amp; Dev(ACTED)</t>
  </si>
  <si>
    <t xml:space="preserve">  Life saving emergencey shelter and NFI assistance for conflict affected displaced communities in Assosa Zone of Benishangul Gumuz at the total amount of 282,084.55 USD PRF#4200187990 Agrement number/IOM office -specific ref No :- ETH/ADD/January/983/202</t>
  </si>
  <si>
    <t xml:space="preserve"> IP Transfer... EHF Shelter repair kits for hawzen , Tigray region for 230 HH/1150 individual community members response at a total amount USD 198,056.66.  Reference;- PR-4200195699 PIA NO- ETH/ADD/JAN/987/2022.</t>
  </si>
  <si>
    <t>Christian Aid</t>
  </si>
  <si>
    <t xml:space="preserve"> Service for: Rapid Emergency S/NFI Assistance to Draought Affected IDP's in West Guji Zone, Oromia Region based on the agreement between "International Organization for Migration"(IOM) and the Implementing Partner "People In Need"See attached ToR agreeme</t>
  </si>
  <si>
    <t xml:space="preserve"> IP- Emergency assistance for 1,000 drought affected vulnerable IDP house holds through the provision of shelter and NFI in Shebele zone.  Reference- PR-4200220791 Agreement- ETH/ADD/MARCH/1003/2022</t>
  </si>
  <si>
    <t>Organiza for Welfare&amp;Dev't inAction</t>
  </si>
  <si>
    <t xml:space="preserve"> IP- Emergency assistance for 2,000 drought affected vulnerable IDP Households through the provision of shelter and NFI Kits at Adadile at a total amount USD 71,040.  Reference- PR-4200241877 Agreement-ETH/ADD/April/16/2022 Contact Person - Abdu Mohammed</t>
  </si>
  <si>
    <t xml:space="preserve"> RRFE0112 - IP HEKS WASH &lt;(&gt;&amp;&lt;)&gt; Shelter Response to Drought Affected People in Borena Zone, Oromia Region.</t>
  </si>
  <si>
    <t>Swiss Church Aid HEKS</t>
  </si>
  <si>
    <t xml:space="preserve"> RRFE0114 - IP EECMY Non-Food Items (NFI) assistance in Segen Zuria Woreda, SNNP.</t>
  </si>
  <si>
    <t xml:space="preserve"> RRFE0117 - IP CAAP - Non-Food Items (NFIs) assistance in Adadle Woreda, Shebelle Zone Somali Region.</t>
  </si>
  <si>
    <t xml:space="preserve"> Enhance CCCM practices among partners and ensure harmonization of humanitarian response efforts in the targeted camp/or camp like settings in Dangur, Mandura, Dibate and Bulen Woredas of Metekel zone, Benishangul Gumuz Region for IDPs: 2,435 HHs/11,705 I</t>
  </si>
  <si>
    <t>COOPERAZIONE INTERNAZIONALE (COOPI)</t>
  </si>
  <si>
    <t xml:space="preserve"> Humanitarian response for drought affected IDPs in Guji Zone.</t>
  </si>
  <si>
    <t>CARITAS SWITZERLAND</t>
  </si>
  <si>
    <t xml:space="preserve"> Life-saving S/NFI response to drought-affected IDPs in Hudet Woreda of Dawa Zone Somali Region.</t>
  </si>
  <si>
    <t>Agro-Pastoral Initiative for Dev't</t>
  </si>
  <si>
    <t xml:space="preserve"> RRFE0119 - IP DAE - ES and Cash for NFI response in Goro Baqaqsa, -Liban zone, Somali region.   Reference:  Project Implementation Agreement number: ETH/ADD/August/1148/2022  PR number: 4200307559  PO Issued by: Mr. Nathaniel Abera  Contact Person: Mr. A</t>
  </si>
  <si>
    <t xml:space="preserve"> RRFE0123 - IP PAD CCCM support for drought-affected populations in Borana zone of Oromia region.</t>
  </si>
  <si>
    <t xml:space="preserve"> RRFE0125 IP MIS Providing NFIs for conflict-affected IDPs in Mandura, Metekel zone BGRS.   Reference: Project Implementation Agreement number: ETH/ADD/December/1219/2022  PR number: 4200384525  PO Issued by: Mr. Nathaniel Abera  Contact Person: Mr. Abdu</t>
  </si>
  <si>
    <t xml:space="preserve"> EPC_RRF - RRFE0127 IP CAAP ES/NFI assistance for  IDPs in Kelafo and El Ogaden woredas of Somali.  PR#4200388794</t>
  </si>
  <si>
    <t xml:space="preserve"> EPC_RRF - RRFE0126 IP SESEDA ES and Cash for NFI provision for IDPs at Hergelle Woreda of Somali.  PR#4200388802</t>
  </si>
  <si>
    <t>DP.2381</t>
  </si>
  <si>
    <t>Providing Integrated Humanitarian Assistance to Internally Displaced Populations in Iraq</t>
  </si>
  <si>
    <t xml:space="preserve"> Providing integrated humanitrian Assistant to internally Displaced Populations in Iraq,Shekhan Camp IP Agreement- First Payment</t>
  </si>
  <si>
    <t>HARIWAN ORGANIZATION</t>
  </si>
  <si>
    <t xml:space="preserve"> PR#4200219120 granting Hariwan organization for human rights, Rusaz organization and better world organization for community development</t>
  </si>
  <si>
    <t>DP.2382</t>
  </si>
  <si>
    <t>Protection Assistance for Women, Girls and Migrants at Risk of GBV and Human Trafficking in Venezuela</t>
  </si>
  <si>
    <t xml:space="preserve">  SDC.2022.107 ACUERDO DE IMPLEMENTACIÓN DE PROYECTO "PROTECTION ASSISTANCE FOR WOMEN, GIRLS AND MIGRANTS AT RISK OF GBV AND HUMAN TRAFFICKING IN VENEZUELA" CONTRATO IOMVE/CONTR/2022/024</t>
  </si>
  <si>
    <t xml:space="preserve"> SDC.2022.112 - PRIMER PAGO ACUERDO DE IMPLEMENTACIÓN DE PROYECTO PAGADERO EN EL PLAZO DE DIEZ (10) DÍAS LUEGO DE LA FIRMA DEL PRESENTE ACUERDO Y CUANDO LA OIM HAYA RECIBIDO LA SOLICITUD DE PAGO DE PARTE DEL ASOCIADO EN LA EJECUCIÓN</t>
  </si>
  <si>
    <t xml:space="preserve"> SDC.2022.130 - PRIMER PAGO ACUERDO DE IMPLEMENTACIÓN DE PROYECTO PAGADERO EN EL PLAZO DE DIEZ (10) DÍAS LUEGO DE LA FIRMA DEL PRESENTE ACUERDO Y CUANDO LA OIM HAYA RECIBIDO LA SOLICITUD DE PAGO DE PARTE DEL ASOCIADO EN LA EJECUCIÓN</t>
  </si>
  <si>
    <t xml:space="preserve"> SDC.2022.146 - PRIMER PAGO ACUERDO DE IMPLEMENTACIÓN DE PROYECTO PAGADERO EN EL PLAZO DE DIEZ (10) DÍAS LUEGO DE LA FIRMA DEL PRESENTE ACUERDO Y CUANDO LA OIM HAYA RECIBIDO LA SOLICITUD DE PAGO DE PARTE DEL ASOCIADO EN LA EJECUCIÓN</t>
  </si>
  <si>
    <t>DP.2383</t>
  </si>
  <si>
    <t xml:space="preserve"> Housing, Land and Property (HLP) Project Implementation in Banki, Gwoza, konduga and Monguno, North-East Nigeria. PR Ref: 4200169717</t>
  </si>
  <si>
    <t xml:space="preserve"> artnership with UNIMAID on Professional Master’s Degree on MHPSS in Counselling and Conflict Transformation PR Ref: 4200203956_ 4200090818</t>
  </si>
  <si>
    <t>DP.2384</t>
  </si>
  <si>
    <t>Improving the Living Conditions of Vulnerable Venezuelans through Direct Humanitarian Assistance, Data Collection and Analysis, and Strengthening Regional Coordination Mechanisms.</t>
  </si>
  <si>
    <t xml:space="preserve"> SDC.2022.165 - PRIMER PAGO ACUERDO DE IMPLEMENTACIÓN DE PROYECTO PAGADERO EN EL PLAZO DE DIEZ (10) DÍAS LUEGO DE LA FIRMA DEL PRESENTE ACUERDO Y CUANDO LA OIM HAYA RECIBIDO LA SOLICITUD DE PAGO DE PARTE DEL ASOCIADO EN LA EJECUCIÓN Se modifica la PO de a</t>
  </si>
  <si>
    <t xml:space="preserve"> SDC.2022.207 - PRIMER PAGO ACUERDO DE IMPLEMENTACIÓN DE PROYECTO PAGADERO EN EL PLAZO DE DIEZ (10) DÍAS LUEGO DE LA FIRMA DEL PRESENTE ACUERDO Y CUANDO LA OIM HAYA RECIBIDO LA SOLICITUD DE PAGO DE PARTE DEL ASOCIADO EN LA EJECUCIÓN</t>
  </si>
  <si>
    <t xml:space="preserve"> SDC.2022.205 - PRIMER PAGO ACUERDO DE IMPLEMENTACIÓN DE PROYECTO PAGADERO EN EL PLAZO DE DIEZ (10) DÍAS LUEGO DE LA FIRMA DEL PRESENTE ACUERDO Y CUANDO LA OIM HAYA RECIBIDO LA SOLICITUD DE PAGO DE PARTE DEL ASOCIADO EN LA EJECUCIÓN</t>
  </si>
  <si>
    <t xml:space="preserve"> SDC.2022.206 - PRIMER PAGO ACUERDO DE IMPLEMENTACIÓN DE PROYECTO PAGADERO EN EL PLAZO DE DIEZ (10) DÍAS LUEGO DE LA FIRMA DEL PRESENTE ACUERDO Y CUANDO LA OIM HAYA RECIBIDO LA SOLICITUD DE PAGO DE PARTE DEL ASOCIADO EN LA EJECUCIÓN</t>
  </si>
  <si>
    <t>Cruz Roja Sub Comité Guasdualito</t>
  </si>
  <si>
    <t xml:space="preserve"> SDC.2022.013 - ACUERDO DE IMPLEMENTACIÓN DE PROYECTO RELATIVO A LA RECOLECCIÓN DE INFORMACIÓN DTM Contrato No IOMVE/CONTR/2022/039</t>
  </si>
  <si>
    <t xml:space="preserve"> SDC.2022.251 - ACUERDO DE IMPLEMENTACIÓN DE PROYECTO RELATIVO A "ATENCIÓN EN CENTROS DE ALOJAMIENTO TEMPORAL, PUNTOS MÓVILES E INTERVENCIÓN EN COMUNIDADES VULNERABLES" PAGADER0 QUINCE (15) DÍAS LUEGO DE LA FIRMA DEL PRESENTE ACUERDO Y CUANDO LA OIM HAYA R</t>
  </si>
  <si>
    <t xml:space="preserve"> sdc.2022.268 - ACUERDO DE IMPLEMENTACIÓN DE PROYECTO UNICO PAGO QUE SE ABONARÁ QUINCE (15) DÍAS DESPUÉS DE CONCLUIDO EL PROYECTO, SUJETO A LA RECEPCIÓN Y APROBACIÓN POR PARTE DE LA OIM DEL INFORME FINAL CONFORME A LO DESCRITO EN LA CLÁUSULA 7, LA RECEPCIÓN</t>
  </si>
  <si>
    <t>Multi-Sector Humanitarian Response for Persons Affected by Violence in Northern Mozambique and the Supporting COVID-19 Vaccination Campaign Roll-Out in Mozambique, Botswana and South Africa</t>
  </si>
  <si>
    <t xml:space="preserve"> IP Agreement for Risk Communication and Community Engagement, and COVID-19 Vaccine Demand Creation</t>
  </si>
  <si>
    <t xml:space="preserve"> IP Transfers</t>
  </si>
  <si>
    <t>The South Africa Red Cross Society</t>
  </si>
  <si>
    <t>DP.2391</t>
  </si>
  <si>
    <t>Emergency Assistance for Persons in Search of International Protection and Community Strengthening in Venezuela Phase XVI</t>
  </si>
  <si>
    <t xml:space="preserve"> SDC.2022.085 - PRIMER PAGO ACUERDO DE IMPLEMENTACIÓN DE PROYECTO PAGADERO EN EL PLAZO DE DIEZ (10) DÍAS LUEGO DE LA FIRMA DEL PRESENTE ACUERDO Y CUANDO LA OIM HAYA RECIBIDO LA SOLICITUD DE PAGO DE PARTE DEL ASOCIADO EN LA EJECUCIÓN</t>
  </si>
  <si>
    <t xml:space="preserve">  SDC.2022.083  ACUERDO DE IMPLEMENTACIÓN DE PROYECTO "EMERGENCY ASSISTANCE FOR PERSONS IN SEARCH OF INTERNATIONAL PROTECTION AND COMMUNITY STRENGTHENING IN VENEZUELA - PHASE XVI" CONVENIO IOMVE/CONTR/2022/020</t>
  </si>
  <si>
    <t>CRUZ ROJA VENEZOLANA SECC MERIDA</t>
  </si>
  <si>
    <t xml:space="preserve">  SDC.2022.082  ACUERDO DE IMPLEMENTACIÓN DE PROYECTO "EMERGENCY ASSISTANCE FOR PERSONS IN SEARCH OF INTERNATIONAL PROTECTION AND COMMUNITY STRENGTHENING IN VENEZUELA - PHASE XVI" CONVENIO IOMVE/CONTR/2022/019</t>
  </si>
  <si>
    <t xml:space="preserve"> SDC.2022.084 ACUERDO DE IMPLEMENTACIÓN DE PROYECTO "EMERGENCY ASSISTANCE FOR PERSONS IN SEARCH OF INTERNATIONAL PROTECTION AND COMMUNITY STRENGTHENING IN VENEZUELA - PHASE XVI” IOMVE/CONTR/2022/016</t>
  </si>
  <si>
    <t xml:space="preserve"> SDC.2022.086 ACUERDO DE IMPLEMENTACIÓN DE PROYECTO "EMERGENCY ASSISTANCE FOR PERSONS IN SEARCH OF INTERNATIONAL PROTECTION AND COMMUNITY STRENGTHENING IN VENEZUELA - PHASE XVI IOMVE/CONTR/2022/017</t>
  </si>
  <si>
    <t xml:space="preserve"> SDC.2022.080 ACUERDO DE IMPLEMENTACIÓN DE PROYECTO "EMERGENCY ASSISTANCE FOR PERSONS IN SEARCH OF INTERNATIONAL PROTECTION AND COMMUNITY STRENGTHENING IN VENEZUELA - PHASE XVI” IOMVE/CONTR/2022/015</t>
  </si>
  <si>
    <t xml:space="preserve"> SDC.2022.089 ACUERDO DE IMPLEMENTACIÓN DE PROYECTO "EMERGENCY ASSISTANCE FOR PERSONS IN SEARCH OF INTERNATIONAL PROTECTION AND COMMUNITY STRENGTHENING IN VENEZUELA - PHASE XVI”</t>
  </si>
  <si>
    <t xml:space="preserve"> SDC.2022.081 - PRIMER PAGO ACUERDO DE IMPLEMENTACIÓN DE PROYECTO PAGADERO EN EL PLAZO DE DIEZ (10) DÍAS LUEGO DE LA FIRMA DEL PRESENTE ACUERDO Y CUANDO LA OIM HAYA RECIBIDO LA SOLICITUD DE PAGO DE PARTE DEL ASOCIADO EN LA EJECUCIÓN</t>
  </si>
  <si>
    <t xml:space="preserve"> SDC.2022.359 - Convenio "Aplicación de encuestas post distribución, satisfacción, e impacto del proyecto Emergency Assistance for persons in search of International Protection and community  strengthening in Venezuela Phase XVI" 1ra cuota del convenio post</t>
  </si>
  <si>
    <t xml:space="preserve"> SDC.2022.360 Convenio "Aplicación de encuestas post distrubución, satisfaccion, e impacto del proyecto Emergency Assitnce for persons in search of internacional Protection and community strenghening in Venezuela Phase XVI"</t>
  </si>
  <si>
    <t>DP.2393</t>
  </si>
  <si>
    <t>Humanitarian Response to Afghanistan Crisis Displacement and Mobility Dynamics</t>
  </si>
  <si>
    <t>DP.2395</t>
  </si>
  <si>
    <t>2021 IOM COVID-19 Strategic Response and Recovery Plan</t>
  </si>
  <si>
    <t xml:space="preserve"> Asistencia a la población migrante venezolana con la entrega de insumos básicos, apoyo con alquiler de vivienda y apoyo para la regularización migratoria en las ciudades de La Paz, Oruro, Tarija y Potosí.</t>
  </si>
  <si>
    <t>Bolivia</t>
  </si>
  <si>
    <t xml:space="preserve"> CONVENIO E&lt;(&gt;&amp;&lt;)&gt;E-023-003 DE 2021 PAYMENT BY DEMAND (100%) /26.04.2022 UPDATE DELIVERY DATE OTROSI 1</t>
  </si>
  <si>
    <t xml:space="preserve"> CONVENIO E&lt;(&gt;&amp;&lt;)&gt;E-023-002 DE 2021 12601091 SOCIEDAD NACIONAL DE LA CRUZ ROJA  TOTAL VALUE: COP 801.406.711 IOM CONTRIB: COP 707.251.253 SOC CONTRIB: COP  94.155.458</t>
  </si>
  <si>
    <t xml:space="preserve"> CONVENIO E&lt;(&gt;&amp;&lt;)&gt;E-023-001 DE  2021 12628688 FUNDACION SAVE THE CHILDREN COLOMBI  TOTAL VALUE: COP 6.280.092.383 IOM CONTRIB: COP 6.280.092.383</t>
  </si>
  <si>
    <t>FUNDACION SAVE THE CHILDREN COLOMBI</t>
  </si>
  <si>
    <t xml:space="preserve"> IP Extensión del convenio de gestión de albergues</t>
  </si>
  <si>
    <t xml:space="preserve"> PR 4200180965  IP Tercera fase de contratación ADRA  Contrato del Acuerdo de implementación de proyecto entre la Organización Internacional para las Migraciones (OIM) y Corporación Adventista de Desarrollo y Recursos Asistenciales del Ecuador (ADRA ECUAD</t>
  </si>
  <si>
    <t xml:space="preserve"> PR 4200200591  ACUERDO DE IMPLEMENTACIÓN DE PROYECTO entre la Organización Internacional para las Migraciones (OIM) y la Corporación Agencia Adventista de Desarrollo y Recursos Asistenciales del Ecuador (ADRA Ecuador) relativo a Identificación, atención,</t>
  </si>
  <si>
    <t xml:space="preserve"> PR 4200241492  ACUERDO DE IMPLEMENTACIÓN DE PROYECTO entre la Organización Internacional para las Migraciones (OIM) y Corporación Kimirina relativo a Implementación de un Modelo Comunitario para la Prevención de VIH en Población en Situación de Movilidad</t>
  </si>
  <si>
    <t xml:space="preserve"> Establishing and supporting MRC and running campaigns from MRC - Instalment I</t>
  </si>
  <si>
    <t>MANAV SEWA SANSTHAN SEVA</t>
  </si>
  <si>
    <t xml:space="preserve"> Establishing and supporting MRC and running campaigns from MRC</t>
  </si>
  <si>
    <t>SOCIAL AWARENESS AND VOLUNTARY EDUC</t>
  </si>
  <si>
    <t xml:space="preserve"> Establishing and supporting MRC and running campaigns from MRC - - Instalment II</t>
  </si>
  <si>
    <t xml:space="preserve"> Implementation of Community-managed disaster risk reduction Project  Payment Terms based on Milestone basis: 1/2 Installment: USD25,000.00 2/2 Installment:USD65,040.00</t>
  </si>
  <si>
    <t>Association North LEDA</t>
  </si>
  <si>
    <t xml:space="preserve"> First instalment - shall be due within fifteen (15) working days after signature of the agreement and upon IOM's receipt of the IP's payment request.</t>
  </si>
  <si>
    <t xml:space="preserve"> First instalment - shall be due within fifteen (15) working days after signature of the agreement and upon receipt of the IP's payment request. TO BE RECODED TO PX.0263</t>
  </si>
  <si>
    <t xml:space="preserve"> Servicio implementación PAO y distribución de Kits de Higiene, Prevención COVID-19 en Madre de Dios</t>
  </si>
  <si>
    <t xml:space="preserve"> Servicio implementación PAO, distribución Kits de Higiene, Prevención COVID-19, Acciones saneamiento</t>
  </si>
  <si>
    <t xml:space="preserve"> Contratación de un IP para PAO y Distribución Kits de Higiene y Prevención de COVID-19 en Puno</t>
  </si>
  <si>
    <t xml:space="preserve"> Servicio implementación PAOs, distribución kits de higiene y prevención COVID-19, CBI Salud y Wash</t>
  </si>
  <si>
    <t xml:space="preserve"> Servicio implementación PAOs, distribución kits de higiene y prevención COVID-19 en la Región Lima</t>
  </si>
  <si>
    <t xml:space="preserve"> Servicio implementación PAOs, distribución kits de higiene y prevención COVID-19 y CBI Salud</t>
  </si>
  <si>
    <t xml:space="preserve"> Contratación de un socio implementador para Implementación de Pao en la región Tacna</t>
  </si>
  <si>
    <t>CARITAS TACNA - MOQUEGUA</t>
  </si>
  <si>
    <t xml:space="preserve"> Socio Implementador para actividades de WASH (mejora de infraestructura) en Tumbes</t>
  </si>
  <si>
    <t xml:space="preserve"> Servicio implementación "Distribución Kits de Higiene y Prevención de COVID-19 en la Región Arequipa</t>
  </si>
  <si>
    <t xml:space="preserve"> PR 4200203908  NFF signed 14.02.2022  Support Royal Thai Government's COVID-19 Vaccine Rollout Project in Songkhla and Pattani  The Implementing Partner shall commence the activities on February 1, 2022 and fully and satisfactorily complete them by Augus</t>
  </si>
  <si>
    <t>Stella Maris Songkla</t>
  </si>
  <si>
    <t>DP.2400</t>
  </si>
  <si>
    <t>Regional Migrant Response Plan (RMRP) for the Horn of Africa and Yemen 2021-2024 to Provide Protection and Assistance for Vulnerable Migrants in Yemen</t>
  </si>
  <si>
    <t xml:space="preserve"> Fund transfer  as per the implementation agreement for AGAR to support integration and activities designed to support the most vulnerable.  PR # 4200229546</t>
  </si>
  <si>
    <t xml:space="preserve"> PO is cretaed for internal MIGO/MIRO  LEG Referance # ETH/ADD/nOV/960/2021  Payment as per article 3.2</t>
  </si>
  <si>
    <t xml:space="preserve"> Implementation Agreement between IOM and MMC/DRC for the Understanding the perceptions and Dynamics between Local communities ain Key Migrant Transit Locations and Ethiopia Migrants moving along the Eastern Route PR #; 4200271782 REF: RO IMPL/DJI SOM/052</t>
  </si>
  <si>
    <t>DP.2403</t>
  </si>
  <si>
    <t>Provision of Emergency Shelter and Non-Food Items (NFIs) as well as Camp Coordination and Camp Management Assistance for Populations Affected by the Northern Ethiopian Crisis</t>
  </si>
  <si>
    <t xml:space="preserve"> SNFI078 - IP HOP to support CCCM in Abi Adi, Tigray region  CCCM Support to IDPs in 6 Sites for 3,028 households (11,637 individuals)</t>
  </si>
  <si>
    <t xml:space="preserve"> SNFI0100 - IP COOPI Emergency S&amp;S NFI response to conflict displaced households in Erebti and Afdera woredas, Afar region</t>
  </si>
  <si>
    <t xml:space="preserve"> SNFI0104 - IP ASDEPO Provision of NFI Kits for Returnees in Wadla and Gazo Woredas, N/Wollo Amhara.</t>
  </si>
  <si>
    <t xml:space="preserve"> Agreement bt IOM and Solidarites for intervention in Mueda and Nangade</t>
  </si>
  <si>
    <t xml:space="preserve"> First amendment of IP agreement. Refer to PR: 4200304367 DP.2405, DP0740</t>
  </si>
  <si>
    <t>DP.2406</t>
  </si>
  <si>
    <t xml:space="preserve"> Gestion des sites de déplacés au Nord kivu et en Ituri  a) 1er versement de USD 99,354.00 (Qautre-vingt-dix-neuf mille trois  cent cinquante-quatre US dollars) sera exigible dans un delai de  quinze (15) jours civils a partir de la signature du present ac</t>
  </si>
  <si>
    <t xml:space="preserve"> Matrice de suivi des deplacements  a) Le premier versement de USD 10,000.00 (Dix Mille dollars) sera exigible a partir de la signature du present accord et la reception par OIM de la demande de paiement du partenaire d'execution  b) Le deuxieme versement</t>
  </si>
  <si>
    <t xml:space="preserve"> Matrice de suivi des deplacements Nord Kivu  a) Le premier versement de USD 10,000.00 (Dix Mille dollars) sera exigible a partir de la signature du present accord et la reception par OIM de la demande de paiement du partenaire d'execution  b) Le deuxieme</t>
  </si>
  <si>
    <t xml:space="preserve"> Recruitment of implementing partner  Sous réserve de la réception par l'OIM des fonds provenant du donateur du projet, les paiements seront effectués par l'OIM, jusqu'au montant maximal de la contribution, par versements échelonnés conformément au calend</t>
  </si>
  <si>
    <t xml:space="preserve"> Matrice de suivi des deplacements  a) Le premier versement de USD 10,000.00 (Dix mille dollars) sera  exigible a partir de la signature du present accord et la reception  par l'OIM de la demande de paiement du partenaire d'execution  b) Le deuxieme verse</t>
  </si>
  <si>
    <t xml:space="preserve"> Recruitment of implementing partner   (a) Le premier versement de de USD 10,000.00 (dix mille dollars) sera  exigible à partir de la signature du présent accord et la réception  par l’OIM de la demande de paiement du partenaire d'exécution.   (b)  Le deux</t>
  </si>
  <si>
    <t xml:space="preserve"> Recruitment of implementing partner  (a) Le premier versement de de USD 10,000.00 (dix mille dollars) sera  exigible à partir de la signature du présent accord et la réception  par l’OIM de la demande de paiement du partenaire d'exécution.  (b)  Le deuxiè</t>
  </si>
  <si>
    <t xml:space="preserve"> Recruitment of implementing partner DTM Tanganyika  (a) Le premier versement de de USD 10,000.00 (dix mille dollars) sera  exigible à partir de la signature du présent accord et la réception  par l’OIM de la demande de paiement du partenaire d'exécution.  (</t>
  </si>
  <si>
    <t xml:space="preserve"> IP contrat AIDES CCCM avr-juillet 2022 Nord-kivu et Ituri  a) Le premier versement de USD 99,354.00 (Quatre-Vingt-Dix-Neuf Mille  Trois Cent Cinquante Quatre Dollars Americains) sera exigible dans un delai  de quinze (15) jours civils a partir de la sign</t>
  </si>
  <si>
    <t xml:space="preserve">  IP contrat AIDES CCCM aout-sep 2022 Nord Kivu et Ituri   a) Le premier versement de 99,799.00 USD (Quatre-vingt-dix-neuf-mille  sept cent quatre-vingt-dix-neuf dollars americains) sera exigible dans  un delai de quinze (15) jours civiles a partir de la</t>
  </si>
  <si>
    <t xml:space="preserve"> Advanced payment upon signature of the agreement</t>
  </si>
  <si>
    <t xml:space="preserve"> PR No: 4200230952</t>
  </si>
  <si>
    <t>Generations for Social Development</t>
  </si>
  <si>
    <t xml:space="preserve"> PR No: 4200237233</t>
  </si>
  <si>
    <t xml:space="preserve"> PR No: 4200277606</t>
  </si>
  <si>
    <t xml:space="preserve"> Implementing partner agreement for Multi-Purpose Cash Grant Disbursement The fourth Instalment has been charged to MJ.0166 instead of DP.2395 due to technical reasons and will be adjusted through FI</t>
  </si>
  <si>
    <t>HANDS</t>
  </si>
  <si>
    <t xml:space="preserve"> Field Facilitator in Khorog</t>
  </si>
  <si>
    <t>Sakhovatshoeva Zaibobegim Shosai</t>
  </si>
  <si>
    <t>DP.2414</t>
  </si>
  <si>
    <t>Humanitarian Support to Crisis-Affected Afghan Nationals in Pakistan, Iran and Tajikistan</t>
  </si>
  <si>
    <t xml:space="preserve"> PR # 4200367038 Increasing access and availability of public health services, and improving sanitation and hygiene condition of vulnerable communities in Balochistan</t>
  </si>
  <si>
    <t>CARE INTERNATIONAL IN PAKISTAN</t>
  </si>
  <si>
    <t xml:space="preserve"> PR # 4200367035 Emergency Health Assistance for The Flood Affected Vulnerable Communities of Quetta and Pishin</t>
  </si>
  <si>
    <t>Youth Organization (PPAF)</t>
  </si>
  <si>
    <t xml:space="preserve"> PR # 4200367051 Provision of Immediate, Life-saving Health Assistance for Afghan Refugees in Quetta and Pishin Districts</t>
  </si>
  <si>
    <t xml:space="preserve"> Implementation of activities under IOM Project – "Humanitarian support to crisis-affected Afghan nationals in Pakistan, Iran and Tajikistan”  Reference Documents: PR No.: 4200228845 dated 28 March 2022 Project Implementation Agreement No.: 4200228845 IP</t>
  </si>
  <si>
    <t xml:space="preserve"> Implementation of activities under IOM Project – "Humanitarian support to crisis affected Afghan nationals in Pakistan, Iran and Tajikistan"  Reference Documents: PR No.: 4200229041 dated 28 March 2022 Project Implementation Agreement No.: 4200229041 IP</t>
  </si>
  <si>
    <t xml:space="preserve"> Implementation of activities under IOM Project – "Humanitarian support to crisis affected Afghan nationals in Pakistan, Iran and Tajikistan"  Reference Documents: PR No.: 4200228865 dated 28 March 2022 Project Implementation Agreement No.: 4200228865 IP</t>
  </si>
  <si>
    <t xml:space="preserve"> Implementation of activities under IOM Project – "Humanitarian support to crisis affected Afghan nationals in Pakistan, Iran and Tajikistan"  Reference Documents: PR No.: 4200228891 dated 28 March 2022 Project Implementation Agreement No.: 4200228845 IP</t>
  </si>
  <si>
    <t>Refugees, Children and Vulnerable</t>
  </si>
  <si>
    <t xml:space="preserve"> Provision Community-Based Services and Mental Health and Psychosocial Support to Assist Afghani People in Qatar Camps</t>
  </si>
  <si>
    <t xml:space="preserve"> Provision of Educational Services for Afghan Children.  PRF REF No.: 4200357473; 4200360857 Project Implementation Agreement 1 July 2022 - 30 June 2023</t>
  </si>
  <si>
    <t>QATAR CHARITY</t>
  </si>
  <si>
    <t xml:space="preserve"> Implementing Partner to Provide Community-Based Services and Mental Health and Psychosocial Support to assist Afghani people.  PRF REF No.: 4200366247 Project Implementation Agreement (retroactive 1 Oct 2022)</t>
  </si>
  <si>
    <t>DP.2422</t>
  </si>
  <si>
    <t>A Rapid Response Fund (RRF) Program responding to emergency needs of disaster affected populations in South Sudan under the states of the Greater Equatoria, Greater Upper Nile Lakes, Greater Bahr El Ghazal and Abyei Regions of South Sudan</t>
  </si>
  <si>
    <t xml:space="preserve"> Provision of Emergency Health Services to the Floods affected Populations in Canal/Pigi County, Jonglei State. PRF#JUBRRF221440</t>
  </si>
  <si>
    <t xml:space="preserve"> Provision of emergency WASH And WASH-NFIs response to most affected population in Wokobu in Kapoeta North and Jie in Kapoeta East. PRF#JUBRRF221442</t>
  </si>
  <si>
    <t xml:space="preserve"> Provision of integrated emergency Shelter NFIs and Gender Based Violence (GBV) prevention and response to the Flood affected communities in Rubkona county, Unity State. PRF#JUBRRF221444</t>
  </si>
  <si>
    <t xml:space="preserve"> Emergency WASH and S/NFIs Scale up response to vulnerable populations displaced due to conflict in Abyei. PRF#JUBRRF221445</t>
  </si>
  <si>
    <t xml:space="preserve"> Provision of Emergency Shelter and NFIs assistance to conflict - affected population in Leer County of Unity State. PRF#JUBRRF221446</t>
  </si>
  <si>
    <t xml:space="preserve"> Provision of emergency and essential primary healthcare services for the Conflict Affected Population in Abyei. PRF#JUBRRF221443</t>
  </si>
  <si>
    <t xml:space="preserve"> PO Note: Provision of Basic Emergency Lifesaving Health and Nutrition Services to IDPs and Host Communities Affected by Communal Conflicts in Magwi County of Eastern Equatoria State with reference to PRF#UBRRF221596.</t>
  </si>
  <si>
    <t xml:space="preserve"> PO Note: Provision of Emergency Primary Health Care Services to Food insecure (IPC Phase 4) and Conflict Affected Population in Leer County, Unity State with reference to PRF JUBRRF221760.</t>
  </si>
  <si>
    <t xml:space="preserve"> PO Note: RRF0311 - Emergency Shelter Response provision of agriculture and food security, health, protection, shelter and water sanitation to Mvolo county.</t>
  </si>
  <si>
    <t xml:space="preserve"> PO Note: RRF0312 Provision of Emergency Lifesaving Nutrition Services to the Vulnerable Populations facing food insecurity (IPC 4) in Jie and Mogos Payams of Kapoeta East County, Eastern Equatoria State (EES).</t>
  </si>
  <si>
    <t xml:space="preserve"> PO Note: RRF 0314 - Provision of non Food Items to IDPs in Payams of Rumbek North County, Lakes State.</t>
  </si>
  <si>
    <t xml:space="preserve"> Provision of integrated and comperhensive GBV in emergency response to conflict affected population in Tore and Wuji under PR No. 4200267821</t>
  </si>
  <si>
    <t xml:space="preserve"> PO Note:  RRF0316- Provision of Emergency WASH support to IPC 4 affected Communities in Duk County South Sudan with reference to PRF#4200276906</t>
  </si>
  <si>
    <t xml:space="preserve"> Interim Financial Report from period  of July 15 - August 29, 2022 RRF0317 - Strengthening GBV response and prevention services for the vulnerable people in Emergency (IPC 4) in Rumbek North CountyLakes state.</t>
  </si>
  <si>
    <t>WOMEN AID VISION</t>
  </si>
  <si>
    <t xml:space="preserve"> PO Note: RRF0318 - Emergency WASH response to the most vulnerable population in IPC 4 living in Jiech, Kuach-deng Pagil and Korwai Payams of Ayod county, Jonglei State with reference to PR#4200292433</t>
  </si>
  <si>
    <t xml:space="preserve"> Increase food security for 5,000 food insecure affected households in Ayod County through provision of emergency livelihoods kits and training. PRF#4200300271</t>
  </si>
  <si>
    <t>AFRICAN LEADERSHIP SKILLS</t>
  </si>
  <si>
    <t xml:space="preserve"> Emergency Livelihood support to IPC 5 affected households in Pigi Canal. PRF#4200307509</t>
  </si>
  <si>
    <t>COMMUNITY AID FOR FISHERIES AND</t>
  </si>
  <si>
    <t xml:space="preserve"> RRF0320 - RCDI: Distribution of Emergency livelihood inputs to the most vulnerable IPC4 population in Mayom county –Unity State. PRF#4200300292</t>
  </si>
  <si>
    <t xml:space="preserve"> RRF0322- Payment for Reactive measles vaccination campaign in Mangalla and Lokiliri Payams of Juba County following measles outbreak in JubaCounty implemented by UNH with reference to PR#4200326501</t>
  </si>
  <si>
    <t xml:space="preserve"> 1st Instalment Payment done after submission of the 1st Financial Report</t>
  </si>
  <si>
    <t xml:space="preserve"> Provision of life-sustaining Non-Food Items (NFI) to 7,461 vulnerable people displaced by floods in Mundri West County, WesternEquatoria State under PRF #4200339531</t>
  </si>
  <si>
    <t>DP.2427</t>
  </si>
  <si>
    <t>Evidence-Based Multi-Sectoral Emergency Assistance to Affected People in Bamingui-Bangoran Prefecture</t>
  </si>
  <si>
    <t xml:space="preserve"> SUIVI DE LA TRANSHUMANCE A BAMINGUI BABGORAN PRF 4200357158</t>
  </si>
  <si>
    <t xml:space="preserve"> IOM Contribution for operationalization of the NEXUS project in Cameroon for the period of April to December 2022</t>
  </si>
  <si>
    <t xml:space="preserve"> Implementing partner activities for distribution of Shelter/NFIs kits and monitoring construction of shelters in the far North</t>
  </si>
  <si>
    <t xml:space="preserve"> CONTRAT IP  OF EARLY WARNING SYSTEMS TO BETTER INFORM THE RRM EXTREME NORD GROUP CONSUL</t>
  </si>
  <si>
    <t xml:space="preserve"> AGREEMENT IP EWER IN FAR NORTH REGION CAMEROON</t>
  </si>
  <si>
    <t>AFRIQUE ESPOIR</t>
  </si>
  <si>
    <t xml:space="preserve"> UA1-2022-3006_IP services for distribution of thermal blankets, kitchen sets, water containers.</t>
  </si>
  <si>
    <t xml:space="preserve"> IP services to distribution of solar lamps and baby hygiene kits</t>
  </si>
  <si>
    <t xml:space="preserve"> IP services to distribution of NFI, ESK, and other relief items in Ukraine</t>
  </si>
  <si>
    <t xml:space="preserve"> IP for data collection services and field operation support</t>
  </si>
  <si>
    <t>PO CYI TOP YOUTH</t>
  </si>
  <si>
    <t xml:space="preserve"> PR NO. (4200263871) UA1-2022-3015_IP_data ollection services_Ivano-Frankivsk_STAN  Type of contract signed: Service agreement  PO is for internal use  - financial tracking only (no signature required).</t>
  </si>
  <si>
    <t>NGO MO STAN</t>
  </si>
  <si>
    <t xml:space="preserve"> PR NO. (4200274898) UA1-2022-3019_Services of ZRCO EDELWEISS for Verification and Registration for Cash assistance  Type of contract signed: Service agreement LEG Advisory Code: UKR/SERV/AP0038/2022 Mission LEG Approval Code:UKR/SS/III097/2022  PO is for</t>
  </si>
  <si>
    <t>ZRCO EDELWEISS</t>
  </si>
  <si>
    <t xml:space="preserve"> Our Reference: PR NO. (4200265336) UA1-2022-3016_IP_Data Collection Services_Chernivtsi_The Committee of Voters  Type of contract signed: Service agreement  PO is for internal use  - financial tracking only (no signature required). Created after service</t>
  </si>
  <si>
    <t>CHERNIVTSI COMMITTEE OF VOTERS</t>
  </si>
  <si>
    <t xml:space="preserve"> IP services_Household survey in Zakarpatska oblast</t>
  </si>
  <si>
    <t>DP.2440</t>
  </si>
  <si>
    <t>Emergency Response for Populations Affected by Floods in Burundi</t>
  </si>
  <si>
    <t>DP.2444</t>
  </si>
  <si>
    <t>Providing Life-Saving Protection and Health-Care Support to Migrants and Other Populations in Vulnerable Situations in Lebanon</t>
  </si>
  <si>
    <t xml:space="preserve"> First instalment - due within fifteen (15) calendar days after the signature of the Agreement</t>
  </si>
  <si>
    <t>DP.2446</t>
  </si>
  <si>
    <t>Emergency Response to the Conflict in Ukraine through Multi-Purpose Cash, Shelter and Non-food Items</t>
  </si>
  <si>
    <t xml:space="preserve"> Our Reference: PR NO. (4200257052) UA1-2022-3010_Services of the CF" Charity Foundation" East-SOS" in Ukraine Type of contract signed: Framework Agreement PO is for internal use  - financial tracking only (no signature required).</t>
  </si>
  <si>
    <t>BF VOSTOK-SOS</t>
  </si>
  <si>
    <t xml:space="preserve"> Our Reference: PR NO. (4200256993) UA1-2022-3012_IP for NFI items distribution_NGO Rotary Club Kyiv International Type of contract signed: Framework Agreement PO is for internal use  - financial tracking only (no signature required).</t>
  </si>
  <si>
    <t xml:space="preserve"> PR NO. (4200257010) UA1-2022-3011_Services of Taras Shevchenko Ternopil Regional Association of Ukrainian Society "Prosvita"  Type of contract signed: Framework agreement NFIS/UA/2022/019 dd 04.04.2022  PO is for internal use  - financial tracking only (</t>
  </si>
  <si>
    <t>PROSVITA IM.TARASA SHEVCHENKA</t>
  </si>
  <si>
    <t xml:space="preserve"> Our Reference: PR NO. (4200284159) UA1-2022-3023_IP_NFIs distribution_Vinnitsa Oblast  Type of contract signed: Agreement  PO is for internal use  - financial tracking only (no signature required). Created after service is rendered.</t>
  </si>
  <si>
    <t xml:space="preserve"> Our Reference: PR NO. (4200256951) UA1-2022-3018_IP Services of the All-Ukrainian NGO Ukrainian Association of Business Support Centers in Ukraine  Type of contract signed: Framework agreement  PO is for internal use  - financial tracking only (no signat</t>
  </si>
  <si>
    <t xml:space="preserve"> PR NO. (4200266632) UA1-2022-3017_IP_Distribution of NFIs in Zakarpatska oblast  Type of contract signed: Framework agreement  PO is for internal use  - financial tracking only (no signature required)</t>
  </si>
  <si>
    <t>DP.2447</t>
  </si>
  <si>
    <t>Emergency Water Sanitation and Hygiene (WASH) Support to Crises Affected Population of Somali Region, Ethiopia</t>
  </si>
  <si>
    <t xml:space="preserve"> SNFI0102 - IP EMCO WASH support to Crises affected population in Tuliguled, Somali Region</t>
  </si>
  <si>
    <t>Ethio-Somali Mother&amp;Child-HealthOrg</t>
  </si>
  <si>
    <t xml:space="preserve"> PR 4200267246 Long term safe accomodation, transportatin &lt;(&gt;&amp;&lt;)&gt; environment with basic needs for persons displace by the conflict in Ukraine</t>
  </si>
  <si>
    <t xml:space="preserve"> PR # 4200275153 IP Agreement Addressing the needs of crisis affected population from Ukraine in Hungary</t>
  </si>
  <si>
    <t xml:space="preserve"> PR# 4200322998. 1st and 2nd Installment for the project Education and recreational activities for Ukrainian refugees.</t>
  </si>
  <si>
    <t xml:space="preserve"> PR# 4200327366. Lexis Alapítvány (Lexis Foundation) implements the project 'Supporting basic needs of Ukrainian families" in Budapest, Hungary as an IP of IOM. The first installment is 19,200,148 HUF, total contract value 21,333,498 HUF.</t>
  </si>
  <si>
    <t>Lexis Alapitvany</t>
  </si>
  <si>
    <t xml:space="preserve"> PR# 4200327879. Next Step Hungary Association delivers the project 'Multi-level support for Ukrainian refugees and Third Country Nationals in Budapest' as an IP of IOM.</t>
  </si>
  <si>
    <t>Next Step Hungary Association</t>
  </si>
  <si>
    <t xml:space="preserve"> PR# 4200367557. Improving shelter conditions and social support at shelters in Budapest.</t>
  </si>
  <si>
    <t>Oltalom Karitativ Egyesulet</t>
  </si>
  <si>
    <t xml:space="preserve"> IP Agreement with Association for Legal Intervention for capacity building for foster families and foster care professionals as per PR 4200245648</t>
  </si>
  <si>
    <t>Stowarzyszenie Interwencji Prawnej</t>
  </si>
  <si>
    <t xml:space="preserve"> IP Agreement - The Central Council of Roma (Annex 1)</t>
  </si>
  <si>
    <t xml:space="preserve"> Decont No. 1, 16 May-14 July 2022</t>
  </si>
  <si>
    <t xml:space="preserve"> IP (Staff and activities)</t>
  </si>
  <si>
    <t xml:space="preserve"> Reimbursement no.1 - July 2022 as part of the providing assistance for conflict-affected people from Ukraine and neighboring countries.</t>
  </si>
  <si>
    <t>ASOC. ECUMENICA A BISERICILOR</t>
  </si>
  <si>
    <t xml:space="preserve"> Decont No. 3, 12 Aug-15 Sept 2022, Project GFFO Germany funds - F. Schottener</t>
  </si>
  <si>
    <t xml:space="preserve"> Reimb. no.2 - August 2022, AIDRom, partnership agreement no. 823/15.06.2022_Ukraine</t>
  </si>
  <si>
    <t xml:space="preserve"> Reimbursement no.2 - August as part of providing assistance for conflict - affected people from Ukraine</t>
  </si>
  <si>
    <t xml:space="preserve"> Decont no.3, 12 August - 15 Sept 2022, project GFFO Germany funds - F Schottener</t>
  </si>
  <si>
    <t xml:space="preserve"> Decont No. 4, 16 Sept - 14 Oct 2022, as part of the project "GFFO assistance for Ukraine crisis" (Germany funds) - F. Schottener</t>
  </si>
  <si>
    <t xml:space="preserve"> Decont no. 1, September 2022, as part of project "Providing assistance to conflict-affected population fleeing the conflict from Ukraine", partnership agreement no. 1575/01.09.2022 - Asoc. FILANTROPIA Oradea</t>
  </si>
  <si>
    <t xml:space="preserve"> Reimbursement no.3 - September 2022 as part of the providing assistance for conflict-affected people from Ukraine and neighboring countries, partnership agreement no. 823/15.06.2022 - AIDRom</t>
  </si>
  <si>
    <t xml:space="preserve"> Decont No. 5, 15 Oct - 03 Nov 2022, as part of the project "GFFO assistance for Ukraine crisis" (Germany funds) - Fundatia Schottener</t>
  </si>
  <si>
    <t xml:space="preserve"> Decont No. 6, 04 Nov - 15 Nov 2022, as part of the project "GFFO assistance for Ukraine crisis" (Germany funds) - Fund. Schottener</t>
  </si>
  <si>
    <t xml:space="preserve"> Decont No. 7, 16 Nov - 29 Nov 2022, as part of the project "GFFO assistance for Ukraine crisis" (Germany funds) - Fundatia Schottener</t>
  </si>
  <si>
    <t xml:space="preserve"> Reimbursement no.4 - October 2022 as part of the providing assistance for conflict-affected people from Ukraine and neighboring countries, partnership agreement no. 823/15.06.2022 - AIDRom</t>
  </si>
  <si>
    <t xml:space="preserve"> PR_4200387393</t>
  </si>
  <si>
    <t xml:space="preserve"> PR_4200386806</t>
  </si>
  <si>
    <t xml:space="preserve"> PR_4200388247</t>
  </si>
  <si>
    <t xml:space="preserve"> Decont No. 8, 30 Nov - 31 Dec 2022, as part of the project "GFFO assistance for Ukraine crisis" - Fundatia Schottener</t>
  </si>
  <si>
    <t xml:space="preserve"> PR_4200390022  as per agreement 1575/01.09.2022</t>
  </si>
  <si>
    <t xml:space="preserve"> PR_4200390834</t>
  </si>
  <si>
    <t xml:space="preserve"> MHPSS first instalment</t>
  </si>
  <si>
    <t xml:space="preserve"> PR NO. (4200274042) UA1-2022-624.1_Emergency Health Response to the Humanitarian Crisis in Ukraine_UK-MED  Type of contract signed: PIA UKR/SS/V253/2022 dd 20.05.2022  PO is for internal use  - financial tracking only (no signature</t>
  </si>
  <si>
    <t xml:space="preserve"> IP Agreement dd 05.04.2022 Mission LEG approval code: UKR/SS/III121/2022 Emergency Response for the Humanitarian Crisis in Ukraine (deployment of mobile health teams composed of physicians, nurses nd psychologists as well as emergency referral ambulances</t>
  </si>
  <si>
    <t>Sheptytsky Charitable Institution</t>
  </si>
  <si>
    <t xml:space="preserve"> Our Reference: PR NO. (4200290948) UA1-2022-3027_IP engagement, NGO "Friends Hands" for CCCM activities, Vinnytsia oblast  Type of contract signed: PIA  PO is for internal use  - financial tracking only (no signature required). Created before service is</t>
  </si>
  <si>
    <t>ICF FRIENDS HANDS</t>
  </si>
  <si>
    <t xml:space="preserve"> Our Reference: PR NO. (4200291004) UA1-2022-3026_IP Engagement, NGO Spilna sprava for CCCM activities, Vinnytsia oblast  Type of contract signed: PIA  PO is for internal use  - financial tracking only (no signature required). Created before service is re</t>
  </si>
  <si>
    <t xml:space="preserve"> IP services in Ivano-Frankivsk and Lviv regions_CCCM</t>
  </si>
  <si>
    <t>IVANO-FRANKIVSKE OO</t>
  </si>
  <si>
    <t xml:space="preserve"> Mobile water treatment and distribution in Ukraine</t>
  </si>
  <si>
    <t>CENPO Water Missions International</t>
  </si>
  <si>
    <t xml:space="preserve"> IP Services for Distribution of Emergency Shelter kits, in multiple oblasts</t>
  </si>
  <si>
    <t xml:space="preserve"> Cost of Nowzuwan Contract agreement of Site Development in Camps 20 &lt;(&gt;&amp;&lt;)&gt; 20E PR#4200232073 Program/Unit: Program Support SMSD Requester: Arman Rahim Chy Duration: April to June 2022)</t>
  </si>
  <si>
    <t xml:space="preserve"> Cost of AAB contract agreement of Site Development in Camps 11, 12 &lt;(&gt;&amp;&lt;)&gt; 19 Duration: Two months from April to June 2022 PR#4200233945 Program/Unit: Programme Support SMSD Requester: Arman Rahim Chy</t>
  </si>
  <si>
    <t xml:space="preserve"> DRC new partnership agreement Duration:Two Months from April to June 2022 PR#4200242883 Program: Protection Requester: Thui Sha Ching</t>
  </si>
  <si>
    <t xml:space="preserve"> Cost of DRC contract agreement of Site Management Support in Camp 8E, 8W, 10,11 &lt;(&gt;&amp;&lt;)&gt; 12 Duration:3 Month from April to June 2022 PR#4200243637 Program: Program Suppor SMSD Requester: Arman Rahim Chy</t>
  </si>
  <si>
    <t xml:space="preserve"> cost of CARE contract agreement of Site Management Support &lt;(&gt;&amp;&lt;)&gt; Site Development During: April to June 2022 PR#4200243717 Program: Program Support SMSD Requester: Arman Rahim Chy</t>
  </si>
  <si>
    <t xml:space="preserve"> PR-4200345775 Unit-SMSD Requester-Arman Rahim Chy</t>
  </si>
  <si>
    <t xml:space="preserve"> PR - 4200345750 Unit- SMSD Requestor-Arman Rahim Chy</t>
  </si>
  <si>
    <t xml:space="preserve"> PROYECTO PRM 2022  Acuerdo de Implementación de Proyecto. Periodo de implementacion Abril 22 a julio 2022.  En el marco del Plan de Respuesta a Migrantes y Refugiados de Venezuela (RMRP) desarrollado, con el fin de contribuir y complementar el trabajo de</t>
  </si>
  <si>
    <t xml:space="preserve"> PROYECTO PRM 2022  Acuerdo de Implementación.  La Fundación Loyola (Servicio Jesuita a Migrantes) brinda asistencia a la población migrantes en extrema vulnerabilidad que se acerca a la iglesia atendiendo necesidades habitacionales a través de un program</t>
  </si>
  <si>
    <t xml:space="preserve"> PROYECTO PRM 2022  FCCAM- Acuerdo de implementación de Proyecto.  El objetivo de la presente solicitud de acuerdo es brindar atención integral y asistencia económica a personas migrantes y refugiadas en situación de vulnerabilidad que consituyen casos de</t>
  </si>
  <si>
    <t xml:space="preserve"> AMIA Acuerdo de implementación de actividades. Abril-julio 2022  La presente solicitud tiene como objetivo fortalecer las capacidades de las personas migrantes y refugiadas, con énfasis en población venezolana, a través de cursos de formación a distancia</t>
  </si>
  <si>
    <t xml:space="preserve"> PROYECTO PRM 2022  Nobleza Obliga - Acuerdo de Implementación. Abril - Julio 2022.  Las personas migrantes que residen en Argentina se enfrentan a diferentes desafíos en el proceso de integración sociolaboral. La falta de acceso al trabajo y más aún en c</t>
  </si>
  <si>
    <t xml:space="preserve">  APdeba. Acuerdo de Implementación de Proyecto. Periodo Abril 2022 a julio 2022.  El objetivo del presente convenio consiste en brindar atención en salud mental y apoyo psicosocial a personas migrantes que se encuentran en Argentina y ofrecer instancias</t>
  </si>
  <si>
    <t xml:space="preserve"> PROYECTO PRM 2022  Alianza por Venezuela. Acuerdo de implementación. Abril-julio 2022.  Dada la necesidad de apoyar y contener a las personas migrantes durante el proceso migratorio, la necesidad de promover una mejor adaptación a la sociedad de acogida</t>
  </si>
  <si>
    <t xml:space="preserve"> PROYECTO PRM 2022  ACUERDO DE IMPLEMENTACION JUN AGOSTO 2022</t>
  </si>
  <si>
    <t>FUNDACION CIPPEC</t>
  </si>
  <si>
    <t xml:space="preserve"> PROYECTO PRM 2022  ACUERDO DE IMPLEMENTACION DE AGOS A DIC 2022</t>
  </si>
  <si>
    <t xml:space="preserve"> PROYECTO PRM 2022  ACUERDO DE IMPLEMENTACION  PERIODO  1 DE AGOSTO A 15 DE DICIEMBRE 2022</t>
  </si>
  <si>
    <t xml:space="preserve"> PROYECTO PRM 2022  ACUERDO DE IMPLEMENTACION  DURACION AGO A DIC 2022</t>
  </si>
  <si>
    <t xml:space="preserve"> PROYECTO PRM 2022  ACUERDO DE IMPLEMENTACION   DURACION AGOSTO A DICIEMBRE DE 2022</t>
  </si>
  <si>
    <t xml:space="preserve"> PROYECTO PRM 2022  AxV - Acuerdo de implementación RMRP 2022.  Período de implementación: Agosto - noviembre 2022. ENMIENDA 1 AL 31.12</t>
  </si>
  <si>
    <t xml:space="preserve"> AMIA - Acuerdo de implementación RMRP2022 Período de implementación: 01 de agosto de 2022 al 15 de diciembre de 2022.</t>
  </si>
  <si>
    <t xml:space="preserve"> Contratación de socio implementador en la ciudad de La Paz para brindar asistencia a migrantes venezolanos con regularización migratoria y apoyo con capital semilla a emprendimientos económicos.</t>
  </si>
  <si>
    <t xml:space="preserve"> Contratación de socio implementador en la ciudad de Cochabamba para brindar asistencia a migrantes venezolanos con regularización mi gratoria.</t>
  </si>
  <si>
    <t xml:space="preserve"> Contratación de socio implementador en la ciudad de Santa Cruz para brindar asistencia a migrantes venezolanos con regularización migratoria y apoyo con capital semilla a emprendimientos económicos</t>
  </si>
  <si>
    <t xml:space="preserve"> Final instalment of PIA signed with SPM-SC (2022-4500202186 PIA - SPM SC)</t>
  </si>
  <si>
    <t>ASSOCIAÇÃO SCALABRINI</t>
  </si>
  <si>
    <t xml:space="preserve"> 1st instalment - Project Implementation Agreement for Interiorization shelter in Paraiba</t>
  </si>
  <si>
    <t xml:space="preserve"> ACUERDO DE IMPLEMENTACIÓN DE PROYECTO  "APOYO PSICOEMOCIONAL EN LA MIGRACIÓN Y TALLERES DE PREPARACIÓN EUNACOM”</t>
  </si>
  <si>
    <t>ASOCIACION INMIGRANTE FELIZ</t>
  </si>
  <si>
    <t xml:space="preserve"> ACUERDO DE IMPLEMENTACIÓN DE PROYECTO  Proyecto de apoyo al emprendimiento dirigido a personas migrantes/refugiadas de la Región del Biobío</t>
  </si>
  <si>
    <t xml:space="preserve"> ACUERDO DE IMPLEMENTACIÓN DE PROYECTO  Sensibilización, capacitación y empoderamiento sobre derechos LGBTIQA+ para la población migrante en Chile</t>
  </si>
  <si>
    <t>MOVILH</t>
  </si>
  <si>
    <t xml:space="preserve"> Purchase Order for ASOCIACIÓN ALIANZA VENCR Contract 01/08/2022-31/12/2022 Implementing partner of activities of 1) emergency temporary accommodation to assist migrants and refugees from Venezuela in Costa R ica (Program 800-Venezuela)</t>
  </si>
  <si>
    <t xml:space="preserve"> Purchase Order for ASOCIACIÓN ALIANZA VEN CR Implementing partner of activities to support Venezuelan enterprises or civil society/host community for food assistance to Venezuelan migrants and refugees in Costa Rica (800-Venezuela Program).</t>
  </si>
  <si>
    <t xml:space="preserve"> Implementation agreement regarding the project to respond to the Venezuelan population.  Modified according to the first amendment Reference number DO10/I1217/2022</t>
  </si>
  <si>
    <t xml:space="preserve"> Service for:  Implementing partner for the Venezuelan Population Response project for Venezuelan Migrants from the North, East, South and Santo Domingo Regions. Venezuelan migrant individuals and families who meet the vulnerability criteria established i</t>
  </si>
  <si>
    <t xml:space="preserve"> Service for:  Project to provide legal advice and economic support to Venezuelan migrants in the Dominican Republic to benefit from the Venezuelan Normalization Plan   Modified according to the reference number of the first modification DO10/I1216/2022</t>
  </si>
  <si>
    <t>Heartland Alliance International</t>
  </si>
  <si>
    <t xml:space="preserve"> ACUERDO DE IMPLEMENTACION DE PROYECTO entre la OIM y Asociación Fe y Alegría Ecuador relativo a Proceso de integración educativa para NNA en situación de movilidad y comunidad de acogida  IP-2022-06</t>
  </si>
  <si>
    <t>ASOCIACION FE Y ALEGRIA ECUADOR</t>
  </si>
  <si>
    <t xml:space="preserve"> ACUERDO DE IMPLEMENTACIÓN DE PROYECTO entre la Organización Internacional para las Migraciones (OIM) Y la Fundación Haciendo Panas  Núm. Ref. de la Oficina de la OIM: IP-2022-07 Código de Proyecto OIM: DP.2458</t>
  </si>
  <si>
    <t xml:space="preserve"> Tercera Enmienda al Acuerdo de Implementación de Proyecto entre la Organización Internacional para las Migraciones (OIM) y HIAS (Hebrew Immigrant Aid Society)  Relativo a:  Creación y Fortalecimiento de Espacios Amigables y Seguros para NNA en Albergues</t>
  </si>
  <si>
    <t xml:space="preserve"> PR 4200254022  ACUERDO DE IMPLEMENTACIÓN DE PROYECTO entre la Organización Internacional para las Migraciones (OIM) y Aldeas Infantiles SOS Ecuador relativo a Diseñar y desarrollar un proyecto de inclusión educativa desde ámbitos no formales, que permita</t>
  </si>
  <si>
    <t>ALDEAS INFANTILES SOS ECUADOR</t>
  </si>
  <si>
    <t xml:space="preserve"> ACUERDO DE IMPLEMENTACIÓN DE PROYECTO entre la Organización Internacional para las Migraciones (OIM) y la Fundación de Ayuda Integral Tierra para Todos  Núm. Ref. de la Oficina de la OIM: IP-2022-09 Código de proyecto OIM: DP. 2458</t>
  </si>
  <si>
    <t>FUNDACION DE AYUDA INTEGRAL TIERRA</t>
  </si>
  <si>
    <t xml:space="preserve"> PR 4200256825  ACUERDO DE IMPLEMENTACIÓN DE PROYECTO entre la Organización Internacional para las Migraciones (OIM) y Asociación Mujer &lt;(&gt;&amp;&lt;)&gt; Mujer - Colectivo LGBTI relativo a Proyecto Dignidad  IP-2022-08 DP.2458</t>
  </si>
  <si>
    <t xml:space="preserve"> ACUERDO DE IMPLEMENTACIÓN DE PROYECTO entre la Organización Internacional para las Migraciones(OIM) y la Fundación de las Américas para el Desarrollo (FUDELA)  Núm. Ref. de la Oficina de la OIM: IP-2022-10 Código de proyecto OIM: DP.2458</t>
  </si>
  <si>
    <t xml:space="preserve"> PR 4200259101  ACUERDO DE IMPLEMENTACIÓN DE PROYECTO entre la Organización Internacional para las Migraciones (OIM) y RET INTERNATIONAL relativo al Proceso de integración educativa para niños, niñas y adolescentes en situación de movilidad y comunidad de</t>
  </si>
  <si>
    <t>RET INTERNATIONAL</t>
  </si>
  <si>
    <t xml:space="preserve"> ACUERDO DE IMPLEMENTACIÓN DE PROYECTO entre la Organización Internacional para las Migraciones (OIM) y la Fundación Ecuatoriana Equidad  Núm. Ref. de la Oficina de la OIM: IP.2022.14. Código de proyecto OIM: DP.2458.</t>
  </si>
  <si>
    <t xml:space="preserve"> PR 4200275372  IP CAMOR - Emprendimientos y habilidades técnicas en la Provincia de Tungurahua  ACUERDO DE IMPLEMENTACIÓN DE PROYECTO entre la Organización Internacional para las Migraciones (OIM) y la Fundación Visión Mundial Ecuador relativo a la Imple</t>
  </si>
  <si>
    <t>Fundacion Vision Mundial Ecuador</t>
  </si>
  <si>
    <t xml:space="preserve"> ACUERDO DE IMPLEMENTACIÓN DE PROYECTO entre la Organización Internacional para las Migraciones (OIM) y Asociación Mujer &lt;(&gt;&amp;&lt;)&gt; Mujer - Colectivo LGBTI  Núm. Ref. de la Oficina de la OIM: IP-2022-16. Código de Proyecto OIM: DP.2458</t>
  </si>
  <si>
    <t xml:space="preserve"> PR 4200287175  ACUERDO DE IMPLEMENTACIÓN DE PROYECTO entre la Organización Internacional para las Migraciones (OIM) y Fundación Diálogo Diverso relativo a la Implementación de modalidad de atención integral para población LGBTIQ+ en situación de movilida</t>
  </si>
  <si>
    <t xml:space="preserve"> PR 4200298934 ACUERDO DE IMPLEMENTACIÓN DE PROYECTO entre la Organización Internacional para las Migraciones (OIM) y Pastoral Social Cáritas Ecuador (PSCE)  IP-2022-18</t>
  </si>
  <si>
    <t>Pastoral Social Caritas Ecuador</t>
  </si>
  <si>
    <t xml:space="preserve"> PR 4200294150 y 4200361024 (ADENDA 1).  CAMOR Emprendimientos para cuidadores/as de NNA con discapacidad y/o neurodiversidad entre la Organización Internacional para las Migraciones (OIM) y Corporación Agencia Adventista de Desarrollo y Recursos Asistenc</t>
  </si>
  <si>
    <t xml:space="preserve"> PR 4200311284 REEMPLAZA A 4200291316  ACUERDO DE IMPLEMENTACIÓN DE PROYECTO entre la Organización Internacional para las Migraciones (OIM) y Fundación Benéfica Acción Solidaria (FAS) relativo a Proyecto Generar y fortalecer capacidades para la integració</t>
  </si>
  <si>
    <t>FUNDACIÓN BENÉFICA ACCIÓN SOLIDARIA</t>
  </si>
  <si>
    <t xml:space="preserve"> Acuerdo de Implementación de Poyecto entre la Organización Internacional para las Migraciones (OIM) y Fundación AVSI  Num. Ref. de la Oficina de la OIM: IP-2022-13 Código de proyecto OIM: DP.2458</t>
  </si>
  <si>
    <t>Fundación AVSI</t>
  </si>
  <si>
    <t xml:space="preserve"> ACUERDO DE IMPLEMENTACIÓN DE PROYECTO entre la Organización Internacional para las Migraciones (OIM) y Organización No Gubernamental Internacional HIAS  Núm. Ref. de la Oficina de la OIM: IP-2022-20 Código de proyecto OIM: DP.2458</t>
  </si>
  <si>
    <t xml:space="preserve"> PR 4200287177  ACUERDO DE IMPLEMENTACIÓN DE PROYECTO entre la Organización Internacional para las Migraciones (OIM) y la Fundación Quimera relativo a la Asistencia y Protección a Personas en Riesgo, Víctimas y/o Sobrevivientes de VBG y Fortalecimiento de</t>
  </si>
  <si>
    <t xml:space="preserve"> PR 4200304067  Cuarta Enmienda al Acuerdo de implementación de Proyecto entre Organización Internacional para las Migraciones (OIM) y La Fundación Alas de Colibrí relativo a Asistencia y Protección a Víctimas y/o Sobrevivientes de la TDP y VBG y Fortalec</t>
  </si>
  <si>
    <t xml:space="preserve"> ACUERDO DE IMPLEMENTACIÓN DE PROYECTO entre la Organización Internacional para las Migraciones(OIM) y PlanInternationalInc. relativo a: Generación de Comunidades Protectoras con un Enfoque Particular en Personas en Situación de Movilidad Humana.  Núm. Re</t>
  </si>
  <si>
    <t>PLAN INTERNATIONAL INC.</t>
  </si>
  <si>
    <t xml:space="preserve"> PR 4200313308  ACUERDO DE IMPLEMENTACIÓN DE PROYECTO entre la Organización Internacional para las Migraciones (OIM) y CONVENIO BASICO DE FUNCIONAMIENTO ENTRE EL GOBIERNO DE LA REPUBLICA DEL ECUADOR Y LA ORGANIZACION NO GUBERNAMENTAL EXTRANJERA NORWEGIAN</t>
  </si>
  <si>
    <t>Consejo Noruego para los Refugiados</t>
  </si>
  <si>
    <t xml:space="preserve"> Producto 1. Plan de trabajo y metodología de implementación del programa  1.1 Descripción metodológica de formación en los siguientes cursos: Cada documento de descripción metodológica deberá llevar:  # Datos generales del curso. # Duración y horario. # I</t>
  </si>
  <si>
    <t>Coorp Viviendas del Hogar de Cristo</t>
  </si>
  <si>
    <t xml:space="preserve"> PR 4200306558  ACUERDO DE IMPLEMENTACIÓN DE PROYECTO entre la Organización Internacional para las Migraciones (OIM) y Corporación Kimirina relativo a Implementación de un Modelo Comunitario para la Prevención de VIH en Población en Situación de Movilidad</t>
  </si>
  <si>
    <t xml:space="preserve"> PR 4200290209  ACUERDO DE IMPLEMENTACIÓN DE PROYECTO entre la Organización Internacional para las Migraciones (OIM) y Corporación Agencia Adventista de Desarrollo y Recursos Asistenciales del Ecuador (ADRA Ecuador) relativo a Fortalecimiento de Capacidad</t>
  </si>
  <si>
    <t xml:space="preserve"> PR 4200313388  Socio implementador para el proyecto de seguridad alimentaria, salud y nutrición.  ACUERDO DE IMPLEMENTACIÓN DE PROYECTO entre la Organización Internacional para las Migraciones (OIM) Y la Corporación Agencia Adventista de Desarrollo y Rec</t>
  </si>
  <si>
    <t xml:space="preserve"> ACUERDO DE IMPLEMENTACIÓN DE PROYECTO entre la Organización Internacional para las Migraciones (OIM) y el CENTRO DE DESARROLLO Y AUT OGESTION, relativo al PROCESO DE FORTALECIMIENTO EN TEMAS DE EDUCACIÓN FORMAL O NO FORMAL PARA NNA Y JÓVENES EN SITUACIÓN</t>
  </si>
  <si>
    <t>CENTRO DE DESARROLLO Y AUTOGESTION</t>
  </si>
  <si>
    <t xml:space="preserve"> ACUERDO DE IMPLEMENTACIÓN DE PROYECTO entre la Organización Internacional para las Migraciones (OIM) y la Fundación AKUANUNA  Núm. Ref. de la Oficina de la OIM: IP-2022-31 Código de proyecto OIM:  DP.2458</t>
  </si>
  <si>
    <t xml:space="preserve"> ACUERDO DE IMPLEMENTACIÓN DE PROYECTO entre la Organización Internacional para las Migraciones (OIM) y la Cruz Roja Ecuatoriana Junta Provincial de Pichincha relativo a Atención en Salud Integral para Personas en Situación de Movilidad Humana. Proyecto "</t>
  </si>
  <si>
    <t>Cruz Roja Ecuatoriana Pichincha</t>
  </si>
  <si>
    <t xml:space="preserve"> ACUERDO DE IMPLEMENTACIÓN DE PROYECTO entre la Organización Internacional para las Migraciones (OIM) y el Instituto Superior Tecnológico Crecermas relativo a la Implementación del Proyecto de Fortalecimiento de Espacios y Capacidades  para la Inclusión E</t>
  </si>
  <si>
    <t>ISTEC</t>
  </si>
  <si>
    <t xml:space="preserve"> PR 4200326264  ACUERDO DE IMPLEMENTACIÓN DE PROYECTO entre la Organización Internacional para las Migraciones (OIM) y Fundación de las Américas par a el Desarrollo (FUDELA) – Partners of the Americas relativo al Proyecto de Fortalecimiento y Crecimiento</t>
  </si>
  <si>
    <t xml:space="preserve"> ACUERDO DE IMPLEMENTACIÓN DE PROYECTO entre la Organización Internacional para las Migraciones (OIM) y Fundación de las Américas para el Desarrollo (FUDELA)  Núm. Ref. de la Oficina de la OIM: IP-2022-35 Código de proyecto OIM: DP.2458</t>
  </si>
  <si>
    <t xml:space="preserve"> PR 4200350080  ACUERDO DE IMPLEMENTACIÓN DE PROYECTO entre la Organización Internacional para las Migraciones (OIM) y Fundación Museos de la Ciudad relativo a Proyecto "Vamos a hacer la Tierra" como parte del Proyecto de Fortalecimiento de la Primera Eta</t>
  </si>
  <si>
    <t>Fundación Museos de la Ciudad</t>
  </si>
  <si>
    <t xml:space="preserve"> Emergency Shelter and Accommodation for beneficiaries in Regions 1, 2 and 7. (1st instalment)</t>
  </si>
  <si>
    <t xml:space="preserve"> Implementing partner in the field of medical assistance and workshops for the regularization of migratory status for the population</t>
  </si>
  <si>
    <t>ASOCIACION DE VENEZOLANOS EN MEXICO</t>
  </si>
  <si>
    <t xml:space="preserve"> Implementing partner in terms of integration, migrant entrepreneurship workshops and revalidation of professional studies</t>
  </si>
  <si>
    <t>ASISTENCIA Y ORIENTACION PARA LA MO</t>
  </si>
  <si>
    <t xml:space="preserve"> IP UNIÓN VENEZOLANA: SERVICIO DE ATENCIÓN PSICOSOCIAL Y REGULARIZACIÓN MIGRATORIA</t>
  </si>
  <si>
    <t xml:space="preserve"> Socio Implementador para actividades de asistencia alimentaria en Piura y Tumbes</t>
  </si>
  <si>
    <t xml:space="preserve"> Distribución de kits alimentarios y entrenamiento en alimentación saludable.</t>
  </si>
  <si>
    <t xml:space="preserve"> Contratación de un IP para distribución de Kits de primera necesidad en la región Puno</t>
  </si>
  <si>
    <t xml:space="preserve"> SOCIO IMPLEMENTADOR DEL PROYECTO:"INSTALACIÓN DE SERVICIO HIGIENICOS PARA POBLACIÓN MIGRANTE Y REFUGIADA EN TRANSITO EN LA CIUDAD DE MÁNCORA, PIURA.”</t>
  </si>
  <si>
    <t xml:space="preserve"> ACUERDO DE IMPLEMENTACIÓN SUPERINTENDENCIA NACIONAL DE MIGRACIONES ENTREGAR DE C.E. (TRANSFERENCIA)</t>
  </si>
  <si>
    <t xml:space="preserve"> ACUERDO IP UNIÓN VENEZOLANA: SERVICIO DE ATENCIÓN PSICOSOCIAL Y REGULARIZACIÓN MIGRATORIA</t>
  </si>
  <si>
    <t xml:space="preserve"> Contratación de un IP para Implementación para PAO y Distribución de Kits de primera necesidad en Puno + ADENDA</t>
  </si>
  <si>
    <t xml:space="preserve"> Contratación de un IP para la Distribución de Kits de primera necesidad y otras asistencias</t>
  </si>
  <si>
    <t xml:space="preserve"> Contratación de socio implementador para la Provisión de insumos para la preparación de alimentos y entrenamiento para la gestión y sostenibilidad frente a emergencias de comedores comunitarios y ollas comunes que atienden a población migrante refugiada</t>
  </si>
  <si>
    <t xml:space="preserve"> Contratación de socio para implementación de proyecto de alojamiento seguro para MyR en Lima.</t>
  </si>
  <si>
    <t>CARITAS DEL PERU</t>
  </si>
  <si>
    <t xml:space="preserve"> Servicio IP Scalabrini Implementación proy. mejora condiciones alojamiento fam migrantes refug Lima</t>
  </si>
  <si>
    <t xml:space="preserve"> IP - Implementador proyecto alojamiento seguro para poblacion migrante - HIAS</t>
  </si>
  <si>
    <t xml:space="preserve"> IP - Contratación de socio implementador para dotación de kits de muebles y enseres básicos para el hogar - CESAL</t>
  </si>
  <si>
    <t xml:space="preserve"> IP - Implementación: Fortalecimiento de capacidades en preparación y respuesta ante emergencias.</t>
  </si>
  <si>
    <t xml:space="preserve"> IP Nuevo - Proyecto de alojamiento seguro para población migrante y refugiada Madre de Dios</t>
  </si>
  <si>
    <t xml:space="preserve"> Servicio de implementación de Puntos de Asistencia Orientación (PAO) y ferias de salud en la Región Lima, en el marco del proyecto PRM 5</t>
  </si>
  <si>
    <t xml:space="preserve"> Servicio de implementación de Puntos de Asistencia Orientación (PAO) y ferias de salud en Callao y La Libertad, en el marco del PRM5</t>
  </si>
  <si>
    <t xml:space="preserve"> Servicio de implementación de Puntos de Asistencia Orientación (PAO) y capacitaciones a personal de salud en Lima, en el marco del Proyecto PRM5</t>
  </si>
  <si>
    <t xml:space="preserve"> Servicio de implementación de Puntos de Asistencia Orientación (PAO) en la Región Arequipa, en el marco del PRM5</t>
  </si>
  <si>
    <t xml:space="preserve"> IP CARITAS PERU implementación de proyecto de alojamiento seguro para MyR en Lima</t>
  </si>
  <si>
    <t>TTV Solidarity Network</t>
  </si>
  <si>
    <t xml:space="preserve"> Second installment</t>
  </si>
  <si>
    <t>St Clair Police Youth Club</t>
  </si>
  <si>
    <t xml:space="preserve"> formerly IP transfers - UN agencies $1,500USD * $6.728 2nd Installment</t>
  </si>
  <si>
    <t xml:space="preserve"> Implementing Partner - Housing; food; hygiene; labor insertion services and respective reports under DP.2458</t>
  </si>
  <si>
    <t>DP.2461</t>
  </si>
  <si>
    <t>Emergency Grant Aid for Humanitarian Assistance in Ukraine and Neighboring Countries</t>
  </si>
  <si>
    <t xml:space="preserve"> IP services for distribution of WASH items in Donetska and Dnipropetrovska Oblast</t>
  </si>
  <si>
    <t>DP.2463</t>
  </si>
  <si>
    <t>Respond and Meet the Most Urgent Food Needs in the Conflict-Affected Area of Donetsk NGCA</t>
  </si>
  <si>
    <t xml:space="preserve"> IP services for distribution of food kits in NGCA of Donetska Oblast</t>
  </si>
  <si>
    <t>NGO DEVELOPMENT CENTER</t>
  </si>
  <si>
    <t xml:space="preserve"> PRM Capacity Building - IP022022</t>
  </si>
  <si>
    <t>Mensch Mensch Mensch e.V.</t>
  </si>
  <si>
    <t xml:space="preserve"> PRM Capacity Building - IP012022</t>
  </si>
  <si>
    <t>JugendNotmail</t>
  </si>
  <si>
    <t xml:space="preserve"> PRM Capacity Building - IP032022</t>
  </si>
  <si>
    <t>Zentrum Ueberleben gGmbH</t>
  </si>
  <si>
    <t xml:space="preserve"> PR# 4200311947. Providing Longer term safe accommodation, transportation and environment with basic needs for persons displaced by the conflict in Ukraine.</t>
  </si>
  <si>
    <t xml:space="preserve"> PR# 4200353099. Renovation of the common wash area in Zahony collective centre.</t>
  </si>
  <si>
    <t>Baptista Szeretetszolgalat</t>
  </si>
  <si>
    <t xml:space="preserve"> IP Agreement with Habitat for Humanity</t>
  </si>
  <si>
    <t xml:space="preserve"> IP Agreement with Foundation Q for provision of services for registration of beneficiaries for multi-purpose cash interventions to be conducted by IOM</t>
  </si>
  <si>
    <t xml:space="preserve"> IP agreement signed between IOM Poland and Fundacja Instytut na Rzecz Panstwa Prawa (Rule of Law Foundation) covering legal aid for Ukrainians and TCNs fleeing Ukraine</t>
  </si>
  <si>
    <t>Fundacja na Rzecz Panstwa Prawa</t>
  </si>
  <si>
    <t xml:space="preserve"> Financial support for the IP La Strada Poland be utilized among others on a shelter, in-kind, psychosocial and legal assistance for refugees from UA as per PR 4200341948</t>
  </si>
  <si>
    <t xml:space="preserve"> PO Note: Implementation of IP agreement with Lambda Warszawa - Support for LGBTQIAP persons fleeing Ukraine with reference to PR#4200340446</t>
  </si>
  <si>
    <t xml:space="preserve"> IP PIA – Direct Contracting supported by NFF and DDA PR# 4200346536</t>
  </si>
  <si>
    <t xml:space="preserve"> IP PIA -  Created for internal MIGO /MIRO  PR# 4200346560 Progrma Focal Person BERGIUS Milena &lt;(&gt;&lt;&lt;)&gt;mbergius@iom.int&gt; and OWCZAREK Janina &lt;(&gt;&lt;&lt;)&gt;JOWCZAREK@iom.int&gt;</t>
  </si>
  <si>
    <t xml:space="preserve"> PO is created for Internal MIGO/MIRO  PR# 4200346566  Project Focal Person OWCZAREK Janina &lt;(&gt;&lt;&lt;)&gt;JOWCZAREK@iom.int&gt;; BERGIUS Milena &lt;(&gt;&lt;&lt;)&gt;mbergius@iom.int&gt;</t>
  </si>
  <si>
    <t xml:space="preserve"> IP PIA , Po Created for Internal /MIGO/MIRO  PR# 4200351941  Project focal BERGIUS Milena &lt;(&gt;&lt;&lt;)&gt;mbergius@iom.int&gt; and OWCZAREK Janina &lt;(&gt;&lt;&lt;)&gt;JOWCZAREK@iom.int&gt;</t>
  </si>
  <si>
    <t xml:space="preserve"> Decont no.1, October &amp; November 2022, of partnership agreement no. 1884/29.09.2022 in the framework of "Providing assistance to conflict-affected population from Ukraine" - Asociatia Proiect Voiajor</t>
  </si>
  <si>
    <t xml:space="preserve"> Food distribution for beneficiaries 2nd installment</t>
  </si>
  <si>
    <t>Slovenska unia sluch. postihnutych</t>
  </si>
  <si>
    <t>DP.2466</t>
  </si>
  <si>
    <t>Supporting Migration Response in Hungary Following the Crisis in Ukraine</t>
  </si>
  <si>
    <t>DP.2468</t>
  </si>
  <si>
    <t>Comprehensive Action Plan (CAP) for Afghanistan and Neighboring Countries</t>
  </si>
  <si>
    <t xml:space="preserve"> IP SHARP for implementation of our Afghan response programme in KP and Karachi city</t>
  </si>
  <si>
    <t xml:space="preserve"> First instalment  the amount of 25,000 USD (Twenty-five thousand USD within fifteen (15) calendar days after signature of this Agreement and upon IOM’s receipt of the Implementing Partner’s payment request for Norwegian church Aid to conduct need assessm</t>
  </si>
  <si>
    <t xml:space="preserve"> Grant to IP for support to vulnerable migrants coming from the territory of Ukraine</t>
  </si>
  <si>
    <t xml:space="preserve"> Decont 1_June - September 2022, totalling 71,972.34 RON as part of the project "Providing assis. to conflict - affected population fleeing the conflict from Ukraine", partnership agreement no. 822/15.06.2022 (Norway funds) - Asoc GLOBAL HELP CRAIOVA</t>
  </si>
  <si>
    <t xml:space="preserve"> Decont No. 5, 15 Oct-03 Nov 2022, as part of the project "MFA and Support for Ukrainian Refugees" (Norway funds) - Fundatia Schottener</t>
  </si>
  <si>
    <t xml:space="preserve"> Decont 2_October 2022, partnership agreement no. 822/15.06.2022 (Norway funds) - Asoc. GLOBAL HELP CRAIOVA</t>
  </si>
  <si>
    <t xml:space="preserve"> Decont 1_July - September 2022 as part of the project "Providing assistance to conflict-affected population from Ukraine", partnership agreement no. 1004/30.06.2022 (Norway funds) - Asoc. CENTRU PENTRU RESURSE CIVICE</t>
  </si>
  <si>
    <t xml:space="preserve"> Decont No. 6, 04 Nov -15 Nov 2022, as part of the project "MFA and Support for Ukrainian Refugees" (Norway funds) - Fund. Schottener</t>
  </si>
  <si>
    <t xml:space="preserve"> Decont 2_October 2022, project "Providing assistance to conflict-affected population from Ukraine", partnership agreement no. 1004/30.06.2022 - CRC Constanta</t>
  </si>
  <si>
    <t xml:space="preserve"> Decont No. 7, 16 - 29 November 2022, as part of the project "MFA and Support for Ukrainian Refugees" (Norway funds) - Fundatia Schottener</t>
  </si>
  <si>
    <t xml:space="preserve"> Decont 3_November 2022 as part of the project "Providing assistance to conflict-affected population from Ukraine", partnership agreement no. 1004/30.06.2022 - CRC Constanta</t>
  </si>
  <si>
    <t xml:space="preserve"> PR_4200387863</t>
  </si>
  <si>
    <t xml:space="preserve"> PR_4200388206</t>
  </si>
  <si>
    <t xml:space="preserve"> IP services_Health services in Vinnytsia Oblast Ukraine by Med-Ok</t>
  </si>
  <si>
    <t>LLC TRI UKRAINE</t>
  </si>
  <si>
    <t xml:space="preserve"> IP services_Instalment 1_Implementation of the project on ensuring comprehensive protection response for victims of  trafficking, ex ploitation and GBV in Lviv oblast</t>
  </si>
  <si>
    <t>NGO Women`s Perspectives</t>
  </si>
  <si>
    <t xml:space="preserve"> IP services_Ensuring comprehensive protection response in Ivano-Frankivsk oblast</t>
  </si>
  <si>
    <t xml:space="preserve"> IP services_Implementation of project on countering human trafficking, exploitation and GBV in Vinnytsia Oblast</t>
  </si>
  <si>
    <t xml:space="preserve"> IP services_Ensuring comprehensive protection response in Kirovohrad oblast</t>
  </si>
  <si>
    <t>DP.2479</t>
  </si>
  <si>
    <t xml:space="preserve"> PR-4200303143 Unit-MHD Requester-Alamgir Miah</t>
  </si>
  <si>
    <t>DP.2480</t>
  </si>
  <si>
    <t>Multi-Purpose Cash Response for Food Insecure Households Impacted by Drought</t>
  </si>
  <si>
    <t xml:space="preserve"> PO cretaed for internal MIGO/MIRO  Leg Ref PIA# ETH/ADD/JUNE/1061/2022</t>
  </si>
  <si>
    <t>DP.2481</t>
  </si>
  <si>
    <t>Provision of Multisectoral Lifesaving Assistance for Flood-Affected Population in Bentiu and Rubkona</t>
  </si>
  <si>
    <t>CONCERN WORLDWIDE</t>
  </si>
  <si>
    <t xml:space="preserve"> PR# 4200362240. Assessment and support of the needs of Roma refugees from Ukraine.</t>
  </si>
  <si>
    <t>RGDTS Nonprofit Kft.</t>
  </si>
  <si>
    <t xml:space="preserve"> Our Reference: PR NO. (4200351089) UA1-2022-3066_IP services for distribution of NFI items in Kharkivska Oblast  Type of contract signed: Framework agreement  PO is for internal use  - financial tracking only (no signature required).</t>
  </si>
  <si>
    <t xml:space="preserve"> IP services for distribution of NFI items in Dnipro Region</t>
  </si>
  <si>
    <t xml:space="preserve"> IP services for distribution of NFI items in Vinnytska and Khmelnytsky Region</t>
  </si>
  <si>
    <t>DP.2483</t>
  </si>
  <si>
    <t>Strengthening the Humanitarian Response to Crisis-Affected Populations in Countries Affected by the Ukraine Crisis</t>
  </si>
  <si>
    <t xml:space="preserve"> PR# 4200332246. Supporting young Ukrainian circus talents in Budapest.</t>
  </si>
  <si>
    <t>Nemzeti Cirkuszmuveszeti Kozpont</t>
  </si>
  <si>
    <t>DP.2487</t>
  </si>
  <si>
    <t>Support of IOM Activities in Pakistan Outlined in the 2022 Refugee Response Plan (RRP) for the Afghanistan Situation</t>
  </si>
  <si>
    <t xml:space="preserve"> PR4200309499  Project: Greening humanitarian responses through enhanced Solar Energy harvesting  Duration: The Implementing Partner shall commence the activities 01 June 2022 and fully and satisfactorily complete them by 31 May 2025  Budget: IOM agrees t</t>
  </si>
  <si>
    <t>Universitat Politecnica De Valencia</t>
  </si>
  <si>
    <t xml:space="preserve"> IP - To support the Activities Planned to be Implemented by PAD.</t>
  </si>
  <si>
    <t xml:space="preserve"> Payment for: The Implementation of Livelihoods and Psychosocial Support to Facilitate Community Based Reintegration in Hadiya Zone, Ethiopia Funder by COMPASS Project. Service agreement is revised (amendment 2 attached) and as a result PO amount is amend</t>
  </si>
  <si>
    <t xml:space="preserve"> Agreement for Anticipating the Mixed Migraton Consequences of the drought crisis 2022 &lt;(&gt;&amp;&lt;)&gt; 2023 LEG Code: KEN/IMPL/CY0197/2022 PR #: 4200365654</t>
  </si>
  <si>
    <t>DP.2495</t>
  </si>
  <si>
    <t>France's Contribution to the 2022 Refugee and Migrant Response Plan for the Venezuela Situation</t>
  </si>
  <si>
    <t xml:space="preserve"> PR 4200300667  ACUERDO DE IMPLEMENTACIÓN DE PROYECTO entre la Organización Internacional para las Migraciones (OIM) y la Corporación Agencia Adventista de Desarrollo y Recursos Asistenciales del Ecuador-ADRA-Ecuador relativo a Identificación, Atención, A</t>
  </si>
  <si>
    <t>DP.2498</t>
  </si>
  <si>
    <t xml:space="preserve"> IP contract - CCCM - AIDES – NK et IT - nov2022-sep2023  a)Le premier versement de USD 50,000 (Cinquante mille US dollars) sera exigible dans un delai de quinze (15) jours civils a partir de la signature du present accord et la reception par l'OIM de la dem</t>
  </si>
  <si>
    <t>DP - Emergency Response and Assistance to Displaced Populations in Niger</t>
  </si>
  <si>
    <t xml:space="preserve"> distributions des 935 Abris et 1498 BNA pour les régions de Diffa et Zinder. prf#4200354981</t>
  </si>
  <si>
    <t>ONG AHDD</t>
  </si>
  <si>
    <t xml:space="preserve"> Distribution of shelters and non-food items (ABNA, protection kits, training of peer educators, etc. Based on two payment prf 4200364700</t>
  </si>
  <si>
    <t xml:space="preserve"> DISTRIBUTION OF EMERGENCY SHELTERS AND NON-FOOD ITEMS TO INTERNALLY DISPLACED PERSONS IN THE MARADI REGION PRF#4200371828</t>
  </si>
  <si>
    <t>DP.2517</t>
  </si>
  <si>
    <t>Promoting Rights-Based Solutions for Vulnerable Migrants Through a Migrant Resource and Response Mechanism (MRRM) in the South of Libya</t>
  </si>
  <si>
    <t xml:space="preserve"> UN to UN Contibution Agreement (LBY/UNIM/MM0156/2022), 05 Dec2022. PR 4200379643 approved 15 December 2022 This PO is for INTERNAL  USE PURPOSES ONLY</t>
  </si>
  <si>
    <t xml:space="preserve"> PO Note: Project implementation through IP in Warrap and WBGS for Multi Sectoral and Integrated humanitarian assistance and recovery support for South Sudan with reference to PRF#4200326378</t>
  </si>
  <si>
    <t xml:space="preserve"> UN Partnership with UN-HABITAT as part BHA-Funded DS project PR Ref: 4200380129 Contract Ref: NGA/UNIM/MM0145/2022</t>
  </si>
  <si>
    <t>United Nations Human Settlements</t>
  </si>
  <si>
    <t xml:space="preserve"> Response to Measles Outbreak through Reactive Measles Vaccination Campaigns in Rural Payams of Juba County, Central Equatoria State. Ref. to PRF# 4200368205</t>
  </si>
  <si>
    <t xml:space="preserve"> Provision of Emergency Health Services to the flood affected populations in Pochalla County, Jonglei State. PRF#4200373903</t>
  </si>
  <si>
    <t xml:space="preserve"> Provision of Emergency Food Security and Livelihoods Support Targeting 5 ,000 Households in Pibor County. PRF#4200380600</t>
  </si>
  <si>
    <t xml:space="preserve"> IP_Servises_Distribution_Heating_Appliances</t>
  </si>
  <si>
    <t xml:space="preserve"> Advance payment upon signature of the grant agreement</t>
  </si>
  <si>
    <t>Norwegian Church Aid (NCA)</t>
  </si>
  <si>
    <t>PREMIERE URGENCE INTERNATIONALE</t>
  </si>
  <si>
    <t xml:space="preserve"> Provision of S/NFIs and Cash assistance to affected communities in Pibor County, Jonglei state under SSHF Standard Allocation 1 Project Ref #4200388304</t>
  </si>
  <si>
    <t xml:space="preserve"> Provision of S/NFIs and Cash assistance to affected communities in Pibor County, Jonglei state under SSHF Standard Allocation 1 Project Ref #4200388318</t>
  </si>
  <si>
    <t>DR.0023</t>
  </si>
  <si>
    <t>Promoting Action for Disaster Risk Governance and Working to Achieve Preparedness for Risk Reduction through Technical Assistance in Nepal</t>
  </si>
  <si>
    <t xml:space="preserve"> NPL/IMPL/LA0061/2022  PR No.4200254797</t>
  </si>
  <si>
    <t>NSET-OA-10</t>
  </si>
  <si>
    <t>Strengthening Resilience to Natural Disasters Risks in Burundi</t>
  </si>
  <si>
    <t>DR.0049</t>
  </si>
  <si>
    <t>Strengthening National and Local Disaster Preparedness and Response Capacities in Uganda</t>
  </si>
  <si>
    <t xml:space="preserve"> Ref: Project Implementation Agreement No: UG10P0551/DR.0049</t>
  </si>
  <si>
    <t>UGANDA RED CROSS SOCIETY</t>
  </si>
  <si>
    <t>DR.0051</t>
  </si>
  <si>
    <t>Integrating Environmental Management into Disaster Risk Reduction and Disaster Risk Management in Cox Bazar Host Communities</t>
  </si>
  <si>
    <t xml:space="preserve"> Fund trnasfer to FAO PR#42005564 Program: TRD Requester: Faiz Noor</t>
  </si>
  <si>
    <t>FOOD AND AGRICULTURE ORGANIZATION</t>
  </si>
  <si>
    <t>DR.0055</t>
  </si>
  <si>
    <t>Optimizing the Engagement of Diaspora for Alternative Approaches to Safer Shelters and Settlements in Disaster Preparedness, Response and Risk Reduction – Phase IV</t>
  </si>
  <si>
    <t xml:space="preserve"> PR No.: 4200380331 Financial Support for the Project Implementation of Diaspora's Outreach and Engagement for Shelter  with signed Implementation Agreement</t>
  </si>
  <si>
    <t>LIFEBANK MICROFINANCE FOUNDATION IN</t>
  </si>
  <si>
    <t>DR.0056</t>
  </si>
  <si>
    <t>Kenya: Gender and Vulnerability-Sensitive Disaster Risk Reduction and Community Resilience in Turkana and Tana River Counties</t>
  </si>
  <si>
    <t xml:space="preserve"> Implementation of community-based project activities in Tana River County</t>
  </si>
  <si>
    <t xml:space="preserve"> As per attached Project Implementation Agreement</t>
  </si>
  <si>
    <t>DS.0049</t>
  </si>
  <si>
    <t>Promoting Durable Solutions to Support Conflict-Affected Persons in Overcoming Displacement-Specific Needs in Kirkuk</t>
  </si>
  <si>
    <t xml:space="preserve"> PR#4200218843 Implementation of grants with Hariwan Organization and</t>
  </si>
  <si>
    <t xml:space="preserve"> PR#4200243079 IP agreement with WRO for GBV services in Jeddah 1 Camp</t>
  </si>
  <si>
    <t xml:space="preserve"> Mener une étude de marché dans les zones d'intervention du projet SIDA  6. Financement  6.1. L'OIM accepte d'apporter une aide financière au Partenaire d'exécution pour la mise en oeuvre des activités d'Etude de marché p endant la période du 22 septembre</t>
  </si>
  <si>
    <t xml:space="preserve"> Cost of BSF contract agreement of youth Empowerment and Community Based Approach PR#4200251583 Program: Program Support SMSD Requester: Arman Rahim</t>
  </si>
  <si>
    <t xml:space="preserve"> PR-4200333188 Unit-SoCo Requester-Faiz Noor</t>
  </si>
  <si>
    <t>UNITED PURPOSE</t>
  </si>
  <si>
    <t>DX.0087</t>
  </si>
  <si>
    <t>Emergency Assistance to Conflict Affected Individuals in the Central African Republic (CAR)</t>
  </si>
  <si>
    <t xml:space="preserve"> Prestaion de service pour la mise en oeuvre des activites de distribution et de suivi post-distribution a Alindao et l'Ile Bongossou a. #PR : 42001196561</t>
  </si>
  <si>
    <t xml:space="preserve"> Prestation de service pour la mise en oeuvre des activités d’enregistrement et ciblage de retournes a Kabo-Moyen Sido. PR# 4200211010</t>
  </si>
  <si>
    <t xml:space="preserve"> PRESTATION DE SERVICE POUR LA MISE EN OEUVRE DES ACTIVITES DE DTM MOBILITY TRACKING DANS LA PREFECTURE DE NANA MAMBERE. PR# 4200219841</t>
  </si>
  <si>
    <t xml:space="preserve"> PR 4200281152  MODALITE DE PAIEMENT: PREMIER VERSEMENT 4548110 FCFA DERNIER VERSEMENT 1949190 FCFA</t>
  </si>
  <si>
    <t xml:space="preserve"> Mobility tracking a Ouaham Mpende</t>
  </si>
  <si>
    <t xml:space="preserve"> PR 4200281152  CONTRAT AVEC FNOHD POUR UN MONTANT DE 6000000 FCFA MODALITE DE PAIEMENT: PREMIER VERSEMENT 4200000 FCFA DERNIER VERSEMENT 1800000 FCFA</t>
  </si>
  <si>
    <t xml:space="preserve"> PR 4200281152  CONTRAT AVEC FNOHD POUR UN MONTANT DE 6810000 FCFA MODALITE DE PAIEMENT: PREMIER VERSEMENT 4767000 FCFA DERNIER VERSEMENT 2043000 FCFA</t>
  </si>
  <si>
    <t xml:space="preserve"> PR 4200281152 CONTRAT AVEC NDA POUR UN MONTANT DE 6252000 FCFA PERMIER VERSEMENT 4376400 FCFA DERNIER VERSEMENT 1875400 FCFA</t>
  </si>
  <si>
    <t>Association Agropastoral de NDA</t>
  </si>
  <si>
    <t xml:space="preserve"> PR 4200281152 CONTRAT AVEC CPCA POUR UN MONTANT TOTAL DE 6302000 FCFA MODALITE DE PAIEMNT \ PREMIER VERSEMENT 4411400 FCFA DERNIER VERSEMENT 1890600 FCFA</t>
  </si>
  <si>
    <t xml:space="preserve"> PR 4200281152 CONTRAT AVEC CPCA POUR UN MONTANT MODALITE DE PAIEMENT PREMIER VERSEMENT 7538440 FCFA DERNIER VERSEMENT 3230760 FCFA</t>
  </si>
  <si>
    <t xml:space="preserve"> Mobility tracaking  a Ouaka</t>
  </si>
  <si>
    <t xml:space="preserve"> PR 4200281152 CONTRAT AVEC AFEB POUR UN MONTANT TOTAL DE 8593000 FCFA MODALITE DE PAIEMENT: PREMIER VERSEMENT 6015100 FCFA DERNIER VERSEMENT 2577900 FCFA</t>
  </si>
  <si>
    <t xml:space="preserve"> PR 4200281152 CONTRAT AVEC AFEB POUR UN MONTANT DE 8054700 FCFA MODALITE DE PAIEMENT PREMIER VERSEMENT 5638290 FCFA DERNIER VERSEMENT 2416410 FCFA</t>
  </si>
  <si>
    <t xml:space="preserve"> PR 4200289591 CONTRAT AVEC CASAL POUR UN MONTANT DE 4002500 FCFA PREMIER VERSEMENT 1801750 FCFA DERNIER PAIEMENT 1200750 FCFA</t>
  </si>
  <si>
    <t xml:space="preserve"> PR 4200289591 DISTRIBUTIONDES KITS NFI AXE KAGA BANDORO-KABO CONTRAT AVEC AFEB POUR UN MONTANT DE 4501000 PREMIER VERSEMENT 3150700 FCFA DERNIER VERSMENT 1350300 FCFA</t>
  </si>
  <si>
    <t xml:space="preserve"> PR 4200281152 CONTRAT AVEC ONG VISION POUR LE DEVELOPPEMENT POUR UN MONTANT DE 4513260 FCFA PREMIER VERSEMENT 3159282 FCFA DERNIER VERSEMENT 1353978 FCFA</t>
  </si>
  <si>
    <t xml:space="preserve"> PR 4200281152 CONTRAT AVEC ARS POUR UN MONTANT TOTAL DE 15 800 155 FCFA PREMIER VERSEMENT 11 060 109 FCFA DERNIER VERSMENT 4 740 046 FCFA DERNIER PAIEMENT SERA FAIT APRES RECEPTION DU SERVICE ET UN RAPPORT FINAL APROUVE</t>
  </si>
  <si>
    <t xml:space="preserve"> Mobility tracking a  Lobaye</t>
  </si>
  <si>
    <t xml:space="preserve"> CONTRAT IP DTM CPCA (BANGUI / OMBELLA MPOKO)</t>
  </si>
  <si>
    <t>DX.0093</t>
  </si>
  <si>
    <t>Enhancing Displacement and Mobility Needs Tracking, Inter-Sectorial Needs Assessment and Monitoring Displaced Populations in Borno, Adamawa, and Yobe (BAY) States, North-East Nigeria and Improving Communication with Communities</t>
  </si>
  <si>
    <t xml:space="preserve"> Enhancing displacement and mobility needs tracking, inter-sectorial needs assessment and monitoring displaced populations in Borno, Adamawa, and Yobe (States, North-east Nigeria and improving communication with communities PR Ref: 4200245079</t>
  </si>
  <si>
    <t>Fact Foundation</t>
  </si>
  <si>
    <t xml:space="preserve"> PR 4200342485 PREMIER VERSEMENT 7204960 FCFA DEUXIEME VERSMENT 7204960 FCFA DERNIER VERSEMENT 3602480 FCFA</t>
  </si>
  <si>
    <t xml:space="preserve"> PREMIER VERSEMENT 4800000 FCFA DEUXIEME VERSEMENT 4800000 FCFA DERNIER VERSEMENT 2400000 FCFA PR # 4200342485</t>
  </si>
  <si>
    <t xml:space="preserve"> PR 4200342485 PREMIER VERSMENT 5200000 FCFA DEUXIEME VERSEMENT 5200000 FCFA DERNIER VERSMENT 2600000 FCFA</t>
  </si>
  <si>
    <t xml:space="preserve"> Mise en oeuvre des activites de Mobility traking Round 17 et Round 18 / Mise en oeuvre d'evaluations PRF 4200341485</t>
  </si>
  <si>
    <t>Mobility tracaking a Ouaka</t>
  </si>
  <si>
    <t xml:space="preserve"> Mobility tracking a Bangui et Ombella Mpoko</t>
  </si>
  <si>
    <t xml:space="preserve"> Mobility tracking a Vakaga</t>
  </si>
  <si>
    <t xml:space="preserve"> Mise en oeuvre des activites de Mobility traking Round 17 et round 18 / Mise en oeuvre d'evaluations PRF 4200342485</t>
  </si>
  <si>
    <t xml:space="preserve"> Mobility tracking a Mambere Kadei et Sangha Mbaere</t>
  </si>
  <si>
    <t xml:space="preserve"> Mobility tracking a Haut Mbomou</t>
  </si>
  <si>
    <t xml:space="preserve"> IMPLEMENTING PARTNER DATA COLLECTION SERVICE SUPPORT IN THE LAC PROVINCE APPUI AU SERVICE DE COLLECTE DE DONNÉES DES PARTENAIRES DE MISE EN ŒUVRE DANS LA PROVINCE DU LAC PR:4200250862</t>
  </si>
  <si>
    <t xml:space="preserve"> Implementation of 6 months of ETTs and 2 rounds of MSNA in the SW: July 2022- Dec 2022</t>
  </si>
  <si>
    <t xml:space="preserve"> Implementation of 6 months of ETTs and 2 rounds of MSNA in the NW: July 2022- Dec 2022</t>
  </si>
  <si>
    <t>DX.0111</t>
  </si>
  <si>
    <t>Strengthening the Evidence Base around Population Displacement in Mali</t>
  </si>
  <si>
    <t xml:space="preserve"> Accord-IOMBKO-2022 L'enregistrement biométrique des personnes déplacées internes, l'évaluation multisectorielle et mise à jour de la situation des mouvements de populations au Mali / PR 4200357068 / Unité DTM</t>
  </si>
  <si>
    <t>EP.0009</t>
  </si>
  <si>
    <t>Spotlight Initiative Pacific Regional Programme</t>
  </si>
  <si>
    <t xml:space="preserve"> Project Implementation Agreement on Spotlight Initiative MH/IP/2022/001</t>
  </si>
  <si>
    <t>Changing Focus Ministries</t>
  </si>
  <si>
    <t>Marshall Islands</t>
  </si>
  <si>
    <t>EP.0030</t>
  </si>
  <si>
    <t>Enhancing Stakeholders’ Preparedness to Address Immediate Humanitarian Needs in Case of Rapid Onset Emergencies, Ukraine</t>
  </si>
  <si>
    <t xml:space="preserve"> IP Agreement #UA1-2022-2343 LEG Approval Code: UKR/SS/V207/2022 Implementation of NGO Distribution of Critical Support for IDPs in Ukraine</t>
  </si>
  <si>
    <t xml:space="preserve"> UA1-2022-3008_IP services to distribute NfIs in Ivano-Frankivsk</t>
  </si>
  <si>
    <t xml:space="preserve"> PR NO. (4200263150) UA1-2022-3013_IP_E&lt;(&gt;&amp;&lt;)&gt;S_NFIs items distribute_Lviv region  Type of contract signed: Framework agreement NFIS/UA/2022/031 dd 11.05.2022 / Amendment dd 07.06.2022  PO is for internal use  - financial tracking only (no signature requi</t>
  </si>
  <si>
    <t>NGO EUROPEAN  DIALOGUE</t>
  </si>
  <si>
    <t xml:space="preserve"> Our Reference: PR NO. (4200282138) UA1-2022-3022_IP Distribution of NFIs in Donetsk and Dnipropetrovsk oblasts  Type of contract signed: Agreement  PO is for internal use  - financial tracking only (no signature required).</t>
  </si>
  <si>
    <t xml:space="preserve"> PR NO. (4200288992) UA1-2022-3025_IP services for distribution of items_Vinnitska Oblast  Type of contract signed: Framework agreement NFIS/UA/2022/009 dd 23.03.2022  PO is for internal use  - financial tracking only (no signature required).</t>
  </si>
  <si>
    <t xml:space="preserve"> PR NO. (4200284835) UA1-2022-3029_IP services for distribution NFIs in Mykolaivska Oblast  Type of contract signed: Framework agreement NFIS/UA/2022/015 dd 25.03.2022  PO is for internal use  - financial tracking only (no signature required).</t>
  </si>
  <si>
    <t xml:space="preserve"> Our Reference: PR NO. (4200286627, 4200295820) UA1-2022-3024_IP Spilna Sprava, distribution of NFIS  Type of contract signed: Framework Agreement  PO is for internal use  - financial tracking only (no signature required). Created before service is render</t>
  </si>
  <si>
    <t xml:space="preserve"> IP for NFIs distribution of 1500 Personal Hygiene Kits and 60 Institutional Hygiene Kits in Khmelnytska oblast under Frame Agreement</t>
  </si>
  <si>
    <t>NGO ZHINOCHYI ANTYKORUPTSIINYI RUKH</t>
  </si>
  <si>
    <t xml:space="preserve"> Our Reference: PR NO. (4200301350) UA1-2022-3030_IP_Distribution of items in Donetsk, Dnipro and Kirovohrad regions  Type of contract signed: Framework agreement  PO is for internal use  - financial tracking only (no signature required). Created before s</t>
  </si>
  <si>
    <t>PO JOINTLY</t>
  </si>
  <si>
    <t xml:space="preserve"> IP services_Distribution of items_Kharkivska Oblast  IP services for distribution of 1350  tarpaulins, 23 Snails, 45 Lnails, 450 ropes,  450 hammers, 282 mattr, 707 WK, 450 plywood, 750 HK for HH</t>
  </si>
  <si>
    <t xml:space="preserve"> Our Reference: PR NO. (4200303564) UA1-2022-5206.2_IP services_Assessment and monitoring of shelters in Poltava  Type of contract signed: Service agreement  PO is for internal use  - financial tracking only (no signature required). Created after service</t>
  </si>
  <si>
    <t xml:space="preserve"> IP Services_Ensuring comprehensive protection response in Donetsk and Zaporizhzhia Obl</t>
  </si>
  <si>
    <t xml:space="preserve"> UA1-2022-3048_IP services for distribution of NFI and WASH items in Rivnenska Oblast, Rivne and Dubno Raions - Distribution of 6144 blankets, 4464 mattresses, 4096 bedding kits, 3828 kitchen sets, 3328 HK for HH and 30 Institutional HK</t>
  </si>
  <si>
    <t>VOLYNSKYY RESURSNYY TSENTR</t>
  </si>
  <si>
    <t xml:space="preserve"> IP services_Ensuring comprehensive protection response in Kyiv oblast</t>
  </si>
  <si>
    <t>Charitable Foundation Caritas-Kyiv</t>
  </si>
  <si>
    <t xml:space="preserve"> UA1-2022-3054_IP Rotary Club to support CCCM activities (assessments and distribution, cash registration) in Dnipro, Poltava, Kyiv and other locations</t>
  </si>
  <si>
    <t xml:space="preserve"> Our Reference: PR NO. (4200334713) UA1-2022-3061_IP services for distribution of items in Lvivska Oblast  Type of contract signed: Framework agreement  PO is for internal use  - financial tracking only (no signature required).</t>
  </si>
  <si>
    <t xml:space="preserve"> Our Reference: PR NO. (4200289040) UA1-2022-3028_IP services for distribution of items_Dnipropetrovska Oblast  Type of contract signed: Framework agreement  PO is for internal use - financial tracking only (no signature required).</t>
  </si>
  <si>
    <t>NGO TSENTR STATUM</t>
  </si>
  <si>
    <t xml:space="preserve"> Camp Coordination and Camp Management (CCCM) Operational Activities in in the Zakarpattia oblast</t>
  </si>
  <si>
    <t>EP.0031</t>
  </si>
  <si>
    <t>Prepositioning and Distribution of Critical Winterization Support for Most Vulnerable Communities in the Eastern Conflict Area of Ukraine</t>
  </si>
  <si>
    <t xml:space="preserve"> IP services to distribute 6,000 blankets in Ivano-Frankivsk Oblast</t>
  </si>
  <si>
    <t>FC.0169</t>
  </si>
  <si>
    <t>Disengagement, Disassociation, Reintegration and Reconciliation: Conflict Dissolution and Peacebuilding in Niger (Tillabéry Region)</t>
  </si>
  <si>
    <t xml:space="preserve"> WS-C2960S-24PS-L CATALYST 2960-s24 GigE POE 370W 4 X 1G SFP, LAN BASE Cable Manager Iron 1U/24 Port Cat6 Patch panel UTP RJ-35/Patch cable, Cat6, 0,5 meter, gray/Patch Cable, Cat6, 3 meter, White Face Plate, 86 x 86 UK Style, Single Port Shuttered, Keyst</t>
  </si>
  <si>
    <t>MINISTERE DE L 'INTERIEUR</t>
  </si>
  <si>
    <t xml:space="preserve"> Support for awareness-raising activities / Communication on the DDRR Program_ Department of SAY_ From Jun 24 to 29, 2022 prf 4200276664</t>
  </si>
  <si>
    <t xml:space="preserve"> Support for awareness-raising activities / Communication on the DDRR Program_ Department of KOLLO_ From Jun 24 to 29, 2022 PRF 4200276664</t>
  </si>
  <si>
    <t xml:space="preserve"> Réhabilitation des petites infrastructures communautaires, pour favoriser la cohésion sociale dans 6 villages (réhabilitation des points d’eau, salles de rassemblement communautaires)</t>
  </si>
  <si>
    <t xml:space="preserve"> Dialogue de réconciliation autour des activités sociaux culturelles (promotion du sport et des activités ludiques traditionnelles).</t>
  </si>
  <si>
    <t>ACTION POUR LE DEVELOPPEMENT DE LA</t>
  </si>
  <si>
    <t xml:space="preserve"> Dialogue de Réconciliation basé sur les AGR Communautaire.</t>
  </si>
  <si>
    <t xml:space="preserve"> IP activites for psychosocial interventions in communities with returning victims of violence</t>
  </si>
  <si>
    <t>AFRICAN POSITIVE PEACE INITIATIVE I</t>
  </si>
  <si>
    <t xml:space="preserve"> Implementation of the activities of the reconciliation and community violence reduction project in the lake province  Mise en œuvre des activités du Projet de réconciliation et de réduction de la violence communautaire dans les Départements de Fouli  PR:</t>
  </si>
  <si>
    <t>ADESOL</t>
  </si>
  <si>
    <t xml:space="preserve"> Partnership for the implementation of strategic communication activities of te DDRR programm with CLSPD of the Lac province PRF 4200336891</t>
  </si>
  <si>
    <t xml:space="preserve"> Mise en œuvre activités du Pilier 4 (Réintégration &lt;(&gt;&amp;&lt;)&gt; Réconciliation) du programme DDRR. PRFF#4200378840</t>
  </si>
  <si>
    <t xml:space="preserve"> CONVENIO PDR-0019-03 DE 2022 FC.0175 12627373 FUNDACION INCOLMOTOS YAMAHA TOTAL VALUE: COP 299.308.000 IOM CONTRIB: COP 299.308.000</t>
  </si>
  <si>
    <t xml:space="preserve"> CONVENIO PDR-0019-04 DE 2022 FC.0175 12617999 ASOCI AGRIC OCCIDENTE COLOMBIANO  TOTAL VALUE: COP 808.615.017 IOM CONTRIB: COP 576.570.000 + 232.045.017</t>
  </si>
  <si>
    <t>ASOCI AGRIC OCCIDENTE COLOMBIANO</t>
  </si>
  <si>
    <t xml:space="preserve"> CONVENIO No. 37 DE 2022 CM-356 FC.0174 12624221 COOPERATIVA EL PROGRESO  TOTAL VALUE: COP 200.000.000 IOM CONTRIB: COP 200.000.000</t>
  </si>
  <si>
    <t>COOPERATIVA MULTIACTIVA EL PROGRESO</t>
  </si>
  <si>
    <t xml:space="preserve"> CONVENIO No. 36 DE 2022 CM-356 FC.0174 12624221 COOPERATIVA EL PROGRESO  TOTAL VALUE: COP 36.607.743 IOM CONTRIB: COP 36.607.743</t>
  </si>
  <si>
    <t xml:space="preserve"> CONVENIO No.42 DE 2022 CM-356 FC.0174 PAYMENT 2 ITEM 2</t>
  </si>
  <si>
    <t>COOPERATIVA MULTIACTIVA HEROES MURR</t>
  </si>
  <si>
    <t xml:space="preserve"> CONVENIO 39 DE 2022 CM-356 FC.0174 12629130 ACODEPAC ASOCIACION COMUNITARIA BOL (IP)  TOTAL VALUE: COP 48.000.000 OIM CONTRIB: COP 48.000.000</t>
  </si>
  <si>
    <t>ACODEPAC ASOCIACION COMUNITARIA BOL</t>
  </si>
  <si>
    <t xml:space="preserve"> CONVENIO No.38 DE 2022 CM-356 FC.0174 12629131 COOPERATIVA MULTIACTIVA PARA LA PAZ  TOTAL VALUE: COP 272.000.000 IOM CONTRIB: COP 272.000.000</t>
  </si>
  <si>
    <t>COOPERATIVA MULTIACTIVA PARA LA PAZ</t>
  </si>
  <si>
    <t xml:space="preserve"> CONVENIO No.40 DE 2022 CM-356 FC.0174 12629132 ASOPROPAZ  TOTAL VALUE: COP 112.574.950 IOM CONTRIB: COP 72.000.000</t>
  </si>
  <si>
    <t>ASOPROPAZ</t>
  </si>
  <si>
    <t>FC.0175</t>
  </si>
  <si>
    <t>Implementation of the “Early Reintegration Model in Productive Environments” with Former FARC-EP Members in Colombia - Phase V</t>
  </si>
  <si>
    <t xml:space="preserve"> CONVENIO PDR-0019-01 DE 2022 FC.0175 12617999 ASOCI AGRIC OCCIDENTE COLOMBIANO  TOTAL VALUE: COP 470.287.500 IOM CONTRIB: COP 470.287.500</t>
  </si>
  <si>
    <t xml:space="preserve"> CONVENIO PDR-0019-02 DE 2022 12619798 CORP PARQ TECNO INOVA CAFE CAFECU-PDR  TOTAL VALUE: COP 269.825.000 IOM CONTRIB: COP 269.825.000</t>
  </si>
  <si>
    <t>CORP PARQ TECNO INOVA CAFE CAFECU</t>
  </si>
  <si>
    <t xml:space="preserve"> Partenaire de mise en oeuvre de la composante AGR et Chaine de valeur  Modalités de paiement :  6.2 Sous réserve de la réception par l'OIM des fonds provenant du donateur du projet, les paiements seront effectués par l'OIM, jusqu' au montant maximal de l</t>
  </si>
  <si>
    <t xml:space="preserve"> CONVENIO PDR-0009-01 DE 2021 12600378 ESCUELA GALAN P/DLLO DEMOC (IP)  TOTAL VALUE: COP 2,366,702,515 IOM CONTRIB: COP 1,538,460,000 + 83.139.182+ 745.103.333</t>
  </si>
  <si>
    <t>ESCUELA GALAN DESARROLLO DEMOCRACIA</t>
  </si>
  <si>
    <t>FC.0183</t>
  </si>
  <si>
    <t>Strengthening Social Cohesion and Resilience of Communities Affected by the Ituri Patriotic Resistance Force (FRPI)</t>
  </si>
  <si>
    <t>CARITAS DEVELOPPEMENT DIOCESE</t>
  </si>
  <si>
    <t xml:space="preserve"> Transfert de la deuxieme tranche au partenaire TROCAIRE</t>
  </si>
  <si>
    <t>TROCAIRE</t>
  </si>
  <si>
    <t>FC.0203</t>
  </si>
  <si>
    <t>Colombia: Technical Assistance to Individual Productive Projects - Phase II</t>
  </si>
  <si>
    <t>FC.0204</t>
  </si>
  <si>
    <t>Comprehensive Reintegration for Improving the Quality of Life of Communities within the Framework of the Plans with a Territorial Approach (PDET) Roadmap in Colombia and Conpes 3931</t>
  </si>
  <si>
    <t xml:space="preserve"> CONVENIO PDR-0011-02 DE 2022 FC.0204 12624842 ESCUELA GALAN DESARROLLO DEMOCRACIA  TOTAL VALUE: COP 5.132.737.500 IOM CONTRIB: COP 4.740.000.000 + 392.737.500</t>
  </si>
  <si>
    <t xml:space="preserve"> Prestation de services pour la formation en socialisation et fournitures de dejeuner aux 60 ex-combattants et 300 jeunes a riques a Ndomete et Mbres / formation professionnelle des beneficiaires a Kaga-Bandoro. PR# 4200156144 et PR# 4200221543</t>
  </si>
  <si>
    <t xml:space="preserve"> Formation en socialisation et fournitures de petits dejeuner a 200 ex-combattants et 400 jeunes a risque a Kaga-Bandoro et la formation professionnelle a Kaga-Bandoro. PR # 4200156144 et PR#4200221543</t>
  </si>
  <si>
    <t>ALL FOR PEACE AND DIGNITY (APADE)</t>
  </si>
  <si>
    <t xml:space="preserve"> Prestation de service pour la formation des beneficaires en analphabetisation a Bangui pour le Projet PREC 2. PR# 4200151099</t>
  </si>
  <si>
    <t>DIRECTION DE L'ALPHABETISATION</t>
  </si>
  <si>
    <t xml:space="preserve"> Prestation de service pour la session de formation en alphabetisation au niveau de Kaga-Bandoro, Mbres et Ndomete. PR#4200191141</t>
  </si>
  <si>
    <t xml:space="preserve"> Internal PO for Cost Extension Social Cohesion 3 Months Activities Payment in Rusizi District</t>
  </si>
  <si>
    <t>IB.0208</t>
  </si>
  <si>
    <t>Enhancing the Capacity of the Government of Iraq at Trebil Border Point</t>
  </si>
  <si>
    <t xml:space="preserve"> Programme Officer - Jordan UNODC</t>
  </si>
  <si>
    <t>UNODC</t>
  </si>
  <si>
    <t xml:space="preserve"> IP Agreement - Support community-based engagement activities_First Instalment after signature of IP Agreement 20%</t>
  </si>
  <si>
    <t>IB.0254</t>
  </si>
  <si>
    <t>Strengthening and Promoting Consular Support For Stranded Migrants in Libya</t>
  </si>
  <si>
    <t>IB.0266</t>
  </si>
  <si>
    <t>Supporting Evidence-Based Policies and Programmes in the Context of Cross-Border Mobility in Cambodia and Viet Nam</t>
  </si>
  <si>
    <t xml:space="preserve"> Consular Department's Implementation of project IB.0266</t>
  </si>
  <si>
    <t>CUC LANH SU</t>
  </si>
  <si>
    <t>IB.0268</t>
  </si>
  <si>
    <t>Public Information Campaign to Deter Potential Irregular Maritime Migration from Vietnam to Australia in 2021-22</t>
  </si>
  <si>
    <t xml:space="preserve"> Transfer of fund to Binh Thuan Border Guard for activity implementation - IB.0268</t>
  </si>
  <si>
    <t xml:space="preserve"> Transfer of fund to Quang Binh Immigration Division for activity implementation - IB.0268</t>
  </si>
  <si>
    <t xml:space="preserve"> Transfer of fund to Nghe An Border Guard for activity implementation - IB.0268</t>
  </si>
  <si>
    <t xml:space="preserve"> 1st transfer for activity implementation (70%)</t>
  </si>
  <si>
    <t>IB.0269</t>
  </si>
  <si>
    <t>Empowering Migrant Worker Households and Strengthening Capacities at Points of Entry in Indonesia</t>
  </si>
  <si>
    <t>PERKUMPULAN RUTGERSWPF INDONESIA</t>
  </si>
  <si>
    <t>IB.0277</t>
  </si>
  <si>
    <t>Supporting Community Policing and Stabilisation in Iraq</t>
  </si>
  <si>
    <t xml:space="preserve"> PR#4200237838 Partnership with one CSO for provision of legal services in Telafar and Sinjar – Ninewa governorate</t>
  </si>
  <si>
    <t>IB.0282</t>
  </si>
  <si>
    <t>Western Balkans Joint Actions Against Smuggling of Migrants and Trafficking in Human Beings</t>
  </si>
  <si>
    <t xml:space="preserve"> Udruzenje MEDICA Zenica  Project Implementation Agreement signed with Udruzenje MEDICA Zenica for the period 1 April until 30 June 2022 for direct assistance  Ref.147-22-AD-BA10_NP  PO modified in accordance with 1 Amendment signed 305-22-AD-BA10_NP  *Li</t>
  </si>
  <si>
    <t>MEDICA</t>
  </si>
  <si>
    <t>IB.0297</t>
  </si>
  <si>
    <t>Improving Border Management and Community Resilience towards Cross-Border Organised Crime in Niger, Mali and Burkina Faso with a Focus on the Central Mediterranean Route</t>
  </si>
  <si>
    <t xml:space="preserve"> Convention avec ONG COOPI NIger avec OIM Niger/improving border management and  community  resilience towards cross border organized crime in Niger ,Mali and Burkina Faso with a focus on the central mediterranea route  PRF/4200210398</t>
  </si>
  <si>
    <t>COOPERAZIONE INTERNAZIONALE</t>
  </si>
  <si>
    <t>IB.0306</t>
  </si>
  <si>
    <t>Supporting Peace, Security and Stability in Northern Regions through Strengthening Border Management Capacities and Inclusive Community Engagement</t>
  </si>
  <si>
    <t xml:space="preserve"> PO Note: Provision of Technical expertise on advancing women peace and security agenda through community policing programming with reference to PRF#JUBMMU212050.</t>
  </si>
  <si>
    <t>NATL TRANSFORMATIONAL LEADERSHIP IN</t>
  </si>
  <si>
    <t>IB.0307</t>
  </si>
  <si>
    <t>Assessing Vulnerabilities and Resilience in Border Communities in Timor-Leste through the Human Security Approach in the Context of COVID-19</t>
  </si>
  <si>
    <t xml:space="preserve"> Inception report (C. Communication + B. office equipment + E. training for RA + F. Data collection + G. Data entry + A. 1/7 of personnel expenses - A. GIS specialists - G. policy brief (translator) - B. GIS software)</t>
  </si>
  <si>
    <t>Konta Operasional UNTL Ofisial</t>
  </si>
  <si>
    <t>Timor Leste</t>
  </si>
  <si>
    <t xml:space="preserve"> Funding for Quang Binh MPSI to carry out project activities - IB.0332</t>
  </si>
  <si>
    <t xml:space="preserve"> Funding for Binh Thuan Border Guard to carry out communication activities - DHA-funded IB.0332</t>
  </si>
  <si>
    <t xml:space="preserve"> Mediterranean Youth Foundation IP Agreement</t>
  </si>
  <si>
    <t>Mediterranean Youth Foundation</t>
  </si>
  <si>
    <t xml:space="preserve"> 2ème Tranche à la validation du Rapport final narratif et financier</t>
  </si>
  <si>
    <t>ASSOCIATION CARAVANE NOUR</t>
  </si>
  <si>
    <t xml:space="preserve"> OJA-RDPP expenses interim repot</t>
  </si>
  <si>
    <t>ASSOCIATION THE MINORITY GLOBE</t>
  </si>
  <si>
    <t xml:space="preserve"> Humanitarian assistance services for migrants in vulnerable situations  la réception et l’approbation  du rapport final par l’OIM</t>
  </si>
  <si>
    <t xml:space="preserve"> Assistance juridique et administrative au profit de migrants en situation de vulnérabilité dans les régions de Casablanca-Settat et de Rabat-Salé-Kénitra</t>
  </si>
  <si>
    <t>IS.0016</t>
  </si>
  <si>
    <t>Hellenic Integration Support for Beneficiaries of International Protection - HELIOS</t>
  </si>
  <si>
    <t xml:space="preserve"> Clean Financial Report October 2021 inv/22A/02.12.2021</t>
  </si>
  <si>
    <t>INTERSOS HELLAS ASTIKI MI KERD. ET.</t>
  </si>
  <si>
    <t xml:space="preserve"> IP for "Hellenic Integration Support for Beneficiaries of International Protection- HELIOS" LEG: GR/00298/IMPL JK 1st Amendment GR/02977/IMPL 2nd Amendment GR/04443/IMPL 3rd Amendment GR/05709/IMPL 4th Amendment GR/06060/IMPL 5th Amendment GR/06203/IMPL</t>
  </si>
  <si>
    <t>EKPEDEUTIKI ANAPTYXIAKI 'PLOIGOS'</t>
  </si>
  <si>
    <t xml:space="preserve"> IP (GCR) for the implementation of the project "Hellenic Integration Support for Beneficiaries of International Protection-HELIOS" HOME/2019/AMIF/AG/EMAS/0092 1st Amendement-GR/02635/IMPL GR/04453/IMPL-2nd amendment 01/06/2019-28/02/2021 GR/05710/IMPL-3r</t>
  </si>
  <si>
    <t>GREEK COUNCIL FOR REFUGEES</t>
  </si>
  <si>
    <t xml:space="preserve"> IP for the project"Hellenic Integration Support for Beneficiaries of International Protection-HELIOS" Period:1 June 2019-28 February 2021 GPSU Approval: 2019/08/607/JP 1st Amendment of PIA Leg.Ref. GR/02646/IMPL 2nd Amendment of PIA Leg.Ref GR/03173/IMPL</t>
  </si>
  <si>
    <t xml:space="preserve"> Metadrasi &lt;(&gt;&amp;&lt;)&gt; IRC Hellas &lt;(&gt;&amp;&lt;)&gt; EKKE for "Hellenic Integration Support for Beneficiaries of International Protection-HELIOS" GPSU Approval Code 2019/08/620/VR IP for the "Hellenic Integration Support for Beneficiaries of Interational Protection- HEL</t>
  </si>
  <si>
    <t xml:space="preserve"> IP for the implementation of the project "Hellenic Integration Support forBeneficiaries of Internation Protection -HELIOS"</t>
  </si>
  <si>
    <t>ALLILEGGIE SOLIDARITYNOW</t>
  </si>
  <si>
    <t xml:space="preserve"> IP for the project "Hellenic Integration Support for Beneficiaries of International Protection-HELIOS"</t>
  </si>
  <si>
    <t>THE SMILE OF THE CHILD</t>
  </si>
  <si>
    <t xml:space="preserve"> IP(KEDHL - 4600569437) for the implementation of the project "HELIOS"</t>
  </si>
  <si>
    <t>KOINOFELIS EPICH. DIMOU LEVADEON</t>
  </si>
  <si>
    <t xml:space="preserve"> IP (CRS) for the project"Hellenic Integration Support for the Beneficiaries of International Protection"</t>
  </si>
  <si>
    <t>CATHOLIC RELIEF SERVICES</t>
  </si>
  <si>
    <t>ADRA - INSTITUIÇÃO ADVENTISTA CENTR</t>
  </si>
  <si>
    <t>ASSOCIACAO MIGRAFLIX</t>
  </si>
  <si>
    <t>MULHERES DO SUL GLOBAL COMERCIO</t>
  </si>
  <si>
    <t>IS.0042</t>
  </si>
  <si>
    <t>Harmonization and Social Cohesion Programme Across Turkey</t>
  </si>
  <si>
    <t xml:space="preserve"> ANKMM/IMPL/ED137/2021</t>
  </si>
  <si>
    <t>Gocmen Haklari ve Sosyal Uyum Der.</t>
  </si>
  <si>
    <t xml:space="preserve"> ANKMM/ IMPL/ ED141/ 2021</t>
  </si>
  <si>
    <t>Ridvan Hoca Egitim Kultur Dayanisma</t>
  </si>
  <si>
    <t>Sahra Dayanisma Dernegi</t>
  </si>
  <si>
    <t>Ermetal Teknolojik Egitimler Vakfi</t>
  </si>
  <si>
    <t xml:space="preserve"> ANKMM/IMPL/ED82/2022</t>
  </si>
  <si>
    <t>Ankara Ureten Kadinlar Dernegi</t>
  </si>
  <si>
    <t>IS.0076</t>
  </si>
  <si>
    <t>Finland’s Pre-Departure Orientation Program 2021-2022</t>
  </si>
  <si>
    <t xml:space="preserve"> PDO training service - staff costs</t>
  </si>
  <si>
    <t>Diakonia-ammattikorkeakoulu</t>
  </si>
  <si>
    <t>IS.0087</t>
  </si>
  <si>
    <t>HELIOS - Hellenic Integration Support for Beneficiaries of International Protection</t>
  </si>
  <si>
    <t xml:space="preserve"> IP (INTERSOS) -GR/06561/IMPL for the implementation of the Project entitled ‘’HELIOS – Hellenic Integration Support for Beneficiaries of International Protection’’ funded by the Programmatic Agreement signed between the Ministry of Migration and Asylum a</t>
  </si>
  <si>
    <t xml:space="preserve"> IP (METADRASI)- GR/06603/IMPL for the implementation of the project HELIOS – Hellenic Integration Support for Beneficiaries of International Protection’’ funded under the Programmatic Agreement signed between the Ministry of Migration and Asylum and the</t>
  </si>
  <si>
    <t xml:space="preserve"> IP (PLOIGOS) -GR/06616/IMPL for the implementation of the Project entitled ‘’HELIOS" funded by Programmatic Agreement between the Ministry of Migration and Asylum and the International Organization for Migration, signed on 21 December 2021</t>
  </si>
  <si>
    <t xml:space="preserve"> IP (Allileggie Solidarity Now) -GR/06595/IMPL for the implementation of the Project entitled ‘’HELIOS" funded by the Programmatic Agreement between the Ministry of Migration and Asylum and the International Organization for Migration, signed on 21 Decemb</t>
  </si>
  <si>
    <t xml:space="preserve"> IP (KEDHL) GR/06674/IMPL for the implementation of the project "HELIOS – Hellenic Integration Support for Beneficiaries of International Protection" funded by the Programmatic Agreement between the Ministry of Migration and Asylum and the International O</t>
  </si>
  <si>
    <t xml:space="preserve"> P(Joint Venture MDAT, YMCA, SMG) for the implementation of the Project entitled ‘’HELIOS – Hellenic Integration Support for Beneficiaries of International Protection’’ funded by the Programmatic Agreement signed between the Ministry of Migration and Asyl</t>
  </si>
  <si>
    <t>MAJOR DEVELOPMENT AGENCY THESSAL.</t>
  </si>
  <si>
    <t xml:space="preserve"> IP (CRS) for implementation of the project "HELIOS – Hellenic Integration Support for Beneficiaries of International Protection" fun ded by the Programmatic Agreement between the Ministry of Migration and Asylum and the International Organization for Mig</t>
  </si>
  <si>
    <t xml:space="preserve"> IP (DRC) for  the implementation of the project "HELIOS – Hellenic Integration Support for Beneficiaries of International Protection" funded by the Programmatic Agreement between the Ministry of Migration and Asylum and the International Organization for</t>
  </si>
  <si>
    <t>IS.0099</t>
  </si>
  <si>
    <t>Supporting the Productive Integration of Venezuelan Refugees and Migrants in Latin America Program - Phase III</t>
  </si>
  <si>
    <t xml:space="preserve"> Contratacion de un IP para el fortalecimiento de capacidades y habilidades emprendedoras</t>
  </si>
  <si>
    <t>IV.0071</t>
  </si>
  <si>
    <t>Global Programme: Enhancing Readmission and Legal Identity Capacity (RELICA)</t>
  </si>
  <si>
    <t xml:space="preserve"> Support the Digitalization Department’s Installation at DGRNI</t>
  </si>
  <si>
    <t>DGRNI - MINISTERIO DA JUSTICA</t>
  </si>
  <si>
    <t>Cape Verde</t>
  </si>
  <si>
    <t xml:space="preserve"> Funding schemes for CSOs to provide needs-based humanitarian relief and assistance to migrant workers and their families impacted by COVID-19 in Hong Kong SAR,China.</t>
  </si>
  <si>
    <t>Christian Action</t>
  </si>
  <si>
    <t>HK Federation of Asian DW Unions</t>
  </si>
  <si>
    <t>HELP Limited</t>
  </si>
  <si>
    <t>PathFinders Limited</t>
  </si>
  <si>
    <t>Branches of Hope Limited</t>
  </si>
  <si>
    <t xml:space="preserve"> Reaching a vulnerable community with humanitarian relief and raising COVID-19 conciousness  Contract No. AGR/MY10/2022/003 PR No.4200192341</t>
  </si>
  <si>
    <t>PERSATUAN SAHABAT WANITA SELANGOR</t>
  </si>
  <si>
    <t xml:space="preserve"> First tranche payment</t>
  </si>
  <si>
    <t>PERTUBUHAN PENDIDIKAN ANAK CAHAYA</t>
  </si>
  <si>
    <t xml:space="preserve"> PROJECT IMPLEMENTATION AGREEMENT between the International Organization for Migration and Pertubuhan Amal &lt;(&gt;&amp;&lt;)&gt; Kemanusiaan Selangor on Covid-19 Food Relief and Emergency Rental for Marginalized Migrant Workers  AGR/MYl0/2022/002 LM.0331</t>
  </si>
  <si>
    <t>PERTUBUHAN AMAL DAN KEMANUSIAAN</t>
  </si>
  <si>
    <t xml:space="preserve"> CREST:MIGRANTS SOCIAL JUSTICE REMEDIATION-1ST TRANCHE PAYMENT</t>
  </si>
  <si>
    <t>NORTH SOUTH INITIATIVE</t>
  </si>
  <si>
    <t xml:space="preserve"> CREST:CASE MANAGEMENT-LEGAL REPRESENTATION AND REMEDIATION FOR MIGRANTS WORKERS EXPERIENCING LABOUR RIGHTS VIOLATION-1ST TRANCHE PAYMENT</t>
  </si>
  <si>
    <t>OUR JOURNEY BERHAD</t>
  </si>
  <si>
    <t xml:space="preserve"> PR No.: 4200206041 CREST Direct Assistance to Repatriated OFWs Impacted by COVID-19 in BARMM  Please see attached Project Implementation Agreement signed on 14-February-2022</t>
  </si>
  <si>
    <t>Blas F. Ople Policy Center</t>
  </si>
  <si>
    <t xml:space="preserve"> PR No.: 4200205341 A Lifeline of Assistance to Underserved Women Migrant Workers Who Returned Due to COVID-19  Please refer to the attached Project Implementation Agreement signed on 14-February 2022</t>
  </si>
  <si>
    <t xml:space="preserve"> PR No.: 4200338034 PH/07818/IMPL CREST IEC Campaign on OFWs' Access to Information on Redress and Grievance Mechanisms  With Implementation Agreement signed on 13-Oct2022</t>
  </si>
  <si>
    <t>Kapisanan ng mga Kamag-anak at</t>
  </si>
  <si>
    <t xml:space="preserve"> PR No.:4200335034 PH/07804/IMPL CREST Direct Assistance: Enhancing the Protection of Migrant Workers in Asia Impacted by COVID-19  with Implementation Agreement signed on 14-October 2022</t>
  </si>
  <si>
    <t>Atikha Overseas Workers</t>
  </si>
  <si>
    <t xml:space="preserve"> PR4200193344  NFF  Project title: Implement the project that supports migrants to access grievance mechanisms  Project budget and duration:  IOM agrees to provide financial support to the Implementing Partner in implementing Assistant Fund for Migrant Wo</t>
  </si>
  <si>
    <t xml:space="preserve"> PR4200282285  Project title: Awareness Raising Outreach And Dissemination Of Information On Safe Migration, Access To Support And Services, And Rights And Entitlement Of Migrant Workers In Thailand’s Agricultural Sector”  Project duration: 15 July to 15</t>
  </si>
  <si>
    <t xml:space="preserve"> Hagar staff costs (instalment 1)</t>
  </si>
  <si>
    <t>Hagar International in Vietnam</t>
  </si>
  <si>
    <t xml:space="preserve"> (Inst 1) Output 1: Regional coordination and partnership with civil society</t>
  </si>
  <si>
    <t>MIGRANT FORUM ASIA</t>
  </si>
  <si>
    <t xml:space="preserve"> 2nd instalment</t>
  </si>
  <si>
    <t>LIGHT ( TT CD AS)</t>
  </si>
  <si>
    <t xml:space="preserve"> Contribution to the National TIP Day event on 30 Jul 2022 organized by MPS and CWU</t>
  </si>
  <si>
    <t>Van phong Bo Cong an</t>
  </si>
  <si>
    <t xml:space="preserve"> IPA with Can Tho Women's Union on organizing Community Policy Dialogue and Outreach workshop</t>
  </si>
  <si>
    <t>LM.0349</t>
  </si>
  <si>
    <t>Strengthening Corporate Responsibility to Eliminate Labour Exploitation, Slavery and Trafficking (CREST) in Apparel and Home Textile Supply Chains in Asia</t>
  </si>
  <si>
    <t xml:space="preserve"> Expand on safe migration campaigns delivered to internal migrant workers in India, in collaboration with Don Bosco</t>
  </si>
  <si>
    <t>DON BOSCO TECH SOCIETY</t>
  </si>
  <si>
    <t>LM.0426</t>
  </si>
  <si>
    <t>Bridging Recruitment to Reintegration in Migration Governance: Philippines (BRIDGE)</t>
  </si>
  <si>
    <t xml:space="preserve"> PR No.: 4200332583 IOM office-specific Ref.No.: 22/09/010/PIA LEG Reference:PH/07889/IMPL Grievance mechanism consultations and Roundtable discussions with CSOs  With Implementation Agreement signed on 27-October 2022</t>
  </si>
  <si>
    <t>LM.0437</t>
  </si>
  <si>
    <t>Capacity Building Of Local Governments in Santiago (Chile) and Mexico City to Strengthen the Socioeconomic Integration of Migrants and Refugees Through Access to Decent Work, Sustainable Livelihoods, and Social Dialogue</t>
  </si>
  <si>
    <t xml:space="preserve"> Implementation Agreement. - Creation of a Network of Entrepreneurial Migrant Workers and Refugees and Assistance to Promote their Initiatives</t>
  </si>
  <si>
    <t>LA INCUBADORA DE TRABAJO PARA REFUG</t>
  </si>
  <si>
    <t>LM.0454</t>
  </si>
  <si>
    <t>Protection and Services for Vulnerable Settlements, Migrants and Youth in Savannakhet and Champassak</t>
  </si>
  <si>
    <t xml:space="preserve"> The first instalment of 74% of the Contribution in the amount of USD 25 ,541 (twenty-five thousand five hundred and forty-one) shall be due within fifteen (15) calendar days after signature of this Agreement and upon IOM's receipt of the implementing Partner's pa</t>
  </si>
  <si>
    <t>Village Focus International (VFI)</t>
  </si>
  <si>
    <t>Lao People's Dem Rep</t>
  </si>
  <si>
    <t xml:space="preserve"> The first instalment of 50% of the Contribution in the amount of LAK 300,968,720 (three hundred million, nine hundred and fifty-eight thousand, seven hundred and twenty) shall be due within fifteen (15) calendar days after signature of this Agreement and upon IOM</t>
  </si>
  <si>
    <t>SENGSAVANG</t>
  </si>
  <si>
    <t xml:space="preserve"> Fund transfer to VGCL to organize communicative events</t>
  </si>
  <si>
    <t>Tong Lien doan Lao dong VN</t>
  </si>
  <si>
    <t xml:space="preserve"> IP Agreement on the Arrangment of 1st PAC meeting of PROMISE II</t>
  </si>
  <si>
    <t xml:space="preserve"> The first instalment in the amount of LAK 85,659,000 (Eighty-Five Million Six Hundred Fifty-Nine Thousand Kip) shall be due within fifteen (15) calendar days after signature of this Agreement and upon IOM’s receipt of the Implementing Partner’s payment re</t>
  </si>
  <si>
    <t>Development Research Institute, DRI</t>
  </si>
  <si>
    <t xml:space="preserve"> (a)The first instalment of 70% of the Contribution in the amount of LAK 110,078,000 (One hundred and ten million, and Seventy-eight thousand) shall be due within fifteen (15) calendar days after signature of this Agreement and upon IOM’s receipt of the Implemen</t>
  </si>
  <si>
    <t>Southern Skill Development Center</t>
  </si>
  <si>
    <t xml:space="preserve"> The First instalment in the amount of USD 25,000 (Twenty-Five Thousand US Dollars only) shall be due within fifteen (15) calendar days after the signing of this Agreement and upon IOM's receipt of the implementing Partner's payment request and the updated A</t>
  </si>
  <si>
    <t>Skills Development and Employment D</t>
  </si>
  <si>
    <t xml:space="preserve"> PR_4200196452   NFF approved 08.02.2022  Vocational Training and Peer to Peer Networking for LGBT Migrant Workers, and Capacity Building for Employers  The Implementing Partner shall commence the activities on March 21, 2022 and fully and satisfactorily</t>
  </si>
  <si>
    <t>Sisters Foundation</t>
  </si>
  <si>
    <t xml:space="preserve"> PR4200196453  IOM office-specific Ref. No.: TH014-2022 LEG Reference: TH/06697/IMPL  Project: Skills Development and Certification for Migrant Workers under PROMISE project  The Implementing Partner shall commence the activities on April 19, 2022 and ful</t>
  </si>
  <si>
    <t xml:space="preserve"> PR4200213572  IOM office-specific Ref. No.:TH035-2022 LEG Reference:TH/06853/IMPL  Project: Vocational Skills Development for Migrant Youth and Migrant Workers  Contract duration: May 16, 2022 to May 15, 2023  PO revision 28.11.2022 - record actual expen</t>
  </si>
  <si>
    <t xml:space="preserve"> PR4200289783      NFF approved 27.04.2022  Project title: Development of Occupational Standards and Professional Qualifications for Labour Recruiters in Thailand  (the "Project") from July 1, 2022 to April 28, 2023 in the maximum amount of THB 1,117,000.</t>
  </si>
  <si>
    <t>LM.0471</t>
  </si>
  <si>
    <t xml:space="preserve"> The Implementation of an Amnesty Information Hub in the Framework of the Western Hemisphere Program Phase XII</t>
  </si>
  <si>
    <t xml:space="preserve"> Project Implementation Agreement between BRC and WHP which seeks to provide accurate and direct information about the Belize 2022 Amnesty to undocumented Migrants in Western Belize.</t>
  </si>
  <si>
    <t xml:space="preserve"> Phase 12 amendment - WHP</t>
  </si>
  <si>
    <t>THE CHILD DEVELOPMENT FOUNDATION</t>
  </si>
  <si>
    <t xml:space="preserve"> Purchase order of FEDERACIÓN SKATEBOARDING COSTA RICA  Sports programs are important tools to bring together and integrate migrant children and youth in host communities.  These programs are intended to improve the family and community fabric in which ch</t>
  </si>
  <si>
    <t>FEDERACIÓN SKATEBOARDING COSTA RICA</t>
  </si>
  <si>
    <t xml:space="preserve"> Purchase order of Asociacion CELIEM  MANAGEMENT OF THE "CAPITAL DE IMPULSO" FUND FOR MIGRANT ENTREPRENEURS 2022.</t>
  </si>
  <si>
    <t>Asociacion CELIEM</t>
  </si>
  <si>
    <t xml:space="preserve"> Establishment of Migrant Information Hub. Reg #4</t>
  </si>
  <si>
    <t>The Roman Catholic Bishop in Guyana</t>
  </si>
  <si>
    <t>LM.0482</t>
  </si>
  <si>
    <t>Labour, Employment and Mobility  Actions of the AU-ILO-IOM Joint Programme on Labour Migration Governance for Development and Integration in Africa (JLMP Lead Project): 2022-2025</t>
  </si>
  <si>
    <t xml:space="preserve"> ILO Disbursement for the Labour, Employment and Mobility Actions of the AU-ILO-IOM Joint Programme on Labour Migration Governance for Development and Integration in Africa (JLMP Lead Project) from April 2022 to March 2025</t>
  </si>
  <si>
    <t xml:space="preserve"> 3rd Instalment - March 6th 2023</t>
  </si>
  <si>
    <t xml:space="preserve"> 2nd Instalment - February 7th, 2023</t>
  </si>
  <si>
    <t>GOVERNMENT OF BELIZE-MINISTRY OF F</t>
  </si>
  <si>
    <t xml:space="preserve"> 2nd Instalment - January 6th 2023</t>
  </si>
  <si>
    <t xml:space="preserve"> 2nd Instalment - May 2nd , 2023</t>
  </si>
  <si>
    <t>GALEN UNIVERSITY</t>
  </si>
  <si>
    <t xml:space="preserve"> PIA RO22/050  Project code: MA0335  Sub Recipient Agreement for Global Fund Grant QSE-T-IOM-TEAM: Tuberculosis Elimination Among Migrants  Project commence from 1 Jan 2022 - 31 December 2024, the maximum amount of USD 1,018,895.98 (One million eighteen t</t>
  </si>
  <si>
    <t xml:space="preserve"> PIA ref. RO22/058  Project code: MA.0335  Sub Recipient Agreement for Global Fund Grant QSE-T-IOM-TEAM2: Tuberculosis Elimination Among Migrants  ** SMRU Thailand **  Project commence from 1 Jan 2022 - 31 December 2024, the maximum amount of USD 601.888.</t>
  </si>
  <si>
    <t xml:space="preserve"> PIA RO22/048  Project code: MA0335  Sub Recipient Agreement for Global Fund Grant QSE-T-IOM-TEAM: Tuberculosis Elimination Among Migrants  Project commence from 1 Jan 2022 - 31 December 2024, the maximum amount of USD 95,378.93 (Ninety five thousand thre</t>
  </si>
  <si>
    <t xml:space="preserve"> PIA RO22/055  Project code: MA0335  Sub Recipient Agreement for Global Fund Grant QSE-T-IOM-TEAM: Tuberculosis Elimination Among Migrants  Project commence from 1 Jan 2022 - 31 December 2024, the maximum amount of USD 568,167.76 (five hundred sixty eight</t>
  </si>
  <si>
    <t xml:space="preserve"> PIA ref. RO22/058  Project code: MA.0335  Sub Recipient Agreement for Global Fund Grant QSE-T-IOM-TEAM2: Tuberculosis Elimination Among Migrants  ** SRMU Myanmar **  Project commence from 1 Jan 2022 - 31 December 2024, the maximum amount of USD 988.450.5</t>
  </si>
  <si>
    <t xml:space="preserve"> PIA ref. RO22/056  Project code: MA.0335  Sub Recipient Agreement for Global Fund Grant QSE-T-IOM-TEAM2: Tuberculosis Elimination Among Migrants   Project commence from 1 Jan 2022 - 31 December 2024, the maximum amount of USD 628,713.72 (Six hundred twen</t>
  </si>
  <si>
    <t xml:space="preserve"> Project commence from January 2022 to December 2024 in the maximum amount of USD 211,984.05 (two hundred eleven thousand, nine hundred eighty four dollars and five cents) (the "Contribution") in accordance with the Budget attached to the Agreement.  This</t>
  </si>
  <si>
    <t xml:space="preserve"> Project commence from January 2022 to December 2024 in the maximum amount of USD 192,596.19 (one hundred ninety two thousand five hundred and ninety six dollars and nineteen cents) (the "Contribution") in accordance with the Budget attached to the Agreem</t>
  </si>
  <si>
    <t xml:space="preserve"> Sub Recipient Agreement for Global Fund Grant QSE-T-IOM-TEAM: Tuberculosis Elimination Among Migrants  Project commence from January 2022 to December 2024 in the maximum amount of USD 562,187.57 (Five Hundred Sixty-Two Thousand One Hundred Eighty Seven a</t>
  </si>
  <si>
    <t xml:space="preserve"> Project commence from January 2022 to December 2024 in the maximum amount of USD 296,604 (two hundred and ninety six thousand six hundred and four dollars) (the "Contribution") in accordance with the Project Budget.  This Agreement will enter into force</t>
  </si>
  <si>
    <t>University of Oslo</t>
  </si>
  <si>
    <t>MA.0401</t>
  </si>
  <si>
    <t>Provision of Essential Health Care Services and Health and Hygiene Promotion for Conflict-Affected Populations in Ukraine</t>
  </si>
  <si>
    <t xml:space="preserve"> Our Reference: PR NO. (4200278116) UA1-2022-3020_Medical Aid Committee in Zakarpattya IP for procurement of medicine  Type of contract signed: PIA  PO is for internal use  - financial tracking only (no signature required).</t>
  </si>
  <si>
    <t>BO KOMITET MED DOPOMOHY V ZAKARPATI</t>
  </si>
  <si>
    <t xml:space="preserve"> Implementing Partner Organisation (PoE and Border Communities)</t>
  </si>
  <si>
    <t xml:space="preserve"> Implementing partner-Preventing lost to follow up and Sustaining HIV &lt;(&gt;&amp;&lt;)&gt; TB among internal migrants population in Lesotho</t>
  </si>
  <si>
    <t xml:space="preserve"> 1st installment of the Implementing Partner Agreement with TdH / PSTIC to implement EUTF activities</t>
  </si>
  <si>
    <t>Terre Des Hommes</t>
  </si>
  <si>
    <t xml:space="preserve"> IP AGREEMENT RENEWAL TO IMPLEMENT SRHR ACTIVITIES IN MAPUTO PROVINCE FROM JANUARY TO DECEMBER 2022_Third instalment (contract attached) 30%</t>
  </si>
  <si>
    <t xml:space="preserve"> IP AGREEMENT RENEWAL TO IMPLEMENT MOBILE BRIGADES IN MOAMBA FROM JANUARY TO DECEMBER 2022_Fourth instalment ( contract attached)20%</t>
  </si>
  <si>
    <t>AMODEFA</t>
  </si>
  <si>
    <t xml:space="preserve"> TO IMPLEMENT SRHR SERVICES IN MONTEPUEZ AND CHIURE FROM JANUARY TO DECEMBER 2022_Fifth and Final instalment (Attached contract)10%</t>
  </si>
  <si>
    <t xml:space="preserve"> The third and final instalment in the amount of 128,225 MZN (One Hundred Twenty Eight Thousand Two Hundred Twenty Five Meticais Only) not exceeding the total eligible expenses reported by the Implementing Partner minus the sum of payment instalments alre</t>
  </si>
  <si>
    <t xml:space="preserve"> 10% RETENTION</t>
  </si>
  <si>
    <t>MA.0514</t>
  </si>
  <si>
    <t>Kyrgyzstan: Enhancing Migrants’ Awareness on Air Pollution and Moving Towards a “Healthy City Vision” in Bishkek</t>
  </si>
  <si>
    <t xml:space="preserve"> PROJECT IMPLEMENTATION AGREEMENT no. 2022/A01 between IOM and International Public Foundation "Roza Otunbayeva Initiative" on Enhanc ing Migrants’ Awareness on Air Pollution and Moving Towards a "Healthy City Vision" Project (MA.0514) in Bishkek, Kyrgyzs</t>
  </si>
  <si>
    <t>ROZA OTUNBAEVA INITIATIVE</t>
  </si>
  <si>
    <t xml:space="preserve"> Project implementation agreement between the IOM and Public Foundation "Unison Group" on Enhancing Migrants’ Awareness on Air Pollution and Moving Towards a "Healthy City Vision" Project (MA.0514) in Bishkek, Kyrgyzstan. IP Agreement 2022/A02.</t>
  </si>
  <si>
    <t>MA.0515</t>
  </si>
  <si>
    <t>Support to Pandemic Preparedness in the EAC Region / WASH and Health Promotion Sensitization and Awareness on COVID-19 and Other Communicable Diseases in the EAC Region</t>
  </si>
  <si>
    <t xml:space="preserve"> Wash and Health Promotion Sensitization and Awreness on Covid 19 and other Communicable Diseases in teh East Africa Community Region</t>
  </si>
  <si>
    <t>EAC IOM Collaboration</t>
  </si>
  <si>
    <t xml:space="preserve"> Hygiene and HealthPromotion Sensitization and Awareness on Covid 19 and other communicable Diseases in the East African Community (EAC) Region: A Baseline Program Evaluation PR #: 4200241700</t>
  </si>
  <si>
    <t>AGA-KHAN UNIVERSITY- KENYA</t>
  </si>
  <si>
    <t>MA.0518</t>
  </si>
  <si>
    <t>They are too quiet about Migration: Strengthening the Capacity of the Government of South Africa and Civil Society to Respond to the Needs of Vulnerable Migrants Living with Disability Project</t>
  </si>
  <si>
    <t xml:space="preserve"> Contract an IP for M&lt;(&gt;&amp;&lt;)&gt;D</t>
  </si>
  <si>
    <t>Lutheran Community Outreach Foundat</t>
  </si>
  <si>
    <t>MA.0526</t>
  </si>
  <si>
    <t>The Project for Enhancing Border Management Capacity for Responding to the Public Health Crises Including COVID-19</t>
  </si>
  <si>
    <t xml:space="preserve"> Awareness raining campaign at Paga, Elubo and Aflao borders</t>
  </si>
  <si>
    <t>COMMUNITY AID FOR RURAL DEVELOPMENT</t>
  </si>
  <si>
    <t>MA.0529</t>
  </si>
  <si>
    <t>Effective Case Management by Strengthening Isolation Centers and Ground Crossing Points (GCPs) Management for Rapid Response and Preparedness against COVID-19</t>
  </si>
  <si>
    <t xml:space="preserve"> Effective Case Management by Strengthening Isolation Centres and Ground Crossing Points (GCPs) management for Rapid Response and Preparedness against COVID-19 as per PR#4200221644</t>
  </si>
  <si>
    <t>Save the Children Italia ONLUS</t>
  </si>
  <si>
    <t>MA.0539</t>
  </si>
  <si>
    <t>Enabling Access to Internally Displaced Populations and Migrants to COVID-19 Vaccination in the Democratic Republic of the Congo (DRC)</t>
  </si>
  <si>
    <t xml:space="preserve"> PR4200365948 : Identification d’IP/ONG locale- Lot1  RDC - Lot 1: Sud Kivu (ZS Uvira, Fizi, Kimbi Lulenge, Itombwe,Kamituga) Nord Kivu (ZS Mbirabizo, Oicha, bambo, Kibirizi, Rutshuru, Pinga) Ituri (ZS Komanda, Angumu, Damas, Drodro, Lita, Tshomia, Rimba)</t>
  </si>
  <si>
    <t xml:space="preserve"> Enquette de perception Covid-19_Unikin_Dec 22</t>
  </si>
  <si>
    <t>UNIVERSITE DE KINSHASA</t>
  </si>
  <si>
    <t xml:space="preserve"> PR4200365503: PR MA 0539_0540_ENQUETTE DE PERCEPTION COVID_GOMA_DECEMBRE 2022</t>
  </si>
  <si>
    <t>ECOLE DE SANTE PUBLIQUE DE UNIGOM</t>
  </si>
  <si>
    <t>MA.0540</t>
  </si>
  <si>
    <t>Enabling Access to Internally Displaced Populations and Migrants to COVID-19 Vaccination in the Democratic Republic of Congo (DRC)</t>
  </si>
  <si>
    <t xml:space="preserve"> PR4200366088: Identification d’IP/ONG locale- Lot2   RDC- Lot 2 : Sud Kivu (ZS Kalehe, Minova), Nord Kivu (ZS Masisi, Mweso, Mabalako, Beni, katoyi), Ituri (ZS Nizi, Bunia, Fataki) Tanganyika.</t>
  </si>
  <si>
    <t>DIASPORA MEDICALE PLUS -RDC"D.M.P.-</t>
  </si>
  <si>
    <t xml:space="preserve"> Enquette de perception Covid-19_Unikin_Dec 22 (IP contract) PR4200364858</t>
  </si>
  <si>
    <t>Understanding and Managing Internal Migration in Mongolia</t>
  </si>
  <si>
    <t xml:space="preserve"> Strengthening official city migration statistical system in Ulaanbaatar and providing capacity building to Ulaanbaatar civil-IPA</t>
  </si>
  <si>
    <t>MUNICIPALITY OF ULAANBAATAR</t>
  </si>
  <si>
    <t xml:space="preserve"> 2nd phase of local NGOs intervention -IPA Huchirhiilelgui Ireedui Social Service NGO</t>
  </si>
  <si>
    <t>Huchirhiilelgui Ireedui S.S NGO</t>
  </si>
  <si>
    <t xml:space="preserve"> 2nd phase of local NGOs intervention- IPA Mongolian red cross society national humanitarian organization Govi-Altai aimag branch</t>
  </si>
  <si>
    <t>Red Cross Branch in Govi-Altai</t>
  </si>
  <si>
    <t xml:space="preserve"> 2nd phase of local NGOs intervention-IPA  Sain Zasaglaliig Demjigch Irgediin Oroltsoo Social Service NGO</t>
  </si>
  <si>
    <t>Sain zasaglaliig demjigch irged NGO</t>
  </si>
  <si>
    <t xml:space="preserve"> 2nd phase of local NGOs intervention- IPA 2nd phase of local NGOs intervention</t>
  </si>
  <si>
    <t>Nigmin Tunshlelin Sulje Bayanhongor</t>
  </si>
  <si>
    <t xml:space="preserve"> 2nd phase of local NGOs intervention- IPA  Shudarga Dens Center Social Service NGO</t>
  </si>
  <si>
    <t xml:space="preserve"> 2nd phase of local NGOs intervention-IPA 2nd phase of local NGOs intervention</t>
  </si>
  <si>
    <t>Eregteichudin Hugjliin Tuluu Hamtda</t>
  </si>
  <si>
    <t xml:space="preserve"> 2nd phase of local NGOs intervention-IPA Narsar Oyu Social service NGO</t>
  </si>
  <si>
    <t>Narsar Oyu Social Service NGO</t>
  </si>
  <si>
    <t xml:space="preserve"> 2nd phase of local NGOs intervention-IPA Niigmiin tunshlelliin suljee Social Service NGO-Darkhan Uul aimag branch</t>
  </si>
  <si>
    <t>Nigmin Tunshlelin Sulje Darkhan NGO</t>
  </si>
  <si>
    <t xml:space="preserve"> 2nd phase of local NGOs intervention-IPA  Mongolian librarians and Information Workers Association NGO</t>
  </si>
  <si>
    <t>MN Librarians and Info Workers Assn</t>
  </si>
  <si>
    <t xml:space="preserve"> 2nd phase of local NGOs intervention-IPA  Setgeliin Goyol Psychological Center NGO</t>
  </si>
  <si>
    <t>Setgelin Goyol Psychological Center</t>
  </si>
  <si>
    <t xml:space="preserve"> 2nd phase of local NGOs intervention-IPA  Chadvarlag Amidrah Uhaan Social Service NGO</t>
  </si>
  <si>
    <t>Chadvarlag amidrah uhaan S.S NGO</t>
  </si>
  <si>
    <t xml:space="preserve"> 2nd phase of local NGOs intervention-IPA Bogd research center Social Service NGO</t>
  </si>
  <si>
    <t>Bogd Research Institute S.S NGO</t>
  </si>
  <si>
    <t>Haraatsai Tuluvshil Holboo S.S NGO</t>
  </si>
  <si>
    <t xml:space="preserve"> Support an increased number of local NGOs to provide assistance to internal migrants to maximize the coverage and accesibility-Ireedui hugjliin khureelen NGO</t>
  </si>
  <si>
    <t>Ireedui khugjliin khureelen kholboo</t>
  </si>
  <si>
    <t xml:space="preserve"> Support an increased number of local NGOs to provide assistance to internal migrants to maximize the coverage and accesibilit - Mongoliin Ulaan Zagalmai Niigemleg UHB-Dornod aimgiin salbar</t>
  </si>
  <si>
    <t>Red Cross Branch in Dornod</t>
  </si>
  <si>
    <t xml:space="preserve"> Support an increased number of local NGOs to provide assistance to internal migrants to maximize the coverage and accesibilit - Oyunii Chadamj Khugjil NGO</t>
  </si>
  <si>
    <t>Oyunii chadamj khugjil NGO</t>
  </si>
  <si>
    <t xml:space="preserve"> Support an increased number of local NGOs to provide assistance to internal migrants to maximize the coverage and accesibilit-Ajilchdiin Hugjliin Negdsen Tuv NGO</t>
  </si>
  <si>
    <t>Ajilchdiin khugjliin negdsen tuv</t>
  </si>
  <si>
    <t xml:space="preserve"> 7ème tranche: 9ème rapport</t>
  </si>
  <si>
    <t xml:space="preserve"> 8ème tranche : 9th Narrative and Financial report ( Date : 31/12/2022)</t>
  </si>
  <si>
    <t>MD.0026</t>
  </si>
  <si>
    <t>Migration and Development Initiatives: Italian Voluntary Contribution 2020</t>
  </si>
  <si>
    <t xml:space="preserve"> A.MI.CO. Grant: Grant for an implementing partner's association to scale up/implement a co-development project in its country of affiliation</t>
  </si>
  <si>
    <t>U.A.B.T.</t>
  </si>
  <si>
    <t>Para Todos</t>
  </si>
  <si>
    <t>MP.0204</t>
  </si>
  <si>
    <t>Regional Humanitarian Response to Venezuelan Migrants, Refugees and Vulnerable Populations - Phase II</t>
  </si>
  <si>
    <t xml:space="preserve"> ACUERDO DE IMPLEMENTACIÓN DE PROYECTO entre la Organización Internacional para las Migraciones (OIM) y CHILDFUND INTERNATIONAL USA.  Núm. Ref. de la Oficina de la OIM: IP-2022-03 Código de Proyecto OIM: MP.0204</t>
  </si>
  <si>
    <t xml:space="preserve"> PR 4200275159  IP Contratación socio implementador CARITAS - Ferias de servicios  ACUERDO DE IMPLEMENTACIÓN DE PROYECTO entre la Organización Internacional para las Migraciones (OIM) y Pastoral Social Cáritas Ecuador (PSCE) relativo a Organización e impl</t>
  </si>
  <si>
    <t xml:space="preserve"> Empowering and Protecting Migrants and Refugees amidst a crisis: Integral Response to Venezuelan Migrants and Refugees through Fundación Scalabrini Bolivia (FUSB), member of the Scalabrini International Migration Network, in Bolivia</t>
  </si>
  <si>
    <t xml:space="preserve"> Shelter Manta, Manabí, Ecuador (SIMN)-Empowering and Protecting Migrants and Refugees PR-4200222010</t>
  </si>
  <si>
    <t xml:space="preserve"> SDC.2022.239 - ACUERDO DE IMPLEMENTACION DE PROYECTO RELATIVO A ATENCIÓN PUNTOS MOVILES PAGADERO EN EL PLAZO DE DIEZ (10) DÍAS LUEGO DE LA FIRMA DEL PRESENTE ACUERDO Y CUANDO LA OIM HAYA RECIBIDO LA SOLICITUD DE PAGO DE PARTE DEL ASOCIADO EN LA EJECUCIÓN</t>
  </si>
  <si>
    <t xml:space="preserve"> SDC.2022.253 - ACUERDO DE IMPLEMENTACION DE PROYECTO RESPUESTA REGIONAL HUMANITARIA A MIGRANTES, REFUGIADOS Y POBLACIONES VENEZOLANAS VULNERABLES PAGADERO EN EL PLAZO DE QUINCE (15) DÍAS LUEGO DE LA FIRMA DEL PRESENTE ACUERDO Y CUANDO LA OIM HAYA RECIBIDO</t>
  </si>
  <si>
    <t>MP.0308</t>
  </si>
  <si>
    <t>Introducing COVID-19 Rapid Tests in Mobile and Conflict Afflicted Population</t>
  </si>
  <si>
    <t xml:space="preserve"> Project Title: Introduction of COVID-19 Rapid Tests in Mobile and Conflict-Afflicted Populations in Northwest Syria</t>
  </si>
  <si>
    <t>Hand in Hand for Aid &amp; Development</t>
  </si>
  <si>
    <t>MP.0370</t>
  </si>
  <si>
    <t>Advancing the Global Health Security Agenda through Strengthening Capacities for Rapid Response to Humanitarian and Public Health Emergencies</t>
  </si>
  <si>
    <t xml:space="preserve"> IP FIDO Emergency WASH Response for drought - affected at East Bale zone ,Oromia region at a total  110,168.88 USD.</t>
  </si>
  <si>
    <t>Fayyaa Integrated Development Org.</t>
  </si>
  <si>
    <t xml:space="preserve"> Servicio de aplicación de encuesta Bioconductual Migrantes Venezolanos</t>
  </si>
  <si>
    <t>Socios en Salud Sucursal Perú</t>
  </si>
  <si>
    <t xml:space="preserve"> Event management/logistical support in implementation of activities under IOM Project – "Enhancing Health and Border Management in Kazakhstan, Kyrgyzstan, Tajikistan, and Uzbekistan to Respond to COVID-19 And Other Communicable Diseases”, in Kulob on 18</t>
  </si>
  <si>
    <t xml:space="preserve"> Event management/logistical support in implementation of activities under IOM Project – "Enhancing Health and Border Management in Kazakhstan, Kyrgyzstan, Tajikistan, and Uzbekistan to Respond to COVID-19 And Other Communicable Diseases", in Kulob on 18</t>
  </si>
  <si>
    <t xml:space="preserve"> PR#4200232321,4200232329, BAS &lt;(&gt;&amp;&lt;)&gt; TOR are attached</t>
  </si>
  <si>
    <t xml:space="preserve"> Sub-Recipient Agreement between IOM and WHO EMRO under the Global Fund MER project  LEG Code: JOR/UNIM/MM0230/2021 IRQ LBN SYR YEM IOM PR# : 4200199395 Global Fund Grant Name&lt;(&gt;&amp;&lt;)&gt; Number: QSF-Z-IOM-2765  Start Date: 1 January 2022 End Date  : 31 Decemb</t>
  </si>
  <si>
    <t>WORLD HEALTH ORGANIZATION - EMRO</t>
  </si>
  <si>
    <t xml:space="preserve"> Grant Reference Code: QSF-Z-IOM  Start Date: 01 Juanuary 2022 End Date:   31 December 2024  Activities: Technical activities - Case detection, Lab testing and Capacity building.  Contribution Amount: USD2,795,160.00  WHO Contact:  Dr. Akjemal Magtymova W</t>
  </si>
  <si>
    <t>WORLD HEALTH ORGANIZATION - SYRIA</t>
  </si>
  <si>
    <t xml:space="preserve"> Extend services by local CBO to KVPs ,refugees ,migrants and other vulnerable including the drop-in center,  HTS, collaboration with primary and secondary healthcare providers and STI investigations.</t>
  </si>
  <si>
    <t>FOREAMS OF CHANGE CENTER TO ENABLE</t>
  </si>
  <si>
    <t xml:space="preserve"> Make use of the findings of the HIV programme review to develop: a national strategic plan for the next three years (2021-2023), a costed operational plan for the NSP implementation and a national M&lt;(&gt;&amp;&lt;)&gt;E plan to monitor progress of the operational pla</t>
  </si>
  <si>
    <t>WHO Lebanon</t>
  </si>
  <si>
    <t xml:space="preserve"> Fund Transfer to IP Mukti Cox's Bazar PR#4200183652 Duration: January to December 2022 Program: MHD Requester: Md. Alamgir Miah</t>
  </si>
  <si>
    <t xml:space="preserve"> Fund Transfer to IP Bangla-German Sampreeti(BGS) PR#4200183644 Duration: January to December 2022 Program: MHD Requester: Md. Anamul</t>
  </si>
  <si>
    <t>MP.0530</t>
  </si>
  <si>
    <t>Enhancing Integrated National Capacity to Respond to COVID-19 in Burundi</t>
  </si>
  <si>
    <t>MP.0531</t>
  </si>
  <si>
    <t>Strengthening Public Health Measures on Points of Entry and Linked Quarantine Facilities in Myanmar During the COVID-19 Pandemic</t>
  </si>
  <si>
    <t xml:space="preserve"> Project Implementation for Strengthening Public Health Measures on Points of Entry and Linked Quarantine Facilities in Myanmar MP.0531.MM10.D3.02.003 MP.0531.MM10.D3.04.004 MP.0531.MM10.D3.14.007 YGN_PR_4200304957</t>
  </si>
  <si>
    <t>Good Shepherd Myanmar Foundation(GS</t>
  </si>
  <si>
    <t xml:space="preserve"> Project Implementation for Strengthening Public Health Measures on Points of Entry and Linked Quarantine Facilities in Myanmar  USD 39,000 shall be due within fifteen (15) calendar days after signing this Agreement</t>
  </si>
  <si>
    <t>Waingmaw Lisu Development Associati</t>
  </si>
  <si>
    <t xml:space="preserve"> To implement Strengthening Public Health Measures on Points MP.0531.MM10.D3.02.003 MP.0531.MM10.D3.04.007 MP.0531.MM10.D3.13.005 MP.0531.MM10.D3.14.007 YGN_PR_4200310179 Office Record</t>
  </si>
  <si>
    <t>CIDKP</t>
  </si>
  <si>
    <t xml:space="preserve"> For partner Mon Women’s Organization to implement Strengthening Public Health Measures on Points of Entry and Linked Quarantine MP.0531.MM10.D3.02.003 (100 %) YGN_PR_4200310827 Office Record</t>
  </si>
  <si>
    <t>Mon Women's Organization</t>
  </si>
  <si>
    <t xml:space="preserve"> Strengthening public health measures on points of entry and linked quarantine facilities in Myanmar during the covid-19 pandemic  1st installment : 50,000 USD shall be due within 15 calendar days after signing of the Agreement</t>
  </si>
  <si>
    <t>Kachin Women's Association Thailand</t>
  </si>
  <si>
    <t xml:space="preserve"> Strengthening Public Health Measures on Points of Entry and Linked Quarantine Facilities in Myanmar during the COVID-19 Pandemic Project</t>
  </si>
  <si>
    <t>MP.0555</t>
  </si>
  <si>
    <t>Switzerland’s Support to IOM Strategic Response and Recovery Plan 2021 for Improving Access to COVID-19 Vaccinations for Vulnerable Groups, and in Particular Vulnerable Migrants in Humanitarian Settings</t>
  </si>
  <si>
    <t xml:space="preserve"> Leg Approval Code: GZTCB/IMPL/ED119/2021</t>
  </si>
  <si>
    <t>MP.0556</t>
  </si>
  <si>
    <t>Supporting COVID-19 Response and Relief at the Country Level through Disbursement and Facilitation of Subgrants for Selected Diaspora Organizations</t>
  </si>
  <si>
    <t xml:space="preserve"> SUPPORTING COVID-19 RESPONSE AND RELIEF AT THE COUNTRY LEVEL THROUGH DISBURSEMENT AND FACILITATION OF SUB-GRANTS FOR SELECTED DIASPORA ORGANIZATIONS AS PER US10-PIA-22-005 FROM 01 AUGUST TO 31 DECEMBER 2022</t>
  </si>
  <si>
    <t>FEDERATION TUNISIENS CITOYEN 2 RIVE</t>
  </si>
  <si>
    <t xml:space="preserve"> SUPPORTING COVID-19 RESPONSE AND RELIEF AT THE COUNTRY LEVEL THROUGH DISBURSEMENT AND FACILITATION OF SUB-GRANTS FOR SELECTED DIASPORA ORGANIZATIONS AS PER US10-PIA-22-006 FROM 01 AUGUST TO 30 NOVEMBER 2022  CHANGE LINE 10 TO REFLECT THE TOTAL OF 1ST EXP</t>
  </si>
  <si>
    <t>GENESIS ENTREPRENEURSHIP TRUST</t>
  </si>
  <si>
    <t xml:space="preserve"> SUPPORTING COVID-19 RESPONSE AND RELIEF AT THE COUNTRY LEVEL THROUGH DISBURSEMENT AND FACILITATION OF SUB-GRANTS FOR SELECTED DIASPORA ORGANIZATIONS AS PER US10-PIA-22-008 FROM 01 AUGUST TO 31 DECEMBER 2022  TO REFLECT THE EXPENSES REPORT IN LINE 10 AND</t>
  </si>
  <si>
    <t>SYRIAN AMERICAN MEDIC SOCIETY FOUND</t>
  </si>
  <si>
    <t xml:space="preserve"> SUPPORTING COVID-19 RESPONSE AND RELIEF AT THE COUNTRY LEVEL THROUGH DISBURSEMENT AND FACILITATION OF SUB-GRANTS FOR SELECTED DIASPORA ORGANIZATIONS AS PER US10-PIA-22-009 FROM 01 AUGUST TO 31 DECEMBER 2022  CHANGE LINE 10 TO REFLECT THE TOTAL OF 1ST EXP</t>
  </si>
  <si>
    <t>SOCIETY ADVANC SCIENCE TECH ARAB WO</t>
  </si>
  <si>
    <t xml:space="preserve"> SUPPORTING COVID-19 RESPONSE AND RELIEF AT THE COUNTRY LEVEL THROUGH DISBURSEMENT AND FACILITATION OF SUB-GRANTS FOR SELECTED DIASPORA ORGANIZATIONS AS PER US10-PIA-22-010 FROM 01 AUGUST TO 31 DECEMBER 2022</t>
  </si>
  <si>
    <t>TUNISIAN AMERICAN ASSOCI YOUNG PROF</t>
  </si>
  <si>
    <t xml:space="preserve"> SUPPORTING COVID-19 RESPONSE AND RELIEF AT THE COUNTRY LEVEL THROUGH DISBURSEMENT AND FACILITATION OF SUB-GRANTS FOR SELECTED DIASPORA ORGANIZATIONS AS PER US10-PIA-22-007 FROM 01 AUGUST TO 31 DECEMBER 2022 NB: CHANGE LINE 10 TO REFLECT THE REPORT EXPENS</t>
  </si>
  <si>
    <t>ASSOCIAZIONE PONTES RICERCHE E INTE</t>
  </si>
  <si>
    <t xml:space="preserve"> SUPPORTING COVID-19 RESPONSE AND RELIEF AT THE COUNTRY LEVEL THROUGH DISBURSEMENT AND FACILITATION OF SUB-GRANTS FOR SELECTED DIASPORA ORGANIZATIONS AS PER US10-PIA-22-004 FROM 01 AUGUST TO 31 OCTOBER 2022  TO CHANGE THE LINES 10 AND 20 TO REFLECT THE 1S</t>
  </si>
  <si>
    <t>CITIZENS INITIATIVE</t>
  </si>
  <si>
    <t>MP.0560</t>
  </si>
  <si>
    <t>Emergency Assistance for Vulnerable Populations in Bolivar and Amazonas States, Venezuela</t>
  </si>
  <si>
    <t xml:space="preserve">  SDC.2022.062 CONVENIO BHA - VICARIATO APOSTÓLICO DE PUERTO AYACUCHO - AMAZONAS RELATIVO A "ASISTENCIA DE EMERGENCIA PARA POBLACIONES VULNERABLES EN EL ESTADOS AMAZONAS, VENEZUELA" CONVENIO REF. IOMVE/CONTR/2022/010</t>
  </si>
  <si>
    <t>VICARIATO APOSTÓLICO</t>
  </si>
  <si>
    <t>MP.0566</t>
  </si>
  <si>
    <t>Enhancing Public Health Capacity for the Safe Resumption of International Travel in Viet Nam</t>
  </si>
  <si>
    <t xml:space="preserve"> Organization of roundtable meeting in Hanoi - GOPFP</t>
  </si>
  <si>
    <t>Tong cuc Dan so KHH Gia dinh</t>
  </si>
  <si>
    <t>MP.0567</t>
  </si>
  <si>
    <t>Supporting the Royal Government of Cambodia in Health Compliant Border Response to Limit the Spread of COVID-19 Variants of Concern and Meet the Immediate Needs of Returning Migrant Workers from Abroad due to COVID-19 Pandemic</t>
  </si>
  <si>
    <t xml:space="preserve"> UNFPA - UN to UN agreement on support RGC in Health Compliance border reponse</t>
  </si>
  <si>
    <t>United Nations Population Fund</t>
  </si>
  <si>
    <t xml:space="preserve"> UNICEF - UN to UN agreement to support RGC in Health Compliance border response to Covid 19</t>
  </si>
  <si>
    <t xml:space="preserve"> Partnership Agreement - IOM and WHO  Supporting the Royal Government of Cambodia in health compliant border response to limit the spread of COVID-19 variants of concern and meet the immediate needs of returning migrant workers from abroad due to COVID-19</t>
  </si>
  <si>
    <t>World Health Organization</t>
  </si>
  <si>
    <t>MP.0572</t>
  </si>
  <si>
    <t>MHPSS and Information Support for Conflict-Affected Persons Fleeing Ukraine to Hungary, Moldova, and Romania</t>
  </si>
  <si>
    <t xml:space="preserve"> Decont No. 1, 16 May-14 July 2022 (salaries)</t>
  </si>
  <si>
    <t xml:space="preserve"> Counselors/Psychosocial Counselor</t>
  </si>
  <si>
    <t xml:space="preserve"> Decont No. 3, 12 Aug-15 Sept 2022, project MHPPS - F. Schottener</t>
  </si>
  <si>
    <t xml:space="preserve"> Decont no. 3, 12 Aug - 15 Sept 2022, project MHPPS - F Schottener</t>
  </si>
  <si>
    <t xml:space="preserve"> Decont No. 5, 15 Oct-03 Nov 2022, as part of the project "MHPPS and Support for Ukrainian Refugees" (Austria funds) - Fund. Schottener</t>
  </si>
  <si>
    <t xml:space="preserve"> Decont No. 6, 04 Nov-15 Nov 2022, as part of the project "MHPPS and Support for Ukrainian Refugees" (Austria funds) - Fund. Schottener</t>
  </si>
  <si>
    <t>MP.0575</t>
  </si>
  <si>
    <t>Active Surveillance of Travelers and Mobile Populations during the Ebola Virus Disease Outbreak in Equateur Province, the Democratic Republic of the Congo</t>
  </si>
  <si>
    <t xml:space="preserve"> Engagement Paternaire d'implementation CREC aux POC_MBANDAKA_25 Juillet au 25 Octobre 2022</t>
  </si>
  <si>
    <t>CROIX ROUGE RDC</t>
  </si>
  <si>
    <t>MS.0020</t>
  </si>
  <si>
    <t>Support for Strengthening Migration Management in Niger - Phase II</t>
  </si>
  <si>
    <t xml:space="preserve"> INS TRAINING TO QUANTITATIVE DATA PRODUCERS IN TAHOUA, TILLABERI, ET DOSSO.</t>
  </si>
  <si>
    <t>Advancing Sustainable Development for Nine Local Communities in the Region of Labé by Enhancing the Humanitarian-Development Nexus through the Human Security Approach</t>
  </si>
  <si>
    <t xml:space="preserve"> Advancing sustainable development for nine local communities in the region of Labé by enhancing the humanitarian-development nexus through the human security approach  Prestation de service de l'ONG VSF partenaire pour appui à la mise en œuvre de certain</t>
  </si>
  <si>
    <t>Strengthening Migration Management Capacities in Support of Government Reform Agenda in line with CEPA</t>
  </si>
  <si>
    <t xml:space="preserve"> Programmable amount, including direct cost for 2023</t>
  </si>
  <si>
    <t>NC.0041</t>
  </si>
  <si>
    <t>Implementing Global Policies on Environmental Migration and Disaster Displacement in West Africa</t>
  </si>
  <si>
    <t>NC.0046</t>
  </si>
  <si>
    <t>Sri Lanka: Understanding Migration, Environmental Degradation and Climate Change</t>
  </si>
  <si>
    <t xml:space="preserve"> PRF 4200164469 IP Agreement - Implementing Climate Resilient Livelihood Programme - MECC  Commence the activities on 25.04.2022 and fully and satisfactorily complete them by 24.02.2023.</t>
  </si>
  <si>
    <t>SAFE FOUNDATION</t>
  </si>
  <si>
    <t>NC.0057</t>
  </si>
  <si>
    <t>Addressing Drivers and Facilitating Safe, Orderly and Regular Migration in the Contexts of Disasters and Climate Change in the Intergovernment Authority for Development (IGAD) Region</t>
  </si>
  <si>
    <t>Implementing partner</t>
  </si>
  <si>
    <t>Lotus Kenya Action for Development Organization (LOKADO)</t>
  </si>
  <si>
    <t>NC.0095</t>
  </si>
  <si>
    <t>Strengthening Resilience Against Climate-Related Security Risks in Conflict-Prone Communities in Mindanao, Philippines</t>
  </si>
  <si>
    <t xml:space="preserve"> IOM’s receipt and approval of the interim report as described in Article 7, subject to IOM’s receipt of the request for payment and IOM’s verification of successful completion of the following Project activities: i. Submission of Inception report ii. Sub</t>
  </si>
  <si>
    <t>PB.0011</t>
  </si>
  <si>
    <t>Fund for the strengthening of the Integral System of Truth, Justice, Reparation and Non-Repetition (SIVJRNR)</t>
  </si>
  <si>
    <t xml:space="preserve"> CONVENIO VISP-211-006 12628832 AINI  TOTAL VALUE: COP 100.000.000 IOM CONTRIB: COP 100.000.000</t>
  </si>
  <si>
    <t>ASOCIACION MUJERES AINI</t>
  </si>
  <si>
    <t xml:space="preserve"> CONVENIO VISP-211-007 2022 12621024 PROYECTO COLOMBIA DIVERSA (IP)  TOTAL VALUE: COP 112.574.950 IOM CONTRIB: COP 100.000.000 PRO CONTRIB: COP 12.574.950</t>
  </si>
  <si>
    <t>PROYECTO COLOMBIA DIVERSA (IP)</t>
  </si>
  <si>
    <t xml:space="preserve"> CONVENIO VISP - 211 - 008 DE 2022 12623727 CORPORACION SOLIDARIDAD JURIDICA  TOTAL VALUE: COP 250.000.000 IOM CONTRIB: COP 250.000.000</t>
  </si>
  <si>
    <t>CORPORACION SOLIDARIDAD JURIDICA</t>
  </si>
  <si>
    <t>Consolidate Cross-Border Social Cohesion between Côte d’Ivoire and Guinea for a Better Understanding and Anticipation of Risks and the Strengthening of Trust and Collaboration between Local Actors</t>
  </si>
  <si>
    <t xml:space="preserve"> Organisation de quatre sessions (100 participants par session) de vulgarisation des textes relatifs à la transhumance et au déplacement du bétail en langues locales dans les deux pays à l’intention des autorités, membres des structures concernées par l’agri</t>
  </si>
  <si>
    <t>AJSPDD</t>
  </si>
  <si>
    <t>PB.0031</t>
  </si>
  <si>
    <t>Institutional and Community Strengthening for Peacebuilding and Stabilization in Colombia</t>
  </si>
  <si>
    <t xml:space="preserve"> CONVENIO RPR-0095-003 de 2022 FIP PB.0031 12605216 FUND. CENTRO DE INVES. Y EDUC. POPU  TOTAL VALUE: COP   997.540.560 IOM CONTRIB: COP   997.540.560</t>
  </si>
  <si>
    <t>FUND. CENTRO DE INVES. Y EDUC. POPU</t>
  </si>
  <si>
    <t xml:space="preserve"> Mapping of Health Sector service providers for referrals and ICRS database</t>
  </si>
  <si>
    <t>ASSOCIATION DEMTOU</t>
  </si>
  <si>
    <t xml:space="preserve"> IP transfers for vocational training and livelihoods activities for at least 160 persons in FN</t>
  </si>
  <si>
    <t xml:space="preserve"> IP transfers for vocational training and livelihoods activities for at least 160 persons</t>
  </si>
  <si>
    <t xml:space="preserve"> Implementing partner transfers for small impact projects and larger constructions or rehabilitations with cash for work within 15 COSA- SYDEL</t>
  </si>
  <si>
    <t xml:space="preserve"> Implementing partner transfers for small impact projects and larger constructions or rehabilitations with cash for work within 15 COSA</t>
  </si>
  <si>
    <t>Centre Appui Developpement Local</t>
  </si>
  <si>
    <t xml:space="preserve"> CONVENIO CM-356 FIP-001 DE 2022 12629121 EXTITUTO DE POLITICA ABIERTA  TOTAL VALUE: COP 555.255.000 IOM CONTRIB: COP 555.255.000</t>
  </si>
  <si>
    <t>EXTITUTO DE POLITICA ABIERTA</t>
  </si>
  <si>
    <t>PB.0058</t>
  </si>
  <si>
    <t>Contributing to the Mitigation of Conflict Over Natural Resources Between Farmer and Herder Communities in Adamawa State, Nigeria (COMITAS)</t>
  </si>
  <si>
    <t xml:space="preserve"> PRF NG10-22-4200223050 COMITAS Project Balance Instalment</t>
  </si>
  <si>
    <t>PB.0059</t>
  </si>
  <si>
    <t>Promoting Conflict Prevention, Social Cohesion and Community Resilience in Bangsamoro Autonomous Region in Muslim Mindanao (BARMM) in the Time of COVID-19</t>
  </si>
  <si>
    <t xml:space="preserve"> 1st tranche</t>
  </si>
  <si>
    <t xml:space="preserve"> 1st Tranche of the hiring &amp; payment of IP for conduct of interviews &amp; video production</t>
  </si>
  <si>
    <t>AUSSIE INTERNATIONAL PUBLIC</t>
  </si>
  <si>
    <t xml:space="preserve"> 1st Tranch of the financial support for the implementation of community peace initiative Of Lakas Kabataan-Maguindanao.</t>
  </si>
  <si>
    <t>Lakas Kabataan Maguindanao</t>
  </si>
  <si>
    <t xml:space="preserve"> 1st Tranch of the financial support for the implementation of community peace initiative Of Lakas Kabataan-Lanao del Sur.</t>
  </si>
  <si>
    <t>LAKAS KABATAAN NG LANAO</t>
  </si>
  <si>
    <t xml:space="preserve"> 1st Tranch of the financial support for the implementation of community peace initiative Of United Indigenous People Youth Organization.</t>
  </si>
  <si>
    <t>UNITED INDIGENOUS PEOPLES YOUTH ORG</t>
  </si>
  <si>
    <t xml:space="preserve"> 1st Tranch of the financial support for the implementation of community peace initiative Of Christian Youth Coalition.</t>
  </si>
  <si>
    <t>Christian Youth Coalition</t>
  </si>
  <si>
    <t xml:space="preserve"> 1st Tranch of the financial support for the implementation of community peace initiative Of Rajamuda Youth Organization.</t>
  </si>
  <si>
    <t>RAJAHMUDA YOUTH ORGANIZATION</t>
  </si>
  <si>
    <t xml:space="preserve"> 1st Tranch of the financial support for the implementation of community peace initiative Of MAGUIPYO.</t>
  </si>
  <si>
    <t>MAGUINDANAO UNIFIED INDIGENOUS PEOP</t>
  </si>
  <si>
    <t xml:space="preserve"> 1st Tranch of the financial support for the implementation of community peace initiative Of Young Centrists Union</t>
  </si>
  <si>
    <t>Young Centrists Union Datu Odin Sin</t>
  </si>
  <si>
    <t xml:space="preserve"> 1st Tranch of the financial support for the implementation of community peace initiative Of Coalition of Moro Youth Movements</t>
  </si>
  <si>
    <t>Coalition of Moro Youth Movement In</t>
  </si>
  <si>
    <t>PB.0060</t>
  </si>
  <si>
    <t>Conflict Management and Reinforcement of Agro-Pastoral Resilience at the Mauritania - Mali Border</t>
  </si>
  <si>
    <t xml:space="preserve"> Collecte de données de la transhumance</t>
  </si>
  <si>
    <t>PB.0061</t>
  </si>
  <si>
    <t>Gender Responsive Peacebuilding in Extractive Industries in Isabel Province, Solomon Islands</t>
  </si>
  <si>
    <t xml:space="preserve"> Implementing Partner  contract -Sitapuna</t>
  </si>
  <si>
    <t>Sitapuna Advocacy</t>
  </si>
  <si>
    <t xml:space="preserve"> Implementing Partner -IPCW -1st Interim Report</t>
  </si>
  <si>
    <t>Isabel Provincial Council of Women</t>
  </si>
  <si>
    <t>PB.0062</t>
  </si>
  <si>
    <t>Concerted Action by Young People (Women and Men) Community Leaders for the Strengthening of Social Cohesion and the Consolidation of Peace in Forest Guinea</t>
  </si>
  <si>
    <t xml:space="preserve"> Project d'Appui à la mise en place de 14 Groupements d’Intérêt Économiques (GIE) des Jeunes leaders communautaires favorisant ladiversité sociopolitique, religieuse et ethnique PR#4200177787 Pf: MOhamed Toure ( Condetto)</t>
  </si>
  <si>
    <t>ASSOCIATION TRAIT UNION DES JEUNES</t>
  </si>
  <si>
    <t xml:space="preserve"> Appui à la mise en place de 14 comités mixtes (femmes et hommes) en vue de l’identification de microprogrammes d’utilité communautaire » PR#4200206280 PF# Mohamed Condetto toure</t>
  </si>
  <si>
    <t>REGARD SOLIDAIRE (RESO)</t>
  </si>
  <si>
    <t xml:space="preserve"> Appui à la mise en place de 14 microprogrammes d’Intérêt communautaires favorisant la diversité sociopolitique, religieuse, ethnique ainsi que la consolidation de la paix en Guinée forestière] PR#4200203067 PF#Salifou , Condetto National project Officer</t>
  </si>
  <si>
    <t>PB.0063</t>
  </si>
  <si>
    <t>Strengthening Community Resilience and Recovery in Cameroon for the Humanitarian Development Peace Nexus</t>
  </si>
  <si>
    <t xml:space="preserve"> ALLOCATION DES PARTENAIRES D'IMPLEMENTATION : CAPROD</t>
  </si>
  <si>
    <t>CENTRE D'APPUI A L'AUTO PROMOTION</t>
  </si>
  <si>
    <t xml:space="preserve"> ALLOCATION POUR LES PARTENAIRES D'EXECUTION : ACDC Infrastructure Psychosocial support Final Report due date: 15 May 2022</t>
  </si>
  <si>
    <t>ACTION CITOYENNE POUR LE DEVELOPPEM</t>
  </si>
  <si>
    <t xml:space="preserve"> Allocation to Implementing partner for livelihood support- Mayo Sava Final report due dat: 15 May 2022</t>
  </si>
  <si>
    <t xml:space="preserve"> Allocation to Implementing partner for livelihood support- CARDEN</t>
  </si>
  <si>
    <t xml:space="preserve"> Implementing partner allocation for Social cohesion pillar - Infrastructure (EFA)</t>
  </si>
  <si>
    <t xml:space="preserve"> IP ALLOCATION (ACADIR) for: EWER activities and risk analysis</t>
  </si>
  <si>
    <t xml:space="preserve"> Implementing partner allocation for Livelihoods project (RESAEC)</t>
  </si>
  <si>
    <t>RESAEC</t>
  </si>
  <si>
    <t>PB.0068</t>
  </si>
  <si>
    <t>MOVEO - Youth in Action: Towards Diversity without Violence, Building Partnerships for Peacebuilding and Justice in El Salvador</t>
  </si>
  <si>
    <t xml:space="preserve"> Anticipo contra firma de contrato  PR 4200235783</t>
  </si>
  <si>
    <t>ASOCIACION COMUNICANDO Y CAPACITAND</t>
  </si>
  <si>
    <t>PB.0070</t>
  </si>
  <si>
    <t>Voices from the Territories - Developing New Authentic Narratives to Foster Greater Co-Responsibility in the Implementation of the Peace Agreement</t>
  </si>
  <si>
    <t xml:space="preserve"> CONVENIO CM-356- FIP-001 PB.0070 12628762 ONE EARTH FUTURE FOUNDATION  TOTAL VALUE: COP 1.277.600.000 IOM CONTRIB: COP 1.177.600.000 ONE CONTRIB: COP   100.000.000</t>
  </si>
  <si>
    <t>ONE EARTH FUTURE FOUNDATION INC</t>
  </si>
  <si>
    <t xml:space="preserve"> CONVENIO CM-356 FIP-002 PB.0070 PAYMENT 1 ITEM 1</t>
  </si>
  <si>
    <t xml:space="preserve"> ACUERDO DE IMPLEMENTACION CM.356 FIP-003 PB.0070 12627331 CORPORACION  COLOMBIANA RECREANDO I  TOTAL VALUE: COP   480.000.000 IOM CONTRIB: COP   480.000.000</t>
  </si>
  <si>
    <t xml:space="preserve"> PR No: 4200300409</t>
  </si>
  <si>
    <t>PB.0083</t>
  </si>
  <si>
    <t xml:space="preserve"> ACCORD DE SERVICE AVEC RBM SUIVI DE TANSHUMANCE-TTT, en CI et en Guinée  PR 4200226986 CONTRAT N° CON/MAI/2022/005</t>
  </si>
  <si>
    <t>PE.0005</t>
  </si>
  <si>
    <t>Community Resilience Activity - Federally Administered Tribal Areas (FATA)</t>
  </si>
  <si>
    <t xml:space="preserve"> NW009: Resilience Workshop for Marganlized Community Youth &lt;(&gt;&amp;&lt;)&gt; Elders in NW district   PR NO: 4200131060</t>
  </si>
  <si>
    <t>PEACE &amp; DEVELOPMENT ORGANIZATION (P</t>
  </si>
  <si>
    <t xml:space="preserve"> K012: Resilience Workshop For Marginalized Youth &lt;(&gt;&amp;&lt;)&gt; Elders In Kurram District by Peace &lt;(&gt;&amp;&lt;)&gt; Development Organization (PADO)  PR No: 4200188583</t>
  </si>
  <si>
    <t xml:space="preserve"> KB015:Community Resilience Workshop Support in Khyber Bara Newly Merged Tribal District.   PR No: 4200153113</t>
  </si>
  <si>
    <t>Individualland Trust</t>
  </si>
  <si>
    <t xml:space="preserve"> O001: Community Resilience Workshop Support in Orakzai Newly Merged Tribal District   PR No: 4200155605</t>
  </si>
  <si>
    <t xml:space="preserve"> NW006 and NW016 : Implementation partner award against Community Social Cohesion and Social Action Project Activities in North Waziristan Newly Merged Tribal District”   PR No: 4200116002 and 4200118456 PR No. 4200293718 &lt;(&gt;&amp;&lt;)&gt; 4200293711 (Additional)</t>
  </si>
  <si>
    <t>TAMEER-E-KHALAQ FOUNDATION (TKF)</t>
  </si>
  <si>
    <t xml:space="preserve"> K015 and K016 : Implementation partner payment against "Community Social Cohesion and Social Action Project Activities in Kurram Newly Merged Tribal District”   PR No: 4200115997 and 4200121031 Pr No: 4200293752 and 4200293761</t>
  </si>
  <si>
    <t>ISLAMIC RELIEF PAKISTAN</t>
  </si>
  <si>
    <t xml:space="preserve"> R027: Harnessing the Youth for Peace in the Universities of Khyber Pakhtunkhwa.   PR No: 4200239526</t>
  </si>
  <si>
    <t>Higher Education Regulatory Authori</t>
  </si>
  <si>
    <t xml:space="preserve"> R028: Supporting Rural Livelihood for Sustainable Development in Khyber &lt;(&gt;&amp;&lt;)&gt; Orakzai with Implementation Partner Hujra Village Support Organization.   PR No: 4200241909</t>
  </si>
  <si>
    <t>HUJRA VILLAGE SUPPORT ORGANIZATION</t>
  </si>
  <si>
    <t xml:space="preserve"> Kb013: Media Services  PR No. 4200253653</t>
  </si>
  <si>
    <t>No Limit Communication (SMC-PVT) Lt</t>
  </si>
  <si>
    <t xml:space="preserve"> KB043: Community Social Cohesion Programming in Khyber District with IP-IRCRA   PR No: 4200272247</t>
  </si>
  <si>
    <t>International Research Council for</t>
  </si>
  <si>
    <t xml:space="preserve"> O041: Enhancing Economic Capacity of Former TDP’s (Ali Khel &lt;(&gt;&amp;&lt;)&gt; Mullah Khel) In Upper Orakzai (New Communities)   PR No: 4200306748</t>
  </si>
  <si>
    <t xml:space="preserve"> O042: Enhancing Economic Capacity of Former TDP’s (Ali Khel &lt;(&gt;&amp;&lt;)&gt; Mullah Khel) In Upper Orakzai (Existing Communities)   Pr No: 4200307210</t>
  </si>
  <si>
    <t xml:space="preserve"> KB048: Enhancing Economic Capacity of Former TDP’s In Tirah Valley (New Communities)   PR No: 4200311689</t>
  </si>
  <si>
    <t xml:space="preserve"> KB049: Enhancing Economic Capacity of Former TDP’s In Tirah Valley, Khyber District (Existing Communities)   PR No: 4200313488</t>
  </si>
  <si>
    <t xml:space="preserve"> R027: Second instalment in the amount of PKR 4,604,454 (Four Million Six Hundred Four Thousand Four Hundred Fifty-Four Pakistani Rupees Only) shall be due within fifteen (15) calendar days of IOM’s receipt and approval of the 2nd interim report as descri</t>
  </si>
  <si>
    <t xml:space="preserve"> PR#4200334529 Large grant to a (I)NGO in Mosul working on PVE</t>
  </si>
  <si>
    <t>Al-Mesalla Organization</t>
  </si>
  <si>
    <t xml:space="preserve"> Omladinski resursni centar Tuzla  Project Implementation Agreement signed with ORC Tuzla on Digital CATvism for the implementatuon period from 1 February until 30 June 2022  Ref.67-22-AD-BA10-NP  *PO modified after signed NCE Am ref 315-22-AD-BA10-NP</t>
  </si>
  <si>
    <t>Omladinski resursni centar Tuzla</t>
  </si>
  <si>
    <t xml:space="preserve"> Small grants - Bolster local activism and leadership for positive citizen engagement in Central Bosnia. Contract ref no.- 61-22-AD-BA10-NP</t>
  </si>
  <si>
    <t xml:space="preserve"> Small grants - Bolster local activism and leadership for positive citizen engagement in Zenica area. Contract ref no.- 60-22-AD-BA10-NP</t>
  </si>
  <si>
    <t>Reaktiviraj-Omladinsko udruzenje</t>
  </si>
  <si>
    <t xml:space="preserve"> Small grants - Bolster local activism and leadership for positive citizen engagement in FBIH with youth councils. Contract ref no.- 62-22-AD-BA10-NP  1 Amendment signed 314-22-AD-BA10-NP extended until 10 July 2022</t>
  </si>
  <si>
    <t xml:space="preserve"> Small grants - Bolster local activism and leadership for positive citizen engagement in Birac area. Contract ref no.- 63-22-AD-BA10-NP</t>
  </si>
  <si>
    <t>Udruzenje Forum Zena Bratunac</t>
  </si>
  <si>
    <t xml:space="preserve"> Small grants - Bolster local activism and leadership for positive citizen engagement in Prnjavor area. Contract ref no.- 72-22-AD-BA10-NP</t>
  </si>
  <si>
    <t>Omladinski centar Prnjavor</t>
  </si>
  <si>
    <t xml:space="preserve"> Udruženje Vije#e/Savjet mladih Br#ko distrikta Bosne i Hercegovine   Project Implementation Agreement signed with Udruženje Vije#e/Savjet mladih Br#ko distrikta Bosne i Hercegovine for the period 1 February 2022 to 30 June 2022  Ref.81-22-AV-BA10-NP  1 A</t>
  </si>
  <si>
    <t xml:space="preserve"> Omladinski savjet Republike Srpske  Project implementation agreement signed with Omladinski savjet Republike Srpske for the period 11 February 2022 until 30 June 2022.  Ref. 79-22-AD-BA10-NP  Po modified as per 1 Amendment signed ref.297-22-AD-BA10-NP ex</t>
  </si>
  <si>
    <t>Omladinski savjet Republike Srpske</t>
  </si>
  <si>
    <t xml:space="preserve"> Vijece mladih Unsko-sanskog kantona  Project Implementation Agreement signed with Vijece mladih Unsko-sanskog kantona for implementation of the activities in the period 1 February 2022 until 30 June 2022  Ref.78-22-AV-BA10-NP  1 Amendment signed 310-22-A</t>
  </si>
  <si>
    <t>Vijece mladih Unsko-sanskog kantona</t>
  </si>
  <si>
    <t xml:space="preserve"> UDRUZENJE RUSAG-The first instalment in the amount of 7,000.00 BAM (Seven Thousand Bosnian Convertible Marks) shall be due within fifteen (15) calendar days after signature of this Agreement and upon IOM’s receipt of the Implementing Partner’s payment req</t>
  </si>
  <si>
    <t>Udruzenje Gradjana Rusag Prijedor</t>
  </si>
  <si>
    <t xml:space="preserve"> Project Implementation Agreement signed with Vijece Mladih Bosanski Petrovac on The Youth Decide for the period 01 April until 30 JUNE 2022</t>
  </si>
  <si>
    <t xml:space="preserve"> Small grants - Bolster local activism and leadership for positive citizen engagement - Political literacy education program in Bosnia and Herzegovina</t>
  </si>
  <si>
    <t>Udruzenje za razvoj medija</t>
  </si>
  <si>
    <t xml:space="preserve"> PR#4200311438</t>
  </si>
  <si>
    <t xml:space="preserve"> PR#4200311438 Grants for Wasl Civil Society Fund (Mosul + Tel Afar)</t>
  </si>
  <si>
    <t xml:space="preserve"> PR#4200311483 Grants for Wasl Civil Society Fund (Mosul + Tel Afar)</t>
  </si>
  <si>
    <t xml:space="preserve"> PR#4200311447 Grants for Wasl Civil Society Fund (Women-led initiatives)</t>
  </si>
  <si>
    <t>Soqya Foundation for Relief and</t>
  </si>
  <si>
    <t>Al Taqwa Association</t>
  </si>
  <si>
    <t>PR.0245</t>
  </si>
  <si>
    <t>Supporting the Government of Ghana in Mainstreaming Migration in the National Census</t>
  </si>
  <si>
    <t xml:space="preserve"> SUPPORT TO GHANA STATISTICAL SERVICE TO DRAFT MIGRATION THEMATIC REPORT</t>
  </si>
  <si>
    <t>Ghana Statistical Service</t>
  </si>
  <si>
    <t>PR.0257</t>
  </si>
  <si>
    <t>Chad Migration Profile: Enhanced Data to Inform Decision-Making</t>
  </si>
  <si>
    <t xml:space="preserve"> Support for the development of migration data SOPs second installment of INSEED 50%</t>
  </si>
  <si>
    <t>PX.0084</t>
  </si>
  <si>
    <t>Strengthening the Resilience of Conflict-Affected Communities in Kachin and Northern Shan States Through Increased Safe and Rewarding Migration (SAFE)</t>
  </si>
  <si>
    <t xml:space="preserve"> 11th installment to Partner Jan-Mar'22 IP Salaries</t>
  </si>
  <si>
    <t>Metta Development Foundation</t>
  </si>
  <si>
    <t xml:space="preserve"> EPR : 4200298692 WBS : PX.0084.MM10.N1.03.001 (100.00 %) grant for implementing partner (SAFE project) with Metta Development Foundation Requester : Ms Sandar Min</t>
  </si>
  <si>
    <t xml:space="preserve"> Estimation-FOO-ENAS expenses-JUNE 2022 .</t>
  </si>
  <si>
    <t>PX.0118</t>
  </si>
  <si>
    <t>Promotion of Migrant Women’s Social Inclusion in Public Policies in Central America and the Dominican Republic: Prevention of Gender-Based Violence</t>
  </si>
  <si>
    <t xml:space="preserve"> FIRST PAYMENT TO AGREEMENT</t>
  </si>
  <si>
    <t xml:space="preserve"> 1 PAGO SEGUN ACUERDO</t>
  </si>
  <si>
    <t>Foro de Presidentes de Poderes Legi</t>
  </si>
  <si>
    <t xml:space="preserve"> 1° Pago a la firma del acuerdo.</t>
  </si>
  <si>
    <t>ASOCIACION AGAPE DE EL SALVADOR</t>
  </si>
  <si>
    <t xml:space="preserve"> Tercer pago según acuerdo</t>
  </si>
  <si>
    <t>PX.0122</t>
  </si>
  <si>
    <t>Safeguarding Children at Greek Border Points - MERIMNA</t>
  </si>
  <si>
    <t xml:space="preserve"> IP for the implementation of the project "Merimna-Safeguarding children at Greek Border Points"</t>
  </si>
  <si>
    <t>PX.0125</t>
  </si>
  <si>
    <t>Enhancing Migrant’s Rights and Good Governance in Armenia and Georgia - EMERGE</t>
  </si>
  <si>
    <t xml:space="preserve"> CUMULATIVE EXPENDITURES REPORTED AS PER 1ST INTERIM FINANCIAL REPORT</t>
  </si>
  <si>
    <t>Eurasia Partnership Foundation</t>
  </si>
  <si>
    <t xml:space="preserve"> Comulative expenditure as per 1st certified interim financial report.</t>
  </si>
  <si>
    <t>MISSION ARMENIA CHARITABLE NGO</t>
  </si>
  <si>
    <t>PX.0126</t>
  </si>
  <si>
    <t>Strengthening the Protection of Victims of Trafficking and Vulnerable Migrants in IDP Camps in Myanmar</t>
  </si>
  <si>
    <t xml:space="preserve"> The Provision of Direct Assistance and Reintegration Assistance for Victims of Trafficking and Vulnerable Migrants In Myanmar WBS : PX.0126.MM10.D3.20.007 MKR_PR_4200215082</t>
  </si>
  <si>
    <t>PX.0134</t>
  </si>
  <si>
    <t>Strengthening Mongolia’s Efforts to Prevent and Respond to Human Trafficking</t>
  </si>
  <si>
    <t xml:space="preserve"> IPA for School debate project to raise awareness on human trafficking among Mongolia’s high school students and their teachers</t>
  </si>
  <si>
    <t>KARL Popper Debate Association NGO</t>
  </si>
  <si>
    <t>PX.0156</t>
  </si>
  <si>
    <t>Supporting Lesotho in TIP Prevention and Protection</t>
  </si>
  <si>
    <t xml:space="preserve"> Trafficking in Persons (TIP) awareness interventions for out-of-school youth, school-going youth, church and traditional leaders in Lesotho</t>
  </si>
  <si>
    <t xml:space="preserve"> Trafficking in Persons (TIP) awareness interventions (targeting migrants, potential labour migrants and other vulnerable communities</t>
  </si>
  <si>
    <t>PX.0158</t>
  </si>
  <si>
    <t>Global Action to Prevent and Address Trafficking in Persons and the Smuggling of Migrants in Asia and the Middle East (GLO.ACT Asia and the Middle East)</t>
  </si>
  <si>
    <t xml:space="preserve"> PR number: 4200194138</t>
  </si>
  <si>
    <t xml:space="preserve"> PR#4200233763 contract an Implementing Partner for Direct Assistance for Victims of Human Trafficking in Iraq</t>
  </si>
  <si>
    <t xml:space="preserve"> IOM Ref: BD22-73/DHK  LEG Advisory code: BGD/IMPL/PA0029/2022</t>
  </si>
  <si>
    <t xml:space="preserve"> IOM Ref: BD22-72/DHK</t>
  </si>
  <si>
    <t>ESDO</t>
  </si>
  <si>
    <t>PX.0163</t>
  </si>
  <si>
    <t>Building National and Local Capacity to Combat Trafficking in Person in the Lao People’s Democratic Republic</t>
  </si>
  <si>
    <t xml:space="preserve"> The first instalment of 50% of the Contribution in the amount of LAK 130,000,000 (One hundred thirty thousand million kip) shall be due within fifteen (15) calendar days after signature of this Agreement and upon IOM’s receipt of the Implementing Partner</t>
  </si>
  <si>
    <t>CAMKID</t>
  </si>
  <si>
    <t>PX.0184</t>
  </si>
  <si>
    <t>USAID/Democratic Republic of the Congo Funded Counter Trafficking in Persons Activity (C-TIP)</t>
  </si>
  <si>
    <t xml:space="preserve"> Implementing Partner - La prise en charge des victimes de la traite des personnes dans le territoire de Masisi   (a) Le premier versement de USD 9,782.1 (Neuf mille sept cent quatre- vingt-deux dollars américains et un centime), soit 30% du montant total</t>
  </si>
  <si>
    <t>ASSODIP-FTS</t>
  </si>
  <si>
    <t>PX.0188</t>
  </si>
  <si>
    <t>Addressing Rohingya Refugees and Other Migrant Protection Risks due to COVID-19 and Maritime and Land Movements in Indonesia, Malaysia and Thailand</t>
  </si>
  <si>
    <t xml:space="preserve"> Publication of online magazine - 1st instalment (45%)</t>
  </si>
  <si>
    <t>ARM KITE CONSULTANCY</t>
  </si>
  <si>
    <t xml:space="preserve"> Addressing Rohingya refugees and Other Migrant Protection Risks due to Covid-19 and maritime land movements in Indonesia, Malaysia and Thailand.</t>
  </si>
  <si>
    <t>PERSATUAN SEJARAH ANAK MUDA</t>
  </si>
  <si>
    <t xml:space="preserve"> Conduct youth workshop and produce e-book - 1st instalment (45%)</t>
  </si>
  <si>
    <t>PROJECT STAND UP</t>
  </si>
  <si>
    <t xml:space="preserve"> Conduct youth forum, language workshop, short video competition, short quiz and poster design competition - 1st instalment 45%- upon submission of interim report.</t>
  </si>
  <si>
    <t>ALIEN NO MORE</t>
  </si>
  <si>
    <t xml:space="preserve"> PIA AGREEMENT:YOUTH INITIATIVE-1ST INSTALLMENT (70%) Addressing Rohingya refugees and Other Migrant Protection Risks due to COVID-19 and maritime and land movements in Indonesia, Malaysia and Thailand</t>
  </si>
  <si>
    <t>KOLEJ UNIVERSITI SELATAN</t>
  </si>
  <si>
    <t>PX.0206</t>
  </si>
  <si>
    <t>Ship to Shore Rights South East Asia: Regional Programme on Labour Migration in the Fishing Sector</t>
  </si>
  <si>
    <t xml:space="preserve"> The first instalment in the amount of USD 10,000  shall be due within fifteen (15) calendar days after signature of this Agreement.</t>
  </si>
  <si>
    <t>YMCA</t>
  </si>
  <si>
    <t xml:space="preserve"> Project implementation agreement IOM-Yangon Kayin Baptist Women's Association</t>
  </si>
  <si>
    <t>PX.0214</t>
  </si>
  <si>
    <t>Frontline Training for Border Guards and Police in Border Areas of Viet Nam</t>
  </si>
  <si>
    <t xml:space="preserve"> Establishment of the Technical Advisory Group and Development of the Training Curriculum</t>
  </si>
  <si>
    <t>Cuc Phong chong Ma tuy</t>
  </si>
  <si>
    <t xml:space="preserve"> Organization of 12 three-day trainings for frontline border guards and police officers in border areas (30 pax/course)</t>
  </si>
  <si>
    <t xml:space="preserve"> Transfer of fund to DDCCP for activity implementation per Letter of Support 30 June 2022 - PX.0214</t>
  </si>
  <si>
    <t>PX.0228</t>
  </si>
  <si>
    <t>Empowerment of 'Families Left Behind' for Improved Migration Outcomes in Khatlon, Tajikistan</t>
  </si>
  <si>
    <t xml:space="preserve"> Provision of logistical support for organization of a round table dedicated to Navruz holiday in Dusti district of Khatlon District.  The Annex A (TOR) and Annex B is an integral part of this Agreement.</t>
  </si>
  <si>
    <t xml:space="preserve"> Event management/logistical support in implementation of activities under IOM Project – " Empowering of Families Left Behind for Improved Migration Outcomes in Khatlon, Tajikistan", in Dusti District on 14 May 2022  Reference Documents: PR No.: 420025712</t>
  </si>
  <si>
    <t xml:space="preserve"> Event management/logistical support in implementation of activities under IOM Project – " Empowering of Families Left Behind for Improved Migration Outcomes in Khatlon, Tajikistan", in Kulob on 15 May 2022  Reference Documents: PR No.: 4200257123 dated 2</t>
  </si>
  <si>
    <t xml:space="preserve"> Provision with event management services and logistical support on organizing four-days ToT on financial education for NGO partners of Khatlon District during 12-15 July 2022.  Reference: PRF # 4200257674 Service Agreement # 4200257674 dated 06 July 2022</t>
  </si>
  <si>
    <t xml:space="preserve"> Provision with logistical support on organizing a half-day event dedicated to "World Saving Day" in Kulob on 26 October 2022</t>
  </si>
  <si>
    <t xml:space="preserve"> Implementation of activities under IOM Project – "Empowering of Families Left Behind for Improved Migration Outcomes in Khatlon, Tajikistan"  Reference Documents: PR No.: 4200227923 dated 24 March 2022 Project Implementation Agreement No.: 4200227923 IP</t>
  </si>
  <si>
    <t>PX.0248</t>
  </si>
  <si>
    <t>With Youth – Enhanced Protection, Assisted Voluntary Return and Reintegration and Health Assistance for Children and Young Migrants in Situations of Vulnerability in Algeria</t>
  </si>
  <si>
    <t xml:space="preserve"> First payment for the purchase of the STD ( Sexual transmitted Disease) test, and outreach mission fees</t>
  </si>
  <si>
    <t>Association El Hayet</t>
  </si>
  <si>
    <t xml:space="preserve"> Year 2</t>
  </si>
  <si>
    <t xml:space="preserve"> SUPPORT TO INSEED FOR FLOW MONITORING AT ZOUARKE. GOURO AND OUNIANGA KEBIR APPUI A L'INSEED POUR LE SUIVI DES FLUX A ZOUARKE. GOURO ET OUNIANGA KEBIR PR:4200241923</t>
  </si>
  <si>
    <t xml:space="preserve"> Project Implementation Agreement between IOM &lt;(&gt;&amp;&lt;)&gt; SCOUTS</t>
  </si>
  <si>
    <t>WORLD ORGANIZATION OF THE SCOUT</t>
  </si>
  <si>
    <t xml:space="preserve"> Grant Transfer  PR# 4200166050 ;4200167639  WBS adjetsimnet  email request is attached  line 4,5 and 6 ameneded by Behailu N</t>
  </si>
  <si>
    <t>Mary Joy Development Association</t>
  </si>
  <si>
    <t xml:space="preserve">  Financement du premier round 2022 de la collecte de données du projet COMPASS avec l’INSTAT.</t>
  </si>
  <si>
    <t xml:space="preserve"> Financement du deuxième et dernier round 2022 de la collecte de données du projet COMPASS avec l’INSTAT.</t>
  </si>
  <si>
    <t xml:space="preserve"> Expenses (15 july – 31 octobre 2022 ) - AVFM - 1 st report</t>
  </si>
  <si>
    <t xml:space="preserve"> Building Resilience of Returning migrants and community members through Implementation of CBR  PR_4200343721</t>
  </si>
  <si>
    <t>GIRLS POWER INITIATIVE (GPI)</t>
  </si>
  <si>
    <t xml:space="preserve"> Building Resilience of Returning migrants and community members through Implementation of CBR  PR_4200343687</t>
  </si>
  <si>
    <t>PX.0275</t>
  </si>
  <si>
    <t>Tajikistan: Improved Prosecution of Trafficking in Persons and Victim Support Project</t>
  </si>
  <si>
    <t xml:space="preserve"> Implementation of grant activities under IOM Project Tajikistan: Improved Prosecution of Trafficking in Persons and Victim Support  Reference Documents: PR No.: 4200229819 dated 29 March 2022 and PR No.: 4200239206 dated 15 April 2022 (Additional) Projec</t>
  </si>
  <si>
    <t xml:space="preserve"> Implementation of grant activities under IOM Project Tajikistan: Improved Prosecution of Trafficking in Persons and Victim Support  Reference Documents: PR No.: 4200229819 dated 29 March 2022 and PR No.: 4200239206 dated 15 April 2022 (Additional)</t>
  </si>
  <si>
    <t xml:space="preserve"> Implementation of grant activities under IOM Project Tajikistan: Improved Prosecution of Trafficking in Persons and Victim Support  Reference Documents: PR No.: 4200237668 dated 13 April 2022 Project Implementation Agreement No.: 4200237668 IP dated 15 A</t>
  </si>
  <si>
    <t xml:space="preserve"> Implementation of grant activities under IOM Project Tajikistan: Improved Prosecution of Trafficking in Persons and Victim Support  Reference Documents: PR No.: 4200239528 dated 18 April 2022 Project Implementation Agreement No.: 4200239528 IP dated 19 A</t>
  </si>
  <si>
    <t xml:space="preserve"> Implementation of grant activities under IOM Project Tajikistan: Improved Prosecution of Trafficking in Persons and Victim Support  Reference Documents: PR No.: 4200236426 dated 11 April 2022 Project Implementation Agreement No.: 4200236426 IP dated 15 A</t>
  </si>
  <si>
    <t xml:space="preserve"> Implementation of grant activities under IOM Project Tajikistan: Improved Prosecution of Trafficking in Persons and Victim Support  Reference Documents: PR No.: 4200236473 dated 11 April 2022 Project Implementation Agreement No.: 4200236473 IP dated 15 A</t>
  </si>
  <si>
    <t xml:space="preserve"> Contracting NGO "Caravan of Hope" to conduct awareness raising activities in Dushanbe, Vahdat cities, and Tursunzoda district. Thedu ration of the contract is from 15 May to 14 September 2022.  Reference Documents: Pr No.: 42020250239 dated 10 May 2022 P</t>
  </si>
  <si>
    <t>PX.0276</t>
  </si>
  <si>
    <t>Strengthened Protection and Improved Human Rights Fulfilment for a More Efficient and Integrated Humanitarian Response to the Needs of Vulnerable Haitian Migrants and Displaced Persons</t>
  </si>
  <si>
    <t xml:space="preserve"> formerly IP transfers - UN agencies. The first payment after signing</t>
  </si>
  <si>
    <t>OFFICE OF THE UN HIGH COMMISSIONER</t>
  </si>
  <si>
    <t xml:space="preserve"> Medical consultations and/or treatment</t>
  </si>
  <si>
    <t>PX.0282</t>
  </si>
  <si>
    <t>Reducing Vulnerabilities Leading to Onward Movements among Vulnerable Migrants in Eastern Sudan</t>
  </si>
  <si>
    <t xml:space="preserve"> Service for: Partnership to support the rehabilitation and reintegration of Victims of Trafficking (VoT)and migrants in vulnerable situation under a project entitled " Reducing Vulnerabilities Leading to Onward Movements among Vulnerable Migrants in East</t>
  </si>
  <si>
    <t>Good Samaritan Association</t>
  </si>
  <si>
    <t>PX.0285</t>
  </si>
  <si>
    <t>Activate! Integrated Social Protection and Employment to Accelerate Progress for Young People in Montenegro</t>
  </si>
  <si>
    <t xml:space="preserve"> Project Implementation Agreement No: CO-ME10-003/22 on Counter-Trafficking Awareness Raising Campaign signed on 16 March 2022.</t>
  </si>
  <si>
    <t>Defendologija</t>
  </si>
  <si>
    <t>PX.0292</t>
  </si>
  <si>
    <t>Tackling Modern Slavery from Viet Nam: Enhancing Behaviour Change Communication and Assistance Services</t>
  </si>
  <si>
    <t xml:space="preserve"> Training of trainers on using BCC tools and social media</t>
  </si>
  <si>
    <t>Hoi lien hiep Phu nu tinh QB</t>
  </si>
  <si>
    <t xml:space="preserve"> Workshop to introduce the training programs in Quang Binh province</t>
  </si>
  <si>
    <t xml:space="preserve"> Deliverables of Activity 1</t>
  </si>
  <si>
    <t>TT Nghien cuu KD va Ho tro DN</t>
  </si>
  <si>
    <t>PX.0296</t>
  </si>
  <si>
    <t xml:space="preserve"> EPR : 4200253068 WBS : PX.0296.MM10.N1.03.001 (19%) PX.0296.MM10.N1.03.004 (11%) PX.0296.MM10.N1.07.003 (70%) Grants for CSOs working for counter-trafficking and provision of support services  Payment Term - The first instalment in the amount of USD 5,00</t>
  </si>
  <si>
    <t>Kyal Sin May Development Organizati</t>
  </si>
  <si>
    <t xml:space="preserve"> MEPROJECT IMPLEMENTATION AGREEMENT between the International Organization for Migration and Nay Wun Ni Community Development Organiz ation</t>
  </si>
  <si>
    <t>Nay Wun Ni Community Development Gr</t>
  </si>
  <si>
    <t xml:space="preserve"> PROJECT IMPLEMENTATION AGREEMENT between the International Organization for Migration and Swan Saung Shin Women Development Organization on Strengthening Village-level Network on Prevention of Human Trafficking and Provision of Support Services to Victim</t>
  </si>
  <si>
    <t>Swan Saung Shin Women Development A</t>
  </si>
  <si>
    <t xml:space="preserve"> Project implementation agreement between IOM and Seine Lei AyarRural Community Development Organization  5000 USD will be paid within 15 calender days from signing agreement</t>
  </si>
  <si>
    <t>Sein Lae Ayar Rural Development Ass</t>
  </si>
  <si>
    <t xml:space="preserve"> Project implementation agreement between IOM and Regional Development Organization  5000 USD will be paid within 15 calender days from signing agreement</t>
  </si>
  <si>
    <t>Regional Development Organization</t>
  </si>
  <si>
    <t xml:space="preserve"> Fund transfer for DSVP under PRM project</t>
  </si>
  <si>
    <t>DSEP</t>
  </si>
  <si>
    <t>PX.0299</t>
  </si>
  <si>
    <t xml:space="preserve">  ACCORD RELATIF A L’EXECUTION D’UN PROJET Entre L’Organisation 0internationale pour les migrations (OIM) Et L’ONG Africa Debout Sur Projet d’assistance légale des migrants résidents à Nouakchott et Nouadhibou pour leur accès aux cartes de s éjour et acte</t>
  </si>
  <si>
    <t>ONG Africa Debout</t>
  </si>
  <si>
    <t xml:space="preserve"> ANRPTS IP contract to improve access to documentation for migrants - PX0299 CONTRACT REF IOM Nouakchott/CONTNRH/MD/2022-02-17</t>
  </si>
  <si>
    <t>Agence Nationale Registre Pop (ANRP</t>
  </si>
  <si>
    <t xml:space="preserve"> W.A.1.1.9 : Support the General Directorate of Child Protection to organize vocational education trainings for 30 vulnerable child migrants and young VoTs returning to Togo</t>
  </si>
  <si>
    <t>ONG ESPACE FRATERNITE</t>
  </si>
  <si>
    <t xml:space="preserve"> W.A.1.5.3 : Support Togolese diaspora established in the main countries of destination (e.g. Canada, France, Germany, and otherEuropean countries) to provide vocational training and/or support for income-generating activities to vulnerable youth, incoord</t>
  </si>
  <si>
    <t>CERDI</t>
  </si>
  <si>
    <t xml:space="preserve"> W.A.1.2.2: In collaboration with media practitioners and government communication focal points, organize one innovative awareness-raising campaign delivered in French and selected local languages targeting vulnerable youth tempted to engage in irregular</t>
  </si>
  <si>
    <t>AFRIQUE IMMIGRATION CLANDESTINE ET</t>
  </si>
  <si>
    <t>PX.0304</t>
  </si>
  <si>
    <t>Combatting Modern Slavery in Mining Sites in North and South Kivu</t>
  </si>
  <si>
    <t xml:space="preserve"> PR4200192339: Implementation of a civil society due diligence mechanism to counter modern slavery in the mining sector in North and South Kivu  1. The first instalment in the amount of 20% or USD 90 777.60 2. The second instalment of in the amount of 40%</t>
  </si>
  <si>
    <t>HIVE</t>
  </si>
  <si>
    <t>PX.0311</t>
  </si>
  <si>
    <t>Enhancing the Protection of Migrants in West and Central Africa through Consolidated Migration Governance in Mali and Niger 2022</t>
  </si>
  <si>
    <t xml:space="preserve"> Demande de Budget pour les activités de la DNDS / PR 4200212020 / Unité DTM</t>
  </si>
  <si>
    <t>000000000500000125-IP transfers – National Gov Entities</t>
  </si>
  <si>
    <t xml:space="preserve"> SUPPORT COORDINATION ACROSS GOVERNMENT AUTHORITIES, BILATERAL LABOUR AGREEMENT. PRF#4200261266</t>
  </si>
  <si>
    <t>Ministere emploi travail Prote So</t>
  </si>
  <si>
    <t xml:space="preserve"> "Training workshop on migration data and policies with regional authorities in Niger MARADI/DOSSO AND TILLABERY  PRF/4200260958</t>
  </si>
  <si>
    <t>DIRECTION DES MIGRATIONS</t>
  </si>
  <si>
    <t xml:space="preserve"> PROJECT Strengthened Justice for Children in Viet Nam- AGREEMENT WITH UNICEF</t>
  </si>
  <si>
    <t xml:space="preserve"> Implementing Partner:Provision of Mental Health and Psychosocial Support to Survivors of Trafficking</t>
  </si>
  <si>
    <t xml:space="preserve"> Grant Support on "Protection of Vulnerable Migrants with Special Emphasis on Empowering Women in the Context of Migration in Central Asia" financially supported by the Ministry of Foreign Affairs of the Kingdom of Norway</t>
  </si>
  <si>
    <t>NGO KMPA</t>
  </si>
  <si>
    <t xml:space="preserve"> Implementation of activities under IOM Project - "Protection of vulnerable migrants with special emphasis on empowering womenin the context of migration in Central Asia. Provision of in-kind reintegration assistance and vocational training opportunities</t>
  </si>
  <si>
    <t xml:space="preserve"> Implementation of activities under IOM Project - "Protection of vulnerable migrants with special emphasis on empowering women in the context of migration in Central Asia. Provision of in-kind reintegration assistance and vocational training opportunities</t>
  </si>
  <si>
    <t xml:space="preserve"> Implementation of activities under IOM Project: Protection of vulnerable migratns with special emphasis on empowering women in the context of migration in Central Asia.  Referemce Documents: PR No.: 4200298729 dated 29 July 2022 Project Implementation Ag</t>
  </si>
  <si>
    <t xml:space="preserve"> Implementation of project activities under IOM Project: Protection of Vulnerable migrants with special emphaisis on empowering women in the Context of Migration in Central Asia.</t>
  </si>
  <si>
    <t xml:space="preserve"> Implementation of activities under IOM Project "Protection of vulnerable migrants with special emphasis on empowering women in the context of migration in Central Asia"   Reference: Implementation Agreement # 4200286424 dated 21 October 2022</t>
  </si>
  <si>
    <t xml:space="preserve"> Implementation of activities under IOM Project - "Protection of vulnerable migrants with special emphasis on empowering women in the context of the migration in Central Asia"  Reference: Implementation Agreement # 4200354969 dated 01 November 2022</t>
  </si>
  <si>
    <t xml:space="preserve"> Implementation of activities under IOM Project - "Protection of vulnerable migrants with special emphasis on empowering women in the context of the migration in Central Asia"  Reference: Implementation Agreement # 4200353917 dated 31 October 2022</t>
  </si>
  <si>
    <t xml:space="preserve"> Assistance in organizing a two-day training on November 23-24, 2022 in Khujand for 20 project grantees</t>
  </si>
  <si>
    <t xml:space="preserve"> Implementation of activities under IOM Project "Protection of Vulnerable Migrants with special emphasis on empowering women in the context of migration in Central Asia"  Reference: Implemenationa Agreement # 4200368978 IP</t>
  </si>
  <si>
    <t xml:space="preserve"> Support NGO partner AWS in Khujand city for providing reintegration assistance for small group women in Tajikistan</t>
  </si>
  <si>
    <t xml:space="preserve"> Implementation of activities under IOM Project - "Protection of vulnerable migrants with special emphasis on empowering women in the context of migration in Central Asia". Direct protection assistance to women in Tajikistan.  Reintegration  assistance fo</t>
  </si>
  <si>
    <t xml:space="preserve"> Reintegration assistance for small women group</t>
  </si>
  <si>
    <t xml:space="preserve"> Assurer une assistance de Protection essentielle pour les personnes en déplacement et renforcer les capacités nationales de gestion des catastrophes pour faire face aux menaces naturelles et d’origine humaine en Haiti</t>
  </si>
  <si>
    <t>FONDATION J'AIME HAITI</t>
  </si>
  <si>
    <t xml:space="preserve"> UN TO UN TRANSFER AGREEMENT</t>
  </si>
  <si>
    <t>PAN AMERICAN HEALTH ORGANIZATION</t>
  </si>
  <si>
    <t>PX.0329</t>
  </si>
  <si>
    <t>Strengthening Government and CSO Capacity to Combat TIP</t>
  </si>
  <si>
    <t xml:space="preserve"> Strengthening Government and CSO capacity to combat Trafficking in Persons and create greater Impact" (IMPACT)  (1) The first instalment (USD 80,000) to be made within fifteen (15) calendar days after signing the agreement and upon IOM’s receipt of partn</t>
  </si>
  <si>
    <t>SAVE THE CHILDREN</t>
  </si>
  <si>
    <t xml:space="preserve"> To create the PO of Sarvodaya for the project implementation period  (a) The first instalment in the amount of LKR 2,500,000 shall be due within fifteen (15) calendar days after signature of this Agreement and upon IOM’s receipt of the Implementing Partn</t>
  </si>
  <si>
    <t>LANKA JATHIKA SARVODAYA</t>
  </si>
  <si>
    <t xml:space="preserve"> PRF 4200266349 IP Agreemnt PXU Strengthening Government and CSO capacity to combat Trafficking in Persons and create greater impact" (IMPACT)  The 1P shall commence the activities on l July 2O22 and fully and satisfactorily complete them by 31 December 2</t>
  </si>
  <si>
    <t>FAMILY REHABILITATION CENTRE</t>
  </si>
  <si>
    <t xml:space="preserve"> PRF 4200266390 Strengthening Government and CSO capacityto combat Trafficking in Persons and create greater lmpact''(lMPACfl  The 1P shall commence the activities on l July 2O22 and fully and satisfactorily complete them by 31 December 2O24.</t>
  </si>
  <si>
    <t>ASSOCIATION OF MOBILIZING</t>
  </si>
  <si>
    <t xml:space="preserve"> The first instalment in the amount of LKR 140,000 (One hundred and forty thousand rupees) only per eligible case shall become due after IOM’s receipt and approval of the following and upon IOM’s verification of successful completion of the following acti</t>
  </si>
  <si>
    <t xml:space="preserve"> PRF 4200278782  IP Agreement PXU  Strengthening Government and CSO capacity to combat Trafficking in Persons and create greater Impact (IMPACT)  Commence on 1 July 2022 and complete by 31 December 2024</t>
  </si>
  <si>
    <t xml:space="preserve"> PRF 4200279928  IP Agreement PXU  Strenghening Government and CSO capacity to combat Trafficking in Persons and create greatel lmpact (IMPACT)  Commence 1 July 2022 and complete by 31 December 2O24</t>
  </si>
  <si>
    <t>ORGANIZATION OF ENVIRONMENT AND</t>
  </si>
  <si>
    <t xml:space="preserve"> Project Implementation of Strengthening Government and CSO capacity to combat Trafficking in Persons and create greater impact" (IMPACT)</t>
  </si>
  <si>
    <t>PX.0334</t>
  </si>
  <si>
    <t>Assistance to Vulnerable and Exposed Migrants in Niger - Phase II (AVENIR II)</t>
  </si>
  <si>
    <t xml:space="preserve"> Monthly Support Deployment Assistant to the Second Juvenile Judge's Office Month of January 2023</t>
  </si>
  <si>
    <t>PX.0335</t>
  </si>
  <si>
    <t>Research Innovation in Estimating the Prevalence of Human Trafficking in the Costa Rican Fishing Sector</t>
  </si>
  <si>
    <t xml:space="preserve"> Purchase Order for ASOCIACIÓN ALIANZA VENCR.  The contracting of ALIANZA VENCR is required for the service of receiving the economic incentives money provided by the JTIP project of IOM to transfer it to the bank accounts of two IOM consultants: Celin Gu</t>
  </si>
  <si>
    <t xml:space="preserve"> Purchase Order for Implementing Partner with Alianza VEN CR Is required for the service of receiving the economic incentives money provided by the JTIPproject of IOM to transfer it to bank accounts of two IOM consultants: Celin Guevara and Jazmin Vega.</t>
  </si>
  <si>
    <t xml:space="preserve"> IP Agreement between IOM and Caritas Cambodia on Strengthening survivor protection and services  LEG Advisory Code : KHM/IMPL/CC0096/2022</t>
  </si>
  <si>
    <t>CARITAS CAMBODIA</t>
  </si>
  <si>
    <t xml:space="preserve"> PROVISION OF REINTEGRATION PACKAGE FOR OCT-DEC 2022</t>
  </si>
  <si>
    <t>World Vision International Vietnam</t>
  </si>
  <si>
    <t xml:space="preserve"> Implementation of comprehensive response to protect victims of trafficking in human beings, exploitation or violence in Cherkasy and Dnipropetrovsk Oblast</t>
  </si>
  <si>
    <t>RE.0007</t>
  </si>
  <si>
    <t xml:space="preserve"> IP Transfer for the strengthen the capacity of RRS Staff for Processing Exit permit At a total ETB 389,428.56  This PO is for the First Instalement from 1st july 2022 - 31st December 2022 As per the agreement ETH/ADD/MARCH/1020/2022</t>
  </si>
  <si>
    <t xml:space="preserve"> RAS support salary adjustment for month of October 2022 ref PR 4200340938</t>
  </si>
  <si>
    <t>RE.0013</t>
  </si>
  <si>
    <t>RE.0424</t>
  </si>
  <si>
    <t>Resettlement Programme with the Government of Romania from Jordan, Lebanon and Turkey in 2021-2022 (STARRT IV) - Phase II</t>
  </si>
  <si>
    <t xml:space="preserve"> July 2022 Payroll, proof of payment for Barbatei Mara</t>
  </si>
  <si>
    <t xml:space="preserve"> August 2022 Payroll, proof of payment for Ilie Maria</t>
  </si>
  <si>
    <t xml:space="preserve"> September 2022 Payroll, proof of payment for Ilie Maria</t>
  </si>
  <si>
    <t xml:space="preserve"> October 2022 Payroll, proof of payment for Ilie Maria</t>
  </si>
  <si>
    <t xml:space="preserve"> PR_4200388835</t>
  </si>
  <si>
    <t xml:space="preserve"> PR_4200390471</t>
  </si>
  <si>
    <t>RE.0434</t>
  </si>
  <si>
    <t>Voluntary Relocation from Greece</t>
  </si>
  <si>
    <t xml:space="preserve"> UNICEF for the implementation of the project "Voluntary Relocation from Greece"</t>
  </si>
  <si>
    <t xml:space="preserve"> IP (UNHCR)AMENDMENT NO. 4 TO THE UN AGENCY TO UN AGENCY CONTRIBUTION AGREEMENT 01.04.2020-31.03.2022</t>
  </si>
  <si>
    <t>RE.0484</t>
  </si>
  <si>
    <t>Resettlement Programme with the Government of Romania from Jordan, Lebanon and Turkey in 2021-2022 (STARRT IV) - Phase I</t>
  </si>
  <si>
    <t xml:space="preserve"> December 2021 Payroll Ionelia Plesa</t>
  </si>
  <si>
    <t xml:space="preserve"> January 2022 Payroll Ionelia Plesa</t>
  </si>
  <si>
    <t xml:space="preserve"> February 2022 Payroll Ionelia Plesa</t>
  </si>
  <si>
    <t xml:space="preserve"> March 2022 Payroll Ionelia Plesa</t>
  </si>
  <si>
    <t xml:space="preserve"> April 2022 Payroll Ionelia Plesa</t>
  </si>
  <si>
    <t xml:space="preserve"> Mai 2022 Payroll Ionelia Plesa</t>
  </si>
  <si>
    <t xml:space="preserve"> June 2022 Payroll Ionelia Plesa</t>
  </si>
  <si>
    <t>RP.0109</t>
  </si>
  <si>
    <t>Joint Programme for Peace (JPP) in Sri Lanka</t>
  </si>
  <si>
    <t xml:space="preserve"> IP Agreement - Enhancing the Freedom of Religion and Belief in Sri Lanka (a) The first instalment in the amount of LKR 2,000,000  shall be due within fifteen (15) calendar days after signature of this Agreement and upon IOM’s receipt of the Implementing Partner’s</t>
  </si>
  <si>
    <t>SAPRI</t>
  </si>
  <si>
    <t xml:space="preserve"> IP Agreement - Strengthening Young People To Become Catalysts Advance Payment of LKR 2,000,000.00  upon signing the agreement. Second Tranche Payment of LKR 4,000,000.00 upon receipt of interim report</t>
  </si>
  <si>
    <t>THE BUTTERFLY PEACE GARDEN</t>
  </si>
  <si>
    <t xml:space="preserve"> PRF 4200199492 PROJECT IMPLEMENTATION AGREEMENT - SCR</t>
  </si>
  <si>
    <t>RP.0114</t>
  </si>
  <si>
    <t>Support the Territorialization of the Public Policy of Attention, Assistance and Comprehensive Reparation to the Victims of the Internal Armed Conflict, in the Framework of the NDP 2018-2022. Phase III</t>
  </si>
  <si>
    <t xml:space="preserve"> CONVENIO VISP-271-001 DE 2022 12627331 CORPORACION  COLOMBIANA RECREANDO I  TOTAL VALUE: COP 2.518.421.200 IOM CONTRIB: COP 1.863.821.200 + 364.000.000 + 250.000.000 COR CONTRIB: COP 40.600.000</t>
  </si>
  <si>
    <t>RR.0014</t>
  </si>
  <si>
    <t xml:space="preserve"> Reception and accomodation assistance to AVRR/VM #TR1022001525 from Turkey.</t>
  </si>
  <si>
    <t>Sezim</t>
  </si>
  <si>
    <t xml:space="preserve"> Mise en place d'equipe mobile de soutien psychosociale.  PR 4200237498</t>
  </si>
  <si>
    <t xml:space="preserve"> Mise en œuvre des activités de sensibilisation sous le SMP</t>
  </si>
  <si>
    <t>ASSOCIATION DES RAPATRIES ET LUTTE</t>
  </si>
  <si>
    <t xml:space="preserve"> Mise en oeuvre des activités de sensibilisation- SMP PROJECT</t>
  </si>
  <si>
    <t>OEMIT</t>
  </si>
  <si>
    <t xml:space="preserve"> Mise en oeuvre des activités de sensibilisation sous le Special Measure Project- Causeries sportives</t>
  </si>
  <si>
    <t xml:space="preserve"> TRAINING ON ECO FRIENDLY AGRICULTURE</t>
  </si>
  <si>
    <t>BOK AFRICA CONCERN</t>
  </si>
  <si>
    <t xml:space="preserve"> IMPLEMENTATION OF REINTEGRATION PROJECTS FOR RETURNING MIGRANTS UNDER THE INDIVIDUAL MEASURE FOR THE EU-IOM JOINT INITIATIVE IN SUB-SAHARAN AFRICA</t>
  </si>
  <si>
    <t>CHALLENGES GROUP GHANA</t>
  </si>
  <si>
    <t xml:space="preserve"> FRAIS D'EVALUATION DES BONNES PRATIQUES ET APPROCHES DE LA REINTEGRATION SOCIOECONOMIQUE DES MIGRANTS DE RETOUR DANS LES REGIONS DE GRAND CONAKRY-MAMOU et NZEREKORE DU 18 JUILLET au 16 SEPTEMBRE 2022; PR 4200229285- DEPARTEMENT SUIVI EVALUTION point foca</t>
  </si>
  <si>
    <t>STE SAEIF BUREAU D ETUDES SARL</t>
  </si>
  <si>
    <t xml:space="preserve"> ACCORD RELATIF A L’EXECUTION D’UN PROJET entre l’Organisation internationale pour les migrations (OIM) et la Croix-Rouge française (CRF) sur Amélioration de l’accès aux premiers secours et l’assistance directe médicale (santé et psychologique) pour la co</t>
  </si>
  <si>
    <t>CROIX ROUGE FRANCAISE</t>
  </si>
  <si>
    <t xml:space="preserve"> Implementation of Community based projects for the reintegration of nigerien returnees under SMP project from July 2022 to January 31, 2023.</t>
  </si>
  <si>
    <t>ONG CADEL</t>
  </si>
  <si>
    <t xml:space="preserve"> Implementation of Community based projects for the reintegration of nigerien returnees under SMP project. PRF#4200276915</t>
  </si>
  <si>
    <t xml:space="preserve"> Building resilience of returning migrants and community members through Implementation of CBR  PR_4200343465</t>
  </si>
  <si>
    <t xml:space="preserve"> Building Resilience of Returning migrants and community members through Implementation of CBR  PR_4200342924</t>
  </si>
  <si>
    <t>AMBASSADORS OF DIALOGUE CLIMATE</t>
  </si>
  <si>
    <t xml:space="preserve"> Building Resilience of Returning migrants and community members through Implementation of CBR  PR_4200343415</t>
  </si>
  <si>
    <t>BAYERO UNIVERSITY</t>
  </si>
  <si>
    <t xml:space="preserve"> Building Resilience of Returning migrants and Youth through Implementation of CBR, Edo State  PR_4200343667</t>
  </si>
  <si>
    <t>GENIUS HUB GLOBAL INITIATIVE</t>
  </si>
  <si>
    <t xml:space="preserve"> Building Resilience of Returning migrants and community members through Implementation of CBR  PR_4200343741</t>
  </si>
  <si>
    <t>NIGERIA OPPORTUNITIES</t>
  </si>
  <si>
    <t>RR.0035</t>
  </si>
  <si>
    <t>Bangladesh: Debt Mediation for Returnee Migrants</t>
  </si>
  <si>
    <t xml:space="preserve"> PR# 4300114348</t>
  </si>
  <si>
    <t xml:space="preserve"> Final Instalment - October 17th 2022</t>
  </si>
  <si>
    <t xml:space="preserve"> The third installment upon the provision of the payment request from Implementing partner and approval of interim reports showing reporting the: 1. Operation of the Migration Resource Center from Monday to Friday for a minimum of thirty (30) hours per week.</t>
  </si>
  <si>
    <t xml:space="preserve"> The second installment upon the provision of the payment request from Implementing partner and approval of interim reports showing reporting the: 1. Operation of the Migration Resource Center from Monday to Friday for a minimum of thirty (30) hours per week</t>
  </si>
  <si>
    <t xml:space="preserve"> Anticipo: Cronograma de trabajo detallado y la solicitud de pago de parte del Asociado en la ejecución.  PR 4200230103</t>
  </si>
  <si>
    <t>ASAPROSAR</t>
  </si>
  <si>
    <t xml:space="preserve"> Anticipo: Cronograma de trabajo detallado y la solicitud de pago de parte del Asociado en la ejecución 15 días después de la firma del acuerdo.  PR 4200230696</t>
  </si>
  <si>
    <t>U.S Committee For Refugees and Immi</t>
  </si>
  <si>
    <t xml:space="preserve"> Pago del 30% de los siguientes  productos aprobados y entregados:</t>
  </si>
  <si>
    <t>FUNDACION EDUCACION Y COOPERACION</t>
  </si>
  <si>
    <t xml:space="preserve"> Sub-contrato para iniciativa de formación técnico vocacional y emprendimientos en zona norte de SV</t>
  </si>
  <si>
    <t>ASOCIACION DE MUNICIPIOS CAYAGUANCA</t>
  </si>
  <si>
    <t xml:space="preserve"> Sub-contrato para iniciativa integral de empoderamiento económico de mujeres migrantes retornadas.</t>
  </si>
  <si>
    <t>Asociacion Voces Vitales El Salvado</t>
  </si>
  <si>
    <t xml:space="preserve"> Anticipo: Plan de trabajo detallado por cada actividad con cronograma. 15 días después de la firma del acuerdo.  PR 4200262693</t>
  </si>
  <si>
    <t xml:space="preserve"> Anticipo: Presentación de plan de trabajo, cronograma de actividades. 15 dias después de la firma del contrato.  PR-4200344105</t>
  </si>
  <si>
    <t xml:space="preserve"> "Design and implementation of an initiative to generate livelihoods for returned migrants". PR. 4200277946</t>
  </si>
  <si>
    <t>Camara de Industria de Guatemala</t>
  </si>
  <si>
    <t xml:space="preserve"> "Diseño e implementación de un programa de orientación e intermediación laboral para personas migrantes retornadas” PR. 4200279742</t>
  </si>
  <si>
    <t>ONG TE CONECTA</t>
  </si>
  <si>
    <t xml:space="preserve"> Project Implementation Agreement between and Fundespa - Contract B1</t>
  </si>
  <si>
    <t xml:space="preserve"> Economic Integration Project, Economic Empowerment of Women PR 4200217915</t>
  </si>
  <si>
    <t>Project for Reintegration Assistance to Potential and Returned Migrants Youth Focused on Training and Entrepreneurship in Eastern El Salvador</t>
  </si>
  <si>
    <t xml:space="preserve"> Pago segunda cuota, se cancelará  3 meses después de la firma de los  Acuerdos. Con productos entregables  que se derivan de lasiguiente manera: P3. Informe técnico trimestral de los programas formativos que incluya rendimientos  académicos, asistencias</t>
  </si>
  <si>
    <t>RR.0160</t>
  </si>
  <si>
    <t>Assistance to Ghanaian Returnees and Potential Migrants - Phase Two</t>
  </si>
  <si>
    <t xml:space="preserve"> Implementation of 5 CBR and 6 collective reintegration projects</t>
  </si>
  <si>
    <t>RR.0194</t>
  </si>
  <si>
    <t>Enhancing Migrant Community Stabilisation and Cohesion in Egypt, Morocco and Algeria and Countries of Return (CARE II - Egypt, FORAS II - Morocco, DARV - Algeria)</t>
  </si>
  <si>
    <t xml:space="preserve"> 7th installement_Asticude-FORAS expenses-OCT21-DEC21</t>
  </si>
  <si>
    <t>RR.0206</t>
  </si>
  <si>
    <t>Supporting the Socioeconomic Reintegration of Sri Lankan Migrant Workers Repatriated Due to the COVID-19 Outbreak</t>
  </si>
  <si>
    <t xml:space="preserve"> IOM office-specific Ref. No.: LK10/IN284/02/21 1st Amendment PROJECT IMPLEMENTATION AGREEMENT Between the International Organization for Migration and Organization of Environment and Children Rights Preservation (OECRP) on The Project for Supporting the</t>
  </si>
  <si>
    <t xml:space="preserve"> PRF 4200240097 PXU IP Agreement Duration 1st May 2021 to 31st January 2023 The Project for Supporting the Socio-economic Reintegration of Sri Lankan Migrant Workers Repatriated due to the COVID-19 Outbreak</t>
  </si>
  <si>
    <t xml:space="preserve"> PR 4200324537 As of 1st Amendment to the contract No.: LK10/IN284/01/21 signed on 16.08.2022 Duration: 01 May 2021 - 31 January 2023</t>
  </si>
  <si>
    <t>RR.0214</t>
  </si>
  <si>
    <t>Assisted Voluntary Return and Reintegration (AVRR) Programme in Romania 2020-2022</t>
  </si>
  <si>
    <t xml:space="preserve"> Payroll, proof of payment for Mutu Luiza - December 2021 (line 1.7)</t>
  </si>
  <si>
    <t xml:space="preserve"> Payroll, proof of payment for Mutu Luiza - January 2022 (Line 1.7)</t>
  </si>
  <si>
    <t xml:space="preserve"> Payroll, proof of payment for Mutu Luiza for February 2022 (line 1.7)</t>
  </si>
  <si>
    <t xml:space="preserve"> Payroll, proof of payment for Mutu Luiza - March 2022 (line 1.7)</t>
  </si>
  <si>
    <t xml:space="preserve"> Payroll, proof of payment for Mutu Luiza - April 2022 (line 1.7)</t>
  </si>
  <si>
    <t xml:space="preserve"> Payroll, proof of payment for Mutu Luiza - May 2022 (Line 1.7)</t>
  </si>
  <si>
    <t xml:space="preserve"> Payroll, proof of payment for Mutu Luiza - June 2022 (Line 1.7)</t>
  </si>
  <si>
    <t>RR.0225</t>
  </si>
  <si>
    <t>Emergency Assistance for Internal Return Migrants to Central Provinces in Viet Nam during COVID-19</t>
  </si>
  <si>
    <t xml:space="preserve"> First instalment for DOLISA Hue to implement the project activity</t>
  </si>
  <si>
    <t>DOLISA Hue</t>
  </si>
  <si>
    <t>RR.0232</t>
  </si>
  <si>
    <t>Return and Emigration Assistance from the Netherlands (REAN) 2022-2024</t>
  </si>
  <si>
    <t xml:space="preserve"> AVRR to Suriname 2022-2024 period July 2022 until June 2023</t>
  </si>
  <si>
    <t>Stichting Leed Verzachtende Thuiszo</t>
  </si>
  <si>
    <t>Suriname</t>
  </si>
  <si>
    <t xml:space="preserve"> ACUERDO DE IMPLEMENTACION CASA DEL MIGRANTE GT AVR REG OIM PR 4200285483</t>
  </si>
  <si>
    <t>MISIONEROS DE SAN CARLOS SCALABRINI</t>
  </si>
  <si>
    <t xml:space="preserve"> IMPLEMENTING PROJECT: RECEPTION OF MIGRANT POPULATION REQUESTING AVR IN TAPACHULA</t>
  </si>
  <si>
    <t>ALBERGUE DIOCESANO BELEN</t>
  </si>
  <si>
    <t>RR.0263</t>
  </si>
  <si>
    <t>RT.1329</t>
  </si>
  <si>
    <t>Reintegration and Development Assistance in Afghanistan</t>
  </si>
  <si>
    <t xml:space="preserve"> Procurement for - Community Based Activities (Social and Psychosocial Aspects of Sustainable Reintegration) of RADA Project in Nangarhar Province - (21 Community Second Batch). PRF#: AF20-0100 WBS#: RT.1329.AF10.83.03.121 GPSU Code: 2020/07/0715/CV  Amen</t>
  </si>
  <si>
    <t>HIGH AFGHANISTAN REHABILITATION</t>
  </si>
  <si>
    <t>RT.1343</t>
  </si>
  <si>
    <t>Bangladesh: Sustainable Reintegration and Improved Migration Governance</t>
  </si>
  <si>
    <t xml:space="preserve"> 5.1.1.2. Provide immediate assistance</t>
  </si>
  <si>
    <t>RT.1354</t>
  </si>
  <si>
    <t>Facility on Sustainable and Dignified Return and Reintegration in Support of the Khartoum Process</t>
  </si>
  <si>
    <t xml:space="preserve"> PO is created for internal MIGO/MIRO  PIA referance # ETH/ADD/JULY/1086/2022</t>
  </si>
  <si>
    <t>SN.0039</t>
  </si>
  <si>
    <t>Supply Chain Support to Humanitarian Partners Providing Assistance to Populations Affected by the Syrian Crisis in Northern Syria</t>
  </si>
  <si>
    <t>SN.0070</t>
  </si>
  <si>
    <t>Emergency Grant Aid for Humanitarian Assistance in Afghanistan and Neighboring Countries</t>
  </si>
  <si>
    <t>SN.0090</t>
  </si>
  <si>
    <t>Strengthening the Capacities of Shelters and Governmental Migratory Facilities in the Southern Border of Mexico</t>
  </si>
  <si>
    <t xml:space="preserve"> Implementation Agreement on infrastructure, water, sanitation and hygiene, to make improvements in spaces</t>
  </si>
  <si>
    <t>SN.0110</t>
  </si>
  <si>
    <t>Joint Implementation Program for Support of the Humanitarian Response Plan in Yemen 2020</t>
  </si>
  <si>
    <t>Together Foundation for Human Devel</t>
  </si>
  <si>
    <t>SN.0133</t>
  </si>
  <si>
    <t>Emergency Grant Aid in Response to the Volcanic Eruption in the Saint Vincent and the Grenadines</t>
  </si>
  <si>
    <t xml:space="preserve"> Emergency Shelter Rehabilitation: St. Vincent and the Grenadines</t>
  </si>
  <si>
    <t>Global Emergency Relief Recovery</t>
  </si>
  <si>
    <t>SN.0146</t>
  </si>
  <si>
    <t>Humanitarian Assistance in Shelter and Support to the Site Management for Vulnerable Populations Affected by Conflicts in Ituri and North Kivu, Democratic Republic of the Congo</t>
  </si>
  <si>
    <t xml:space="preserve"> Gestion light des sites en Ituri (Salama et Djaiba)  (a) Le premier versement de [USD] 13 .230 (Treize mille deux cent  trente Dollars) sera exigible dans un délai de quinze (15) jours  civils à partir de la signature du présent accord et la réception par  l’OIM</t>
  </si>
  <si>
    <t xml:space="preserve"> Transfer to IP (Danish Refugee Council) in three instalments, according to contract  (a) Le premier versement de USD 174,065 (cent soixante-quatorze mille  soixante-cinq dollars américains), soit 30% du montant total, sera  exigible dans un délai de quinze</t>
  </si>
  <si>
    <t>CONSEIL DANOIS POUR LES REFUGIES</t>
  </si>
  <si>
    <t>SN.0148</t>
  </si>
  <si>
    <t>Shelter and NFI Humanitarian Assistance for Displaced Populations in the Regions of Diffa, Maradi, and Tillabéry in Niger</t>
  </si>
  <si>
    <t xml:space="preserve"> DISTRIBUTION DE 737 ABRIS ET 695 BNA  PRF/4200226857</t>
  </si>
  <si>
    <t>SN.0149</t>
  </si>
  <si>
    <t>Winterization and Hygiene Support to Conflict Affected Populations in Luhansk NGCA</t>
  </si>
  <si>
    <t xml:space="preserve"> Our Reference: PR NO. (4200329797) UA1-2022-3057_IP services for distribution of items in Zaporizhzhia  Type of contract signed: Framework agreement  PO is for internal use  - financial tracking only (no signature required). Created after service is rend</t>
  </si>
  <si>
    <t xml:space="preserve"> Our Reference: PR NO. (4200324300) UA1-2022-3053_IP services for distribution of items_Kopychintsi Terponil Obl, Novovolynsk Volyn Obl  Type of contract signed: Framework agreement  PO is for internal use  - financial tracking only (no signature required</t>
  </si>
  <si>
    <t xml:space="preserve"> Our Reference: PR NO. (4200332380) UA1-2022-3058_IP services for distribution of items in Ternopilska Oblast  Type of contract signed: Framework agreement  PO is for internal use  - financial tracking only (no signature required).</t>
  </si>
  <si>
    <t xml:space="preserve"> Our Reference: PR NO. (4200346165) UA1-2022-3064_IP services for distribution of items in Dnipro and Poltava  Type of contract signed: Framework agreement  PO is for internal use  - financial tracking only (no signature required).</t>
  </si>
  <si>
    <t>SN.0151</t>
  </si>
  <si>
    <t>Shelter and Non-Food Items (NFI) Assistance to Populations Affected by the Northern Ethiopia Crisis</t>
  </si>
  <si>
    <t xml:space="preserve"> IP Transfer.. EHF Shelter repair kits for hawzen , Tigray region for 230 HH/1150 individual community members response at a total amount USD 64 ,008.  Reference;- PR-4200199436 PIA NO- ETH/ADD/FEB/989/2022.</t>
  </si>
  <si>
    <t>SN.0156</t>
  </si>
  <si>
    <t>Humanitarian Assistance on Shelter and Camp Coordination and Camp Management (CCCM) for Super Typhoon Rai Affected People</t>
  </si>
  <si>
    <t xml:space="preserve"> PR No.: 4200190252 Please refer to the attached Project Implementation Agreement between IOM and Catholic Relief Services on Shelter and NFI support to Typhoon Rai affected households in Dinagat Region</t>
  </si>
  <si>
    <t xml:space="preserve"> PR No.: 4200204439 IP CARE Philippines on Typhoon RAI Response in Siargao (CERF)  Please see attached signed Project Implementation Agreement</t>
  </si>
  <si>
    <t xml:space="preserve"> Prestation de service pour la mise en oeuvre des activites de DTM mobility tracking dans la Prefecture de l'OUHAM-PENDE. PR# 4200210759</t>
  </si>
  <si>
    <t xml:space="preserve"> Prestation de service pour la mise en oeuvre des activites de DTM mobility tracking dans la Prefecture de la OUAKA. PR#00210759</t>
  </si>
  <si>
    <t xml:space="preserve"> Prestation de service pour la mise en oeuvre des activites de DTM mobility tracking dans la Prefecture de le Haut-Mbomou. PR#4200210759</t>
  </si>
  <si>
    <t xml:space="preserve"> Prestation de service pour la mise en oeuvre des activites de DTM mobility tracking dans la Prefecture de la BASSE KOTTO. PR#4200210759</t>
  </si>
  <si>
    <t xml:space="preserve"> Prestation de service pour la mise en oeuvre des activites de DTM mobility tracking dans la Prefecture de Haut Mbomou. PR#4200210759</t>
  </si>
  <si>
    <t xml:space="preserve"> Prestation de service pour la mise en oeuvre des activites de DTM mobility tracking dans la Prefecture de MBOMOU. PR#00210759</t>
  </si>
  <si>
    <t xml:space="preserve"> PRESTATION DE SERVICE POUR LA MISE EN OEUVRE DES ACTIVITES DE DTM MOBILITY TRACKING DANS LA PREFECTURE DE BANGUI ET OMBELLA M'POKO. PR# 4200219841</t>
  </si>
  <si>
    <t xml:space="preserve"> contrat  IP pour le profilage des menages beneficiaires a nana bakassa ,bogila et ngaoundaye   PR# 4200252705</t>
  </si>
  <si>
    <t xml:space="preserve"> Finacement des activites de mobility trackin nana gribizi round 15 pr# 4200210759</t>
  </si>
  <si>
    <t xml:space="preserve"> transporting cost 806 ESKs from Sana'a WH to distribution points and IP WH</t>
  </si>
  <si>
    <t>Yemen General Union of Sociologists</t>
  </si>
  <si>
    <t xml:space="preserve"> Enhancing the Response Capacity of Humanitarian Actors in Sana'a through Prepositioning of Essential Relief Items in Sana'a.</t>
  </si>
  <si>
    <t xml:space="preserve"> IP cost for warehousing Service of SNFI items in Taiz</t>
  </si>
  <si>
    <t>SN.0160</t>
  </si>
  <si>
    <t>Emergency Shelter Assistance and Non-food Items for Internally Displaced Persons (IDPs) and Host Communities in the communes of Barsalogho and Bouroum in the in the Center-North Region</t>
  </si>
  <si>
    <t xml:space="preserve"> Contrat de partenariat entre l'OIM et l'ONG DEDI pour la mise en oeuvre d'activités en contruction des abris d'urgences et distribution des kits articles ménagers essentiels (AME) au profit des personnes déplacées internes (PDI) et communautés hôtes dans</t>
  </si>
  <si>
    <t>DEVELOP EQUITE DURABILITE ET INNOVA</t>
  </si>
  <si>
    <t>SN.0164</t>
  </si>
  <si>
    <t>Multi-Purpose Cash, Shelter and Non-food Items Emergency Response to the Conflict in Ukraine</t>
  </si>
  <si>
    <t>SN.0165</t>
  </si>
  <si>
    <t>Emergency Shelter and Non-Food Items (ESNFI) Assistance to Populations Affected by Crises in Oromia and Somali Regions of Ethiopia</t>
  </si>
  <si>
    <t xml:space="preserve"> SNFI0103 - IP EECMY NFI assistance to populations affected by the Inter Communal Conflict</t>
  </si>
  <si>
    <t>SN.0167</t>
  </si>
  <si>
    <t>Shelter and NFI Assistance to Affected Populations from Tropical Storm Ana in Malawi</t>
  </si>
  <si>
    <t>SN.0168</t>
  </si>
  <si>
    <t>Humanitarian Assistance in Ukraine and Neighboring Countries</t>
  </si>
  <si>
    <t xml:space="preserve"> IP agreement with Foundation Avalon - project to assist people with disabilities</t>
  </si>
  <si>
    <t>Avalon-Direct help for disabled</t>
  </si>
  <si>
    <t xml:space="preserve"> Our Reference: PR NO. (4200263973) UA1-2022-5206_Data collection and Field Ops Support_Monitoring of shelters in Dnipropetrovsk region  Type of contract signed: Service agreement  PO is for internal use  - financial tracking only (no signature required).</t>
  </si>
  <si>
    <t xml:space="preserve"> Our Reference: PR NO. (4200280039) UA1-2022-5206.1_Evaluation and monitoring of shelters in Dnipropetrovsk region_422 sites  Type of contract signed: Service agreement  PO is for internal use  - financial tracking only (no signature required). Created af</t>
  </si>
  <si>
    <t xml:space="preserve"> Our Reference: PR NO. (4200299792) UA1-2022-5207_CCCM_Payment for the Assessment_Ivano-Frankivsk Oblast  Type of contract signed: Service agreement  PO is for internal use  - financial tracking only (no signature required). Created after service is rende</t>
  </si>
  <si>
    <t xml:space="preserve"> IP services to distribute hygiene kits in Zaporizhzhia</t>
  </si>
  <si>
    <t xml:space="preserve"> UA1-2022-3049_IP Services_Ensuring comprehensive protection in Poltava Oblast_Implementation of project on counter human trafficking, exploitation and GBV</t>
  </si>
  <si>
    <t xml:space="preserve"> UA1-2022-3036.01_IP COI CF "Restore Ukraine" for Shelter interventions implemented through data collection services and field operations support in targeted CCs within the Kharkiv oblast.</t>
  </si>
  <si>
    <t>CO ICF RESTORE UKRAINE</t>
  </si>
  <si>
    <t xml:space="preserve"> Our Reference: PR NO. (4200332417) UA1-2022-3060_IP services for distribution of items in Chernihiv and Cherkasy Oblast  Type of contract signed: Framework agreement  PO is for internal use  - financial tracking only (no signature required). Created afte</t>
  </si>
  <si>
    <t xml:space="preserve"> IP Services for Procurement of Solid Fuel in multiple obl.</t>
  </si>
  <si>
    <t>SN.0176</t>
  </si>
  <si>
    <t>Humanitarian Assistance in Shelter and Site Management Support for Vulnerable Populations Affected by Cyclones Batsirai and Emnati</t>
  </si>
  <si>
    <t xml:space="preserve"> First instalment 1/2 : Humanitarian assistance in shelter and site management support for vulnerable populations affected by Cyclone Batsirai and Emnati</t>
  </si>
  <si>
    <t>CRS - CATHOLIC RELIEF SERVICES</t>
  </si>
  <si>
    <t>SN.0181</t>
  </si>
  <si>
    <t>Emergency Shelter and Non-food Items (ESNFI) Assistance to Populations Affected by Crises in Jara, North Wello, Amhara Regions of Ethiopia</t>
  </si>
  <si>
    <t xml:space="preserve"> PO created for MIGO/MIRO Purpose PIA referance - ETH/ADD/June/1057/2022</t>
  </si>
  <si>
    <t>SN.0182</t>
  </si>
  <si>
    <t>Shelter and Non-Food Item Humanitarian Assistance for Displaced Populations in Situation of Vulnerability in the Regions of Tahoua and Tillaberi in Niger</t>
  </si>
  <si>
    <t xml:space="preserve"> DISTRIBUTION DE 865 SHELTER ET 865 NFI AUX DEPLACES DES COMMUNES ET DEPARTEMENT DE TORODI ET REGION DE TILLABERY; PRF#4200292563</t>
  </si>
  <si>
    <t xml:space="preserve"> DISTRIBUTION DE 500 KIT NFI ET 500 SHELTERS A TILLIA, TASSARA ET BANGUI. PRF#4200292559</t>
  </si>
  <si>
    <t>SN.0189</t>
  </si>
  <si>
    <t>Humanitarian Shelter Assistance for Vulnerable Populations Affected by Conflict in Ituri and North Kivu, Democratic Republic of the Congo (DRC)</t>
  </si>
  <si>
    <t xml:space="preserve"> Transfer_Payment for implementing partner AIDES for shelter assistance in North Kivu province</t>
  </si>
  <si>
    <t xml:space="preserve"> Transfer_Payment for implementing partner ADSSE for shelter assistance in Ituri province</t>
  </si>
  <si>
    <t>ADSSE(ASS.POUR LE DEVELOPPEMENT SOC</t>
  </si>
  <si>
    <t>TC.0949</t>
  </si>
  <si>
    <t>Supporting the Government of Myanmar to Combat Migrant Smuggling through Improved Legislation, Operational Skills, Induction Training and Cross-Border Cooperation</t>
  </si>
  <si>
    <t xml:space="preserve"> 70% advance, 20% after training, 10% after receiving report</t>
  </si>
  <si>
    <t>Local Resource Center</t>
  </si>
  <si>
    <t>Khine Myae Saytanar Social Developm</t>
  </si>
  <si>
    <t xml:space="preserve"> 70% Advance, 20% after training and 10% after receiving report</t>
  </si>
  <si>
    <t>MYEO-Mon Youth Educator</t>
  </si>
  <si>
    <t>TC.1079</t>
  </si>
  <si>
    <t>Helping Belarus Address the Phenomenon of Increasing Numbers of Irregular Migrants</t>
  </si>
  <si>
    <t xml:space="preserve"> Legal counselling to detained migrants, translations, referral to IOM on AVRR programme</t>
  </si>
  <si>
    <t xml:space="preserve"> Grant to implementing partner for provision of direct assistance to migrants.</t>
  </si>
  <si>
    <t>TK.0013</t>
  </si>
  <si>
    <t>Empowering the South American Diaspora as Agents for Sustainable Development</t>
  </si>
  <si>
    <t>SEBRAE/MG</t>
  </si>
  <si>
    <t xml:space="preserve"> CONVENIO FGM -044-001 DE 2022  12601139 12604702 UNIVERSIDAD ICESI(IP)  TOTAL VALUE: COP 234.843.342 OIM CONTRIB: COP 191.334.000 + 32.259.342 SOC CONTRIB: COP 11.250.000</t>
  </si>
  <si>
    <t>UNIVERSIDAD ICESI</t>
  </si>
  <si>
    <t xml:space="preserve"> Implementation of the project "Draft the future! Towards a diaspora forum in Italy": I instalment due to the implementing partner</t>
  </si>
  <si>
    <t>TK.0025</t>
  </si>
  <si>
    <t>Strengthening the Institutional Offer for Colombians Abroad and Their Diasporic Communities, to Enhance Their Contribution to Sustainable Development</t>
  </si>
  <si>
    <t xml:space="preserve"> CONVENIO FGM-044-002 2022 12629082 CORPORACION LA GRAN COLOMBIA  TOTAL VALUE: COP 194.514.727 IOM CONTRIB: COP 150.000.000 PRO CONTRIB: COP 44.514.727</t>
  </si>
  <si>
    <t>CC</t>
  </si>
  <si>
    <t>DP</t>
  </si>
  <si>
    <t>DR</t>
  </si>
  <si>
    <t>DX</t>
  </si>
  <si>
    <t>EP</t>
  </si>
  <si>
    <t>MP</t>
  </si>
  <si>
    <t>RA</t>
  </si>
  <si>
    <t>SM</t>
  </si>
  <si>
    <t>SN</t>
  </si>
  <si>
    <t>Codes</t>
  </si>
  <si>
    <t>Humanitarian</t>
  </si>
  <si>
    <t>Yes</t>
  </si>
  <si>
    <t>Column K (contract per project) shows value of individual projects within the larger funding amount</t>
  </si>
  <si>
    <t>Column L (contract) shows the total value of the larger funding amount (multiple projects, or recipients)</t>
  </si>
  <si>
    <t>Organisation</t>
  </si>
  <si>
    <t>Country</t>
  </si>
  <si>
    <t>destination_orgtype</t>
  </si>
  <si>
    <t>Other: Unknown</t>
  </si>
  <si>
    <t>Governments: National</t>
  </si>
  <si>
    <t>Pooled Funds: Other UN</t>
  </si>
  <si>
    <t>NGOs: National</t>
  </si>
  <si>
    <t>NGOs: Local</t>
  </si>
  <si>
    <t>NGOs: International</t>
  </si>
  <si>
    <t>Multilateral: Other</t>
  </si>
  <si>
    <t>NGOs: Internationally Affiliated</t>
  </si>
  <si>
    <t>Pooled Funds: Country</t>
  </si>
  <si>
    <t>Private Organisations: Local/National</t>
  </si>
  <si>
    <t>Private Organisations: International</t>
  </si>
  <si>
    <t>Other: Multiple Organisations</t>
  </si>
  <si>
    <t>Other</t>
  </si>
  <si>
    <t>Multilateral: UN</t>
  </si>
  <si>
    <t>Red Cross: International</t>
  </si>
  <si>
    <t>Red Cross: National</t>
  </si>
  <si>
    <t>Governments: Local</t>
  </si>
  <si>
    <t>Pooled Funds: Regional</t>
  </si>
  <si>
    <t>Org type</t>
  </si>
  <si>
    <t xml:space="preserve"> </t>
  </si>
  <si>
    <t>NGOs: Internationally affiliated</t>
  </si>
  <si>
    <t>Unknown</t>
  </si>
  <si>
    <t>Private Organisations: National</t>
  </si>
  <si>
    <t>Other: National</t>
  </si>
  <si>
    <t>Other: Local</t>
  </si>
  <si>
    <t>Other: International</t>
  </si>
  <si>
    <t>Row Labels</t>
  </si>
  <si>
    <t>Grand Total</t>
  </si>
  <si>
    <t>Sum of Value of PO/Contract per Project (USD)</t>
  </si>
  <si>
    <t>Local and national actors</t>
  </si>
  <si>
    <t>International actors</t>
  </si>
  <si>
    <t>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</si>
</sst>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 #,##0_-;_-* &quot;-&quot;??_-;_-@_-"/>
  </numFmts>
  <fonts count="3" x14ac:knownFonts="1">
    <font>
      <sz val="11"/>
      <color theme="1"/>
      <name val="Aptos Narrow"/>
      <family val="2"/>
      <scheme val="minor"/>
    </font>
    <font>
      <sz val="8"/>
      <name val="Aptos Narrow"/>
      <family val="2"/>
      <scheme val="minor"/>
    </font>
    <font>
      <sz val="11"/>
      <color rgb="FF242424"/>
      <name val="Aptos"/>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4" fontId="0" fillId="0" borderId="0" xfId="0" applyNumberFormat="1"/>
    <xf numFmtId="3" fontId="0" fillId="0" borderId="0" xfId="0" applyNumberFormat="1"/>
    <xf numFmtId="0" fontId="2" fillId="0" borderId="0" xfId="0" applyFont="1" applyAlignment="1">
      <alignment horizontal="left" vertical="center" wrapText="1"/>
    </xf>
    <xf numFmtId="0" fontId="0" fillId="0" borderId="0" xfId="0" pivotButton="1"/>
    <xf numFmtId="0" fontId="0" fillId="0" borderId="0" xfId="0" applyAlignment="1">
      <alignment horizontal="left"/>
    </xf>
    <xf numFmtId="164" fontId="0" fillId="0" borderId="0" xfId="0" applyNumberFormat="1"/>
    <xf numFmtId="0" fontId="0" fillId="0" borderId="1" xfId="0" applyBorder="1" applyAlignment="1">
      <alignment horizontal="left"/>
    </xf>
    <xf numFmtId="164" fontId="0" fillId="0" borderId="1" xfId="0" applyNumberFormat="1" applyBorder="1"/>
  </cellXfs>
  <cellStyles count="1">
    <cellStyle name="Normal" xfId="0" builtinId="0"/>
  </cellStyles>
  <dxfs count="2">
    <dxf>
      <font>
        <color rgb="FF9C0006"/>
      </font>
      <fill>
        <patternFill>
          <bgColor rgb="FFFFC7CE"/>
        </patternFill>
      </fill>
    </dxf>
    <dxf>
      <numFmt numFmtId="164"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ke Pearson" refreshedDate="45989.364006828706" createdVersion="8" refreshedVersion="8" minRefreshableVersion="3" recordCount="2413" xr:uid="{A738D726-5952-4DED-94EF-CA5BCC5BB8A0}">
  <cacheSource type="worksheet">
    <worksheetSource ref="A1:M2414" sheet="Consolidated"/>
  </cacheSource>
  <cacheFields count="13">
    <cacheField name="Year and Quarter" numFmtId="0">
      <sharedItems containsMixedTypes="1" containsNumber="1" containsInteger="1" minValue="2022" maxValue="2022" count="9">
        <n v="2022"/>
        <s v="2023 Q4"/>
        <s v="2023 Q3"/>
        <s v="2023 Q2"/>
        <s v="2023 Q1"/>
        <s v="2024 Q4"/>
        <s v="2024 Q3"/>
        <s v="2024 Q2"/>
        <s v="2024 Q1"/>
      </sharedItems>
    </cacheField>
    <cacheField name="Project ID" numFmtId="0">
      <sharedItems/>
    </cacheField>
    <cacheField name="Project Title" numFmtId="0">
      <sharedItems/>
    </cacheField>
    <cacheField name="Project Type" numFmtId="0">
      <sharedItems containsBlank="1"/>
    </cacheField>
    <cacheField name="Purchasing Country" numFmtId="0">
      <sharedItems/>
    </cacheField>
    <cacheField name="Purchase Order or Contract Number" numFmtId="0">
      <sharedItems containsSemiMixedTypes="0" containsString="0" containsNumber="1" containsInteger="1" minValue="4500179864" maxValue="4600629315"/>
    </cacheField>
    <cacheField name="Title of the Purchase Order or Contract" numFmtId="0">
      <sharedItems containsBlank="1" longText="1"/>
    </cacheField>
    <cacheField name="Procurement, IP or GRE?" numFmtId="0">
      <sharedItems/>
    </cacheField>
    <cacheField name="Counterpart Name" numFmtId="0">
      <sharedItems/>
    </cacheField>
    <cacheField name="Counterpart Location" numFmtId="0">
      <sharedItems/>
    </cacheField>
    <cacheField name="Value of PO/Contract per Project (USD)" numFmtId="0">
      <sharedItems containsSemiMixedTypes="0" containsString="0" containsNumber="1" minValue="215" maxValue="6610135"/>
    </cacheField>
    <cacheField name="Humanitarian" numFmtId="0">
      <sharedItems count="1">
        <s v="Yes"/>
      </sharedItems>
    </cacheField>
    <cacheField name="Org type" numFmtId="0">
      <sharedItems count="15">
        <s v="NGOs: National"/>
        <s v="NGOs: International"/>
        <s v="Other: National"/>
        <s v="NGOs: Local"/>
        <s v="Red Cross: National"/>
        <s v="Other: Local"/>
        <s v="NGOs: Internationally affiliated"/>
        <s v="Multilateral: UN"/>
        <s v="Unknown"/>
        <s v="Governments: National"/>
        <s v="Private Organisations: Local/National"/>
        <s v="Governments: Local"/>
        <s v="Other: International"/>
        <s v="Multilateral: Other"/>
        <s v="Private Organisations: National"/>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13">
  <r>
    <x v="0"/>
    <s v="DP.2413"/>
    <s v="Support to Displaced Afghans in Pakistan, Iran, Central Asia, and Afghanistan"/>
    <s v="MOVEMENT, EMERGENCY AND POST-CRISIS MIGRATION MANAGEMENT"/>
    <s v="Tajikistan"/>
    <n v="4500243699"/>
    <s v=" Hiring of Implementing partners for provision of logistical and technical support to IOM within the project &quot;Support to Displaced Af ghans in Pakistan, Iran, Central Asia, and Afghanistan”  Reference Documents: PR No.: 4200302087 dated 04 August 2022 Pro"/>
    <s v="Grant Awards"/>
    <s v="NGO Femida"/>
    <s v="Tajikistan"/>
    <n v="51278"/>
    <x v="0"/>
    <x v="0"/>
  </r>
  <r>
    <x v="0"/>
    <s v="DP.2413"/>
    <s v="Support to Displaced Afghans in Pakistan, Iran, Central Asia, and Afghanistan"/>
    <s v="MOVEMENT, EMERGENCY AND POST-CRISIS MIGRATION MANAGEMENT"/>
    <s v="Tajikistan"/>
    <n v="4500243703"/>
    <s v=" Hiring of Implementing partners for provision of logistical and technical support to IOM within the project &quot;Support to Displaced Af ghans in Pakistan, Iran, Central Asia, and Afghanistan&quot;  Reference Documents: PR No.: 4200302087 dated 04 August 2022 Pro"/>
    <s v="Grant Awards"/>
    <s v="Women &amp; Society"/>
    <s v="Tajikistan"/>
    <n v="26577"/>
    <x v="0"/>
    <x v="0"/>
  </r>
  <r>
    <x v="0"/>
    <s v="DP.2423"/>
    <s v="Emergency Multi-Purpose Cash Assistance to Vulnerable Households in Tonga"/>
    <s v="MOVEMENT, EMERGENCY AND POST-CRISIS MIGRATION MANAGEMENT"/>
    <s v="Tonga"/>
    <n v="4500197484"/>
    <s v=" Interim Report"/>
    <s v="Grant Awards"/>
    <s v="MORDI Tonga Trust"/>
    <s v="Tonga"/>
    <n v="200000"/>
    <x v="0"/>
    <x v="0"/>
  </r>
  <r>
    <x v="0"/>
    <s v="DP.2452"/>
    <s v="Lifesaving Assistance for Conflict-Affected People in Ukraine and Neighbouring Countries"/>
    <s v="MOVEMENT, EMERGENCY AND POST-CRISIS MIGRATION MANAGEMENT"/>
    <s v="Poland"/>
    <n v="4500220613"/>
    <s v=" Implementing partner agreement as per PR 4200245571"/>
    <s v="Grant Awards"/>
    <s v="Unitatem Foundation"/>
    <s v="Poland"/>
    <n v="110733"/>
    <x v="0"/>
    <x v="0"/>
  </r>
  <r>
    <x v="0"/>
    <s v="DP.2452"/>
    <s v="Lifesaving Assistance for Conflict-Affected People in Ukraine and Neighbouring Countries"/>
    <s v="MOVEMENT, EMERGENCY AND POST-CRISIS MIGRATION MANAGEMENT"/>
    <s v="Poland"/>
    <n v="4500220641"/>
    <s v="IP - Agreement - The Central Council of Roma"/>
    <s v="Grant Awards"/>
    <s v="Centralna Rada Romow w Polsce"/>
    <s v="Poland"/>
    <n v="165127"/>
    <x v="0"/>
    <x v="0"/>
  </r>
  <r>
    <x v="0"/>
    <s v="DP.2465"/>
    <s v="IOM Flash Appeal for Ukraine and Neighboring Countries"/>
    <s v="MOVEMENT, EMERGENCY AND POST-CRISIS MIGRATION MANAGEMENT"/>
    <s v="Belarus"/>
    <n v="4500267537"/>
    <s v=" Grant to implementing partner"/>
    <s v="Grant Awards"/>
    <s v="Movement of Medical Workers"/>
    <s v="Belarus"/>
    <n v="12111"/>
    <x v="0"/>
    <x v="0"/>
  </r>
  <r>
    <x v="0"/>
    <s v="DP.2465"/>
    <s v="IOM Flash Appeal for Ukraine and Neighboring Countries"/>
    <s v="MOVEMENT, EMERGENCY AND POST-CRISIS MIGRATION MANAGEMENT"/>
    <s v="Poland"/>
    <n v="4500220613"/>
    <s v=" Implementing partner agreement as per PR 4200245571"/>
    <s v="Grant Awards"/>
    <s v="Unitatem Foundation"/>
    <s v="Poland"/>
    <n v="380051"/>
    <x v="0"/>
    <x v="0"/>
  </r>
  <r>
    <x v="0"/>
    <s v="DP.2470"/>
    <s v="IOM Flash Appeal for Ukraine and Neighbouring Countries 2022 - Norway"/>
    <s v="MOVEMENT, EMERGENCY AND POST-CRISIS MIGRATION MANAGEMENT"/>
    <s v="Poland"/>
    <n v="4500220613"/>
    <s v=" Implementing partner agreement as per PR 4200245571"/>
    <s v="Grant Awards"/>
    <s v="Unitatem Foundation"/>
    <s v="Poland"/>
    <n v="20003"/>
    <x v="0"/>
    <x v="0"/>
  </r>
  <r>
    <x v="0"/>
    <s v="SN.0195"/>
    <s v="Shelter and Non-food Items Emergency Assistance to Affected People in Batken Region of the Kyrgyz Republic"/>
    <s v="MOVEMENT, EMERGENCY AND POST-CRISIS MIGRATION MANAGEMENT"/>
    <s v="Kyrgyzstan"/>
    <n v="4500266464"/>
    <s v=" Grant to National Implementing Partner PF &quot;Ulybka&quot; to carry out NFIs distribution. Agreement 2022_NFI/02. Project code: SN.0195/ DP.2533."/>
    <s v="Grant Awards"/>
    <s v="Public Fund Ulybka"/>
    <s v="Kyrgyzstan"/>
    <n v="61075"/>
    <x v="0"/>
    <x v="0"/>
  </r>
  <r>
    <x v="0"/>
    <s v="SN.0195"/>
    <s v="Shelter and Non-food Items Emergency Assistance to Affected People in Batken Region of the Kyrgyz Republic"/>
    <s v="MOVEMENT, EMERGENCY AND POST-CRISIS MIGRATION MANAGEMENT"/>
    <s v="Kyrgyzstan"/>
    <n v="4500266466"/>
    <s v="000000000500000132-Grants Recipients - National CSOs"/>
    <s v="Grant Awards"/>
    <s v="Public Foundation Blagodat"/>
    <s v="Kyrgyzstan"/>
    <n v="54310"/>
    <x v="0"/>
    <x v="0"/>
  </r>
  <r>
    <x v="0"/>
    <s v="CC.0031"/>
    <s v="Supporting the Greek Authorities in Managing the National Reception System for Asylum Seekers and Vulnerable Migrants (SMS)"/>
    <s v="MOVEMENT, EMERGENCY AND POST-CRISIS MIGRATION MANAGEMENT"/>
    <s v="Greece"/>
    <n v="4500188007"/>
    <s v=" IP for the implementation of the project &quot;&quot;Supporting the Greek Authorities in Managing the National Reception System for Asylum Seekers and Vulnerable Migrants (SMS 2020)&quot;"/>
    <s v="Implementing Partners"/>
    <s v="DANISH REFUGEE COUNCIL"/>
    <s v="Greece"/>
    <n v="4874288"/>
    <x v="0"/>
    <x v="1"/>
  </r>
  <r>
    <x v="0"/>
    <s v="CC.0031"/>
    <s v="Supporting the Greek Authorities in Managing the National Reception System for Asylum Seekers and Vulnerable Migrants (SMS)"/>
    <s v="MOVEMENT, EMERGENCY AND POST-CRISIS MIGRATION MANAGEMENT"/>
    <s v="Greece"/>
    <n v="4500190099"/>
    <s v=" IP for the Implementation of the project &quot;Supporting the Greek Authorities in Managing the National Reception System for Asylum Seekers and Vulnerable Migrants (SMS)&quot;"/>
    <s v="Implementing Partners"/>
    <s v="ARSIS"/>
    <s v="Greece"/>
    <n v="2118166"/>
    <x v="0"/>
    <x v="0"/>
  </r>
  <r>
    <x v="0"/>
    <s v="CC.0031"/>
    <s v="Supporting the Greek Authorities in Managing the National Reception System for Asylum Seekers and Vulnerable Migrants (SMS)"/>
    <s v="MOVEMENT, EMERGENCY AND POST-CRISIS MIGRATION MANAGEMENT"/>
    <s v="Greece"/>
    <n v="4500190777"/>
    <s v=" IP (TDH-CP) for the implementation of the project  &quot;Supporting the Greek Authorities in Managing the National Reception System forAsylum Seekers and Vulnerable Migrants (SMS)"/>
    <s v="Implementing Partners"/>
    <s v="TERRE DES HOMMES HELLAS"/>
    <s v="Greece"/>
    <n v="534823"/>
    <x v="0"/>
    <x v="1"/>
  </r>
  <r>
    <x v="0"/>
    <s v="CC.0031"/>
    <s v="Supporting the Greek Authorities in Managing the National Reception System for Asylum Seekers and Vulnerable Migrants (SMS)"/>
    <s v="MOVEMENT, EMERGENCY AND POST-CRISIS MIGRATION MANAGEMENT"/>
    <s v="Greece"/>
    <n v="4500202512"/>
    <s v=" IP for the implementation of the program &quot;Supporting the Greek Authorities in Managing the National Reception System for Asylum Seekers and Vulnerable Migrants (SMS)&quot;"/>
    <s v="Implementing Partners"/>
    <s v="ZEUXIS N.G.O."/>
    <s v="Greece"/>
    <n v="58364"/>
    <x v="0"/>
    <x v="0"/>
  </r>
  <r>
    <x v="0"/>
    <s v="CC.0031"/>
    <s v="Supporting the Greek Authorities in Managing the National Reception System for Asylum Seekers and Vulnerable Migrants (SMS)"/>
    <s v="MOVEMENT, EMERGENCY AND POST-CRISIS MIGRATION MANAGEMENT"/>
    <s v="Greece"/>
    <n v="4500215145"/>
    <s v=" IP (Metadrasi) for the project &quot;Supporting the Greek Authorities in Managing the National Reception System for Asylum Seekers and Vulnerable Migrants (SMS)&quot;"/>
    <s v="Implementing Partners"/>
    <s v="METADRASI (Implementing Partner)"/>
    <s v="Greece"/>
    <n v="932123"/>
    <x v="0"/>
    <x v="0"/>
  </r>
  <r>
    <x v="0"/>
    <s v="CC.0031"/>
    <s v="Supporting the Greek Authorities in Managing the National Reception System for Asylum Seekers and Vulnerable Migrants (SMS)"/>
    <s v="MOVEMENT, EMERGENCY AND POST-CRISIS MIGRATION MANAGEMENT"/>
    <s v="Greece"/>
    <n v="4500225991"/>
    <s v=" IP (ASB) for the implementation of the project &quot;Supporting the Greek Authorities in Managing the National Reception System for Asylum Seekers and Vulnerable Migrants (SMS)&quot;."/>
    <s v="Implementing Partners"/>
    <s v="ARBEITER SAMARITER BUND DEUTSCHLAND"/>
    <s v="Germany"/>
    <n v="1096435"/>
    <x v="0"/>
    <x v="1"/>
  </r>
  <r>
    <x v="0"/>
    <s v="CC.0038"/>
    <s v="Provision of Critical Camp Management Services in North-East Nigeria to Improve Living Conditions in Camp and Camp-like Settings during the Rainy Season."/>
    <s v="MOVEMENT, EMERGENCY AND POST-CRISIS MIGRATION MANAGEMENT"/>
    <s v="Nigeria"/>
    <n v="4500271985"/>
    <s v=" Provision of Critical Camp Management Service in North-east Nigeria to Improving Living conditions in Camp and Camp-like Setting durring rainy season PR Ref: 4200363263 Contract Ref: NGA22-040/MDG"/>
    <s v="Implementing Partners"/>
    <s v="SMILING HEARTS INITIATIVES INTERNAT"/>
    <s v="Nigeria"/>
    <n v="150000"/>
    <x v="0"/>
    <x v="0"/>
  </r>
  <r>
    <x v="0"/>
    <s v="CC.0049"/>
    <s v="Addressing Humanitarian Needs of Internally Displaced Persons (IDPs) in Port-au-Prince and Providing Emergency Assistance to People Affected by the Earthquake"/>
    <s v="MOVEMENT, EMERGENCY AND POST-CRISIS MIGRATION MANAGEMENT"/>
    <s v="Haiti"/>
    <n v="4500192758"/>
    <s v=" Support ops capacity local partner health"/>
    <s v="Implementing Partners"/>
    <s v="Mouvman Fanm Vizyone Dayiti MOFAVID"/>
    <s v="Haiti"/>
    <n v="10000"/>
    <x v="0"/>
    <x v="0"/>
  </r>
  <r>
    <x v="0"/>
    <s v="CC.0049"/>
    <s v="Addressing Humanitarian Needs of Internally Displaced Persons (IDPs) in Port-au-Prince and Providing Emergency Assistance to People Affected by the Earthquake"/>
    <s v="MOVEMENT, EMERGENCY AND POST-CRISIS MIGRATION MANAGEMENT"/>
    <s v="Haiti"/>
    <n v="4500193048"/>
    <s v=" Support ops capacity local prtnr health"/>
    <s v="Implementing Partners"/>
    <s v="COMPLEXE DE SERVICE COMMUNAUTAIRE"/>
    <s v="Haiti"/>
    <n v="30000"/>
    <x v="0"/>
    <x v="0"/>
  </r>
  <r>
    <x v="0"/>
    <s v="CC.0049"/>
    <s v="Addressing Humanitarian Needs of Internally Displaced Persons (IDPs) in Port-au-Prince and Providing Emergency Assistance to People Affected by the Earthquake"/>
    <s v="MOVEMENT, EMERGENCY AND POST-CRISIS MIGRATION MANAGEMENT"/>
    <s v="Haiti"/>
    <n v="4500193381"/>
    <s v=" Support ops capacity local prtnr health"/>
    <s v="Implementing Partners"/>
    <s v="COMPLEXE DE SERVICE COMMUNAUTAIRE"/>
    <s v="Haiti"/>
    <n v="50000"/>
    <x v="0"/>
    <x v="0"/>
  </r>
  <r>
    <x v="0"/>
    <s v="CC.0049"/>
    <s v="Addressing Humanitarian Needs of Internally Displaced Persons (IDPs) in Port-au-Prince and Providing Emergency Assistance to People Affected by the Earthquake"/>
    <s v="MOVEMENT, EMERGENCY AND POST-CRISIS MIGRATION MANAGEMENT"/>
    <s v="Haiti"/>
    <n v="4500193465"/>
    <s v=" IP for Konpayi Nanm Soley Dayiti for wash activities in ZMPP"/>
    <s v="Implementing Partners"/>
    <s v="KONPAYI NANM SOLEY DAYITI"/>
    <s v="Haiti"/>
    <n v="50000"/>
    <x v="0"/>
    <x v="0"/>
  </r>
  <r>
    <x v="0"/>
    <s v="CC.0049"/>
    <s v="Addressing Humanitarian Needs of Internally Displaced Persons (IDPs) in Port-au-Prince and Providing Emergency Assistance to People Affected by the Earthquake"/>
    <s v="MOVEMENT, EMERGENCY AND POST-CRISIS MIGRATION MANAGEMENT"/>
    <s v="Haiti"/>
    <n v="4500193466"/>
    <s v=" IP with LIDEE for wash activities in ZMPP"/>
    <s v="Implementing Partners"/>
    <s v="LIGUE INTERSCOLAIRE (LIDEE)"/>
    <s v="Haiti"/>
    <n v="30000"/>
    <x v="0"/>
    <x v="0"/>
  </r>
  <r>
    <x v="0"/>
    <s v="CC.0050"/>
    <s v="Improving the Well-Being of Persons with Disabilities in Camp and Camp-like Settings"/>
    <s v="MOVEMENT, EMERGENCY AND POST-CRISIS MIGRATION MANAGEMENT"/>
    <s v="Nigeria"/>
    <n v="4500247265"/>
    <s v=" PO was raised for the purpose of payment, as  transaction could not be posted through FB60, since the vendor was created as an IP"/>
    <s v="Implementing Partners"/>
    <s v="UNIVERSITY OF MAIDUGURI TEACHING"/>
    <s v="Nigeria"/>
    <n v="1098"/>
    <x v="0"/>
    <x v="2"/>
  </r>
  <r>
    <x v="0"/>
    <s v="CC.0053"/>
    <s v="Camp Coordination and Camp Management and Emergency Shelter and Non-Food Items (NFI) Assistance for Conflict Affected Populations in Northern Ethiopia"/>
    <s v="MOVEMENT, EMERGENCY AND POST-CRISIS MIGRATION MANAGEMENT"/>
    <s v="Ethiopia"/>
    <n v="4500189328"/>
    <s v=" IP Transfer ... Providing emergency shelter non food items kits (ESNFI)for 2,000 IDPs in Eokota Town, Wag Hemra Zone, Amhara region state at a total amount USD 54,071.50.  Reference;- PR-4200201538 PIA NO-ETH/ADD/FEB/990/2022."/>
    <s v="Implementing Partners"/>
    <s v="Positive Action for Development"/>
    <s v="Ethiopia"/>
    <n v="54072"/>
    <x v="0"/>
    <x v="0"/>
  </r>
  <r>
    <x v="0"/>
    <s v="CC.0053"/>
    <s v="Camp Coordination and Camp Management and Emergency Shelter and Non-Food Items (NFI) Assistance for Conflict Affected Populations in Northern Ethiopia"/>
    <s v="MOVEMENT, EMERGENCY AND POST-CRISIS MIGRATION MANAGEMENT"/>
    <s v="Ethiopia"/>
    <n v="4500196034"/>
    <s v=" Service for: C/GOJ/ECHO -Cash for Rent Response for Woldiya and mersa Woreda in North Wollo Zone of Amhara Region for 3,500 HHs (17,500 family members) based on the agreement between International Organization for Migration (IOM) and the Implementing Par"/>
    <s v="Implementing Partners"/>
    <s v="CARE Inc."/>
    <s v="Ethiopia"/>
    <n v="299977"/>
    <x v="0"/>
    <x v="1"/>
  </r>
  <r>
    <x v="0"/>
    <s v="CC.0053"/>
    <s v="Camp Coordination and Camp Management and Emergency Shelter and Non-Food Items (NFI) Assistance for Conflict Affected Populations in Northern Ethiopia"/>
    <s v="MOVEMENT, EMERGENCY AND POST-CRISIS MIGRATION MANAGEMENT"/>
    <s v="Ethiopia"/>
    <n v="4500199261"/>
    <s v=" IP - Emergency shelter response - Cash rent - In Amhara region for 1,000 Households (5,000 Individuals)  Reference- PR-4200220795 Agreement- ETH/ADD/MARCH/1013/2022"/>
    <s v="Implementing Partners"/>
    <s v="Dorcas Aid Ethiopia (DAE)"/>
    <s v="Ethiopia"/>
    <n v="209207"/>
    <x v="0"/>
    <x v="1"/>
  </r>
  <r>
    <x v="0"/>
    <s v="CC.0053"/>
    <s v="Camp Coordination and Camp Management and Emergency Shelter and Non-Food Items (NFI) Assistance for Conflict Affected Populations in Northern Ethiopia"/>
    <s v="MOVEMENT, EMERGENCY AND POST-CRISIS MIGRATION MANAGEMENT"/>
    <s v="Ethiopia"/>
    <n v="4500199284"/>
    <s v=" IP - Live saving emeergency shelter and NFI assistance for conflict affected displaced communities in Berahale of Afar region.  Reference- PR-4200212270 Agreement-ETH/ADD/MARCH/1002/2022"/>
    <s v="Implementing Partners"/>
    <s v="ACTION FOR THE NEEDY IN ETH (ANE)"/>
    <s v="Ethiopia"/>
    <n v="100915"/>
    <x v="0"/>
    <x v="0"/>
  </r>
  <r>
    <x v="0"/>
    <s v="CC.0053"/>
    <s v="Camp Coordination and Camp Management and Emergency Shelter and Non-Food Items (NFI) Assistance for Conflict Affected Populations in Northern Ethiopia"/>
    <s v="MOVEMENT, EMERGENCY AND POST-CRISIS MIGRATION MANAGEMENT"/>
    <s v="Ethiopia"/>
    <n v="4500206584"/>
    <s v=" Emergency NFI support for IDPs Hintalo and Adigerat for 3400 household at the total amount of 213,383.00 USD PRF#4500206584"/>
    <s v="Implementing Partners"/>
    <s v="Development for Peace Organization"/>
    <s v="Ethiopia"/>
    <n v="40543"/>
    <x v="0"/>
    <x v="0"/>
  </r>
  <r>
    <x v="0"/>
    <s v="CC.0053"/>
    <s v="Camp Coordination and Camp Management and Emergency Shelter and Non-Food Items (NFI) Assistance for Conflict Affected Populations in Northern Ethiopia"/>
    <s v="MOVEMENT, EMERGENCY AND POST-CRISIS MIGRATION MANAGEMENT"/>
    <s v="Ethiopia"/>
    <n v="4500220093"/>
    <s v=" SNFI0099 - IP LWF Life-saving assistance through emergency NFIs to IDP Households in Abergele Woreda of Central Zone in the Tigray Region"/>
    <s v="Implementing Partners"/>
    <s v="Lutheran World Feder'n WS-Eth"/>
    <s v="Ethiopia"/>
    <n v="80088"/>
    <x v="0"/>
    <x v="1"/>
  </r>
  <r>
    <x v="0"/>
    <s v="CC.0053"/>
    <s v="Camp Coordination and Camp Management and Emergency Shelter and Non-Food Items (NFI) Assistance for Conflict Affected Populations in Northern Ethiopia"/>
    <s v="MOVEMENT, EMERGENCY AND POST-CRISIS MIGRATION MANAGEMENT"/>
    <s v="Ethiopia"/>
    <n v="4500224034"/>
    <s v=" PIA Referance ETH/ADD/June/1055/2022 PO created for MIGO/MIRO"/>
    <s v="Implementing Partners"/>
    <s v="Danish refugee Council (DRC)"/>
    <s v="Ethiopia"/>
    <n v="14043"/>
    <x v="0"/>
    <x v="1"/>
  </r>
  <r>
    <x v="0"/>
    <s v="CC.0055"/>
    <s v="Integrated Assistance in CCCM/NFI/Shelter Targeting Displaced Populations in Sites/Locations and Those of Recent Shocks in the Prefectures of Ouham Pende, Ouham, Bamingui Bangoran and Basse Kotto"/>
    <s v="MOVEMENT, EMERGENCY AND POST-CRISIS MIGRATION MANAGEMENT"/>
    <s v="CAR"/>
    <n v="4500214238"/>
    <s v=" Contrat IP projet de mise en place des mecanismes de redevabilité a Paoua, Ndele et Bocaranga.  PR# 4200233579"/>
    <s v="Implementing Partners"/>
    <s v="CINEMA NUMERIQUE AMBULANT RCA"/>
    <s v="Central African Rep"/>
    <n v="54450"/>
    <x v="0"/>
    <x v="0"/>
  </r>
  <r>
    <x v="0"/>
    <s v="CC.0055"/>
    <s v="Integrated Assistance in CCCM/NFI/Shelter Targeting Displaced Populations in Sites/Locations and Those of Recent Shocks in the Prefectures of Ouham Pende, Ouham, Bamingui Bangoran and Basse Kotto"/>
    <s v="MOVEMENT, EMERGENCY AND POST-CRISIS MIGRATION MANAGEMENT"/>
    <s v="CAR"/>
    <n v="4500216358"/>
    <s v=" Round 15 DTM contrat partenaire ouham Bangui Ombrella Mpoko and Nana Mambere pr# 4200219841 / 4200236460"/>
    <s v="Implementing Partners"/>
    <s v="Association des Femmes Evang. BOSSA"/>
    <s v="Central African Rep"/>
    <n v="4004"/>
    <x v="0"/>
    <x v="0"/>
  </r>
  <r>
    <x v="0"/>
    <s v="CC.0055"/>
    <s v="Integrated Assistance in CCCM/NFI/Shelter Targeting Displaced Populations in Sites/Locations and Those of Recent Shocks in the Prefectures of Ouham Pende, Ouham, Bamingui Bangoran and Basse Kotto"/>
    <s v="MOVEMENT, EMERGENCY AND POST-CRISIS MIGRATION MANAGEMENT"/>
    <s v="CAR"/>
    <n v="4500236298"/>
    <s v=" Mobility tracking a Ouham"/>
    <s v="Implementing Partners"/>
    <s v="VISION ENFANT REPUBLIQUE CENTRAFRIC"/>
    <s v="Central African Rep"/>
    <n v="23088"/>
    <x v="0"/>
    <x v="0"/>
  </r>
  <r>
    <x v="0"/>
    <s v="CC.0055"/>
    <s v="Integrated Assistance in CCCM/NFI/Shelter Targeting Displaced Populations in Sites/Locations and Those of Recent Shocks in the Prefectures of Ouham Pende, Ouham, Bamingui Bangoran and Basse Kotto"/>
    <s v="MOVEMENT, EMERGENCY AND POST-CRISIS MIGRATION MANAGEMENT"/>
    <s v="CAR"/>
    <n v="4500255122"/>
    <s v=" Distribution kit shelter a Alidao. P#4200314495"/>
    <s v="Implementing Partners"/>
    <s v="COLLECTIF¨POUR LA PAIX EN CENTRAFRI"/>
    <s v="Central African Rep"/>
    <n v="5513"/>
    <x v="0"/>
    <x v="0"/>
  </r>
  <r>
    <x v="0"/>
    <s v="CC.0055"/>
    <s v="Integrated Assistance in CCCM/NFI/Shelter Targeting Displaced Populations in Sites/Locations and Those of Recent Shocks in the Prefectures of Ouham Pende, Ouham, Bamingui Bangoran and Basse Kotto"/>
    <s v="MOVEMENT, EMERGENCY AND POST-CRISIS MIGRATION MANAGEMENT"/>
    <s v="CAR"/>
    <n v="4500257402"/>
    <s v=" DTM activity a Basse Kotto"/>
    <s v="Implementing Partners"/>
    <s v="COLLECTIF¨POUR LA PAIX EN CENTRAFRI"/>
    <s v="Central African Rep"/>
    <n v="6979"/>
    <x v="0"/>
    <x v="0"/>
  </r>
  <r>
    <x v="0"/>
    <s v="CC.0062"/>
    <s v="Wellbeing of Populations Affected is Strengthened through Camp Coordination and Camp Management (CCCM) Support to IDPs and Host Community."/>
    <s v="MOVEMENT, EMERGENCY AND POST-CRISIS MIGRATION MANAGEMENT"/>
    <s v="Ethiopia"/>
    <n v="4500224030"/>
    <s v=" PO Created for MIGO/MIRO Purpose pls refer PIA EDD/ADD/June/1056/2022"/>
    <s v="Implementing Partners"/>
    <s v="Positive Action for Development"/>
    <s v="Ethiopia"/>
    <n v="482001"/>
    <x v="0"/>
    <x v="0"/>
  </r>
  <r>
    <x v="0"/>
    <s v="DP.0675"/>
    <s v="Assist Northbound Transregional/Continental Mixed Migration Flow in Colombia"/>
    <s v="MOVEMENT, EMERGENCY AND POST-CRISIS MIGRATION MANAGEMENT"/>
    <s v="Colombia"/>
    <n v="4500187160"/>
    <s v=" CONVENIO E&lt;(&gt;&amp;&lt;)&gt;E - 024 - 001 DE 2022 12626899 ASOCIACION DE APOYO AL DESARROLLO (IP)  TOTAL VALUE:  COP 137.850.200 OIM CONTRIB:  COP 80.000.000 + 46.000.000 FUD CONTRIB:  COP 7.000.000 + 4.850.200"/>
    <s v="Implementing Partners"/>
    <s v="ASOCIACION DE APOYO AL DESARROLLO"/>
    <s v="Colombia"/>
    <n v="20106"/>
    <x v="0"/>
    <x v="3"/>
  </r>
  <r>
    <x v="0"/>
    <s v="DP.0740"/>
    <s v="Upscaling Multisector Humanitarian Assistance for Populations Affected by Insecurity in Cabo Delgado, Mozambique"/>
    <s v="MOVEMENT, EMERGENCY AND POST-CRISIS MIGRATION MANAGEMENT"/>
    <s v="Mozambique"/>
    <n v="4500184530"/>
    <s v=" IP transfers – International CSOs (Goods Emergency Shelter Intervention for the most vulnerable IDPs in Ibo District"/>
    <s v="Implementing Partners"/>
    <s v="OIKOS"/>
    <s v="Mozambique"/>
    <n v="121048"/>
    <x v="0"/>
    <x v="1"/>
  </r>
  <r>
    <x v="0"/>
    <s v="DP.0788"/>
    <s v="Improving Migrant Assistance and Supporting Local Communities in Republika Srpska"/>
    <s v="MOVEMENT, EMERGENCY AND POST-CRISIS MIGRATION MANAGEMENT"/>
    <s v="Bosnia-Herz."/>
    <n v="4500218603"/>
    <s v=" Red Cross mobile units support and coordination (Visegrad, Bijeljina, Banja Luka) from 15.02.-15.11.2022 Contract ref.:225-22-AD-BA10-NP"/>
    <s v="Implementing Partners"/>
    <s v="Red Cross of the Republic of Srpska"/>
    <s v="Bosnia and Hezergovina"/>
    <n v="32229"/>
    <x v="0"/>
    <x v="4"/>
  </r>
  <r>
    <x v="0"/>
    <s v="DP.0788"/>
    <s v="Improving Migrant Assistance and Supporting Local Communities in Republika Srpska"/>
    <s v="MOVEMENT, EMERGENCY AND POST-CRISIS MIGRATION MANAGEMENT"/>
    <s v="Bosnia-Herz."/>
    <n v="4500246888"/>
    <s v=" Red Cross mobile units support and coordination in Tuzla Canton Contract ref.:381-22-AV-BA10-NP"/>
    <s v="Implementing Partners"/>
    <s v="Crveni kriz Tuzlanskog kantona"/>
    <s v="Bosnia and Hezergovina"/>
    <n v="8813"/>
    <x v="0"/>
    <x v="4"/>
  </r>
  <r>
    <x v="0"/>
    <s v="DP.0962"/>
    <s v="2022 Regional Refugee and Migrant Response Plan (RMRP) for the Venezuelan Situation"/>
    <s v="MOVEMENT, EMERGENCY AND POST-CRISIS MIGRATION MANAGEMENT"/>
    <s v="Colombia"/>
    <n v="4500180110"/>
    <s v="000000000500000124-IP transfers – National CSOs"/>
    <s v="Implementing Partners"/>
    <s v="PARROQUIA BEATO JUAN BAUTISTA SCALA"/>
    <s v="Colombia"/>
    <n v="158793"/>
    <x v="0"/>
    <x v="5"/>
  </r>
  <r>
    <x v="0"/>
    <s v="DP.0962"/>
    <s v="2022 Regional Refugee and Migrant Response Plan (RMRP) for the Venezuelan Situation"/>
    <s v="MOVEMENT, EMERGENCY AND POST-CRISIS MIGRATION MANAGEMENT"/>
    <s v="Colombia"/>
    <n v="4500180282"/>
    <s v="000000000500000124-IP transfers – National CSOs"/>
    <s v="Implementing Partners"/>
    <s v="CRUZ ROJA COLOMBIANA CUNDINAMARCA"/>
    <s v="Colombia"/>
    <n v="179062"/>
    <x v="0"/>
    <x v="4"/>
  </r>
  <r>
    <x v="0"/>
    <s v="DP.0962"/>
    <s v="2022 Regional Refugee and Migrant Response Plan (RMRP) for the Venezuelan Situation"/>
    <s v="MOVEMENT, EMERGENCY AND POST-CRISIS MIGRATION MANAGEMENT"/>
    <s v="Colombia"/>
    <n v="4500180320"/>
    <s v=" CONVENIO E&lt;(&gt;&amp;&lt;)&gt;E - 019 - 003 DE 2021 12626433 CORPORACION VIVE - EME CONTINUE TO PO 4500139136  TOTAL VALUE: COP 1.420.964.788 OIM CONTRIB: COP   499.126.272 + 153.163.200 + 162.489.600 CRP CONTRIB: COP   606.185.716"/>
    <s v="Implementing Partners"/>
    <s v="CORPORACION VIVE"/>
    <s v="Colombia"/>
    <n v="78736"/>
    <x v="0"/>
    <x v="3"/>
  </r>
  <r>
    <x v="0"/>
    <s v="DP.0962"/>
    <s v="2022 Regional Refugee and Migrant Response Plan (RMRP) for the Venezuelan Situation"/>
    <s v="MOVEMENT, EMERGENCY AND POST-CRISIS MIGRATION MANAGEMENT"/>
    <s v="Colombia"/>
    <n v="4500180333"/>
    <s v=" CONVENIO E&lt;(&gt;&amp;&lt;)&gt;E-019-012 DE 2021 12626963 CORPORACION SCALABRINI (IP) -EME CONTINUE TO PO 4500140773 TOTAL VALUE: COP 2.571.108.043 IOM CONTRIB: COP 399.600.000 + 140.775.000 + 131.960.000 BOGOTÁ              COP 754.800.000 + 225.240.000 + 100.000.000"/>
    <s v="Implementing Partners"/>
    <s v="CORPORACION SCALABRINI"/>
    <s v="Colombia"/>
    <n v="149158"/>
    <x v="0"/>
    <x v="0"/>
  </r>
  <r>
    <x v="0"/>
    <s v="DP.0962"/>
    <s v="2022 Regional Refugee and Migrant Response Plan (RMRP) for the Venezuelan Situation"/>
    <s v="MOVEMENT, EMERGENCY AND POST-CRISIS MIGRATION MANAGEMENT"/>
    <s v="Colombia"/>
    <n v="4500180344"/>
    <s v=" CONVENIO E&lt;(&gt;&amp;&lt;)&gt;E-019-009 DE 2021 12610326 SEC. DIOCES. PASTORAL SOCIAL IPI CONTINUE TO PO 4500139120 TOTAL VALUE:  COP 1.838.158.050 IOM CONTRIB: COP   732.600.000 + 168.930.000 + 187.488.000 + 80.000.000 SEC CONTRIB: COP    352.066.000 + 317.074.050"/>
    <s v="Implementing Partners"/>
    <s v="SEC. DIOCES. PASTORAL SOCIAL IPIALE"/>
    <s v="Colombia"/>
    <n v="108860"/>
    <x v="0"/>
    <x v="5"/>
  </r>
  <r>
    <x v="0"/>
    <s v="DP.0962"/>
    <s v="2022 Regional Refugee and Migrant Response Plan (RMRP) for the Venezuelan Situation"/>
    <s v="MOVEMENT, EMERGENCY AND POST-CRISIS MIGRATION MANAGEMENT"/>
    <s v="Colombia"/>
    <n v="4500183432"/>
    <s v=" CONVENIO E&lt;(&gt;&amp;&lt;)&gt;E-019-007 DE 2021 12628262 SECRETARIADO DIOCESANO PASTORAL S  TOTAL VALUE: COP 1.702.896.044 IOM CONTRIB: COP 732.600.000 + 168.930.000 + 187.488.000 + 55.844.711 SEC CONTRIB: COP 257.133.333 + 300.900.000  CONTINUE TO PO  4500142878"/>
    <s v="Implementing Partners"/>
    <s v="SECRETARIADO DIOCESANO PASTORAL SOC"/>
    <s v="Colombia"/>
    <n v="102834"/>
    <x v="0"/>
    <x v="5"/>
  </r>
  <r>
    <x v="0"/>
    <s v="DP.0962"/>
    <s v="2022 Regional Refugee and Migrant Response Plan (RMRP) for the Venezuelan Situation"/>
    <s v="MOVEMENT, EMERGENCY AND POST-CRISIS MIGRATION MANAGEMENT"/>
    <s v="Colombia"/>
    <n v="4500183434"/>
    <s v=" CONVENIO E&lt;(&gt;&amp;&lt;)&gt;E-019-008 DE 2021 12626896 FUNDACION PERSONAS PASO A PASO IP EME CONTINUE TO PO 4500139123  TOTAL VALUE: COP 1.602.787.600 IOM CONTRIB: COP   754.800.000 + 302.770.000 + 168.930.000 FUN CONTRIB: COP   376.287.600"/>
    <s v="Implementing Partners"/>
    <s v="FUNDACION PERSONAS PASO A PASO (IP)"/>
    <s v="Colombia"/>
    <n v="42138"/>
    <x v="0"/>
    <x v="3"/>
  </r>
  <r>
    <x v="0"/>
    <s v="DP.0962"/>
    <s v="2022 Regional Refugee and Migrant Response Plan (RMRP) for the Venezuelan Situation"/>
    <s v="MOVEMENT, EMERGENCY AND POST-CRISIS MIGRATION MANAGEMENT"/>
    <s v="Colombia"/>
    <n v="4500183436"/>
    <s v=" CONVENIO E&lt;(&gt;&amp;&lt;)&gt;E-019-002 DE 2021 12626894 SECRETARIADO PASTORAL S.D PALMIRA  CONTINUE TO PO 4500142215  TOTAL VALUE: COP 2.145.128.598 IOM CONTRIB: COP 580.000.000 + 67.000.000 + 202.716.000 + 200.000.000 +                  293.025.000 + 204.480.000 +"/>
    <s v="Implementing Partners"/>
    <s v="SECRETARIADO PASTORAL S.D PALMIRA ("/>
    <s v="Colombia"/>
    <n v="68942"/>
    <x v="0"/>
    <x v="5"/>
  </r>
  <r>
    <x v="0"/>
    <s v="DP.0962"/>
    <s v="2022 Regional Refugee and Migrant Response Plan (RMRP) for the Venezuelan Situation"/>
    <s v="MOVEMENT, EMERGENCY AND POST-CRISIS MIGRATION MANAGEMENT"/>
    <s v="Colombia"/>
    <n v="4500183531"/>
    <s v=" CONVENIO E&lt;(&gt;&amp;&lt;)&gt;E-019-013 DE 2021 12626899 ASOCIACION DE APOYO AL DESARROLLO EME CONTINUE TO PO 4500139837 TOTAL VALUE: COP 2.009.040.000 IOM CONTRIB: COP 1.443.000.000 + 225.240.000 + 270.000.000 ASC CONTRIB: COP    45.800.000 +  25.000.000"/>
    <s v="Implementing Partners"/>
    <s v="ASOCIACION DE APOYO AL DESARROLLO"/>
    <s v="Colombia"/>
    <n v="123532"/>
    <x v="0"/>
    <x v="3"/>
  </r>
  <r>
    <x v="0"/>
    <s v="DP.0962"/>
    <s v="2022 Regional Refugee and Migrant Response Plan (RMRP) for the Venezuelan Situation"/>
    <s v="MOVEMENT, EMERGENCY AND POST-CRISIS MIGRATION MANAGEMENT"/>
    <s v="Colombia"/>
    <n v="4500183532"/>
    <s v=" CONVENIO E&lt;(&gt;&amp;&lt;)&gt;E - 019 - 005 DE 2021 12628275 FUNDACION COMMUNITAS (IP) CONTINUE TO PO 4500145547 TOTAL VALUE:  COP 593.303.200 OIM CONTRIB:  COP 299.700.000 + 84.465.000 + 113.000.000 SOC CONTRIB:  COP 96.138.200"/>
    <s v="Implementing Partners"/>
    <s v="FUNDACION COMMUNITAS (IP)"/>
    <s v="Colombia"/>
    <n v="49255"/>
    <x v="0"/>
    <x v="0"/>
  </r>
  <r>
    <x v="0"/>
    <s v="DP.0962"/>
    <s v="2022 Regional Refugee and Migrant Response Plan (RMRP) for the Venezuelan Situation"/>
    <s v="MOVEMENT, EMERGENCY AND POST-CRISIS MIGRATION MANAGEMENT"/>
    <s v="Colombia"/>
    <n v="4500183533"/>
    <s v=" CONVENIO E&lt;(&gt;&amp;&lt;)&gt;E - 019 - 006 DE 2021 12617462 SECRETA DE PASTORAL SOCIAL RIOHACHA - EME CONTINUE TO PO 4500139138  TOTAL VALUE:  COP 1.624.315.470 OIM CONTRIB:  COP 444.000.000 + 168.930.000 + 187.488.000 SOC CONTRIB:  COP 823.897.470"/>
    <s v="Implementing Partners"/>
    <s v="SECRETA DE PASTORAL SOCIAL RIOHACHA"/>
    <s v="Colombia"/>
    <n v="88904"/>
    <x v="0"/>
    <x v="5"/>
  </r>
  <r>
    <x v="0"/>
    <s v="DP.0962"/>
    <s v="2022 Regional Refugee and Migrant Response Plan (RMRP) for the Venezuelan Situation"/>
    <s v="MOVEMENT, EMERGENCY AND POST-CRISIS MIGRATION MANAGEMENT"/>
    <s v="Colombia"/>
    <n v="4500183535"/>
    <s v=" CONVENIO E&lt;(&gt;&amp;&lt;)&gt;E-019-023 DE 2021 12627606 WORLD VISION INTERNATIONAL (IP)- EME CONTINUE TO PO 4500149018 TOTAL VALUE: COP 1.706.627.858 IOM CONTRIB: COP 1.084.723.238 + 503.370.000 + 76.500.000 UNV CONTRIB:  COP   42.034.620"/>
    <s v="Implementing Partners"/>
    <s v="WORLD VISION INTERNATIONAL (IP)"/>
    <s v="Colombia"/>
    <n v="144642"/>
    <x v="0"/>
    <x v="1"/>
  </r>
  <r>
    <x v="0"/>
    <s v="DP.0962"/>
    <s v="2022 Regional Refugee and Migrant Response Plan (RMRP) for the Venezuelan Situation"/>
    <s v="MOVEMENT, EMERGENCY AND POST-CRISIS MIGRATION MANAGEMENT"/>
    <s v="Colombia"/>
    <n v="4500183537"/>
    <s v=" CONVENIO E&lt;(&gt;&amp;&lt;)&gt;E-019-016 DE 2021 12607926 FUNDACION PLAN - EME CONTINUE TO PO 4500140763 TOTAL VALUE: COP 3.044.122.407 IOM CONTRIB: COP 1.531.800.029 + 97.604.000 + 551.310.000 +709.090.001 UNV CONTRIB: COP   154.318.377"/>
    <s v="Implementing Partners"/>
    <s v="FUNDACION PLAN"/>
    <s v="Colombia"/>
    <n v="314393"/>
    <x v="0"/>
    <x v="1"/>
  </r>
  <r>
    <x v="0"/>
    <s v="DP.0962"/>
    <s v="2022 Regional Refugee and Migrant Response Plan (RMRP) for the Venezuelan Situation"/>
    <s v="MOVEMENT, EMERGENCY AND POST-CRISIS MIGRATION MANAGEMENT"/>
    <s v="Colombia"/>
    <n v="4500183540"/>
    <s v=" CONVENIO E&lt;(&gt;&amp;&lt;)&gt;E-019-017 DE 2021 12623516 FUNDACION SIGNIFICANTE (IP)-EME CONTINUE TO PO 4500146217 TOTAL VALUE: COP 704.136.000 IOM CONTRIB: COP 296.000.000 + 159.800.000+ 218.736.000 FND CONTRIB:  COP 29.600.000"/>
    <s v="Implementing Partners"/>
    <s v="FUNDACION SIGNIFICARTE (IP)"/>
    <s v="Colombia"/>
    <n v="94422"/>
    <x v="0"/>
    <x v="0"/>
  </r>
  <r>
    <x v="0"/>
    <s v="DP.0962"/>
    <s v="2022 Regional Refugee and Migrant Response Plan (RMRP) for the Venezuelan Situation"/>
    <s v="MOVEMENT, EMERGENCY AND POST-CRISIS MIGRATION MANAGEMENT"/>
    <s v="Colombia"/>
    <n v="4500183755"/>
    <s v=" CONVENIO E&lt;(&gt;&amp;&lt;)&gt;E-019-001 DE 2021 12624738 CENTRO ARQUIDIOCESANO DEL MIGRANT EME CONTINUE TO PO 4500140761 TOTAL VALUE: COP  1.520.433.984 IOM CONTRIB: COP   486.000.000 + 29.100.000 + 168.930.000 + 200.000.000 + 87.640.000 ARQ CONTRIB: COP   246.871.97"/>
    <s v="Implementing Partners"/>
    <s v="CENTRO ARQUIDIOCESANO DEL MIGRANTE"/>
    <s v="Colombia"/>
    <n v="113886"/>
    <x v="0"/>
    <x v="0"/>
  </r>
  <r>
    <x v="0"/>
    <s v="DP.0962"/>
    <s v="2022 Regional Refugee and Migrant Response Plan (RMRP) for the Venezuelan Situation"/>
    <s v="MOVEMENT, EMERGENCY AND POST-CRISIS MIGRATION MANAGEMENT"/>
    <s v="Colombia"/>
    <n v="4500183762"/>
    <s v=" CONVENIO E&lt;(&gt;&amp;&lt;)&gt;E-019-015 DE 2021 12601091 SOCIEDAD NACIONAL DE LA CRUZ ROJA  -EME CONTINUE TO PO 4500146820 TOTAL VALUE: COP 5.201.630.056 IOM CONTRIB: COP 1.443.000.000 + 379.933.886 CASANARE + 1.332.000.000 +  446.573.288 N. SANTANDER + 382.460.800 C"/>
    <s v="Implementing Partners"/>
    <s v="SOCIEDAD NACIONAL DE LA CRUZ ROJA ("/>
    <s v="Colombia"/>
    <n v="438994"/>
    <x v="0"/>
    <x v="4"/>
  </r>
  <r>
    <x v="0"/>
    <s v="DP.0962"/>
    <s v="2022 Regional Refugee and Migrant Response Plan (RMRP) for the Venezuelan Situation"/>
    <s v="MOVEMENT, EMERGENCY AND POST-CRISIS MIGRATION MANAGEMENT"/>
    <s v="Colombia"/>
    <n v="4500183765"/>
    <s v=" CONVENIO E&lt;(&gt;&amp;&lt;)&gt;E-019-025 DE 2021 12615137 CORPORACION VIVIENDO JUNTOS  CONTINUE TO PO 4500142485  TOTAL VALUE: COP 656.453.732 IOM CONTRIB: COP 178.219.798 + 119.850.000 + $218.736.000 COR CONTRIB: COP 139.647.934"/>
    <s v="Implementing Partners"/>
    <s v="CORPORACION VIVIENDO JUNTOS"/>
    <s v="Colombia"/>
    <n v="84456"/>
    <x v="0"/>
    <x v="0"/>
  </r>
  <r>
    <x v="0"/>
    <s v="DP.0962"/>
    <s v="2022 Regional Refugee and Migrant Response Plan (RMRP) for the Venezuelan Situation"/>
    <s v="MOVEMENT, EMERGENCY AND POST-CRISIS MIGRATION MANAGEMENT"/>
    <s v="Colombia"/>
    <n v="4500183771"/>
    <s v=" CONVENIO E&lt;(&gt;&amp;&lt;)&gt;E-019-028 DE 2021 12611970 ALDEAS INFANTILES SOS COLOMBIA -EME CONTINUE TO PO 4500147631 TOTAL VALUE: COP 2.097.133.679 IOM CONTRIB: COP 1.198.800.000 -154.276.393 + 275.655.000 + 794.422.460                                   - 67.867.38"/>
    <s v="Implementing Partners"/>
    <s v="ALDEAS INFANTILES COLOMBIA"/>
    <s v="Colombia"/>
    <n v="249990"/>
    <x v="0"/>
    <x v="1"/>
  </r>
  <r>
    <x v="0"/>
    <s v="DP.0962"/>
    <s v="2022 Regional Refugee and Migrant Response Plan (RMRP) for the Venezuelan Situation"/>
    <s v="MOVEMENT, EMERGENCY AND POST-CRISIS MIGRATION MANAGEMENT"/>
    <s v="Colombia"/>
    <n v="4500183773"/>
    <s v=" CONVENIO E&lt;(&gt;&amp;&lt;)&gt;E-019-022 DE 2021 12601139 CORPORACION OPCION LEGAL (IP)-EME CONTINUE TO PO 4500146225 TOTAL VALUE: COP 6.265.620.352 IOM CONTRIB: COP 2.990.526.938 + 1.402.245.000 + 1.659.245.000 CRP CONTRIB:  COP  213.120.562"/>
    <s v="Implementing Partners"/>
    <s v="CORPORACION OPCION LEGAL (IP)"/>
    <s v="Colombia"/>
    <n v="739497"/>
    <x v="0"/>
    <x v="0"/>
  </r>
  <r>
    <x v="0"/>
    <s v="DP.0962"/>
    <s v="2022 Regional Refugee and Migrant Response Plan (RMRP) for the Venezuelan Situation"/>
    <s v="MOVEMENT, EMERGENCY AND POST-CRISIS MIGRATION MANAGEMENT"/>
    <s v="Colombia"/>
    <n v="4500183780"/>
    <s v=" CONVENIO E&lt;(&gt;&amp;&lt;)&gt;E-019-024 DE 2021 12613461 CRUZ ROJA COLOM SECC C/MARCA (IP) CONTINUE TO PO 4500143476 TOTAL VALUE: COP 865.393.818 IOM CONTRIB: COP 333.000.000 + 191.760.000 + 210.000.000 CRC CONTRIB: COP 130.633.818"/>
    <s v="Implementing Partners"/>
    <s v="CRUZ ROJA COLOMBIANA CUNDINAMARCA"/>
    <s v="Colombia"/>
    <n v="100215"/>
    <x v="0"/>
    <x v="4"/>
  </r>
  <r>
    <x v="0"/>
    <s v="DP.0962"/>
    <s v="2022 Regional Refugee and Migrant Response Plan (RMRP) for the Venezuelan Situation"/>
    <s v="MOVEMENT, EMERGENCY AND POST-CRISIS MIGRATION MANAGEMENT"/>
    <s v="Colombia"/>
    <n v="4500184189"/>
    <s v=" CONVENIO E&lt;(&gt;&amp;&lt;)&gt;E-019-014 DE 2021 12600942 SECRETARIADO PASTORAL SOCIAL CARI EME CONTINUE TO PO 4500140777 TOTAL VALUE: COP 379.762.041 IOM CONTRIB: COP 130.874.600 + 25.013.540 + 45.048.000 + 11.929.340 + 99.930.561 SCR CONTRIB: COP  66.966.000"/>
    <s v="Implementing Partners"/>
    <s v="SECRETARIADO PASTORAL SOCIAL CARITA"/>
    <s v="Colombia"/>
    <n v="24181"/>
    <x v="0"/>
    <x v="5"/>
  </r>
  <r>
    <x v="0"/>
    <s v="DP.0962"/>
    <s v="2022 Regional Refugee and Migrant Response Plan (RMRP) for the Venezuelan Situation"/>
    <s v="MOVEMENT, EMERGENCY AND POST-CRISIS MIGRATION MANAGEMENT"/>
    <s v="Colombia"/>
    <n v="4500187160"/>
    <s v=" CONVENIO E&lt;(&gt;&amp;&lt;)&gt;E - 024 - 001 DE 2022 12626899 ASOCIACION DE APOYO AL DESARROLLO (IP)  TOTAL VALUE:  COP 137.850.200 OIM CONTRIB:  COP 80.000.000 + 46.000.000 FUD CONTRIB:  COP 7.000.000 + 4.850.200"/>
    <s v="Implementing Partners"/>
    <s v="ASOCIACION DE APOYO AL DESARROLLO"/>
    <s v="Colombia"/>
    <n v="11561"/>
    <x v="0"/>
    <x v="3"/>
  </r>
  <r>
    <x v="0"/>
    <s v="DP.0962"/>
    <s v="2022 Regional Refugee and Migrant Response Plan (RMRP) for the Venezuelan Situation"/>
    <s v="MOVEMENT, EMERGENCY AND POST-CRISIS MIGRATION MANAGEMENT"/>
    <s v="Colombia"/>
    <n v="4500206654"/>
    <s v=" CONVENIO E&lt;(&gt;&amp;&lt;)&gt;E-026-002 DE 2022 12600281 CORPORACION DESARROLLO-CORPRODINCO  TOTAL VALUE: COP 584.551.000 IOM CONTRIB: COP 346.806.000 + 97.675.000 + 68.160.000 + 71.910.000 COR CONTRIB: COP $9.000.000 + 20.750.000 + 1.550.000 + 3.850.000"/>
    <s v="Implementing Partners"/>
    <s v="CORPORACION DESARROLLO CORPRODINCO"/>
    <s v="Colombia"/>
    <n v="37422"/>
    <x v="0"/>
    <x v="0"/>
  </r>
  <r>
    <x v="0"/>
    <s v="DP.0962"/>
    <s v="2022 Regional Refugee and Migrant Response Plan (RMRP) for the Venezuelan Situation"/>
    <s v="MOVEMENT, EMERGENCY AND POST-CRISIS MIGRATION MANAGEMENT"/>
    <s v="Colombia"/>
    <n v="4500206675"/>
    <s v=" CONVENIO E&lt;(&gt;&amp;&lt;)&gt;E-026-001 DE 2022 12627606 WORLD VISION INTERNATIONAL (IP)  TOTAL VALUE: COP 197.982.975 IOM CONTRIB: COP 184.193.372 WVI CONTRIB: COP  13.789.603"/>
    <s v="Implementing Partners"/>
    <s v="WORLD VISION INTERNATIONAL (IP)"/>
    <s v="Colombia"/>
    <n v="49210"/>
    <x v="0"/>
    <x v="1"/>
  </r>
  <r>
    <x v="0"/>
    <s v="DP.0962"/>
    <s v="2022 Regional Refugee and Migrant Response Plan (RMRP) for the Venezuelan Situation"/>
    <s v="MOVEMENT, EMERGENCY AND POST-CRISIS MIGRATION MANAGEMENT"/>
    <s v="Colombia"/>
    <n v="4500234504"/>
    <s v=" CONVENIO E&lt;(&gt;&amp;&lt;)&gt;E-026-008 DE 2022 12613461 CRUZ ROJA COLOM SECC C/MARCA (IP)  TOTAL VALUE: COP 1.645.884.497 IOM CONTRIB: COP 664.353.000 + 408.960.000 + 119.850.000 CRU CONTRIB: COP 347.635.664 + 105.085.833"/>
    <s v="Implementing Partners"/>
    <s v="CRUZ ROJA COLOMBIANA CUNDINAMARCA"/>
    <s v="Colombia"/>
    <n v="392965"/>
    <x v="0"/>
    <x v="4"/>
  </r>
  <r>
    <x v="0"/>
    <s v="DP.0962"/>
    <s v="2022 Regional Refugee and Migrant Response Plan (RMRP) for the Venezuelan Situation"/>
    <s v="MOVEMENT, EMERGENCY AND POST-CRISIS MIGRATION MANAGEMENT"/>
    <s v="Colombia"/>
    <n v="4500234505"/>
    <s v=" CONVENIO E&lt;(&gt;&amp;&lt;)&gt;E-026-007 DE 2022 12617462 SECRETA DE PASTORAL SOCIAL RIOHACHA  TOTAL VALUE:  COP 1.328.588.940 OIM CONTRIB:  COP 456.600.000 + 182.640.000 PAS CONTRIB:  COP 437.485.380 + 251.863.560"/>
    <s v="Implementing Partners"/>
    <s v="SECRETA DE PASTORAL SOCIAL RIOHACHA"/>
    <s v="Colombia"/>
    <n v="187558"/>
    <x v="0"/>
    <x v="5"/>
  </r>
  <r>
    <x v="0"/>
    <s v="DP.0962"/>
    <s v="2022 Regional Refugee and Migrant Response Plan (RMRP) for the Venezuelan Situation"/>
    <s v="MOVEMENT, EMERGENCY AND POST-CRISIS MIGRATION MANAGEMENT"/>
    <s v="Colombia"/>
    <n v="4500234802"/>
    <s v=" CONVENIO E&lt;(&gt;&amp;&lt;)&gt;E-026-009 DE 2022 12628275 FUNDACION COMMUNITAS (IP)  TOTAL VALUE:  COP 465.152.000 OIM CONTRIB:  COP 385.167.000 FUN CONTRIB:  COP 79.985.000"/>
    <s v="Implementing Partners"/>
    <s v="FUNDACION COMMUNITAS (IP)"/>
    <s v="Colombia"/>
    <n v="119007"/>
    <x v="0"/>
    <x v="0"/>
  </r>
  <r>
    <x v="0"/>
    <s v="DP.0962"/>
    <s v="2022 Regional Refugee and Migrant Response Plan (RMRP) for the Venezuelan Situation"/>
    <s v="MOVEMENT, EMERGENCY AND POST-CRISIS MIGRATION MANAGEMENT"/>
    <s v="Colombia"/>
    <n v="4500235894"/>
    <s v=" CONVENIO E&lt;(&gt;&amp;&lt;)&gt;E-026-012-2022 12611970 ALDEAS INFANTILES COLOMBIA  TOTAL VALUE:  COP 512.606.520 OIM CONTRIB:  COP 228.300.000 + 136,320,000 + 71.910.000 ALD CONTRIB:  COP 34.695.000 + 23.252.446 + 17.129.074"/>
    <s v="Implementing Partners"/>
    <s v="ALDEAS INFANTILES COLOMBIA"/>
    <s v="Colombia"/>
    <n v="147138"/>
    <x v="0"/>
    <x v="1"/>
  </r>
  <r>
    <x v="0"/>
    <s v="DP.0962"/>
    <s v="2022 Regional Refugee and Migrant Response Plan (RMRP) for the Venezuelan Situation"/>
    <s v="MOVEMENT, EMERGENCY AND POST-CRISIS MIGRATION MANAGEMENT"/>
    <s v="Colombia"/>
    <n v="4500235962"/>
    <s v=" CONVENIO E&lt;(&gt;&amp;&lt;)&gt;E-026-022-2022 12628262 SECRETARIADO DIOCESANO PASTORAL SOC  TOTAL VALUE:  COP 972.480.000 OIM CONTRIB:  COP 342.450.000 + 204.480.000 + 95.880.000 ALD CONTRIB:  COP 179.500.000 + 106.100.000 + 44.070.000"/>
    <s v="Implementing Partners"/>
    <s v="SECRETARIADO DIOCESANO PASTORAL SOC"/>
    <s v="Colombia"/>
    <n v="215237"/>
    <x v="0"/>
    <x v="5"/>
  </r>
  <r>
    <x v="0"/>
    <s v="DP.0962"/>
    <s v="2022 Regional Refugee and Migrant Response Plan (RMRP) for the Venezuelan Situation"/>
    <s v="MOVEMENT, EMERGENCY AND POST-CRISIS MIGRATION MANAGEMENT"/>
    <s v="Colombia"/>
    <n v="4500236869"/>
    <s v=" CONVENIO E&lt;(&gt;&amp;&lt;)&gt;E 026-024- DE 2022 12627208 FUNDACION RENACER  TOTAL VALUE:  COP 1.130.754.775 OIM CONTRIB:  COP 608.904.775 + 115.950.000 + 285.000.000 FUN CONTRIB:  COP 120.900.000"/>
    <s v="Implementing Partners"/>
    <s v="FUNDACION RENACER"/>
    <s v="Colombia"/>
    <n v="295494"/>
    <x v="0"/>
    <x v="0"/>
  </r>
  <r>
    <x v="0"/>
    <s v="DP.0962"/>
    <s v="2022 Regional Refugee and Migrant Response Plan (RMRP) for the Venezuelan Situation"/>
    <s v="MOVEMENT, EMERGENCY AND POST-CRISIS MIGRATION MANAGEMENT"/>
    <s v="Colombia"/>
    <n v="4500236872"/>
    <s v=" CONVENIO E&lt;(&gt;&amp;&lt;)&gt;E-026-023 DE 2022 12610326 SEC. DIOCES. PASTORAL SOCIAL IPIALE TOTAL VALUE: COP 1.559.527.750 IOM CONTRIB: COP 570.750.000 + 340.800.000 + 191.760.000 SEC CONTRIB: COP 244.417.750 + 146.000.000 + 65.800.000"/>
    <s v="Implementing Partners"/>
    <s v="SEC. DIOCES. PASTORAL SOCIAL IPIALE"/>
    <s v="Colombia"/>
    <n v="373316"/>
    <x v="0"/>
    <x v="5"/>
  </r>
  <r>
    <x v="0"/>
    <s v="DP.0962"/>
    <s v="2022 Regional Refugee and Migrant Response Plan (RMRP) for the Venezuelan Situation"/>
    <s v="MOVEMENT, EMERGENCY AND POST-CRISIS MIGRATION MANAGEMENT"/>
    <s v="Colombia"/>
    <n v="4500237308"/>
    <s v=" CONVENIO EE-026-019 DE 2022 12601091 SOCIEDAD NACIONAL DE LA CRUZ ROJA  TOTAL VALUE:  COP 2.133.915.468 OIM CONTRIB:  COP 456.600.000 + 313.536.000 VLLA DEL ROSARIO + 570.750.000 + 340.800.000 YOPAL 114.150.000 + 68.160.000 POPAYAN SOC CONTRIB:  COP 66.7"/>
    <s v="Implementing Partners"/>
    <s v="SOCIEDAD NACIONAL DE LA CRUZ ROJA ("/>
    <s v="Colombia"/>
    <n v="590254"/>
    <x v="0"/>
    <x v="4"/>
  </r>
  <r>
    <x v="0"/>
    <s v="DP.0962"/>
    <s v="2022 Regional Refugee and Migrant Response Plan (RMRP) for the Venezuelan Situation"/>
    <s v="MOVEMENT, EMERGENCY AND POST-CRISIS MIGRATION MANAGEMENT"/>
    <s v="Colombia"/>
    <n v="4500237349"/>
    <s v=" CONVENIO E&lt;(&gt;&amp;&lt;)&gt;E 026 - 017 DE 2022 12626899 ASOCIACION DE APOYO AL DESARROLLO  TOTAL VALUE:  COP 400.218.795 OIM CONTRIB:  COP 390.218.795 SOC CONTRIB:  COP 10.000.000"/>
    <s v="Implementing Partners"/>
    <s v="ASOCIACION DE APOYO AL DESARROLLO"/>
    <s v="Colombia"/>
    <n v="261745"/>
    <x v="0"/>
    <x v="3"/>
  </r>
  <r>
    <x v="0"/>
    <s v="DP.0962"/>
    <s v="2022 Regional Refugee and Migrant Response Plan (RMRP) for the Venezuelan Situation"/>
    <s v="MOVEMENT, EMERGENCY AND POST-CRISIS MIGRATION MANAGEMENT"/>
    <s v="Colombia"/>
    <n v="4500237709"/>
    <s v=" CONVENIO E&lt;(&gt;&amp;&lt;)&gt;E-026-013 DE 2022 12628992 Cooperative Assistance and Relief  TOTAL VALUE: COP 2.324.433.920 IOM CONTRIB: COP 1.201.755.000 + 832.100.597 COO CONTRIB: COP   191.486.444 + 99.091.879"/>
    <s v="Implementing Partners"/>
    <s v="COOP FOR ASSISTANCE AND RELIEF EVER"/>
    <s v="Colombia"/>
    <n v="510553"/>
    <x v="0"/>
    <x v="1"/>
  </r>
  <r>
    <x v="0"/>
    <s v="DP.0962"/>
    <s v="2022 Regional Refugee and Migrant Response Plan (RMRP) for the Venezuelan Situation"/>
    <s v="MOVEMENT, EMERGENCY AND POST-CRISIS MIGRATION MANAGEMENT"/>
    <s v="Colombia"/>
    <n v="4500238084"/>
    <s v=" CONVENIO E&lt;(&gt;&amp;&lt;)&gt;E 026-004 DE 2022 12627606 WORLD VISION INTERNATIONAL (IP)  TOTAL VALUE:  COP 463.930.660 OIM CONTRIB:  COP 280,765,394 + 155.781.762 WOR CONTRIB:  COP 17.823.574  +   9.559.930"/>
    <s v="Implementing Partners"/>
    <s v="WORLD VISION INTERNATIONAL (IP)"/>
    <s v="Colombia"/>
    <n v="147988"/>
    <x v="0"/>
    <x v="1"/>
  </r>
  <r>
    <x v="0"/>
    <s v="DP.0962"/>
    <s v="2022 Regional Refugee and Migrant Response Plan (RMRP) for the Venezuelan Situation"/>
    <s v="MOVEMENT, EMERGENCY AND POST-CRISIS MIGRATION MANAGEMENT"/>
    <s v="Colombia"/>
    <n v="4500238095"/>
    <s v=" CONVENIO E&lt;(&gt;&amp;&lt;)&gt;E-026-003 DE 2022 12626899 ASOCIACION DE APOYO AL DESARROLLO  TOTAL VALUE:  COP 768.450.000 OIM CONTRIB:  COP 741.000.000 SOC CONTRIB:  COP  27.450.000"/>
    <s v="Implementing Partners"/>
    <s v="ASOCIACION DE APOYO AL DESARROLLO"/>
    <s v="Colombia"/>
    <n v="218393"/>
    <x v="0"/>
    <x v="3"/>
  </r>
  <r>
    <x v="0"/>
    <s v="DP.0962"/>
    <s v="2022 Regional Refugee and Migrant Response Plan (RMRP) for the Venezuelan Situation"/>
    <s v="MOVEMENT, EMERGENCY AND POST-CRISIS MIGRATION MANAGEMENT"/>
    <s v="Colombia"/>
    <n v="4500241210"/>
    <s v=" CONVENIO E&lt;(&gt;&amp;&lt;)&gt;E-026-016 DE 2022 12627606 WORLD VISION INTERNATIONAL (IP)  TOTAL VALUE: COP 457.379.552 IOM CONTRIB: COP 280.080.000 + 145.162.294 WOR CONTRIB: COP  18.100.000 +  14.037.258"/>
    <s v="Implementing Partners"/>
    <s v="WORLD VISION INTERNATIONAL (IP)"/>
    <s v="Colombia"/>
    <n v="130170"/>
    <x v="0"/>
    <x v="1"/>
  </r>
  <r>
    <x v="0"/>
    <s v="DP.0962"/>
    <s v="2022 Regional Refugee and Migrant Response Plan (RMRP) for the Venezuelan Situation"/>
    <s v="MOVEMENT, EMERGENCY AND POST-CRISIS MIGRATION MANAGEMENT"/>
    <s v="Colombia"/>
    <n v="4500241211"/>
    <s v=" CONVENIO E&lt;(&gt;&amp;&lt;)&gt;E-026-018 DE 2022 12611970 ALDEAS INFANTILES COLOMBIA  TOTAL VALUE: COP 1.225.639.455 IOM CONTRIB: COP 1.225.639.455"/>
    <s v="Implementing Partners"/>
    <s v="ALDEAS INFANTILES COLOMBIA"/>
    <s v="Colombia"/>
    <n v="307669"/>
    <x v="0"/>
    <x v="1"/>
  </r>
  <r>
    <x v="0"/>
    <s v="DP.0962"/>
    <s v="2022 Regional Refugee and Migrant Response Plan (RMRP) for the Venezuelan Situation"/>
    <s v="MOVEMENT, EMERGENCY AND POST-CRISIS MIGRATION MANAGEMENT"/>
    <s v="Colombia"/>
    <n v="4500241910"/>
    <s v=" CONVENIO E&lt;(&gt;&amp;&lt;)&gt;E-026-010 DE 2022 12627100 SAMARITAN S PURSE (IP)  TOTAL VALUE: COP 570.004.805 IOM CONTRIB: COP 365.280.000 + 204.724.803"/>
    <s v="Implementing Partners"/>
    <s v="SAMARITAN S PURSE (IP)"/>
    <s v="Colombia"/>
    <n v="176798"/>
    <x v="0"/>
    <x v="1"/>
  </r>
  <r>
    <x v="0"/>
    <s v="DP.0962"/>
    <s v="2022 Regional Refugee and Migrant Response Plan (RMRP) for the Venezuelan Situation"/>
    <s v="MOVEMENT, EMERGENCY AND POST-CRISIS MIGRATION MANAGEMENT"/>
    <s v="Colombia"/>
    <n v="4500241977"/>
    <s v=" CONVENIO E&lt;(&gt;&amp;&lt;)&gt;E -026-027 DE 2022 12601139 CORPORACION OPCION LEGAL (IP)  TOTAL VALUE: COP 3.507.267.905 OIM CONTRIB: COP 3.507.267.905"/>
    <s v="Implementing Partners"/>
    <s v="CORPORACION OPCION LEGAL (IP)"/>
    <s v="Colombia"/>
    <n v="880419"/>
    <x v="0"/>
    <x v="0"/>
  </r>
  <r>
    <x v="0"/>
    <s v="DP.0962"/>
    <s v="2022 Regional Refugee and Migrant Response Plan (RMRP) for the Venezuelan Situation"/>
    <s v="MOVEMENT, EMERGENCY AND POST-CRISIS MIGRATION MANAGEMENT"/>
    <s v="Colombia"/>
    <n v="4500241981"/>
    <s v=" CONVENIO E&lt;(&gt;&amp;&lt;)&gt;E-026-014 DE 2022 12607926 FUNDACION PLAN  TOTAL VALUE: COP 1.487.989.072 IOM CONTRIB: COP 900.299.240 + 515.523.739 FUN CONTRIB: COP  45.491.421 +  26.674.672"/>
    <s v="Implementing Partners"/>
    <s v="FUNDACION PLAN"/>
    <s v="Colombia"/>
    <n v="440745"/>
    <x v="0"/>
    <x v="1"/>
  </r>
  <r>
    <x v="0"/>
    <s v="DP.0962"/>
    <s v="2022 Regional Refugee and Migrant Response Plan (RMRP) for the Venezuelan Situation"/>
    <s v="MOVEMENT, EMERGENCY AND POST-CRISIS MIGRATION MANAGEMENT"/>
    <s v="Colombia"/>
    <n v="4500242402"/>
    <s v=" CONVENIO E&lt;(&gt;&amp;&lt;)&gt;E-026-020 DE 2022 12627606 WORLD VISION INTERNATIONAL (IP)  TOTAL VALUE:  COP 577.615.657 OIM CONTRIB:  COP 280.080.000 + 139.419.187 WOR CONTRIB:  COP 80.950.988 + 77.165.482"/>
    <s v="Implementing Partners"/>
    <s v="WORLD VISION INTERNATIONAL (IP)"/>
    <s v="Colombia"/>
    <n v="140332"/>
    <x v="0"/>
    <x v="1"/>
  </r>
  <r>
    <x v="0"/>
    <s v="DP.0962"/>
    <s v="2022 Regional Refugee and Migrant Response Plan (RMRP) for the Venezuelan Situation"/>
    <s v="MOVEMENT, EMERGENCY AND POST-CRISIS MIGRATION MANAGEMENT"/>
    <s v="Colombia"/>
    <n v="4500242429"/>
    <s v=" CONVENIO E&lt;(&gt;&amp;&lt;)&gt;E-026-028 DE 2022 12628992 COOP FOR ASSISTANCE AND RELIEF EVER  TOTAL VALUE: COP   868.654.663 IOM CONTRIB: COP   652.641.876 + 87.742.174 SOC CONTRIB: COP   106.595.110 + 21.975.503"/>
    <s v="Implementing Partners"/>
    <s v="COOP FOR ASSISTANCE AND RELIEF EVER"/>
    <s v="Colombia"/>
    <n v="218771"/>
    <x v="0"/>
    <x v="1"/>
  </r>
  <r>
    <x v="0"/>
    <s v="DP.0962"/>
    <s v="2022 Regional Refugee and Migrant Response Plan (RMRP) for the Venezuelan Situation"/>
    <s v="MOVEMENT, EMERGENCY AND POST-CRISIS MIGRATION MANAGEMENT"/>
    <s v="Colombia"/>
    <n v="4500242870"/>
    <s v=" CONVENIO E&lt;(&gt;&amp;&lt;)&gt;E-019-036 DE 2022 12613461 CRUZ ROJA COLOM SECC C/MARCA (IP)  TOTAL VALUE: COP 650.349.500 IOM CONTRIB: COP 293.025.000 + 308.745.000 SOC CONTRIB: COP 48.579.000"/>
    <s v="Implementing Partners"/>
    <s v="CRUZ ROJA COLOMBIANA CUNDINAMARCA"/>
    <s v="Colombia"/>
    <n v="207785"/>
    <x v="0"/>
    <x v="4"/>
  </r>
  <r>
    <x v="0"/>
    <s v="DP.0962"/>
    <s v="2022 Regional Refugee and Migrant Response Plan (RMRP) for the Venezuelan Situation"/>
    <s v="MOVEMENT, EMERGENCY AND POST-CRISIS MIGRATION MANAGEMENT"/>
    <s v="Colombia"/>
    <n v="4500245067"/>
    <s v=" CONVENIO E&lt;(&gt;&amp;&lt;)&gt;E-026-025 DE 2022 12627100 SAMARITAN S PURSE (IP)  TOTAL VALUE:  COP 684.900.000 + 368.064.000 OIM CONTRIB:  COP 684.900.000 + 368.064.000"/>
    <s v="Implementing Partners"/>
    <s v="SAMARITAN S PURSE (IP)"/>
    <s v="Colombia"/>
    <n v="84341"/>
    <x v="0"/>
    <x v="1"/>
  </r>
  <r>
    <x v="0"/>
    <s v="DP.0962"/>
    <s v="2022 Regional Refugee and Migrant Response Plan (RMRP) for the Venezuelan Situation"/>
    <s v="MOVEMENT, EMERGENCY AND POST-CRISIS MIGRATION MANAGEMENT"/>
    <s v="Colombia"/>
    <n v="4500245072"/>
    <s v=" CONVENIO E&lt;(&gt;&amp;&lt;)&gt;E-026-015 de 2022 12627208 FUNDACION RENACER  TOTAL VALUE: COP   412.416.318 IOM CONTRIB: COP   171.031.462 + 104.163.222 SOC CONTRIB: COP   171.031.462 - 33.809.828"/>
    <s v="Implementing Partners"/>
    <s v="FUNDACION RENACER"/>
    <s v="Colombia"/>
    <n v="23869"/>
    <x v="0"/>
    <x v="0"/>
  </r>
  <r>
    <x v="0"/>
    <s v="DP.0962"/>
    <s v="2022 Regional Refugee and Migrant Response Plan (RMRP) for the Venezuelan Situation"/>
    <s v="MOVEMENT, EMERGENCY AND POST-CRISIS MIGRATION MANAGEMENT"/>
    <s v="Colombia"/>
    <n v="4500245501"/>
    <s v=" CONVENIO E&lt;(&gt;&amp;&lt;)&gt;E - 026 - 021 - DE 2022 12600259 CONSEJO NORUEGO PARA REFUGIADOS  TOTAL VALUE: COP  612.700.000 IOM CONTRIB: COP  612.700.000"/>
    <s v="Implementing Partners"/>
    <s v="CONSEJO NORUEGO PARA REFUGIADOS"/>
    <s v="Colombia"/>
    <n v="140399"/>
    <x v="0"/>
    <x v="1"/>
  </r>
  <r>
    <x v="0"/>
    <s v="DP.0962"/>
    <s v="2022 Regional Refugee and Migrant Response Plan (RMRP) for the Venezuelan Situation"/>
    <s v="MOVEMENT, EMERGENCY AND POST-CRISIS MIGRATION MANAGEMENT"/>
    <s v="Colombia"/>
    <n v="4500245512"/>
    <s v=" CONVENIO E&lt;(&gt;&amp;&lt;)&gt;E - 026 - 026 - DE 2022 12629047 FUNDACION BLUMONT COLOMBIA  TOTAL VALUE: COP  1.033.072.105 IOM CONTRIB: COP  1.033.072.105"/>
    <s v="Implementing Partners"/>
    <s v="FUNDACION BLUMONT COLOMBIA"/>
    <s v="Colombia"/>
    <n v="60553"/>
    <x v="0"/>
    <x v="1"/>
  </r>
  <r>
    <x v="0"/>
    <s v="DP.0962"/>
    <s v="2022 Regional Refugee and Migrant Response Plan (RMRP) for the Venezuelan Situation"/>
    <s v="MOVEMENT, EMERGENCY AND POST-CRISIS MIGRATION MANAGEMENT"/>
    <s v="Colombia"/>
    <n v="4500245555"/>
    <s v=" CONVENIO E&lt;(&gt;&amp;&lt;)&gt;E - 026 - 011 DE 2022 12627606 WORLD VISION INTERNATIONAL (IP)  TOTAL VALUE: COP  1.297.719.956 IOM CONTRIB: COP  1.297.719.956"/>
    <s v="Implementing Partners"/>
    <s v="WORLD VISION INTERNATIONAL (IP)"/>
    <s v="Colombia"/>
    <n v="102227"/>
    <x v="0"/>
    <x v="1"/>
  </r>
  <r>
    <x v="0"/>
    <s v="DP.0962"/>
    <s v="2022 Regional Refugee and Migrant Response Plan (RMRP) for the Venezuelan Situation"/>
    <s v="MOVEMENT, EMERGENCY AND POST-CRISIS MIGRATION MANAGEMENT"/>
    <s v="Colombia"/>
    <n v="4500268140"/>
    <s v=" CONVENIO E&lt;(&gt;&amp;&lt;)&gt;E-026-030 de 2022 12615137 CORPORACION VIVIENDO JUNTOS  TOTAL VALUE: COP   322.172.535 IOM CONTRIB: COP   192.000.000 SOC CONTRIB: COP   130.172.535"/>
    <s v="Implementing Partners"/>
    <s v="CORPORACION VIVIENDO JUNTOS"/>
    <s v="Colombia"/>
    <n v="47970"/>
    <x v="0"/>
    <x v="0"/>
  </r>
  <r>
    <x v="0"/>
    <s v="DP.0962"/>
    <s v="2022 Regional Refugee and Migrant Response Plan (RMRP) for the Venezuelan Situation"/>
    <s v="MOVEMENT, EMERGENCY AND POST-CRISIS MIGRATION MANAGEMENT"/>
    <s v="Colombia"/>
    <n v="4500275107"/>
    <s v=" CONVENIO E&lt;(&gt;&amp;&lt;)&gt;E-026-029 DE 2022 12628992 COOP FOR ASSISTANCE AND RELIEF  TOTAL VALUE: COP 900.546.005 OIM CONTRIB: COP 824.603.406 SOC CONTRIB: COP 75.942.599"/>
    <s v="Implementing Partners"/>
    <s v="COOP FOR ASSISTANCE AND RELIEF EVER"/>
    <s v="Colombia"/>
    <n v="275729"/>
    <x v="0"/>
    <x v="1"/>
  </r>
  <r>
    <x v="0"/>
    <s v="DP.1204"/>
    <s v="Comprehensive Action Plan for Afghanistan and Neighbouring Countries"/>
    <s v="MOVEMENT, EMERGENCY AND POST-CRISIS MIGRATION MANAGEMENT"/>
    <s v="Pakistan"/>
    <n v="4500266159"/>
    <s v=" PR # 4200367027 IP Agreement (Baluchistan Rural Development Society (BRDS)"/>
    <s v="Implementing Partners"/>
    <s v="BRDS PRJ"/>
    <s v="Pakistan"/>
    <n v="24237"/>
    <x v="0"/>
    <x v="0"/>
  </r>
  <r>
    <x v="0"/>
    <s v="DP.1204"/>
    <s v="Comprehensive Action Plan for Afghanistan and Neighbouring Countries"/>
    <s v="MOVEMENT, EMERGENCY AND POST-CRISIS MIGRATION MANAGEMENT"/>
    <s v="Pakistan"/>
    <n v="4500266187"/>
    <s v=" PR # 4200367052 mproving health facility infrastructure and Health service delivery in areas most affected by the floods, with focus on vulnerable Afghan and host communities"/>
    <s v="Implementing Partners"/>
    <s v="INNOVATIVE DEVELOPMENT ORGANIZATION"/>
    <s v="Pakistan"/>
    <n v="26284"/>
    <x v="0"/>
    <x v="0"/>
  </r>
  <r>
    <x v="0"/>
    <s v="DP.1204"/>
    <s v="Comprehensive Action Plan for Afghanistan and Neighbouring Countries"/>
    <s v="MOVEMENT, EMERGENCY AND POST-CRISIS MIGRATION MANAGEMENT"/>
    <s v="Tajikistan"/>
    <n v="4500225476"/>
    <s v=" Implementation of activities under IOM Project - Comprehensive Action Plan for Afghanistan and neighbouring countries."/>
    <s v="Implementing Partners"/>
    <s v="NGO Akhtari bakht"/>
    <s v="Tajikistan"/>
    <n v="11228"/>
    <x v="0"/>
    <x v="0"/>
  </r>
  <r>
    <x v="0"/>
    <s v="DP.1204"/>
    <s v="Comprehensive Action Plan for Afghanistan and Neighbouring Countries"/>
    <s v="MOVEMENT, EMERGENCY AND POST-CRISIS MIGRATION MANAGEMENT"/>
    <s v="Tajikistan"/>
    <n v="4500225500"/>
    <s v=" Implementation of activities under IOM Project - Comprehensive Action Plan for Afghanistan and neighbouring countries."/>
    <s v="Implementing Partners"/>
    <s v="NGO Madina"/>
    <s v="Tajikistan"/>
    <n v="11198"/>
    <x v="0"/>
    <x v="0"/>
  </r>
  <r>
    <x v="0"/>
    <s v="DP.1246"/>
    <s v="Responding to Typhoon Rai (Odette) in Eastern Visayas and Caraga Region"/>
    <s v="MOVEMENT, EMERGENCY AND POST-CRISIS MIGRATION MANAGEMENT"/>
    <s v="Philippines"/>
    <n v="4500185637"/>
    <s v=" PR No.: 4200196192 Please refer to the attached Project Implementation Agreement between IOM and CRS on Typhoon Rai Response in Eastern Visayas and Caraga Region"/>
    <s v="Implementing Partners"/>
    <s v="CATHOLIC RELIEF SERVICES-UNITED STA"/>
    <s v="Philippines"/>
    <n v="2077212"/>
    <x v="0"/>
    <x v="1"/>
  </r>
  <r>
    <x v="0"/>
    <s v="DP.1246"/>
    <s v="Responding to Typhoon Rai (Odette) in Eastern Visayas and Caraga Region"/>
    <s v="MOVEMENT, EMERGENCY AND POST-CRISIS MIGRATION MANAGEMENT"/>
    <s v="Philippines"/>
    <n v="4500189114"/>
    <s v=" PR NO.: 4200204425 IP CARE PHILIPPINES on Typhoon RAI Response in Surigao City and Siargao Island (BHA)  Please see attached signed Project Implementation Agreement"/>
    <s v="Implementing Partners"/>
    <s v="CARE Philippines"/>
    <s v="Philippines"/>
    <n v="1200000"/>
    <x v="0"/>
    <x v="1"/>
  </r>
  <r>
    <x v="0"/>
    <s v="DP.1398"/>
    <s v="Emergency Grant Aid in Response to the Deterioration of the Humanitarian Situation in Belarus"/>
    <s v="MOVEMENT, EMERGENCY AND POST-CRISIS MIGRATION MANAGEMENT"/>
    <s v="Belarus"/>
    <n v="4500180249"/>
    <s v="000000000500000124-IP transfers – National CSOs"/>
    <s v="Implementing Partners"/>
    <s v="Movement of Medical Workers"/>
    <s v="Belarus"/>
    <n v="8244"/>
    <x v="0"/>
    <x v="0"/>
  </r>
  <r>
    <x v="0"/>
    <s v="DP.1398"/>
    <s v="Emergency Grant Aid in Response to the Deterioration of the Humanitarian Situation in Belarus"/>
    <s v="MOVEMENT, EMERGENCY AND POST-CRISIS MIGRATION MANAGEMENT"/>
    <s v="Belarus"/>
    <n v="4500181268"/>
    <s v=" Grant to IP for emergency humanitarian support"/>
    <s v="Implementing Partners"/>
    <s v="Belarus Red Cross Society/Minsk"/>
    <s v="Belarus"/>
    <n v="100722"/>
    <x v="0"/>
    <x v="4"/>
  </r>
  <r>
    <x v="0"/>
    <s v="DP.1398"/>
    <s v="Emergency Grant Aid in Response to the Deterioration of the Humanitarian Situation in Belarus"/>
    <s v="MOVEMENT, EMERGENCY AND POST-CRISIS MIGRATION MANAGEMENT"/>
    <s v="Belarus"/>
    <n v="4500232814"/>
    <s v=" Grant to IP on counselling migrants coming from the territory of Ukraine on long-term solutions"/>
    <s v="Implementing Partners"/>
    <s v="Movement of Medical Workers"/>
    <s v="Belarus"/>
    <n v="32358"/>
    <x v="0"/>
    <x v="0"/>
  </r>
  <r>
    <x v="0"/>
    <s v="DP.1398"/>
    <s v="Emergency Grant Aid in Response to the Deterioration of the Humanitarian Situation in Belarus"/>
    <s v="MOVEMENT, EMERGENCY AND POST-CRISIS MIGRATION MANAGEMENT"/>
    <s v="Belarus"/>
    <n v="4500236520"/>
    <s v=" IP grant on counselling migrants coming from the territory of Ukraine on long-term solutions"/>
    <s v="Implementing Partners"/>
    <s v="Movement of Medical Workers"/>
    <s v="Belarus"/>
    <n v="4643"/>
    <x v="0"/>
    <x v="0"/>
  </r>
  <r>
    <x v="0"/>
    <s v="DP.1398"/>
    <s v="Emergency Grant Aid in Response to the Deterioration of the Humanitarian Situation in Belarus"/>
    <s v="MOVEMENT, EMERGENCY AND POST-CRISIS MIGRATION MANAGEMENT"/>
    <s v="Belarus"/>
    <n v="4500242735"/>
    <s v=" Grant to IP to conduct the activities within Displacement Tracking Matrix"/>
    <s v="Implementing Partners"/>
    <s v="Belarus Red Cross Society/Minsk"/>
    <s v="Belarus"/>
    <n v="31331"/>
    <x v="0"/>
    <x v="4"/>
  </r>
  <r>
    <x v="0"/>
    <s v="DP.1427"/>
    <s v="Emergency Response to Stranded Migrants in Belarus"/>
    <s v="MOVEMENT, EMERGENCY AND POST-CRISIS MIGRATION MANAGEMENT"/>
    <s v="Belarus"/>
    <n v="4500180249"/>
    <s v="000000000500000124-IP transfers – National CSOs"/>
    <s v="Implementing Partners"/>
    <s v="Movement of Medical Workers"/>
    <s v="Belarus"/>
    <n v="31012"/>
    <x v="0"/>
    <x v="0"/>
  </r>
  <r>
    <x v="0"/>
    <s v="DP.1427"/>
    <s v="Emergency Response to Stranded Migrants in Belarus"/>
    <s v="MOVEMENT, EMERGENCY AND POST-CRISIS MIGRATION MANAGEMENT"/>
    <s v="Belarus"/>
    <n v="4500181268"/>
    <s v=" Grant to IP for emergency humanitarian support"/>
    <s v="Implementing Partners"/>
    <s v="Belarus Red Cross Society/Minsk"/>
    <s v="Belarus"/>
    <n v="17584"/>
    <x v="0"/>
    <x v="4"/>
  </r>
  <r>
    <x v="0"/>
    <s v="DP.1427"/>
    <s v="Emergency Response to Stranded Migrants in Belarus"/>
    <s v="MOVEMENT, EMERGENCY AND POST-CRISIS MIGRATION MANAGEMENT"/>
    <s v="Belarus"/>
    <n v="4500242735"/>
    <s v=" Grant to IP to conduct the activities within Displacement Tracking Matrix"/>
    <s v="Implementing Partners"/>
    <s v="Belarus Red Cross Society/Minsk"/>
    <s v="Belarus"/>
    <n v="29309"/>
    <x v="0"/>
    <x v="4"/>
  </r>
  <r>
    <x v="0"/>
    <s v="DP.1685"/>
    <s v="Emergency Assistance for Afghan Returnee, Displaced and Otherwise Vulnerable Populations and Humanitarian Response Strengthening"/>
    <s v="MOVEMENT, EMERGENCY AND POST-CRISIS MIGRATION MANAGEMENT"/>
    <s v="Afghanistan"/>
    <n v="4500224976"/>
    <s v=" Relief Humanitarian Development Organization (RHDO) for supporting of COVID-19 responses in Nangarhar and Herat provinces of Afghanistan for the month of November 2021 to December 2021"/>
    <s v="Implementing Partners"/>
    <s v="RELIEF HUMANITARIAN DEVELOPMENT"/>
    <s v="Afghanistan"/>
    <n v="311182"/>
    <x v="0"/>
    <x v="0"/>
  </r>
  <r>
    <x v="0"/>
    <s v="DP.1685"/>
    <s v="Emergency Assistance for Afghan Returnee, Displaced and Otherwise Vulnerable Populations and Humanitarian Response Strengthening"/>
    <s v="MOVEMENT, EMERGENCY AND POST-CRISIS MIGRATION MANAGEMENT"/>
    <s v="Afghanistan"/>
    <n v="4500224978"/>
    <s v=" Organization for Health promotion and Management (OHPM) for supporting to COVID-19 response in Kandahar and Helmand provinces in Afghanistan from November 2021 to December 2021"/>
    <s v="Implementing Partners"/>
    <s v="ORGANIZATION FOR HEALTH PROMOTION"/>
    <s v="Afghanistan"/>
    <n v="259454"/>
    <x v="0"/>
    <x v="0"/>
  </r>
  <r>
    <x v="0"/>
    <s v="DP.1716"/>
    <s v="Strengthening the Humanitarian Response for Vulnerable People on the Move in Mexico"/>
    <s v="MOVEMENT, EMERGENCY AND POST-CRISIS MIGRATION MANAGEMENT"/>
    <s v="Mexico"/>
    <n v="4500222625"/>
    <s v=" Third payment upon delivery and approval of the second financial and technical report. COLEF"/>
    <s v="Implementing Partners"/>
    <s v="EL COLEGIO DE LA  FRONTERA NORTE AC"/>
    <s v="Mexico"/>
    <n v="387073"/>
    <x v="0"/>
    <x v="2"/>
  </r>
  <r>
    <x v="0"/>
    <s v="DP.1716"/>
    <s v="Strengthening the Humanitarian Response for Vulnerable People on the Move in Mexico"/>
    <s v="MOVEMENT, EMERGENCY AND POST-CRISIS MIGRATION MANAGEMENT"/>
    <s v="Mexico"/>
    <n v="4500247407"/>
    <s v=" Third instalment Training for shelters on requirements for thelr legal constitution, selection and training of university volunteers to support shelters."/>
    <s v="Implementing Partners"/>
    <s v="DIALOGO INTERCULTURAL MEXICANO AC"/>
    <s v="Mexico"/>
    <n v="40727"/>
    <x v="0"/>
    <x v="0"/>
  </r>
  <r>
    <x v="0"/>
    <s v="DP.1853"/>
    <s v="Emergency Grant Aid for the Philippines in Response to Typhoon Disaster"/>
    <s v="MOVEMENT, EMERGENCY AND POST-CRISIS MIGRATION MANAGEMENT"/>
    <s v="Philippines"/>
    <n v="4500192764"/>
    <s v=" PR No.: 4200211467 IP Catholic Relief Services on Typhoon Rai Shelter Support in Southern Leyte  Please refer to the attached PIA signed on 18-February2022"/>
    <s v="Implementing Partners"/>
    <s v="CATHOLIC RELIEF SERVICES-UNITED STA"/>
    <s v="Philippines"/>
    <n v="455892"/>
    <x v="0"/>
    <x v="1"/>
  </r>
  <r>
    <x v="0"/>
    <s v="DP.1940"/>
    <s v="Supporting the Establishment of a Humanitarian Programme for Africa"/>
    <s v="MOVEMENT, EMERGENCY AND POST-CRISIS MIGRATION MANAGEMENT"/>
    <s v="Cameroon"/>
    <n v="4500258650"/>
    <s v=" Implementing Partners for NFI distribution in RMM implementation NW: NOV 2022- FEB 2023"/>
    <s v="Implementing Partners"/>
    <s v="STRATEGIC HUMANITARIAN SERVICES"/>
    <s v="Cameroon"/>
    <n v="7520"/>
    <x v="0"/>
    <x v="0"/>
  </r>
  <r>
    <x v="0"/>
    <s v="DP.1940"/>
    <s v="Supporting the Establishment of a Humanitarian Programme for Africa"/>
    <s v="MOVEMENT, EMERGENCY AND POST-CRISIS MIGRATION MANAGEMENT"/>
    <s v="Cameroon"/>
    <n v="4500258651"/>
    <s v=" Implementing Partners for NFI distribution in RMM implementation SW - NOV 2022 - FEB 2023"/>
    <s v="Implementing Partners"/>
    <s v="CARITAS DIOCESE OF KUMBA"/>
    <s v="Cameroon"/>
    <n v="4497"/>
    <x v="0"/>
    <x v="6"/>
  </r>
  <r>
    <x v="0"/>
    <s v="DP.2035"/>
    <s v="Addressing Urgent Humanitarian Needs of Internally Displaced Persons and Returnees in Iraq"/>
    <s v="MOVEMENT, EMERGENCY AND POST-CRISIS MIGRATION MANAGEMENT"/>
    <s v="Iraq"/>
    <n v="4500199801"/>
    <s v=" PR#4200206448 Erbil/developing IP agreement with WRO supplementary PR for 4200099908 and 4200177543 for contusing"/>
    <s v="Implementing Partners"/>
    <s v="Women Rehabilitation Organization"/>
    <s v="Iraq"/>
    <n v="69000"/>
    <x v="0"/>
    <x v="0"/>
  </r>
  <r>
    <x v="0"/>
    <s v="DP.2038"/>
    <s v="Strengthening National Level Coordination and Collaboration for more effective Disaster Risk Reduction (DRR) Interventions in Bangladesh"/>
    <s v="MOVEMENT, EMERGENCY AND POST-CRISIS MIGRATION MANAGEMENT"/>
    <s v="Bangladesh"/>
    <n v="4500248413"/>
    <s v=" IP Special-Overhead"/>
    <s v="Implementing Partners"/>
    <s v="UN RESIDENT COORDINATOR'S OFFICE"/>
    <s v="Bangladesh"/>
    <n v="371742"/>
    <x v="0"/>
    <x v="7"/>
  </r>
  <r>
    <x v="0"/>
    <s v="DP.2042"/>
    <s v="Protection of Vulnerable Conflict-Affected Communities in Ukraine and Provision of Financial Assistance to Address Essential Needs"/>
    <s v="MOVEMENT, EMERGENCY AND POST-CRISIS MIGRATION MANAGEMENT"/>
    <s v="Ukraine"/>
    <n v="4500247189"/>
    <s v=" IP _ Ensuring comprehensive protection response in Chernivtsi oblast"/>
    <s v="Implementing Partners"/>
    <s v="NGO TGA Synergiya"/>
    <s v="Ukraine"/>
    <n v="107941"/>
    <x v="0"/>
    <x v="0"/>
  </r>
  <r>
    <x v="0"/>
    <s v="DP.2044"/>
    <s v="Protection and Winterization Assistance to the Most Vulnerable Conflict-Affected Populations in Ukraine"/>
    <s v="MOVEMENT, EMERGENCY AND POST-CRISIS MIGRATION MANAGEMENT"/>
    <s v="Ukraine"/>
    <n v="4500246331"/>
    <s v=" IP Agreement UA1-2022-3047_Implementing Partner for Operation of the National Toll-Free Counter-Trafficking and Migrant Advice Hotline 527 during August-December 2022"/>
    <s v="Implementing Partners"/>
    <s v="NGO Revival of the Nation"/>
    <s v="Ukraine"/>
    <n v="43301"/>
    <x v="0"/>
    <x v="0"/>
  </r>
  <r>
    <x v="0"/>
    <s v="DP.2044"/>
    <s v="Protection and Winterization Assistance to the Most Vulnerable Conflict-Affected Populations in Ukraine"/>
    <s v="MOVEMENT, EMERGENCY AND POST-CRISIS MIGRATION MANAGEMENT"/>
    <s v="Ukraine"/>
    <n v="4500246876"/>
    <s v=" IP services_Implementation of the project on ensuring comprehensive protection assistance for survivors of trafficking, exploitation and GBV in Odesa oblast"/>
    <s v="Implementing Partners"/>
    <s v="NGO Faith Hope Love - Odesa"/>
    <s v="Ukraine"/>
    <n v="60000"/>
    <x v="0"/>
    <x v="0"/>
  </r>
  <r>
    <x v="0"/>
    <s v="DP.2044"/>
    <s v="Protection and Winterization Assistance to the Most Vulnerable Conflict-Affected Populations in Ukraine"/>
    <s v="MOVEMENT, EMERGENCY AND POST-CRISIS MIGRATION MANAGEMENT"/>
    <s v="Ukraine"/>
    <n v="4500246901"/>
    <s v=" IP services_Implementation of the project on ensuring comprehensive protection response for survivors of trafficking, exploitation and GBV in Volyn oblast"/>
    <s v="Implementing Partners"/>
    <s v="NGO Volyn Perspectives"/>
    <s v="Ukraine"/>
    <n v="71835"/>
    <x v="0"/>
    <x v="0"/>
  </r>
  <r>
    <x v="0"/>
    <s v="DP.2044"/>
    <s v="Protection and Winterization Assistance to the Most Vulnerable Conflict-Affected Populations in Ukraine"/>
    <s v="MOVEMENT, EMERGENCY AND POST-CRISIS MIGRATION MANAGEMENT"/>
    <s v="Ukraine"/>
    <n v="4500246911"/>
    <s v=" IP services_Implementation of the project on ensuring comprehensive protection response for survivors of trafficking, exploitation and GBV In RIVNE OBLAST"/>
    <s v="Implementing Partners"/>
    <s v="Center Chayka"/>
    <s v="Ukraine"/>
    <n v="70793"/>
    <x v="0"/>
    <x v="0"/>
  </r>
  <r>
    <x v="0"/>
    <s v="DP.2044"/>
    <s v="Protection and Winterization Assistance to the Most Vulnerable Conflict-Affected Populations in Ukraine"/>
    <s v="MOVEMENT, EMERGENCY AND POST-CRISIS MIGRATION MANAGEMENT"/>
    <s v="Ukraine"/>
    <n v="4500248523"/>
    <s v=" IP services for the project on CHT, exploitation and GBV_Chernihiv obl"/>
    <s v="Implementing Partners"/>
    <s v="NGO Chernihiv Publ Com for HRP"/>
    <s v="Ukraine"/>
    <n v="70636"/>
    <x v="0"/>
    <x v="0"/>
  </r>
  <r>
    <x v="0"/>
    <s v="DP.2044"/>
    <s v="Protection and Winterization Assistance to the Most Vulnerable Conflict-Affected Populations in Ukraine"/>
    <s v="MOVEMENT, EMERGENCY AND POST-CRISIS MIGRATION MANAGEMENT"/>
    <s v="Ukraine"/>
    <n v="4500259636"/>
    <s v=" Our Reference: PR NO. (4200351099) IP services for distribution of NFI items in Mykolaivska Oblast  Type of contract signed: Framework agreement  PO is for internal use  - financial tracking only (no signature required)."/>
    <s v="Implementing Partners"/>
    <s v="NGO UKRAINSKA ASOTSIATSIIA TSENTRIV"/>
    <s v="Ukraine"/>
    <n v="1928"/>
    <x v="0"/>
    <x v="0"/>
  </r>
  <r>
    <x v="0"/>
    <s v="DP.2051"/>
    <s v="Individual Measure to Strengthen the Response Capacity to Manage Migration Flows in Bosnia and Herzegovina"/>
    <s v="MOVEMENT, EMERGENCY AND POST-CRISIS MIGRATION MANAGEMENT"/>
    <s v="Bosnia-Herz."/>
    <n v="4500210690"/>
    <s v=" Contract 221-22-AD-BA410-NP  Project Implemenetation Agreement signed with Association ASUS on SMILE (Saradnja migrantskih i lokalnih ekipa/ Cooperation between migrant and local teams)  *Po revised after signed 1 Amendment ref 352-22-AD-BA410-NP"/>
    <s v="Implementing Partners"/>
    <s v="Udruzenje ASUS"/>
    <s v="Bosnia and Hezergovina"/>
    <n v="2048"/>
    <x v="0"/>
    <x v="3"/>
  </r>
  <r>
    <x v="0"/>
    <s v="DP.2051"/>
    <s v="Individual Measure to Strengthen the Response Capacity to Manage Migration Flows in Bosnia and Herzegovina"/>
    <s v="MOVEMENT, EMERGENCY AND POST-CRISIS MIGRATION MANAGEMENT"/>
    <s v="Bosnia-Herz."/>
    <n v="4500250484"/>
    <s v=" Udruzenje Obojena klapa-1st instalement after signature of this Agreement and upon IOM’s receipt of the Implementing Partner’s payment request."/>
    <s v="Implementing Partners"/>
    <s v="Udruzenje Obojena Klapa"/>
    <s v="Bosnia and Hezergovina"/>
    <n v="4353"/>
    <x v="0"/>
    <x v="0"/>
  </r>
  <r>
    <x v="0"/>
    <s v="DP.2051"/>
    <s v="Individual Measure to Strengthen the Response Capacity to Manage Migration Flows in Bosnia and Herzegovina"/>
    <s v="MOVEMENT, EMERGENCY AND POST-CRISIS MIGRATION MANAGEMENT"/>
    <s v="Bosnia-Herz."/>
    <n v="4500272429"/>
    <s v=" Individual measure to strengthen the response capacity to manage migration flows in Bosnia and Herzegovina for the period of 01 April to 31 December 2022 * PO prepared retoactively from 01 April 2022"/>
    <s v="Implementing Partners"/>
    <s v="Danish refugee Council (DRC)"/>
    <s v="Bosnia and Hezergovina"/>
    <n v="2641876"/>
    <x v="0"/>
    <x v="1"/>
  </r>
  <r>
    <x v="0"/>
    <s v="DP.2058"/>
    <s v="Humanitarian Assistance to Conflict Affected Households in Greater Upper Nile, South Sudan"/>
    <s v="MOVEMENT, EMERGENCY AND POST-CRISIS MIGRATION MANAGEMENT"/>
    <s v="South Sudan"/>
    <n v="4500253062"/>
    <s v=" Contractual cost for implementation of GBV Response project in Juba through FCDO funds under REF #4200332637."/>
    <s v="Implementing Partners"/>
    <s v="ACTIVE YOUTH AGENCY (AYA)"/>
    <s v="South Sudan"/>
    <n v="56969"/>
    <x v="0"/>
    <x v="0"/>
  </r>
  <r>
    <x v="0"/>
    <s v="DP.2093"/>
    <s v="Rapid Response Fund for Humanitarian Emergencies in Sudan"/>
    <s v="MOVEMENT, EMERGENCY AND POST-CRISIS MIGRATION MANAGEMENT"/>
    <s v="Sudan"/>
    <n v="4500184243"/>
    <s v="000000000500000123-IP transfers – International CSOs"/>
    <s v="Implementing Partners"/>
    <s v="ACTED Sudan"/>
    <s v="Sudan"/>
    <n v="208708"/>
    <x v="0"/>
    <x v="1"/>
  </r>
  <r>
    <x v="0"/>
    <s v="DP.2093"/>
    <s v="Rapid Response Fund for Humanitarian Emergencies in Sudan"/>
    <s v="MOVEMENT, EMERGENCY AND POST-CRISIS MIGRATION MANAGEMENT"/>
    <s v="Sudan"/>
    <n v="4500187650"/>
    <s v=" PR# 4200200149"/>
    <s v="Implementing Partners"/>
    <s v="Humanity for Development and Prospe"/>
    <s v="Sudan"/>
    <n v="78964"/>
    <x v="0"/>
    <x v="0"/>
  </r>
  <r>
    <x v="0"/>
    <s v="DP.2093"/>
    <s v="Rapid Response Fund for Humanitarian Emergencies in Sudan"/>
    <s v="MOVEMENT, EMERGENCY AND POST-CRISIS MIGRATION MANAGEMENT"/>
    <s v="Sudan"/>
    <n v="4500196684"/>
    <s v=" PR#4200211706"/>
    <s v="Implementing Partners"/>
    <s v="International Aid Service"/>
    <s v="Sudan"/>
    <n v="250000"/>
    <x v="0"/>
    <x v="1"/>
  </r>
  <r>
    <x v="0"/>
    <s v="DP.2093"/>
    <s v="Rapid Response Fund for Humanitarian Emergencies in Sudan"/>
    <s v="MOVEMENT, EMERGENCY AND POST-CRISIS MIGRATION MANAGEMENT"/>
    <s v="Sudan"/>
    <n v="4500196686"/>
    <s v=" PR#4200211716 PR#4200269926"/>
    <s v="Implementing Partners"/>
    <s v="United Peace Organization"/>
    <s v="Sudan"/>
    <n v="484150"/>
    <x v="0"/>
    <x v="0"/>
  </r>
  <r>
    <x v="0"/>
    <s v="DP.2093"/>
    <s v="Rapid Response Fund for Humanitarian Emergencies in Sudan"/>
    <s v="MOVEMENT, EMERGENCY AND POST-CRISIS MIGRATION MANAGEMENT"/>
    <s v="Sudan"/>
    <n v="4500196689"/>
    <s v=" PR# 4200211638"/>
    <s v="Implementing Partners"/>
    <s v="SORR-Sudanese Organization Relief &amp;"/>
    <s v="Sudan"/>
    <n v="321373"/>
    <x v="0"/>
    <x v="0"/>
  </r>
  <r>
    <x v="0"/>
    <s v="DP.2093"/>
    <s v="Rapid Response Fund for Humanitarian Emergencies in Sudan"/>
    <s v="MOVEMENT, EMERGENCY AND POST-CRISIS MIGRATION MANAGEMENT"/>
    <s v="Sudan"/>
    <n v="4500201172"/>
    <s v=" PR#4200212761 Additional PR#4200270224"/>
    <s v="Implementing Partners"/>
    <s v="Triangle Generation HUmanitaire"/>
    <s v="France"/>
    <n v="327500"/>
    <x v="0"/>
    <x v="1"/>
  </r>
  <r>
    <x v="0"/>
    <s v="DP.2093"/>
    <s v="Rapid Response Fund for Humanitarian Emergencies in Sudan"/>
    <s v="MOVEMENT, EMERGENCY AND POST-CRISIS MIGRATION MANAGEMENT"/>
    <s v="Sudan"/>
    <n v="4500203259"/>
    <s v=" PR# 4200217749"/>
    <s v="Implementing Partners"/>
    <s v="Peace Light for Rural Development O"/>
    <s v="Sudan"/>
    <n v="189320"/>
    <x v="0"/>
    <x v="0"/>
  </r>
  <r>
    <x v="0"/>
    <s v="DP.2093"/>
    <s v="Rapid Response Fund for Humanitarian Emergencies in Sudan"/>
    <s v="MOVEMENT, EMERGENCY AND POST-CRISIS MIGRATION MANAGEMENT"/>
    <s v="Sudan"/>
    <n v="4500226971"/>
    <s v=" RRF-22-06-protection/WASH PR# 4200270004"/>
    <s v="Implementing Partners"/>
    <s v="Humanity for Development and Prospe"/>
    <s v="Sudan"/>
    <n v="237738"/>
    <x v="0"/>
    <x v="0"/>
  </r>
  <r>
    <x v="0"/>
    <s v="DP.2093"/>
    <s v="Rapid Response Fund for Humanitarian Emergencies in Sudan"/>
    <s v="MOVEMENT, EMERGENCY AND POST-CRISIS MIGRATION MANAGEMENT"/>
    <s v="Sudan"/>
    <n v="4500230912"/>
    <s v=" 1st installment (advanced upon signature of the agreement and upon IOM's receipt of the sub-grantees payment request)."/>
    <s v="Implementing Partners"/>
    <s v="DOSHA for Social Development Org"/>
    <s v="Sudan"/>
    <n v="142614"/>
    <x v="0"/>
    <x v="0"/>
  </r>
  <r>
    <x v="0"/>
    <s v="DP.2093"/>
    <s v="Rapid Response Fund for Humanitarian Emergencies in Sudan"/>
    <s v="MOVEMENT, EMERGENCY AND POST-CRISIS MIGRATION MANAGEMENT"/>
    <s v="Sudan"/>
    <n v="4500230918"/>
    <s v=" RRF-22-08-Health DP.2093 PR#4200281119"/>
    <s v="Implementing Partners"/>
    <s v="NIDAA"/>
    <s v="Sudan"/>
    <n v="201088"/>
    <x v="0"/>
    <x v="0"/>
  </r>
  <r>
    <x v="0"/>
    <s v="DP.2141"/>
    <s v="Greening Humanitarian Responses through Recovery, Repair, and Recycling of Solar Products in Camps"/>
    <s v="MOVEMENT, EMERGENCY AND POST-CRISIS MIGRATION MANAGEMENT"/>
    <s v="Uganda"/>
    <n v="4500192818"/>
    <s v=" First installment payment as per contract"/>
    <s v="Implementing Partners"/>
    <s v="Community Technology Empowerment"/>
    <s v="Uganda"/>
    <n v="35994"/>
    <x v="0"/>
    <x v="3"/>
  </r>
  <r>
    <x v="0"/>
    <s v="DP.2200"/>
    <s v="Multi-Sectoral Support for Crisis-Affected Population in Libya"/>
    <s v="MOVEMENT, EMERGENCY AND POST-CRISIS MIGRATION MANAGEMENT"/>
    <s v="Libya"/>
    <n v="4500193164"/>
    <s v=" Consultancy services- Mr. Mohammed Khaldi Tayeb, Mig Expert ***UNHCR-IOM Contribution Agreement***  PO Reference: PR 4200206278 approved on 23/Feb/2022   PO revision dated 12 July 2022 - wbs amended per finance email 18 May 2022, only line 10 retained an"/>
    <s v="Implementing Partners"/>
    <s v="UNHCR"/>
    <s v="Libya"/>
    <n v="17609"/>
    <x v="0"/>
    <x v="7"/>
  </r>
  <r>
    <x v="0"/>
    <s v="DP.2202"/>
    <s v="Humanitarian Assistance to Rohingya and Host Communities in Bangladesh"/>
    <s v="MOVEMENT, EMERGENCY AND POST-CRISIS MIGRATION MANAGEMENT"/>
    <s v="Bangladesh"/>
    <n v="4500182678"/>
    <s v=" IP agreement with BRAC at camp 10 PR#4200183186 Duration: Jan to Dec 2022 Program: WASH Requester: Tumpa Mubashara"/>
    <s v="Implementing Partners"/>
    <s v="BRAC"/>
    <s v="Bangladesh"/>
    <n v="419175"/>
    <x v="0"/>
    <x v="0"/>
  </r>
  <r>
    <x v="0"/>
    <s v="DP.2202"/>
    <s v="Humanitarian Assistance to Rohingya and Host Communities in Bangladesh"/>
    <s v="MOVEMENT, EMERGENCY AND POST-CRISIS MIGRATION MANAGEMENT"/>
    <s v="Bangladesh"/>
    <n v="4500182684"/>
    <s v=" IP Agreement with SHED at Camp 2W PR#4200183262 Program: WASH Requester: Tumpa Mubashara Duration: one Year from January 1, 2022 to December 31, 2022"/>
    <s v="Implementing Partners"/>
    <s v="Society for Health Extension &amp;Dev.("/>
    <s v="Bangladesh"/>
    <n v="341506"/>
    <x v="0"/>
    <x v="3"/>
  </r>
  <r>
    <x v="0"/>
    <s v="DP.2202"/>
    <s v="Humanitarian Assistance to Rohingya and Host Communities in Bangladesh"/>
    <s v="MOVEMENT, EMERGENCY AND POST-CRISIS MIGRATION MANAGEMENT"/>
    <s v="Bangladesh"/>
    <n v="4500182998"/>
    <s v=" Cost of CARE Bangladesh contract agreement of Site Management support and site development activities Duration: January 1, 202 to March 31, 2022 PR#4200183772 Program: Site Management Requester: Arman Rahim Chy"/>
    <s v="Implementing Partners"/>
    <s v="CARE BANGLADESH"/>
    <s v="Bangladesh"/>
    <n v="268475"/>
    <x v="0"/>
    <x v="1"/>
  </r>
  <r>
    <x v="0"/>
    <s v="DP.2202"/>
    <s v="Humanitarian Assistance to Rohingya and Host Communities in Bangladesh"/>
    <s v="MOVEMENT, EMERGENCY AND POST-CRISIS MIGRATION MANAGEMENT"/>
    <s v="Bangladesh"/>
    <n v="4500183035"/>
    <s v=" IP cost IP: Catholic Relief Services (CRS) Duration: SIx Months from January 1, 2022 to June 30, 2022 Program: Shelter Requester: Md. Anamul Haque PR#4200183299"/>
    <s v="Implementing Partners"/>
    <s v="CATHOLIC RELIEF SERVICES-UNITED STA"/>
    <s v="USA"/>
    <n v="68941"/>
    <x v="0"/>
    <x v="1"/>
  </r>
  <r>
    <x v="0"/>
    <s v="DP.2202"/>
    <s v="Humanitarian Assistance to Rohingya and Host Communities in Bangladesh"/>
    <s v="MOVEMENT, EMERGENCY AND POST-CRISIS MIGRATION MANAGEMENT"/>
    <s v="Bangladesh"/>
    <n v="4500183043"/>
    <s v=" IP cost IP: CRS Duration: Six Month from January 1, 2022 to June 30, 2022 PR#4200185366 Program; Shelter Requester: Md. Anamul Haque"/>
    <s v="Implementing Partners"/>
    <s v="NORWEGIAN REFUGEE COUNCIL (NRC)"/>
    <s v="Bangladesh"/>
    <n v="19243"/>
    <x v="0"/>
    <x v="1"/>
  </r>
  <r>
    <x v="0"/>
    <s v="DP.2202"/>
    <s v="Humanitarian Assistance to Rohingya and Host Communities in Bangladesh"/>
    <s v="MOVEMENT, EMERGENCY AND POST-CRISIS MIGRATION MANAGEMENT"/>
    <s v="Bangladesh"/>
    <n v="4500183471"/>
    <s v=" BNWLA new contract for January to December 2022 PR#4200183735 Program: Protection Requester: Thui Sha Ching Marma"/>
    <s v="Implementing Partners"/>
    <s v="BNWLA"/>
    <s v="Bangladesh"/>
    <n v="152283"/>
    <x v="0"/>
    <x v="0"/>
  </r>
  <r>
    <x v="0"/>
    <s v="DP.2202"/>
    <s v="Humanitarian Assistance to Rohingya and Host Communities in Bangladesh"/>
    <s v="MOVEMENT, EMERGENCY AND POST-CRISIS MIGRATION MANAGEMENT"/>
    <s v="Bangladesh"/>
    <n v="4500185993"/>
    <s v=" IP cost caritas Duration: Jan-Mar 2022 PR#4200185375 Program: Shelter Requester: Md. Anamul Haque"/>
    <s v="Implementing Partners"/>
    <s v="CARITAS BANGLADESH"/>
    <s v="Bangladesh"/>
    <n v="11993"/>
    <x v="0"/>
    <x v="6"/>
  </r>
  <r>
    <x v="0"/>
    <s v="DP.2202"/>
    <s v="Humanitarian Assistance to Rohingya and Host Communities in Bangladesh"/>
    <s v="MOVEMENT, EMERGENCY AND POST-CRISIS MIGRATION MANAGEMENT"/>
    <s v="Bangladesh"/>
    <n v="4500190414"/>
    <s v=" ACAPS - RLA Agreement (First installment of payment from Jan-December 2022 PR#4200185098 Program:NPM Requester:Mohammad Fahim HASAN"/>
    <s v="Implementing Partners"/>
    <s v="NORWEGIAN REFUGEE COUNCIL (NRC)"/>
    <s v="Bangladesh"/>
    <n v="265194"/>
    <x v="0"/>
    <x v="1"/>
  </r>
  <r>
    <x v="0"/>
    <s v="DP.2202"/>
    <s v="Humanitarian Assistance to Rohingya and Host Communities in Bangladesh"/>
    <s v="MOVEMENT, EMERGENCY AND POST-CRISIS MIGRATION MANAGEMENT"/>
    <s v="Bangladesh"/>
    <n v="4500211770"/>
    <s v=" Cost of Shushilan Contract agreement of Site Development activities on camp 22, 24 &lt;(&gt;&amp;&lt;)&gt; 25 PR#4200232052 Program/Unit: Programme Support SMSD Requester: Arman Rahim Chy Duration: April01- June 30, 2022"/>
    <s v="Implementing Partners"/>
    <s v="SHUSHILAN"/>
    <s v="Bangladesh"/>
    <n v="201012"/>
    <x v="0"/>
    <x v="0"/>
  </r>
  <r>
    <x v="0"/>
    <s v="DP.2202"/>
    <s v="Humanitarian Assistance to Rohingya and Host Communities in Bangladesh"/>
    <s v="MOVEMENT, EMERGENCY AND POST-CRISIS MIGRATION MANAGEMENT"/>
    <s v="Bangladesh"/>
    <n v="4500212651"/>
    <s v=" Fund Transfer to IP RTMI PR#4200228599 Program/Unit: Medical Response Requester: Md.Alamgir MIah Duration: April to June 2022"/>
    <s v="Implementing Partners"/>
    <s v="RESEARCH TRAINING &amp; MANAGEMENT INT"/>
    <s v="Bangladesh"/>
    <n v="103500"/>
    <x v="0"/>
    <x v="0"/>
  </r>
  <r>
    <x v="0"/>
    <s v="DP.2202"/>
    <s v="Humanitarian Assistance to Rohingya and Host Communities in Bangladesh"/>
    <s v="MOVEMENT, EMERGENCY AND POST-CRISIS MIGRATION MANAGEMENT"/>
    <s v="Bangladesh"/>
    <n v="4500234616"/>
    <s v=" Fund transfer to IP Caritas Bangladesh. P#4200265861 Program: NFI and Shelter Requester: Md. Anamul Haque Duration: April 1, 2022 to June 30, 2022"/>
    <s v="Implementing Partners"/>
    <s v="CARITAS BANGLADESH"/>
    <s v="Bangladesh"/>
    <n v="21730"/>
    <x v="0"/>
    <x v="6"/>
  </r>
  <r>
    <x v="0"/>
    <s v="DP.2202"/>
    <s v="Humanitarian Assistance to Rohingya and Host Communities in Bangladesh"/>
    <s v="MOVEMENT, EMERGENCY AND POST-CRISIS MIGRATION MANAGEMENT"/>
    <s v="Bangladesh"/>
    <n v="4500234657"/>
    <s v=" Fund Transfer to IP RTMI(Extension) PR#4200276513 Program: Medical Response Duration: July 1, 2022 to December 31, 2022 Requester: Md. Alamgir Miah"/>
    <s v="Implementing Partners"/>
    <s v="RESEARCH TRAINING &amp; MANAGEMENT INT"/>
    <s v="Bangladesh"/>
    <n v="374320"/>
    <x v="0"/>
    <x v="0"/>
  </r>
  <r>
    <x v="0"/>
    <s v="DP.2202"/>
    <s v="Humanitarian Assistance to Rohingya and Host Communities in Bangladesh"/>
    <s v="MOVEMENT, EMERGENCY AND POST-CRISIS MIGRATION MANAGEMENT"/>
    <s v="Bangladesh"/>
    <n v="4500240272"/>
    <s v=" Fund trnasfer to Prattyashi for 1 August 2022 to 31 December 2022 PR#4200299093 Program: Social COhesion Requester: Faiz Noor"/>
    <s v="Implementing Partners"/>
    <s v="PROTTYASHI"/>
    <s v="Bangladesh"/>
    <n v="234975"/>
    <x v="0"/>
    <x v="3"/>
  </r>
  <r>
    <x v="0"/>
    <s v="DP.2202"/>
    <s v="Humanitarian Assistance to Rohingya and Host Communities in Bangladesh"/>
    <s v="MOVEMENT, EMERGENCY AND POST-CRISIS MIGRATION MANAGEMENT"/>
    <s v="Bangladesh"/>
    <n v="4500240583"/>
    <s v=" Fund Transfer to Nowzuwan for three months from July 1, 2022 to September 31, 2022 PR#4200311420 Program: Programme Support SMSD Requester: Arman Rahim Chy"/>
    <s v="Implementing Partners"/>
    <s v="NOWZUWAN"/>
    <s v="Bangladesh"/>
    <n v="70351"/>
    <x v="0"/>
    <x v="0"/>
  </r>
  <r>
    <x v="0"/>
    <s v="DP.2202"/>
    <s v="Humanitarian Assistance to Rohingya and Host Communities in Bangladesh"/>
    <s v="MOVEMENT, EMERGENCY AND POST-CRISIS MIGRATION MANAGEMENT"/>
    <s v="Bangladesh"/>
    <n v="4500240902"/>
    <s v=" Fund Transfer to the IP Shushilan for three months from July 1, 2022- September 30, 2022 PR#4200310143 Program: Programme  Support SMSD Requester: Arman Rahim Chy"/>
    <s v="Implementing Partners"/>
    <s v="SHUSHILAN"/>
    <s v="Bangladesh"/>
    <n v="153510"/>
    <x v="0"/>
    <x v="0"/>
  </r>
  <r>
    <x v="0"/>
    <s v="DP.2202"/>
    <s v="Humanitarian Assistance to Rohingya and Host Communities in Bangladesh"/>
    <s v="MOVEMENT, EMERGENCY AND POST-CRISIS MIGRATION MANAGEMENT"/>
    <s v="Bangladesh"/>
    <n v="4500244007"/>
    <s v=" Cost of DRC  Contract agreement of Site Management Support it Camp 8E, 8W, 11 &lt;(&gt;&amp;&lt;)&gt; 12 PR#4200310271 Program:Programme Support SMSD Requester: Arman Rahim Chy"/>
    <s v="Implementing Partners"/>
    <s v="Danish Refugee Council(DRC)"/>
    <s v="Denmark"/>
    <n v="322900"/>
    <x v="0"/>
    <x v="1"/>
  </r>
  <r>
    <x v="0"/>
    <s v="DP.2202"/>
    <s v="Humanitarian Assistance to Rohingya and Host Communities in Bangladesh"/>
    <s v="MOVEMENT, EMERGENCY AND POST-CRISIS MIGRATION MANAGEMENT"/>
    <s v="Bangladesh"/>
    <n v="4500259101"/>
    <s v=" PR-4200280755 Unit-NFI &lt;(&gt;&amp;&lt;)&gt; Shelter Requester- Md Anamu HAQUE"/>
    <s v="Implementing Partners"/>
    <s v="CARITAS BANGLADESH"/>
    <s v="Bangladesh"/>
    <n v="17378"/>
    <x v="0"/>
    <x v="6"/>
  </r>
  <r>
    <x v="0"/>
    <s v="DP.2202"/>
    <s v="Humanitarian Assistance to Rohingya and Host Communities in Bangladesh"/>
    <s v="MOVEMENT, EMERGENCY AND POST-CRISIS MIGRATION MANAGEMENT"/>
    <s v="Bangladesh"/>
    <n v="4500267079"/>
    <s v=" IP transfers – National CSOs (Goods) Staff cost"/>
    <s v="Implementing Partners"/>
    <s v="CATHOLIC RELIEF SERVICES-UNITED STA"/>
    <s v="USA"/>
    <n v="137902"/>
    <x v="0"/>
    <x v="1"/>
  </r>
  <r>
    <x v="0"/>
    <s v="DP.2233"/>
    <s v="Improving Efficiency of Humanitarian Water Supply Interventions through the Use of Solar Energy"/>
    <s v="MOVEMENT, EMERGENCY AND POST-CRISIS MIGRATION MANAGEMENT"/>
    <s v="Thailand"/>
    <n v="4500201451"/>
    <s v=" PR4200206863 BAS  IOM office-specific Ref. No.: TH002-2022 LEG Reference: TH/06551/IMPL  Project entitled &quot;IMPROVING EFFICIENCY OF HUMANITARIAN WATER SUPPLY INTERVENTIONS THROUGH THE USE OF SOLAR ENERGY&quot; (hereinafter &quot;the Project&quot;)   1 Jan - 31 Mar 2022."/>
    <s v="Implementing Partners"/>
    <s v="Oxfam GB"/>
    <s v="United Kingdom"/>
    <n v="45192"/>
    <x v="0"/>
    <x v="1"/>
  </r>
  <r>
    <x v="0"/>
    <s v="DP.2254"/>
    <s v="Expanding Burundi’s Humanitarian, Early Recovery and Emergency Response for Vulnerable Displaced Populations"/>
    <s v="MOVEMENT, EMERGENCY AND POST-CRISIS MIGRATION MANAGEMENT"/>
    <s v="Burundi"/>
    <n v="4500188498"/>
    <s v=" REFERENCE PR:4200181532  Fees for DTM data collection by Implementing partener Burundian Red Cross from January to June 2022  PIA Agreement signed dated Dec 31 2021"/>
    <s v="Implementing Partners"/>
    <s v="CROIX ROUGE DU BURUNDI"/>
    <s v="Burundi"/>
    <n v="63280"/>
    <x v="0"/>
    <x v="4"/>
  </r>
  <r>
    <x v="0"/>
    <s v="DP.2254"/>
    <s v="Expanding Burundi’s Humanitarian, Early Recovery and Emergency Response for Vulnerable Displaced Populations"/>
    <s v="MOVEMENT, EMERGENCY AND POST-CRISIS MIGRATION MANAGEMENT"/>
    <s v="Burundi"/>
    <n v="4500231308"/>
    <s v=" 30% of the lumpsum to be paid to the partner in charge of the implementation of quick impact projects that will consist of the rehabilitation of public infrastructure in the provinces of Makamba, Rutana and Muyinga. Second payment installment."/>
    <s v="Implementing Partners"/>
    <s v="DANISH REFUGEE COUNCIL"/>
    <s v="Denmark"/>
    <n v="86000"/>
    <x v="0"/>
    <x v="1"/>
  </r>
  <r>
    <x v="0"/>
    <s v="DP.2254"/>
    <s v="Expanding Burundi’s Humanitarian, Early Recovery and Emergency Response for Vulnerable Displaced Populations"/>
    <s v="MOVEMENT, EMERGENCY AND POST-CRISIS MIGRATION MANAGEMENT"/>
    <s v="Burundi"/>
    <n v="4500244484"/>
    <s v="000000000500000124-IP transfers – National CSOs"/>
    <s v="Implementing Partners"/>
    <s v="CROIX ROUGE DU BURUNDI"/>
    <s v="Burundi"/>
    <n v="20028"/>
    <x v="0"/>
    <x v="4"/>
  </r>
  <r>
    <x v="0"/>
    <s v="DP.2256"/>
    <s v="Emergency Assistance to Displaced Populations in the Lake Chad Region"/>
    <s v="MOVEMENT, EMERGENCY AND POST-CRISIS MIGRATION MANAGEMENT"/>
    <s v="Cameroon"/>
    <n v="4500182118"/>
    <s v=" IP DTM Mobility Tracking R24 and Stability Index R2 Data collection exercice Feb. 2022."/>
    <s v="Implementing Partners"/>
    <s v="COMUNITY HUMANITARIAN EMERGENCY BOA"/>
    <s v="Cameroon"/>
    <n v="59122"/>
    <x v="0"/>
    <x v="0"/>
  </r>
  <r>
    <x v="0"/>
    <s v="DP.2305"/>
    <s v="Improved Sanitation and Waste Management for Rohingya Camps and Host Communities in Bangladesh"/>
    <s v="MOVEMENT, EMERGENCY AND POST-CRISIS MIGRATION MANAGEMENT"/>
    <s v="Bangladesh"/>
    <n v="4500208738"/>
    <s v=" IP Contract extension with Shushilan at camp 12 Period: Six Month (April to September 2022) PR#4200228651 Program/Unit: Water Sanitation and Hygience(WASH) Requester: Mubashara Tumpa"/>
    <s v="Implementing Partners"/>
    <s v="SHUSHILAN"/>
    <s v="Bangladesh"/>
    <n v="201669"/>
    <x v="0"/>
    <x v="0"/>
  </r>
  <r>
    <x v="0"/>
    <s v="DP.2305"/>
    <s v="Improved Sanitation and Waste Management for Rohingya Camps and Host Communities in Bangladesh"/>
    <s v="MOVEMENT, EMERGENCY AND POST-CRISIS MIGRATION MANAGEMENT"/>
    <s v="Bangladesh"/>
    <n v="4500211568"/>
    <s v=" IP agreement with NGOF at camp 9 PR#4200229417 Program/Unit: Water Sanitation adn Gygiene Duration: Aprail 1-30, 2022"/>
    <s v="Implementing Partners"/>
    <s v="NGO FORUM FOR PUBLIC HEALTH"/>
    <s v="Bangladesh"/>
    <n v="36063"/>
    <x v="0"/>
    <x v="0"/>
  </r>
  <r>
    <x v="0"/>
    <s v="DP.2305"/>
    <s v="Improved Sanitation and Waste Management for Rohingya Camps and Host Communities in Bangladesh"/>
    <s v="MOVEMENT, EMERGENCY AND POST-CRISIS MIGRATION MANAGEMENT"/>
    <s v="Bangladesh"/>
    <n v="4500214126"/>
    <s v=" IP Constract extension with ACF-camp 11 Duration: April 2022 to September 2022 PR#4200230827 Program: Water Sanitation and Hygiene(WASH) Requester: Mubashara TUMPA"/>
    <s v="Implementing Partners"/>
    <s v="ACTION CONTRE LA FAIM (ACF)"/>
    <s v="Bangladesh"/>
    <n v="326075"/>
    <x v="0"/>
    <x v="1"/>
  </r>
  <r>
    <x v="0"/>
    <s v="DP.2305"/>
    <s v="Improved Sanitation and Waste Management for Rohingya Camps and Host Communities in Bangladesh"/>
    <s v="MOVEMENT, EMERGENCY AND POST-CRISIS MIGRATION MANAGEMENT"/>
    <s v="Bangladesh"/>
    <n v="4500220083"/>
    <s v=" IP Cost extension agreement with NGOF for camp -9 Duration: One Month(ay 1-31, 2022) PR#4200244428 Program: Water Sanitation and Hygiene(WASH) Requester: Mubashara TUMPA"/>
    <s v="Implementing Partners"/>
    <s v="NGO FORUM FOR PUBLIC HEALTH"/>
    <s v="Bangladesh"/>
    <n v="8806"/>
    <x v="0"/>
    <x v="0"/>
  </r>
  <r>
    <x v="0"/>
    <s v="DP.2305"/>
    <s v="Improved Sanitation and Waste Management for Rohingya Camps and Host Communities in Bangladesh"/>
    <s v="MOVEMENT, EMERGENCY AND POST-CRISIS MIGRATION MANAGEMENT"/>
    <s v="Bangladesh"/>
    <n v="4500225358"/>
    <s v=" Pulse cost extension agreement Duration: June 1-30, 2022 Program: Protection Requester: Thui Sha Ching Marma"/>
    <s v="Implementing Partners"/>
    <s v="Pulse Bangladesh Society"/>
    <s v="Bangladesh"/>
    <n v="59140"/>
    <x v="0"/>
    <x v="0"/>
  </r>
  <r>
    <x v="0"/>
    <s v="DP.2305"/>
    <s v="Improved Sanitation and Waste Management for Rohingya Camps and Host Communities in Bangladesh"/>
    <s v="MOVEMENT, EMERGENCY AND POST-CRISIS MIGRATION MANAGEMENT"/>
    <s v="Bangladesh"/>
    <n v="4500230721"/>
    <s v=" IP agreement with NGOF -camp 9 Duration: June 2022 to March 2023 PR#4200277510 Program: Water Sanitation and Hygine(WASH) Requester: Mubashara Tumpa"/>
    <s v="Implementing Partners"/>
    <s v="NGO FORUM FOR PUBLIC HEALTH"/>
    <s v="Bangladesh"/>
    <n v="762489"/>
    <x v="0"/>
    <x v="0"/>
  </r>
  <r>
    <x v="0"/>
    <s v="DP.2305"/>
    <s v="Improved Sanitation and Waste Management for Rohingya Camps and Host Communities in Bangladesh"/>
    <s v="MOVEMENT, EMERGENCY AND POST-CRISIS MIGRATION MANAGEMENT"/>
    <s v="Bangladesh"/>
    <n v="4500259077"/>
    <s v=" PR-4200335228 Unit-WASH Requester-Mubshara TUMPA"/>
    <s v="Implementing Partners"/>
    <s v="Society for Health Extension &amp;Dev.("/>
    <s v="Bangladesh"/>
    <n v="306552"/>
    <x v="0"/>
    <x v="3"/>
  </r>
  <r>
    <x v="0"/>
    <s v="DP.2305"/>
    <s v="Improved Sanitation and Waste Management for Rohingya Camps and Host Communities in Bangladesh"/>
    <s v="MOVEMENT, EMERGENCY AND POST-CRISIS MIGRATION MANAGEMENT"/>
    <s v="Bangladesh"/>
    <n v="4500259092"/>
    <s v=" PR-4200326687 Unit-WASH Requester-Kazi Mafizur Rahman"/>
    <s v="Implementing Partners"/>
    <s v="SHUSHILAN"/>
    <s v="Bangladesh"/>
    <n v="168266"/>
    <x v="0"/>
    <x v="0"/>
  </r>
  <r>
    <x v="0"/>
    <s v="DP.2305"/>
    <s v="Improved Sanitation and Waste Management for Rohingya Camps and Host Communities in Bangladesh"/>
    <s v="MOVEMENT, EMERGENCY AND POST-CRISIS MIGRATION MANAGEMENT"/>
    <s v="Bangladesh"/>
    <n v="4500262590"/>
    <s v=" PR 4200329433 Unit- WASH Requestor- Kazi Maffuzur Rahman"/>
    <s v="Implementing Partners"/>
    <s v="DSK"/>
    <s v="Bangladesh"/>
    <n v="248582"/>
    <x v="0"/>
    <x v="0"/>
  </r>
  <r>
    <x v="0"/>
    <s v="DP.2305"/>
    <s v="Improved Sanitation and Waste Management for Rohingya Camps and Host Communities in Bangladesh"/>
    <s v="MOVEMENT, EMERGENCY AND POST-CRISIS MIGRATION MANAGEMENT"/>
    <s v="Bangladesh"/>
    <n v="4500262601"/>
    <s v=" PR no - 4200330167 Unit - WASH Requestor - Mubashara TUMPA"/>
    <s v="Implementing Partners"/>
    <s v="ACTION CONTRE LA FAIM (ACF)"/>
    <s v="Bangladesh"/>
    <n v="268577"/>
    <x v="0"/>
    <x v="1"/>
  </r>
  <r>
    <x v="0"/>
    <s v="DP.2310"/>
    <s v="IOM - WoS PSEA Mechanism - 2021"/>
    <s v="MOVEMENT, EMERGENCY AND POST-CRISIS MIGRATION MANAGEMENT"/>
    <s v="Jordan"/>
    <n v="4500269104"/>
    <s v=" IOM Turkey - Solicitation of New IPs under project Provision of Protection againt Sexual Exploitation"/>
    <s v="Implementing Partners"/>
    <s v="Mercy Corps"/>
    <s v="Jordan"/>
    <n v="110001"/>
    <x v="0"/>
    <x v="1"/>
  </r>
  <r>
    <x v="0"/>
    <s v="DP.2310"/>
    <s v="IOM - WoS PSEA Mechanism - 2021"/>
    <s v="MOVEMENT, EMERGENCY AND POST-CRISIS MIGRATION MANAGEMENT"/>
    <s v="Turkey"/>
    <n v="4500268392"/>
    <s v=" Project Title: Provision of Protection against Sexual Exploitation and Abuse (PSEA) to Affected Populations in Northeast Syria (NES)"/>
    <s v="Implementing Partners"/>
    <s v="Un Ponte Per"/>
    <s v="Italy"/>
    <n v="110020"/>
    <x v="0"/>
    <x v="1"/>
  </r>
  <r>
    <x v="0"/>
    <s v="DP.2312"/>
    <s v="Provision of Shelter, Settlements, and WASH Assistance for Populations Affected by the Northern Ethiopian Crisis"/>
    <s v="MOVEMENT, EMERGENCY AND POST-CRISIS MIGRATION MANAGEMENT"/>
    <s v="Ethiopia"/>
    <n v="4500204841"/>
    <s v=" RRFE0092 - IP CARE Emergency NFI support in Jara IDP Camp, Amhara Region"/>
    <s v="Implementing Partners"/>
    <s v="CARE Inc."/>
    <s v="Ethiopia"/>
    <n v="80000"/>
    <x v="0"/>
    <x v="1"/>
  </r>
  <r>
    <x v="0"/>
    <s v="DP.2312"/>
    <s v="Provision of Shelter, Settlements, and WASH Assistance for Populations Affected by the Northern Ethiopian Crisis"/>
    <s v="MOVEMENT, EMERGENCY AND POST-CRISIS MIGRATION MANAGEMENT"/>
    <s v="Ethiopia"/>
    <n v="4500204845"/>
    <s v=" * RRFE0093 - IP DAE Emergency Returnee Response: North Wollo Zone, Amhara Region"/>
    <s v="Implementing Partners"/>
    <s v="Dorcas Aid Ethiopia (DAE)"/>
    <s v="Ethiopia"/>
    <n v="80703"/>
    <x v="0"/>
    <x v="1"/>
  </r>
  <r>
    <x v="0"/>
    <s v="DP.2312"/>
    <s v="Provision of Shelter, Settlements, and WASH Assistance for Populations Affected by the Northern Ethiopian Crisis"/>
    <s v="MOVEMENT, EMERGENCY AND POST-CRISIS MIGRATION MANAGEMENT"/>
    <s v="Ethiopia"/>
    <n v="4500207720"/>
    <s v=" RRFE094-IP PAD Providing NFIs for conflict affected IDPs in Ziquala, Amhara"/>
    <s v="Implementing Partners"/>
    <s v="Positive Action for Development"/>
    <s v="Ethiopia"/>
    <n v="65398"/>
    <x v="0"/>
    <x v="0"/>
  </r>
  <r>
    <x v="0"/>
    <s v="DP.2312"/>
    <s v="Provision of Shelter, Settlements, and WASH Assistance for Populations Affected by the Northern Ethiopian Crisis"/>
    <s v="MOVEMENT, EMERGENCY AND POST-CRISIS MIGRATION MANAGEMENT"/>
    <s v="Ethiopia"/>
    <n v="4500211517"/>
    <s v=" IP Transfer PAD for 6 unit communal shelters in Jara IDP site at a total amount USD 266,541.90.   Reference- PR-4200246062 Agreement- ETH/ADD/May/1039/22 Contact Person - Abdu Mohammed (RRF)"/>
    <s v="Implementing Partners"/>
    <s v="Positive Action for Development"/>
    <s v="Ethiopia"/>
    <n v="266542"/>
    <x v="0"/>
    <x v="0"/>
  </r>
  <r>
    <x v="0"/>
    <s v="DP.2312"/>
    <s v="Provision of Shelter, Settlements, and WASH Assistance for Populations Affected by the Northern Ethiopian Crisis"/>
    <s v="MOVEMENT, EMERGENCY AND POST-CRISIS MIGRATION MANAGEMENT"/>
    <s v="Ethiopia"/>
    <n v="4500218741"/>
    <s v=" PO is created for Internal MIGO MIRO Purpose PIA Reference ETH/ADD/MAY/1046/2022"/>
    <s v="Implementing Partners"/>
    <s v="Organization for Social Ser (OSSHD)"/>
    <s v="Ethiopia"/>
    <n v="106118"/>
    <x v="0"/>
    <x v="0"/>
  </r>
  <r>
    <x v="0"/>
    <s v="DP.2312"/>
    <s v="Provision of Shelter, Settlements, and WASH Assistance for Populations Affected by the Northern Ethiopian Crisis"/>
    <s v="MOVEMENT, EMERGENCY AND POST-CRISIS MIGRATION MANAGEMENT"/>
    <s v="Ethiopia"/>
    <n v="4500224044"/>
    <s v=" PO created for MIGO/MIRO PIA Referance # ETH/ADD/June/1058/2022"/>
    <s v="Implementing Partners"/>
    <s v="Development for Peace Organization"/>
    <s v="Ethiopia"/>
    <n v="108940"/>
    <x v="0"/>
    <x v="0"/>
  </r>
  <r>
    <x v="0"/>
    <s v="DP.2312"/>
    <s v="Provision of Shelter, Settlements, and WASH Assistance for Populations Affected by the Northern Ethiopian Crisis"/>
    <s v="MOVEMENT, EMERGENCY AND POST-CRISIS MIGRATION MANAGEMENT"/>
    <s v="Ethiopia"/>
    <n v="4500241360"/>
    <s v=" Addressing urgent needs of returnees with NFI kits at Konneba Woreda of Afar Region."/>
    <s v="Implementing Partners"/>
    <s v="Partnership for Pastoralist Devt As"/>
    <s v="Ethiopia"/>
    <n v="98040"/>
    <x v="0"/>
    <x v="0"/>
  </r>
  <r>
    <x v="0"/>
    <s v="DP.2312"/>
    <s v="Provision of Shelter, Settlements, and WASH Assistance for Populations Affected by the Northern Ethiopian Crisis"/>
    <s v="MOVEMENT, EMERGENCY AND POST-CRISIS MIGRATION MANAGEMENT"/>
    <s v="Ethiopia"/>
    <n v="4500241364"/>
    <s v=" Emergency shelter and NFI  assistance for conflict affected displaced/ returnee families in Megalle Woreda,Zone-2 of Afar Region"/>
    <s v="Implementing Partners"/>
    <s v="Action for Integrated Sust Dev.Asso"/>
    <s v="Ethiopia"/>
    <n v="251985"/>
    <x v="0"/>
    <x v="0"/>
  </r>
  <r>
    <x v="0"/>
    <s v="DP.2312"/>
    <s v="Provision of Shelter, Settlements, and WASH Assistance for Populations Affected by the Northern Ethiopian Crisis"/>
    <s v="MOVEMENT, EMERGENCY AND POST-CRISIS MIGRATION MANAGEMENT"/>
    <s v="Ethiopia"/>
    <n v="4500248954"/>
    <s v=" Provision of NFI and Emergency Shelter for IDPs Based at Awash 7 Kilo for 2100 to 2,500 individuals Under the PRF# 4200326064"/>
    <s v="Implementing Partners"/>
    <s v="Development for Peace Organization"/>
    <s v="Ethiopia"/>
    <n v="64948"/>
    <x v="0"/>
    <x v="0"/>
  </r>
  <r>
    <x v="0"/>
    <s v="DP.2312"/>
    <s v="Provision of Shelter, Settlements, and WASH Assistance for Populations Affected by the Northern Ethiopian Crisis"/>
    <s v="MOVEMENT, EMERGENCY AND POST-CRISIS MIGRATION MANAGEMENT"/>
    <s v="Ethiopia"/>
    <n v="4500276607"/>
    <s v=" EPC_RRF - RRFE0128 IP DPO Emergency NFI support for conflict affected households in Shiraro.  PR#4200391778"/>
    <s v="Implementing Partners"/>
    <s v="Development for Peace Organization"/>
    <s v="Ethiopia"/>
    <n v="136850"/>
    <x v="0"/>
    <x v="0"/>
  </r>
  <r>
    <x v="0"/>
    <s v="DP.2314"/>
    <s v="Supporting Vulnerable Refugees and Local Communities in Cox's Bazar, Bangladesh, through Improved  Access to Health, Protection, and Water, Sanitation and Hygiene (WASH) Services"/>
    <s v="MOVEMENT, EMERGENCY AND POST-CRISIS MIGRATION MANAGEMENT"/>
    <s v="Bangladesh"/>
    <n v="4500208734"/>
    <s v=" Agreement with University of Dhaka for two month from 1 April 2022 to 31 May 2022 PR#4200224677 Program/Unit: Water Sanitation and Hygience(WASH) Requester: Mubashara Tumpa  Revised: Duration exteded from May 30, 2022 to July 31, 2022"/>
    <s v="Implementing Partners"/>
    <s v="DEPARTMENT GEOLOGY"/>
    <s v="Bangladesh"/>
    <n v="8765"/>
    <x v="0"/>
    <x v="8"/>
  </r>
  <r>
    <x v="0"/>
    <s v="DP.2314"/>
    <s v="Supporting Vulnerable Refugees and Local Communities in Cox's Bazar, Bangladesh, through Improved  Access to Health, Protection, and Water, Sanitation and Hygiene (WASH) Services"/>
    <s v="MOVEMENT, EMERGENCY AND POST-CRISIS MIGRATION MANAGEMENT"/>
    <s v="Bangladesh"/>
    <n v="4500219360"/>
    <s v=" IP fund transfer YPSA cost extension agreement for 1 May 2021 to 31 January 2023 PR#420246033 Program: Protection Requester: Thui Sha Ching Marma"/>
    <s v="Implementing Partners"/>
    <s v="YPSA"/>
    <s v="Bangladesh"/>
    <n v="126559"/>
    <x v="0"/>
    <x v="0"/>
  </r>
  <r>
    <x v="0"/>
    <s v="DP.2314"/>
    <s v="Supporting Vulnerable Refugees and Local Communities in Cox's Bazar, Bangladesh, through Improved  Access to Health, Protection, and Water, Sanitation and Hygiene (WASH) Services"/>
    <s v="MOVEMENT, EMERGENCY AND POST-CRISIS MIGRATION MANAGEMENT"/>
    <s v="Bangladesh"/>
    <n v="4500223973"/>
    <s v=" IP contract extension with DSK at camp 24 &lt;(&gt;&amp;&lt;)&gt; 25 Duration: May 1, 2022 to Jan 31, 2023 PR#4200244440 Program: Water Sanitation and Hygience(WASH) Requester: Mubashara TUMPA"/>
    <s v="Implementing Partners"/>
    <s v="DSK"/>
    <s v="Bangladesh"/>
    <n v="817968"/>
    <x v="0"/>
    <x v="0"/>
  </r>
  <r>
    <x v="0"/>
    <s v="DP.2314"/>
    <s v="Supporting Vulnerable Refugees and Local Communities in Cox's Bazar, Bangladesh, through Improved  Access to Health, Protection, and Water, Sanitation and Hygiene (WASH) Services"/>
    <s v="MOVEMENT, EMERGENCY AND POST-CRISIS MIGRATION MANAGEMENT"/>
    <s v="Bangladesh"/>
    <n v="4500234563"/>
    <s v=" Fund Transfer to PULSE Bangladesh Society PR#4200275573 Program: Protection Duration: 1 July 2022 to 31 January 2022 Requester: Thui Sha Ching Marma"/>
    <s v="Implementing Partners"/>
    <s v="Pulse Bangladesh Society"/>
    <s v="Bangladesh"/>
    <n v="1331222"/>
    <x v="0"/>
    <x v="0"/>
  </r>
  <r>
    <x v="0"/>
    <s v="DP.2322"/>
    <s v="Enhanced Displacement and Mobility Tracking and Multi-Sectoral Support for Displaced Populations in Nigeria"/>
    <s v="MOVEMENT, EMERGENCY AND POST-CRISIS MIGRATION MANAGEMENT"/>
    <s v="Nigeria"/>
    <n v="4500229981"/>
    <s v=" Enhanced displacement and mobility tracking and multi-sectoral support for displaced populations in Nigeria PR Ref: 4200285239"/>
    <s v="Implementing Partners"/>
    <s v="CLEAR Global, INC"/>
    <s v="USA"/>
    <n v="410959"/>
    <x v="0"/>
    <x v="1"/>
  </r>
  <r>
    <x v="0"/>
    <s v="DP.2325"/>
    <s v="Humanitarian Assistance to IDPs Displaced by Conflict in Central Rakhine State"/>
    <s v="MOVEMENT, EMERGENCY AND POST-CRISIS MIGRATION MANAGEMENT"/>
    <s v="Myanmar"/>
    <n v="4500225868"/>
    <s v=" EPR : 4200250202 WBS : DP.2325.MM10.N1.01.001 - 93%       DP.2325.MM10.N1.01.001 - 7% Payment for Implementing Partner for DP.2325  1st Installment : 108,957 USD (One Hundred and Eight Thousand, Nine Hundred and Fifty-Seven US Dollars) shall be due withi"/>
    <s v="Implementing Partners"/>
    <s v="People in Need"/>
    <s v="Myanmar"/>
    <n v="328957"/>
    <x v="0"/>
    <x v="1"/>
  </r>
  <r>
    <x v="0"/>
    <s v="DP.2331"/>
    <s v="IOM Activities in Bangladesh Outlined in the Rohingya Refugee Crisis 2021 Joint Response Plan"/>
    <s v="MOVEMENT, EMERGENCY AND POST-CRISIS MIGRATION MANAGEMENT"/>
    <s v="Bangladesh"/>
    <n v="4500182660"/>
    <s v=" IP agreement with NGO Forum at camp 9 PR#4200183301 DurationL January  to March 2022 Program: WASH Requester: Mubashara Tumpa"/>
    <s v="Implementing Partners"/>
    <s v="NGO FORUM FOR PUBLIC HEALTH"/>
    <s v="Bangladesh"/>
    <n v="166945"/>
    <x v="0"/>
    <x v="0"/>
  </r>
  <r>
    <x v="0"/>
    <s v="DP.2331"/>
    <s v="IOM Activities in Bangladesh Outlined in the Rohingya Refugee Crisis 2021 Joint Response Plan"/>
    <s v="MOVEMENT, EMERGENCY AND POST-CRISIS MIGRATION MANAGEMENT"/>
    <s v="Bangladesh"/>
    <n v="4500182745"/>
    <s v=" DRC new agreement PR#4200184037 Program: Protection Requester: Thui Sha Ching MARMA Duration: January 1, 2022 to March 31, 2022"/>
    <s v="Implementing Partners"/>
    <s v="Danish Refugee Council(DRC)"/>
    <s v="Denmark"/>
    <n v="180000"/>
    <x v="0"/>
    <x v="1"/>
  </r>
  <r>
    <x v="0"/>
    <s v="DP.2331"/>
    <s v="IOM Activities in Bangladesh Outlined in the Rohingya Refugee Crisis 2021 Joint Response Plan"/>
    <s v="MOVEMENT, EMERGENCY AND POST-CRISIS MIGRATION MANAGEMENT"/>
    <s v="Bangladesh"/>
    <n v="4500182983"/>
    <s v=" Shushilan-IP fir site Development Activities n camp 22, 24 and 25 Duration: Three month from January - March 2022 PR#4200183608 Program: Site Management Requester: Arman Rahim Chy"/>
    <s v="Implementing Partners"/>
    <s v="SHUSHILAN"/>
    <s v="Bangladesh"/>
    <n v="258977"/>
    <x v="0"/>
    <x v="0"/>
  </r>
  <r>
    <x v="0"/>
    <s v="DP.2331"/>
    <s v="IOM Activities in Bangladesh Outlined in the Rohingya Refugee Crisis 2021 Joint Response Plan"/>
    <s v="MOVEMENT, EMERGENCY AND POST-CRISIS MIGRATION MANAGEMENT"/>
    <s v="Bangladesh"/>
    <n v="4500182993"/>
    <s v=" Cost of AAB contract agreement of Site Development activities at camp 11, 12 and 19 Duration: Three Months from January 1, 2022 to March 31, 2022 PR#4200183766 Program: Site Management Requester: Arman Rahim Chy"/>
    <s v="Implementing Partners"/>
    <s v="ACTION AID BANGLADESH"/>
    <s v="Bangladesh"/>
    <n v="403000"/>
    <x v="0"/>
    <x v="1"/>
  </r>
  <r>
    <x v="0"/>
    <s v="DP.2331"/>
    <s v="IOM Activities in Bangladesh Outlined in the Rohingya Refugee Crisis 2021 Joint Response Plan"/>
    <s v="MOVEMENT, EMERGENCY AND POST-CRISIS MIGRATION MANAGEMENT"/>
    <s v="Bangladesh"/>
    <n v="4500183020"/>
    <s v=" Cost of DRC contract agreement of SMS activities in camps 8E, 8W, 10, 11 and 12 Duration: Three months from January 1, 2022 to March 31, 2022 PR#4200183756 Program: Site Management Requester: Arman Rahim Chy"/>
    <s v="Implementing Partners"/>
    <s v="Danish Refugee Council(DRC)"/>
    <s v="Denmark"/>
    <n v="473000"/>
    <x v="0"/>
    <x v="1"/>
  </r>
  <r>
    <x v="0"/>
    <s v="DP.2331"/>
    <s v="IOM Activities in Bangladesh Outlined in the Rohingya Refugee Crisis 2021 Joint Response Plan"/>
    <s v="MOVEMENT, EMERGENCY AND POST-CRISIS MIGRATION MANAGEMENT"/>
    <s v="Bangladesh"/>
    <n v="4500185564"/>
    <s v=" Fund Transfer to IP RTMI PR#4200185600 Program: MHD(Medical Response) Requester: Md. Alamgir Miah"/>
    <s v="Implementing Partners"/>
    <s v="RESEARCH TRAINING &amp; MANAGEMENT INT"/>
    <s v="Bangladesh"/>
    <n v="103500"/>
    <x v="0"/>
    <x v="0"/>
  </r>
  <r>
    <x v="0"/>
    <s v="DP.2331"/>
    <s v="IOM Activities in Bangladesh Outlined in the Rohingya Refugee Crisis 2021 Joint Response Plan"/>
    <s v="MOVEMENT, EMERGENCY AND POST-CRISIS MIGRATION MANAGEMENT"/>
    <s v="Bangladesh"/>
    <n v="4500185570"/>
    <s v=" Fund Transfer to IP World Concern PR#4200185591 Program: MHD(Medical Response) Requester:Md. Alamgir Miah"/>
    <s v="Implementing Partners"/>
    <s v="WORLD CONCERN"/>
    <s v="Bangladesh"/>
    <n v="129935"/>
    <x v="0"/>
    <x v="1"/>
  </r>
  <r>
    <x v="0"/>
    <s v="DP.2331"/>
    <s v="IOM Activities in Bangladesh Outlined in the Rohingya Refugee Crisis 2021 Joint Response Plan"/>
    <s v="MOVEMENT, EMERGENCY AND POST-CRISIS MIGRATION MANAGEMENT"/>
    <s v="Bangladesh"/>
    <n v="4500192374"/>
    <s v=" Deployment of CwC Technical Support Officer to CXB Bangladesh (Apr-Sep 2021)"/>
    <s v="Implementing Partners"/>
    <s v="NORWEGIAN REFUGEE COUNCIL (NRC)"/>
    <s v="Bangladesh"/>
    <n v="60753"/>
    <x v="0"/>
    <x v="1"/>
  </r>
  <r>
    <x v="0"/>
    <s v="DP.2334"/>
    <s v="Rohingya Response and National Resilience Programme (RRNRP)"/>
    <s v="MOVEMENT, EMERGENCY AND POST-CRISIS MIGRATION MANAGEMENT"/>
    <s v="Bangladesh"/>
    <n v="4500183011"/>
    <s v=" Implementing partner -Nowzuwan for Site Management activities in camp 20 and 20 ex Duration: January 1, 2022 to March 31, 2022 PR#4200183685 Program: Site Management Requester: Arman Rahim CHy"/>
    <s v="Implementing Partners"/>
    <s v="NOWZUWAN"/>
    <s v="Bangladesh"/>
    <n v="159000"/>
    <x v="0"/>
    <x v="0"/>
  </r>
  <r>
    <x v="0"/>
    <s v="DP.2334"/>
    <s v="Rohingya Response and National Resilience Programme (RRNRP)"/>
    <s v="MOVEMENT, EMERGENCY AND POST-CRISIS MIGRATION MANAGEMENT"/>
    <s v="Bangladesh"/>
    <n v="4500193191"/>
    <s v=" Cost of CARE contract agreement of Camp 16's fire Response-Site Development  Emergency Response Duration: Jan-Mar 2022 PR#4200200380 Program: SMSD Requester: Arman Rahim Chy"/>
    <s v="Implementing Partners"/>
    <s v="CARE BANGLADESH"/>
    <s v="Bangladesh"/>
    <n v="272592"/>
    <x v="0"/>
    <x v="1"/>
  </r>
  <r>
    <x v="0"/>
    <s v="DP.2336"/>
    <s v="Provision of Health, Protection and Food Assistance to Vulnerable Populations in Venezuela"/>
    <s v="MOVEMENT, EMERGENCY AND POST-CRISIS MIGRATION MANAGEMENT"/>
    <s v="Venezuela (BR)"/>
    <n v="4500194794"/>
    <s v="  SDC.2022.113 ACUERDO DE IMPLEMENTACIÓN DE PROYECTO &quot;ASISTENCIA DE PROTECCION A LAS COMUNIDADES DE ACOGIDA Y PERSONAS EN MOVILIDAD” CONTRATO IOMVE/CONTR/2022/026"/>
    <s v="Implementing Partners"/>
    <s v="COOPI COOPERAZIONE INTERNAZIONALE"/>
    <s v="Venezuela"/>
    <n v="42900"/>
    <x v="0"/>
    <x v="1"/>
  </r>
  <r>
    <x v="0"/>
    <s v="DP.2336"/>
    <s v="Provision of Health, Protection and Food Assistance to Vulnerable Populations in Venezuela"/>
    <s v="MOVEMENT, EMERGENCY AND POST-CRISIS MIGRATION MANAGEMENT"/>
    <s v="Venezuela (BR)"/>
    <n v="4500200033"/>
    <s v=" SDC.2022.163 - PRIMER PAGO ACUERDO DE IMPLEMENTACIÓN DE PROYECTO PAGADERO EN EL PLAZO DE DIEZ (10) DÍAS LUEGO DE LA FIRMA DEL PRESENTE ACUERDO Y CUANDO LA OIM HAYA RECIBIDO LA SOLICITUD DE PAGO DE PARTE DEL ASOCIADO EN LA EJECUCIÓN"/>
    <s v="Implementing Partners"/>
    <s v="ASOC C CARITAS DE VENEZUELA"/>
    <s v="Venezuela"/>
    <n v="118249"/>
    <x v="0"/>
    <x v="6"/>
  </r>
  <r>
    <x v="0"/>
    <s v="DP.2336"/>
    <s v="Provision of Health, Protection and Food Assistance to Vulnerable Populations in Venezuela"/>
    <s v="MOVEMENT, EMERGENCY AND POST-CRISIS MIGRATION MANAGEMENT"/>
    <s v="Venezuela (BR)"/>
    <n v="4500202859"/>
    <s v=" SDC.2022.162 - PRIMER PAGO ACUERDO DE IMPLEMENTACIÓN DE PROYECTO PAGADERO EN EL PLAZO DE DIEZ (10) DÍAS LUEGO DE LA FIRMA DEL PRESENTE ACUERDO Y CUANDO LA OIM HAYA RECIBIDO LA SOLICITUD DE PAGO DE PARTE DEL ASOCIADO EN LA EJECUCIÓN"/>
    <s v="Implementing Partners"/>
    <s v="ASOC C CARITAS DE VENEZUELA"/>
    <s v="Venezuela"/>
    <n v="11161"/>
    <x v="0"/>
    <x v="6"/>
  </r>
  <r>
    <x v="0"/>
    <s v="DP.2341"/>
    <s v="Emergency Humanitarian Assistance to Vulnerable Populations in Northern Syria"/>
    <s v="MOVEMENT, EMERGENCY AND POST-CRISIS MIGRATION MANAGEMENT"/>
    <s v="Turkey"/>
    <n v="4600628962"/>
    <s v=" PR-GZT-2022-01807 - Transportation and Distribution Costs of 1100 NFI Kits and 1107 Tents of IP Muzun to inside Syria"/>
    <s v="Implementing Partners"/>
    <s v="MUZUN FOR HUMANITARIAN DEVELOPMENT"/>
    <s v="Turkey"/>
    <n v="13936"/>
    <x v="0"/>
    <x v="0"/>
  </r>
  <r>
    <x v="0"/>
    <s v="DP.2344"/>
    <s v="Provision of Integrated Protection and Life-Saving Health Services to Migrants and IDPs in Yemen"/>
    <s v="MOVEMENT, EMERGENCY AND POST-CRISIS MIGRATION MANAGEMENT"/>
    <s v="Yemen"/>
    <n v="4500220933"/>
    <s v=" Grant MPA22_014 with DRC under the ECHO-Funded Consortium"/>
    <s v="Implementing Partners"/>
    <s v="DANISH REFUGEE COUNCIL"/>
    <s v="Yemen"/>
    <n v="537634"/>
    <x v="0"/>
    <x v="1"/>
  </r>
  <r>
    <x v="0"/>
    <s v="DP.2344"/>
    <s v="Provision of Integrated Protection and Life-Saving Health Services to Migrants and IDPs in Yemen"/>
    <s v="MOVEMENT, EMERGENCY AND POST-CRISIS MIGRATION MANAGEMENT"/>
    <s v="Yemen"/>
    <n v="4500271267"/>
    <s v="  Grant MPA22_014 instalment 2"/>
    <s v="Implementing Partners"/>
    <s v="DANISH REFUGEE COUNCIL"/>
    <s v="Yemen"/>
    <n v="620476"/>
    <x v="0"/>
    <x v="1"/>
  </r>
  <r>
    <x v="0"/>
    <s v="DP.2345"/>
    <s v="Emergency Multisectoral Assistance for the Most Vulnerable Households in Northwest Syria and Provision of Information Management and PSEA Programming"/>
    <s v="MOVEMENT, EMERGENCY AND POST-CRISIS MIGRATION MANAGEMENT"/>
    <s v="Turkey"/>
    <n v="4600628132"/>
    <s v=" PR-GZT-2021-04326 - Cost of cash implementation of transfer fees to IYD for CBI MPCA project (370 HHs) under ECHO"/>
    <s v="Implementing Partners"/>
    <s v="Uluslararasi Insani Yardimlasma Der"/>
    <s v="Turkey"/>
    <n v="45147"/>
    <x v="0"/>
    <x v="0"/>
  </r>
  <r>
    <x v="0"/>
    <s v="DP.2345"/>
    <s v="Emergency Multisectoral Assistance for the Most Vulnerable Households in Northwest Syria and Provision of Information Management and PSEA Programming"/>
    <s v="MOVEMENT, EMERGENCY AND POST-CRISIS MIGRATION MANAGEMENT"/>
    <s v="Turkey"/>
    <n v="4600628353"/>
    <s v=" PR-GZT-2022-00604 Cost of winter cash implementation and transfer fees to implementing partner Violet - CBI winterisation cash project (710 households) - ECHO DP.2345"/>
    <s v="Implementing Partners"/>
    <s v="VIOLET ORGANIZATION"/>
    <s v="Turkey"/>
    <n v="133000"/>
    <x v="0"/>
    <x v="0"/>
  </r>
  <r>
    <x v="0"/>
    <s v="DP.2345"/>
    <s v="Emergency Multisectoral Assistance for the Most Vulnerable Households in Northwest Syria and Provision of Information Management and PSEA Programming"/>
    <s v="MOVEMENT, EMERGENCY AND POST-CRISIS MIGRATION MANAGEMENT"/>
    <s v="Turkey"/>
    <n v="4600628536"/>
    <s v=" PR-GZT-2022-00615 Cost of cash implementation, IP costs, and transfer fees to GOAL's CBI project (winterization and MPCA) targeting 3288 HHs"/>
    <s v="Implementing Partners"/>
    <s v="GOAL"/>
    <s v="Ireland"/>
    <n v="524304"/>
    <x v="0"/>
    <x v="1"/>
  </r>
  <r>
    <x v="0"/>
    <s v="DP.2347"/>
    <s v="Emergency Response and Assistance to Displaced Persons (DP) in Syria"/>
    <s v="MOVEMENT, EMERGENCY AND POST-CRISIS MIGRATION MANAGEMENT"/>
    <s v="Turkey"/>
    <n v="4600628259"/>
    <s v=" IPRF-GZT-2022-00010 Providing financial support for the implementation of Providing Integrated Protection and MHPSS Services in Northwest Syria"/>
    <s v="Implementing Partners"/>
    <s v="HOPE REVIVAL ORGANIZATION"/>
    <s v="Turkey"/>
    <n v="994968"/>
    <x v="0"/>
    <x v="0"/>
  </r>
  <r>
    <x v="0"/>
    <s v="DP.2347"/>
    <s v="Emergency Response and Assistance to Displaced Persons (DP) in Syria"/>
    <s v="MOVEMENT, EMERGENCY AND POST-CRISIS MIGRATION MANAGEMENT"/>
    <s v="Turkey"/>
    <n v="4600628651"/>
    <s v=" IPRF-GZT-2022-00027 - Improve Living Conditions for Vulnerable Populations in North-West Syria (NWS) through Cash for Work"/>
    <s v="Implementing Partners"/>
    <s v="Shafak Organization"/>
    <s v="Turkey"/>
    <n v="258666"/>
    <x v="0"/>
    <x v="0"/>
  </r>
  <r>
    <x v="0"/>
    <s v="DP.2347"/>
    <s v="Emergency Response and Assistance to Displaced Persons (DP) in Syria"/>
    <s v="MOVEMENT, EMERGENCY AND POST-CRISIS MIGRATION MANAGEMENT"/>
    <s v="Turkey"/>
    <n v="4600628672"/>
    <s v=" IPRF-GZT-2022-00028 - Implementing partner (IYD) cost for MPCA component under GFFO with MPCA to Beneficiaries 1 Apr 22-30 Sept 22"/>
    <s v="Implementing Partners"/>
    <s v="Uluslararasi Insani Yardimlasma Der"/>
    <s v="Turkey"/>
    <n v="441474"/>
    <x v="0"/>
    <x v="0"/>
  </r>
  <r>
    <x v="0"/>
    <s v="DP.2347"/>
    <s v="Emergency Response and Assistance to Displaced Persons (DP) in Syria"/>
    <s v="MOVEMENT, EMERGENCY AND POST-CRISIS MIGRATION MANAGEMENT"/>
    <s v="Turkey"/>
    <n v="4600628972"/>
    <s v=" IPRF-GZT-2022-00030 - Contracting NGO for implementation of HNAP data collection support in 14 Syrian governorates for 5 months (1 May 2022 to 30 September 2022)"/>
    <s v="Implementing Partners"/>
    <s v="DEPLASMAN TOPLUMUN IHTIYACLARI"/>
    <s v="Turkey"/>
    <n v="14200"/>
    <x v="0"/>
    <x v="0"/>
  </r>
  <r>
    <x v="0"/>
    <s v="DP.2347"/>
    <s v="Emergency Response and Assistance to Displaced Persons (DP) in Syria"/>
    <s v="MOVEMENT, EMERGENCY AND POST-CRISIS MIGRATION MANAGEMENT"/>
    <s v="Turkey"/>
    <n v="4600629105"/>
    <s v=" Rapid Response Mechanism for Emergency Cash-Based Intervention"/>
    <s v="Implementing Partners"/>
    <s v="VIOLET ORGANIZATION"/>
    <s v="Turkey"/>
    <n v="193181"/>
    <x v="0"/>
    <x v="0"/>
  </r>
  <r>
    <x v="0"/>
    <s v="DP.2347"/>
    <s v="Emergency Response and Assistance to Displaced Persons (DP) in Syria"/>
    <s v="MOVEMENT, EMERGENCY AND POST-CRISIS MIGRATION MANAGEMENT"/>
    <s v="Turkey"/>
    <n v="4600629123"/>
    <s v=" Agreement Title: Third Party Monitoring in Northern Western Syria"/>
    <s v="Implementing Partners"/>
    <s v="Kudra for Social Development Soluti"/>
    <s v="Turkey"/>
    <n v="7804"/>
    <x v="0"/>
    <x v="3"/>
  </r>
  <r>
    <x v="0"/>
    <s v="DP.2347"/>
    <s v="Emergency Response and Assistance to Displaced Persons (DP) in Syria"/>
    <s v="MOVEMENT, EMERGENCY AND POST-CRISIS MIGRATION MANAGEMENT"/>
    <s v="Turkey"/>
    <n v="4600629157"/>
    <s v=" Project Title: Rapid Response Mechanism for Cash Based Interventions"/>
    <s v="Implementing Partners"/>
    <s v="Big Heart Foundation, Inc"/>
    <s v="USA"/>
    <n v="125254"/>
    <x v="0"/>
    <x v="1"/>
  </r>
  <r>
    <x v="0"/>
    <s v="DP.2347"/>
    <s v="Emergency Response and Assistance to Displaced Persons (DP) in Syria"/>
    <s v="MOVEMENT, EMERGENCY AND POST-CRISIS MIGRATION MANAGEMENT"/>
    <s v="Turkey"/>
    <n v="4600629315"/>
    <s v=" PRs: PR-GZT-2022-03810 and PR-GZT-2022-03813"/>
    <s v="Implementing Partners"/>
    <s v="GOAL"/>
    <s v="Ireland"/>
    <n v="446199"/>
    <x v="0"/>
    <x v="1"/>
  </r>
  <r>
    <x v="0"/>
    <s v="DP.2347"/>
    <s v="Emergency Response and Assistance to Displaced Persons (DP) in Syria"/>
    <s v="MOVEMENT, EMERGENCY AND POST-CRISIS MIGRATION MANAGEMENT"/>
    <s v="Turkey"/>
    <n v="4600629315"/>
    <s v="IP transfers – International CSOs"/>
    <s v="Implementing Partners"/>
    <s v="GOAL"/>
    <s v="Ireland"/>
    <n v="446199"/>
    <x v="0"/>
    <x v="1"/>
  </r>
  <r>
    <x v="0"/>
    <s v="DP.2354"/>
    <s v="2021 Regional Refugee and Migrant Response Plan (RMRP) for the Venezuela Situation"/>
    <s v="MOVEMENT, EMERGENCY AND POST-CRISIS MIGRATION MANAGEMENT"/>
    <s v="Argentina"/>
    <n v="4500180534"/>
    <s v=" APdeBA- Acuerdo de implementación de Proyecto. Diciembre 2021-Marzo 2022.  El objetivo de la presente solicitud es contribuir a brindar atención en salud mental a personas migrantes, especialmente a personas de origen venezolano, a partir de la constituc"/>
    <s v="Implementing Partners"/>
    <s v="ASOCIACION PSICOANALITICA DE BUENOS"/>
    <s v="Argentina"/>
    <n v="5894"/>
    <x v="0"/>
    <x v="0"/>
  </r>
  <r>
    <x v="0"/>
    <s v="DP.2354"/>
    <s v="2021 Regional Refugee and Migrant Response Plan (RMRP) for the Venezuela Situation"/>
    <s v="MOVEMENT, EMERGENCY AND POST-CRISIS MIGRATION MANAGEMENT"/>
    <s v="Argentina"/>
    <n v="4500180538"/>
    <s v=" NOBLEZA OBLIGA- Acuerdo de Implementación de Proyecto. Enero-Marzo 2022.  El proyecto tiene como objetivo contribuir con la integración sociolaboral de personas migrantes en Argentina a través de las industrias del reciclaje y textil, en línea con las pr"/>
    <s v="Implementing Partners"/>
    <s v="FUNDACION NOBLEZA OBLIGA PARA EL"/>
    <s v="Argentina"/>
    <n v="13683"/>
    <x v="0"/>
    <x v="0"/>
  </r>
  <r>
    <x v="0"/>
    <s v="DP.2354"/>
    <s v="2021 Regional Refugee and Migrant Response Plan (RMRP) for the Venezuela Situation"/>
    <s v="MOVEMENT, EMERGENCY AND POST-CRISIS MIGRATION MANAGEMENT"/>
    <s v="Argentina"/>
    <n v="4500185351"/>
    <s v=" PROYECTO PRM 2021  CONTRATO IP DURACION DE 01.12.2021 AL 31.03.2022 segun detalle contrato adjunto"/>
    <s v="Implementing Partners"/>
    <s v="FUNDACION COMISION CATOLICA ARG"/>
    <s v="Argentina"/>
    <n v="22511"/>
    <x v="0"/>
    <x v="0"/>
  </r>
  <r>
    <x v="0"/>
    <s v="DP.2354"/>
    <s v="2021 Regional Refugee and Migrant Response Plan (RMRP) for the Venezuela Situation"/>
    <s v="MOVEMENT, EMERGENCY AND POST-CRISIS MIGRATION MANAGEMENT"/>
    <s v="Argentina"/>
    <n v="4500185376"/>
    <s v=" PROYECTO PRM 2021 ACUERDO DE IMPLEMENTACION CRUZ ROJA Actividades destinadas a brindar asistencia a la población migrante y refugiada  CONTRATO PO 4500142489 ARS 16,397,666.00 Período de implementación: julio - noviembre 2021  ADENDA 2 INCREMENTO PRESUPU"/>
    <s v="Implementing Partners"/>
    <s v="CRUZ ROJA ARGENTINA"/>
    <s v="Argentina"/>
    <n v="57166"/>
    <x v="0"/>
    <x v="4"/>
  </r>
  <r>
    <x v="0"/>
    <s v="DP.2354"/>
    <s v="2021 Regional Refugee and Migrant Response Plan (RMRP) for the Venezuela Situation"/>
    <s v="MOVEMENT, EMERGENCY AND POST-CRISIS MIGRATION MANAGEMENT"/>
    <s v="Argentina"/>
    <n v="4500186555"/>
    <s v=" PROYECTO PRM  2021  CONTRATO DE IP  DURACION DIC 2021 A MARZO 2022"/>
    <s v="Implementing Partners"/>
    <s v="FUNDACION LOYOLA (SERVICIO JESUITA)"/>
    <s v="Argentina"/>
    <n v="24832"/>
    <x v="0"/>
    <x v="0"/>
  </r>
  <r>
    <x v="0"/>
    <s v="DP.2354"/>
    <s v="2021 Regional Refugee and Migrant Response Plan (RMRP) for the Venezuela Situation"/>
    <s v="MOVEMENT, EMERGENCY AND POST-CRISIS MIGRATION MANAGEMENT"/>
    <s v="Argentina"/>
    <n v="4500186557"/>
    <s v=" PROYECTO PRM 2021  ACUERDO DE IP  DURACION DICIEMBRE 2021 A ABRIL 2022"/>
    <s v="Implementing Partners"/>
    <s v="INICIA EMPRENDER PARA EL FUTURO"/>
    <s v="Argentina"/>
    <n v="8600"/>
    <x v="0"/>
    <x v="0"/>
  </r>
  <r>
    <x v="0"/>
    <s v="DP.2354"/>
    <s v="2021 Regional Refugee and Migrant Response Plan (RMRP) for the Venezuela Situation"/>
    <s v="MOVEMENT, EMERGENCY AND POST-CRISIS MIGRATION MANAGEMENT"/>
    <s v="Costa Rica"/>
    <n v="4500200028"/>
    <s v=" Segunda Enmienda al ACUERDO DE IMPLEMENTACIÓN DE PROYECTO entre Organización Internacional para las Migraciones (OIM) Y Asociación Civil Alianzavencr relativo a Actividades de 1) psiquiatría, 2) pago de alquiler, 3) alojamiento temporal de emergencia, 4)"/>
    <s v="Implementing Partners"/>
    <s v="ASOCIACION ALIANZA VEN CR"/>
    <s v="Costa Rica"/>
    <n v="12000"/>
    <x v="0"/>
    <x v="0"/>
  </r>
  <r>
    <x v="0"/>
    <s v="DP.2354"/>
    <s v="2021 Regional Refugee and Migrant Response Plan (RMRP) for the Venezuela Situation"/>
    <s v="MOVEMENT, EMERGENCY AND POST-CRISIS MIGRATION MANAGEMENT"/>
    <s v="Dominican Rep."/>
    <n v="4500184742"/>
    <s v=" Service for:  Assistance and protection actions for Venezuelan immigration in the Dominican Republic  Related PO number 4500156627  Note: Modification according to second amendment, reference number DO10/I29/2022. Modification accordin to third and fourt"/>
    <s v="Implementing Partners"/>
    <s v="FUNCOVERD"/>
    <s v="Dominican Republic"/>
    <n v="25269"/>
    <x v="0"/>
    <x v="0"/>
  </r>
  <r>
    <x v="0"/>
    <s v="DP.2354"/>
    <s v="2021 Regional Refugee and Migrant Response Plan (RMRP) for the Venezuela Situation"/>
    <s v="MOVEMENT, EMERGENCY AND POST-CRISIS MIGRATION MANAGEMENT"/>
    <s v="Ecuador"/>
    <n v="4500181707"/>
    <s v=" IP PRM4 Extensión de personal operativo en territorio hasta marzo 2022"/>
    <s v="Implementing Partners"/>
    <s v="ADRA"/>
    <s v="Ecuador"/>
    <n v="62047"/>
    <x v="0"/>
    <x v="1"/>
  </r>
  <r>
    <x v="0"/>
    <s v="DP.2354"/>
    <s v="2021 Regional Refugee and Migrant Response Plan (RMRP) for the Venezuela Situation"/>
    <s v="MOVEMENT, EMERGENCY AND POST-CRISIS MIGRATION MANAGEMENT"/>
    <s v="Guyana"/>
    <n v="4500199634"/>
    <s v=" Emergency shelter and accommodation for Migrants in Region 1,2 and 7"/>
    <s v="Implementing Partners"/>
    <s v="Blossom Inc"/>
    <s v="Guyana"/>
    <n v="11167"/>
    <x v="0"/>
    <x v="0"/>
  </r>
  <r>
    <x v="0"/>
    <s v="DP.2354"/>
    <s v="2021 Regional Refugee and Migrant Response Plan (RMRP) for the Venezuela Situation"/>
    <s v="MOVEMENT, EMERGENCY AND POST-CRISIS MIGRATION MANAGEMENT"/>
    <s v="Guyana"/>
    <n v="4500203447"/>
    <s v=" GSA 2021 086 Amend 1"/>
    <s v="Implementing Partners"/>
    <s v="Fundashon Famia Plania"/>
    <s v="Tunisia"/>
    <n v="5000"/>
    <x v="0"/>
    <x v="8"/>
  </r>
  <r>
    <x v="0"/>
    <s v="DP.2354"/>
    <s v="2021 Regional Refugee and Migrant Response Plan (RMRP) for the Venezuela Situation"/>
    <s v="MOVEMENT, EMERGENCY AND POST-CRISIS MIGRATION MANAGEMENT"/>
    <s v="Peru"/>
    <n v="4500187111"/>
    <s v=" Contratación de un socio implementador para implmentación de un PAO móvil en la región Puno"/>
    <s v="Implementing Partners"/>
    <s v="Sociedad Peruana de la Cruz Roja"/>
    <s v="Peru"/>
    <n v="139841"/>
    <x v="0"/>
    <x v="4"/>
  </r>
  <r>
    <x v="0"/>
    <s v="DP.2354"/>
    <s v="2021 Regional Refugee and Migrant Response Plan (RMRP) for the Venezuela Situation"/>
    <s v="MOVEMENT, EMERGENCY AND POST-CRISIS MIGRATION MANAGEMENT"/>
    <s v="Peru"/>
    <n v="4500192353"/>
    <s v=" Contratación de un socio implementador para implementación de acciones de alojamiento temporal"/>
    <s v="Implementing Partners"/>
    <s v="Asociación Misioneros de San Carlos"/>
    <s v="Peru"/>
    <n v="71368"/>
    <x v="0"/>
    <x v="0"/>
  </r>
  <r>
    <x v="0"/>
    <s v="DP.2356"/>
    <s v="Life-Saving, Multi-Sectoral Emergency Assistance and Protection to Vulnerable Displaced Persons in Ethiopia"/>
    <s v="MOVEMENT, EMERGENCY AND POST-CRISIS MIGRATION MANAGEMENT"/>
    <s v="Ethiopia"/>
    <n v="4500196034"/>
    <s v=" Service for: C/GOJ/ECHO -Cash for Rent Response for Woldiya and mersa Woreda in North Wollo Zone of Amhara Region for 3,500 HHs (17,500 family members) based on the agreement between International Organization for Migration (IOM) and the Implementing Par"/>
    <s v="Implementing Partners"/>
    <s v="CARE Inc."/>
    <s v="Ethiopia"/>
    <n v="51696"/>
    <x v="0"/>
    <x v="1"/>
  </r>
  <r>
    <x v="0"/>
    <s v="DP.2356"/>
    <s v="Life-Saving, Multi-Sectoral Emergency Assistance and Protection to Vulnerable Displaced Persons in Ethiopia"/>
    <s v="MOVEMENT, EMERGENCY AND POST-CRISIS MIGRATION MANAGEMENT"/>
    <s v="Ethiopia"/>
    <n v="4500199278"/>
    <s v=" IP- Emergency NFI response project for conflict displaced IDP/Returnees in Wadla Woreda in north Wollo zone Amhara region.  Reference- PR-4200220767 Agreement- ETH/ADD/MARCH/1001/2022"/>
    <s v="Implementing Partners"/>
    <s v="Afro Ethiopia Integrated Dev't"/>
    <s v="Ethiopia"/>
    <n v="49451"/>
    <x v="0"/>
    <x v="0"/>
  </r>
  <r>
    <x v="0"/>
    <s v="DP.2356"/>
    <s v="Life-Saving, Multi-Sectoral Emergency Assistance and Protection to Vulnerable Displaced Persons in Ethiopia"/>
    <s v="MOVEMENT, EMERGENCY AND POST-CRISIS MIGRATION MANAGEMENT"/>
    <s v="Ethiopia"/>
    <n v="4500206584"/>
    <s v=" Emergency NFI support for IDPs Hintalo and Adigerat for 3400 household at the total amount of 213,383.00 USD PRF#4500206584"/>
    <s v="Implementing Partners"/>
    <s v="Development for Peace Organization"/>
    <s v="Ethiopia"/>
    <n v="26673"/>
    <x v="0"/>
    <x v="0"/>
  </r>
  <r>
    <x v="0"/>
    <s v="DP.2356"/>
    <s v="Life-Saving, Multi-Sectoral Emergency Assistance and Protection to Vulnerable Displaced Persons in Ethiopia"/>
    <s v="MOVEMENT, EMERGENCY AND POST-CRISIS MIGRATION MANAGEMENT"/>
    <s v="Ethiopia"/>
    <n v="4500220093"/>
    <s v=" SNFI0099 - IP LWF Life-saving assistance through emergency NFIs to IDP Households in Abergele Woreda of Central Zone in the Tigray Region"/>
    <s v="Implementing Partners"/>
    <s v="Lutheran World Feder'n WS-Eth"/>
    <s v="Ethiopia"/>
    <n v="43505"/>
    <x v="0"/>
    <x v="1"/>
  </r>
  <r>
    <x v="0"/>
    <s v="DP.2356"/>
    <s v="Life-Saving, Multi-Sectoral Emergency Assistance and Protection to Vulnerable Displaced Persons in Ethiopia"/>
    <s v="MOVEMENT, EMERGENCY AND POST-CRISIS MIGRATION MANAGEMENT"/>
    <s v="Ethiopia"/>
    <n v="4500224034"/>
    <s v=" PIA Referance ETH/ADD/June/1055/2022 PO created for MIGO/MIRO"/>
    <s v="Implementing Partners"/>
    <s v="Danish refugee Council (DRC)"/>
    <s v="Ethiopia"/>
    <n v="83063"/>
    <x v="0"/>
    <x v="1"/>
  </r>
  <r>
    <x v="0"/>
    <s v="DP.2359"/>
    <s v="Reintegration and Shelter Support to Returnees, Internally Displaced Persons (IDPs), and Host Communities in Burundi"/>
    <s v="MOVEMENT, EMERGENCY AND POST-CRISIS MIGRATION MANAGEMENT"/>
    <s v="Burundi"/>
    <n v="4500220656"/>
    <s v=" Implementing Partner of quick impact projects in Kirundo, Muyinga, Ruyigi and Makamba Provinces  Implementing Partner between IOM &lt;(&gt;&amp;&lt;)&gt; Danish Refugee Council   PR:4200267305"/>
    <s v="Implementing Partners"/>
    <s v="DANISH REFUGEE COUNCIL"/>
    <s v="Denmark"/>
    <n v="135000"/>
    <x v="0"/>
    <x v="1"/>
  </r>
  <r>
    <x v="0"/>
    <s v="DP.2366"/>
    <s v="Multi-Sectoral Support for Vulnerable Mobile Populations and Communities in Libya"/>
    <s v="MOVEMENT, EMERGENCY AND POST-CRISIS MIGRATION MANAGEMENT"/>
    <s v="Libya"/>
    <n v="4500228952"/>
    <s v=" Consultancy services- Mr. Mohammed Khaldi Tayeb, Mig Expert ***UNHCR-IOM Contribution Agreement***  PO Reference: PR 4200206278 approved on 23/Feb/2022 continuation of PO 4500193164"/>
    <s v="Implementing Partners"/>
    <s v="UNHCR"/>
    <s v="Libya"/>
    <n v="15408"/>
    <x v="0"/>
    <x v="7"/>
  </r>
  <r>
    <x v="0"/>
    <s v="DP.2367"/>
    <s v="Promoting Reduction of and Improved Operational Response to Gender-based Violence (GBV) through Camp Management and Site Planning – Phase VII"/>
    <s v="MOVEMENT, EMERGENCY AND POST-CRISIS MIGRATION MANAGEMENT"/>
    <s v="Congo (Dem Rep)"/>
    <n v="4500223104"/>
    <s v=" Appui financier à l'ONG SAFEKA afin d'assurer l'alphabetisation des 60 femmes et filles du site de KIKUMBE. Cet appui comprend la prime aux formateurs, achat fournitures de bureau ainsi que  de materiels dydactiques pour une periode de 3 mois.  L'OIM acce"/>
    <s v="Implementing Partners"/>
    <s v="SAFEKA asbl"/>
    <s v="Congo (Dem Rep)"/>
    <n v="10000"/>
    <x v="0"/>
    <x v="0"/>
  </r>
  <r>
    <x v="0"/>
    <s v="DP.2372"/>
    <s v="Provision of Life-Saving Multi-Sectoral Assistance to Internally Displaced Persons (IDPs) and Other Conflict-Affected Communities in Yemen"/>
    <s v="MOVEMENT, EMERGENCY AND POST-CRISIS MIGRATION MANAGEMENT"/>
    <s v="Yemen"/>
    <n v="4500181266"/>
    <s v=" Enhancing Response Capacity of Humanitarian Actors through Prepositioning of Essential Relief Items ( ( Warehousing Service in Ibb and South Taiz - 5th Extension)).  SAH-SFI-2022-10005"/>
    <s v="Implementing Partners"/>
    <s v="DEEM FOR DEVELOPMENT ORGANIZATION"/>
    <s v="Yemen"/>
    <n v="18287"/>
    <x v="0"/>
    <x v="0"/>
  </r>
  <r>
    <x v="0"/>
    <s v="DP.2373"/>
    <s v="Consolidating and Operationalizing a Framework for Diaspora’s Engagement in Humanitarian Assistance – Phase II"/>
    <s v="MOVEMENT, EMERGENCY AND POST-CRISIS MIGRATION MANAGEMENT"/>
    <s v="USA"/>
    <n v="4500188292"/>
    <s v="000000000500000124-IP transfers – National CSOs"/>
    <s v="Implementing Partners"/>
    <s v="HAITI RENEWAL ALLIANCE, INC."/>
    <s v="USA"/>
    <n v="308809"/>
    <x v="0"/>
    <x v="1"/>
  </r>
  <r>
    <x v="0"/>
    <s v="DP.2373"/>
    <s v="Consolidating and Operationalizing a Framework for Diaspora’s Engagement in Humanitarian Assistance – Phase II"/>
    <s v="MOVEMENT, EMERGENCY AND POST-CRISIS MIGRATION MANAGEMENT"/>
    <s v="USA"/>
    <n v="4500197471"/>
    <s v=" PROJECT IMPLEMENTING AGREEMENT AS PER US10-PIA-22-002 BETWEEN IOM - D.C AND NATIONAL FEDERATION OF FILIPINO AMERICAN ASSOCIATIONS  AMENDMENT TO ADJUST LINES 10 AND 20 TO REFLECT THE AMOUNT FOR THE 1ST EXPENSES REPORT"/>
    <s v="Implementing Partners"/>
    <s v="NATIONAL FEDERATION OF FILIPINO AME"/>
    <s v="USA"/>
    <n v="14972"/>
    <x v="0"/>
    <x v="0"/>
  </r>
  <r>
    <x v="0"/>
    <s v="DP.2373"/>
    <s v="Consolidating and Operationalizing a Framework for Diaspora’s Engagement in Humanitarian Assistance – Phase II"/>
    <s v="MOVEMENT, EMERGENCY AND POST-CRISIS MIGRATION MANAGEMENT"/>
    <s v="USA"/>
    <n v="4500215702"/>
    <s v=" PROJECT IMPLEMENTING AGREEMENT AS PER US10-PIA-22-003 BETWEEN IOM - D.C AND GLOBAL DIASPORA CONFEDERATION  CHANGES IN LINES 10 &lt;(&gt;&amp;&lt;)&gt; 20 TO REFLECT THE AMOUNT OF THE 1ST REPORT EXPENSES  CHANGES IN LINES 20 &lt;(&gt;&amp;&lt;)&gt; 30 TO REFLECT THE AMOUNT OF THE 2ND RE"/>
    <s v="Implementing Partners"/>
    <s v="GLOBAL DIASPORA CONFEDERATION"/>
    <s v="Netherlands"/>
    <n v="16542"/>
    <x v="0"/>
    <x v="1"/>
  </r>
  <r>
    <x v="0"/>
    <s v="DP.2373"/>
    <s v="Consolidating and Operationalizing a Framework for Diaspora’s Engagement in Humanitarian Assistance – Phase II"/>
    <s v="MOVEMENT, EMERGENCY AND POST-CRISIS MIGRATION MANAGEMENT"/>
    <s v="USA"/>
    <n v="4500271003"/>
    <s v=" COST EXTENSION AS PER US10-PIA-22-003 FOR THE PROJECT&quot;CONSOLIDATING AND OPERATIONALIZING A FRAMEWORK FOR DIASPORA'S ENGAGEMENT IN HUMANITARIAN ASSITANCE - PHASE II&quot;"/>
    <s v="Implementing Partners"/>
    <s v="GLOBAL DIASPORA CONFEDERATION"/>
    <s v="Netherlands"/>
    <n v="18000"/>
    <x v="0"/>
    <x v="1"/>
  </r>
  <r>
    <x v="0"/>
    <s v="DP.2374"/>
    <s v="Assistance to Populations Affected by Floods in Bujumbura Rural and Bujumbura Mairie, Burundi"/>
    <s v="MOVEMENT, EMERGENCY AND POST-CRISIS MIGRATION MANAGEMENT"/>
    <s v="Burundi"/>
    <n v="4500263746"/>
    <s v=" First Installment payment to IP Burundian Red Cross from October to 30th November 2022 and  Second Installment payment to IP Burundian Red Cross from December 2022 to 15 January 2023 PR references # 4200330014"/>
    <s v="Implementing Partners"/>
    <s v="CROIX ROUGE DU BURUNDI"/>
    <s v="Burundi"/>
    <n v="34046"/>
    <x v="0"/>
    <x v="4"/>
  </r>
  <r>
    <x v="0"/>
    <s v="DP.2376"/>
    <s v="Provision of Humanitarian Coordination and Shelter and Settlements Assistance for Crisis-Affected Populations in Ethiopia"/>
    <s v="MOVEMENT, EMERGENCY AND POST-CRISIS MIGRATION MANAGEMENT"/>
    <s v="Ethiopia"/>
    <n v="4500181197"/>
    <s v=" Service for  RRFE079- IP ACTED CCCM for the most vulnerable displaced populations in Siti and Dawa Zones, Somali  Camp Coordination and Camp Management (CCCM) for the most vulnerable displaced populations in Siti and Dawa Zones, Somali Region"/>
    <s v="Implementing Partners"/>
    <s v="Agency forTech Coop &amp; Dev(ACTED)"/>
    <s v="Ethiopia"/>
    <n v="250000"/>
    <x v="0"/>
    <x v="1"/>
  </r>
  <r>
    <x v="0"/>
    <s v="DP.2376"/>
    <s v="Provision of Humanitarian Coordination and Shelter and Settlements Assistance for Crisis-Affected Populations in Ethiopia"/>
    <s v="MOVEMENT, EMERGENCY AND POST-CRISIS MIGRATION MANAGEMENT"/>
    <s v="Ethiopia"/>
    <n v="4500184494"/>
    <s v="  Life saving emergencey shelter and NFI assistance for conflict affected displaced communities in Assosa Zone of Benishangul Gumuz at the total amount of 282,084.55 USD PRF#4200187990 Agrement number/IOM office -specific ref No :- ETH/ADD/January/983/202"/>
    <s v="Implementing Partners"/>
    <s v="ACTION FOR THE NEEDY IN ETH (ANE)"/>
    <s v="Ethiopia"/>
    <n v="282085"/>
    <x v="0"/>
    <x v="0"/>
  </r>
  <r>
    <x v="0"/>
    <s v="DP.2376"/>
    <s v="Provision of Humanitarian Coordination and Shelter and Settlements Assistance for Crisis-Affected Populations in Ethiopia"/>
    <s v="MOVEMENT, EMERGENCY AND POST-CRISIS MIGRATION MANAGEMENT"/>
    <s v="Ethiopia"/>
    <n v="4500189434"/>
    <s v=" IP Transfer... EHF Shelter repair kits for hawzen , Tigray region for 230 HH/1150 individual community members response at a total amount USD 198,056.66.  Reference;- PR-4200195699 PIA NO- ETH/ADD/JAN/987/2022."/>
    <s v="Implementing Partners"/>
    <s v="Christian Aid"/>
    <s v="Ethiopia"/>
    <n v="198057"/>
    <x v="0"/>
    <x v="1"/>
  </r>
  <r>
    <x v="0"/>
    <s v="DP.2376"/>
    <s v="Provision of Humanitarian Coordination and Shelter and Settlements Assistance for Crisis-Affected Populations in Ethiopia"/>
    <s v="MOVEMENT, EMERGENCY AND POST-CRISIS MIGRATION MANAGEMENT"/>
    <s v="Ethiopia"/>
    <n v="4500197999"/>
    <s v=" Service for: Rapid Emergency S/NFI Assistance to Draought Affected IDP's in West Guji Zone, Oromia Region based on the agreement between &quot;International Organization for Migration&quot;(IOM) and the Implementing Partner &quot;People In Need&quot;See attached ToR agreeme"/>
    <s v="Implementing Partners"/>
    <s v="People in Need"/>
    <s v="Ethiopia"/>
    <n v="77249"/>
    <x v="0"/>
    <x v="1"/>
  </r>
  <r>
    <x v="0"/>
    <s v="DP.2376"/>
    <s v="Provision of Humanitarian Coordination and Shelter and Settlements Assistance for Crisis-Affected Populations in Ethiopia"/>
    <s v="MOVEMENT, EMERGENCY AND POST-CRISIS MIGRATION MANAGEMENT"/>
    <s v="Ethiopia"/>
    <n v="4500199268"/>
    <s v=" IP- Emergency assistance for 1,000 drought affected vulnerable IDP house holds through the provision of shelter and NFI in Shebele zone.  Reference- PR-4200220791 Agreement- ETH/ADD/MARCH/1003/2022"/>
    <s v="Implementing Partners"/>
    <s v="Organiza for Welfare&amp;Dev't inAction"/>
    <s v="Ethiopia"/>
    <n v="181915"/>
    <x v="0"/>
    <x v="0"/>
  </r>
  <r>
    <x v="0"/>
    <s v="DP.2376"/>
    <s v="Provision of Humanitarian Coordination and Shelter and Settlements Assistance for Crisis-Affected Populations in Ethiopia"/>
    <s v="MOVEMENT, EMERGENCY AND POST-CRISIS MIGRATION MANAGEMENT"/>
    <s v="Ethiopia"/>
    <n v="4500209848"/>
    <s v=" IP- Emergency assistance for 2,000 drought affected vulnerable IDP Households through the provision of shelter and NFI Kits at Adadile at a total amount USD 71,040.  Reference- PR-4200241877 Agreement-ETH/ADD/April/16/2022 Contact Person - Abdu Mohammed"/>
    <s v="Implementing Partners"/>
    <s v="Organiza for Welfare&amp;Dev't inAction"/>
    <s v="Ethiopia"/>
    <n v="71040"/>
    <x v="0"/>
    <x v="0"/>
  </r>
  <r>
    <x v="0"/>
    <s v="DP.2376"/>
    <s v="Provision of Humanitarian Coordination and Shelter and Settlements Assistance for Crisis-Affected Populations in Ethiopia"/>
    <s v="MOVEMENT, EMERGENCY AND POST-CRISIS MIGRATION MANAGEMENT"/>
    <s v="Ethiopia"/>
    <n v="4500237986"/>
    <s v=" RRFE0112 - IP HEKS WASH &lt;(&gt;&amp;&lt;)&gt; Shelter Response to Drought Affected People in Borena Zone, Oromia Region."/>
    <s v="Implementing Partners"/>
    <s v="Swiss Church Aid HEKS"/>
    <s v="Ethiopia"/>
    <n v="308716"/>
    <x v="0"/>
    <x v="1"/>
  </r>
  <r>
    <x v="0"/>
    <s v="DP.2376"/>
    <s v="Provision of Humanitarian Coordination and Shelter and Settlements Assistance for Crisis-Affected Populations in Ethiopia"/>
    <s v="MOVEMENT, EMERGENCY AND POST-CRISIS MIGRATION MANAGEMENT"/>
    <s v="Ethiopia"/>
    <n v="4500237990"/>
    <s v=" RRFE0114 - IP EECMY Non-Food Items (NFI) assistance in Segen Zuria Woreda, SNNP."/>
    <s v="Implementing Partners"/>
    <s v="Ethiopian Evang Chur Mek.Yes-NC br"/>
    <s v="Ethiopia"/>
    <n v="193967"/>
    <x v="0"/>
    <x v="5"/>
  </r>
  <r>
    <x v="0"/>
    <s v="DP.2376"/>
    <s v="Provision of Humanitarian Coordination and Shelter and Settlements Assistance for Crisis-Affected Populations in Ethiopia"/>
    <s v="MOVEMENT, EMERGENCY AND POST-CRISIS MIGRATION MANAGEMENT"/>
    <s v="Ethiopia"/>
    <n v="4500238014"/>
    <s v="000000000500000124-IP transfers – National CSOs"/>
    <s v="Implementing Partners"/>
    <s v="Somali Ethiopian Social and E.D.A"/>
    <s v="Ethiopia"/>
    <n v="520225"/>
    <x v="0"/>
    <x v="0"/>
  </r>
  <r>
    <x v="0"/>
    <s v="DP.2376"/>
    <s v="Provision of Humanitarian Coordination and Shelter and Settlements Assistance for Crisis-Affected Populations in Ethiopia"/>
    <s v="MOVEMENT, EMERGENCY AND POST-CRISIS MIGRATION MANAGEMENT"/>
    <s v="Ethiopia"/>
    <n v="4500239094"/>
    <s v=" RRFE0117 - IP CAAP - Non-Food Items (NFIs) assistance in Adadle Woreda, Shebelle Zone Somali Region."/>
    <s v="Implementing Partners"/>
    <s v="Community in Action Against Poverty"/>
    <s v="Ethiopia"/>
    <n v="40090"/>
    <x v="0"/>
    <x v="0"/>
  </r>
  <r>
    <x v="0"/>
    <s v="DP.2376"/>
    <s v="Provision of Humanitarian Coordination and Shelter and Settlements Assistance for Crisis-Affected Populations in Ethiopia"/>
    <s v="MOVEMENT, EMERGENCY AND POST-CRISIS MIGRATION MANAGEMENT"/>
    <s v="Ethiopia"/>
    <n v="4500240010"/>
    <s v=" Enhance CCCM practices among partners and ensure harmonization of humanitarian response efforts in the targeted camp/or camp like settings in Dangur, Mandura, Dibate and Bulen Woredas of Metekel zone, Benishangul Gumuz Region for IDPs: 2,435 HHs/11,705 I"/>
    <s v="Implementing Partners"/>
    <s v="COOPERAZIONE INTERNAZIONALE (COOPI)"/>
    <s v="Ethiopia"/>
    <n v="428611"/>
    <x v="0"/>
    <x v="1"/>
  </r>
  <r>
    <x v="0"/>
    <s v="DP.2376"/>
    <s v="Provision of Humanitarian Coordination and Shelter and Settlements Assistance for Crisis-Affected Populations in Ethiopia"/>
    <s v="MOVEMENT, EMERGENCY AND POST-CRISIS MIGRATION MANAGEMENT"/>
    <s v="Ethiopia"/>
    <n v="4500240291"/>
    <s v=" Humanitarian response for drought affected IDPs in Guji Zone."/>
    <s v="Implementing Partners"/>
    <s v="CARITAS SWITZERLAND"/>
    <s v="Ethiopia"/>
    <n v="385392"/>
    <x v="0"/>
    <x v="6"/>
  </r>
  <r>
    <x v="0"/>
    <s v="DP.2376"/>
    <s v="Provision of Humanitarian Coordination and Shelter and Settlements Assistance for Crisis-Affected Populations in Ethiopia"/>
    <s v="MOVEMENT, EMERGENCY AND POST-CRISIS MIGRATION MANAGEMENT"/>
    <s v="Ethiopia"/>
    <n v="4500241359"/>
    <s v=" Life-saving S/NFI response to drought-affected IDPs in Hudet Woreda of Dawa Zone Somali Region."/>
    <s v="Implementing Partners"/>
    <s v="Agro-Pastoral Initiative for Dev't"/>
    <s v="Ethiopia"/>
    <n v="88231"/>
    <x v="0"/>
    <x v="0"/>
  </r>
  <r>
    <x v="0"/>
    <s v="DP.2376"/>
    <s v="Provision of Humanitarian Coordination and Shelter and Settlements Assistance for Crisis-Affected Populations in Ethiopia"/>
    <s v="MOVEMENT, EMERGENCY AND POST-CRISIS MIGRATION MANAGEMENT"/>
    <s v="Ethiopia"/>
    <n v="4500242599"/>
    <s v=" RRFE0119 - IP DAE - ES and Cash for NFI response in Goro Baqaqsa, -Liban zone, Somali region.   Reference:  Project Implementation Agreement number: ETH/ADD/August/1148/2022  PR number: 4200307559  PO Issued by: Mr. Nathaniel Abera  Contact Person: Mr. A"/>
    <s v="Implementing Partners"/>
    <s v="Dorcas Aid Ethiopia (DAE)"/>
    <s v="Ethiopia"/>
    <n v="710303"/>
    <x v="0"/>
    <x v="1"/>
  </r>
  <r>
    <x v="0"/>
    <s v="DP.2376"/>
    <s v="Provision of Humanitarian Coordination and Shelter and Settlements Assistance for Crisis-Affected Populations in Ethiopia"/>
    <s v="MOVEMENT, EMERGENCY AND POST-CRISIS MIGRATION MANAGEMENT"/>
    <s v="Ethiopia"/>
    <n v="4500263995"/>
    <s v=" RRFE0123 - IP PAD CCCM support for drought-affected populations in Borana zone of Oromia region."/>
    <s v="Implementing Partners"/>
    <s v="Positive Action for Development"/>
    <s v="Ethiopia"/>
    <n v="124908"/>
    <x v="0"/>
    <x v="0"/>
  </r>
  <r>
    <x v="0"/>
    <s v="DP.2376"/>
    <s v="Provision of Humanitarian Coordination and Shelter and Settlements Assistance for Crisis-Affected Populations in Ethiopia"/>
    <s v="MOVEMENT, EMERGENCY AND POST-CRISIS MIGRATION MANAGEMENT"/>
    <s v="Ethiopia"/>
    <n v="4500276269"/>
    <s v=" RRFE0125 IP MIS Providing NFIs for conflict-affected IDPs in Mandura, Metekel zone BGRS.   Reference: Project Implementation Agreement number: ETH/ADD/December/1219/2022  PR number: 4200384525  PO Issued by: Mr. Nathaniel Abera  Contact Person: Mr. Abdu"/>
    <s v="Implementing Partners"/>
    <s v="MULTI INTEGRATED SUPPORT"/>
    <s v="Ethiopia"/>
    <n v="101194"/>
    <x v="0"/>
    <x v="0"/>
  </r>
  <r>
    <x v="0"/>
    <s v="DP.2376"/>
    <s v="Provision of Humanitarian Coordination and Shelter and Settlements Assistance for Crisis-Affected Populations in Ethiopia"/>
    <s v="MOVEMENT, EMERGENCY AND POST-CRISIS MIGRATION MANAGEMENT"/>
    <s v="Ethiopia"/>
    <n v="4500276433"/>
    <s v=" EPC_RRF - RRFE0127 IP CAAP ES/NFI assistance for  IDPs in Kelafo and El Ogaden woredas of Somali.  PR#4200388794"/>
    <s v="Implementing Partners"/>
    <s v="Community in Action Against Poverty"/>
    <s v="Ethiopia"/>
    <n v="117069"/>
    <x v="0"/>
    <x v="0"/>
  </r>
  <r>
    <x v="0"/>
    <s v="DP.2376"/>
    <s v="Provision of Humanitarian Coordination and Shelter and Settlements Assistance for Crisis-Affected Populations in Ethiopia"/>
    <s v="MOVEMENT, EMERGENCY AND POST-CRISIS MIGRATION MANAGEMENT"/>
    <s v="Ethiopia"/>
    <n v="4500276605"/>
    <s v=" EPC_RRF - RRFE0126 IP SESEDA ES and Cash for NFI provision for IDPs at Hergelle Woreda of Somali.  PR#4200388802"/>
    <s v="Implementing Partners"/>
    <s v="Somali Ethiopian Social and E.D.A"/>
    <s v="Ethiopia"/>
    <n v="305346"/>
    <x v="0"/>
    <x v="0"/>
  </r>
  <r>
    <x v="0"/>
    <s v="DP.2381"/>
    <s v="Providing Integrated Humanitarian Assistance to Internally Displaced Populations in Iraq"/>
    <s v="MOVEMENT, EMERGENCY AND POST-CRISIS MIGRATION MANAGEMENT"/>
    <s v="Iraq"/>
    <n v="4500205226"/>
    <s v=" Providing integrated humanitrian Assistant to internally Displaced Populations in Iraq,Shekhan Camp IP Agreement- First Payment"/>
    <s v="Implementing Partners"/>
    <s v="HARIWAN ORGANIZATION"/>
    <s v="Iraq"/>
    <n v="24000"/>
    <x v="0"/>
    <x v="0"/>
  </r>
  <r>
    <x v="0"/>
    <s v="DP.2381"/>
    <s v="Providing Integrated Humanitarian Assistance to Internally Displaced Populations in Iraq"/>
    <s v="MOVEMENT, EMERGENCY AND POST-CRISIS MIGRATION MANAGEMENT"/>
    <s v="Iraq"/>
    <n v="4500205492"/>
    <s v=" PR#4200219120 granting Hariwan organization for human rights, Rusaz organization and better world organization for community development"/>
    <s v="Implementing Partners"/>
    <s v="Rusaz Organization"/>
    <s v="Iraq"/>
    <n v="24000"/>
    <x v="0"/>
    <x v="0"/>
  </r>
  <r>
    <x v="0"/>
    <s v="DP.2381"/>
    <s v="Providing Integrated Humanitarian Assistance to Internally Displaced Populations in Iraq"/>
    <s v="MOVEMENT, EMERGENCY AND POST-CRISIS MIGRATION MANAGEMENT"/>
    <s v="Iraq"/>
    <n v="4500205498"/>
    <s v=" PR#4200219120 granting Hariwan organization for human rights, Rusaz organization and better world organization for community development"/>
    <s v="Implementing Partners"/>
    <s v="BETTER WORLD ORGANIZATION"/>
    <s v="Iraq"/>
    <n v="24000"/>
    <x v="0"/>
    <x v="3"/>
  </r>
  <r>
    <x v="0"/>
    <s v="DP.2382"/>
    <s v="Protection Assistance for Women, Girls and Migrants at Risk of GBV and Human Trafficking in Venezuela"/>
    <s v="MOVEMENT, EMERGENCY AND POST-CRISIS MIGRATION MANAGEMENT"/>
    <s v="Venezuela (BR)"/>
    <n v="4500194549"/>
    <s v="  SDC.2022.107 ACUERDO DE IMPLEMENTACIÓN DE PROYECTO &quot;PROTECTION ASSISTANCE FOR WOMEN, GIRLS AND MIGRANTS AT RISK OF GBV AND HUMAN TRAFFICKING IN VENEZUELA&quot; CONTRATO IOMVE/CONTR/2022/024"/>
    <s v="Implementing Partners"/>
    <s v="ASOC. CIVIL CARITAS GUASDUALITO"/>
    <s v="Venezuela"/>
    <n v="127000"/>
    <x v="0"/>
    <x v="6"/>
  </r>
  <r>
    <x v="0"/>
    <s v="DP.2382"/>
    <s v="Protection Assistance for Women, Girls and Migrants at Risk of GBV and Human Trafficking in Venezuela"/>
    <s v="MOVEMENT, EMERGENCY AND POST-CRISIS MIGRATION MANAGEMENT"/>
    <s v="Venezuela (BR)"/>
    <n v="4500194814"/>
    <s v=" SDC.2022.112 - PRIMER PAGO ACUERDO DE IMPLEMENTACIÓN DE PROYECTO PAGADERO EN EL PLAZO DE DIEZ (10) DÍAS LUEGO DE LA FIRMA DEL PRESENTE ACUERDO Y CUANDO LA OIM HAYA RECIBIDO LA SOLICITUD DE PAGO DE PARTE DEL ASOCIADO EN LA EJECUCIÓN"/>
    <s v="Implementing Partners"/>
    <s v="COOPI COOPERAZIONE INTERNAZIONALE"/>
    <s v="Venezuela"/>
    <n v="116134"/>
    <x v="0"/>
    <x v="1"/>
  </r>
  <r>
    <x v="0"/>
    <s v="DP.2382"/>
    <s v="Protection Assistance for Women, Girls and Migrants at Risk of GBV and Human Trafficking in Venezuela"/>
    <s v="MOVEMENT, EMERGENCY AND POST-CRISIS MIGRATION MANAGEMENT"/>
    <s v="Venezuela (BR)"/>
    <n v="4500196351"/>
    <s v=" SDC.2022.130 - PRIMER PAGO ACUERDO DE IMPLEMENTACIÓN DE PROYECTO PAGADERO EN EL PLAZO DE DIEZ (10) DÍAS LUEGO DE LA FIRMA DEL PRESENTE ACUERDO Y CUANDO LA OIM HAYA RECIBIDO LA SOLICITUD DE PAGO DE PARTE DEL ASOCIADO EN LA EJECUCIÓN"/>
    <s v="Implementing Partners"/>
    <s v="ASOC C CARITAS DE VENEZUELA"/>
    <s v="Venezuela"/>
    <n v="170594"/>
    <x v="0"/>
    <x v="6"/>
  </r>
  <r>
    <x v="0"/>
    <s v="DP.2382"/>
    <s v="Protection Assistance for Women, Girls and Migrants at Risk of GBV and Human Trafficking in Venezuela"/>
    <s v="MOVEMENT, EMERGENCY AND POST-CRISIS MIGRATION MANAGEMENT"/>
    <s v="Venezuela (BR)"/>
    <n v="4500198673"/>
    <s v=" SDC.2022.146 - PRIMER PAGO ACUERDO DE IMPLEMENTACIÓN DE PROYECTO PAGADERO EN EL PLAZO DE DIEZ (10) DÍAS LUEGO DE LA FIRMA DEL PRESENTE ACUERDO Y CUANDO LA OIM HAYA RECIBIDO LA SOLICITUD DE PAGO DE PARTE DEL ASOCIADO EN LA EJECUCIÓN"/>
    <s v="Implementing Partners"/>
    <s v="ASOC C CARITAS DE VENEZUELA"/>
    <s v="Venezuela"/>
    <n v="108800"/>
    <x v="0"/>
    <x v="6"/>
  </r>
  <r>
    <x v="0"/>
    <s v="DP.2383"/>
    <s v="Improving Protection and Living Conditions and Reducing Vulnerabilities of Crisis-Affected Populations in North-East Nigeria"/>
    <s v="MOVEMENT, EMERGENCY AND POST-CRISIS MIGRATION MANAGEMENT"/>
    <s v="Nigeria"/>
    <n v="4500186192"/>
    <s v=" Housing, Land and Property (HLP) Project Implementation in Banki, Gwoza, konduga and Monguno, North-East Nigeria. PR Ref: 4200169717"/>
    <s v="Implementing Partners"/>
    <s v="CONCERN FOR WOMEN AND CHILDREN"/>
    <s v="Nigeria"/>
    <n v="14076"/>
    <x v="0"/>
    <x v="0"/>
  </r>
  <r>
    <x v="0"/>
    <s v="DP.2383"/>
    <s v="Improving Protection and Living Conditions and Reducing Vulnerabilities of Crisis-Affected Populations in North-East Nigeria"/>
    <s v="MOVEMENT, EMERGENCY AND POST-CRISIS MIGRATION MANAGEMENT"/>
    <s v="Nigeria"/>
    <n v="4500244683"/>
    <s v=" artnership with UNIMAID on Professional Master’s Degree on MHPSS in Counselling and Conflict Transformation PR Ref: 4200203956_ 4200090818"/>
    <s v="Implementing Partners"/>
    <s v="CENTER FOR PEACE, DIPLOMATIC AND DE"/>
    <s v="Nigeria"/>
    <n v="14753"/>
    <x v="0"/>
    <x v="2"/>
  </r>
  <r>
    <x v="0"/>
    <s v="DP.2384"/>
    <s v="Improving the Living Conditions of Vulnerable Venezuelans through Direct Humanitarian Assistance, Data Collection and Analysis, and Strengthening Regional Coordination Mechanisms."/>
    <s v="MOVEMENT, EMERGENCY AND POST-CRISIS MIGRATION MANAGEMENT"/>
    <s v="Venezuela (BR)"/>
    <n v="4500200500"/>
    <s v=" SDC.2022.165 - PRIMER PAGO ACUERDO DE IMPLEMENTACIÓN DE PROYECTO PAGADERO EN EL PLAZO DE DIEZ (10) DÍAS LUEGO DE LA FIRMA DEL PRESENTE ACUERDO Y CUANDO LA OIM HAYA RECIBIDO LA SOLICITUD DE PAGO DE PARTE DEL ASOCIADO EN LA EJECUCIÓN Se modifica la PO de a"/>
    <s v="Implementing Partners"/>
    <s v="COOPI COOPERAZIONE INTERNAZIONALE"/>
    <s v="Venezuela"/>
    <n v="157214"/>
    <x v="0"/>
    <x v="1"/>
  </r>
  <r>
    <x v="0"/>
    <s v="DP.2384"/>
    <s v="Improving the Living Conditions of Vulnerable Venezuelans through Direct Humanitarian Assistance, Data Collection and Analysis, and Strengthening Regional Coordination Mechanisms."/>
    <s v="MOVEMENT, EMERGENCY AND POST-CRISIS MIGRATION MANAGEMENT"/>
    <s v="Venezuela (BR)"/>
    <n v="4500209497"/>
    <s v=" SDC.2022.207 - PRIMER PAGO ACUERDO DE IMPLEMENTACIÓN DE PROYECTO PAGADERO EN EL PLAZO DE DIEZ (10) DÍAS LUEGO DE LA FIRMA DEL PRESENTE ACUERDO Y CUANDO LA OIM HAYA RECIBIDO LA SOLICITUD DE PAGO DE PARTE DEL ASOCIADO EN LA EJECUCIÓN"/>
    <s v="Implementing Partners"/>
    <s v="Cruz Roja Venezolana Seccional Zuli"/>
    <s v="Venezuela"/>
    <n v="71285"/>
    <x v="0"/>
    <x v="4"/>
  </r>
  <r>
    <x v="0"/>
    <s v="DP.2384"/>
    <s v="Improving the Living Conditions of Vulnerable Venezuelans through Direct Humanitarian Assistance, Data Collection and Analysis, and Strengthening Regional Coordination Mechanisms."/>
    <s v="MOVEMENT, EMERGENCY AND POST-CRISIS MIGRATION MANAGEMENT"/>
    <s v="Venezuela (BR)"/>
    <n v="4500209501"/>
    <s v=" SDC.2022.205 - PRIMER PAGO ACUERDO DE IMPLEMENTACIÓN DE PROYECTO PAGADERO EN EL PLAZO DE DIEZ (10) DÍAS LUEGO DE LA FIRMA DEL PRESENTE ACUERDO Y CUANDO LA OIM HAYA RECIBIDO LA SOLICITUD DE PAGO DE PARTE DEL ASOCIADO EN LA EJECUCIÓN"/>
    <s v="Implementing Partners"/>
    <s v="DIOCESIS DE SAN CRISTOBAL"/>
    <s v="Venezuela"/>
    <n v="324721"/>
    <x v="0"/>
    <x v="5"/>
  </r>
  <r>
    <x v="0"/>
    <s v="DP.2384"/>
    <s v="Improving the Living Conditions of Vulnerable Venezuelans through Direct Humanitarian Assistance, Data Collection and Analysis, and Strengthening Regional Coordination Mechanisms."/>
    <s v="MOVEMENT, EMERGENCY AND POST-CRISIS MIGRATION MANAGEMENT"/>
    <s v="Venezuela (BR)"/>
    <n v="4500209506"/>
    <s v=" SDC.2022.206 - PRIMER PAGO ACUERDO DE IMPLEMENTACIÓN DE PROYECTO PAGADERO EN EL PLAZO DE DIEZ (10) DÍAS LUEGO DE LA FIRMA DEL PRESENTE ACUERDO Y CUANDO LA OIM HAYA RECIBIDO LA SOLICITUD DE PAGO DE PARTE DEL ASOCIADO EN LA EJECUCIÓN"/>
    <s v="Implementing Partners"/>
    <s v="Cruz Roja Sub Comité Guasdualito"/>
    <s v="Venezuela"/>
    <n v="112700"/>
    <x v="0"/>
    <x v="4"/>
  </r>
  <r>
    <x v="0"/>
    <s v="DP.2384"/>
    <s v="Improving the Living Conditions of Vulnerable Venezuelans through Direct Humanitarian Assistance, Data Collection and Analysis, and Strengthening Regional Coordination Mechanisms."/>
    <s v="MOVEMENT, EMERGENCY AND POST-CRISIS MIGRATION MANAGEMENT"/>
    <s v="Venezuela (BR)"/>
    <n v="4500221729"/>
    <s v=" SDC.2022.013 - ACUERDO DE IMPLEMENTACIÓN DE PROYECTO RELATIVO A LA RECOLECCIÓN DE INFORMACIÓN DTM Contrato No IOMVE/CONTR/2022/039"/>
    <s v="Implementing Partners"/>
    <s v="ASOC C CARITAS DE VENEZUELA"/>
    <s v="Venezuela"/>
    <n v="304612"/>
    <x v="0"/>
    <x v="6"/>
  </r>
  <r>
    <x v="0"/>
    <s v="DP.2384"/>
    <s v="Improving the Living Conditions of Vulnerable Venezuelans through Direct Humanitarian Assistance, Data Collection and Analysis, and Strengthening Regional Coordination Mechanisms."/>
    <s v="MOVEMENT, EMERGENCY AND POST-CRISIS MIGRATION MANAGEMENT"/>
    <s v="Venezuela (BR)"/>
    <n v="4500221741"/>
    <s v=" SDC.2022.251 - ACUERDO DE IMPLEMENTACIÓN DE PROYECTO RELATIVO A &quot;ATENCIÓN EN CENTROS DE ALOJAMIENTO TEMPORAL, PUNTOS MÓVILES E INTERVENCIÓN EN COMUNIDADES VULNERABLES&quot; PAGADER0 QUINCE (15) DÍAS LUEGO DE LA FIRMA DEL PRESENTE ACUERDO Y CUANDO LA OIM HAYA R"/>
    <s v="Implementing Partners"/>
    <s v="ASOC C CARITAS DE VENEZUELA"/>
    <s v="Venezuela"/>
    <n v="437634"/>
    <x v="0"/>
    <x v="6"/>
  </r>
  <r>
    <x v="0"/>
    <s v="DP.2384"/>
    <s v="Improving the Living Conditions of Vulnerable Venezuelans through Direct Humanitarian Assistance, Data Collection and Analysis, and Strengthening Regional Coordination Mechanisms."/>
    <s v="MOVEMENT, EMERGENCY AND POST-CRISIS MIGRATION MANAGEMENT"/>
    <s v="Venezuela (BR)"/>
    <n v="4500226166"/>
    <s v=" sdc.2022.268 - ACUERDO DE IMPLEMENTACIÓN DE PROYECTO UNICO PAGO QUE SE ABONARÁ QUINCE (15) DÍAS DESPUÉS DE CONCLUIDO EL PROYECTO, SUJETO A LA RECEPCIÓN Y APROBACIÓN POR PARTE DE LA OIM DEL INFORME FINAL CONFORME A LO DESCRITO EN LA CLÁUSULA 7, LA RECEPCIÓN"/>
    <s v="Implementing Partners"/>
    <s v="ASOC. CIVIL CARITAS GUASDUALITO"/>
    <s v="Venezuela"/>
    <n v="190000"/>
    <x v="0"/>
    <x v="6"/>
  </r>
  <r>
    <x v="0"/>
    <s v="DP.2389"/>
    <s v="Multi-Sector Humanitarian Response for Persons Affected by Violence in Northern Mozambique and the Supporting COVID-19 Vaccination Campaign Roll-Out in Mozambique, Botswana and South Africa"/>
    <s v="MOVEMENT, EMERGENCY AND POST-CRISIS MIGRATION MANAGEMENT"/>
    <s v="Botswana"/>
    <n v="4500239531"/>
    <s v=" IP Agreement for Risk Communication and Community Engagement, and COVID-19 Vaccine Demand Creation"/>
    <s v="Implementing Partners"/>
    <s v="BOTSWANA RED CROSS SOCIETY"/>
    <s v="Botswana"/>
    <n v="64055"/>
    <x v="0"/>
    <x v="4"/>
  </r>
  <r>
    <x v="0"/>
    <s v="DP.2389"/>
    <s v="Multi-Sector Humanitarian Response for Persons Affected by Violence in Northern Mozambique and the Supporting COVID-19 Vaccination Campaign Roll-Out in Mozambique, Botswana and South Africa"/>
    <s v="MOVEMENT, EMERGENCY AND POST-CRISIS MIGRATION MANAGEMENT"/>
    <s v="South Africa"/>
    <n v="4500223388"/>
    <s v=" IP Transfers"/>
    <s v="Implementing Partners"/>
    <s v="The South Africa Red Cross Society"/>
    <s v="South Africa"/>
    <n v="44915"/>
    <x v="0"/>
    <x v="4"/>
  </r>
  <r>
    <x v="0"/>
    <s v="DP.2391"/>
    <s v="Emergency Assistance for Persons in Search of International Protection and Community Strengthening in Venezuela Phase XVI"/>
    <s v="MOVEMENT, EMERGENCY AND POST-CRISIS MIGRATION MANAGEMENT"/>
    <s v="Venezuela (BR)"/>
    <n v="4500189505"/>
    <s v=" SDC.2022.085 - PRIMER PAGO ACUERDO DE IMPLEMENTACIÓN DE PROYECTO PAGADERO EN EL PLAZO DE DIEZ (10) DÍAS LUEGO DE LA FIRMA DEL PRESENTE ACUERDO Y CUANDO LA OIM HAYA RECIBIDO LA SOLICITUD DE PAGO DE PARTE DEL ASOCIADO EN LA EJECUCIÓN"/>
    <s v="Implementing Partners"/>
    <s v="ASOC C CARITAS DE VENEZUELA"/>
    <s v="Venezuela"/>
    <n v="33919"/>
    <x v="0"/>
    <x v="6"/>
  </r>
  <r>
    <x v="0"/>
    <s v="DP.2391"/>
    <s v="Emergency Assistance for Persons in Search of International Protection and Community Strengthening in Venezuela Phase XVI"/>
    <s v="MOVEMENT, EMERGENCY AND POST-CRISIS MIGRATION MANAGEMENT"/>
    <s v="Venezuela (BR)"/>
    <n v="4500189512"/>
    <s v="  SDC.2022.083  ACUERDO DE IMPLEMENTACIÓN DE PROYECTO &quot;EMERGENCY ASSISTANCE FOR PERSONS IN SEARCH OF INTERNATIONAL PROTECTION AND COMMUNITY STRENGTHENING IN VENEZUELA - PHASE XVI&quot; CONVENIO IOMVE/CONTR/2022/020"/>
    <s v="Implementing Partners"/>
    <s v="CRUZ ROJA VENEZOLANA SECC MERIDA"/>
    <s v="Venezuela"/>
    <n v="12880"/>
    <x v="0"/>
    <x v="4"/>
  </r>
  <r>
    <x v="0"/>
    <s v="DP.2391"/>
    <s v="Emergency Assistance for Persons in Search of International Protection and Community Strengthening in Venezuela Phase XVI"/>
    <s v="MOVEMENT, EMERGENCY AND POST-CRISIS MIGRATION MANAGEMENT"/>
    <s v="Venezuela (BR)"/>
    <n v="4500190878"/>
    <s v="  SDC.2022.082  ACUERDO DE IMPLEMENTACIÓN DE PROYECTO &quot;EMERGENCY ASSISTANCE FOR PERSONS IN SEARCH OF INTERNATIONAL PROTECTION AND COMMUNITY STRENGTHENING IN VENEZUELA - PHASE XVI&quot; CONVENIO IOMVE/CONTR/2022/019"/>
    <s v="Implementing Partners"/>
    <s v="Cruz Roja Sub Comité Guasdualito"/>
    <s v="Venezuela"/>
    <n v="16000"/>
    <x v="0"/>
    <x v="4"/>
  </r>
  <r>
    <x v="0"/>
    <s v="DP.2391"/>
    <s v="Emergency Assistance for Persons in Search of International Protection and Community Strengthening in Venezuela Phase XVI"/>
    <s v="MOVEMENT, EMERGENCY AND POST-CRISIS MIGRATION MANAGEMENT"/>
    <s v="Venezuela (BR)"/>
    <n v="4500194093"/>
    <s v=" SDC.2022.084 ACUERDO DE IMPLEMENTACIÓN DE PROYECTO &quot;EMERGENCY ASSISTANCE FOR PERSONS IN SEARCH OF INTERNATIONAL PROTECTION AND COMMUNITY STRENGTHENING IN VENEZUELA - PHASE XVI” IOMVE/CONTR/2022/016"/>
    <s v="Implementing Partners"/>
    <s v="Cruz Roja Venezolana Seccional Zuli"/>
    <s v="Venezuela"/>
    <n v="93500"/>
    <x v="0"/>
    <x v="4"/>
  </r>
  <r>
    <x v="0"/>
    <s v="DP.2391"/>
    <s v="Emergency Assistance for Persons in Search of International Protection and Community Strengthening in Venezuela Phase XVI"/>
    <s v="MOVEMENT, EMERGENCY AND POST-CRISIS MIGRATION MANAGEMENT"/>
    <s v="Venezuela (BR)"/>
    <n v="4500194365"/>
    <s v=" SDC.2022.086 ACUERDO DE IMPLEMENTACIÓN DE PROYECTO &quot;EMERGENCY ASSISTANCE FOR PERSONS IN SEARCH OF INTERNATIONAL PROTECTION AND COMMUNITY STRENGTHENING IN VENEZUELA - PHASE XVI IOMVE/CONTR/2022/017"/>
    <s v="Implementing Partners"/>
    <s v="ASOC C CARITAS DE VENEZUELA"/>
    <s v="Venezuela"/>
    <n v="27540"/>
    <x v="0"/>
    <x v="6"/>
  </r>
  <r>
    <x v="0"/>
    <s v="DP.2391"/>
    <s v="Emergency Assistance for Persons in Search of International Protection and Community Strengthening in Venezuela Phase XVI"/>
    <s v="MOVEMENT, EMERGENCY AND POST-CRISIS MIGRATION MANAGEMENT"/>
    <s v="Venezuela (BR)"/>
    <n v="4500194458"/>
    <s v=" SDC.2022.080 ACUERDO DE IMPLEMENTACIÓN DE PROYECTO &quot;EMERGENCY ASSISTANCE FOR PERSONS IN SEARCH OF INTERNATIONAL PROTECTION AND COMMUNITY STRENGTHENING IN VENEZUELA - PHASE XVI” IOMVE/CONTR/2022/015"/>
    <s v="Implementing Partners"/>
    <s v="ASOC C CARITAS DE VENEZUELA"/>
    <s v="Venezuela"/>
    <n v="28000"/>
    <x v="0"/>
    <x v="6"/>
  </r>
  <r>
    <x v="0"/>
    <s v="DP.2391"/>
    <s v="Emergency Assistance for Persons in Search of International Protection and Community Strengthening in Venezuela Phase XVI"/>
    <s v="MOVEMENT, EMERGENCY AND POST-CRISIS MIGRATION MANAGEMENT"/>
    <s v="Venezuela (BR)"/>
    <n v="4500194515"/>
    <s v=" SDC.2022.089 ACUERDO DE IMPLEMENTACIÓN DE PROYECTO &quot;EMERGENCY ASSISTANCE FOR PERSONS IN SEARCH OF INTERNATIONAL PROTECTION AND COMMUNITY STRENGTHENING IN VENEZUELA - PHASE XVI”"/>
    <s v="Implementing Partners"/>
    <s v="DIOCESIS DE SAN CRISTOBAL"/>
    <s v="Venezuela"/>
    <n v="115000"/>
    <x v="0"/>
    <x v="5"/>
  </r>
  <r>
    <x v="0"/>
    <s v="DP.2391"/>
    <s v="Emergency Assistance for Persons in Search of International Protection and Community Strengthening in Venezuela Phase XVI"/>
    <s v="MOVEMENT, EMERGENCY AND POST-CRISIS MIGRATION MANAGEMENT"/>
    <s v="Venezuela (BR)"/>
    <n v="4500194817"/>
    <s v=" SDC.2022.081 - PRIMER PAGO ACUERDO DE IMPLEMENTACIÓN DE PROYECTO PAGADERO EN EL PLAZO DE DIEZ (10) DÍAS LUEGO DE LA FIRMA DEL PRESENTE ACUERDO Y CUANDO LA OIM HAYA RECIBIDO LA SOLICITUD DE PAGO DE PARTE DEL ASOCIADO EN LA EJECUCIÓN"/>
    <s v="Implementing Partners"/>
    <s v="ASOC C CARITAS DE VENEZUELA"/>
    <s v="Venezuela"/>
    <n v="9000"/>
    <x v="0"/>
    <x v="6"/>
  </r>
  <r>
    <x v="0"/>
    <s v="DP.2391"/>
    <s v="Emergency Assistance for Persons in Search of International Protection and Community Strengthening in Venezuela Phase XVI"/>
    <s v="MOVEMENT, EMERGENCY AND POST-CRISIS MIGRATION MANAGEMENT"/>
    <s v="Venezuela (BR)"/>
    <n v="4500254648"/>
    <s v=" SDC.2022.359 - Convenio &quot;Aplicación de encuestas post distribución, satisfacción, e impacto del proyecto Emergency Assistance for persons in search of International Protection and community  strengthening in Venezuela Phase XVI&quot; 1ra cuota del convenio post"/>
    <s v="Implementing Partners"/>
    <s v="DIOCESIS DE SAN CRISTOBAL"/>
    <s v="Venezuela"/>
    <n v="4500"/>
    <x v="0"/>
    <x v="5"/>
  </r>
  <r>
    <x v="0"/>
    <s v="DP.2391"/>
    <s v="Emergency Assistance for Persons in Search of International Protection and Community Strengthening in Venezuela Phase XVI"/>
    <s v="MOVEMENT, EMERGENCY AND POST-CRISIS MIGRATION MANAGEMENT"/>
    <s v="Venezuela (BR)"/>
    <n v="4500254889"/>
    <s v=" SDC.2022.360 Convenio &quot;Aplicación de encuestas post distrubución, satisfaccion, e impacto del proyecto Emergency Assitnce for persons in search of internacional Protection and community strenghening in Venezuela Phase XVI&quot;"/>
    <s v="Implementing Partners"/>
    <s v="Cruz Roja Venezolana Seccional Zuli"/>
    <s v="Venezuela"/>
    <n v="3797"/>
    <x v="0"/>
    <x v="4"/>
  </r>
  <r>
    <x v="0"/>
    <s v="DP.2393"/>
    <s v="Humanitarian Response to Afghanistan Crisis Displacement and Mobility Dynamics"/>
    <s v="MOVEMENT, EMERGENCY AND POST-CRISIS MIGRATION MANAGEMENT"/>
    <s v="Afghanistan"/>
    <n v="4500224976"/>
    <s v=" Relief Humanitarian Development Organization (RHDO) for supporting of COVID-19 responses in Nangarhar and Herat provinces of Afghanistan for the month of November 2021 to December 2021"/>
    <s v="Implementing Partners"/>
    <s v="RELIEF HUMANITARIAN DEVELOPMENT"/>
    <s v="Afghanistan"/>
    <n v="108349"/>
    <x v="0"/>
    <x v="0"/>
  </r>
  <r>
    <x v="0"/>
    <s v="DP.2393"/>
    <s v="Humanitarian Response to Afghanistan Crisis Displacement and Mobility Dynamics"/>
    <s v="MOVEMENT, EMERGENCY AND POST-CRISIS MIGRATION MANAGEMENT"/>
    <s v="Afghanistan"/>
    <n v="4500224978"/>
    <s v=" Organization for Health promotion and Management (OHPM) for supporting to COVID-19 response in Kandahar and Helmand provinces in Afghanistan from November 2021 to December 2021"/>
    <s v="Implementing Partners"/>
    <s v="ORGANIZATION FOR HEALTH PROMOTION"/>
    <s v="Afghanistan"/>
    <n v="221523"/>
    <x v="0"/>
    <x v="0"/>
  </r>
  <r>
    <x v="0"/>
    <s v="DP.2395"/>
    <s v="2021 IOM COVID-19 Strategic Response and Recovery Plan"/>
    <s v="MOVEMENT, EMERGENCY AND POST-CRISIS MIGRATION MANAGEMENT"/>
    <s v="Bolivia (PS)"/>
    <n v="4500183147"/>
    <s v=" Asistencia a la población migrante venezolana con la entrega de insumos básicos, apoyo con alquiler de vivienda y apoyo para la regularización migratoria en las ciudades de La Paz, Oruro, Tarija y Potosí."/>
    <s v="Implementing Partners"/>
    <s v="Caritas Boliviana"/>
    <s v="Bolivia"/>
    <n v="39407"/>
    <x v="0"/>
    <x v="6"/>
  </r>
  <r>
    <x v="0"/>
    <s v="DP.2395"/>
    <s v="2021 IOM COVID-19 Strategic Response and Recovery Plan"/>
    <s v="MOVEMENT, EMERGENCY AND POST-CRISIS MIGRATION MANAGEMENT"/>
    <s v="Colombia"/>
    <n v="4500182835"/>
    <s v=" CONVENIO E&lt;(&gt;&amp;&lt;)&gt;E-023-003 DE 2021 PAYMENT BY DEMAND (100%) /26.04.2022 UPDATE DELIVERY DATE OTROSI 1"/>
    <s v="Implementing Partners"/>
    <s v="CORPORACION SCALABRINI"/>
    <s v="Colombia"/>
    <n v="47817"/>
    <x v="0"/>
    <x v="0"/>
  </r>
  <r>
    <x v="0"/>
    <s v="DP.2395"/>
    <s v="2021 IOM COVID-19 Strategic Response and Recovery Plan"/>
    <s v="MOVEMENT, EMERGENCY AND POST-CRISIS MIGRATION MANAGEMENT"/>
    <s v="Colombia"/>
    <n v="4500183870"/>
    <s v=" CONVENIO E&lt;(&gt;&amp;&lt;)&gt;E-023-002 DE 2021 12601091 SOCIEDAD NACIONAL DE LA CRUZ ROJA  TOTAL VALUE: COP 801.406.711 IOM CONTRIB: COP 707.251.253 SOC CONTRIB: COP  94.155.458"/>
    <s v="Implementing Partners"/>
    <s v="SOCIEDAD NACIONAL DE LA CRUZ ROJA ("/>
    <s v="Colombia"/>
    <n v="176416"/>
    <x v="0"/>
    <x v="4"/>
  </r>
  <r>
    <x v="0"/>
    <s v="DP.2395"/>
    <s v="2021 IOM COVID-19 Strategic Response and Recovery Plan"/>
    <s v="MOVEMENT, EMERGENCY AND POST-CRISIS MIGRATION MANAGEMENT"/>
    <s v="Colombia"/>
    <n v="4500184069"/>
    <s v=" CONVENIO E&lt;(&gt;&amp;&lt;)&gt;E-023-001 DE  2021 12628688 FUNDACION SAVE THE CHILDREN COLOMBI  TOTAL VALUE: COP 6.280.092.383 IOM CONTRIB: COP 6.280.092.383"/>
    <s v="Implementing Partners"/>
    <s v="FUNDACION SAVE THE CHILDREN COLOMBI"/>
    <s v="Colombia"/>
    <n v="1566498"/>
    <x v="0"/>
    <x v="6"/>
  </r>
  <r>
    <x v="0"/>
    <s v="DP.2395"/>
    <s v="2021 IOM COVID-19 Strategic Response and Recovery Plan"/>
    <s v="MOVEMENT, EMERGENCY AND POST-CRISIS MIGRATION MANAGEMENT"/>
    <s v="Ecuador"/>
    <n v="4500181707"/>
    <s v=" IP PRM4 Extensión de personal operativo en territorio hasta marzo 2022"/>
    <s v="Implementing Partners"/>
    <s v="ADRA"/>
    <s v="Ecuador"/>
    <n v="16394"/>
    <x v="0"/>
    <x v="1"/>
  </r>
  <r>
    <x v="0"/>
    <s v="DP.2395"/>
    <s v="2021 IOM COVID-19 Strategic Response and Recovery Plan"/>
    <s v="MOVEMENT, EMERGENCY AND POST-CRISIS MIGRATION MANAGEMENT"/>
    <s v="Ecuador"/>
    <n v="4500181715"/>
    <s v=" IP Extensión del convenio de gestión de albergues"/>
    <s v="Implementing Partners"/>
    <s v="ADRA"/>
    <s v="Ecuador"/>
    <n v="40000"/>
    <x v="0"/>
    <x v="1"/>
  </r>
  <r>
    <x v="0"/>
    <s v="DP.2395"/>
    <s v="2021 IOM COVID-19 Strategic Response and Recovery Plan"/>
    <s v="MOVEMENT, EMERGENCY AND POST-CRISIS MIGRATION MANAGEMENT"/>
    <s v="Ecuador"/>
    <n v="4500189854"/>
    <s v=" PR 4200180965  IP Tercera fase de contratación ADRA  Contrato del Acuerdo de implementación de proyecto entre la Organización Internacional para las Migraciones (OIM) y Corporación Adventista de Desarrollo y Recursos Asistenciales del Ecuador (ADRA ECUAD"/>
    <s v="Implementing Partners"/>
    <s v="ADRA"/>
    <s v="Ecuador"/>
    <n v="535386"/>
    <x v="0"/>
    <x v="1"/>
  </r>
  <r>
    <x v="0"/>
    <s v="DP.2395"/>
    <s v="2021 IOM COVID-19 Strategic Response and Recovery Plan"/>
    <s v="MOVEMENT, EMERGENCY AND POST-CRISIS MIGRATION MANAGEMENT"/>
    <s v="Ecuador"/>
    <n v="4500195179"/>
    <s v=" PR 4200200591  ACUERDO DE IMPLEMENTACIÓN DE PROYECTO entre la Organización Internacional para las Migraciones (OIM) y la Corporación Agencia Adventista de Desarrollo y Recursos Asistenciales del Ecuador (ADRA Ecuador) relativo a Identificación, atención,"/>
    <s v="Implementing Partners"/>
    <s v="ADRA"/>
    <s v="Ecuador"/>
    <n v="26000"/>
    <x v="0"/>
    <x v="1"/>
  </r>
  <r>
    <x v="0"/>
    <s v="DP.2395"/>
    <s v="2021 IOM COVID-19 Strategic Response and Recovery Plan"/>
    <s v="MOVEMENT, EMERGENCY AND POST-CRISIS MIGRATION MANAGEMENT"/>
    <s v="Ecuador"/>
    <n v="4500211666"/>
    <s v=" IP Extensión del convenio de gestión de albergues"/>
    <s v="Implementing Partners"/>
    <s v="ADRA"/>
    <s v="Ecuador"/>
    <n v="57630"/>
    <x v="0"/>
    <x v="1"/>
  </r>
  <r>
    <x v="0"/>
    <s v="DP.2395"/>
    <s v="2021 IOM COVID-19 Strategic Response and Recovery Plan"/>
    <s v="MOVEMENT, EMERGENCY AND POST-CRISIS MIGRATION MANAGEMENT"/>
    <s v="Ecuador"/>
    <n v="4500222863"/>
    <s v=" PR 4200241492  ACUERDO DE IMPLEMENTACIÓN DE PROYECTO entre la Organización Internacional para las Migraciones (OIM) y Corporación Kimirina relativo a Implementación de un Modelo Comunitario para la Prevención de VIH en Población en Situación de Movilidad"/>
    <s v="Implementing Partners"/>
    <s v="CORPORACION KIMIRINA"/>
    <s v="Ecuador"/>
    <n v="75000"/>
    <x v="0"/>
    <x v="0"/>
  </r>
  <r>
    <x v="0"/>
    <s v="DP.2395"/>
    <s v="2021 IOM COVID-19 Strategic Response and Recovery Plan"/>
    <s v="MOVEMENT, EMERGENCY AND POST-CRISIS MIGRATION MANAGEMENT"/>
    <s v="India"/>
    <n v="4500228920"/>
    <s v=" Establishing and supporting MRC and running campaigns from MRC - Instalment I"/>
    <s v="Implementing Partners"/>
    <s v="MANAV SEWA SANSTHAN SEVA"/>
    <s v="India"/>
    <n v="2590"/>
    <x v="0"/>
    <x v="0"/>
  </r>
  <r>
    <x v="0"/>
    <s v="DP.2395"/>
    <s v="2021 IOM COVID-19 Strategic Response and Recovery Plan"/>
    <s v="MOVEMENT, EMERGENCY AND POST-CRISIS MIGRATION MANAGEMENT"/>
    <s v="India"/>
    <n v="4500229880"/>
    <s v=" Establishing and supporting MRC and running campaigns from MRC"/>
    <s v="Implementing Partners"/>
    <s v="SOCIAL AWARENESS AND VOLUNTARY EDUC"/>
    <s v="India"/>
    <n v="25248"/>
    <x v="0"/>
    <x v="0"/>
  </r>
  <r>
    <x v="0"/>
    <s v="DP.2395"/>
    <s v="2021 IOM COVID-19 Strategic Response and Recovery Plan"/>
    <s v="MOVEMENT, EMERGENCY AND POST-CRISIS MIGRATION MANAGEMENT"/>
    <s v="India"/>
    <n v="4500242340"/>
    <s v=" Establishing and supporting MRC and running campaigns from MRC - - Instalment II"/>
    <s v="Implementing Partners"/>
    <s v="MANAV SEWA SANSTHAN SEVA"/>
    <s v="India"/>
    <n v="5826"/>
    <x v="0"/>
    <x v="0"/>
  </r>
  <r>
    <x v="0"/>
    <s v="DP.2395"/>
    <s v="2021 IOM COVID-19 Strategic Response and Recovery Plan"/>
    <s v="MOVEMENT, EMERGENCY AND POST-CRISIS MIGRATION MANAGEMENT"/>
    <s v="Lebanon"/>
    <n v="4500226269"/>
    <s v=" Implementation of Community-managed disaster risk reduction Project  Payment Terms based on Milestone basis: 1/2 Installment: USD25,000.00 2/2 Installment:USD65,040.00"/>
    <s v="Implementing Partners"/>
    <s v="Association North LEDA"/>
    <s v="Lebanon"/>
    <n v="90040"/>
    <x v="0"/>
    <x v="3"/>
  </r>
  <r>
    <x v="0"/>
    <s v="DP.2395"/>
    <s v="2021 IOM COVID-19 Strategic Response and Recovery Plan"/>
    <s v="MOVEMENT, EMERGENCY AND POST-CRISIS MIGRATION MANAGEMENT"/>
    <s v="Lebanon"/>
    <n v="4500227174"/>
    <s v=" First instalment - shall be due within fifteen (15) working days after signature of the agreement and upon IOM's receipt of the IP's payment request."/>
    <s v="Implementing Partners"/>
    <s v="Caritas Lebanon Migrant Center"/>
    <s v="Lebanon"/>
    <n v="108000"/>
    <x v="0"/>
    <x v="6"/>
  </r>
  <r>
    <x v="0"/>
    <s v="DP.2395"/>
    <s v="2021 IOM COVID-19 Strategic Response and Recovery Plan"/>
    <s v="MOVEMENT, EMERGENCY AND POST-CRISIS MIGRATION MANAGEMENT"/>
    <s v="Lebanon"/>
    <n v="4500232335"/>
    <s v=" First instalment - shall be due within fifteen (15) working days after signature of the agreement and upon receipt of the IP's payment request. TO BE RECODED TO PX.0263"/>
    <s v="Implementing Partners"/>
    <s v="KAFA (enough) Violence and exploita"/>
    <s v="Lebanon"/>
    <n v="83003"/>
    <x v="0"/>
    <x v="0"/>
  </r>
  <r>
    <x v="0"/>
    <s v="DP.2395"/>
    <s v="2021 IOM COVID-19 Strategic Response and Recovery Plan"/>
    <s v="MOVEMENT, EMERGENCY AND POST-CRISIS MIGRATION MANAGEMENT"/>
    <s v="Peru"/>
    <n v="4500189495"/>
    <s v=" Servicio implementación PAO y distribución de Kits de Higiene, Prevención COVID-19 en Madre de Dios"/>
    <s v="Implementing Partners"/>
    <s v="Asociacion Caritas Madre de Dios"/>
    <s v="Peru"/>
    <n v="252927"/>
    <x v="0"/>
    <x v="6"/>
  </r>
  <r>
    <x v="0"/>
    <s v="DP.2395"/>
    <s v="2021 IOM COVID-19 Strategic Response and Recovery Plan"/>
    <s v="MOVEMENT, EMERGENCY AND POST-CRISIS MIGRATION MANAGEMENT"/>
    <s v="Peru"/>
    <n v="4500189805"/>
    <s v=" Servicio implementación PAO, distribución Kits de Higiene, Prevención COVID-19, Acciones saneamiento"/>
    <s v="Implementing Partners"/>
    <s v="ONG COOPERAZIONE INTERNAZIONALE"/>
    <s v="Peru"/>
    <n v="346526"/>
    <x v="0"/>
    <x v="1"/>
  </r>
  <r>
    <x v="0"/>
    <s v="DP.2395"/>
    <s v="2021 IOM COVID-19 Strategic Response and Recovery Plan"/>
    <s v="MOVEMENT, EMERGENCY AND POST-CRISIS MIGRATION MANAGEMENT"/>
    <s v="Peru"/>
    <n v="4500193457"/>
    <s v=" Contratación de un IP para PAO y Distribución Kits de Higiene y Prevención de COVID-19 en Puno"/>
    <s v="Implementing Partners"/>
    <s v="ASOCIACION BENEFICA PRISMA"/>
    <s v="Peru"/>
    <n v="300000"/>
    <x v="0"/>
    <x v="0"/>
  </r>
  <r>
    <x v="0"/>
    <s v="DP.2395"/>
    <s v="2021 IOM COVID-19 Strategic Response and Recovery Plan"/>
    <s v="MOVEMENT, EMERGENCY AND POST-CRISIS MIGRATION MANAGEMENT"/>
    <s v="Peru"/>
    <n v="4500198383"/>
    <s v=" Servicio implementación PAOs, distribución kits de higiene y prevención COVID-19, CBI Salud y Wash"/>
    <s v="Implementing Partners"/>
    <s v="FUNDACION ACCION CONTRA EL HAMBRE"/>
    <s v="Peru"/>
    <n v="840161"/>
    <x v="0"/>
    <x v="1"/>
  </r>
  <r>
    <x v="0"/>
    <s v="DP.2395"/>
    <s v="2021 IOM COVID-19 Strategic Response and Recovery Plan"/>
    <s v="MOVEMENT, EMERGENCY AND POST-CRISIS MIGRATION MANAGEMENT"/>
    <s v="Peru"/>
    <n v="4500201767"/>
    <s v=" Servicio implementación PAOs, distribución kits de higiene y prevención COVID-19 en la Región Lima"/>
    <s v="Implementing Partners"/>
    <s v="CESAL"/>
    <s v="Peru"/>
    <n v="249355"/>
    <x v="0"/>
    <x v="1"/>
  </r>
  <r>
    <x v="0"/>
    <s v="DP.2395"/>
    <s v="2021 IOM COVID-19 Strategic Response and Recovery Plan"/>
    <s v="MOVEMENT, EMERGENCY AND POST-CRISIS MIGRATION MANAGEMENT"/>
    <s v="Peru"/>
    <n v="4500201769"/>
    <s v=" Servicio implementación PAOs, distribución kits de higiene y prevención COVID-19 y CBI Salud"/>
    <s v="Implementing Partners"/>
    <s v="HIAS PERU"/>
    <s v="Peru"/>
    <n v="547922"/>
    <x v="0"/>
    <x v="1"/>
  </r>
  <r>
    <x v="0"/>
    <s v="DP.2395"/>
    <s v="2021 IOM COVID-19 Strategic Response and Recovery Plan"/>
    <s v="MOVEMENT, EMERGENCY AND POST-CRISIS MIGRATION MANAGEMENT"/>
    <s v="Peru"/>
    <n v="4500208188"/>
    <s v=" Contratación de un socio implementador para Implementación de Pao en la región Tacna"/>
    <s v="Implementing Partners"/>
    <s v="CARITAS TACNA - MOQUEGUA"/>
    <s v="Peru"/>
    <n v="128638"/>
    <x v="0"/>
    <x v="6"/>
  </r>
  <r>
    <x v="0"/>
    <s v="DP.2395"/>
    <s v="2021 IOM COVID-19 Strategic Response and Recovery Plan"/>
    <s v="MOVEMENT, EMERGENCY AND POST-CRISIS MIGRATION MANAGEMENT"/>
    <s v="Peru"/>
    <n v="4500210718"/>
    <s v=" Socio Implementador para actividades de WASH (mejora de infraestructura) en Tumbes"/>
    <s v="Implementing Partners"/>
    <s v="ONG COOPERAZIONE INTERNAZIONALE"/>
    <s v="Peru"/>
    <n v="35043"/>
    <x v="0"/>
    <x v="1"/>
  </r>
  <r>
    <x v="0"/>
    <s v="DP.2395"/>
    <s v="2021 IOM COVID-19 Strategic Response and Recovery Plan"/>
    <s v="MOVEMENT, EMERGENCY AND POST-CRISIS MIGRATION MANAGEMENT"/>
    <s v="Peru"/>
    <n v="4500221718"/>
    <s v=" Servicio implementación &quot;Distribución Kits de Higiene y Prevención de COVID-19 en la Región Arequipa"/>
    <s v="Implementing Partners"/>
    <s v="ASOCIACION BENEFICA PRISMA"/>
    <s v="Peru"/>
    <n v="190000"/>
    <x v="0"/>
    <x v="0"/>
  </r>
  <r>
    <x v="0"/>
    <s v="DP.2395"/>
    <s v="2021 IOM COVID-19 Strategic Response and Recovery Plan"/>
    <s v="MOVEMENT, EMERGENCY AND POST-CRISIS MIGRATION MANAGEMENT"/>
    <s v="Thailand"/>
    <n v="4500204107"/>
    <s v=" PR 4200203908  NFF signed 14.02.2022  Support Royal Thai Government's COVID-19 Vaccine Rollout Project in Songkhla and Pattani  The Implementing Partner shall commence the activities on February 1, 2022 and fully and satisfactorily complete them by Augus"/>
    <s v="Implementing Partners"/>
    <s v="Stella Maris Songkla"/>
    <s v="Thailand"/>
    <n v="88814"/>
    <x v="0"/>
    <x v="3"/>
  </r>
  <r>
    <x v="0"/>
    <s v="DP.2400"/>
    <s v="Regional Migrant Response Plan (RMRP) for the Horn of Africa and Yemen 2021-2024 to Provide Protection and Assistance for Vulnerable Migrants in Yemen"/>
    <s v="MOVEMENT, EMERGENCY AND POST-CRISIS MIGRATION MANAGEMENT"/>
    <s v="Ethiopia"/>
    <n v="4500206539"/>
    <s v=" Fund transfer  as per the implementation agreement for AGAR to support integration and activities designed to support the most vulnerable.  PR # 4200229546"/>
    <s v="Implementing Partners"/>
    <s v="Agar Ethiopia Charitable Society"/>
    <s v="Ethiopia"/>
    <n v="63233"/>
    <x v="0"/>
    <x v="0"/>
  </r>
  <r>
    <x v="0"/>
    <s v="DP.2400"/>
    <s v="Regional Migrant Response Plan (RMRP) for the Horn of Africa and Yemen 2021-2024 to Provide Protection and Assistance for Vulnerable Migrants in Yemen"/>
    <s v="MOVEMENT, EMERGENCY AND POST-CRISIS MIGRATION MANAGEMENT"/>
    <s v="Ethiopia"/>
    <n v="4500226477"/>
    <s v=" PO is cretaed for internal MIGO/MIRO  LEG Referance # ETH/ADD/nOV/960/2021  Payment as per article 3.2"/>
    <s v="Implementing Partners"/>
    <s v="Bright Star Relief and Development"/>
    <s v="Ethiopia"/>
    <n v="5797"/>
    <x v="0"/>
    <x v="0"/>
  </r>
  <r>
    <x v="0"/>
    <s v="DP.2400"/>
    <s v="Regional Migrant Response Plan (RMRP) for the Horn of Africa and Yemen 2021-2024 to Provide Protection and Assistance for Vulnerable Migrants in Yemen"/>
    <s v="MOVEMENT, EMERGENCY AND POST-CRISIS MIGRATION MANAGEMENT"/>
    <s v="Kenya"/>
    <n v="4500222244"/>
    <s v=" Implementation Agreement between IOM and MMC/DRC for the Understanding the perceptions and Dynamics between Local communities ain Key Migrant Transit Locations and Ethiopia Migrants moving along the Eastern Route PR #; 4200271782 REF: RO IMPL/DJI SOM/052"/>
    <s v="Implementing Partners"/>
    <s v="DANISH REFUGEE COUNCIL"/>
    <s v="Kenya"/>
    <n v="60000"/>
    <x v="0"/>
    <x v="1"/>
  </r>
  <r>
    <x v="0"/>
    <s v="DP.2403"/>
    <s v="Provision of Emergency Shelter and Non-Food Items (NFIs) as well as Camp Coordination and Camp Management Assistance for Populations Affected by the Northern Ethiopian Crisis"/>
    <s v="MOVEMENT, EMERGENCY AND POST-CRISIS MIGRATION MANAGEMENT"/>
    <s v="Ethiopia"/>
    <n v="4500181201"/>
    <s v=" SNFI078 - IP HOP to support CCCM in Abi Adi, Tigray region  CCCM Support to IDPs in 6 Sites for 3,028 households (11,637 individuals)"/>
    <s v="Implementing Partners"/>
    <s v="Heal Our People"/>
    <s v="Ethiopia"/>
    <n v="40000"/>
    <x v="0"/>
    <x v="3"/>
  </r>
  <r>
    <x v="0"/>
    <s v="DP.2403"/>
    <s v="Provision of Emergency Shelter and Non-Food Items (NFIs) as well as Camp Coordination and Camp Management Assistance for Populations Affected by the Northern Ethiopian Crisis"/>
    <s v="MOVEMENT, EMERGENCY AND POST-CRISIS MIGRATION MANAGEMENT"/>
    <s v="Ethiopia"/>
    <n v="4500219567"/>
    <s v=" SNFI0100 - IP COOPI Emergency S&amp;S NFI response to conflict displaced households in Erebti and Afdera woredas, Afar region"/>
    <s v="Implementing Partners"/>
    <s v="COOPERAZIONE INTERNAZIONALE (COOPI)"/>
    <s v="Ethiopia"/>
    <n v="120000"/>
    <x v="0"/>
    <x v="1"/>
  </r>
  <r>
    <x v="0"/>
    <s v="DP.2403"/>
    <s v="Provision of Emergency Shelter and Non-Food Items (NFIs) as well as Camp Coordination and Camp Management Assistance for Populations Affected by the Northern Ethiopian Crisis"/>
    <s v="MOVEMENT, EMERGENCY AND POST-CRISIS MIGRATION MANAGEMENT"/>
    <s v="Ethiopia"/>
    <n v="4500220619"/>
    <s v=" SNFI0104 - IP ASDEPO Provision of NFI Kits for Returnees in Wadla and Gazo Woredas, N/Wollo Amhara."/>
    <s v="Implementing Partners"/>
    <s v="ASDEPO"/>
    <s v="Ethiopia"/>
    <n v="70797"/>
    <x v="0"/>
    <x v="0"/>
  </r>
  <r>
    <x v="0"/>
    <s v="DP.2403"/>
    <s v="Provision of Emergency Shelter and Non-Food Items (NFIs) as well as Camp Coordination and Camp Management Assistance for Populations Affected by the Northern Ethiopian Crisis"/>
    <s v="MOVEMENT, EMERGENCY AND POST-CRISIS MIGRATION MANAGEMENT"/>
    <s v="Ethiopia"/>
    <n v="4500224034"/>
    <s v=" PIA Referance ETH/ADD/June/1055/2022 PO created for MIGO/MIRO"/>
    <s v="Implementing Partners"/>
    <s v="Danish refugee Council (DRC)"/>
    <s v="Ethiopia"/>
    <n v="201682"/>
    <x v="0"/>
    <x v="1"/>
  </r>
  <r>
    <x v="0"/>
    <s v="DP.2405"/>
    <s v="Multisectoral Emergency Response to Conflict Affected Internally Displaced Populations and Communities in Cabo Delgado, Mozambique"/>
    <s v="MOVEMENT, EMERGENCY AND POST-CRISIS MIGRATION MANAGEMENT"/>
    <s v="Mozambique"/>
    <n v="4500184530"/>
    <s v=" IP transfers – International CSOs (Goods Emergency Shelter Intervention for the most vulnerable IDPs in Ibo District"/>
    <s v="Implementing Partners"/>
    <s v="OIKOS"/>
    <s v="Mozambique"/>
    <n v="184098"/>
    <x v="0"/>
    <x v="1"/>
  </r>
  <r>
    <x v="0"/>
    <s v="DP.2405"/>
    <s v="Multisectoral Emergency Response to Conflict Affected Internally Displaced Populations and Communities in Cabo Delgado, Mozambique"/>
    <s v="MOVEMENT, EMERGENCY AND POST-CRISIS MIGRATION MANAGEMENT"/>
    <s v="Mozambique"/>
    <n v="4500220318"/>
    <s v=" Agreement bt IOM and Solidarites for intervention in Mueda and Nangade"/>
    <s v="Implementing Partners"/>
    <s v="SOLIDARITES INTERNATIONAL"/>
    <s v="Mozambique"/>
    <n v="50000"/>
    <x v="0"/>
    <x v="1"/>
  </r>
  <r>
    <x v="0"/>
    <s v="DP.2405"/>
    <s v="Multisectoral Emergency Response to Conflict Affected Internally Displaced Populations and Communities in Cabo Delgado, Mozambique"/>
    <s v="MOVEMENT, EMERGENCY AND POST-CRISIS MIGRATION MANAGEMENT"/>
    <s v="Mozambique"/>
    <n v="4500246397"/>
    <s v=" First amendment of IP agreement. Refer to PR: 4200304367 DP.2405, DP0740"/>
    <s v="Implementing Partners"/>
    <s v="OIKOS"/>
    <s v="Mozambique"/>
    <n v="42555"/>
    <x v="0"/>
    <x v="1"/>
  </r>
  <r>
    <x v="0"/>
    <s v="DP.2406"/>
    <s v="Direct Life-Saving and Protection Assistance for Conflict-Affected Populations in Eastern Democratic Republic of the Congo"/>
    <s v="MOVEMENT, EMERGENCY AND POST-CRISIS MIGRATION MANAGEMENT"/>
    <s v="Congo (Dem Rep)"/>
    <n v="4500195474"/>
    <s v=" Gestion des sites de déplacés au Nord kivu et en Ituri  a) 1er versement de USD 99,354.00 (Qautre-vingt-dix-neuf mille trois  cent cinquante-quatre US dollars) sera exigible dans un delai de  quinze (15) jours civils a partir de la signature du present ac"/>
    <s v="Implementing Partners"/>
    <s v="AIDES"/>
    <s v="Congo (Dem Rep)"/>
    <n v="299354"/>
    <x v="0"/>
    <x v="0"/>
  </r>
  <r>
    <x v="0"/>
    <s v="DP.2406"/>
    <s v="Direct Life-Saving and Protection Assistance for Conflict-Affected Populations in Eastern Democratic Republic of the Congo"/>
    <s v="MOVEMENT, EMERGENCY AND POST-CRISIS MIGRATION MANAGEMENT"/>
    <s v="Congo (Dem Rep)"/>
    <n v="4500196487"/>
    <s v=" Matrice de suivi des deplacements  a) Le premier versement de USD 10,000.00 (Dix Mille dollars) sera exigible a partir de la signature du present accord et la reception par OIM de la demande de paiement du partenaire d'execution  b) Le deuxieme versement"/>
    <s v="Implementing Partners"/>
    <s v="RESEAU D'ACTION POUR LE DVPT"/>
    <s v="Congo (Dem Rep)"/>
    <n v="99940"/>
    <x v="0"/>
    <x v="0"/>
  </r>
  <r>
    <x v="0"/>
    <s v="DP.2406"/>
    <s v="Direct Life-Saving and Protection Assistance for Conflict-Affected Populations in Eastern Democratic Republic of the Congo"/>
    <s v="MOVEMENT, EMERGENCY AND POST-CRISIS MIGRATION MANAGEMENT"/>
    <s v="Congo (Dem Rep)"/>
    <n v="4500197646"/>
    <s v=" Matrice de suivi des deplacements Nord Kivu  a) Le premier versement de USD 10,000.00 (Dix Mille dollars) sera exigible a partir de la signature du present accord et la reception par OIM de la demande de paiement du partenaire d'execution  b) Le deuxieme"/>
    <s v="Implementing Partners"/>
    <s v="AIDES"/>
    <s v="Congo (Dem Rep)"/>
    <n v="107530"/>
    <x v="0"/>
    <x v="0"/>
  </r>
  <r>
    <x v="0"/>
    <s v="DP.2406"/>
    <s v="Direct Life-Saving and Protection Assistance for Conflict-Affected Populations in Eastern Democratic Republic of the Congo"/>
    <s v="MOVEMENT, EMERGENCY AND POST-CRISIS MIGRATION MANAGEMENT"/>
    <s v="Congo (Dem Rep)"/>
    <n v="4500197827"/>
    <s v=" Recruitment of implementing partner  Sous réserve de la réception par l'OIM des fonds provenant du donateur du projet, les paiements seront effectués par l'OIM, jusqu'au montant maximal de la contribution, par versements échelonnés conformément au calend"/>
    <s v="Implementing Partners"/>
    <s v="PDHPES"/>
    <s v="Congo (Dem Rep)"/>
    <n v="105366"/>
    <x v="0"/>
    <x v="0"/>
  </r>
  <r>
    <x v="0"/>
    <s v="DP.2406"/>
    <s v="Direct Life-Saving and Protection Assistance for Conflict-Affected Populations in Eastern Democratic Republic of the Congo"/>
    <s v="MOVEMENT, EMERGENCY AND POST-CRISIS MIGRATION MANAGEMENT"/>
    <s v="Congo (Dem Rep)"/>
    <n v="4500208485"/>
    <s v=" Matrice de suivi des deplacements  a) Le premier versement de USD 10,000.00 (Dix mille dollars) sera  exigible a partir de la signature du present accord et la reception  par l'OIM de la demande de paiement du partenaire d'execution  b) Le deuxieme verse"/>
    <s v="Implementing Partners"/>
    <s v="RESEAU D'ACTION POUR LE DVPT"/>
    <s v="Congo (Dem Rep)"/>
    <n v="99905"/>
    <x v="0"/>
    <x v="0"/>
  </r>
  <r>
    <x v="0"/>
    <s v="DP.2406"/>
    <s v="Direct Life-Saving and Protection Assistance for Conflict-Affected Populations in Eastern Democratic Republic of the Congo"/>
    <s v="MOVEMENT, EMERGENCY AND POST-CRISIS MIGRATION MANAGEMENT"/>
    <s v="Congo (Dem Rep)"/>
    <n v="4500224003"/>
    <s v=" Recruitment of implementing partner   (a) Le premier versement de de USD 10,000.00 (dix mille dollars) sera  exigible à partir de la signature du présent accord et la réception  par l’OIM de la demande de paiement du partenaire d'exécution.   (b)  Le deux"/>
    <s v="Implementing Partners"/>
    <s v="AIDES"/>
    <s v="Congo (Dem Rep)"/>
    <n v="94156"/>
    <x v="0"/>
    <x v="0"/>
  </r>
  <r>
    <x v="0"/>
    <s v="DP.2406"/>
    <s v="Direct Life-Saving and Protection Assistance for Conflict-Affected Populations in Eastern Democratic Republic of the Congo"/>
    <s v="MOVEMENT, EMERGENCY AND POST-CRISIS MIGRATION MANAGEMENT"/>
    <s v="Congo (Dem Rep)"/>
    <n v="4500224004"/>
    <s v=" Recruitment of implementing partner  (a) Le premier versement de de USD 10,000.00 (dix mille dollars) sera  exigible à partir de la signature du présent accord et la réception  par l’OIM de la demande de paiement du partenaire d'exécution.  (b)  Le deuxiè"/>
    <s v="Implementing Partners"/>
    <s v="RESEAU D'ACTION POUR LE DVPT"/>
    <s v="Congo (Dem Rep)"/>
    <n v="92311"/>
    <x v="0"/>
    <x v="0"/>
  </r>
  <r>
    <x v="0"/>
    <s v="DP.2406"/>
    <s v="Direct Life-Saving and Protection Assistance for Conflict-Affected Populations in Eastern Democratic Republic of the Congo"/>
    <s v="MOVEMENT, EMERGENCY AND POST-CRISIS MIGRATION MANAGEMENT"/>
    <s v="Congo (Dem Rep)"/>
    <n v="4500224008"/>
    <s v=" Recruitment of implementing partner  (a) Le premier versement de de USD 10,000.00 (dix mille dollars) sera  exigible à partir de la signature du présent accord et la réception  par l’OIM de la demande de paiement du partenaire d'exécution.  (b)  Le deuxiè"/>
    <s v="Implementing Partners"/>
    <s v="RESEAU D'ACTION POUR LE DVPT"/>
    <s v="Congo (Dem Rep)"/>
    <n v="93802"/>
    <x v="0"/>
    <x v="0"/>
  </r>
  <r>
    <x v="0"/>
    <s v="DP.2406"/>
    <s v="Direct Life-Saving and Protection Assistance for Conflict-Affected Populations in Eastern Democratic Republic of the Congo"/>
    <s v="MOVEMENT, EMERGENCY AND POST-CRISIS MIGRATION MANAGEMENT"/>
    <s v="Congo (Dem Rep)"/>
    <n v="4500227927"/>
    <s v=" Recruitment of implementing partner DTM Tanganyika  (a) Le premier versement de de USD 10,000.00 (dix mille dollars) sera  exigible à partir de la signature du présent accord et la réception  par l’OIM de la demande de paiement du partenaire d'exécution.  ("/>
    <s v="Implementing Partners"/>
    <s v="PDHPES"/>
    <s v="Congo (Dem Rep)"/>
    <n v="100808"/>
    <x v="0"/>
    <x v="0"/>
  </r>
  <r>
    <x v="0"/>
    <s v="DP.2406"/>
    <s v="Direct Life-Saving and Protection Assistance for Conflict-Affected Populations in Eastern Democratic Republic of the Congo"/>
    <s v="MOVEMENT, EMERGENCY AND POST-CRISIS MIGRATION MANAGEMENT"/>
    <s v="Congo (Dem Rep)"/>
    <n v="4500231658"/>
    <s v=" IP contrat AIDES CCCM avr-juillet 2022 Nord-kivu et Ituri  a) Le premier versement de USD 99,354.00 (Quatre-Vingt-Dix-Neuf Mille  Trois Cent Cinquante Quatre Dollars Americains) sera exigible dans un delai  de quinze (15) jours civils a partir de la sign"/>
    <s v="Implementing Partners"/>
    <s v="AIDES"/>
    <s v="Congo (Dem Rep)"/>
    <n v="299870"/>
    <x v="0"/>
    <x v="0"/>
  </r>
  <r>
    <x v="0"/>
    <s v="DP.2406"/>
    <s v="Direct Life-Saving and Protection Assistance for Conflict-Affected Populations in Eastern Democratic Republic of the Congo"/>
    <s v="MOVEMENT, EMERGENCY AND POST-CRISIS MIGRATION MANAGEMENT"/>
    <s v="Congo (Dem Rep)"/>
    <n v="4500241748"/>
    <s v="  IP contrat AIDES CCCM aout-sep 2022 Nord Kivu et Ituri   a) Le premier versement de 99,799.00 USD (Quatre-vingt-dix-neuf-mille  sept cent quatre-vingt-dix-neuf dollars americains) sera exigible dans  un delai de quinze (15) jours civiles a partir de la"/>
    <s v="Implementing Partners"/>
    <s v="AIDES"/>
    <s v="Congo (Dem Rep)"/>
    <n v="149799"/>
    <x v="0"/>
    <x v="0"/>
  </r>
  <r>
    <x v="0"/>
    <s v="DP.2412"/>
    <s v="Multi-Sectoral Humanitarian Assistance for Displaced and Mobile Populations in Sudan"/>
    <s v="MOVEMENT, EMERGENCY AND POST-CRISIS MIGRATION MANAGEMENT"/>
    <s v="Sudan"/>
    <n v="4500207660"/>
    <s v=" Advanced payment upon signature of the agreement"/>
    <s v="Implementing Partners"/>
    <s v="DOSHA for Social Development Org"/>
    <s v="Sudan"/>
    <n v="23040"/>
    <x v="0"/>
    <x v="0"/>
  </r>
  <r>
    <x v="0"/>
    <s v="DP.2412"/>
    <s v="Multi-Sectoral Humanitarian Assistance for Displaced and Mobile Populations in Sudan"/>
    <s v="MOVEMENT, EMERGENCY AND POST-CRISIS MIGRATION MANAGEMENT"/>
    <s v="Sudan"/>
    <n v="4500208602"/>
    <s v=" Advanced payment upon signature of the agreement"/>
    <s v="Implementing Partners"/>
    <s v="Durra for Social Development Organi"/>
    <s v="Sudan"/>
    <n v="21960"/>
    <x v="0"/>
    <x v="0"/>
  </r>
  <r>
    <x v="0"/>
    <s v="DP.2412"/>
    <s v="Multi-Sectoral Humanitarian Assistance for Displaced and Mobile Populations in Sudan"/>
    <s v="MOVEMENT, EMERGENCY AND POST-CRISIS MIGRATION MANAGEMENT"/>
    <s v="Sudan"/>
    <n v="4500210270"/>
    <s v=" PR No: 4200230952"/>
    <s v="Implementing Partners"/>
    <s v="Generations for Social Development"/>
    <s v="Sudan"/>
    <n v="38954"/>
    <x v="0"/>
    <x v="0"/>
  </r>
  <r>
    <x v="0"/>
    <s v="DP.2412"/>
    <s v="Multi-Sectoral Humanitarian Assistance for Displaced and Mobile Populations in Sudan"/>
    <s v="MOVEMENT, EMERGENCY AND POST-CRISIS MIGRATION MANAGEMENT"/>
    <s v="Sudan"/>
    <n v="4500216777"/>
    <s v=" PR No: 4200237233"/>
    <s v="Implementing Partners"/>
    <s v="NIDAA"/>
    <s v="Sudan"/>
    <n v="7425"/>
    <x v="0"/>
    <x v="0"/>
  </r>
  <r>
    <x v="0"/>
    <s v="DP.2412"/>
    <s v="Multi-Sectoral Humanitarian Assistance for Displaced and Mobile Populations in Sudan"/>
    <s v="MOVEMENT, EMERGENCY AND POST-CRISIS MIGRATION MANAGEMENT"/>
    <s v="Sudan"/>
    <n v="4500227099"/>
    <s v=" PR No: 4200277606"/>
    <s v="Implementing Partners"/>
    <s v="National Planning Organization"/>
    <s v="Sudan"/>
    <n v="166158"/>
    <x v="0"/>
    <x v="3"/>
  </r>
  <r>
    <x v="0"/>
    <s v="DP.2413"/>
    <s v="Support to Displaced Afghans in Pakistan, Iran, Central Asia, and Afghanistan"/>
    <s v="MOVEMENT, EMERGENCY AND POST-CRISIS MIGRATION MANAGEMENT"/>
    <s v="Pakistan"/>
    <n v="4500220987"/>
    <s v=" Implementing partner agreement for Multi-Purpose Cash Grant Disbursement The fourth Instalment has been charged to MJ.0166 instead of DP.2395 due to technical reasons and will be adjusted through FI"/>
    <s v="Implementing Partners"/>
    <s v="HANDS"/>
    <s v="Pakistan"/>
    <n v="63726"/>
    <x v="0"/>
    <x v="0"/>
  </r>
  <r>
    <x v="0"/>
    <s v="DP.2413"/>
    <s v="Support to Displaced Afghans in Pakistan, Iran, Central Asia, and Afghanistan"/>
    <s v="MOVEMENT, EMERGENCY AND POST-CRISIS MIGRATION MANAGEMENT"/>
    <s v="Tajikistan"/>
    <n v="4500244078"/>
    <s v=" Hiring of Implementing partners for provision of logistical and technical support to IOM within the project &quot;Support to Displaced Af ghans in Pakistan, Iran, Central Asia, and Afghanistan&quot;  Reference Documents: PR No.: 4200302087 dated 04 August 2022 Pro"/>
    <s v="Implementing Partners"/>
    <s v="NGO Madina"/>
    <s v="Tajikistan"/>
    <n v="5999"/>
    <x v="0"/>
    <x v="0"/>
  </r>
  <r>
    <x v="0"/>
    <s v="DP.2413"/>
    <s v="Support to Displaced Afghans in Pakistan, Iran, Central Asia, and Afghanistan"/>
    <s v="MOVEMENT, EMERGENCY AND POST-CRISIS MIGRATION MANAGEMENT"/>
    <s v="Tajikistan"/>
    <n v="4500269371"/>
    <s v=" Field Facilitator in Khorog"/>
    <s v="Implementing Partners"/>
    <s v="Sakhovatshoeva Zaibobegim Shosai"/>
    <s v="Tajikistan"/>
    <n v="4200"/>
    <x v="0"/>
    <x v="8"/>
  </r>
  <r>
    <x v="0"/>
    <s v="DP.2414"/>
    <s v="Humanitarian Support to Crisis-Affected Afghan Nationals in Pakistan, Iran and Tajikistan"/>
    <s v="MOVEMENT, EMERGENCY AND POST-CRISIS MIGRATION MANAGEMENT"/>
    <s v="Pakistan"/>
    <n v="4500266142"/>
    <s v=" PR # 4200367038 Increasing access and availability of public health services, and improving sanitation and hygiene condition of vulnerable communities in Balochistan"/>
    <s v="Implementing Partners"/>
    <s v="CARE INTERNATIONAL IN PAKISTAN"/>
    <s v="Pakistan"/>
    <n v="150732"/>
    <x v="0"/>
    <x v="1"/>
  </r>
  <r>
    <x v="0"/>
    <s v="DP.2414"/>
    <s v="Humanitarian Support to Crisis-Affected Afghan Nationals in Pakistan, Iran and Tajikistan"/>
    <s v="MOVEMENT, EMERGENCY AND POST-CRISIS MIGRATION MANAGEMENT"/>
    <s v="Pakistan"/>
    <n v="4500266159"/>
    <s v=" PR # 4200367027 IP Agreement (Baluchistan Rural Development Society (BRDS)"/>
    <s v="Implementing Partners"/>
    <s v="BRDS PRJ"/>
    <s v="Pakistan"/>
    <n v="61078"/>
    <x v="0"/>
    <x v="0"/>
  </r>
  <r>
    <x v="0"/>
    <s v="DP.2414"/>
    <s v="Humanitarian Support to Crisis-Affected Afghan Nationals in Pakistan, Iran and Tajikistan"/>
    <s v="MOVEMENT, EMERGENCY AND POST-CRISIS MIGRATION MANAGEMENT"/>
    <s v="Pakistan"/>
    <n v="4500266187"/>
    <s v=" PR # 4200367052 mproving health facility infrastructure and Health service delivery in areas most affected by the floods, with focus on vulnerable Afghan and host communities"/>
    <s v="Implementing Partners"/>
    <s v="INNOVATIVE DEVELOPMENT ORGANIZATION"/>
    <s v="Pakistan"/>
    <n v="24839"/>
    <x v="0"/>
    <x v="0"/>
  </r>
  <r>
    <x v="0"/>
    <s v="DP.2414"/>
    <s v="Humanitarian Support to Crisis-Affected Afghan Nationals in Pakistan, Iran and Tajikistan"/>
    <s v="MOVEMENT, EMERGENCY AND POST-CRISIS MIGRATION MANAGEMENT"/>
    <s v="Pakistan"/>
    <n v="4500266216"/>
    <s v=" PR # 4200367035 Emergency Health Assistance for The Flood Affected Vulnerable Communities of Quetta and Pishin"/>
    <s v="Implementing Partners"/>
    <s v="Youth Organization (PPAF)"/>
    <s v="Pakistan"/>
    <n v="48775"/>
    <x v="0"/>
    <x v="0"/>
  </r>
  <r>
    <x v="0"/>
    <s v="DP.2414"/>
    <s v="Humanitarian Support to Crisis-Affected Afghan Nationals in Pakistan, Iran and Tajikistan"/>
    <s v="MOVEMENT, EMERGENCY AND POST-CRISIS MIGRATION MANAGEMENT"/>
    <s v="Pakistan"/>
    <n v="4500266225"/>
    <s v=" PR # 4200367051 Provision of Immediate, Life-saving Health Assistance for Afghan Refugees in Quetta and Pishin Districts"/>
    <s v="Implementing Partners"/>
    <s v="MAAN EDUCATION and HEALTH DEV.ORG"/>
    <s v="Pakistan"/>
    <n v="58942"/>
    <x v="0"/>
    <x v="0"/>
  </r>
  <r>
    <x v="0"/>
    <s v="DP.2414"/>
    <s v="Humanitarian Support to Crisis-Affected Afghan Nationals in Pakistan, Iran and Tajikistan"/>
    <s v="MOVEMENT, EMERGENCY AND POST-CRISIS MIGRATION MANAGEMENT"/>
    <s v="Tajikistan"/>
    <n v="4500206033"/>
    <s v=" Implementation of activities under IOM Project – &quot;Humanitarian support to crisis-affected Afghan nationals in Pakistan, Iran and Tajikistan”  Reference Documents: PR No.: 4200228845 dated 28 March 2022 Project Implementation Agreement No.: 4200228845 IP"/>
    <s v="Implementing Partners"/>
    <s v="NGO Femida"/>
    <s v="Tajikistan"/>
    <n v="16470"/>
    <x v="0"/>
    <x v="0"/>
  </r>
  <r>
    <x v="0"/>
    <s v="DP.2414"/>
    <s v="Humanitarian Support to Crisis-Affected Afghan Nationals in Pakistan, Iran and Tajikistan"/>
    <s v="MOVEMENT, EMERGENCY AND POST-CRISIS MIGRATION MANAGEMENT"/>
    <s v="Tajikistan"/>
    <n v="4500206043"/>
    <s v=" Implementation of activities under IOM Project – &quot;Humanitarian support to crisis affected Afghan nationals in Pakistan, Iran and Tajikistan&quot;  Reference Documents: PR No.: 4200229041 dated 28 March 2022 Project Implementation Agreement No.: 4200229041 IP"/>
    <s v="Implementing Partners"/>
    <s v="Women &amp; Society"/>
    <s v="Tajikistan"/>
    <n v="15110"/>
    <x v="0"/>
    <x v="0"/>
  </r>
  <r>
    <x v="0"/>
    <s v="DP.2414"/>
    <s v="Humanitarian Support to Crisis-Affected Afghan Nationals in Pakistan, Iran and Tajikistan"/>
    <s v="MOVEMENT, EMERGENCY AND POST-CRISIS MIGRATION MANAGEMENT"/>
    <s v="Tajikistan"/>
    <n v="4500206047"/>
    <s v=" Implementation of activities under IOM Project – &quot;Humanitarian support to crisis affected Afghan nationals in Pakistan, Iran and Tajikistan&quot;  Reference Documents: PR No.: 4200228865 dated 28 March 2022 Project Implementation Agreement No.: 4200228865 IP"/>
    <s v="Implementing Partners"/>
    <s v="NGO Akhtari bakht"/>
    <s v="Tajikistan"/>
    <n v="16705"/>
    <x v="0"/>
    <x v="0"/>
  </r>
  <r>
    <x v="0"/>
    <s v="DP.2414"/>
    <s v="Humanitarian Support to Crisis-Affected Afghan Nationals in Pakistan, Iran and Tajikistan"/>
    <s v="MOVEMENT, EMERGENCY AND POST-CRISIS MIGRATION MANAGEMENT"/>
    <s v="Tajikistan"/>
    <n v="4500206049"/>
    <s v=" Implementation of activities under IOM Project – &quot;Humanitarian support to crisis affected Afghan nationals in Pakistan, Iran and Tajikistan&quot;  Reference Documents: PR No.: 4200228891 dated 28 March 2022 Project Implementation Agreement No.: 4200228845 IP"/>
    <s v="Implementing Partners"/>
    <s v="Refugees, Children and Vulnerable"/>
    <s v="Tajikistan"/>
    <n v="19318"/>
    <x v="0"/>
    <x v="0"/>
  </r>
  <r>
    <x v="0"/>
    <s v="DP.2419"/>
    <s v="Strengthening the Response for US-bound Afghan Evacuees in Transit Center as Sayliyah in Doha, Qatar"/>
    <s v="MOVEMENT, EMERGENCY AND POST-CRISIS MIGRATION MANAGEMENT"/>
    <s v="Qatar"/>
    <n v="4500192882"/>
    <s v=" Provision Community-Based Services and Mental Health and Psychosocial Support to Assist Afghani People in Qatar Camps"/>
    <s v="Implementing Partners"/>
    <s v="Qatar Red Crescent"/>
    <s v="Qatar"/>
    <n v="176000"/>
    <x v="0"/>
    <x v="4"/>
  </r>
  <r>
    <x v="0"/>
    <s v="DP.2419"/>
    <s v="Strengthening the Response for US-bound Afghan Evacuees in Transit Center as Sayliyah in Doha, Qatar"/>
    <s v="MOVEMENT, EMERGENCY AND POST-CRISIS MIGRATION MANAGEMENT"/>
    <s v="Qatar"/>
    <n v="4500261015"/>
    <s v=" Provision of Educational Services for Afghan Children.  PRF REF No.: 4200357473; 4200360857 Project Implementation Agreement 1 July 2022 - 30 June 2023"/>
    <s v="Implementing Partners"/>
    <s v="QATAR CHARITY"/>
    <s v="Qatar"/>
    <n v="495694"/>
    <x v="0"/>
    <x v="1"/>
  </r>
  <r>
    <x v="0"/>
    <s v="DP.2419"/>
    <s v="Strengthening the Response for US-bound Afghan Evacuees in Transit Center as Sayliyah in Doha, Qatar"/>
    <s v="MOVEMENT, EMERGENCY AND POST-CRISIS MIGRATION MANAGEMENT"/>
    <s v="Qatar"/>
    <n v="4500268864"/>
    <s v=" Implementing Partner to Provide Community-Based Services and Mental Health and Psychosocial Support to assist Afghani people.  PRF REF No.: 4200366247 Project Implementation Agreement (retroactive 1 Oct 2022)"/>
    <s v="Implementing Partners"/>
    <s v="Qatar Red Crescent"/>
    <s v="Qatar"/>
    <n v="132164"/>
    <x v="0"/>
    <x v="4"/>
  </r>
  <r>
    <x v="0"/>
    <s v="DP.2422"/>
    <s v="A Rapid Response Fund (RRF) Program responding to emergency needs of disaster affected populations in South Sudan under the states of the Greater Equatoria, Greater Upper Nile Lakes, Greater Bahr El Ghazal and Abyei Regions of South Sudan"/>
    <s v="MOVEMENT, EMERGENCY AND POST-CRISIS MIGRATION MANAGEMENT"/>
    <s v="South Sudan"/>
    <n v="4500206937"/>
    <s v=" Provision of Emergency Health Services to the Floods affected Populations in Canal/Pigi County, Jonglei State. PRF#JUBRRF221440"/>
    <s v="Implementing Partners"/>
    <s v="HEALTH ACTION AFRICA"/>
    <s v="South Sudan"/>
    <n v="188604"/>
    <x v="0"/>
    <x v="0"/>
  </r>
  <r>
    <x v="0"/>
    <s v="DP.2422"/>
    <s v="A Rapid Response Fund (RRF) Program responding to emergency needs of disaster affected populations in South Sudan under the states of the Greater Equatoria, Greater Upper Nile Lakes, Greater Bahr El Ghazal and Abyei Regions of South Sudan"/>
    <s v="MOVEMENT, EMERGENCY AND POST-CRISIS MIGRATION MANAGEMENT"/>
    <s v="South Sudan"/>
    <n v="4500207259"/>
    <s v=" Provision of emergency WASH And WASH-NFIs response to most affected population in Wokobu in Kapoeta North and Jie in Kapoeta East. PRF#JUBRRF221442"/>
    <s v="Implementing Partners"/>
    <s v="RURAL ACTION AGAINST HUNGER"/>
    <s v="South Sudan"/>
    <n v="101518"/>
    <x v="0"/>
    <x v="0"/>
  </r>
  <r>
    <x v="0"/>
    <s v="DP.2422"/>
    <s v="A Rapid Response Fund (RRF) Program responding to emergency needs of disaster affected populations in South Sudan under the states of the Greater Equatoria, Greater Upper Nile Lakes, Greater Bahr El Ghazal and Abyei Regions of South Sudan"/>
    <s v="MOVEMENT, EMERGENCY AND POST-CRISIS MIGRATION MANAGEMENT"/>
    <s v="South Sudan"/>
    <n v="4500207284"/>
    <s v=" Provision of integrated emergency Shelter NFIs and Gender Based Violence (GBV) prevention and response to the Flood affected communities in Rubkona county, Unity State. PRF#JUBRRF221444"/>
    <s v="Implementing Partners"/>
    <s v="HOPE RESTORATION"/>
    <s v="South Sudan"/>
    <n v="99798"/>
    <x v="0"/>
    <x v="0"/>
  </r>
  <r>
    <x v="0"/>
    <s v="DP.2422"/>
    <s v="A Rapid Response Fund (RRF) Program responding to emergency needs of disaster affected populations in South Sudan under the states of the Greater Equatoria, Greater Upper Nile Lakes, Greater Bahr El Ghazal and Abyei Regions of South Sudan"/>
    <s v="MOVEMENT, EMERGENCY AND POST-CRISIS MIGRATION MANAGEMENT"/>
    <s v="South Sudan"/>
    <n v="4500207294"/>
    <s v=" Emergency WASH and S/NFIs Scale up response to vulnerable populations displaced due to conflict in Abyei. PRF#JUBRRF221445"/>
    <s v="Implementing Partners"/>
    <s v="CARE FOR CHILDREN AND OLD AGE"/>
    <s v="South Sudan"/>
    <n v="118443"/>
    <x v="0"/>
    <x v="0"/>
  </r>
  <r>
    <x v="0"/>
    <s v="DP.2422"/>
    <s v="A Rapid Response Fund (RRF) Program responding to emergency needs of disaster affected populations in South Sudan under the states of the Greater Equatoria, Greater Upper Nile Lakes, Greater Bahr El Ghazal and Abyei Regions of South Sudan"/>
    <s v="MOVEMENT, EMERGENCY AND POST-CRISIS MIGRATION MANAGEMENT"/>
    <s v="South Sudan"/>
    <n v="4500207361"/>
    <s v=" Provision of Emergency Shelter and NFIs assistance to conflict - affected population in Leer County of Unity State. PRF#JUBRRF221446"/>
    <s v="Implementing Partners"/>
    <s v="COMMUNITY INITIATIVE FOR DEVELOPMEN"/>
    <s v="South Sudan"/>
    <n v="86251"/>
    <x v="0"/>
    <x v="0"/>
  </r>
  <r>
    <x v="0"/>
    <s v="DP.2422"/>
    <s v="A Rapid Response Fund (RRF) Program responding to emergency needs of disaster affected populations in South Sudan under the states of the Greater Equatoria, Greater Upper Nile Lakes, Greater Bahr El Ghazal and Abyei Regions of South Sudan"/>
    <s v="MOVEMENT, EMERGENCY AND POST-CRISIS MIGRATION MANAGEMENT"/>
    <s v="South Sudan"/>
    <n v="4500207387"/>
    <s v=" Provision of emergency and essential primary healthcare services for the Conflict Affected Population in Abyei. PRF#JUBRRF221443"/>
    <s v="Implementing Partners"/>
    <s v="UNITED NETWORKS FOR HEALTH"/>
    <s v="South Sudan"/>
    <n v="161430"/>
    <x v="0"/>
    <x v="0"/>
  </r>
  <r>
    <x v="0"/>
    <s v="DP.2422"/>
    <s v="A Rapid Response Fund (RRF) Program responding to emergency needs of disaster affected populations in South Sudan under the states of the Greater Equatoria, Greater Upper Nile Lakes, Greater Bahr El Ghazal and Abyei Regions of South Sudan"/>
    <s v="MOVEMENT, EMERGENCY AND POST-CRISIS MIGRATION MANAGEMENT"/>
    <s v="South Sudan"/>
    <n v="4500211196"/>
    <s v=" PO Note: Provision of Basic Emergency Lifesaving Health and Nutrition Services to IDPs and Host Communities Affected by Communal Conflicts in Magwi County of Eastern Equatoria State with reference to PRF#UBRRF221596."/>
    <s v="Implementing Partners"/>
    <s v="HEALTH LINK SOUTH SUDAN"/>
    <s v="South Sudan"/>
    <n v="171861"/>
    <x v="0"/>
    <x v="0"/>
  </r>
  <r>
    <x v="0"/>
    <s v="DP.2422"/>
    <s v="A Rapid Response Fund (RRF) Program responding to emergency needs of disaster affected populations in South Sudan under the states of the Greater Equatoria, Greater Upper Nile Lakes, Greater Bahr El Ghazal and Abyei Regions of South Sudan"/>
    <s v="MOVEMENT, EMERGENCY AND POST-CRISIS MIGRATION MANAGEMENT"/>
    <s v="South Sudan"/>
    <n v="4500213024"/>
    <s v=" PO Note: Provision of Emergency Primary Health Care Services to Food insecure (IPC Phase 4) and Conflict Affected Population in Leer County, Unity State with reference to PRF JUBRRF221760."/>
    <s v="Implementing Partners"/>
    <s v="HEALTHCARE FOUNDATION ORGANIZATION"/>
    <s v="South Sudan"/>
    <n v="182615"/>
    <x v="0"/>
    <x v="3"/>
  </r>
  <r>
    <x v="0"/>
    <s v="DP.2422"/>
    <s v="A Rapid Response Fund (RRF) Program responding to emergency needs of disaster affected populations in South Sudan under the states of the Greater Equatoria, Greater Upper Nile Lakes, Greater Bahr El Ghazal and Abyei Regions of South Sudan"/>
    <s v="MOVEMENT, EMERGENCY AND POST-CRISIS MIGRATION MANAGEMENT"/>
    <s v="South Sudan"/>
    <n v="4500219433"/>
    <s v=" PO Note: RRF0311 - Emergency Shelter Response provision of agriculture and food security, health, protection, shelter and water sanitation to Mvolo county."/>
    <s v="Implementing Partners"/>
    <s v="YOUTH EMPOWERMENT AND DEVELOPMENT A"/>
    <s v="South Sudan"/>
    <n v="66991"/>
    <x v="0"/>
    <x v="0"/>
  </r>
  <r>
    <x v="0"/>
    <s v="DP.2422"/>
    <s v="A Rapid Response Fund (RRF) Program responding to emergency needs of disaster affected populations in South Sudan under the states of the Greater Equatoria, Greater Upper Nile Lakes, Greater Bahr El Ghazal and Abyei Regions of South Sudan"/>
    <s v="MOVEMENT, EMERGENCY AND POST-CRISIS MIGRATION MANAGEMENT"/>
    <s v="South Sudan"/>
    <n v="4500219921"/>
    <s v=" PO Note: RRF0312 Provision of Emergency Lifesaving Nutrition Services to the Vulnerable Populations facing food insecurity (IPC 4) in Jie and Mogos Payams of Kapoeta East County, Eastern Equatoria State (EES)."/>
    <s v="Implementing Partners"/>
    <s v="GRASSROOTS EMPOWERMENT AND"/>
    <s v="South Sudan"/>
    <n v="176766"/>
    <x v="0"/>
    <x v="0"/>
  </r>
  <r>
    <x v="0"/>
    <s v="DP.2422"/>
    <s v="A Rapid Response Fund (RRF) Program responding to emergency needs of disaster affected populations in South Sudan under the states of the Greater Equatoria, Greater Upper Nile Lakes, Greater Bahr El Ghazal and Abyei Regions of South Sudan"/>
    <s v="MOVEMENT, EMERGENCY AND POST-CRISIS MIGRATION MANAGEMENT"/>
    <s v="South Sudan"/>
    <n v="4500221433"/>
    <s v=" PO Note: RRF 0314 - Provision of non Food Items to IDPs in Payams of Rumbek North County, Lakes State."/>
    <s v="Implementing Partners"/>
    <s v="TITI FOUNDATION"/>
    <s v="South Sudan"/>
    <n v="70892"/>
    <x v="0"/>
    <x v="1"/>
  </r>
  <r>
    <x v="0"/>
    <s v="DP.2422"/>
    <s v="A Rapid Response Fund (RRF) Program responding to emergency needs of disaster affected populations in South Sudan under the states of the Greater Equatoria, Greater Upper Nile Lakes, Greater Bahr El Ghazal and Abyei Regions of South Sudan"/>
    <s v="MOVEMENT, EMERGENCY AND POST-CRISIS MIGRATION MANAGEMENT"/>
    <s v="South Sudan"/>
    <n v="4500223874"/>
    <s v=" Provision of integrated and comperhensive GBV in emergency response to conflict affected population in Tore and Wuji under PR No. 4200267821"/>
    <s v="Implementing Partners"/>
    <s v="Narrative Hub"/>
    <s v="South Sudan"/>
    <n v="91874"/>
    <x v="0"/>
    <x v="0"/>
  </r>
  <r>
    <x v="0"/>
    <s v="DP.2422"/>
    <s v="A Rapid Response Fund (RRF) Program responding to emergency needs of disaster affected populations in South Sudan under the states of the Greater Equatoria, Greater Upper Nile Lakes, Greater Bahr El Ghazal and Abyei Regions of South Sudan"/>
    <s v="MOVEMENT, EMERGENCY AND POST-CRISIS MIGRATION MANAGEMENT"/>
    <s v="South Sudan"/>
    <n v="4500226254"/>
    <s v=" PO Note:  RRF0316- Provision of Emergency WASH support to IPC 4 affected Communities in Duk County South Sudan with reference to PRF#4200276906"/>
    <s v="Implementing Partners"/>
    <s v="Relief Corps Organization"/>
    <s v="South Sudan"/>
    <n v="148429"/>
    <x v="0"/>
    <x v="3"/>
  </r>
  <r>
    <x v="0"/>
    <s v="DP.2422"/>
    <s v="A Rapid Response Fund (RRF) Program responding to emergency needs of disaster affected populations in South Sudan under the states of the Greater Equatoria, Greater Upper Nile Lakes, Greater Bahr El Ghazal and Abyei Regions of South Sudan"/>
    <s v="MOVEMENT, EMERGENCY AND POST-CRISIS MIGRATION MANAGEMENT"/>
    <s v="South Sudan"/>
    <n v="4500230937"/>
    <s v=" Interim Financial Report from period  of July 15 - August 29, 2022 RRF0317 - Strengthening GBV response and prevention services for the vulnerable people in Emergency (IPC 4) in Rumbek North CountyLakes state."/>
    <s v="Implementing Partners"/>
    <s v="WOMEN AID VISION"/>
    <s v="South Sudan"/>
    <n v="83361"/>
    <x v="0"/>
    <x v="0"/>
  </r>
  <r>
    <x v="0"/>
    <s v="DP.2422"/>
    <s v="A Rapid Response Fund (RRF) Program responding to emergency needs of disaster affected populations in South Sudan under the states of the Greater Equatoria, Greater Upper Nile Lakes, Greater Bahr El Ghazal and Abyei Regions of South Sudan"/>
    <s v="MOVEMENT, EMERGENCY AND POST-CRISIS MIGRATION MANAGEMENT"/>
    <s v="South Sudan"/>
    <n v="4500232346"/>
    <s v=" PO Note: RRF0318 - Emergency WASH response to the most vulnerable population in IPC 4 living in Jiech, Kuach-deng Pagil and Korwai Payams of Ayod county, Jonglei State with reference to PR#4200292433"/>
    <s v="Implementing Partners"/>
    <s v="PEACE IN ACTION AND SOCIAL SERVICE"/>
    <s v="South Sudan"/>
    <n v="75047"/>
    <x v="0"/>
    <x v="0"/>
  </r>
  <r>
    <x v="0"/>
    <s v="DP.2422"/>
    <s v="A Rapid Response Fund (RRF) Program responding to emergency needs of disaster affected populations in South Sudan under the states of the Greater Equatoria, Greater Upper Nile Lakes, Greater Bahr El Ghazal and Abyei Regions of South Sudan"/>
    <s v="MOVEMENT, EMERGENCY AND POST-CRISIS MIGRATION MANAGEMENT"/>
    <s v="South Sudan"/>
    <n v="4500240137"/>
    <s v=" Increase food security for 5,000 food insecure affected households in Ayod County through provision of emergency livelihoods kits and training. PRF#4200300271"/>
    <s v="Implementing Partners"/>
    <s v="AFRICAN LEADERSHIP SKILLS"/>
    <s v="South Sudan"/>
    <n v="119350"/>
    <x v="0"/>
    <x v="0"/>
  </r>
  <r>
    <x v="0"/>
    <s v="DP.2422"/>
    <s v="A Rapid Response Fund (RRF) Program responding to emergency needs of disaster affected populations in South Sudan under the states of the Greater Equatoria, Greater Upper Nile Lakes, Greater Bahr El Ghazal and Abyei Regions of South Sudan"/>
    <s v="MOVEMENT, EMERGENCY AND POST-CRISIS MIGRATION MANAGEMENT"/>
    <s v="South Sudan"/>
    <n v="4500240629"/>
    <s v=" Emergency Livelihood support to IPC 5 affected households in Pigi Canal. PRF#4200307509"/>
    <s v="Implementing Partners"/>
    <s v="COMMUNITY AID FOR FISHERIES AND"/>
    <s v="South Sudan"/>
    <n v="132161"/>
    <x v="0"/>
    <x v="0"/>
  </r>
  <r>
    <x v="0"/>
    <s v="DP.2422"/>
    <s v="A Rapid Response Fund (RRF) Program responding to emergency needs of disaster affected populations in South Sudan under the states of the Greater Equatoria, Greater Upper Nile Lakes, Greater Bahr El Ghazal and Abyei Regions of South Sudan"/>
    <s v="MOVEMENT, EMERGENCY AND POST-CRISIS MIGRATION MANAGEMENT"/>
    <s v="South Sudan"/>
    <n v="4500244161"/>
    <s v=" RRF0320 - RCDI: Distribution of Emergency livelihood inputs to the most vulnerable IPC4 population in Mayom county –Unity State. PRF#4200300292"/>
    <s v="Implementing Partners"/>
    <s v="RURAL COMMUNITY DEVELOPMENT"/>
    <s v="South Sudan"/>
    <n v="106296"/>
    <x v="0"/>
    <x v="0"/>
  </r>
  <r>
    <x v="0"/>
    <s v="DP.2422"/>
    <s v="A Rapid Response Fund (RRF) Program responding to emergency needs of disaster affected populations in South Sudan under the states of the Greater Equatoria, Greater Upper Nile Lakes, Greater Bahr El Ghazal and Abyei Regions of South Sudan"/>
    <s v="MOVEMENT, EMERGENCY AND POST-CRISIS MIGRATION MANAGEMENT"/>
    <s v="South Sudan"/>
    <n v="4500248444"/>
    <s v=" RRF0322- Payment for Reactive measles vaccination campaign in Mangalla and Lokiliri Payams of Juba County following measles outbreak in JubaCounty implemented by UNH with reference to PR#4200326501"/>
    <s v="Implementing Partners"/>
    <s v="UNITED NETWORKS FOR HEALTH"/>
    <s v="South Sudan"/>
    <n v="124523"/>
    <x v="0"/>
    <x v="0"/>
  </r>
  <r>
    <x v="0"/>
    <s v="DP.2422"/>
    <s v="A Rapid Response Fund (RRF) Program responding to emergency needs of disaster affected populations in South Sudan under the states of the Greater Equatoria, Greater Upper Nile Lakes, Greater Bahr El Ghazal and Abyei Regions of South Sudan"/>
    <s v="MOVEMENT, EMERGENCY AND POST-CRISIS MIGRATION MANAGEMENT"/>
    <s v="South Sudan"/>
    <n v="4500254530"/>
    <s v=" 1st Instalment Payment done after submission of the 1st Financial Report"/>
    <s v="Implementing Partners"/>
    <s v="ACRA"/>
    <s v="South Sudan"/>
    <n v="46622"/>
    <x v="0"/>
    <x v="0"/>
  </r>
  <r>
    <x v="0"/>
    <s v="DP.2422"/>
    <s v="A Rapid Response Fund (RRF) Program responding to emergency needs of disaster affected populations in South Sudan under the states of the Greater Equatoria, Greater Upper Nile Lakes, Greater Bahr El Ghazal and Abyei Regions of South Sudan"/>
    <s v="MOVEMENT, EMERGENCY AND POST-CRISIS MIGRATION MANAGEMENT"/>
    <s v="South Sudan"/>
    <n v="4500255520"/>
    <s v=" Provision of life-sustaining Non-Food Items (NFI) to 7,461 vulnerable people displaced by floods in Mundri West County, WesternEquatoria State under PRF #4200339531"/>
    <s v="Implementing Partners"/>
    <s v="YOUTH EMPOWERMENT AND DEVELOPMENT A"/>
    <s v="South Sudan"/>
    <n v="96851"/>
    <x v="0"/>
    <x v="0"/>
  </r>
  <r>
    <x v="0"/>
    <s v="DP.2427"/>
    <s v="Evidence-Based Multi-Sectoral Emergency Assistance to Affected People in Bamingui-Bangoran Prefecture"/>
    <s v="MOVEMENT, EMERGENCY AND POST-CRISIS MIGRATION MANAGEMENT"/>
    <s v="CAR"/>
    <n v="4500264507"/>
    <s v=" SUIVI DE LA TRANSHUMANCE A BAMINGUI BABGORAN PRF 4200357158"/>
    <s v="Implementing Partners"/>
    <s v="ASSOCIATION LE SAMARITAIN"/>
    <s v="Central African Rep"/>
    <n v="23498"/>
    <x v="0"/>
    <x v="0"/>
  </r>
  <r>
    <x v="0"/>
    <s v="DP.2436"/>
    <s v="Strengthening Community Resilience and Reducing Violence in Cameroon for the Humanitarian Development Peace Nexus"/>
    <s v="MOVEMENT, EMERGENCY AND POST-CRISIS MIGRATION MANAGEMENT"/>
    <s v="Cameroon"/>
    <n v="4500214021"/>
    <s v="000000000500000124-IP transfers – National CSOs"/>
    <s v="Implementing Partners"/>
    <s v="STRATEGIC HUMANITARIAN SERVICES"/>
    <s v="Cameroon"/>
    <n v="67294"/>
    <x v="0"/>
    <x v="0"/>
  </r>
  <r>
    <x v="0"/>
    <s v="DP.2436"/>
    <s v="Strengthening Community Resilience and Reducing Violence in Cameroon for the Humanitarian Development Peace Nexus"/>
    <s v="MOVEMENT, EMERGENCY AND POST-CRISIS MIGRATION MANAGEMENT"/>
    <s v="Cameroon"/>
    <n v="4500214022"/>
    <s v="000000000500000124-IP transfers – National CSOs"/>
    <s v="Implementing Partners"/>
    <s v="CARITAS DIOCESE OF KUMBA"/>
    <s v="Cameroon"/>
    <n v="53227"/>
    <x v="0"/>
    <x v="6"/>
  </r>
  <r>
    <x v="0"/>
    <s v="DP.2436"/>
    <s v="Strengthening Community Resilience and Reducing Violence in Cameroon for the Humanitarian Development Peace Nexus"/>
    <s v="MOVEMENT, EMERGENCY AND POST-CRISIS MIGRATION MANAGEMENT"/>
    <s v="Cameroon"/>
    <n v="4500222135"/>
    <s v=" IOM Contribution for operationalization of the NEXUS project in Cameroon for the period of April to December 2022"/>
    <s v="Implementing Partners"/>
    <s v="UNDP"/>
    <s v="Cameroon"/>
    <n v="33000"/>
    <x v="0"/>
    <x v="7"/>
  </r>
  <r>
    <x v="0"/>
    <s v="DP.2436"/>
    <s v="Strengthening Community Resilience and Reducing Violence in Cameroon for the Humanitarian Development Peace Nexus"/>
    <s v="MOVEMENT, EMERGENCY AND POST-CRISIS MIGRATION MANAGEMENT"/>
    <s v="Cameroon"/>
    <n v="4500234848"/>
    <s v="000000000500000124-IP transfers – National CSOs"/>
    <s v="Implementing Partners"/>
    <s v="COMUNITY HUMANITARIAN EMERGENCY BOA"/>
    <s v="Cameroon"/>
    <n v="20974"/>
    <x v="0"/>
    <x v="0"/>
  </r>
  <r>
    <x v="0"/>
    <s v="DP.2436"/>
    <s v="Strengthening Community Resilience and Reducing Violence in Cameroon for the Humanitarian Development Peace Nexus"/>
    <s v="MOVEMENT, EMERGENCY AND POST-CRISIS MIGRATION MANAGEMENT"/>
    <s v="Cameroon"/>
    <n v="4500254360"/>
    <s v=" Implementing partner activities for distribution of Shelter/NFIs kits and monitoring construction of shelters in the far North"/>
    <s v="Implementing Partners"/>
    <s v="ASSOCIATION DES ANIMATEURS ET ENCAD"/>
    <s v="Cameroon"/>
    <n v="7944"/>
    <x v="0"/>
    <x v="0"/>
  </r>
  <r>
    <x v="0"/>
    <s v="DP.2436"/>
    <s v="Strengthening Community Resilience and Reducing Violence in Cameroon for the Humanitarian Development Peace Nexus"/>
    <s v="MOVEMENT, EMERGENCY AND POST-CRISIS MIGRATION MANAGEMENT"/>
    <s v="Cameroon"/>
    <n v="4500258650"/>
    <s v=" Implementing Partners for NFI distribution in RMM implementation NW: NOV 2022- FEB 2023"/>
    <s v="Implementing Partners"/>
    <s v="STRATEGIC HUMANITARIAN SERVICES"/>
    <s v="Cameroon"/>
    <n v="20332"/>
    <x v="0"/>
    <x v="0"/>
  </r>
  <r>
    <x v="0"/>
    <s v="DP.2436"/>
    <s v="Strengthening Community Resilience and Reducing Violence in Cameroon for the Humanitarian Development Peace Nexus"/>
    <s v="MOVEMENT, EMERGENCY AND POST-CRISIS MIGRATION MANAGEMENT"/>
    <s v="Cameroon"/>
    <n v="4500258651"/>
    <s v=" Implementing Partners for NFI distribution in RMM implementation SW - NOV 2022 - FEB 2023"/>
    <s v="Implementing Partners"/>
    <s v="CARITAS DIOCESE OF KUMBA"/>
    <s v="Cameroon"/>
    <n v="12158"/>
    <x v="0"/>
    <x v="6"/>
  </r>
  <r>
    <x v="0"/>
    <s v="DP.2436"/>
    <s v="Strengthening Community Resilience and Reducing Violence in Cameroon for the Humanitarian Development Peace Nexus"/>
    <s v="MOVEMENT, EMERGENCY AND POST-CRISIS MIGRATION MANAGEMENT"/>
    <s v="Cameroon"/>
    <n v="4500269025"/>
    <s v=" CONTRAT IP  OF EARLY WARNING SYSTEMS TO BETTER INFORM THE RRM EXTREME NORD GROUP CONSUL"/>
    <s v="Implementing Partners"/>
    <s v="ASSOCIATION CAMEROUNAISE POUR LE DI"/>
    <s v="Cameroon"/>
    <n v="63708"/>
    <x v="0"/>
    <x v="0"/>
  </r>
  <r>
    <x v="0"/>
    <s v="DP.2436"/>
    <s v="Strengthening Community Resilience and Reducing Violence in Cameroon for the Humanitarian Development Peace Nexus"/>
    <s v="MOVEMENT, EMERGENCY AND POST-CRISIS MIGRATION MANAGEMENT"/>
    <s v="Cameroon"/>
    <n v="4500269207"/>
    <s v=" AGREEMENT IP EWER IN FAR NORTH REGION CAMEROON"/>
    <s v="Implementing Partners"/>
    <s v="AFRIQUE ESPOIR"/>
    <s v="Cameroon"/>
    <n v="63708"/>
    <x v="0"/>
    <x v="3"/>
  </r>
  <r>
    <x v="0"/>
    <s v="DP.2437"/>
    <s v="Everyone Counts - Inclusive Data for Stability and Development"/>
    <s v="MOVEMENT, EMERGENCY AND POST-CRISIS MIGRATION MANAGEMENT"/>
    <s v="Ukraine"/>
    <n v="4500211576"/>
    <s v=" UA1-2022-3006_IP services for distribution of thermal blankets, kitchen sets, water containers."/>
    <s v="Implementing Partners"/>
    <s v="NGO SPILNA SPRAVA"/>
    <s v="Ukraine"/>
    <n v="968"/>
    <x v="0"/>
    <x v="0"/>
  </r>
  <r>
    <x v="0"/>
    <s v="DP.2437"/>
    <s v="Everyone Counts - Inclusive Data for Stability and Development"/>
    <s v="MOVEMENT, EMERGENCY AND POST-CRISIS MIGRATION MANAGEMENT"/>
    <s v="Ukraine"/>
    <n v="4500214382"/>
    <s v=" IP services to distribution of solar lamps and baby hygiene kits"/>
    <s v="Implementing Partners"/>
    <s v="FPC UKRAINIAN PRISM"/>
    <s v="Ukraine"/>
    <n v="585"/>
    <x v="0"/>
    <x v="0"/>
  </r>
  <r>
    <x v="0"/>
    <s v="DP.2437"/>
    <s v="Everyone Counts - Inclusive Data for Stability and Development"/>
    <s v="MOVEMENT, EMERGENCY AND POST-CRISIS MIGRATION MANAGEMENT"/>
    <s v="Ukraine"/>
    <n v="4500214394"/>
    <s v=" IP services to distribution of NFI, ESK, and other relief items in Ukraine"/>
    <s v="Implementing Partners"/>
    <s v="BF PRAVO NA ZAKHYST"/>
    <s v="Ukraine"/>
    <n v="555"/>
    <x v="0"/>
    <x v="0"/>
  </r>
  <r>
    <x v="0"/>
    <s v="DP.2437"/>
    <s v="Everyone Counts - Inclusive Data for Stability and Development"/>
    <s v="MOVEMENT, EMERGENCY AND POST-CRISIS MIGRATION MANAGEMENT"/>
    <s v="Ukraine"/>
    <n v="4500218838"/>
    <s v=" IP for data collection services and field operation support"/>
    <s v="Implementing Partners"/>
    <s v="PO CYI TOP YOUTH"/>
    <s v="Ukraine"/>
    <n v="2459"/>
    <x v="0"/>
    <x v="8"/>
  </r>
  <r>
    <x v="0"/>
    <s v="DP.2437"/>
    <s v="Everyone Counts - Inclusive Data for Stability and Development"/>
    <s v="MOVEMENT, EMERGENCY AND POST-CRISIS MIGRATION MANAGEMENT"/>
    <s v="Ukraine"/>
    <n v="4500220659"/>
    <s v=" PR NO. (4200263871) UA1-2022-3015_IP_data ollection services_Ivano-Frankivsk_STAN  Type of contract signed: Service agreement  PO is for internal use  - financial tracking only (no signature required)."/>
    <s v="Implementing Partners"/>
    <s v="NGO MO STAN"/>
    <s v="Ukraine"/>
    <n v="21112"/>
    <x v="0"/>
    <x v="0"/>
  </r>
  <r>
    <x v="0"/>
    <s v="DP.2437"/>
    <s v="Everyone Counts - Inclusive Data for Stability and Development"/>
    <s v="MOVEMENT, EMERGENCY AND POST-CRISIS MIGRATION MANAGEMENT"/>
    <s v="Ukraine"/>
    <n v="4500223778"/>
    <s v=" PR NO. (4200274898) UA1-2022-3019_Services of ZRCO EDELWEISS for Verification and Registration for Cash assistance  Type of contract signed: Service agreement LEG Advisory Code: UKR/SERV/AP0038/2022 Mission LEG Approval Code:UKR/SS/III097/2022  PO is for"/>
    <s v="Implementing Partners"/>
    <s v="ZRCO EDELWEISS"/>
    <s v="Ukraine"/>
    <n v="27572"/>
    <x v="0"/>
    <x v="0"/>
  </r>
  <r>
    <x v="0"/>
    <s v="DP.2437"/>
    <s v="Everyone Counts - Inclusive Data for Stability and Development"/>
    <s v="MOVEMENT, EMERGENCY AND POST-CRISIS MIGRATION MANAGEMENT"/>
    <s v="Ukraine"/>
    <n v="4500235778"/>
    <s v=" Our Reference: PR NO. (4200265336) UA1-2022-3016_IP_Data Collection Services_Chernivtsi_The Committee of Voters  Type of contract signed: Service agreement  PO is for internal use  - financial tracking only (no signature required). Created after service"/>
    <s v="Implementing Partners"/>
    <s v="CHERNIVTSI COMMITTEE OF VOTERS"/>
    <s v="Ukraine"/>
    <n v="5445"/>
    <x v="0"/>
    <x v="0"/>
  </r>
  <r>
    <x v="0"/>
    <s v="DP.2437"/>
    <s v="Everyone Counts - Inclusive Data for Stability and Development"/>
    <s v="MOVEMENT, EMERGENCY AND POST-CRISIS MIGRATION MANAGEMENT"/>
    <s v="Ukraine"/>
    <n v="4500261321"/>
    <s v=" IP services_Household survey in Zakarpatska oblast"/>
    <s v="Implementing Partners"/>
    <s v="ZRCO EDELWEISS"/>
    <s v="Ukraine"/>
    <n v="29930"/>
    <x v="0"/>
    <x v="0"/>
  </r>
  <r>
    <x v="0"/>
    <s v="DP.2440"/>
    <s v="Emergency Response for Populations Affected by Floods in Burundi"/>
    <s v="MOVEMENT, EMERGENCY AND POST-CRISIS MIGRATION MANAGEMENT"/>
    <s v="Burundi"/>
    <n v="4500244484"/>
    <s v="000000000500000124-IP transfers – National CSOs"/>
    <s v="Implementing Partners"/>
    <s v="CROIX ROUGE DU BURUNDI"/>
    <s v="Burundi"/>
    <n v="9803"/>
    <x v="0"/>
    <x v="4"/>
  </r>
  <r>
    <x v="0"/>
    <s v="DP.2444"/>
    <s v="Providing Life-Saving Protection and Health-Care Support to Migrants and Other Populations in Vulnerable Situations in Lebanon"/>
    <s v="MOVEMENT, EMERGENCY AND POST-CRISIS MIGRATION MANAGEMENT"/>
    <s v="Lebanon"/>
    <n v="4500246854"/>
    <s v="000000000500000123-IP transfers – International CSOs"/>
    <s v="Implementing Partners"/>
    <s v="Migration Services and Development"/>
    <s v="Lebanon"/>
    <n v="201300"/>
    <x v="0"/>
    <x v="0"/>
  </r>
  <r>
    <x v="0"/>
    <s v="DP.2444"/>
    <s v="Providing Life-Saving Protection and Health-Care Support to Migrants and Other Populations in Vulnerable Situations in Lebanon"/>
    <s v="MOVEMENT, EMERGENCY AND POST-CRISIS MIGRATION MANAGEMENT"/>
    <s v="Lebanon"/>
    <n v="4500249231"/>
    <s v=" First instalment - due within fifteen (15) calendar days after the signature of the Agreement"/>
    <s v="Implementing Partners"/>
    <s v="Legal Action Worldwide"/>
    <s v="Switzerland"/>
    <n v="94000"/>
    <x v="0"/>
    <x v="1"/>
  </r>
  <r>
    <x v="0"/>
    <s v="DP.2444"/>
    <s v="Providing Life-Saving Protection and Health-Care Support to Migrants and Other Populations in Vulnerable Situations in Lebanon"/>
    <s v="MOVEMENT, EMERGENCY AND POST-CRISIS MIGRATION MANAGEMENT"/>
    <s v="Lebanon"/>
    <n v="4500252718"/>
    <s v=" First instalment - due within fifteen (15) calendar days after the signature of the Agreement"/>
    <s v="Implementing Partners"/>
    <s v="Caritas Lebanon Migrant Center"/>
    <s v="Lebanon"/>
    <n v="37000"/>
    <x v="0"/>
    <x v="6"/>
  </r>
  <r>
    <x v="0"/>
    <s v="DP.2444"/>
    <s v="Providing Life-Saving Protection and Health-Care Support to Migrants and Other Populations in Vulnerable Situations in Lebanon"/>
    <s v="MOVEMENT, EMERGENCY AND POST-CRISIS MIGRATION MANAGEMENT"/>
    <s v="Lebanon"/>
    <n v="4500252983"/>
    <s v=" First instalment - due within fifteen (15) calendar days after the signature of the Agreement"/>
    <s v="Implementing Partners"/>
    <s v="Centre Libanais des Droits Humains"/>
    <s v="Lebanon"/>
    <n v="136700"/>
    <x v="0"/>
    <x v="3"/>
  </r>
  <r>
    <x v="0"/>
    <s v="DP.2444"/>
    <s v="Providing Life-Saving Protection and Health-Care Support to Migrants and Other Populations in Vulnerable Situations in Lebanon"/>
    <s v="MOVEMENT, EMERGENCY AND POST-CRISIS MIGRATION MANAGEMENT"/>
    <s v="Lebanon"/>
    <n v="4500256539"/>
    <s v=" First instalment - due within fifteen (15) calendar days after the signature of the Agreement"/>
    <s v="Implementing Partners"/>
    <s v="Amel Association"/>
    <s v="Lebanon"/>
    <n v="214000"/>
    <x v="0"/>
    <x v="0"/>
  </r>
  <r>
    <x v="0"/>
    <s v="DP.2444"/>
    <s v="Providing Life-Saving Protection and Health-Care Support to Migrants and Other Populations in Vulnerable Situations in Lebanon"/>
    <s v="MOVEMENT, EMERGENCY AND POST-CRISIS MIGRATION MANAGEMENT"/>
    <s v="Lebanon"/>
    <n v="4500256543"/>
    <s v=" First instalment - due within fifteen (15) calendar days after the signature of the Agreement"/>
    <s v="Implementing Partners"/>
    <s v="L'UNION POUR LA PROTECTION DE L'ENF"/>
    <s v="Lebanon"/>
    <n v="80500"/>
    <x v="0"/>
    <x v="0"/>
  </r>
  <r>
    <x v="0"/>
    <s v="DP.2446"/>
    <s v="Emergency Response to the Conflict in Ukraine through Multi-Purpose Cash, Shelter and Non-food Items"/>
    <s v="MOVEMENT, EMERGENCY AND POST-CRISIS MIGRATION MANAGEMENT"/>
    <s v="Ukraine"/>
    <n v="4500211576"/>
    <s v=" UA1-2022-3006_IP services for distribution of thermal blankets, kitchen sets, water containers."/>
    <s v="Implementing Partners"/>
    <s v="NGO SPILNA SPRAVA"/>
    <s v="Ukraine"/>
    <n v="1936"/>
    <x v="0"/>
    <x v="0"/>
  </r>
  <r>
    <x v="0"/>
    <s v="DP.2446"/>
    <s v="Emergency Response to the Conflict in Ukraine through Multi-Purpose Cash, Shelter and Non-food Items"/>
    <s v="MOVEMENT, EMERGENCY AND POST-CRISIS MIGRATION MANAGEMENT"/>
    <s v="Ukraine"/>
    <n v="4500214382"/>
    <s v=" IP services to distribution of solar lamps and baby hygiene kits"/>
    <s v="Implementing Partners"/>
    <s v="FPC UKRAINIAN PRISM"/>
    <s v="Ukraine"/>
    <n v="1170"/>
    <x v="0"/>
    <x v="0"/>
  </r>
  <r>
    <x v="0"/>
    <s v="DP.2446"/>
    <s v="Emergency Response to the Conflict in Ukraine through Multi-Purpose Cash, Shelter and Non-food Items"/>
    <s v="MOVEMENT, EMERGENCY AND POST-CRISIS MIGRATION MANAGEMENT"/>
    <s v="Ukraine"/>
    <n v="4500214394"/>
    <s v=" IP services to distribution of NFI, ESK, and other relief items in Ukraine"/>
    <s v="Implementing Partners"/>
    <s v="BF PRAVO NA ZAKHYST"/>
    <s v="Ukraine"/>
    <n v="1111"/>
    <x v="0"/>
    <x v="0"/>
  </r>
  <r>
    <x v="0"/>
    <s v="DP.2446"/>
    <s v="Emergency Response to the Conflict in Ukraine through Multi-Purpose Cash, Shelter and Non-food Items"/>
    <s v="MOVEMENT, EMERGENCY AND POST-CRISIS MIGRATION MANAGEMENT"/>
    <s v="Ukraine"/>
    <n v="4500218838"/>
    <s v=" IP for data collection services and field operation support"/>
    <s v="Implementing Partners"/>
    <s v="PO CYI TOP YOUTH"/>
    <s v="Ukraine"/>
    <n v="2459"/>
    <x v="0"/>
    <x v="8"/>
  </r>
  <r>
    <x v="0"/>
    <s v="DP.2446"/>
    <s v="Emergency Response to the Conflict in Ukraine through Multi-Purpose Cash, Shelter and Non-food Items"/>
    <s v="MOVEMENT, EMERGENCY AND POST-CRISIS MIGRATION MANAGEMENT"/>
    <s v="Ukraine"/>
    <n v="4500221488"/>
    <s v=" Our Reference: PR NO. (4200257052) UA1-2022-3010_Services of the CF&quot; Charity Foundation&quot; East-SOS&quot; in Ukraine Type of contract signed: Framework Agreement PO is for internal use  - financial tracking only (no signature required)."/>
    <s v="Implementing Partners"/>
    <s v="BF VOSTOK-SOS"/>
    <s v="Ukraine"/>
    <n v="601"/>
    <x v="0"/>
    <x v="0"/>
  </r>
  <r>
    <x v="0"/>
    <s v="DP.2446"/>
    <s v="Emergency Response to the Conflict in Ukraine through Multi-Purpose Cash, Shelter and Non-food Items"/>
    <s v="MOVEMENT, EMERGENCY AND POST-CRISIS MIGRATION MANAGEMENT"/>
    <s v="Ukraine"/>
    <n v="4500221500"/>
    <s v=" Our Reference: PR NO. (4200256993) UA1-2022-3012_IP for NFI items distribution_NGO Rotary Club Kyiv International Type of contract signed: Framework Agreement PO is for internal use  - financial tracking only (no signature required)."/>
    <s v="Implementing Partners"/>
    <s v="HO ROTARI KLUB KYIV INTERNESHENAL"/>
    <s v="Ukraine"/>
    <n v="10921"/>
    <x v="0"/>
    <x v="0"/>
  </r>
  <r>
    <x v="0"/>
    <s v="DP.2446"/>
    <s v="Emergency Response to the Conflict in Ukraine through Multi-Purpose Cash, Shelter and Non-food Items"/>
    <s v="MOVEMENT, EMERGENCY AND POST-CRISIS MIGRATION MANAGEMENT"/>
    <s v="Ukraine"/>
    <n v="4500222876"/>
    <s v=" PR NO. (4200257010) UA1-2022-3011_Services of Taras Shevchenko Ternopil Regional Association of Ukrainian Society &quot;Prosvita&quot;  Type of contract signed: Framework agreement NFIS/UA/2022/019 dd 04.04.2022  PO is for internal use  - financial tracking only ("/>
    <s v="Implementing Partners"/>
    <s v="PROSVITA IM.TARASA SHEVCHENKA"/>
    <s v="Ukraine"/>
    <n v="820"/>
    <x v="0"/>
    <x v="0"/>
  </r>
  <r>
    <x v="0"/>
    <s v="DP.2446"/>
    <s v="Emergency Response to the Conflict in Ukraine through Multi-Purpose Cash, Shelter and Non-food Items"/>
    <s v="MOVEMENT, EMERGENCY AND POST-CRISIS MIGRATION MANAGEMENT"/>
    <s v="Ukraine"/>
    <n v="4500227752"/>
    <s v=" Our Reference: PR NO. (4200284159) UA1-2022-3023_IP_NFIs distribution_Vinnitsa Oblast  Type of contract signed: Agreement  PO is for internal use  - financial tracking only (no signature required). Created after service is rendered."/>
    <s v="Implementing Partners"/>
    <s v="NGO SPILNA SPRAVA"/>
    <s v="Ukraine"/>
    <n v="6670"/>
    <x v="0"/>
    <x v="0"/>
  </r>
  <r>
    <x v="0"/>
    <s v="DP.2446"/>
    <s v="Emergency Response to the Conflict in Ukraine through Multi-Purpose Cash, Shelter and Non-food Items"/>
    <s v="MOVEMENT, EMERGENCY AND POST-CRISIS MIGRATION MANAGEMENT"/>
    <s v="Ukraine"/>
    <n v="4500235778"/>
    <s v=" Our Reference: PR NO. (4200265336) UA1-2022-3016_IP_Data Collection Services_Chernivtsi_The Committee of Voters  Type of contract signed: Service agreement  PO is for internal use  - financial tracking only (no signature required). Created after service"/>
    <s v="Implementing Partners"/>
    <s v="CHERNIVTSI COMMITTEE OF VOTERS"/>
    <s v="Ukraine"/>
    <n v="5445"/>
    <x v="0"/>
    <x v="0"/>
  </r>
  <r>
    <x v="0"/>
    <s v="DP.2446"/>
    <s v="Emergency Response to the Conflict in Ukraine through Multi-Purpose Cash, Shelter and Non-food Items"/>
    <s v="MOVEMENT, EMERGENCY AND POST-CRISIS MIGRATION MANAGEMENT"/>
    <s v="Ukraine"/>
    <n v="4500238402"/>
    <s v=" Our Reference: PR NO. (4200256951) UA1-2022-3018_IP Services of the All-Ukrainian NGO Ukrainian Association of Business Support Centers in Ukraine  Type of contract signed: Framework agreement  PO is for internal use  - financial tracking only (no signat"/>
    <s v="Implementing Partners"/>
    <s v="NGO UKRAINSKA ASOTSIATSIIA TSENTRIV"/>
    <s v="Ukraine"/>
    <n v="1786"/>
    <x v="0"/>
    <x v="0"/>
  </r>
  <r>
    <x v="0"/>
    <s v="DP.2446"/>
    <s v="Emergency Response to the Conflict in Ukraine through Multi-Purpose Cash, Shelter and Non-food Items"/>
    <s v="MOVEMENT, EMERGENCY AND POST-CRISIS MIGRATION MANAGEMENT"/>
    <s v="Ukraine"/>
    <n v="4500238506"/>
    <s v=" PR NO. (4200266632) UA1-2022-3017_IP_Distribution of NFIs in Zakarpatska oblast  Type of contract signed: Framework agreement  PO is for internal use  - financial tracking only (no signature required)"/>
    <s v="Implementing Partners"/>
    <s v="ZRCO EDELWEISS"/>
    <s v="Ukraine"/>
    <n v="12441"/>
    <x v="0"/>
    <x v="0"/>
  </r>
  <r>
    <x v="0"/>
    <s v="DP.2447"/>
    <s v="Emergency Water Sanitation and Hygiene (WASH) Support to Crises Affected Population of Somali Region, Ethiopia"/>
    <s v="MOVEMENT, EMERGENCY AND POST-CRISIS MIGRATION MANAGEMENT"/>
    <s v="Ethiopia"/>
    <n v="4500220627"/>
    <s v=" SNFI0102 - IP EMCO WASH support to Crises affected population in Tuliguled, Somali Region"/>
    <s v="Implementing Partners"/>
    <s v="Ethio-Somali Mother&amp;Child-HealthOrg"/>
    <s v="Ethiopia"/>
    <n v="25000"/>
    <x v="0"/>
    <x v="0"/>
  </r>
  <r>
    <x v="0"/>
    <s v="DP.2452"/>
    <s v="Lifesaving Assistance for Conflict-Affected People in Ukraine and Neighbouring Countries"/>
    <s v="MOVEMENT, EMERGENCY AND POST-CRISIS MIGRATION MANAGEMENT"/>
    <s v="Hungary"/>
    <n v="4500221528"/>
    <s v=" PR 4200267246 Long term safe accomodation, transportatin &lt;(&gt;&amp;&lt;)&gt; environment with basic needs for persons displace by the conflict in Ukraine"/>
    <s v="Implementing Partners"/>
    <s v="ADRA"/>
    <s v="Hungary"/>
    <n v="226647"/>
    <x v="0"/>
    <x v="1"/>
  </r>
  <r>
    <x v="0"/>
    <s v="DP.2452"/>
    <s v="Lifesaving Assistance for Conflict-Affected People in Ukraine and Neighbouring Countries"/>
    <s v="MOVEMENT, EMERGENCY AND POST-CRISIS MIGRATION MANAGEMENT"/>
    <s v="Hungary"/>
    <n v="4500224021"/>
    <s v=" PR # 4200275153 IP Agreement Addressing the needs of crisis affected population from Ukraine in Hungary"/>
    <s v="Implementing Partners"/>
    <s v="Terre des Hommes Foundation"/>
    <s v="Hungary"/>
    <n v="161233"/>
    <x v="0"/>
    <x v="1"/>
  </r>
  <r>
    <x v="0"/>
    <s v="DP.2452"/>
    <s v="Lifesaving Assistance for Conflict-Affected People in Ukraine and Neighbouring Countries"/>
    <s v="MOVEMENT, EMERGENCY AND POST-CRISIS MIGRATION MANAGEMENT"/>
    <s v="Hungary"/>
    <n v="4500246495"/>
    <s v=" PR# 4200322998. 1st and 2nd Installment for the project Education and recreational activities for Ukrainian refugees."/>
    <s v="Implementing Partners"/>
    <s v="Egyseg Ukran Egyesulet"/>
    <s v="Hungary"/>
    <n v="107688"/>
    <x v="0"/>
    <x v="0"/>
  </r>
  <r>
    <x v="0"/>
    <s v="DP.2452"/>
    <s v="Lifesaving Assistance for Conflict-Affected People in Ukraine and Neighbouring Countries"/>
    <s v="MOVEMENT, EMERGENCY AND POST-CRISIS MIGRATION MANAGEMENT"/>
    <s v="Hungary"/>
    <n v="4500248810"/>
    <s v=" PR# 4200327366. Lexis Alapítvány (Lexis Foundation) implements the project 'Supporting basic needs of Ukrainian families&quot; in Budapest, Hungary as an IP of IOM. The first installment is 19,200,148 HUF, total contract value 21,333,498 HUF."/>
    <s v="Implementing Partners"/>
    <s v="Lexis Alapitvany"/>
    <s v="Hungary"/>
    <n v="53041"/>
    <x v="0"/>
    <x v="0"/>
  </r>
  <r>
    <x v="0"/>
    <s v="DP.2452"/>
    <s v="Lifesaving Assistance for Conflict-Affected People in Ukraine and Neighbouring Countries"/>
    <s v="MOVEMENT, EMERGENCY AND POST-CRISIS MIGRATION MANAGEMENT"/>
    <s v="Hungary"/>
    <n v="4500248816"/>
    <s v=" PR# 4200327879. Next Step Hungary Association delivers the project 'Multi-level support for Ukrainian refugees and Third Country Nationals in Budapest' as an IP of IOM."/>
    <s v="Implementing Partners"/>
    <s v="Next Step Hungary Association"/>
    <s v="Hungary"/>
    <n v="13875"/>
    <x v="0"/>
    <x v="0"/>
  </r>
  <r>
    <x v="0"/>
    <s v="DP.2452"/>
    <s v="Lifesaving Assistance for Conflict-Affected People in Ukraine and Neighbouring Countries"/>
    <s v="MOVEMENT, EMERGENCY AND POST-CRISIS MIGRATION MANAGEMENT"/>
    <s v="Hungary"/>
    <n v="4500265059"/>
    <s v=" PR# 4200367557. Improving shelter conditions and social support at shelters in Budapest."/>
    <s v="Implementing Partners"/>
    <s v="Oltalom Karitativ Egyesulet"/>
    <s v="Hungary"/>
    <n v="14706"/>
    <x v="0"/>
    <x v="0"/>
  </r>
  <r>
    <x v="0"/>
    <s v="DP.2452"/>
    <s v="Lifesaving Assistance for Conflict-Affected People in Ukraine and Neighbouring Countries"/>
    <s v="MOVEMENT, EMERGENCY AND POST-CRISIS MIGRATION MANAGEMENT"/>
    <s v="Poland"/>
    <n v="4500249638"/>
    <s v=" IP Agreement with Association for Legal Intervention for capacity building for foster families and foster care professionals as per PR 4200245648"/>
    <s v="Implementing Partners"/>
    <s v="Stowarzyszenie Interwencji Prawnej"/>
    <s v="Poland"/>
    <n v="17243"/>
    <x v="0"/>
    <x v="0"/>
  </r>
  <r>
    <x v="0"/>
    <s v="DP.2452"/>
    <s v="Lifesaving Assistance for Conflict-Affected People in Ukraine and Neighbouring Countries"/>
    <s v="MOVEMENT, EMERGENCY AND POST-CRISIS MIGRATION MANAGEMENT"/>
    <s v="Poland"/>
    <n v="4500273234"/>
    <s v=" IP Agreement - The Central Council of Roma (Annex 1)"/>
    <s v="Implementing Partners"/>
    <s v="Centralna Rada Romow w Polsce"/>
    <s v="Poland"/>
    <n v="330386"/>
    <x v="0"/>
    <x v="0"/>
  </r>
  <r>
    <x v="0"/>
    <s v="DP.2452"/>
    <s v="Lifesaving Assistance for Conflict-Affected People in Ukraine and Neighbouring Countries"/>
    <s v="MOVEMENT, EMERGENCY AND POST-CRISIS MIGRATION MANAGEMENT"/>
    <s v="Romania"/>
    <n v="4500232719"/>
    <s v=" Decont No. 1, 16 May-14 July 2022"/>
    <s v="Implementing Partners"/>
    <s v="FUNDATIA SCHOTTENER SERV. SOCIALE"/>
    <s v="Romania"/>
    <n v="15035"/>
    <x v="0"/>
    <x v="0"/>
  </r>
  <r>
    <x v="0"/>
    <s v="DP.2452"/>
    <s v="Lifesaving Assistance for Conflict-Affected People in Ukraine and Neighbouring Countries"/>
    <s v="MOVEMENT, EMERGENCY AND POST-CRISIS MIGRATION MANAGEMENT"/>
    <s v="Romania"/>
    <n v="4500240117"/>
    <s v=" IP (Staff and activities)"/>
    <s v="Implementing Partners"/>
    <s v="FUNDATIA SCHOTTENER SERV. SOCIALE"/>
    <s v="Romania"/>
    <n v="3714"/>
    <x v="0"/>
    <x v="0"/>
  </r>
  <r>
    <x v="0"/>
    <s v="DP.2452"/>
    <s v="Lifesaving Assistance for Conflict-Affected People in Ukraine and Neighbouring Countries"/>
    <s v="MOVEMENT, EMERGENCY AND POST-CRISIS MIGRATION MANAGEMENT"/>
    <s v="Romania"/>
    <n v="4500247682"/>
    <s v=" Reimbursement no.1 - July 2022 as part of the providing assistance for conflict-affected people from Ukraine and neighboring countries."/>
    <s v="Implementing Partners"/>
    <s v="ASOC. ECUMENICA A BISERICILOR"/>
    <s v="Romania"/>
    <n v="10701"/>
    <x v="0"/>
    <x v="0"/>
  </r>
  <r>
    <x v="0"/>
    <s v="DP.2452"/>
    <s v="Lifesaving Assistance for Conflict-Affected People in Ukraine and Neighbouring Countries"/>
    <s v="MOVEMENT, EMERGENCY AND POST-CRISIS MIGRATION MANAGEMENT"/>
    <s v="Romania"/>
    <n v="4500250542"/>
    <s v=" Decont No. 3, 12 Aug-15 Sept 2022, Project GFFO Germany funds - F. Schottener"/>
    <s v="Implementing Partners"/>
    <s v="FUNDATIA SCHOTTENER SERV. SOCIALE"/>
    <s v="Romania"/>
    <n v="7437"/>
    <x v="0"/>
    <x v="0"/>
  </r>
  <r>
    <x v="0"/>
    <s v="DP.2452"/>
    <s v="Lifesaving Assistance for Conflict-Affected People in Ukraine and Neighbouring Countries"/>
    <s v="MOVEMENT, EMERGENCY AND POST-CRISIS MIGRATION MANAGEMENT"/>
    <s v="Romania"/>
    <n v="4500250547"/>
    <s v=" Reimb. no.2 - August 2022, AIDRom, partnership agreement no. 823/15.06.2022_Ukraine"/>
    <s v="Implementing Partners"/>
    <s v="ASOC. ECUMENICA A BISERICILOR"/>
    <s v="Romania"/>
    <n v="11176"/>
    <x v="0"/>
    <x v="0"/>
  </r>
  <r>
    <x v="0"/>
    <s v="DP.2452"/>
    <s v="Lifesaving Assistance for Conflict-Affected People in Ukraine and Neighbouring Countries"/>
    <s v="MOVEMENT, EMERGENCY AND POST-CRISIS MIGRATION MANAGEMENT"/>
    <s v="Romania"/>
    <n v="4500252880"/>
    <s v=" Reimbursement no.2 - August as part of providing assistance for conflict - affected people from Ukraine"/>
    <s v="Implementing Partners"/>
    <s v="ASOC. ECUMENICA A BISERICILOR"/>
    <s v="Romania"/>
    <n v="11176"/>
    <x v="0"/>
    <x v="0"/>
  </r>
  <r>
    <x v="0"/>
    <s v="DP.2452"/>
    <s v="Lifesaving Assistance for Conflict-Affected People in Ukraine and Neighbouring Countries"/>
    <s v="MOVEMENT, EMERGENCY AND POST-CRISIS MIGRATION MANAGEMENT"/>
    <s v="Romania"/>
    <n v="4500252885"/>
    <s v=" Decont no.3, 12 August - 15 Sept 2022, project GFFO Germany funds - F Schottener"/>
    <s v="Implementing Partners"/>
    <s v="FUNDATIA SCHOTTENER SERV. SOCIALE"/>
    <s v="Romania"/>
    <n v="7437"/>
    <x v="0"/>
    <x v="0"/>
  </r>
  <r>
    <x v="0"/>
    <s v="DP.2452"/>
    <s v="Lifesaving Assistance for Conflict-Affected People in Ukraine and Neighbouring Countries"/>
    <s v="MOVEMENT, EMERGENCY AND POST-CRISIS MIGRATION MANAGEMENT"/>
    <s v="Romania"/>
    <n v="4500256030"/>
    <s v=" Decont No. 4, 16 Sept - 14 Oct 2022, as part of the project &quot;GFFO assistance for Ukraine crisis&quot; (Germany funds) - F. Schottener"/>
    <s v="Implementing Partners"/>
    <s v="FUNDATIA SCHOTTENER SERV. SOCIALE"/>
    <s v="Romania"/>
    <n v="18783"/>
    <x v="0"/>
    <x v="0"/>
  </r>
  <r>
    <x v="0"/>
    <s v="DP.2452"/>
    <s v="Lifesaving Assistance for Conflict-Affected People in Ukraine and Neighbouring Countries"/>
    <s v="MOVEMENT, EMERGENCY AND POST-CRISIS MIGRATION MANAGEMENT"/>
    <s v="Romania"/>
    <n v="4500257514"/>
    <s v=" Decont no. 1, September 2022, as part of project &quot;Providing assistance to conflict-affected population fleeing the conflict from Ukraine&quot;, partnership agreement no. 1575/01.09.2022 - Asoc. FILANTROPIA Oradea"/>
    <s v="Implementing Partners"/>
    <s v="ASOCIATIA FILANTROPIA ORADEA"/>
    <s v="Romania"/>
    <n v="2207"/>
    <x v="0"/>
    <x v="3"/>
  </r>
  <r>
    <x v="0"/>
    <s v="DP.2452"/>
    <s v="Lifesaving Assistance for Conflict-Affected People in Ukraine and Neighbouring Countries"/>
    <s v="MOVEMENT, EMERGENCY AND POST-CRISIS MIGRATION MANAGEMENT"/>
    <s v="Romania"/>
    <n v="4500259131"/>
    <s v=" Reimbursement no.3 - September 2022 as part of the providing assistance for conflict-affected people from Ukraine and neighboring countries, partnership agreement no. 823/15.06.2022 - AIDRom"/>
    <s v="Implementing Partners"/>
    <s v="ASOC. ECUMENICA A BISERICILOR"/>
    <s v="Romania"/>
    <n v="13753"/>
    <x v="0"/>
    <x v="0"/>
  </r>
  <r>
    <x v="0"/>
    <s v="DP.2452"/>
    <s v="Lifesaving Assistance for Conflict-Affected People in Ukraine and Neighbouring Countries"/>
    <s v="MOVEMENT, EMERGENCY AND POST-CRISIS MIGRATION MANAGEMENT"/>
    <s v="Romania"/>
    <n v="4500263556"/>
    <s v=" Decont No. 5, 15 Oct - 03 Nov 2022, as part of the project &quot;GFFO assistance for Ukraine crisis&quot; (Germany funds) - Fundatia Schottener"/>
    <s v="Implementing Partners"/>
    <s v="FUNDATIA SCHOTTENER SERV. SOCIALE"/>
    <s v="Romania"/>
    <n v="36677"/>
    <x v="0"/>
    <x v="0"/>
  </r>
  <r>
    <x v="0"/>
    <s v="DP.2452"/>
    <s v="Lifesaving Assistance for Conflict-Affected People in Ukraine and Neighbouring Countries"/>
    <s v="MOVEMENT, EMERGENCY AND POST-CRISIS MIGRATION MANAGEMENT"/>
    <s v="Romania"/>
    <n v="4500266906"/>
    <s v=" Decont No. 6, 04 Nov - 15 Nov 2022, as part of the project &quot;GFFO assistance for Ukraine crisis&quot; (Germany funds) - Fund. Schottener"/>
    <s v="Implementing Partners"/>
    <s v="FUNDATIA SCHOTTENER SERV. SOCIALE"/>
    <s v="Romania"/>
    <n v="9346"/>
    <x v="0"/>
    <x v="0"/>
  </r>
  <r>
    <x v="0"/>
    <s v="DP.2452"/>
    <s v="Lifesaving Assistance for Conflict-Affected People in Ukraine and Neighbouring Countries"/>
    <s v="MOVEMENT, EMERGENCY AND POST-CRISIS MIGRATION MANAGEMENT"/>
    <s v="Romania"/>
    <n v="4500269899"/>
    <s v=" Decont No. 7, 16 Nov - 29 Nov 2022, as part of the project &quot;GFFO assistance for Ukraine crisis&quot; (Germany funds) - Fundatia Schottener"/>
    <s v="Implementing Partners"/>
    <s v="FUNDATIA SCHOTTENER SERV. SOCIALE"/>
    <s v="Romania"/>
    <n v="27597"/>
    <x v="0"/>
    <x v="0"/>
  </r>
  <r>
    <x v="0"/>
    <s v="DP.2452"/>
    <s v="Lifesaving Assistance for Conflict-Affected People in Ukraine and Neighbouring Countries"/>
    <s v="MOVEMENT, EMERGENCY AND POST-CRISIS MIGRATION MANAGEMENT"/>
    <s v="Romania"/>
    <n v="4500270188"/>
    <s v=" Reimbursement no.4 - October 2022 as part of the providing assistance for conflict-affected people from Ukraine and neighboring countries, partnership agreement no. 823/15.06.2022 - AIDRom"/>
    <s v="Implementing Partners"/>
    <s v="ASOC. ECUMENICA A BISERICILOR"/>
    <s v="Romania"/>
    <n v="13409"/>
    <x v="0"/>
    <x v="0"/>
  </r>
  <r>
    <x v="0"/>
    <s v="DP.2452"/>
    <s v="Lifesaving Assistance for Conflict-Affected People in Ukraine and Neighbouring Countries"/>
    <s v="MOVEMENT, EMERGENCY AND POST-CRISIS MIGRATION MANAGEMENT"/>
    <s v="Romania"/>
    <n v="4500273842"/>
    <s v=" PR_4200387393"/>
    <s v="Implementing Partners"/>
    <s v="ASOC. ECUMENICA A BISERICILOR"/>
    <s v="Romania"/>
    <n v="21538"/>
    <x v="0"/>
    <x v="0"/>
  </r>
  <r>
    <x v="0"/>
    <s v="DP.2452"/>
    <s v="Lifesaving Assistance for Conflict-Affected People in Ukraine and Neighbouring Countries"/>
    <s v="MOVEMENT, EMERGENCY AND POST-CRISIS MIGRATION MANAGEMENT"/>
    <s v="Romania"/>
    <n v="4500273847"/>
    <s v=" PR_4200386806"/>
    <s v="Implementing Partners"/>
    <s v="ASOCIATIA FILANTROPIA ORADEA"/>
    <s v="Romania"/>
    <n v="7537"/>
    <x v="0"/>
    <x v="3"/>
  </r>
  <r>
    <x v="0"/>
    <s v="DP.2452"/>
    <s v="Lifesaving Assistance for Conflict-Affected People in Ukraine and Neighbouring Countries"/>
    <s v="MOVEMENT, EMERGENCY AND POST-CRISIS MIGRATION MANAGEMENT"/>
    <s v="Romania"/>
    <n v="4500274397"/>
    <s v=" PR_4200388247"/>
    <s v="Implementing Partners"/>
    <s v="ASOC. ECUMENICA A BISERICILOR"/>
    <s v="Romania"/>
    <n v="15190"/>
    <x v="0"/>
    <x v="0"/>
  </r>
  <r>
    <x v="0"/>
    <s v="DP.2452"/>
    <s v="Lifesaving Assistance for Conflict-Affected People in Ukraine and Neighbouring Countries"/>
    <s v="MOVEMENT, EMERGENCY AND POST-CRISIS MIGRATION MANAGEMENT"/>
    <s v="Romania"/>
    <n v="4500274408"/>
    <s v=" Decont No. 8, 30 Nov - 31 Dec 2022, as part of the project &quot;GFFO assistance for Ukraine crisis&quot; - Fundatia Schottener"/>
    <s v="Implementing Partners"/>
    <s v="FUNDATIA SCHOTTENER SERV. SOCIALE"/>
    <s v="Romania"/>
    <n v="42105"/>
    <x v="0"/>
    <x v="0"/>
  </r>
  <r>
    <x v="0"/>
    <s v="DP.2452"/>
    <s v="Lifesaving Assistance for Conflict-Affected People in Ukraine and Neighbouring Countries"/>
    <s v="MOVEMENT, EMERGENCY AND POST-CRISIS MIGRATION MANAGEMENT"/>
    <s v="Romania"/>
    <n v="4500275045"/>
    <s v=" PR_4200390022  as per agreement 1575/01.09.2022"/>
    <s v="Implementing Partners"/>
    <s v="ASOCIATIA FILANTROPIA ORADEA"/>
    <s v="Romania"/>
    <n v="18319"/>
    <x v="0"/>
    <x v="3"/>
  </r>
  <r>
    <x v="0"/>
    <s v="DP.2452"/>
    <s v="Lifesaving Assistance for Conflict-Affected People in Ukraine and Neighbouring Countries"/>
    <s v="MOVEMENT, EMERGENCY AND POST-CRISIS MIGRATION MANAGEMENT"/>
    <s v="Romania"/>
    <n v="4500275312"/>
    <s v=" PR_4200390834"/>
    <s v="Implementing Partners"/>
    <s v="ASOCIATIA FILANTROPIA ORADEA"/>
    <s v="Romania"/>
    <n v="35133"/>
    <x v="0"/>
    <x v="3"/>
  </r>
  <r>
    <x v="0"/>
    <s v="DP.2452"/>
    <s v="Lifesaving Assistance for Conflict-Affected People in Ukraine and Neighbouring Countries"/>
    <s v="MOVEMENT, EMERGENCY AND POST-CRISIS MIGRATION MANAGEMENT"/>
    <s v="Slovakia"/>
    <n v="4500245855"/>
    <s v=" MHPSS first instalment"/>
    <s v="Implementing Partners"/>
    <s v="IPcko"/>
    <s v="Slovakia"/>
    <n v="74942"/>
    <x v="0"/>
    <x v="0"/>
  </r>
  <r>
    <x v="0"/>
    <s v="DP.2452"/>
    <s v="Lifesaving Assistance for Conflict-Affected People in Ukraine and Neighbouring Countries"/>
    <s v="MOVEMENT, EMERGENCY AND POST-CRISIS MIGRATION MANAGEMENT"/>
    <s v="Slovakia"/>
    <n v="4500274243"/>
    <s v=" Final installment"/>
    <s v="Implementing Partners"/>
    <s v="IPcko"/>
    <s v="Slovakia"/>
    <n v="14478"/>
    <x v="0"/>
    <x v="0"/>
  </r>
  <r>
    <x v="0"/>
    <s v="DP.2452"/>
    <s v="Lifesaving Assistance for Conflict-Affected People in Ukraine and Neighbouring Countries"/>
    <s v="MOVEMENT, EMERGENCY AND POST-CRISIS MIGRATION MANAGEMENT"/>
    <s v="Ukraine"/>
    <n v="4500223321"/>
    <s v=" PR NO. (4200274042) UA1-2022-624.1_Emergency Health Response to the Humanitarian Crisis in Ukraine_UK-MED  Type of contract signed: PIA UKR/SS/V253/2022 dd 20.05.2022  PO is for internal use  - financial tracking only (no signature"/>
    <s v="Implementing Partners"/>
    <s v="UK-MED"/>
    <s v="United Kingdom"/>
    <n v="542286"/>
    <x v="0"/>
    <x v="1"/>
  </r>
  <r>
    <x v="0"/>
    <s v="DP.2452"/>
    <s v="Lifesaving Assistance for Conflict-Affected People in Ukraine and Neighbouring Countries"/>
    <s v="MOVEMENT, EMERGENCY AND POST-CRISIS MIGRATION MANAGEMENT"/>
    <s v="Ukraine"/>
    <n v="4500225861"/>
    <s v=" IP Agreement dd 05.04.2022 Mission LEG approval code: UKR/SS/III121/2022 Emergency Response for the Humanitarian Crisis in Ukraine (deployment of mobile health teams composed of physicians, nurses nd psychologists as well as emergency referral ambulances"/>
    <s v="Implementing Partners"/>
    <s v="Sheptytsky Charitable Institution"/>
    <s v="Ukraine"/>
    <n v="222602"/>
    <x v="0"/>
    <x v="3"/>
  </r>
  <r>
    <x v="0"/>
    <s v="DP.2452"/>
    <s v="Lifesaving Assistance for Conflict-Affected People in Ukraine and Neighbouring Countries"/>
    <s v="MOVEMENT, EMERGENCY AND POST-CRISIS MIGRATION MANAGEMENT"/>
    <s v="Ukraine"/>
    <n v="4500232729"/>
    <s v=" Our Reference: PR NO. (4200290948) UA1-2022-3027_IP engagement, NGO &quot;Friends Hands&quot; for CCCM activities, Vinnytsia oblast  Type of contract signed: PIA  PO is for internal use  - financial tracking only (no signature required). Created before service is"/>
    <s v="Implementing Partners"/>
    <s v="ICF FRIENDS HANDS"/>
    <s v="Ukraine"/>
    <n v="48960"/>
    <x v="0"/>
    <x v="0"/>
  </r>
  <r>
    <x v="0"/>
    <s v="DP.2452"/>
    <s v="Lifesaving Assistance for Conflict-Affected People in Ukraine and Neighbouring Countries"/>
    <s v="MOVEMENT, EMERGENCY AND POST-CRISIS MIGRATION MANAGEMENT"/>
    <s v="Ukraine"/>
    <n v="4500235383"/>
    <s v=" Our Reference: PR NO. (4200291004) UA1-2022-3026_IP Engagement, NGO Spilna sprava for CCCM activities, Vinnytsia oblast  Type of contract signed: PIA  PO is for internal use  - financial tracking only (no signature required). Created before service is re"/>
    <s v="Implementing Partners"/>
    <s v="NGO SPILNA SPRAVA"/>
    <s v="Ukraine"/>
    <n v="73440"/>
    <x v="0"/>
    <x v="0"/>
  </r>
  <r>
    <x v="0"/>
    <s v="DP.2452"/>
    <s v="Lifesaving Assistance for Conflict-Affected People in Ukraine and Neighbouring Countries"/>
    <s v="MOVEMENT, EMERGENCY AND POST-CRISIS MIGRATION MANAGEMENT"/>
    <s v="Ukraine"/>
    <n v="4500246484"/>
    <s v=" IP services in Ivano-Frankivsk and Lviv regions_CCCM"/>
    <s v="Implementing Partners"/>
    <s v="IVANO-FRANKIVSKE OO"/>
    <s v="Ukraine"/>
    <n v="5075"/>
    <x v="0"/>
    <x v="0"/>
  </r>
  <r>
    <x v="0"/>
    <s v="DP.2452"/>
    <s v="Lifesaving Assistance for Conflict-Affected People in Ukraine and Neighbouring Countries"/>
    <s v="MOVEMENT, EMERGENCY AND POST-CRISIS MIGRATION MANAGEMENT"/>
    <s v="Ukraine"/>
    <n v="4500251107"/>
    <s v=" Mobile water treatment and distribution in Ukraine"/>
    <s v="Implementing Partners"/>
    <s v="CENPO Water Missions International"/>
    <s v="USA"/>
    <n v="1656854"/>
    <x v="0"/>
    <x v="8"/>
  </r>
  <r>
    <x v="0"/>
    <s v="DP.2452"/>
    <s v="Lifesaving Assistance for Conflict-Affected People in Ukraine and Neighbouring Countries"/>
    <s v="MOVEMENT, EMERGENCY AND POST-CRISIS MIGRATION MANAGEMENT"/>
    <s v="Ukraine"/>
    <n v="4500275116"/>
    <s v=" IP Services for Distribution of Emergency Shelter kits, in multiple oblasts"/>
    <s v="Implementing Partners"/>
    <s v="HO ROTARI KLUB KYIV INTERNESHENAL"/>
    <s v="Ukraine"/>
    <n v="205528"/>
    <x v="0"/>
    <x v="0"/>
  </r>
  <r>
    <x v="0"/>
    <s v="DP.2457"/>
    <s v="2022 Joint Response Plan for the Rohingya Humanitarian Crisis"/>
    <s v="MOVEMENT, EMERGENCY AND POST-CRISIS MIGRATION MANAGEMENT"/>
    <s v="Bangladesh"/>
    <n v="4500211447"/>
    <s v=" Cost of Nowzuwan Contract agreement of Site Development in Camps 20 &lt;(&gt;&amp;&lt;)&gt; 20E PR#4200232073 Program/Unit: Program Support SMSD Requester: Arman Rahim Chy Duration: April to June 2022)"/>
    <s v="Implementing Partners"/>
    <s v="NOWZUWAN"/>
    <s v="Bangladesh"/>
    <n v="159000"/>
    <x v="0"/>
    <x v="0"/>
  </r>
  <r>
    <x v="0"/>
    <s v="DP.2457"/>
    <s v="2022 Joint Response Plan for the Rohingya Humanitarian Crisis"/>
    <s v="MOVEMENT, EMERGENCY AND POST-CRISIS MIGRATION MANAGEMENT"/>
    <s v="Bangladesh"/>
    <n v="4500211568"/>
    <s v=" IP agreement with NGOF at camp 9 PR#4200229417 Program/Unit: Water Sanitation adn Gygiene Duration: Aprail 1-30, 2022"/>
    <s v="Implementing Partners"/>
    <s v="NGO FORUM FOR PUBLIC HEALTH"/>
    <s v="Bangladesh"/>
    <n v="2142"/>
    <x v="0"/>
    <x v="0"/>
  </r>
  <r>
    <x v="0"/>
    <s v="DP.2457"/>
    <s v="2022 Joint Response Plan for the Rohingya Humanitarian Crisis"/>
    <s v="MOVEMENT, EMERGENCY AND POST-CRISIS MIGRATION MANAGEMENT"/>
    <s v="Bangladesh"/>
    <n v="4500211900"/>
    <s v=" Cost of AAB contract agreement of Site Development in Camps 11, 12 &lt;(&gt;&amp;&lt;)&gt; 19 Duration: Two months from April to June 2022 PR#4200233945 Program/Unit: Programme Support SMSD Requester: Arman Rahim Chy"/>
    <s v="Implementing Partners"/>
    <s v="ACTION AID BANGLADESH"/>
    <s v="Bangladesh"/>
    <n v="403000"/>
    <x v="0"/>
    <x v="1"/>
  </r>
  <r>
    <x v="0"/>
    <s v="DP.2457"/>
    <s v="2022 Joint Response Plan for the Rohingya Humanitarian Crisis"/>
    <s v="MOVEMENT, EMERGENCY AND POST-CRISIS MIGRATION MANAGEMENT"/>
    <s v="Bangladesh"/>
    <n v="4500214286"/>
    <s v=" DRC new partnership agreement Duration:Two Months from April to June 2022 PR#4200242883 Program: Protection Requester: Thui Sha Ching"/>
    <s v="Implementing Partners"/>
    <s v="Danish Refugee Council(DRC)"/>
    <s v="Denmark"/>
    <n v="62101"/>
    <x v="0"/>
    <x v="1"/>
  </r>
  <r>
    <x v="0"/>
    <s v="DP.2457"/>
    <s v="2022 Joint Response Plan for the Rohingya Humanitarian Crisis"/>
    <s v="MOVEMENT, EMERGENCY AND POST-CRISIS MIGRATION MANAGEMENT"/>
    <s v="Bangladesh"/>
    <n v="4500214678"/>
    <s v=" Cost of DRC contract agreement of Site Management Support in Camp 8E, 8W, 10,11 &lt;(&gt;&amp;&lt;)&gt; 12 Duration:3 Month from April to June 2022 PR#4200243637 Program: Program Suppor SMSD Requester: Arman Rahim Chy"/>
    <s v="Implementing Partners"/>
    <s v="Danish Refugee Council(DRC)"/>
    <s v="Denmark"/>
    <n v="35417"/>
    <x v="0"/>
    <x v="1"/>
  </r>
  <r>
    <x v="0"/>
    <s v="DP.2457"/>
    <s v="2022 Joint Response Plan for the Rohingya Humanitarian Crisis"/>
    <s v="MOVEMENT, EMERGENCY AND POST-CRISIS MIGRATION MANAGEMENT"/>
    <s v="Bangladesh"/>
    <n v="4500214688"/>
    <s v=" cost of CARE contract agreement of Site Management Support &lt;(&gt;&amp;&lt;)&gt; Site Development During: April to June 2022 PR#4200243717 Program: Program Support SMSD Requester: Arman Rahim Chy"/>
    <s v="Implementing Partners"/>
    <s v="CARE BANGLADESH"/>
    <s v="Bangladesh"/>
    <n v="297697"/>
    <x v="0"/>
    <x v="1"/>
  </r>
  <r>
    <x v="0"/>
    <s v="DP.2457"/>
    <s v="2022 Joint Response Plan for the Rohingya Humanitarian Crisis"/>
    <s v="MOVEMENT, EMERGENCY AND POST-CRISIS MIGRATION MANAGEMENT"/>
    <s v="Bangladesh"/>
    <n v="4500257677"/>
    <s v=" Staff cost"/>
    <s v="Implementing Partners"/>
    <s v="NOWZUWAN"/>
    <s v="Bangladesh"/>
    <n v="67557"/>
    <x v="0"/>
    <x v="0"/>
  </r>
  <r>
    <x v="0"/>
    <s v="DP.2457"/>
    <s v="2022 Joint Response Plan for the Rohingya Humanitarian Crisis"/>
    <s v="MOVEMENT, EMERGENCY AND POST-CRISIS MIGRATION MANAGEMENT"/>
    <s v="Bangladesh"/>
    <n v="4500260047"/>
    <s v=" Staff cost"/>
    <s v="Implementing Partners"/>
    <s v="Danish Refugee Council(DRC)"/>
    <s v="Denmark"/>
    <n v="322900"/>
    <x v="0"/>
    <x v="1"/>
  </r>
  <r>
    <x v="0"/>
    <s v="DP.2457"/>
    <s v="2022 Joint Response Plan for the Rohingya Humanitarian Crisis"/>
    <s v="MOVEMENT, EMERGENCY AND POST-CRISIS MIGRATION MANAGEMENT"/>
    <s v="Bangladesh"/>
    <n v="4500260054"/>
    <s v=" PR-4200345775 Unit-SMSD Requester-Arman Rahim Chy"/>
    <s v="Implementing Partners"/>
    <s v="SHUSHILAN"/>
    <s v="Bangladesh"/>
    <n v="148011"/>
    <x v="0"/>
    <x v="0"/>
  </r>
  <r>
    <x v="0"/>
    <s v="DP.2457"/>
    <s v="2022 Joint Response Plan for the Rohingya Humanitarian Crisis"/>
    <s v="MOVEMENT, EMERGENCY AND POST-CRISIS MIGRATION MANAGEMENT"/>
    <s v="Bangladesh"/>
    <n v="4500262585"/>
    <s v=" PR - 4200345750 Unit- SMSD Requestor-Arman Rahim Chy"/>
    <s v="Implementing Partners"/>
    <s v="CARE BANGLADESH"/>
    <s v="Bangladesh"/>
    <n v="100000"/>
    <x v="0"/>
    <x v="1"/>
  </r>
  <r>
    <x v="0"/>
    <s v="DP.2458"/>
    <s v="2022 Regional Refugee and Migrant Response Plan (RMRP) for the Venezuela Situation"/>
    <s v="MOVEMENT, EMERGENCY AND POST-CRISIS MIGRATION MANAGEMENT"/>
    <s v="Argentina"/>
    <n v="4500207525"/>
    <s v=" PROYECTO PRM 2022  Acuerdo de Implementación de Proyecto. Periodo de implementacion Abril 22 a julio 2022.  En el marco del Plan de Respuesta a Migrantes y Refugiados de Venezuela (RMRP) desarrollado, con el fin de contribuir y complementar el trabajo de"/>
    <s v="Implementing Partners"/>
    <s v="CRUZ ROJA ARGENTINA"/>
    <s v="Argentina"/>
    <n v="73622"/>
    <x v="0"/>
    <x v="4"/>
  </r>
  <r>
    <x v="0"/>
    <s v="DP.2458"/>
    <s v="2022 Regional Refugee and Migrant Response Plan (RMRP) for the Venezuela Situation"/>
    <s v="MOVEMENT, EMERGENCY AND POST-CRISIS MIGRATION MANAGEMENT"/>
    <s v="Argentina"/>
    <n v="4500207530"/>
    <s v=" PROYECTO PRM 2022  Acuerdo de Implementación.  La Fundación Loyola (Servicio Jesuita a Migrantes) brinda asistencia a la población migrantes en extrema vulnerabilidad que se acerca a la iglesia atendiendo necesidades habitacionales a través de un program"/>
    <s v="Implementing Partners"/>
    <s v="FUNDACION LOYOLA (SERVICIO JESUITA)"/>
    <s v="Argentina"/>
    <n v="33075"/>
    <x v="0"/>
    <x v="0"/>
  </r>
  <r>
    <x v="0"/>
    <s v="DP.2458"/>
    <s v="2022 Regional Refugee and Migrant Response Plan (RMRP) for the Venezuela Situation"/>
    <s v="MOVEMENT, EMERGENCY AND POST-CRISIS MIGRATION MANAGEMENT"/>
    <s v="Argentina"/>
    <n v="4500212018"/>
    <s v=" PROYECTO PRM 2022  FCCAM- Acuerdo de implementación de Proyecto.  El objetivo de la presente solicitud de acuerdo es brindar atención integral y asistencia económica a personas migrantes y refugiadas en situación de vulnerabilidad que consituyen casos de"/>
    <s v="Implementing Partners"/>
    <s v="FUNDACION COMISION CATOLICA ARG"/>
    <s v="Argentina"/>
    <n v="26960"/>
    <x v="0"/>
    <x v="0"/>
  </r>
  <r>
    <x v="0"/>
    <s v="DP.2458"/>
    <s v="2022 Regional Refugee and Migrant Response Plan (RMRP) for the Venezuela Situation"/>
    <s v="MOVEMENT, EMERGENCY AND POST-CRISIS MIGRATION MANAGEMENT"/>
    <s v="Argentina"/>
    <n v="4500213627"/>
    <s v=" AMIA Acuerdo de implementación de actividades. Abril-julio 2022  La presente solicitud tiene como objetivo fortalecer las capacidades de las personas migrantes y refugiadas, con énfasis en población venezolana, a través de cursos de formación a distancia"/>
    <s v="Implementing Partners"/>
    <s v="ASOCIACION MUTUAL ISRAELITA ARGENTI"/>
    <s v="Argentina"/>
    <n v="13979"/>
    <x v="0"/>
    <x v="0"/>
  </r>
  <r>
    <x v="0"/>
    <s v="DP.2458"/>
    <s v="2022 Regional Refugee and Migrant Response Plan (RMRP) for the Venezuela Situation"/>
    <s v="MOVEMENT, EMERGENCY AND POST-CRISIS MIGRATION MANAGEMENT"/>
    <s v="Argentina"/>
    <n v="4500214019"/>
    <s v=" PROYECTO PRM 2022  Nobleza Obliga - Acuerdo de Implementación. Abril - Julio 2022.  Las personas migrantes que residen en Argentina se enfrentan a diferentes desafíos en el proceso de integración sociolaboral. La falta de acceso al trabajo y más aún en c"/>
    <s v="Implementing Partners"/>
    <s v="FUNDACION NOBLEZA OBLIGA PARA EL"/>
    <s v="Argentina"/>
    <n v="27958"/>
    <x v="0"/>
    <x v="0"/>
  </r>
  <r>
    <x v="0"/>
    <s v="DP.2458"/>
    <s v="2022 Regional Refugee and Migrant Response Plan (RMRP) for the Venezuela Situation"/>
    <s v="MOVEMENT, EMERGENCY AND POST-CRISIS MIGRATION MANAGEMENT"/>
    <s v="Argentina"/>
    <n v="4500215665"/>
    <s v="  APdeba. Acuerdo de Implementación de Proyecto. Periodo Abril 2022 a julio 2022.  El objetivo del presente convenio consiste en brindar atención en salud mental y apoyo psicosocial a personas migrantes que se encuentran en Argentina y ofrecer instancias"/>
    <s v="Implementing Partners"/>
    <s v="ASOCIACION PSICOANALITICA DE BUENOS"/>
    <s v="Argentina"/>
    <n v="9985"/>
    <x v="0"/>
    <x v="0"/>
  </r>
  <r>
    <x v="0"/>
    <s v="DP.2458"/>
    <s v="2022 Regional Refugee and Migrant Response Plan (RMRP) for the Venezuela Situation"/>
    <s v="MOVEMENT, EMERGENCY AND POST-CRISIS MIGRATION MANAGEMENT"/>
    <s v="Argentina"/>
    <n v="4500216076"/>
    <s v=" PROYECTO PRM 2022  Alianza por Venezuela. Acuerdo de implementación. Abril-julio 2022.  Dada la necesidad de apoyar y contener a las personas migrantes durante el proceso migratorio, la necesidad de promover una mejor adaptación a la sociedad de acogida"/>
    <s v="Implementing Partners"/>
    <s v="ASOCIACION CIVIL ALIANZA POR VENEZU"/>
    <s v="Argentina"/>
    <n v="22966"/>
    <x v="0"/>
    <x v="0"/>
  </r>
  <r>
    <x v="0"/>
    <s v="DP.2458"/>
    <s v="2022 Regional Refugee and Migrant Response Plan (RMRP) for the Venezuela Situation"/>
    <s v="MOVEMENT, EMERGENCY AND POST-CRISIS MIGRATION MANAGEMENT"/>
    <s v="Argentina"/>
    <n v="4500235878"/>
    <s v=" PROYECTO PRM 2022  ACUERDO DE IMPLEMENTACION JUN AGOSTO 2022"/>
    <s v="Implementing Partners"/>
    <s v="FUNDACION CIPPEC"/>
    <s v="Argentina"/>
    <n v="8771"/>
    <x v="0"/>
    <x v="0"/>
  </r>
  <r>
    <x v="0"/>
    <s v="DP.2458"/>
    <s v="2022 Regional Refugee and Migrant Response Plan (RMRP) for the Venezuela Situation"/>
    <s v="MOVEMENT, EMERGENCY AND POST-CRISIS MIGRATION MANAGEMENT"/>
    <s v="Argentina"/>
    <n v="4500241693"/>
    <s v=" PROYECTO PRM 2022  ACUERDO DE IMPLEMENTACION DE AGOS A DIC 2022"/>
    <s v="Implementing Partners"/>
    <s v="ASOCIACION PSICOANALITICA DE BUENOS"/>
    <s v="Argentina"/>
    <n v="23983"/>
    <x v="0"/>
    <x v="0"/>
  </r>
  <r>
    <x v="0"/>
    <s v="DP.2458"/>
    <s v="2022 Regional Refugee and Migrant Response Plan (RMRP) for the Venezuela Situation"/>
    <s v="MOVEMENT, EMERGENCY AND POST-CRISIS MIGRATION MANAGEMENT"/>
    <s v="Argentina"/>
    <n v="4500242843"/>
    <s v=" PROYECTO PRM 2022  ACUERDO DE IMPLEMENTACION  PERIODO  1 DE AGOSTO A 15 DE DICIEMBRE 2022"/>
    <s v="Implementing Partners"/>
    <s v="FUNDACION COMISION CATOLICA ARG"/>
    <s v="Argentina"/>
    <n v="41378"/>
    <x v="0"/>
    <x v="0"/>
  </r>
  <r>
    <x v="0"/>
    <s v="DP.2458"/>
    <s v="2022 Regional Refugee and Migrant Response Plan (RMRP) for the Venezuela Situation"/>
    <s v="MOVEMENT, EMERGENCY AND POST-CRISIS MIGRATION MANAGEMENT"/>
    <s v="Argentina"/>
    <n v="4500247371"/>
    <s v=" PROYECTO PRM 2022  ACUERDO DE IMPLEMENTACION  DURACION AGO A DIC 2022"/>
    <s v="Implementing Partners"/>
    <s v="FUNDACION LOYOLA (SERVICIO JESUITA)"/>
    <s v="Argentina"/>
    <n v="65895"/>
    <x v="0"/>
    <x v="0"/>
  </r>
  <r>
    <x v="0"/>
    <s v="DP.2458"/>
    <s v="2022 Regional Refugee and Migrant Response Plan (RMRP) for the Venezuela Situation"/>
    <s v="MOVEMENT, EMERGENCY AND POST-CRISIS MIGRATION MANAGEMENT"/>
    <s v="Argentina"/>
    <n v="4500247376"/>
    <s v=" PROYECTO PRM 2022  ACUERDO DE IMPLEMENTACION   DURACION AGOSTO A DICIEMBRE DE 2022"/>
    <s v="Implementing Partners"/>
    <s v="CRUZ ROJA ARGENTINA"/>
    <s v="Argentina"/>
    <n v="92962"/>
    <x v="0"/>
    <x v="4"/>
  </r>
  <r>
    <x v="0"/>
    <s v="DP.2458"/>
    <s v="2022 Regional Refugee and Migrant Response Plan (RMRP) for the Venezuela Situation"/>
    <s v="MOVEMENT, EMERGENCY AND POST-CRISIS MIGRATION MANAGEMENT"/>
    <s v="Argentina"/>
    <n v="4500252771"/>
    <s v=" PROYECTO PRM 2022  AxV - Acuerdo de implementación RMRP 2022.  Período de implementación: Agosto - noviembre 2022. ENMIENDA 1 AL 31.12"/>
    <s v="Implementing Partners"/>
    <s v="ASOCIACION CIVIL ALIANZA POR VENEZU"/>
    <s v="Argentina"/>
    <n v="25643"/>
    <x v="0"/>
    <x v="0"/>
  </r>
  <r>
    <x v="0"/>
    <s v="DP.2458"/>
    <s v="2022 Regional Refugee and Migrant Response Plan (RMRP) for the Venezuela Situation"/>
    <s v="MOVEMENT, EMERGENCY AND POST-CRISIS MIGRATION MANAGEMENT"/>
    <s v="Argentina"/>
    <n v="4500257445"/>
    <s v=" AMIA - Acuerdo de implementación RMRP2022 Período de implementación: 01 de agosto de 2022 al 15 de diciembre de 2022."/>
    <s v="Implementing Partners"/>
    <s v="ASOCIACION MUTUAL ISRAELITA ARGENTI"/>
    <s v="Argentina"/>
    <n v="21566"/>
    <x v="0"/>
    <x v="0"/>
  </r>
  <r>
    <x v="0"/>
    <s v="DP.2458"/>
    <s v="2022 Regional Refugee and Migrant Response Plan (RMRP) for the Venezuela Situation"/>
    <s v="MOVEMENT, EMERGENCY AND POST-CRISIS MIGRATION MANAGEMENT"/>
    <s v="Argentina"/>
    <n v="4500257447"/>
    <s v="000000000500000124-IP transfers – National CSOs"/>
    <s v="Implementing Partners"/>
    <s v="FUNDACION NOBLEZA OBLIGA PARA EL"/>
    <s v="Argentina"/>
    <n v="17324"/>
    <x v="0"/>
    <x v="0"/>
  </r>
  <r>
    <x v="0"/>
    <s v="DP.2458"/>
    <s v="2022 Regional Refugee and Migrant Response Plan (RMRP) for the Venezuela Situation"/>
    <s v="MOVEMENT, EMERGENCY AND POST-CRISIS MIGRATION MANAGEMENT"/>
    <s v="Bolivia (PS)"/>
    <n v="4500230695"/>
    <s v=" Contratación de socio implementador en la ciudad de La Paz para brindar asistencia a migrantes venezolanos con regularización migratoria y apoyo con capital semilla a emprendimientos económicos."/>
    <s v="Implementing Partners"/>
    <s v="Fundacion Scalabrini Bolivia"/>
    <s v="Bolivia"/>
    <n v="33765"/>
    <x v="0"/>
    <x v="0"/>
  </r>
  <r>
    <x v="0"/>
    <s v="DP.2458"/>
    <s v="2022 Regional Refugee and Migrant Response Plan (RMRP) for the Venezuela Situation"/>
    <s v="MOVEMENT, EMERGENCY AND POST-CRISIS MIGRATION MANAGEMENT"/>
    <s v="Bolivia (PS)"/>
    <n v="4500230703"/>
    <s v=" Contratación de socio implementador en la ciudad de Cochabamba para brindar asistencia a migrantes venezolanos con regularización mi gratoria."/>
    <s v="Implementing Partners"/>
    <s v="PASTORAL SOCIAL CARITAS COCHABAMBA"/>
    <s v="Bolivia"/>
    <n v="12260"/>
    <x v="0"/>
    <x v="6"/>
  </r>
  <r>
    <x v="0"/>
    <s v="DP.2458"/>
    <s v="2022 Regional Refugee and Migrant Response Plan (RMRP) for the Venezuela Situation"/>
    <s v="MOVEMENT, EMERGENCY AND POST-CRISIS MIGRATION MANAGEMENT"/>
    <s v="Bolivia (PS)"/>
    <n v="4500231051"/>
    <s v=" Contratación de socio implementador en la ciudad de Santa Cruz para brindar asistencia a migrantes venezolanos con regularización migratoria y apoyo con capital semilla a emprendimientos económicos"/>
    <s v="Implementing Partners"/>
    <s v="FUNDACION MUNASIM KULLAKITA"/>
    <s v="Bolivia"/>
    <n v="21013"/>
    <x v="0"/>
    <x v="0"/>
  </r>
  <r>
    <x v="0"/>
    <s v="DP.2458"/>
    <s v="2022 Regional Refugee and Migrant Response Plan (RMRP) for the Venezuela Situation"/>
    <s v="MOVEMENT, EMERGENCY AND POST-CRISIS MIGRATION MANAGEMENT"/>
    <s v="Bolivia (PS)"/>
    <n v="4500250650"/>
    <s v="000000000500000124-IP transfers – National CSOs"/>
    <s v="Implementing Partners"/>
    <s v="Fundacion Scalabrini Bolivia"/>
    <s v="Bolivia"/>
    <n v="9317"/>
    <x v="0"/>
    <x v="0"/>
  </r>
  <r>
    <x v="0"/>
    <s v="DP.2458"/>
    <s v="2022 Regional Refugee and Migrant Response Plan (RMRP) for the Venezuela Situation"/>
    <s v="MOVEMENT, EMERGENCY AND POST-CRISIS MIGRATION MANAGEMENT"/>
    <s v="Brazil"/>
    <n v="4500202186"/>
    <s v=" Final instalment of PIA signed with SPM-SC (2022-4500202186 PIA - SPM SC)"/>
    <s v="Implementing Partners"/>
    <s v="ASSOCIAÇÃO SCALABRINI"/>
    <s v="Brazil"/>
    <n v="5824"/>
    <x v="0"/>
    <x v="3"/>
  </r>
  <r>
    <x v="0"/>
    <s v="DP.2458"/>
    <s v="2022 Regional Refugee and Migrant Response Plan (RMRP) for the Venezuela Situation"/>
    <s v="MOVEMENT, EMERGENCY AND POST-CRISIS MIGRATION MANAGEMENT"/>
    <s v="Brazil"/>
    <n v="4500230621"/>
    <s v=" 1st instalment - Project Implementation Agreement for Interiorization shelter in Paraiba"/>
    <s v="Implementing Partners"/>
    <s v="SERVIÇO PASTORAL DOS MIGRANTES DO"/>
    <s v="Brazil"/>
    <n v="35120"/>
    <x v="0"/>
    <x v="0"/>
  </r>
  <r>
    <x v="0"/>
    <s v="DP.2458"/>
    <s v="2022 Regional Refugee and Migrant Response Plan (RMRP) for the Venezuela Situation"/>
    <s v="MOVEMENT, EMERGENCY AND POST-CRISIS MIGRATION MANAGEMENT"/>
    <s v="Chile"/>
    <n v="4500255898"/>
    <s v=" ACUERDO DE IMPLEMENTACIÓN DE PROYECTO  &quot;APOYO PSICOEMOCIONAL EN LA MIGRACIÓN Y TALLERES DE PREPARACIÓN EUNACOM”"/>
    <s v="Implementing Partners"/>
    <s v="ASOCIACION INMIGRANTE FELIZ"/>
    <s v="Chile"/>
    <n v="24870"/>
    <x v="0"/>
    <x v="0"/>
  </r>
  <r>
    <x v="0"/>
    <s v="DP.2458"/>
    <s v="2022 Regional Refugee and Migrant Response Plan (RMRP) for the Venezuela Situation"/>
    <s v="MOVEMENT, EMERGENCY AND POST-CRISIS MIGRATION MANAGEMENT"/>
    <s v="Chile"/>
    <n v="4500256287"/>
    <s v=" ACUERDO DE IMPLEMENTACIÓN DE PROYECTO  Proyecto de apoyo al emprendimiento dirigido a personas migrantes/refugiadas de la Región del Biobío"/>
    <s v="Implementing Partners"/>
    <s v="Fundacion Infocap Jovenes"/>
    <s v="Chile"/>
    <n v="9119"/>
    <x v="0"/>
    <x v="0"/>
  </r>
  <r>
    <x v="0"/>
    <s v="DP.2458"/>
    <s v="2022 Regional Refugee and Migrant Response Plan (RMRP) for the Venezuela Situation"/>
    <s v="MOVEMENT, EMERGENCY AND POST-CRISIS MIGRATION MANAGEMENT"/>
    <s v="Chile"/>
    <n v="4500257441"/>
    <s v=" ACUERDO DE IMPLEMENTACIÓN DE PROYECTO  Sensibilización, capacitación y empoderamiento sobre derechos LGBTIQA+ para la población migrante en Chile"/>
    <s v="Implementing Partners"/>
    <s v="MOVILH"/>
    <s v="Chile"/>
    <n v="6489"/>
    <x v="0"/>
    <x v="0"/>
  </r>
  <r>
    <x v="0"/>
    <s v="DP.2458"/>
    <s v="2022 Regional Refugee and Migrant Response Plan (RMRP) for the Venezuela Situation"/>
    <s v="MOVEMENT, EMERGENCY AND POST-CRISIS MIGRATION MANAGEMENT"/>
    <s v="Costa Rica"/>
    <n v="4500242477"/>
    <s v=" Purchase Order for ASOCIACIÓN ALIANZA VENCR Contract 01/08/2022-31/12/2022 Implementing partner of activities of 1) emergency temporary accommodation to assist migrants and refugees from Venezuela in Costa R ica (Program 800-Venezuela)"/>
    <s v="Implementing Partners"/>
    <s v="ASOCIACION ALIANZA VEN CR"/>
    <s v="Costa Rica"/>
    <n v="12320"/>
    <x v="0"/>
    <x v="0"/>
  </r>
  <r>
    <x v="0"/>
    <s v="DP.2458"/>
    <s v="2022 Regional Refugee and Migrant Response Plan (RMRP) for the Venezuela Situation"/>
    <s v="MOVEMENT, EMERGENCY AND POST-CRISIS MIGRATION MANAGEMENT"/>
    <s v="Costa Rica"/>
    <n v="4500258718"/>
    <s v=" Purchase Order for ASOCIACIÓN ALIANZA VEN CR Implementing partner of activities to support Venezuelan enterprises or civil society/host community for food assistance to Venezuelan migrants and refugees in Costa Rica (800-Venezuela Program)."/>
    <s v="Implementing Partners"/>
    <s v="ASOCIACION ALIANZA VEN CR"/>
    <s v="Costa Rica"/>
    <n v="857"/>
    <x v="0"/>
    <x v="0"/>
  </r>
  <r>
    <x v="0"/>
    <s v="DP.2458"/>
    <s v="2022 Regional Refugee and Migrant Response Plan (RMRP) for the Venezuela Situation"/>
    <s v="MOVEMENT, EMERGENCY AND POST-CRISIS MIGRATION MANAGEMENT"/>
    <s v="Dominican Rep."/>
    <n v="4500256295"/>
    <s v=" Implementation agreement regarding the project to respond to the Venezuelan population.  Modified according to the first amendment Reference number DO10/I1217/2022"/>
    <s v="Implementing Partners"/>
    <s v="Asociacion de Venezolanos Santiago"/>
    <s v="Dominican Republic"/>
    <n v="6939"/>
    <x v="0"/>
    <x v="0"/>
  </r>
  <r>
    <x v="0"/>
    <s v="DP.2458"/>
    <s v="2022 Regional Refugee and Migrant Response Plan (RMRP) for the Venezuela Situation"/>
    <s v="MOVEMENT, EMERGENCY AND POST-CRISIS MIGRATION MANAGEMENT"/>
    <s v="Dominican Rep."/>
    <n v="4500259344"/>
    <s v=" Service for:  Implementing partner for the Venezuelan Population Response project for Venezuelan Migrants from the North, East, South and Santo Domingo Regions. Venezuelan migrant individuals and families who meet the vulnerability criteria established i"/>
    <s v="Implementing Partners"/>
    <s v="Fundacion de Emigrantes y Refugiado"/>
    <s v="Dominican Republic"/>
    <n v="2288"/>
    <x v="0"/>
    <x v="0"/>
  </r>
  <r>
    <x v="0"/>
    <s v="DP.2458"/>
    <s v="2022 Regional Refugee and Migrant Response Plan (RMRP) for the Venezuela Situation"/>
    <s v="MOVEMENT, EMERGENCY AND POST-CRISIS MIGRATION MANAGEMENT"/>
    <s v="Dominican Rep."/>
    <n v="4500260430"/>
    <s v=" Service for:  Project to provide legal advice and economic support to Venezuelan migrants in the Dominican Republic to benefit from the Venezuelan Normalization Plan   Modified according to the reference number of the first modification DO10/I1216/2022"/>
    <s v="Implementing Partners"/>
    <s v="Heartland Alliance International"/>
    <s v="Dominican Republic"/>
    <n v="45853"/>
    <x v="0"/>
    <x v="1"/>
  </r>
  <r>
    <x v="0"/>
    <s v="DP.2458"/>
    <s v="2022 Regional Refugee and Migrant Response Plan (RMRP) for the Venezuela Situation"/>
    <s v="MOVEMENT, EMERGENCY AND POST-CRISIS MIGRATION MANAGEMENT"/>
    <s v="Ecuador"/>
    <n v="4500211666"/>
    <s v=" IP Extensión del convenio de gestión de albergues"/>
    <s v="Implementing Partners"/>
    <s v="ADRA"/>
    <s v="Ecuador"/>
    <n v="253615"/>
    <x v="0"/>
    <x v="1"/>
  </r>
  <r>
    <x v="0"/>
    <s v="DP.2458"/>
    <s v="2022 Regional Refugee and Migrant Response Plan (RMRP) for the Venezuela Situation"/>
    <s v="MOVEMENT, EMERGENCY AND POST-CRISIS MIGRATION MANAGEMENT"/>
    <s v="Ecuador"/>
    <n v="4500222831"/>
    <s v=" ACUERDO DE IMPLEMENTACION DE PROYECTO entre la OIM y Asociación Fe y Alegría Ecuador relativo a Proceso de integración educativa para NNA en situación de movilidad y comunidad de acogida  IP-2022-06"/>
    <s v="Implementing Partners"/>
    <s v="ASOCIACION FE Y ALEGRIA ECUADOR"/>
    <s v="Ecuador"/>
    <n v="52720"/>
    <x v="0"/>
    <x v="1"/>
  </r>
  <r>
    <x v="0"/>
    <s v="DP.2458"/>
    <s v="2022 Regional Refugee and Migrant Response Plan (RMRP) for the Venezuela Situation"/>
    <s v="MOVEMENT, EMERGENCY AND POST-CRISIS MIGRATION MANAGEMENT"/>
    <s v="Ecuador"/>
    <n v="4500222874"/>
    <s v=" ACUERDO DE IMPLEMENTACIÓN DE PROYECTO entre la Organización Internacional para las Migraciones (OIM) Y la Fundación Haciendo Panas  Núm. Ref. de la Oficina de la OIM: IP-2022-07 Código de Proyecto OIM: DP.2458"/>
    <s v="Implementing Partners"/>
    <s v="FUNDACIÓN HACIENDO PANAS"/>
    <s v="Ecuador"/>
    <n v="10000"/>
    <x v="0"/>
    <x v="0"/>
  </r>
  <r>
    <x v="0"/>
    <s v="DP.2458"/>
    <s v="2022 Regional Refugee and Migrant Response Plan (RMRP) for the Venezuela Situation"/>
    <s v="MOVEMENT, EMERGENCY AND POST-CRISIS MIGRATION MANAGEMENT"/>
    <s v="Ecuador"/>
    <n v="4500223317"/>
    <s v=" Tercera Enmienda al Acuerdo de Implementación de Proyecto entre la Organización Internacional para las Migraciones (OIM) y HIAS (Hebrew Immigrant Aid Society)  Relativo a:  Creación y Fortalecimiento de Espacios Amigables y Seguros para NNA en Albergues"/>
    <s v="Implementing Partners"/>
    <s v="HIAS"/>
    <s v="Ecuador"/>
    <n v="175000"/>
    <x v="0"/>
    <x v="1"/>
  </r>
  <r>
    <x v="0"/>
    <s v="DP.2458"/>
    <s v="2022 Regional Refugee and Migrant Response Plan (RMRP) for the Venezuela Situation"/>
    <s v="MOVEMENT, EMERGENCY AND POST-CRISIS MIGRATION MANAGEMENT"/>
    <s v="Ecuador"/>
    <n v="4500224054"/>
    <s v=" PR 4200254022  ACUERDO DE IMPLEMENTACIÓN DE PROYECTO entre la Organización Internacional para las Migraciones (OIM) y Aldeas Infantiles SOS Ecuador relativo a Diseñar y desarrollar un proyecto de inclusión educativa desde ámbitos no formales, que permita"/>
    <s v="Implementing Partners"/>
    <s v="ALDEAS INFANTILES SOS ECUADOR"/>
    <s v="Ecuador"/>
    <n v="40000"/>
    <x v="0"/>
    <x v="0"/>
  </r>
  <r>
    <x v="0"/>
    <s v="DP.2458"/>
    <s v="2022 Regional Refugee and Migrant Response Plan (RMRP) for the Venezuela Situation"/>
    <s v="MOVEMENT, EMERGENCY AND POST-CRISIS MIGRATION MANAGEMENT"/>
    <s v="Ecuador"/>
    <n v="4500226503"/>
    <s v=" ACUERDO DE IMPLEMENTACIÓN DE PROYECTO entre la Organización Internacional para las Migraciones (OIM) y la Fundación de Ayuda Integral Tierra para Todos  Núm. Ref. de la Oficina de la OIM: IP-2022-09 Código de proyecto OIM: DP. 2458"/>
    <s v="Implementing Partners"/>
    <s v="FUNDACION DE AYUDA INTEGRAL TIERRA"/>
    <s v="Ecuador"/>
    <n v="25000"/>
    <x v="0"/>
    <x v="0"/>
  </r>
  <r>
    <x v="0"/>
    <s v="DP.2458"/>
    <s v="2022 Regional Refugee and Migrant Response Plan (RMRP) for the Venezuela Situation"/>
    <s v="MOVEMENT, EMERGENCY AND POST-CRISIS MIGRATION MANAGEMENT"/>
    <s v="Ecuador"/>
    <n v="4500226788"/>
    <s v=" PR 4200256825  ACUERDO DE IMPLEMENTACIÓN DE PROYECTO entre la Organización Internacional para las Migraciones (OIM) y Asociación Mujer &lt;(&gt;&amp;&lt;)&gt; Mujer - Colectivo LGBTI relativo a Proyecto Dignidad  IP-2022-08 DP.2458"/>
    <s v="Implementing Partners"/>
    <s v="ASOCIACION MUJER Y MUJER COLECTIVO"/>
    <s v="Ecuador"/>
    <n v="25000"/>
    <x v="0"/>
    <x v="0"/>
  </r>
  <r>
    <x v="0"/>
    <s v="DP.2458"/>
    <s v="2022 Regional Refugee and Migrant Response Plan (RMRP) for the Venezuela Situation"/>
    <s v="MOVEMENT, EMERGENCY AND POST-CRISIS MIGRATION MANAGEMENT"/>
    <s v="Ecuador"/>
    <n v="4500228402"/>
    <s v=" ACUERDO DE IMPLEMENTACIÓN DE PROYECTO entre la Organización Internacional para las Migraciones(OIM) y la Fundación de las Américas para el Desarrollo (FUDELA)  Núm. Ref. de la Oficina de la OIM: IP-2022-10 Código de proyecto OIM: DP.2458"/>
    <s v="Implementing Partners"/>
    <s v="FUDELA - FUNDACION DE LAS AMERICAS"/>
    <s v="Ecuador"/>
    <n v="150000"/>
    <x v="0"/>
    <x v="0"/>
  </r>
  <r>
    <x v="0"/>
    <s v="DP.2458"/>
    <s v="2022 Regional Refugee and Migrant Response Plan (RMRP) for the Venezuela Situation"/>
    <s v="MOVEMENT, EMERGENCY AND POST-CRISIS MIGRATION MANAGEMENT"/>
    <s v="Ecuador"/>
    <n v="4500230994"/>
    <s v=" PR 4200259101  ACUERDO DE IMPLEMENTACIÓN DE PROYECTO entre la Organización Internacional para las Migraciones (OIM) y RET INTERNATIONAL relativo al Proceso de integración educativa para niños, niñas y adolescentes en situación de movilidad y comunidad de"/>
    <s v="Implementing Partners"/>
    <s v="RET INTERNATIONAL"/>
    <s v="Ecuador"/>
    <n v="199700"/>
    <x v="0"/>
    <x v="1"/>
  </r>
  <r>
    <x v="0"/>
    <s v="DP.2458"/>
    <s v="2022 Regional Refugee and Migrant Response Plan (RMRP) for the Venezuela Situation"/>
    <s v="MOVEMENT, EMERGENCY AND POST-CRISIS MIGRATION MANAGEMENT"/>
    <s v="Ecuador"/>
    <n v="4500234850"/>
    <s v=" ACUERDO DE IMPLEMENTACIÓN DE PROYECTO entre la Organización Internacional para las Migraciones (OIM) y la Fundación Ecuatoriana Equidad  Núm. Ref. de la Oficina de la OIM: IP.2022.14. Código de proyecto OIM: DP.2458."/>
    <s v="Implementing Partners"/>
    <s v="FUNDACION ECUATORIANA EQUIDAD"/>
    <s v="Ecuador"/>
    <n v="25000"/>
    <x v="0"/>
    <x v="0"/>
  </r>
  <r>
    <x v="0"/>
    <s v="DP.2458"/>
    <s v="2022 Regional Refugee and Migrant Response Plan (RMRP) for the Venezuela Situation"/>
    <s v="MOVEMENT, EMERGENCY AND POST-CRISIS MIGRATION MANAGEMENT"/>
    <s v="Ecuador"/>
    <n v="4500236409"/>
    <s v=" PR 4200275372  IP CAMOR - Emprendimientos y habilidades técnicas en la Provincia de Tungurahua  ACUERDO DE IMPLEMENTACIÓN DE PROYECTO entre la Organización Internacional para las Migraciones (OIM) y la Fundación Visión Mundial Ecuador relativo a la Imple"/>
    <s v="Implementing Partners"/>
    <s v="Fundacion Vision Mundial Ecuador"/>
    <s v="Ecuador"/>
    <n v="60000"/>
    <x v="0"/>
    <x v="0"/>
  </r>
  <r>
    <x v="0"/>
    <s v="DP.2458"/>
    <s v="2022 Regional Refugee and Migrant Response Plan (RMRP) for the Venezuela Situation"/>
    <s v="MOVEMENT, EMERGENCY AND POST-CRISIS MIGRATION MANAGEMENT"/>
    <s v="Ecuador"/>
    <n v="4500237601"/>
    <s v=" ACUERDO DE IMPLEMENTACIÓN DE PROYECTO entre la Organización Internacional para las Migraciones (OIM) y Asociación Mujer &lt;(&gt;&amp;&lt;)&gt; Mujer - Colectivo LGBTI  Núm. Ref. de la Oficina de la OIM: IP-2022-16. Código de Proyecto OIM: DP.2458"/>
    <s v="Implementing Partners"/>
    <s v="ASOCIACION MUJER Y MUJER COLECTIVO"/>
    <s v="Ecuador"/>
    <n v="125000"/>
    <x v="0"/>
    <x v="0"/>
  </r>
  <r>
    <x v="0"/>
    <s v="DP.2458"/>
    <s v="2022 Regional Refugee and Migrant Response Plan (RMRP) for the Venezuela Situation"/>
    <s v="MOVEMENT, EMERGENCY AND POST-CRISIS MIGRATION MANAGEMENT"/>
    <s v="Ecuador"/>
    <n v="4500237705"/>
    <s v=" PR 4200287175  ACUERDO DE IMPLEMENTACIÓN DE PROYECTO entre la Organización Internacional para las Migraciones (OIM) y Fundación Diálogo Diverso relativo a la Implementación de modalidad de atención integral para población LGBTIQ+ en situación de movilida"/>
    <s v="Implementing Partners"/>
    <s v="FUNDACION DIALOGO DIVERSO"/>
    <s v="Ecuador"/>
    <n v="247000"/>
    <x v="0"/>
    <x v="0"/>
  </r>
  <r>
    <x v="0"/>
    <s v="DP.2458"/>
    <s v="2022 Regional Refugee and Migrant Response Plan (RMRP) for the Venezuela Situation"/>
    <s v="MOVEMENT, EMERGENCY AND POST-CRISIS MIGRATION MANAGEMENT"/>
    <s v="Ecuador"/>
    <n v="4500238520"/>
    <s v=" PR 4200298934 ACUERDO DE IMPLEMENTACIÓN DE PROYECTO entre la Organización Internacional para las Migraciones (OIM) y Pastoral Social Cáritas Ecuador (PSCE)  IP-2022-18"/>
    <s v="Implementing Partners"/>
    <s v="Pastoral Social Caritas Ecuador"/>
    <s v="Ecuador"/>
    <n v="56488"/>
    <x v="0"/>
    <x v="6"/>
  </r>
  <r>
    <x v="0"/>
    <s v="DP.2458"/>
    <s v="2022 Regional Refugee and Migrant Response Plan (RMRP) for the Venezuela Situation"/>
    <s v="MOVEMENT, EMERGENCY AND POST-CRISIS MIGRATION MANAGEMENT"/>
    <s v="Ecuador"/>
    <n v="4500240465"/>
    <s v=" PR 4200294150 y 4200361024 (ADENDA 1).  CAMOR Emprendimientos para cuidadores/as de NNA con discapacidad y/o neurodiversidad entre la Organización Internacional para las Migraciones (OIM) y Corporación Agencia Adventista de Desarrollo y Recursos Asistenc"/>
    <s v="Implementing Partners"/>
    <s v="ADRA"/>
    <s v="Ecuador"/>
    <n v="25000"/>
    <x v="0"/>
    <x v="1"/>
  </r>
  <r>
    <x v="0"/>
    <s v="DP.2458"/>
    <s v="2022 Regional Refugee and Migrant Response Plan (RMRP) for the Venezuela Situation"/>
    <s v="MOVEMENT, EMERGENCY AND POST-CRISIS MIGRATION MANAGEMENT"/>
    <s v="Ecuador"/>
    <n v="4500240777"/>
    <s v=" PR 4200311284 REEMPLAZA A 4200291316  ACUERDO DE IMPLEMENTACIÓN DE PROYECTO entre la Organización Internacional para las Migraciones (OIM) y Fundación Benéfica Acción Solidaria (FAS) relativo a Proyecto Generar y fortalecer capacidades para la integració"/>
    <s v="Implementing Partners"/>
    <s v="FUNDACIÓN BENÉFICA ACCIÓN SOLIDARIA"/>
    <s v="Ecuador"/>
    <n v="237000"/>
    <x v="0"/>
    <x v="0"/>
  </r>
  <r>
    <x v="0"/>
    <s v="DP.2458"/>
    <s v="2022 Regional Refugee and Migrant Response Plan (RMRP) for the Venezuela Situation"/>
    <s v="MOVEMENT, EMERGENCY AND POST-CRISIS MIGRATION MANAGEMENT"/>
    <s v="Ecuador"/>
    <n v="4500240817"/>
    <s v=" Acuerdo de Implementación de Poyecto entre la Organización Internacional para las Migraciones (OIM) y Fundación AVSI  Num. Ref. de la Oficina de la OIM: IP-2022-13 Código de proyecto OIM: DP.2458"/>
    <s v="Implementing Partners"/>
    <s v="Fundación AVSI"/>
    <s v="Ecuador"/>
    <n v="323822"/>
    <x v="0"/>
    <x v="1"/>
  </r>
  <r>
    <x v="0"/>
    <s v="DP.2458"/>
    <s v="2022 Regional Refugee and Migrant Response Plan (RMRP) for the Venezuela Situation"/>
    <s v="MOVEMENT, EMERGENCY AND POST-CRISIS MIGRATION MANAGEMENT"/>
    <s v="Ecuador"/>
    <n v="4500240844"/>
    <s v=" ACUERDO DE IMPLEMENTACIÓN DE PROYECTO entre la Organización Internacional para las Migraciones (OIM) y Organización No Gubernamental Internacional HIAS  Núm. Ref. de la Oficina de la OIM: IP-2022-20 Código de proyecto OIM: DP.2458"/>
    <s v="Implementing Partners"/>
    <s v="HIAS"/>
    <s v="Ecuador"/>
    <n v="20000"/>
    <x v="0"/>
    <x v="1"/>
  </r>
  <r>
    <x v="0"/>
    <s v="DP.2458"/>
    <s v="2022 Regional Refugee and Migrant Response Plan (RMRP) for the Venezuela Situation"/>
    <s v="MOVEMENT, EMERGENCY AND POST-CRISIS MIGRATION MANAGEMENT"/>
    <s v="Ecuador"/>
    <n v="4500241709"/>
    <s v=" PR 4200287177  ACUERDO DE IMPLEMENTACIÓN DE PROYECTO entre la Organización Internacional para las Migraciones (OIM) y la Fundación Quimera relativo a la Asistencia y Protección a Personas en Riesgo, Víctimas y/o Sobrevivientes de VBG y Fortalecimiento de"/>
    <s v="Implementing Partners"/>
    <s v="FUNDACION QUIMERA"/>
    <s v="Ecuador"/>
    <n v="40000"/>
    <x v="0"/>
    <x v="0"/>
  </r>
  <r>
    <x v="0"/>
    <s v="DP.2458"/>
    <s v="2022 Regional Refugee and Migrant Response Plan (RMRP) for the Venezuela Situation"/>
    <s v="MOVEMENT, EMERGENCY AND POST-CRISIS MIGRATION MANAGEMENT"/>
    <s v="Ecuador"/>
    <n v="4500244693"/>
    <s v=" PR 4200304067  Cuarta Enmienda al Acuerdo de implementación de Proyecto entre Organización Internacional para las Migraciones (OIM) y La Fundación Alas de Colibrí relativo a Asistencia y Protección a Víctimas y/o Sobrevivientes de la TDP y VBG y Fortalec"/>
    <s v="Implementing Partners"/>
    <s v="Fundacion Alas de Colibrí"/>
    <s v="Ecuador"/>
    <n v="230390"/>
    <x v="0"/>
    <x v="0"/>
  </r>
  <r>
    <x v="0"/>
    <s v="DP.2458"/>
    <s v="2022 Regional Refugee and Migrant Response Plan (RMRP) for the Venezuela Situation"/>
    <s v="MOVEMENT, EMERGENCY AND POST-CRISIS MIGRATION MANAGEMENT"/>
    <s v="Ecuador"/>
    <n v="4500247703"/>
    <s v=" ACUERDO DE IMPLEMENTACIÓN DE PROYECTO entre la Organización Internacional para las Migraciones(OIM) y PlanInternationalInc. relativo a: Generación de Comunidades Protectoras con un Enfoque Particular en Personas en Situación de Movilidad Humana.  Núm. Re"/>
    <s v="Implementing Partners"/>
    <s v="PLAN INTERNATIONAL INC."/>
    <s v="Ecuador"/>
    <n v="190983"/>
    <x v="0"/>
    <x v="1"/>
  </r>
  <r>
    <x v="0"/>
    <s v="DP.2458"/>
    <s v="2022 Regional Refugee and Migrant Response Plan (RMRP) for the Venezuela Situation"/>
    <s v="MOVEMENT, EMERGENCY AND POST-CRISIS MIGRATION MANAGEMENT"/>
    <s v="Ecuador"/>
    <n v="4500248346"/>
    <s v=" PR 4200313308  ACUERDO DE IMPLEMENTACIÓN DE PROYECTO entre la Organización Internacional para las Migraciones (OIM) y CONVENIO BASICO DE FUNCIONAMIENTO ENTRE EL GOBIERNO DE LA REPUBLICA DEL ECUADOR Y LA ORGANIZACION NO GUBERNAMENTAL EXTRANJERA NORWEGIAN"/>
    <s v="Implementing Partners"/>
    <s v="Consejo Noruego para los Refugiados"/>
    <s v="Ecuador"/>
    <n v="30000"/>
    <x v="0"/>
    <x v="1"/>
  </r>
  <r>
    <x v="0"/>
    <s v="DP.2458"/>
    <s v="2022 Regional Refugee and Migrant Response Plan (RMRP) for the Venezuela Situation"/>
    <s v="MOVEMENT, EMERGENCY AND POST-CRISIS MIGRATION MANAGEMENT"/>
    <s v="Ecuador"/>
    <n v="4500248353"/>
    <s v=" Producto 1. Plan de trabajo y metodología de implementación del programa  1.1 Descripción metodológica de formación en los siguientes cursos: Cada documento de descripción metodológica deberá llevar:  # Datos generales del curso. # Duración y horario. # I"/>
    <s v="Implementing Partners"/>
    <s v="Coorp Viviendas del Hogar de Cristo"/>
    <s v="Ecuador"/>
    <n v="60000"/>
    <x v="0"/>
    <x v="0"/>
  </r>
  <r>
    <x v="0"/>
    <s v="DP.2458"/>
    <s v="2022 Regional Refugee and Migrant Response Plan (RMRP) for the Venezuela Situation"/>
    <s v="MOVEMENT, EMERGENCY AND POST-CRISIS MIGRATION MANAGEMENT"/>
    <s v="Ecuador"/>
    <n v="4500248630"/>
    <s v=" PR 4200306558  ACUERDO DE IMPLEMENTACIÓN DE PROYECTO entre la Organización Internacional para las Migraciones (OIM) y Corporación Kimirina relativo a Implementación de un Modelo Comunitario para la Prevención de VIH en Población en Situación de Movilidad"/>
    <s v="Implementing Partners"/>
    <s v="CORPORACION KIMIRINA"/>
    <s v="Ecuador"/>
    <n v="150000"/>
    <x v="0"/>
    <x v="0"/>
  </r>
  <r>
    <x v="0"/>
    <s v="DP.2458"/>
    <s v="2022 Regional Refugee and Migrant Response Plan (RMRP) for the Venezuela Situation"/>
    <s v="MOVEMENT, EMERGENCY AND POST-CRISIS MIGRATION MANAGEMENT"/>
    <s v="Ecuador"/>
    <n v="4500248684"/>
    <s v=" PR 4200290209  ACUERDO DE IMPLEMENTACIÓN DE PROYECTO entre la Organización Internacional para las Migraciones (OIM) y Corporación Agencia Adventista de Desarrollo y Recursos Asistenciales del Ecuador (ADRA Ecuador) relativo a Fortalecimiento de Capacidad"/>
    <s v="Implementing Partners"/>
    <s v="ADRA- CORPORACION AGENCIA"/>
    <s v="Ecuador"/>
    <n v="450000"/>
    <x v="0"/>
    <x v="1"/>
  </r>
  <r>
    <x v="0"/>
    <s v="DP.2458"/>
    <s v="2022 Regional Refugee and Migrant Response Plan (RMRP) for the Venezuela Situation"/>
    <s v="MOVEMENT, EMERGENCY AND POST-CRISIS MIGRATION MANAGEMENT"/>
    <s v="Ecuador"/>
    <n v="4500250908"/>
    <s v=" PR 4200313388  Socio implementador para el proyecto de seguridad alimentaria, salud y nutrición.  ACUERDO DE IMPLEMENTACIÓN DE PROYECTO entre la Organización Internacional para las Migraciones (OIM) Y la Corporación Agencia Adventista de Desarrollo y Rec"/>
    <s v="Implementing Partners"/>
    <s v="ADRA"/>
    <s v="Ecuador"/>
    <n v="20000"/>
    <x v="0"/>
    <x v="1"/>
  </r>
  <r>
    <x v="0"/>
    <s v="DP.2458"/>
    <s v="2022 Regional Refugee and Migrant Response Plan (RMRP) for the Venezuela Situation"/>
    <s v="MOVEMENT, EMERGENCY AND POST-CRISIS MIGRATION MANAGEMENT"/>
    <s v="Ecuador"/>
    <n v="4500252137"/>
    <s v=" ACUERDO DE IMPLEMENTACIÓN DE PROYECTO entre la Organización Internacional para las Migraciones (OIM) y el CENTRO DE DESARROLLO Y AUT OGESTION, relativo al PROCESO DE FORTALECIMIENTO EN TEMAS DE EDUCACIÓN FORMAL O NO FORMAL PARA NNA Y JÓVENES EN SITUACIÓN"/>
    <s v="Implementing Partners"/>
    <s v="CENTRO DE DESARROLLO Y AUTOGESTION"/>
    <s v="Ecuador"/>
    <n v="40000"/>
    <x v="0"/>
    <x v="0"/>
  </r>
  <r>
    <x v="0"/>
    <s v="DP.2458"/>
    <s v="2022 Regional Refugee and Migrant Response Plan (RMRP) for the Venezuela Situation"/>
    <s v="MOVEMENT, EMERGENCY AND POST-CRISIS MIGRATION MANAGEMENT"/>
    <s v="Ecuador"/>
    <n v="4500255133"/>
    <s v=" ACUERDO DE IMPLEMENTACIÓN DE PROYECTO entre la Organización Internacional para las Migraciones (OIM) y la Fundación AKUANUNA  Núm. Ref. de la Oficina de la OIM: IP-2022-31 Código de proyecto OIM:  DP.2458"/>
    <s v="Implementing Partners"/>
    <s v="Fundacion Akuanuna"/>
    <s v="Ecuador"/>
    <n v="25000"/>
    <x v="0"/>
    <x v="0"/>
  </r>
  <r>
    <x v="0"/>
    <s v="DP.2458"/>
    <s v="2022 Regional Refugee and Migrant Response Plan (RMRP) for the Venezuela Situation"/>
    <s v="MOVEMENT, EMERGENCY AND POST-CRISIS MIGRATION MANAGEMENT"/>
    <s v="Ecuador"/>
    <n v="4500258664"/>
    <s v=" ACUERDO DE IMPLEMENTACIÓN DE PROYECTO entre la Organización Internacional para las Migraciones (OIM) y la Cruz Roja Ecuatoriana Junta Provincial de Pichincha relativo a Atención en Salud Integral para Personas en Situación de Movilidad Humana. Proyecto &quot;"/>
    <s v="Implementing Partners"/>
    <s v="Cruz Roja Ecuatoriana Pichincha"/>
    <s v="Ecuador"/>
    <n v="30000"/>
    <x v="0"/>
    <x v="4"/>
  </r>
  <r>
    <x v="0"/>
    <s v="DP.2458"/>
    <s v="2022 Regional Refugee and Migrant Response Plan (RMRP) for the Venezuela Situation"/>
    <s v="MOVEMENT, EMERGENCY AND POST-CRISIS MIGRATION MANAGEMENT"/>
    <s v="Ecuador"/>
    <n v="4500258683"/>
    <s v=" ACUERDO DE IMPLEMENTACIÓN DE PROYECTO entre la Organización Internacional para las Migraciones (OIM) y el Instituto Superior Tecnológico Crecermas relativo a la Implementación del Proyecto de Fortalecimiento de Espacios y Capacidades  para la Inclusión E"/>
    <s v="Implementing Partners"/>
    <s v="ISTEC"/>
    <s v="Ecuador"/>
    <n v="25533"/>
    <x v="0"/>
    <x v="2"/>
  </r>
  <r>
    <x v="0"/>
    <s v="DP.2458"/>
    <s v="2022 Regional Refugee and Migrant Response Plan (RMRP) for the Venezuela Situation"/>
    <s v="MOVEMENT, EMERGENCY AND POST-CRISIS MIGRATION MANAGEMENT"/>
    <s v="Ecuador"/>
    <n v="4500261136"/>
    <s v=" PR 4200326264  ACUERDO DE IMPLEMENTACIÓN DE PROYECTO entre la Organización Internacional para las Migraciones (OIM) y Fundación de las Américas par a el Desarrollo (FUDELA) – Partners of the Americas relativo al Proyecto de Fortalecimiento y Crecimiento"/>
    <s v="Implementing Partners"/>
    <s v="FUDELA - FUNDACION DE LAS AMERICAS"/>
    <s v="Ecuador"/>
    <n v="111923"/>
    <x v="0"/>
    <x v="0"/>
  </r>
  <r>
    <x v="0"/>
    <s v="DP.2458"/>
    <s v="2022 Regional Refugee and Migrant Response Plan (RMRP) for the Venezuela Situation"/>
    <s v="MOVEMENT, EMERGENCY AND POST-CRISIS MIGRATION MANAGEMENT"/>
    <s v="Ecuador"/>
    <n v="4500262207"/>
    <s v=" ACUERDO DE IMPLEMENTACIÓN DE PROYECTO entre la Organización Internacional para las Migraciones (OIM) y Fundación de las Américas para el Desarrollo (FUDELA)  Núm. Ref. de la Oficina de la OIM: IP-2022-35 Código de proyecto OIM: DP.2458"/>
    <s v="Implementing Partners"/>
    <s v="FUDELA - FUNDACION DE LAS AMERICAS"/>
    <s v="Ecuador"/>
    <n v="39000"/>
    <x v="0"/>
    <x v="0"/>
  </r>
  <r>
    <x v="0"/>
    <s v="DP.2458"/>
    <s v="2022 Regional Refugee and Migrant Response Plan (RMRP) for the Venezuela Situation"/>
    <s v="MOVEMENT, EMERGENCY AND POST-CRISIS MIGRATION MANAGEMENT"/>
    <s v="Ecuador"/>
    <n v="4500268457"/>
    <s v=" PR 4200350080  ACUERDO DE IMPLEMENTACIÓN DE PROYECTO entre la Organización Internacional para las Migraciones (OIM) y Fundación Museos de la Ciudad relativo a Proyecto &quot;Vamos a hacer la Tierra&quot; como parte del Proyecto de Fortalecimiento de la Primera Eta"/>
    <s v="Implementing Partners"/>
    <s v="Fundación Museos de la Ciudad"/>
    <s v="Ecuador"/>
    <n v="25263"/>
    <x v="0"/>
    <x v="9"/>
  </r>
  <r>
    <x v="0"/>
    <s v="DP.2458"/>
    <s v="2022 Regional Refugee and Migrant Response Plan (RMRP) for the Venezuela Situation"/>
    <s v="MOVEMENT, EMERGENCY AND POST-CRISIS MIGRATION MANAGEMENT"/>
    <s v="Guyana"/>
    <n v="4500236405"/>
    <s v=" Emergency Shelter and Accommodation for beneficiaries in Regions 1, 2 and 7. (1st instalment)"/>
    <s v="Implementing Partners"/>
    <s v="Blossom Inc"/>
    <s v="Guyana"/>
    <n v="7996"/>
    <x v="0"/>
    <x v="0"/>
  </r>
  <r>
    <x v="0"/>
    <s v="DP.2458"/>
    <s v="2022 Regional Refugee and Migrant Response Plan (RMRP) for the Venezuela Situation"/>
    <s v="MOVEMENT, EMERGENCY AND POST-CRISIS MIGRATION MANAGEMENT"/>
    <s v="Mexico"/>
    <n v="4500238076"/>
    <s v=" Implementing partner in the field of medical assistance and workshops for the regularization of migratory status for the population"/>
    <s v="Implementing Partners"/>
    <s v="ASOCIACION DE VENEZOLANOS EN MEXICO"/>
    <s v="Mexico"/>
    <n v="23368"/>
    <x v="0"/>
    <x v="0"/>
  </r>
  <r>
    <x v="0"/>
    <s v="DP.2458"/>
    <s v="2022 Regional Refugee and Migrant Response Plan (RMRP) for the Venezuela Situation"/>
    <s v="MOVEMENT, EMERGENCY AND POST-CRISIS MIGRATION MANAGEMENT"/>
    <s v="Mexico"/>
    <n v="4500251029"/>
    <s v=" Implementing partner in terms of integration, migrant entrepreneurship workshops and revalidation of professional studies"/>
    <s v="Implementing Partners"/>
    <s v="ASISTENCIA Y ORIENTACION PARA LA MO"/>
    <s v="Mexico"/>
    <n v="11161"/>
    <x v="0"/>
    <x v="0"/>
  </r>
  <r>
    <x v="0"/>
    <s v="DP.2458"/>
    <s v="2022 Regional Refugee and Migrant Response Plan (RMRP) for the Venezuela Situation"/>
    <s v="MOVEMENT, EMERGENCY AND POST-CRISIS MIGRATION MANAGEMENT"/>
    <s v="Panama"/>
    <n v="4500220872"/>
    <s v=" SOCIO IMPLEMENTADOR PARA INTEGRACIÓN ECONÓMICA, ACELERACIÓN DE NEGOCIOS. PR 4200217949 ADENDA PR 4200217949 SOCIO IMPLEMENTADOR PARA INTEGRACIÓN ECONÓMICA, ACELERACIÓN DE NEGOCIOS PR 4200329784 alcance"/>
    <s v="Implementing Partners"/>
    <s v="ACTIVADOS PANAMA"/>
    <s v="Panama"/>
    <n v="34710"/>
    <x v="0"/>
    <x v="0"/>
  </r>
  <r>
    <x v="0"/>
    <s v="DP.2458"/>
    <s v="2022 Regional Refugee and Migrant Response Plan (RMRP) for the Venezuela Situation"/>
    <s v="MOVEMENT, EMERGENCY AND POST-CRISIS MIGRATION MANAGEMENT"/>
    <s v="Peru"/>
    <n v="4500204932"/>
    <s v=" IP UNIÓN VENEZOLANA: SERVICIO DE ATENCIÓN PSICOSOCIAL Y REGULARIZACIÓN MIGRATORIA"/>
    <s v="Implementing Partners"/>
    <s v="Union Venezolana en Perú"/>
    <s v="Peru"/>
    <n v="150000"/>
    <x v="0"/>
    <x v="0"/>
  </r>
  <r>
    <x v="0"/>
    <s v="DP.2458"/>
    <s v="2022 Regional Refugee and Migrant Response Plan (RMRP) for the Venezuela Situation"/>
    <s v="MOVEMENT, EMERGENCY AND POST-CRISIS MIGRATION MANAGEMENT"/>
    <s v="Peru"/>
    <n v="4500212017"/>
    <s v=" Socio Implementador para actividades de asistencia alimentaria en Piura y Tumbes"/>
    <s v="Implementing Partners"/>
    <s v="Agencia Adventista para el Desarrol"/>
    <s v="Peru"/>
    <n v="703375"/>
    <x v="0"/>
    <x v="1"/>
  </r>
  <r>
    <x v="0"/>
    <s v="DP.2458"/>
    <s v="2022 Regional Refugee and Migrant Response Plan (RMRP) for the Venezuela Situation"/>
    <s v="MOVEMENT, EMERGENCY AND POST-CRISIS MIGRATION MANAGEMENT"/>
    <s v="Peru"/>
    <n v="4500214035"/>
    <s v=" Distribución de kits alimentarios y entrenamiento en alimentación saludable."/>
    <s v="Implementing Partners"/>
    <s v="CESAL"/>
    <s v="Peru"/>
    <n v="216500"/>
    <x v="0"/>
    <x v="1"/>
  </r>
  <r>
    <x v="0"/>
    <s v="DP.2458"/>
    <s v="2022 Regional Refugee and Migrant Response Plan (RMRP) for the Venezuela Situation"/>
    <s v="MOVEMENT, EMERGENCY AND POST-CRISIS MIGRATION MANAGEMENT"/>
    <s v="Peru"/>
    <n v="4500218584"/>
    <s v=" Contratación de un IP para distribución de Kits de primera necesidad en la región Puno"/>
    <s v="Implementing Partners"/>
    <s v="CENTRO DE DESARROLLO HUMANO"/>
    <s v="Peru"/>
    <n v="20241"/>
    <x v="0"/>
    <x v="0"/>
  </r>
  <r>
    <x v="0"/>
    <s v="DP.2458"/>
    <s v="2022 Regional Refugee and Migrant Response Plan (RMRP) for the Venezuela Situation"/>
    <s v="MOVEMENT, EMERGENCY AND POST-CRISIS MIGRATION MANAGEMENT"/>
    <s v="Peru"/>
    <n v="4500219341"/>
    <s v=" SOCIO IMPLEMENTADOR DEL PROYECTO:&quot;INSTALACIÓN DE SERVICIO HIGIENICOS PARA POBLACIÓN MIGRANTE Y REFUGIADA EN TRANSITO EN LA CIUDAD DE MÁNCORA, PIURA.”"/>
    <s v="Implementing Partners"/>
    <s v="ONG COOPERAZIONE INTERNAZIONALE"/>
    <s v="Peru"/>
    <n v="87500"/>
    <x v="0"/>
    <x v="1"/>
  </r>
  <r>
    <x v="0"/>
    <s v="DP.2458"/>
    <s v="2022 Regional Refugee and Migrant Response Plan (RMRP) for the Venezuela Situation"/>
    <s v="MOVEMENT, EMERGENCY AND POST-CRISIS MIGRATION MANAGEMENT"/>
    <s v="Peru"/>
    <n v="4500230673"/>
    <s v=" ACUERDO DE IMPLEMENTACIÓN SUPERINTENDENCIA NACIONAL DE MIGRACIONES ENTREGAR DE C.E. (TRANSFERENCIA)"/>
    <s v="Implementing Partners"/>
    <s v="Superintendencia Nac. de Migracione"/>
    <s v="Peru"/>
    <n v="631986"/>
    <x v="0"/>
    <x v="9"/>
  </r>
  <r>
    <x v="0"/>
    <s v="DP.2458"/>
    <s v="2022 Regional Refugee and Migrant Response Plan (RMRP) for the Venezuela Situation"/>
    <s v="MOVEMENT, EMERGENCY AND POST-CRISIS MIGRATION MANAGEMENT"/>
    <s v="Peru"/>
    <n v="4500233442"/>
    <s v=" ACUERDO IP UNIÓN VENEZOLANA: SERVICIO DE ATENCIÓN PSICOSOCIAL Y REGULARIZACIÓN MIGRATORIA"/>
    <s v="Implementing Partners"/>
    <s v="Union Venezolana en Perú"/>
    <s v="Peru"/>
    <n v="444000"/>
    <x v="0"/>
    <x v="0"/>
  </r>
  <r>
    <x v="0"/>
    <s v="DP.2458"/>
    <s v="2022 Regional Refugee and Migrant Response Plan (RMRP) for the Venezuela Situation"/>
    <s v="MOVEMENT, EMERGENCY AND POST-CRISIS MIGRATION MANAGEMENT"/>
    <s v="Peru"/>
    <n v="4500238091"/>
    <s v=" Contratación de un IP para Implementación para PAO y Distribución de Kits de primera necesidad en Puno + ADENDA"/>
    <s v="Implementing Partners"/>
    <s v="ASOCIACION BENEFICA PRISMA"/>
    <s v="Peru"/>
    <n v="708129"/>
    <x v="0"/>
    <x v="0"/>
  </r>
  <r>
    <x v="0"/>
    <s v="DP.2458"/>
    <s v="2022 Regional Refugee and Migrant Response Plan (RMRP) for the Venezuela Situation"/>
    <s v="MOVEMENT, EMERGENCY AND POST-CRISIS MIGRATION MANAGEMENT"/>
    <s v="Peru"/>
    <n v="4500239682"/>
    <s v=" Contratación de un IP para la Distribución de Kits de primera necesidad y otras asistencias"/>
    <s v="Implementing Partners"/>
    <s v="CENTRO DE DESARROLLO HUMANO"/>
    <s v="Peru"/>
    <n v="78890"/>
    <x v="0"/>
    <x v="0"/>
  </r>
  <r>
    <x v="0"/>
    <s v="DP.2458"/>
    <s v="2022 Regional Refugee and Migrant Response Plan (RMRP) for the Venezuela Situation"/>
    <s v="MOVEMENT, EMERGENCY AND POST-CRISIS MIGRATION MANAGEMENT"/>
    <s v="Peru"/>
    <n v="4500242504"/>
    <s v=" Socio Implementador para actividades de WASH (mejora de infraestructura) en Tumbes"/>
    <s v="Implementing Partners"/>
    <s v="ONG COOPERAZIONE INTERNAZIONALE"/>
    <s v="Peru"/>
    <n v="110886"/>
    <x v="0"/>
    <x v="1"/>
  </r>
  <r>
    <x v="0"/>
    <s v="DP.2458"/>
    <s v="2022 Regional Refugee and Migrant Response Plan (RMRP) for the Venezuela Situation"/>
    <s v="MOVEMENT, EMERGENCY AND POST-CRISIS MIGRATION MANAGEMENT"/>
    <s v="Peru"/>
    <n v="4500243602"/>
    <s v=" Contratación de socio implementador para la Provisión de insumos para la preparación de alimentos y entrenamiento para la gestión y sostenibilidad frente a emergencias de comedores comunitarios y ollas comunes que atienden a población migrante refugiada"/>
    <s v="Implementing Partners"/>
    <s v="FUNDACION ACCION CONTRA EL HAMBRE"/>
    <s v="Peru"/>
    <n v="303750"/>
    <x v="0"/>
    <x v="1"/>
  </r>
  <r>
    <x v="0"/>
    <s v="DP.2458"/>
    <s v="2022 Regional Refugee and Migrant Response Plan (RMRP) for the Venezuela Situation"/>
    <s v="MOVEMENT, EMERGENCY AND POST-CRISIS MIGRATION MANAGEMENT"/>
    <s v="Peru"/>
    <n v="4500243620"/>
    <s v=" Contratación de socio para implementación de proyecto de alojamiento seguro para MyR en Lima."/>
    <s v="Implementing Partners"/>
    <s v="CARITAS DEL PERU"/>
    <s v="Peru"/>
    <n v="90000"/>
    <x v="0"/>
    <x v="6"/>
  </r>
  <r>
    <x v="0"/>
    <s v="DP.2458"/>
    <s v="2022 Regional Refugee and Migrant Response Plan (RMRP) for the Venezuela Situation"/>
    <s v="MOVEMENT, EMERGENCY AND POST-CRISIS MIGRATION MANAGEMENT"/>
    <s v="Peru"/>
    <n v="4500243926"/>
    <s v=" Servicio IP Scalabrini Implementación proy. mejora condiciones alojamiento fam migrantes refug Lima"/>
    <s v="Implementing Partners"/>
    <s v="Asociación Misioneros de San Carlos"/>
    <s v="Peru"/>
    <n v="100320"/>
    <x v="0"/>
    <x v="0"/>
  </r>
  <r>
    <x v="0"/>
    <s v="DP.2458"/>
    <s v="2022 Regional Refugee and Migrant Response Plan (RMRP) for the Venezuela Situation"/>
    <s v="MOVEMENT, EMERGENCY AND POST-CRISIS MIGRATION MANAGEMENT"/>
    <s v="Peru"/>
    <n v="4500244699"/>
    <s v=" IP - Implementador proyecto alojamiento seguro para poblacion migrante - HIAS"/>
    <s v="Implementing Partners"/>
    <s v="HIAS PERU"/>
    <s v="Peru"/>
    <n v="61496"/>
    <x v="0"/>
    <x v="1"/>
  </r>
  <r>
    <x v="0"/>
    <s v="DP.2458"/>
    <s v="2022 Regional Refugee and Migrant Response Plan (RMRP) for the Venezuela Situation"/>
    <s v="MOVEMENT, EMERGENCY AND POST-CRISIS MIGRATION MANAGEMENT"/>
    <s v="Peru"/>
    <n v="4500244746"/>
    <s v=" IP - Contratación de socio implementador para dotación de kits de muebles y enseres básicos para el hogar - CESAL"/>
    <s v="Implementing Partners"/>
    <s v="CESAL"/>
    <s v="Peru"/>
    <n v="13800"/>
    <x v="0"/>
    <x v="1"/>
  </r>
  <r>
    <x v="0"/>
    <s v="DP.2458"/>
    <s v="2022 Regional Refugee and Migrant Response Plan (RMRP) for the Venezuela Situation"/>
    <s v="MOVEMENT, EMERGENCY AND POST-CRISIS MIGRATION MANAGEMENT"/>
    <s v="Peru"/>
    <n v="4500244748"/>
    <s v=" IP - Implementación: Fortalecimiento de capacidades en preparación y respuesta ante emergencias."/>
    <s v="Implementing Partners"/>
    <s v="Union Venezolana en Perú"/>
    <s v="Peru"/>
    <n v="50901"/>
    <x v="0"/>
    <x v="0"/>
  </r>
  <r>
    <x v="0"/>
    <s v="DP.2458"/>
    <s v="2022 Regional Refugee and Migrant Response Plan (RMRP) for the Venezuela Situation"/>
    <s v="MOVEMENT, EMERGENCY AND POST-CRISIS MIGRATION MANAGEMENT"/>
    <s v="Peru"/>
    <n v="4500245590"/>
    <s v=" IP Nuevo - Proyecto de alojamiento seguro para población migrante y refugiada Madre de Dios"/>
    <s v="Implementing Partners"/>
    <s v="Asociacion Caritas Madre de Dios"/>
    <s v="Peru"/>
    <n v="10180"/>
    <x v="0"/>
    <x v="6"/>
  </r>
  <r>
    <x v="0"/>
    <s v="DP.2458"/>
    <s v="2022 Regional Refugee and Migrant Response Plan (RMRP) for the Venezuela Situation"/>
    <s v="MOVEMENT, EMERGENCY AND POST-CRISIS MIGRATION MANAGEMENT"/>
    <s v="Peru"/>
    <n v="4500249076"/>
    <s v=" Servicio de implementación de Puntos de Asistencia Orientación (PAO) y ferias de salud en la Región Lima, en el marco del proyecto PRM 5"/>
    <s v="Implementing Partners"/>
    <s v="CESAL"/>
    <s v="Peru"/>
    <n v="90009"/>
    <x v="0"/>
    <x v="1"/>
  </r>
  <r>
    <x v="0"/>
    <s v="DP.2458"/>
    <s v="2022 Regional Refugee and Migrant Response Plan (RMRP) for the Venezuela Situation"/>
    <s v="MOVEMENT, EMERGENCY AND POST-CRISIS MIGRATION MANAGEMENT"/>
    <s v="Peru"/>
    <n v="4500249795"/>
    <s v=" Servicio de implementación de Puntos de Asistencia Orientación (PAO) y ferias de salud en Callao y La Libertad, en el marco del PRM5"/>
    <s v="Implementing Partners"/>
    <s v="HIAS PERU"/>
    <s v="Peru"/>
    <n v="180344"/>
    <x v="0"/>
    <x v="1"/>
  </r>
  <r>
    <x v="0"/>
    <s v="DP.2458"/>
    <s v="2022 Regional Refugee and Migrant Response Plan (RMRP) for the Venezuela Situation"/>
    <s v="MOVEMENT, EMERGENCY AND POST-CRISIS MIGRATION MANAGEMENT"/>
    <s v="Peru"/>
    <n v="4500249796"/>
    <s v=" Servicio de implementación de Puntos de Asistencia Orientación (PAO) y capacitaciones a personal de salud en Lima, en el marco del Proyecto PRM5"/>
    <s v="Implementing Partners"/>
    <s v="ONG COOPERAZIONE INTERNAZIONALE"/>
    <s v="Peru"/>
    <n v="88610"/>
    <x v="0"/>
    <x v="1"/>
  </r>
  <r>
    <x v="0"/>
    <s v="DP.2458"/>
    <s v="2022 Regional Refugee and Migrant Response Plan (RMRP) for the Venezuela Situation"/>
    <s v="MOVEMENT, EMERGENCY AND POST-CRISIS MIGRATION MANAGEMENT"/>
    <s v="Peru"/>
    <n v="4500249797"/>
    <s v=" Servicio de implementación de Puntos de Asistencia Orientación (PAO) en la Región Arequipa, en el marco del PRM5"/>
    <s v="Implementing Partners"/>
    <s v="ASOCIACION BENEFICA PRISMA"/>
    <s v="Peru"/>
    <n v="66833"/>
    <x v="0"/>
    <x v="0"/>
  </r>
  <r>
    <x v="0"/>
    <s v="DP.2458"/>
    <s v="2022 Regional Refugee and Migrant Response Plan (RMRP) for the Venezuela Situation"/>
    <s v="MOVEMENT, EMERGENCY AND POST-CRISIS MIGRATION MANAGEMENT"/>
    <s v="Peru"/>
    <n v="4500274295"/>
    <s v=" IP CARITAS PERU implementación de proyecto de alojamiento seguro para MyR en Lima"/>
    <s v="Implementing Partners"/>
    <s v="CARITAS DEL PERU"/>
    <s v="Peru"/>
    <n v="53843"/>
    <x v="0"/>
    <x v="6"/>
  </r>
  <r>
    <x v="0"/>
    <s v="DP.2458"/>
    <s v="2022 Regional Refugee and Migrant Response Plan (RMRP) for the Venezuela Situation"/>
    <s v="MOVEMENT, EMERGENCY AND POST-CRISIS MIGRATION MANAGEMENT"/>
    <s v="Peru"/>
    <n v="4500276583"/>
    <s v=" Distribución de kits alimentarios y entrenamiento en alimentación saludable."/>
    <s v="Implementing Partners"/>
    <s v="CESAL"/>
    <s v="Peru"/>
    <n v="154318"/>
    <x v="0"/>
    <x v="1"/>
  </r>
  <r>
    <x v="0"/>
    <s v="DP.2458"/>
    <s v="2022 Regional Refugee and Migrant Response Plan (RMRP) for the Venezuela Situation"/>
    <s v="MOVEMENT, EMERGENCY AND POST-CRISIS MIGRATION MANAGEMENT"/>
    <s v="Trinidad,Tobago"/>
    <n v="4500247410"/>
    <s v=" Final installment"/>
    <s v="Implementing Partners"/>
    <s v="TTV Solidarity Network"/>
    <s v="Trinidad &amp; Tobago"/>
    <n v="5225"/>
    <x v="0"/>
    <x v="0"/>
  </r>
  <r>
    <x v="0"/>
    <s v="DP.2458"/>
    <s v="2022 Regional Refugee and Migrant Response Plan (RMRP) for the Venezuela Situation"/>
    <s v="MOVEMENT, EMERGENCY AND POST-CRISIS MIGRATION MANAGEMENT"/>
    <s v="Trinidad,Tobago"/>
    <n v="4500263056"/>
    <s v=" Second installment"/>
    <s v="Implementing Partners"/>
    <s v="St Clair Police Youth Club"/>
    <s v="Trinidad &amp; Tobago"/>
    <n v="28067"/>
    <x v="0"/>
    <x v="0"/>
  </r>
  <r>
    <x v="0"/>
    <s v="DP.2458"/>
    <s v="2022 Regional Refugee and Migrant Response Plan (RMRP) for the Venezuela Situation"/>
    <s v="MOVEMENT, EMERGENCY AND POST-CRISIS MIGRATION MANAGEMENT"/>
    <s v="Trinidad,Tobago"/>
    <n v="4500263057"/>
    <s v=" Second installment"/>
    <s v="Implementing Partners"/>
    <s v="Catholic Commission for Social"/>
    <s v="Trinidad &amp; Tobago"/>
    <n v="20000"/>
    <x v="0"/>
    <x v="0"/>
  </r>
  <r>
    <x v="0"/>
    <s v="DP.2458"/>
    <s v="2022 Regional Refugee and Migrant Response Plan (RMRP) for the Venezuela Situation"/>
    <s v="MOVEMENT, EMERGENCY AND POST-CRISIS MIGRATION MANAGEMENT"/>
    <s v="Trinidad,Tobago"/>
    <n v="4500269125"/>
    <s v=" formerly IP transfers - UN agencies $1,500USD * $6.728 2nd Installment"/>
    <s v="Implementing Partners"/>
    <s v="Families In Action"/>
    <s v="Trinidad &amp; Tobago"/>
    <n v="9750"/>
    <x v="0"/>
    <x v="0"/>
  </r>
  <r>
    <x v="0"/>
    <s v="DP.2458"/>
    <s v="2022 Regional Refugee and Migrant Response Plan (RMRP) for the Venezuela Situation"/>
    <s v="MOVEMENT, EMERGENCY AND POST-CRISIS MIGRATION MANAGEMENT"/>
    <s v="Uruguay"/>
    <n v="4500241949"/>
    <s v=" Implementing Partner - Housing; food; hygiene; labor insertion services and respective reports under DP.2458"/>
    <s v="Implementing Partners"/>
    <s v="AGENCIA ADVENTISTA DE DESARROLLO Y"/>
    <s v="Uruguay"/>
    <n v="180189"/>
    <x v="0"/>
    <x v="1"/>
  </r>
  <r>
    <x v="0"/>
    <s v="DP.2461"/>
    <s v="Emergency Grant Aid for Humanitarian Assistance in Ukraine and Neighboring Countries"/>
    <s v="MOVEMENT, EMERGENCY AND POST-CRISIS MIGRATION MANAGEMENT"/>
    <s v="Ukraine"/>
    <n v="4500225861"/>
    <s v=" IP Agreement dd 05.04.2022 Mission LEG approval code: UKR/SS/III121/2022 Emergency Response for the Humanitarian Crisis in Ukraine (deployment of mobile health teams composed of physicians, nurses nd psychologists as well as emergency referral ambulances"/>
    <s v="Implementing Partners"/>
    <s v="Sheptytsky Charitable Institution"/>
    <s v="Ukraine"/>
    <n v="486002"/>
    <x v="0"/>
    <x v="3"/>
  </r>
  <r>
    <x v="0"/>
    <s v="DP.2461"/>
    <s v="Emergency Grant Aid for Humanitarian Assistance in Ukraine and Neighboring Countries"/>
    <s v="MOVEMENT, EMERGENCY AND POST-CRISIS MIGRATION MANAGEMENT"/>
    <s v="Ukraine"/>
    <n v="4500246231"/>
    <s v=" IP services for distribution of WASH items in Donetska and Dnipropetrovska Oblast"/>
    <s v="Implementing Partners"/>
    <s v="CF NEW WAY"/>
    <s v="Ukraine"/>
    <n v="13224"/>
    <x v="0"/>
    <x v="0"/>
  </r>
  <r>
    <x v="0"/>
    <s v="DP.2461"/>
    <s v="Emergency Grant Aid for Humanitarian Assistance in Ukraine and Neighboring Countries"/>
    <s v="MOVEMENT, EMERGENCY AND POST-CRISIS MIGRATION MANAGEMENT"/>
    <s v="Ukraine"/>
    <n v="4500251107"/>
    <s v=" Mobile water treatment and distribution in Ukraine"/>
    <s v="Implementing Partners"/>
    <s v="CENPO Water Missions International"/>
    <s v="USA"/>
    <n v="615000"/>
    <x v="0"/>
    <x v="8"/>
  </r>
  <r>
    <x v="0"/>
    <s v="DP.2463"/>
    <s v="Respond and Meet the Most Urgent Food Needs in the Conflict-Affected Area of Donetsk NGCA"/>
    <s v="MOVEMENT, EMERGENCY AND POST-CRISIS MIGRATION MANAGEMENT"/>
    <s v="Ukraine"/>
    <n v="4500219764"/>
    <s v=" IP services for distribution of food kits in NGCA of Donetska Oblast"/>
    <s v="Implementing Partners"/>
    <s v="NGO DEVELOPMENT CENTER"/>
    <s v="Ukraine"/>
    <n v="431633"/>
    <x v="0"/>
    <x v="0"/>
  </r>
  <r>
    <x v="0"/>
    <s v="DP.2465"/>
    <s v="IOM Flash Appeal for Ukraine and Neighboring Countries"/>
    <s v="MOVEMENT, EMERGENCY AND POST-CRISIS MIGRATION MANAGEMENT"/>
    <s v="Germany"/>
    <n v="4500267428"/>
    <s v=" PRM Capacity Building - IP022022"/>
    <s v="Implementing Partners"/>
    <s v="Mensch Mensch Mensch e.V."/>
    <s v="Germany"/>
    <n v="69831"/>
    <x v="0"/>
    <x v="0"/>
  </r>
  <r>
    <x v="0"/>
    <s v="DP.2465"/>
    <s v="IOM Flash Appeal for Ukraine and Neighboring Countries"/>
    <s v="MOVEMENT, EMERGENCY AND POST-CRISIS MIGRATION MANAGEMENT"/>
    <s v="Germany"/>
    <n v="4500267772"/>
    <s v=" PRM Capacity Building - IP012022"/>
    <s v="Implementing Partners"/>
    <s v="JugendNotmail"/>
    <s v="Germany"/>
    <n v="26234"/>
    <x v="0"/>
    <x v="0"/>
  </r>
  <r>
    <x v="0"/>
    <s v="DP.2465"/>
    <s v="IOM Flash Appeal for Ukraine and Neighboring Countries"/>
    <s v="MOVEMENT, EMERGENCY AND POST-CRISIS MIGRATION MANAGEMENT"/>
    <s v="Germany"/>
    <n v="4500267783"/>
    <s v=" PRM Capacity Building - IP032022"/>
    <s v="Implementing Partners"/>
    <s v="Zentrum Ueberleben gGmbH"/>
    <s v="Germany"/>
    <n v="39263"/>
    <x v="0"/>
    <x v="0"/>
  </r>
  <r>
    <x v="0"/>
    <s v="DP.2465"/>
    <s v="IOM Flash Appeal for Ukraine and Neighboring Countries"/>
    <s v="MOVEMENT, EMERGENCY AND POST-CRISIS MIGRATION MANAGEMENT"/>
    <s v="Hungary"/>
    <n v="4500221528"/>
    <s v=" PR 4200267246 Long term safe accomodation, transportatin &lt;(&gt;&amp;&lt;)&gt; environment with basic needs for persons displace by the conflict in Ukraine"/>
    <s v="Implementing Partners"/>
    <s v="ADRA"/>
    <s v="Hungary"/>
    <n v="154120"/>
    <x v="0"/>
    <x v="1"/>
  </r>
  <r>
    <x v="0"/>
    <s v="DP.2465"/>
    <s v="IOM Flash Appeal for Ukraine and Neighboring Countries"/>
    <s v="MOVEMENT, EMERGENCY AND POST-CRISIS MIGRATION MANAGEMENT"/>
    <s v="Hungary"/>
    <n v="4500240378"/>
    <s v=" PR# 4200311947. Providing Longer term safe accommodation, transportation and environment with basic needs for persons displaced by the conflict in Ukraine."/>
    <s v="Implementing Partners"/>
    <s v="ADRA"/>
    <s v="Hungary"/>
    <n v="746984"/>
    <x v="0"/>
    <x v="1"/>
  </r>
  <r>
    <x v="0"/>
    <s v="DP.2465"/>
    <s v="IOM Flash Appeal for Ukraine and Neighboring Countries"/>
    <s v="MOVEMENT, EMERGENCY AND POST-CRISIS MIGRATION MANAGEMENT"/>
    <s v="Hungary"/>
    <n v="4500260479"/>
    <s v=" PR# 4200353099. Renovation of the common wash area in Zahony collective centre."/>
    <s v="Implementing Partners"/>
    <s v="Baptista Szeretetszolgalat"/>
    <s v="Hungary"/>
    <n v="84768"/>
    <x v="0"/>
    <x v="0"/>
  </r>
  <r>
    <x v="0"/>
    <s v="DP.2465"/>
    <s v="IOM Flash Appeal for Ukraine and Neighboring Countries"/>
    <s v="MOVEMENT, EMERGENCY AND POST-CRISIS MIGRATION MANAGEMENT"/>
    <s v="Poland"/>
    <n v="4500238822"/>
    <s v=" IP Agreement with Habitat for Humanity"/>
    <s v="Implementing Partners"/>
    <s v="FUNDACJA HABITAT"/>
    <s v="Poland"/>
    <n v="1137934"/>
    <x v="0"/>
    <x v="1"/>
  </r>
  <r>
    <x v="0"/>
    <s v="DP.2465"/>
    <s v="IOM Flash Appeal for Ukraine and Neighboring Countries"/>
    <s v="MOVEMENT, EMERGENCY AND POST-CRISIS MIGRATION MANAGEMENT"/>
    <s v="Poland"/>
    <n v="4500239510"/>
    <s v=" IP Agreement with Foundation Q for provision of services for registration of beneficiaries for multi-purpose cash interventions to be conducted by IOM"/>
    <s v="Implementing Partners"/>
    <s v="Fundacja Q"/>
    <s v="Poland"/>
    <n v="426734"/>
    <x v="0"/>
    <x v="0"/>
  </r>
  <r>
    <x v="0"/>
    <s v="DP.2465"/>
    <s v="IOM Flash Appeal for Ukraine and Neighboring Countries"/>
    <s v="MOVEMENT, EMERGENCY AND POST-CRISIS MIGRATION MANAGEMENT"/>
    <s v="Poland"/>
    <n v="4500240195"/>
    <s v=" IP agreement signed between IOM Poland and Fundacja Instytut na Rzecz Panstwa Prawa (Rule of Law Foundation) covering legal aid for Ukrainians and TCNs fleeing Ukraine"/>
    <s v="Implementing Partners"/>
    <s v="Fundacja na Rzecz Panstwa Prawa"/>
    <s v="Poland"/>
    <n v="58990"/>
    <x v="0"/>
    <x v="0"/>
  </r>
  <r>
    <x v="0"/>
    <s v="DP.2465"/>
    <s v="IOM Flash Appeal for Ukraine and Neighboring Countries"/>
    <s v="MOVEMENT, EMERGENCY AND POST-CRISIS MIGRATION MANAGEMENT"/>
    <s v="Poland"/>
    <n v="4500255119"/>
    <s v=" Financial support for the IP La Strada Poland be utilized among others on a shelter, in-kind, psychosocial and legal assistance for refugees from UA as per PR 4200341948"/>
    <s v="Implementing Partners"/>
    <s v="La Strada Fundacja"/>
    <s v="Poland"/>
    <n v="52433"/>
    <x v="0"/>
    <x v="0"/>
  </r>
  <r>
    <x v="0"/>
    <s v="DP.2465"/>
    <s v="IOM Flash Appeal for Ukraine and Neighboring Countries"/>
    <s v="MOVEMENT, EMERGENCY AND POST-CRISIS MIGRATION MANAGEMENT"/>
    <s v="Poland"/>
    <n v="4500256939"/>
    <s v=" PO Note: Implementation of IP agreement with Lambda Warszawa - Support for LGBTQIAP persons fleeing Ukraine with reference to PR#4200340446"/>
    <s v="Implementing Partners"/>
    <s v="Stowarzyszenie Lambda Warszawa"/>
    <s v="Poland"/>
    <n v="80441"/>
    <x v="0"/>
    <x v="0"/>
  </r>
  <r>
    <x v="0"/>
    <s v="DP.2465"/>
    <s v="IOM Flash Appeal for Ukraine and Neighboring Countries"/>
    <s v="MOVEMENT, EMERGENCY AND POST-CRISIS MIGRATION MANAGEMENT"/>
    <s v="Poland"/>
    <n v="4500260239"/>
    <s v=" IP PIA – Direct Contracting supported by NFF and DDA PR# 4200346536"/>
    <s v="Implementing Partners"/>
    <s v="Fundacja EduNowa"/>
    <s v="Poland"/>
    <n v="206674"/>
    <x v="0"/>
    <x v="0"/>
  </r>
  <r>
    <x v="0"/>
    <s v="DP.2465"/>
    <s v="IOM Flash Appeal for Ukraine and Neighboring Countries"/>
    <s v="MOVEMENT, EMERGENCY AND POST-CRISIS MIGRATION MANAGEMENT"/>
    <s v="Poland"/>
    <n v="4500264735"/>
    <s v=" IP PIA -  Created for internal MIGO /MIRO  PR# 4200346560 Progrma Focal Person BERGIUS Milena &lt;(&gt;&lt;&lt;)&gt;mbergius@iom.int&gt; and OWCZAREK Janina &lt;(&gt;&lt;&lt;)&gt;JOWCZAREK@iom.int&gt;"/>
    <s v="Implementing Partners"/>
    <s v="Stowarzyszenie Edukacji dla"/>
    <s v="Poland"/>
    <n v="163286"/>
    <x v="0"/>
    <x v="0"/>
  </r>
  <r>
    <x v="0"/>
    <s v="DP.2465"/>
    <s v="IOM Flash Appeal for Ukraine and Neighboring Countries"/>
    <s v="MOVEMENT, EMERGENCY AND POST-CRISIS MIGRATION MANAGEMENT"/>
    <s v="Poland"/>
    <n v="4500265328"/>
    <s v=" PO is created for Internal MIGO/MIRO  PR# 4200346566  Project Focal Person OWCZAREK Janina &lt;(&gt;&lt;&lt;)&gt;JOWCZAREK@iom.int&gt;; BERGIUS Milena &lt;(&gt;&lt;&lt;)&gt;mbergius@iom.int&gt;"/>
    <s v="Implementing Partners"/>
    <s v="Malopolski Fundusz Ekonomi Spoleczn"/>
    <s v="Poland"/>
    <n v="150138"/>
    <x v="0"/>
    <x v="0"/>
  </r>
  <r>
    <x v="0"/>
    <s v="DP.2465"/>
    <s v="IOM Flash Appeal for Ukraine and Neighboring Countries"/>
    <s v="MOVEMENT, EMERGENCY AND POST-CRISIS MIGRATION MANAGEMENT"/>
    <s v="Poland"/>
    <n v="4500267475"/>
    <s v=" IP PIA , Po Created for Internal /MIGO/MIRO  PR# 4200351941  Project focal BERGIUS Milena &lt;(&gt;&lt;&lt;)&gt;mbergius@iom.int&gt; and OWCZAREK Janina &lt;(&gt;&lt;&lt;)&gt;JOWCZAREK@iom.int&gt;"/>
    <s v="Implementing Partners"/>
    <s v="Fundacja Ukraina"/>
    <s v="Poland"/>
    <n v="390279"/>
    <x v="0"/>
    <x v="0"/>
  </r>
  <r>
    <x v="0"/>
    <s v="DP.2465"/>
    <s v="IOM Flash Appeal for Ukraine and Neighboring Countries"/>
    <s v="MOVEMENT, EMERGENCY AND POST-CRISIS MIGRATION MANAGEMENT"/>
    <s v="Romania"/>
    <n v="4500272485"/>
    <s v=" Decont no.1, October &amp; November 2022, of partnership agreement no. 1884/29.09.2022 in the framework of &quot;Providing assistance to conflict-affected population from Ukraine&quot; - Asociatia Proiect Voiajor"/>
    <s v="Implementing Partners"/>
    <s v="ASOCIATIA PROIECT VOIAJOR"/>
    <s v="Romania"/>
    <n v="25379"/>
    <x v="0"/>
    <x v="0"/>
  </r>
  <r>
    <x v="0"/>
    <s v="DP.2465"/>
    <s v="IOM Flash Appeal for Ukraine and Neighboring Countries"/>
    <s v="MOVEMENT, EMERGENCY AND POST-CRISIS MIGRATION MANAGEMENT"/>
    <s v="Slovakia"/>
    <n v="4500274243"/>
    <s v=" Final installment"/>
    <s v="Implementing Partners"/>
    <s v="IPcko"/>
    <s v="Slovakia"/>
    <n v="404320"/>
    <x v="0"/>
    <x v="0"/>
  </r>
  <r>
    <x v="0"/>
    <s v="DP.2465"/>
    <s v="IOM Flash Appeal for Ukraine and Neighboring Countries"/>
    <s v="MOVEMENT, EMERGENCY AND POST-CRISIS MIGRATION MANAGEMENT"/>
    <s v="Slovakia"/>
    <n v="4500274498"/>
    <s v=" Food distribution for beneficiaries 2nd installment"/>
    <s v="Implementing Partners"/>
    <s v="Slovenska unia sluch. postihnutych"/>
    <s v="Slovakia"/>
    <n v="217166"/>
    <x v="0"/>
    <x v="0"/>
  </r>
  <r>
    <x v="0"/>
    <s v="DP.2466"/>
    <s v="Supporting Migration Response in Hungary Following the Crisis in Ukraine"/>
    <s v="MOVEMENT, EMERGENCY AND POST-CRISIS MIGRATION MANAGEMENT"/>
    <s v="Hungary"/>
    <n v="4500221528"/>
    <s v=" PR 4200267246 Long term safe accomodation, transportatin &lt;(&gt;&amp;&lt;)&gt; environment with basic needs for persons displace by the conflict in Ukraine"/>
    <s v="Implementing Partners"/>
    <s v="ADRA"/>
    <s v="Hungary"/>
    <n v="18132"/>
    <x v="0"/>
    <x v="1"/>
  </r>
  <r>
    <x v="0"/>
    <s v="DP.2468"/>
    <s v="Comprehensive Action Plan (CAP) for Afghanistan and Neighboring Countries"/>
    <s v="MOVEMENT, EMERGENCY AND POST-CRISIS MIGRATION MANAGEMENT"/>
    <s v="Pakistan"/>
    <n v="4500274864"/>
    <s v=" IP SHARP for implementation of our Afghan response programme in KP and Karachi city"/>
    <s v="Implementing Partners"/>
    <s v="Society for Human Rights"/>
    <s v="Pakistan"/>
    <n v="133779"/>
    <x v="0"/>
    <x v="0"/>
  </r>
  <r>
    <x v="0"/>
    <s v="DP.2469"/>
    <s v="Sanitation for All"/>
    <s v="MOVEMENT, EMERGENCY AND POST-CRISIS MIGRATION MANAGEMENT"/>
    <s v="Ethiopia"/>
    <n v="4500233234"/>
    <s v=" First instalment  the amount of 25,000 USD (Twenty-five thousand USD within fifteen (15) calendar days after signature of this Agreement and upon IOM’s receipt of the Implementing Partner’s payment request for Norwegian church Aid to conduct need assessm"/>
    <s v="Implementing Partners"/>
    <s v="Norwegian Church Aid"/>
    <s v="Ethiopia"/>
    <n v="80000"/>
    <x v="0"/>
    <x v="1"/>
  </r>
  <r>
    <x v="0"/>
    <s v="DP.2470"/>
    <s v="IOM Flash Appeal for Ukraine and Neighbouring Countries 2022 - Norway"/>
    <s v="MOVEMENT, EMERGENCY AND POST-CRISIS MIGRATION MANAGEMENT"/>
    <s v="Belarus"/>
    <n v="4500210483"/>
    <s v=" Grant to IP for support to vulnerable migrants coming from the territory of Ukraine"/>
    <s v="Implementing Partners"/>
    <s v="Movement of Medical Workers"/>
    <s v="Belarus"/>
    <n v="11737"/>
    <x v="0"/>
    <x v="0"/>
  </r>
  <r>
    <x v="0"/>
    <s v="DP.2470"/>
    <s v="IOM Flash Appeal for Ukraine and Neighbouring Countries 2022 - Norway"/>
    <s v="MOVEMENT, EMERGENCY AND POST-CRISIS MIGRATION MANAGEMENT"/>
    <s v="Belarus"/>
    <n v="4500227765"/>
    <s v=" Small grant for the operation of the hotline by BWC Brest (USAID project)"/>
    <s v="Implementing Partners"/>
    <s v="BREST BUSINESS WOMEN CLUB"/>
    <s v="Belarus"/>
    <n v="12926"/>
    <x v="0"/>
    <x v="0"/>
  </r>
  <r>
    <x v="0"/>
    <s v="DP.2470"/>
    <s v="IOM Flash Appeal for Ukraine and Neighbouring Countries 2022 - Norway"/>
    <s v="MOVEMENT, EMERGENCY AND POST-CRISIS MIGRATION MANAGEMENT"/>
    <s v="Belarus"/>
    <n v="4500236520"/>
    <s v=" IP grant on counselling migrants coming from the territory of Ukraine on long-term solutions"/>
    <s v="Implementing Partners"/>
    <s v="Movement of Medical Workers"/>
    <s v="Belarus"/>
    <n v="10834"/>
    <x v="0"/>
    <x v="0"/>
  </r>
  <r>
    <x v="0"/>
    <s v="DP.2470"/>
    <s v="IOM Flash Appeal for Ukraine and Neighbouring Countries 2022 - Norway"/>
    <s v="MOVEMENT, EMERGENCY AND POST-CRISIS MIGRATION MANAGEMENT"/>
    <s v="Belarus"/>
    <n v="4500242735"/>
    <s v=" Grant to IP to conduct the activities within Displacement Tracking Matrix"/>
    <s v="Implementing Partners"/>
    <s v="Belarus Red Cross Society/Minsk"/>
    <s v="Belarus"/>
    <n v="40427"/>
    <x v="0"/>
    <x v="4"/>
  </r>
  <r>
    <x v="0"/>
    <s v="DP.2470"/>
    <s v="IOM Flash Appeal for Ukraine and Neighbouring Countries 2022 - Norway"/>
    <s v="MOVEMENT, EMERGENCY AND POST-CRISIS MIGRATION MANAGEMENT"/>
    <s v="Romania"/>
    <n v="4500256025"/>
    <s v=" Decont 1_June - September 2022, totalling 71,972.34 RON as part of the project &quot;Providing assis. to conflict - affected population fleeing the conflict from Ukraine&quot;, partnership agreement no. 822/15.06.2022 (Norway funds) - Asoc GLOBAL HELP CRAIOVA"/>
    <s v="Implementing Partners"/>
    <s v="GLOBAL HELP CRAIOVA"/>
    <s v="Romania"/>
    <n v="14173"/>
    <x v="0"/>
    <x v="3"/>
  </r>
  <r>
    <x v="0"/>
    <s v="DP.2470"/>
    <s v="IOM Flash Appeal for Ukraine and Neighbouring Countries 2022 - Norway"/>
    <s v="MOVEMENT, EMERGENCY AND POST-CRISIS MIGRATION MANAGEMENT"/>
    <s v="Romania"/>
    <n v="4500263584"/>
    <s v=" Decont No. 5, 15 Oct-03 Nov 2022, as part of the project &quot;MFA and Support for Ukrainian Refugees&quot; (Norway funds) - Fundatia Schottener"/>
    <s v="Implementing Partners"/>
    <s v="FUNDATIA SCHOTTENER SERV. SOCIALE"/>
    <s v="Romania"/>
    <n v="17068"/>
    <x v="0"/>
    <x v="0"/>
  </r>
  <r>
    <x v="0"/>
    <s v="DP.2470"/>
    <s v="IOM Flash Appeal for Ukraine and Neighbouring Countries 2022 - Norway"/>
    <s v="MOVEMENT, EMERGENCY AND POST-CRISIS MIGRATION MANAGEMENT"/>
    <s v="Romania"/>
    <n v="4500265679"/>
    <s v=" Decont 2_October 2022, partnership agreement no. 822/15.06.2022 (Norway funds) - Asoc. GLOBAL HELP CRAIOVA"/>
    <s v="Implementing Partners"/>
    <s v="GLOBAL HELP CRAIOVA"/>
    <s v="Romania"/>
    <n v="4931"/>
    <x v="0"/>
    <x v="3"/>
  </r>
  <r>
    <x v="0"/>
    <s v="DP.2470"/>
    <s v="IOM Flash Appeal for Ukraine and Neighbouring Countries 2022 - Norway"/>
    <s v="MOVEMENT, EMERGENCY AND POST-CRISIS MIGRATION MANAGEMENT"/>
    <s v="Romania"/>
    <n v="4500266272"/>
    <s v=" Decont 1_July - September 2022 as part of the project &quot;Providing assistance to conflict-affected population from Ukraine&quot;, partnership agreement no. 1004/30.06.2022 (Norway funds) - Asoc. CENTRU PENTRU RESURSE CIVICE"/>
    <s v="Implementing Partners"/>
    <s v="AsociatiaCentrulpentruResurseCivice"/>
    <s v="Romania"/>
    <n v="11502"/>
    <x v="0"/>
    <x v="0"/>
  </r>
  <r>
    <x v="0"/>
    <s v="DP.2470"/>
    <s v="IOM Flash Appeal for Ukraine and Neighbouring Countries 2022 - Norway"/>
    <s v="MOVEMENT, EMERGENCY AND POST-CRISIS MIGRATION MANAGEMENT"/>
    <s v="Romania"/>
    <n v="4500266911"/>
    <s v=" Decont No. 6, 04 Nov -15 Nov 2022, as part of the project &quot;MFA and Support for Ukrainian Refugees&quot; (Norway funds) - Fund. Schottener"/>
    <s v="Implementing Partners"/>
    <s v="FUNDATIA SCHOTTENER SERV. SOCIALE"/>
    <s v="Romania"/>
    <n v="3071"/>
    <x v="0"/>
    <x v="0"/>
  </r>
  <r>
    <x v="0"/>
    <s v="DP.2470"/>
    <s v="IOM Flash Appeal for Ukraine and Neighbouring Countries 2022 - Norway"/>
    <s v="MOVEMENT, EMERGENCY AND POST-CRISIS MIGRATION MANAGEMENT"/>
    <s v="Romania"/>
    <n v="4500268970"/>
    <s v=" Decont 2_October 2022, project &quot;Providing assistance to conflict-affected population from Ukraine&quot;, partnership agreement no. 1004/30.06.2022 - CRC Constanta"/>
    <s v="Implementing Partners"/>
    <s v="AsociatiaCentrulpentruResurseCivice"/>
    <s v="Romania"/>
    <n v="9111"/>
    <x v="0"/>
    <x v="0"/>
  </r>
  <r>
    <x v="0"/>
    <s v="DP.2470"/>
    <s v="IOM Flash Appeal for Ukraine and Neighbouring Countries 2022 - Norway"/>
    <s v="MOVEMENT, EMERGENCY AND POST-CRISIS MIGRATION MANAGEMENT"/>
    <s v="Romania"/>
    <n v="4500269906"/>
    <s v=" Decont No. 7, 16 - 29 November 2022, as part of the project &quot;MFA and Support for Ukrainian Refugees&quot; (Norway funds) - Fundatia Schottener"/>
    <s v="Implementing Partners"/>
    <s v="FUNDATIA SCHOTTENER SERV. SOCIALE"/>
    <s v="Romania"/>
    <n v="11308"/>
    <x v="0"/>
    <x v="0"/>
  </r>
  <r>
    <x v="0"/>
    <s v="DP.2470"/>
    <s v="IOM Flash Appeal for Ukraine and Neighbouring Countries 2022 - Norway"/>
    <s v="MOVEMENT, EMERGENCY AND POST-CRISIS MIGRATION MANAGEMENT"/>
    <s v="Romania"/>
    <n v="4500271574"/>
    <s v=" Decont 3_November 2022 as part of the project &quot;Providing assistance to conflict-affected population from Ukraine&quot;, partnership agreement no. 1004/30.06.2022 - CRC Constanta"/>
    <s v="Implementing Partners"/>
    <s v="AsociatiaCentrulpentruResurseCivice"/>
    <s v="Romania"/>
    <n v="6035"/>
    <x v="0"/>
    <x v="0"/>
  </r>
  <r>
    <x v="0"/>
    <s v="DP.2470"/>
    <s v="IOM Flash Appeal for Ukraine and Neighbouring Countries 2022 - Norway"/>
    <s v="MOVEMENT, EMERGENCY AND POST-CRISIS MIGRATION MANAGEMENT"/>
    <s v="Romania"/>
    <n v="4500274228"/>
    <s v=" PR_4200387863"/>
    <s v="Implementing Partners"/>
    <s v="GLOBAL HELP CRAIOVA"/>
    <s v="Romania"/>
    <n v="10612"/>
    <x v="0"/>
    <x v="3"/>
  </r>
  <r>
    <x v="0"/>
    <s v="DP.2470"/>
    <s v="IOM Flash Appeal for Ukraine and Neighbouring Countries 2022 - Norway"/>
    <s v="MOVEMENT, EMERGENCY AND POST-CRISIS MIGRATION MANAGEMENT"/>
    <s v="Romania"/>
    <n v="4500274229"/>
    <s v=" PR_4200388206"/>
    <s v="Implementing Partners"/>
    <s v="FUNDATIA SCHOTTENER SERV. SOCIALE"/>
    <s v="Romania"/>
    <n v="1806"/>
    <x v="0"/>
    <x v="0"/>
  </r>
  <r>
    <x v="0"/>
    <s v="DP.2470"/>
    <s v="IOM Flash Appeal for Ukraine and Neighbouring Countries 2022 - Norway"/>
    <s v="MOVEMENT, EMERGENCY AND POST-CRISIS MIGRATION MANAGEMENT"/>
    <s v="Ukraine"/>
    <n v="4500241416"/>
    <s v=" IP services_Health services in Vinnytsia Oblast Ukraine by Med-Ok"/>
    <s v="Implementing Partners"/>
    <s v="LLC TRI UKRAINE"/>
    <s v="Ukraine"/>
    <n v="269546"/>
    <x v="0"/>
    <x v="0"/>
  </r>
  <r>
    <x v="0"/>
    <s v="DP.2470"/>
    <s v="IOM Flash Appeal for Ukraine and Neighbouring Countries 2022 - Norway"/>
    <s v="MOVEMENT, EMERGENCY AND POST-CRISIS MIGRATION MANAGEMENT"/>
    <s v="Ukraine"/>
    <n v="4500246770"/>
    <s v=" UA1-2022-3051_IP Services_Ensuring comprehensive protection response in Zakarpattia Oblast_Implementation of project on counter trafficking, exploitation, and GBV"/>
    <s v="Implementing Partners"/>
    <s v="NGO Vesta"/>
    <s v="Ukraine"/>
    <n v="47570"/>
    <x v="0"/>
    <x v="0"/>
  </r>
  <r>
    <x v="0"/>
    <s v="DP.2470"/>
    <s v="IOM Flash Appeal for Ukraine and Neighbouring Countries 2022 - Norway"/>
    <s v="MOVEMENT, EMERGENCY AND POST-CRISIS MIGRATION MANAGEMENT"/>
    <s v="Ukraine"/>
    <n v="4500246876"/>
    <s v=" IP services_Implementation of the project on ensuring comprehensive protection assistance for survivors of trafficking, exploitation and GBV in Odesa oblast"/>
    <s v="Implementing Partners"/>
    <s v="NGO Faith Hope Love - Odesa"/>
    <s v="Ukraine"/>
    <n v="42703"/>
    <x v="0"/>
    <x v="0"/>
  </r>
  <r>
    <x v="0"/>
    <s v="DP.2470"/>
    <s v="IOM Flash Appeal for Ukraine and Neighbouring Countries 2022 - Norway"/>
    <s v="MOVEMENT, EMERGENCY AND POST-CRISIS MIGRATION MANAGEMENT"/>
    <s v="Ukraine"/>
    <n v="4500246901"/>
    <s v=" IP services_Implementation of the project on ensuring comprehensive protection response for survivors of trafficking, exploitation and GBV in Volyn oblast"/>
    <s v="Implementing Partners"/>
    <s v="NGO Volyn Perspectives"/>
    <s v="Ukraine"/>
    <n v="38680"/>
    <x v="0"/>
    <x v="0"/>
  </r>
  <r>
    <x v="0"/>
    <s v="DP.2470"/>
    <s v="IOM Flash Appeal for Ukraine and Neighbouring Countries 2022 - Norway"/>
    <s v="MOVEMENT, EMERGENCY AND POST-CRISIS MIGRATION MANAGEMENT"/>
    <s v="Ukraine"/>
    <n v="4500246907"/>
    <s v=" IP services_Instalment 1_Implementation of the project on ensuring comprehensive protection response for victims of  trafficking, ex ploitation and GBV in Lviv oblast"/>
    <s v="Implementing Partners"/>
    <s v="NGO Women`s Perspectives"/>
    <s v="Ukraine"/>
    <n v="104660"/>
    <x v="0"/>
    <x v="0"/>
  </r>
  <r>
    <x v="0"/>
    <s v="DP.2470"/>
    <s v="IOM Flash Appeal for Ukraine and Neighbouring Countries 2022 - Norway"/>
    <s v="MOVEMENT, EMERGENCY AND POST-CRISIS MIGRATION MANAGEMENT"/>
    <s v="Ukraine"/>
    <n v="4500246911"/>
    <s v=" IP services_Implementation of the project on ensuring comprehensive protection response for survivors of trafficking, exploitation and GBV In RIVNE OBLAST"/>
    <s v="Implementing Partners"/>
    <s v="Center Chayka"/>
    <s v="Ukraine"/>
    <n v="40822"/>
    <x v="0"/>
    <x v="0"/>
  </r>
  <r>
    <x v="0"/>
    <s v="DP.2470"/>
    <s v="IOM Flash Appeal for Ukraine and Neighbouring Countries 2022 - Norway"/>
    <s v="MOVEMENT, EMERGENCY AND POST-CRISIS MIGRATION MANAGEMENT"/>
    <s v="Ukraine"/>
    <n v="4500247137"/>
    <s v=" IP services_Ensuring comprehensive protection response in Ivano-Frankivsk oblast"/>
    <s v="Implementing Partners"/>
    <s v="NGO Caritas I-F Char Foundation"/>
    <s v="Ukraine"/>
    <n v="124365"/>
    <x v="0"/>
    <x v="6"/>
  </r>
  <r>
    <x v="0"/>
    <s v="DP.2470"/>
    <s v="IOM Flash Appeal for Ukraine and Neighbouring Countries 2022 - Norway"/>
    <s v="MOVEMENT, EMERGENCY AND POST-CRISIS MIGRATION MANAGEMENT"/>
    <s v="Ukraine"/>
    <n v="4500247185"/>
    <s v=" IP services_Ensuring comprehensive protection response in Ternopil oblast"/>
    <s v="Implementing Partners"/>
    <s v="NGO Revival of the Nation"/>
    <s v="Ukraine"/>
    <n v="22550"/>
    <x v="0"/>
    <x v="0"/>
  </r>
  <r>
    <x v="0"/>
    <s v="DP.2470"/>
    <s v="IOM Flash Appeal for Ukraine and Neighbouring Countries 2022 - Norway"/>
    <s v="MOVEMENT, EMERGENCY AND POST-CRISIS MIGRATION MANAGEMENT"/>
    <s v="Ukraine"/>
    <n v="4500247272"/>
    <s v=" IP services_Implementation of project on countering human trafficking, exploitation and GBV in Vinnytsia Oblast"/>
    <s v="Implementing Partners"/>
    <s v="NGO Dzherelo Nadii"/>
    <s v="Ukraine"/>
    <n v="123367"/>
    <x v="0"/>
    <x v="0"/>
  </r>
  <r>
    <x v="0"/>
    <s v="DP.2470"/>
    <s v="IOM Flash Appeal for Ukraine and Neighbouring Countries 2022 - Norway"/>
    <s v="MOVEMENT, EMERGENCY AND POST-CRISIS MIGRATION MANAGEMENT"/>
    <s v="Ukraine"/>
    <n v="4500248523"/>
    <s v=" IP services for the project on CHT, exploitation and GBV_Chernihiv obl"/>
    <s v="Implementing Partners"/>
    <s v="NGO Chernihiv Publ Com for HRP"/>
    <s v="Ukraine"/>
    <n v="10543"/>
    <x v="0"/>
    <x v="0"/>
  </r>
  <r>
    <x v="0"/>
    <s v="DP.2470"/>
    <s v="IOM Flash Appeal for Ukraine and Neighbouring Countries 2022 - Norway"/>
    <s v="MOVEMENT, EMERGENCY AND POST-CRISIS MIGRATION MANAGEMENT"/>
    <s v="Ukraine"/>
    <n v="4500249921"/>
    <s v=" IP services_Ensuring comprehensive protection response in Kirovohrad oblast"/>
    <s v="Implementing Partners"/>
    <s v="CLEAR PAPER"/>
    <s v="Ukraine"/>
    <n v="12471"/>
    <x v="0"/>
    <x v="0"/>
  </r>
  <r>
    <x v="0"/>
    <s v="DP.2479"/>
    <s v="Lifesaving and Transitional Support to Refugees and Host Communities in Cox’s Bazar District, Bangladesh"/>
    <s v="MOVEMENT, EMERGENCY AND POST-CRISIS MIGRATION MANAGEMENT"/>
    <s v="Bangladesh"/>
    <n v="4500224239"/>
    <s v=" Staff cost"/>
    <s v="Implementing Partners"/>
    <s v="FRIENDSHIP"/>
    <s v="Bangladesh"/>
    <n v="550544"/>
    <x v="0"/>
    <x v="0"/>
  </r>
  <r>
    <x v="0"/>
    <s v="DP.2479"/>
    <s v="Lifesaving and Transitional Support to Refugees and Host Communities in Cox’s Bazar District, Bangladesh"/>
    <s v="MOVEMENT, EMERGENCY AND POST-CRISIS MIGRATION MANAGEMENT"/>
    <s v="Bangladesh"/>
    <n v="4500253688"/>
    <s v=" PR-4200303143 Unit-MHD Requester-Alamgir Miah"/>
    <s v="Implementing Partners"/>
    <s v="FRIENDSHIP"/>
    <s v="Bangladesh"/>
    <n v="1410505"/>
    <x v="0"/>
    <x v="0"/>
  </r>
  <r>
    <x v="0"/>
    <s v="DP.2480"/>
    <s v="Multi-Purpose Cash Response for Food Insecure Households Impacted by Drought"/>
    <s v="MOVEMENT, EMERGENCY AND POST-CRISIS MIGRATION MANAGEMENT"/>
    <s v="Ethiopia"/>
    <n v="4500226491"/>
    <s v="000000000500000123-IP transfers – International CSOs"/>
    <s v="Implementing Partners"/>
    <s v="Lutheran World Feder'n WS-Eth"/>
    <s v="Ethiopia"/>
    <n v="785880"/>
    <x v="0"/>
    <x v="1"/>
  </r>
  <r>
    <x v="0"/>
    <s v="DP.2480"/>
    <s v="Multi-Purpose Cash Response for Food Insecure Households Impacted by Drought"/>
    <s v="MOVEMENT, EMERGENCY AND POST-CRISIS MIGRATION MANAGEMENT"/>
    <s v="Ethiopia"/>
    <n v="4500226493"/>
    <s v=" PO cretaed for internal MIGO/MIRO  Leg Ref PIA# ETH/ADD/JUNE/1061/2022"/>
    <s v="Implementing Partners"/>
    <s v="Christian Aid"/>
    <s v="Ethiopia"/>
    <n v="785880"/>
    <x v="0"/>
    <x v="1"/>
  </r>
  <r>
    <x v="0"/>
    <s v="DP.2481"/>
    <s v="Provision of Multisectoral Lifesaving Assistance for Flood-Affected Population in Bentiu and Rubkona"/>
    <s v="MOVEMENT, EMERGENCY AND POST-CRISIS MIGRATION MANAGEMENT"/>
    <s v="South Sudan"/>
    <n v="4500234768"/>
    <s v="000000000500000124-IP transfers – National CSOs"/>
    <s v="Implementing Partners"/>
    <s v="AFRICA DEVELOPMENT AID"/>
    <s v="South Sudan"/>
    <n v="120000"/>
    <x v="0"/>
    <x v="0"/>
  </r>
  <r>
    <x v="0"/>
    <s v="DP.2481"/>
    <s v="Provision of Multisectoral Lifesaving Assistance for Flood-Affected Population in Bentiu and Rubkona"/>
    <s v="MOVEMENT, EMERGENCY AND POST-CRISIS MIGRATION MANAGEMENT"/>
    <s v="South Sudan"/>
    <n v="4500245345"/>
    <s v="000000000500000123-IP transfers – International CSOs"/>
    <s v="Implementing Partners"/>
    <s v="CONCERN WORLDWIDE"/>
    <s v="South Sudan"/>
    <n v="242689"/>
    <x v="0"/>
    <x v="1"/>
  </r>
  <r>
    <x v="0"/>
    <s v="DP.2482"/>
    <s v="2022 French Contribution to IOM’s Activities for the Ukraine Crisis"/>
    <s v="MOVEMENT, EMERGENCY AND POST-CRISIS MIGRATION MANAGEMENT"/>
    <s v="Hungary"/>
    <n v="4500263208"/>
    <s v=" PR# 4200362240. Assessment and support of the needs of Roma refugees from Ukraine."/>
    <s v="Implementing Partners"/>
    <s v="RGDTS Nonprofit Kft."/>
    <s v="Hungary"/>
    <n v="7988"/>
    <x v="0"/>
    <x v="0"/>
  </r>
  <r>
    <x v="0"/>
    <s v="DP.2482"/>
    <s v="2022 French Contribution to IOM’s Activities for the Ukraine Crisis"/>
    <s v="MOVEMENT, EMERGENCY AND POST-CRISIS MIGRATION MANAGEMENT"/>
    <s v="Ukraine"/>
    <n v="4500259636"/>
    <s v=" Our Reference: PR NO. (4200351099) IP services for distribution of NFI items in Mykolaivska Oblast  Type of contract signed: Framework agreement  PO is for internal use  - financial tracking only (no signature required)."/>
    <s v="Implementing Partners"/>
    <s v="NGO UKRAINSKA ASOTSIATSIIA TSENTRIV"/>
    <s v="Ukraine"/>
    <n v="1928"/>
    <x v="0"/>
    <x v="0"/>
  </r>
  <r>
    <x v="0"/>
    <s v="DP.2482"/>
    <s v="2022 French Contribution to IOM’s Activities for the Ukraine Crisis"/>
    <s v="MOVEMENT, EMERGENCY AND POST-CRISIS MIGRATION MANAGEMENT"/>
    <s v="Ukraine"/>
    <n v="4500259828"/>
    <s v=" Our Reference: PR NO. (4200351089) UA1-2022-3066_IP services for distribution of NFI items in Kharkivska Oblast  Type of contract signed: Framework agreement  PO is for internal use  - financial tracking only (no signature required)."/>
    <s v="Implementing Partners"/>
    <s v="CFSR"/>
    <s v="Ukraine"/>
    <n v="17159"/>
    <x v="0"/>
    <x v="0"/>
  </r>
  <r>
    <x v="0"/>
    <s v="DP.2482"/>
    <s v="2022 French Contribution to IOM’s Activities for the Ukraine Crisis"/>
    <s v="MOVEMENT, EMERGENCY AND POST-CRISIS MIGRATION MANAGEMENT"/>
    <s v="Ukraine"/>
    <n v="4500272576"/>
    <s v=" IP services for distribution of NFI items in Dnipro Region"/>
    <s v="Implementing Partners"/>
    <s v="CO CF IMPLEMENTATION OF IDEAS"/>
    <s v="Ukraine"/>
    <n v="19566"/>
    <x v="0"/>
    <x v="0"/>
  </r>
  <r>
    <x v="0"/>
    <s v="DP.2482"/>
    <s v="2022 French Contribution to IOM’s Activities for the Ukraine Crisis"/>
    <s v="MOVEMENT, EMERGENCY AND POST-CRISIS MIGRATION MANAGEMENT"/>
    <s v="Ukraine"/>
    <n v="4500272770"/>
    <s v=" IP services for distribution of NFI items in Vinnytska and Khmelnytsky Region"/>
    <s v="Implementing Partners"/>
    <s v="ICF FRIENDS HANDS"/>
    <s v="Ukraine"/>
    <n v="20185"/>
    <x v="0"/>
    <x v="0"/>
  </r>
  <r>
    <x v="0"/>
    <s v="DP.2483"/>
    <s v="Strengthening the Humanitarian Response to Crisis-Affected Populations in Countries Affected by the Ukraine Crisis"/>
    <s v="MOVEMENT, EMERGENCY AND POST-CRISIS MIGRATION MANAGEMENT"/>
    <s v="Hungary"/>
    <n v="4500240378"/>
    <s v=" PR# 4200311947. Providing Longer term safe accommodation, transportation and environment with basic needs for persons displaced by the conflict in Ukraine."/>
    <s v="Implementing Partners"/>
    <s v="ADRA"/>
    <s v="Hungary"/>
    <n v="223125"/>
    <x v="0"/>
    <x v="1"/>
  </r>
  <r>
    <x v="0"/>
    <s v="DP.2483"/>
    <s v="Strengthening the Humanitarian Response to Crisis-Affected Populations in Countries Affected by the Ukraine Crisis"/>
    <s v="MOVEMENT, EMERGENCY AND POST-CRISIS MIGRATION MANAGEMENT"/>
    <s v="Hungary"/>
    <n v="4500252401"/>
    <s v=" PR# 4200332246. Supporting young Ukrainian circus talents in Budapest."/>
    <s v="Implementing Partners"/>
    <s v="Nemzeti Cirkuszmuveszeti Kozpont"/>
    <s v="Hungary"/>
    <n v="69862"/>
    <x v="0"/>
    <x v="0"/>
  </r>
  <r>
    <x v="0"/>
    <s v="DP.2483"/>
    <s v="Strengthening the Humanitarian Response to Crisis-Affected Populations in Countries Affected by the Ukraine Crisis"/>
    <s v="MOVEMENT, EMERGENCY AND POST-CRISIS MIGRATION MANAGEMENT"/>
    <s v="Poland"/>
    <n v="4500239510"/>
    <s v=" IP Agreement with Foundation Q for provision of services for registration of beneficiaries for multi-purpose cash interventions to be conducted by IOM"/>
    <s v="Implementing Partners"/>
    <s v="Fundacja Q"/>
    <s v="Poland"/>
    <n v="166623"/>
    <x v="0"/>
    <x v="0"/>
  </r>
  <r>
    <x v="0"/>
    <s v="DP.2487"/>
    <s v="Support of IOM Activities in Pakistan Outlined in the 2022 Refugee Response Plan (RRP) for the Afghanistan Situation"/>
    <s v="MOVEMENT, EMERGENCY AND POST-CRISIS MIGRATION MANAGEMENT"/>
    <s v="Pakistan"/>
    <n v="4500266142"/>
    <s v=" PR # 4200367038 Increasing access and availability of public health services, and improving sanitation and hygiene condition of vulnerable communities in Balochistan"/>
    <s v="Implementing Partners"/>
    <s v="CARE INTERNATIONAL IN PAKISTAN"/>
    <s v="Pakistan"/>
    <n v="118432"/>
    <x v="0"/>
    <x v="1"/>
  </r>
  <r>
    <x v="0"/>
    <s v="DP.2487"/>
    <s v="Support of IOM Activities in Pakistan Outlined in the 2022 Refugee Response Plan (RRP) for the Afghanistan Situation"/>
    <s v="MOVEMENT, EMERGENCY AND POST-CRISIS MIGRATION MANAGEMENT"/>
    <s v="Pakistan"/>
    <n v="4500266159"/>
    <s v=" PR # 4200367027 IP Agreement (Baluchistan Rural Development Society (BRDS)"/>
    <s v="Implementing Partners"/>
    <s v="BRDS PRJ"/>
    <s v="Pakistan"/>
    <n v="47990"/>
    <x v="0"/>
    <x v="0"/>
  </r>
  <r>
    <x v="0"/>
    <s v="DP.2487"/>
    <s v="Support of IOM Activities in Pakistan Outlined in the 2022 Refugee Response Plan (RRP) for the Afghanistan Situation"/>
    <s v="MOVEMENT, EMERGENCY AND POST-CRISIS MIGRATION MANAGEMENT"/>
    <s v="Pakistan"/>
    <n v="4500266187"/>
    <s v=" PR # 4200367052 mproving health facility infrastructure and Health service delivery in areas most affected by the floods, with focus on vulnerable Afghan and host communities"/>
    <s v="Implementing Partners"/>
    <s v="INNOVATIVE DEVELOPMENT ORGANIZATION"/>
    <s v="Pakistan"/>
    <n v="93441"/>
    <x v="0"/>
    <x v="0"/>
  </r>
  <r>
    <x v="0"/>
    <s v="DP.2487"/>
    <s v="Support of IOM Activities in Pakistan Outlined in the 2022 Refugee Response Plan (RRP) for the Afghanistan Situation"/>
    <s v="MOVEMENT, EMERGENCY AND POST-CRISIS MIGRATION MANAGEMENT"/>
    <s v="Pakistan"/>
    <n v="4500266216"/>
    <s v=" PR # 4200367035 Emergency Health Assistance for The Flood Affected Vulnerable Communities of Quetta and Pishin"/>
    <s v="Implementing Partners"/>
    <s v="Youth Organization (PPAF)"/>
    <s v="Pakistan"/>
    <n v="64655"/>
    <x v="0"/>
    <x v="0"/>
  </r>
  <r>
    <x v="0"/>
    <s v="DP.2487"/>
    <s v="Support of IOM Activities in Pakistan Outlined in the 2022 Refugee Response Plan (RRP) for the Afghanistan Situation"/>
    <s v="MOVEMENT, EMERGENCY AND POST-CRISIS MIGRATION MANAGEMENT"/>
    <s v="Pakistan"/>
    <n v="4500266225"/>
    <s v=" PR # 4200367051 Provision of Immediate, Life-saving Health Assistance for Afghan Refugees in Quetta and Pishin Districts"/>
    <s v="Implementing Partners"/>
    <s v="MAAN EDUCATION and HEALTH DEV.ORG"/>
    <s v="Pakistan"/>
    <n v="39295"/>
    <x v="0"/>
    <x v="0"/>
  </r>
  <r>
    <x v="0"/>
    <s v="DP.2487"/>
    <s v="Support of IOM Activities in Pakistan Outlined in the 2022 Refugee Response Plan (RRP) for the Afghanistan Situation"/>
    <s v="MOVEMENT, EMERGENCY AND POST-CRISIS MIGRATION MANAGEMENT"/>
    <s v="Pakistan"/>
    <n v="4500274864"/>
    <s v=" IP SHARP for implementation of our Afghan response programme in KP and Karachi city"/>
    <s v="Implementing Partners"/>
    <s v="Society for Human Rights"/>
    <s v="Pakistan"/>
    <n v="379127"/>
    <x v="0"/>
    <x v="0"/>
  </r>
  <r>
    <x v="0"/>
    <s v="DP.2488"/>
    <s v="Greening Humanitarian Responses Through Enhanced Solar Energy Harvesting"/>
    <s v="MOVEMENT, EMERGENCY AND POST-CRISIS MIGRATION MANAGEMENT"/>
    <s v="Thailand"/>
    <n v="4500251897"/>
    <s v=" PR4200309499  Project: Greening humanitarian responses through enhanced Solar Energy harvesting  Duration: The Implementing Partner shall commence the activities 01 June 2022 and fully and satisfactorily complete them by 31 May 2025  Budget: IOM agrees t"/>
    <s v="Implementing Partners"/>
    <s v="Universitat Politecnica De Valencia"/>
    <s v="Spain"/>
    <n v="74645"/>
    <x v="0"/>
    <x v="2"/>
  </r>
  <r>
    <x v="0"/>
    <s v="DP.2491"/>
    <s v="Regional Migrant Response Plan for the Horn of Africa and Yemen"/>
    <s v="MOVEMENT, EMERGENCY AND POST-CRISIS MIGRATION MANAGEMENT"/>
    <s v="Ethiopia"/>
    <n v="4500252612"/>
    <s v=" IP - To support the Activities Planned to be Implemented by PAD."/>
    <s v="Implementing Partners"/>
    <s v="Positive Action for Development"/>
    <s v="Ethiopia"/>
    <n v="15982"/>
    <x v="0"/>
    <x v="0"/>
  </r>
  <r>
    <x v="0"/>
    <s v="DP.2491"/>
    <s v="Regional Migrant Response Plan for the Horn of Africa and Yemen"/>
    <s v="MOVEMENT, EMERGENCY AND POST-CRISIS MIGRATION MANAGEMENT"/>
    <s v="Ethiopia"/>
    <n v="4500253056"/>
    <s v=" Payment for: The Implementation of Livelihoods and Psychosocial Support to Facilitate Community Based Reintegration in Hadiya Zone, Ethiopia Funder by COMPASS Project. Service agreement is revised (amendment 2 attached) and as a result PO amount is amend"/>
    <s v="Implementing Partners"/>
    <s v="Bethany Christian Services Global"/>
    <s v="Ethiopia"/>
    <n v="14847"/>
    <x v="0"/>
    <x v="1"/>
  </r>
  <r>
    <x v="0"/>
    <s v="DP.2491"/>
    <s v="Regional Migrant Response Plan for the Horn of Africa and Yemen"/>
    <s v="MOVEMENT, EMERGENCY AND POST-CRISIS MIGRATION MANAGEMENT"/>
    <s v="Kenya"/>
    <n v="4500264577"/>
    <s v=" Agreement for Anticipating the Mixed Migraton Consequences of the drought crisis 2022 &lt;(&gt;&amp;&lt;)&gt; 2023 LEG Code: KEN/IMPL/CY0197/2022 PR #: 4200365654"/>
    <s v="Implementing Partners"/>
    <s v="DANISH REFUGEE COUNCIL"/>
    <s v="Kenya"/>
    <n v="30000"/>
    <x v="0"/>
    <x v="1"/>
  </r>
  <r>
    <x v="0"/>
    <s v="DP.2492"/>
    <s v="Greening Humanitarian Responses Through Enhanced Solar Energy Harvesting"/>
    <s v="MOVEMENT, EMERGENCY AND POST-CRISIS MIGRATION MANAGEMENT"/>
    <s v="Thailand"/>
    <n v="4500251897"/>
    <s v=" PR4200309499  Project: Greening humanitarian responses through enhanced Solar Energy harvesting  Duration: The Implementing Partner shall commence the activities 01 June 2022 and fully and satisfactorily complete them by 31 May 2025  Budget: IOM agrees t"/>
    <s v="Implementing Partners"/>
    <s v="Universitat Politecnica De Valencia"/>
    <s v="Spain"/>
    <n v="95056"/>
    <x v="0"/>
    <x v="2"/>
  </r>
  <r>
    <x v="0"/>
    <s v="DP.2495"/>
    <s v="France's Contribution to the 2022 Refugee and Migrant Response Plan for the Venezuela Situation"/>
    <s v="MOVEMENT, EMERGENCY AND POST-CRISIS MIGRATION MANAGEMENT"/>
    <s v="Ecuador"/>
    <n v="4500248302"/>
    <s v=" PR 4200300667  ACUERDO DE IMPLEMENTACIÓN DE PROYECTO entre la Organización Internacional para las Migraciones (OIM) y la Corporación Agencia Adventista de Desarrollo y Recursos Asistenciales del Ecuador-ADRA-Ecuador relativo a Identificación, Atención, A"/>
    <s v="Implementing Partners"/>
    <s v="ADRA"/>
    <s v="Ecuador"/>
    <n v="14634"/>
    <x v="0"/>
    <x v="1"/>
  </r>
  <r>
    <x v="0"/>
    <s v="DP.2498"/>
    <s v="IOM – Multi Country Humanitarian Assistance – CAP 2022"/>
    <s v="MOVEMENT, EMERGENCY AND POST-CRISIS MIGRATION MANAGEMENT"/>
    <s v="Bangladesh"/>
    <n v="4500254524"/>
    <s v=" Staff cost"/>
    <s v="Implementing Partners"/>
    <s v="CARE BANGLADESH"/>
    <s v="Bangladesh"/>
    <n v="45577"/>
    <x v="0"/>
    <x v="1"/>
  </r>
  <r>
    <x v="0"/>
    <s v="DP.2499"/>
    <s v="Direct Life-Saving and Protection Assistance for Conflict-Affected Populations in Eastern Democratic Republic of the Congo"/>
    <s v="MOVEMENT, EMERGENCY AND POST-CRISIS MIGRATION MANAGEMENT"/>
    <s v="Congo (Dem Rep)"/>
    <n v="4500264195"/>
    <s v=" IP contract - CCCM - AIDES – NK et IT - nov2022-sep2023  a)Le premier versement de USD 50,000 (Cinquante mille US dollars) sera exigible dans un delai de quinze (15) jours civils a partir de la signature du present accord et la reception par l'OIM de la dem"/>
    <s v="Implementing Partners"/>
    <s v="AIDES"/>
    <s v="Congo (Dem Rep)"/>
    <n v="774680"/>
    <x v="0"/>
    <x v="0"/>
  </r>
  <r>
    <x v="0"/>
    <s v="DP.2510"/>
    <s v="DP - Emergency Response and Assistance to Displaced Populations in Niger"/>
    <s v="MOVEMENT, EMERGENCY AND POST-CRISIS MIGRATION MANAGEMENT"/>
    <s v="Niger"/>
    <n v="4500262845"/>
    <s v=" distributions des 935 Abris et 1498 BNA pour les régions de Diffa et Zinder. prf#4200354981"/>
    <s v="Implementing Partners"/>
    <s v="ONG AHDD"/>
    <s v="Niger"/>
    <n v="33044"/>
    <x v="0"/>
    <x v="0"/>
  </r>
  <r>
    <x v="0"/>
    <s v="DP.2510"/>
    <s v="DP - Emergency Response and Assistance to Displaced Populations in Niger"/>
    <s v="MOVEMENT, EMERGENCY AND POST-CRISIS MIGRATION MANAGEMENT"/>
    <s v="Niger"/>
    <n v="4500263803"/>
    <s v=" Distribution of shelters and non-food items (ABNA, protection kits, training of peer educators, etc. Based on two payment prf 4200364700"/>
    <s v="Implementing Partners"/>
    <s v="ONG ANTD"/>
    <s v="Niger"/>
    <n v="110091"/>
    <x v="0"/>
    <x v="0"/>
  </r>
  <r>
    <x v="0"/>
    <s v="DP.2510"/>
    <s v="DP - Emergency Response and Assistance to Displaced Populations in Niger"/>
    <s v="MOVEMENT, EMERGENCY AND POST-CRISIS MIGRATION MANAGEMENT"/>
    <s v="Niger"/>
    <n v="4500276284"/>
    <s v=" DISTRIBUTION OF EMERGENCY SHELTERS AND NON-FOOD ITEMS TO INTERNALLY DISPLACED PERSONS IN THE MARADI REGION PRF#4200371828"/>
    <s v="Implementing Partners"/>
    <s v="ONG DEDI"/>
    <s v="Niger"/>
    <n v="504633"/>
    <x v="0"/>
    <x v="0"/>
  </r>
  <r>
    <x v="0"/>
    <s v="DP.2512"/>
    <s v="Supporting Access to Housing and Basic Services for People Fleeing the Conflict in Ukraine"/>
    <s v="MOVEMENT, EMERGENCY AND POST-CRISIS MIGRATION MANAGEMENT"/>
    <s v="Hungary"/>
    <n v="4500265059"/>
    <s v=" PR# 4200367557. Improving shelter conditions and social support at shelters in Budapest."/>
    <s v="Implementing Partners"/>
    <s v="Oltalom Karitativ Egyesulet"/>
    <s v="Hungary"/>
    <n v="132356"/>
    <x v="0"/>
    <x v="0"/>
  </r>
  <r>
    <x v="0"/>
    <s v="DP.2517"/>
    <s v="Promoting Rights-Based Solutions for Vulnerable Migrants Through a Migrant Resource and Response Mechanism (MRRM) in the South of Libya"/>
    <s v="MOVEMENT, EMERGENCY AND POST-CRISIS MIGRATION MANAGEMENT"/>
    <s v="Libya"/>
    <n v="4500273519"/>
    <s v=" UN to UN Contibution Agreement (LBY/UNIM/MM0156/2022), 05 Dec2022. PR 4200379643 approved 15 December 2022 This PO is for INTERNAL  USE PURPOSES ONLY"/>
    <s v="Implementing Partners"/>
    <s v="WORLD FOOD PROGRAMME"/>
    <s v="Libya"/>
    <n v="6000"/>
    <x v="0"/>
    <x v="7"/>
  </r>
  <r>
    <x v="0"/>
    <s v="DP.2518"/>
    <s v="Regional Migrant Response Plan (RMRP) for the Horn of Africa and Yemen 2022 dated February 2022"/>
    <s v="MOVEMENT, EMERGENCY AND POST-CRISIS MIGRATION MANAGEMENT"/>
    <s v="Kenya"/>
    <n v="4500264577"/>
    <s v=" Agreement for Anticipating the Mixed Migraton Consequences of the drought crisis 2022 &lt;(&gt;&amp;&lt;)&gt; 2023 LEG Code: KEN/IMPL/CY0197/2022 PR #: 4200365654"/>
    <s v="Implementing Partners"/>
    <s v="DANISH REFUGEE COUNCIL"/>
    <s v="Kenya"/>
    <n v="50000"/>
    <x v="0"/>
    <x v="1"/>
  </r>
  <r>
    <x v="0"/>
    <s v="DP.2523"/>
    <s v="Multi-sectoral and Integrated Lifesaving Humanitarian and Development Support to South Sudan"/>
    <s v="MOVEMENT, EMERGENCY AND POST-CRISIS MIGRATION MANAGEMENT"/>
    <s v="South Sudan"/>
    <n v="4500261601"/>
    <s v=" PO Note: Project implementation through IP in Warrap and WBGS for Multi Sectoral and Integrated humanitarian assistance and recovery support for South Sudan with reference to PRF#4200326378"/>
    <s v="Implementing Partners"/>
    <s v="The Organization For Children Harmo"/>
    <s v="South Sudan"/>
    <n v="102931"/>
    <x v="0"/>
    <x v="0"/>
  </r>
  <r>
    <x v="0"/>
    <s v="DP.2525"/>
    <s v="Improving Protection and Living Conditions and Reducing Vulnerabilities of Crisis-Affected Populations in North-East Nigeria"/>
    <s v="MOVEMENT, EMERGENCY AND POST-CRISIS MIGRATION MANAGEMENT"/>
    <s v="Nigeria"/>
    <n v="4500270801"/>
    <s v=" UN Partnership with UN-HABITAT as part BHA-Funded DS project PR Ref: 4200380129 Contract Ref: NGA/UNIM/MM0145/2022"/>
    <s v="Implementing Partners"/>
    <s v="United Nations Human Settlements"/>
    <s v="Kenya"/>
    <n v="340000"/>
    <x v="0"/>
    <x v="7"/>
  </r>
  <r>
    <x v="0"/>
    <s v="DP.2526"/>
    <s v="A Rapid Response Fund (RRF) Program Responding to Emergency Needs of Disaster Affected Populations in South Sudan"/>
    <s v="MOVEMENT, EMERGENCY AND POST-CRISIS MIGRATION MANAGEMENT"/>
    <s v="South Sudan"/>
    <n v="4500254530"/>
    <s v=" 1st Instalment Payment done after submission of the 1st Financial Report"/>
    <s v="Implementing Partners"/>
    <s v="ACRA"/>
    <s v="South Sudan"/>
    <n v="46622"/>
    <x v="0"/>
    <x v="0"/>
  </r>
  <r>
    <x v="0"/>
    <s v="DP.2526"/>
    <s v="A Rapid Response Fund (RRF) Program Responding to Emergency Needs of Disaster Affected Populations in South Sudan"/>
    <s v="MOVEMENT, EMERGENCY AND POST-CRISIS MIGRATION MANAGEMENT"/>
    <s v="South Sudan"/>
    <n v="4500266759"/>
    <s v=" Response to Measles Outbreak through Reactive Measles Vaccination Campaigns in Rural Payams of Juba County, Central Equatoria State. Ref. to PRF# 4200368205"/>
    <s v="Implementing Partners"/>
    <s v="HEALTH LINK SOUTH SUDAN"/>
    <s v="South Sudan"/>
    <n v="107727"/>
    <x v="0"/>
    <x v="0"/>
  </r>
  <r>
    <x v="0"/>
    <s v="DP.2526"/>
    <s v="A Rapid Response Fund (RRF) Program Responding to Emergency Needs of Disaster Affected Populations in South Sudan"/>
    <s v="MOVEMENT, EMERGENCY AND POST-CRISIS MIGRATION MANAGEMENT"/>
    <s v="South Sudan"/>
    <n v="4500271543"/>
    <s v=" Provision of Emergency Health Services to the flood affected populations in Pochalla County, Jonglei State. PRF#4200373903"/>
    <s v="Implementing Partners"/>
    <s v="HEALTH ACTION AFRICA"/>
    <s v="South Sudan"/>
    <n v="355488"/>
    <x v="0"/>
    <x v="0"/>
  </r>
  <r>
    <x v="0"/>
    <s v="DP.2526"/>
    <s v="A Rapid Response Fund (RRF) Program Responding to Emergency Needs of Disaster Affected Populations in South Sudan"/>
    <s v="MOVEMENT, EMERGENCY AND POST-CRISIS MIGRATION MANAGEMENT"/>
    <s v="South Sudan"/>
    <n v="4500272104"/>
    <s v=" Provision of Emergency Food Security and Livelihoods Support Targeting 5 ,000 Households in Pibor County. PRF#4200380600"/>
    <s v="Implementing Partners"/>
    <s v="STOP POVERTY COMMUNAL INITIATIVE (S"/>
    <s v="South Sudan"/>
    <n v="236222"/>
    <x v="0"/>
    <x v="0"/>
  </r>
  <r>
    <x v="0"/>
    <s v="DP.2536"/>
    <s v="IOM Appeal - Ukraine and Neighbouring Countries"/>
    <s v="MOVEMENT, EMERGENCY AND POST-CRISIS MIGRATION MANAGEMENT"/>
    <s v="Ukraine"/>
    <n v="4500275142"/>
    <s v=" IP_Servises_Distribution_Heating_Appliances"/>
    <s v="Implementing Partners"/>
    <s v="HO ROTARI KLUB KYIV INTERNESHENAL"/>
    <s v="Ukraine"/>
    <n v="99705"/>
    <x v="0"/>
    <x v="0"/>
  </r>
  <r>
    <x v="0"/>
    <s v="DP.2537"/>
    <s v="Protecting Vulnerable Migrants and Stabilizing Communities in Libya /Phase III"/>
    <s v="MOVEMENT, EMERGENCY AND POST-CRISIS MIGRATION MANAGEMENT"/>
    <s v="Libya"/>
    <n v="4500273519"/>
    <s v=" UN to UN Contibution Agreement (LBY/UNIM/MM0156/2022), 05 Dec2022. PR 4200379643 approved 15 December 2022 This PO is for INTERNAL  USE PURPOSES ONLY"/>
    <s v="Implementing Partners"/>
    <s v="WORLD FOOD PROGRAMME"/>
    <s v="Libya"/>
    <n v="14000"/>
    <x v="0"/>
    <x v="7"/>
  </r>
  <r>
    <x v="0"/>
    <s v="DP.2545"/>
    <s v="Rapid Response Fund for Humanitarian Emergencies in Sudan"/>
    <s v="MOVEMENT, EMERGENCY AND POST-CRISIS MIGRATION MANAGEMENT"/>
    <s v="Sudan"/>
    <n v="4500275570"/>
    <s v=" Advance payment upon signature of the grant agreement"/>
    <s v="Implementing Partners"/>
    <s v="Norwegian Church Aid (NCA)"/>
    <s v="Sudan"/>
    <n v="473106"/>
    <x v="0"/>
    <x v="1"/>
  </r>
  <r>
    <x v="0"/>
    <s v="DP.2545"/>
    <s v="Rapid Response Fund for Humanitarian Emergencies in Sudan"/>
    <s v="MOVEMENT, EMERGENCY AND POST-CRISIS MIGRATION MANAGEMENT"/>
    <s v="Sudan"/>
    <n v="4500275576"/>
    <s v=" Advance payment upon signature of the grant agreement"/>
    <s v="Implementing Partners"/>
    <s v="PREMIERE URGENCE INTERNATIONALE"/>
    <s v="Sudan"/>
    <n v="500000"/>
    <x v="0"/>
    <x v="1"/>
  </r>
  <r>
    <x v="0"/>
    <s v="DP.2545"/>
    <s v="Rapid Response Fund for Humanitarian Emergencies in Sudan"/>
    <s v="MOVEMENT, EMERGENCY AND POST-CRISIS MIGRATION MANAGEMENT"/>
    <s v="Sudan"/>
    <n v="4500275582"/>
    <s v=" Advance payment upon signature of the grant agreement"/>
    <s v="Implementing Partners"/>
    <s v="United Peace Organization"/>
    <s v="Sudan"/>
    <n v="496240"/>
    <x v="0"/>
    <x v="0"/>
  </r>
  <r>
    <x v="0"/>
    <s v="DP.2549"/>
    <s v="Winterisation Assistance for Early Recovery in Mykolaiv Oblast, Ukraine"/>
    <s v="MOVEMENT, EMERGENCY AND POST-CRISIS MIGRATION MANAGEMENT"/>
    <s v="Ukraine"/>
    <n v="4500275116"/>
    <s v=" IP Services for Distribution of Emergency Shelter kits, in multiple oblasts"/>
    <s v="Implementing Partners"/>
    <s v="HO ROTARI KLUB KYIV INTERNESHENAL"/>
    <s v="Ukraine"/>
    <n v="88084"/>
    <x v="0"/>
    <x v="0"/>
  </r>
  <r>
    <x v="0"/>
    <s v="DP.2549"/>
    <s v="Winterisation Assistance for Early Recovery in Mykolaiv Oblast, Ukraine"/>
    <s v="MOVEMENT, EMERGENCY AND POST-CRISIS MIGRATION MANAGEMENT"/>
    <s v="Ukraine"/>
    <n v="4500275142"/>
    <s v=" IP_Servises_Distribution_Heating_Appliances"/>
    <s v="Implementing Partners"/>
    <s v="HO ROTARI KLUB KYIV INTERNESHENAL"/>
    <s v="Ukraine"/>
    <n v="99705"/>
    <x v="0"/>
    <x v="0"/>
  </r>
  <r>
    <x v="0"/>
    <s v="DP.2550"/>
    <s v="Multi-Sectoral Response to Increased CCCM, S-NFIs, WASH, and Health Multi-Sectoral Response to Increased Cccm, S-Nfis, Wash, and Health Needs of the Most Vulnerable Populations Affected by Increased Violence, Natural Disasters and Food Insecurity in"/>
    <s v="MOVEMENT, EMERGENCY AND POST-CRISIS MIGRATION MANAGEMENT"/>
    <s v="South Sudan"/>
    <n v="4500276003"/>
    <s v=" Provision of S/NFIs and Cash assistance to affected communities in Pibor County, Jonglei state under SSHF Standard Allocation 1 Project Ref #4200388304"/>
    <s v="Implementing Partners"/>
    <s v="AFRICA DEVELOPMENT AID"/>
    <s v="South Sudan"/>
    <n v="539763"/>
    <x v="0"/>
    <x v="0"/>
  </r>
  <r>
    <x v="0"/>
    <s v="DP.2550"/>
    <s v="Multi-Sectoral Response to Increased CCCM, S-NFIs, WASH, and Health Multi-Sectoral Response to Increased Cccm, S-Nfis, Wash, and Health Needs of the Most Vulnerable Populations Affected by Increased Violence, Natural Disasters and Food Insecurity in"/>
    <s v="MOVEMENT, EMERGENCY AND POST-CRISIS MIGRATION MANAGEMENT"/>
    <s v="South Sudan"/>
    <n v="4500276008"/>
    <s v=" Provision of S/NFIs and Cash assistance to affected communities in Pibor County, Jonglei state under SSHF Standard Allocation 1 Project Ref #4200388318"/>
    <s v="Implementing Partners"/>
    <s v="CARE FOR CHILDREN AND OLD AGE"/>
    <s v="South Sudan"/>
    <n v="572722"/>
    <x v="0"/>
    <x v="0"/>
  </r>
  <r>
    <x v="0"/>
    <s v="DR.0023"/>
    <s v="Promoting Action for Disaster Risk Governance and Working to Achieve Preparedness for Risk Reduction through Technical Assistance in Nepal"/>
    <s v="MIGRATION AND DEVELOPMENT"/>
    <s v="Nepal"/>
    <n v="4500215912"/>
    <s v=" NPL/IMPL/LA0061/2022  PR No.4200254797"/>
    <s v="Implementing Partners"/>
    <s v="NSET-OA-10"/>
    <s v="Nepal"/>
    <n v="449192"/>
    <x v="0"/>
    <x v="0"/>
  </r>
  <r>
    <x v="0"/>
    <s v="DR.0029"/>
    <s v="Strengthening Resilience to Natural Disasters Risks in Burundi"/>
    <s v="MIGRATION AND DEVELOPMENT"/>
    <s v="Burundi"/>
    <n v="4500188498"/>
    <s v=" REFERENCE PR:4200181532  Fees for DTM data collection by Implementing partener Burundian Red Cross from January to June 2022  PIA Agreement signed dated Dec 31 2021"/>
    <s v="Implementing Partners"/>
    <s v="CROIX ROUGE DU BURUNDI"/>
    <s v="Burundi"/>
    <n v="45823"/>
    <x v="0"/>
    <x v="4"/>
  </r>
  <r>
    <x v="0"/>
    <s v="DR.0049"/>
    <s v="Strengthening National and Local Disaster Preparedness and Response Capacities in Uganda"/>
    <s v="MIGRATION AND DEVELOPMENT"/>
    <s v="Uganda"/>
    <n v="4500260256"/>
    <s v=" Ref: Project Implementation Agreement No: UG10P0551/DR.0049"/>
    <s v="Implementing Partners"/>
    <s v="UGANDA RED CROSS SOCIETY"/>
    <s v="Uganda"/>
    <n v="20514"/>
    <x v="0"/>
    <x v="4"/>
  </r>
  <r>
    <x v="0"/>
    <s v="DR.0051"/>
    <s v="Integrating Environmental Management into Disaster Risk Reduction and Disaster Risk Management in Cox Bazar Host Communities"/>
    <s v="MIGRATION AND DEVELOPMENT"/>
    <s v="Bangladesh"/>
    <n v="4500184490"/>
    <s v=" Fund trnasfer to FAO PR#42005564 Program: TRD Requester: Faiz Noor"/>
    <s v="Implementing Partners"/>
    <s v="FOOD AND AGRICULTURE ORGANIZATION"/>
    <s v="Bangladesh"/>
    <n v="880000"/>
    <x v="0"/>
    <x v="7"/>
  </r>
  <r>
    <x v="0"/>
    <s v="DR.0055"/>
    <s v="Optimizing the Engagement of Diaspora for Alternative Approaches to Safer Shelters and Settlements in Disaster Preparedness, Response and Risk Reduction – Phase IV"/>
    <s v="MIGRATION AND DEVELOPMENT"/>
    <s v="Philippines"/>
    <n v="4500275932"/>
    <s v=" PR No.: 4200380331 Financial Support for the Project Implementation of Diaspora's Outreach and Engagement for Shelter  with signed Implementation Agreement"/>
    <s v="Implementing Partners"/>
    <s v="LIFEBANK MICROFINANCE FOUNDATION IN"/>
    <s v="Philippines"/>
    <n v="5835"/>
    <x v="0"/>
    <x v="10"/>
  </r>
  <r>
    <x v="0"/>
    <s v="DR.0056"/>
    <s v="Kenya: Gender and Vulnerability-Sensitive Disaster Risk Reduction and Community Resilience in Turkana and Tana River Counties"/>
    <s v="MIGRATION AND DEVELOPMENT"/>
    <s v="Kenya"/>
    <n v="4500243368"/>
    <s v=" Implementation of community-based project activities in Tana River County"/>
    <s v="Implementing Partners"/>
    <s v="WORLD VISION KENYA"/>
    <s v="Kenya"/>
    <n v="147081"/>
    <x v="0"/>
    <x v="1"/>
  </r>
  <r>
    <x v="0"/>
    <s v="DR.0056"/>
    <s v="Kenya: Gender and Vulnerability-Sensitive Disaster Risk Reduction and Community Resilience in Turkana and Tana River Counties"/>
    <s v="MIGRATION AND DEVELOPMENT"/>
    <s v="Kenya"/>
    <n v="4500272784"/>
    <s v=" As per attached Project Implementation Agreement"/>
    <s v="Implementing Partners"/>
    <s v="KENYA RED CROSS SOCIETY"/>
    <s v="Kenya"/>
    <n v="142378"/>
    <x v="0"/>
    <x v="4"/>
  </r>
  <r>
    <x v="0"/>
    <s v="DX.0087"/>
    <s v="Emergency Assistance to Conflict Affected Individuals in the Central African Republic (CAR)"/>
    <s v="MOVEMENT, EMERGENCY AND POST-CRISIS MIGRATION MANAGEMENT"/>
    <s v="CAR"/>
    <n v="4500186980"/>
    <s v=" Prestaion de service pour la mise en oeuvre des activites de distribution et de suivi post-distribution a Alindao et l'Ile Bongossou a. #PR : 42001196561"/>
    <s v="Implementing Partners"/>
    <s v="COLLECTIF¨POUR LA PAIX EN CENTRAFRI"/>
    <s v="Central African Rep"/>
    <n v="1701"/>
    <x v="0"/>
    <x v="0"/>
  </r>
  <r>
    <x v="0"/>
    <s v="DX.0087"/>
    <s v="Emergency Assistance to Conflict Affected Individuals in the Central African Republic (CAR)"/>
    <s v="MOVEMENT, EMERGENCY AND POST-CRISIS MIGRATION MANAGEMENT"/>
    <s v="CAR"/>
    <n v="4500195774"/>
    <s v=" Prestation de service pour la mise en oeuvre des activités d’enregistrement et ciblage de retournes a Kabo-Moyen Sido. PR# 4200211010"/>
    <s v="Implementing Partners"/>
    <s v="Association des Femmes Evang. BOSSA"/>
    <s v="Central African Rep"/>
    <n v="2577"/>
    <x v="0"/>
    <x v="0"/>
  </r>
  <r>
    <x v="0"/>
    <s v="DX.0087"/>
    <s v="Emergency Assistance to Conflict Affected Individuals in the Central African Republic (CAR)"/>
    <s v="MOVEMENT, EMERGENCY AND POST-CRISIS MIGRATION MANAGEMENT"/>
    <s v="CAR"/>
    <n v="4500201322"/>
    <s v=" PRESTATION DE SERVICE POUR LA MISE EN OEUVRE DES ACTIVITES DE DTM MOBILITY TRACKING DANS LA PREFECTURE DE NANA MAMBERE. PR# 4200219841"/>
    <s v="Implementing Partners"/>
    <s v="Association des Femmes Evang. BOSSA"/>
    <s v="Central African Rep"/>
    <n v="14372"/>
    <x v="0"/>
    <x v="0"/>
  </r>
  <r>
    <x v="0"/>
    <s v="DX.0087"/>
    <s v="Emergency Assistance to Conflict Affected Individuals in the Central African Republic (CAR)"/>
    <s v="MOVEMENT, EMERGENCY AND POST-CRISIS MIGRATION MANAGEMENT"/>
    <s v="CAR"/>
    <n v="4500216358"/>
    <s v=" Round 15 DTM contrat partenaire ouham Bangui Ombrella Mpoko and Nana Mambere pr# 4200219841 / 4200236460"/>
    <s v="Implementing Partners"/>
    <s v="Association des Femmes Evang. BOSSA"/>
    <s v="Central African Rep"/>
    <n v="13391"/>
    <x v="0"/>
    <x v="0"/>
  </r>
  <r>
    <x v="0"/>
    <s v="DX.0087"/>
    <s v="Emergency Assistance to Conflict Affected Individuals in the Central African Republic (CAR)"/>
    <s v="MOVEMENT, EMERGENCY AND POST-CRISIS MIGRATION MANAGEMENT"/>
    <s v="CAR"/>
    <n v="4500230940"/>
    <s v=" PR 4200281152  MODALITE DE PAIEMENT: PREMIER VERSEMENT 4548110 FCFA DERNIER VERSEMENT 1949190 FCFA"/>
    <s v="Implementing Partners"/>
    <s v="JUPEDEC"/>
    <s v="Central African Rep"/>
    <n v="4697"/>
    <x v="0"/>
    <x v="0"/>
  </r>
  <r>
    <x v="0"/>
    <s v="DX.0087"/>
    <s v="Emergency Assistance to Conflict Affected Individuals in the Central African Republic (CAR)"/>
    <s v="MOVEMENT, EMERGENCY AND POST-CRISIS MIGRATION MANAGEMENT"/>
    <s v="CAR"/>
    <n v="4500230950"/>
    <s v=" Mobility tracking a Ouaham Mpende"/>
    <s v="Implementing Partners"/>
    <s v="CADRE D'APPUI SPIRIT. AUT. LOCALES"/>
    <s v="Central African Rep"/>
    <n v="6510"/>
    <x v="0"/>
    <x v="0"/>
  </r>
  <r>
    <x v="0"/>
    <s v="DX.0087"/>
    <s v="Emergency Assistance to Conflict Affected Individuals in the Central African Republic (CAR)"/>
    <s v="MOVEMENT, EMERGENCY AND POST-CRISIS MIGRATION MANAGEMENT"/>
    <s v="CAR"/>
    <n v="4500230953"/>
    <s v=" PR 4200281152  CONTRAT AVEC FNOHD POUR UN MONTANT DE 6000000 FCFA MODALITE DE PAIEMENT: PREMIER VERSEMENT 4200000 FCFA DERNIER VERSEMENT 1800000 FCFA"/>
    <s v="Implementing Partners"/>
    <s v="FNOHD"/>
    <s v="Central African Rep"/>
    <n v="4337"/>
    <x v="0"/>
    <x v="0"/>
  </r>
  <r>
    <x v="0"/>
    <s v="DX.0087"/>
    <s v="Emergency Assistance to Conflict Affected Individuals in the Central African Republic (CAR)"/>
    <s v="MOVEMENT, EMERGENCY AND POST-CRISIS MIGRATION MANAGEMENT"/>
    <s v="CAR"/>
    <n v="4500230962"/>
    <s v=" PR 4200281152  CONTRAT AVEC FNOHD POUR UN MONTANT DE 6810000 FCFA MODALITE DE PAIEMENT: PREMIER VERSEMENT 4767000 FCFA DERNIER VERSEMENT 2043000 FCFA"/>
    <s v="Implementing Partners"/>
    <s v="FNOHD"/>
    <s v="Central African Rep"/>
    <n v="4923"/>
    <x v="0"/>
    <x v="0"/>
  </r>
  <r>
    <x v="0"/>
    <s v="DX.0087"/>
    <s v="Emergency Assistance to Conflict Affected Individuals in the Central African Republic (CAR)"/>
    <s v="MOVEMENT, EMERGENCY AND POST-CRISIS MIGRATION MANAGEMENT"/>
    <s v="CAR"/>
    <n v="4500230975"/>
    <s v=" PR 4200281152 CONTRAT AVEC NDA POUR UN MONTANT DE 6252000 FCFA PERMIER VERSEMENT 4376400 FCFA DERNIER VERSEMENT 1875400 FCFA"/>
    <s v="Implementing Partners"/>
    <s v="Association Agropastoral de NDA"/>
    <s v="Central African Rep"/>
    <n v="4519"/>
    <x v="0"/>
    <x v="0"/>
  </r>
  <r>
    <x v="0"/>
    <s v="DX.0087"/>
    <s v="Emergency Assistance to Conflict Affected Individuals in the Central African Republic (CAR)"/>
    <s v="MOVEMENT, EMERGENCY AND POST-CRISIS MIGRATION MANAGEMENT"/>
    <s v="CAR"/>
    <n v="4500230979"/>
    <s v=" PR 4200281152 CONTRAT AVEC CPCA POUR UN MONTANT TOTAL DE 6302000 FCFA MODALITE DE PAIEMNT \ PREMIER VERSEMENT 4411400 FCFA DERNIER VERSEMENT 1890600 FCFA"/>
    <s v="Implementing Partners"/>
    <s v="COLLECTIF¨POUR LA PAIX EN CENTRAFRI"/>
    <s v="Central African Rep"/>
    <n v="4555"/>
    <x v="0"/>
    <x v="0"/>
  </r>
  <r>
    <x v="0"/>
    <s v="DX.0087"/>
    <s v="Emergency Assistance to Conflict Affected Individuals in the Central African Republic (CAR)"/>
    <s v="MOVEMENT, EMERGENCY AND POST-CRISIS MIGRATION MANAGEMENT"/>
    <s v="CAR"/>
    <n v="4500230987"/>
    <s v=" PR 4200281152 CONTRAT AVEC CPCA POUR UN MONTANT MODALITE DE PAIEMENT PREMIER VERSEMENT 7538440 FCFA DERNIER VERSEMENT 3230760 FCFA"/>
    <s v="Implementing Partners"/>
    <s v="COLLECTIF¨POUR LA PAIX EN CENTRAFRI"/>
    <s v="Central African Rep"/>
    <n v="7785"/>
    <x v="0"/>
    <x v="0"/>
  </r>
  <r>
    <x v="0"/>
    <s v="DX.0087"/>
    <s v="Emergency Assistance to Conflict Affected Individuals in the Central African Republic (CAR)"/>
    <s v="MOVEMENT, EMERGENCY AND POST-CRISIS MIGRATION MANAGEMENT"/>
    <s v="CAR"/>
    <n v="4500230992"/>
    <s v=" Mobility tracaking  a Ouaka"/>
    <s v="Implementing Partners"/>
    <s v="ONG ESPERANCE"/>
    <s v="Central African Rep"/>
    <n v="4481"/>
    <x v="0"/>
    <x v="0"/>
  </r>
  <r>
    <x v="0"/>
    <s v="DX.0087"/>
    <s v="Emergency Assistance to Conflict Affected Individuals in the Central African Republic (CAR)"/>
    <s v="MOVEMENT, EMERGENCY AND POST-CRISIS MIGRATION MANAGEMENT"/>
    <s v="CAR"/>
    <n v="4500232453"/>
    <s v=" PR 4200281152 CONTRAT AVEC AFEB POUR UN MONTANT TOTAL DE 8593000 FCFA MODALITE DE PAIEMENT: PREMIER VERSEMENT 6015100 FCFA DERNIER VERSEMENT 2577900 FCFA"/>
    <s v="Implementing Partners"/>
    <s v="Association des Femmes Evang. BOSSA"/>
    <s v="Central African Rep"/>
    <n v="6212"/>
    <x v="0"/>
    <x v="0"/>
  </r>
  <r>
    <x v="0"/>
    <s v="DX.0087"/>
    <s v="Emergency Assistance to Conflict Affected Individuals in the Central African Republic (CAR)"/>
    <s v="MOVEMENT, EMERGENCY AND POST-CRISIS MIGRATION MANAGEMENT"/>
    <s v="CAR"/>
    <n v="4500232457"/>
    <s v=" PR 4200281152 CONTRAT AVEC AFEB POUR UN MONTANT DE 8054700 FCFA MODALITE DE PAIEMENT PREMIER VERSEMENT 5638290 FCFA DERNIER VERSEMENT 2416410 FCFA"/>
    <s v="Implementing Partners"/>
    <s v="Association des Femmes Evang. BOSSA"/>
    <s v="Central African Rep"/>
    <n v="5822"/>
    <x v="0"/>
    <x v="0"/>
  </r>
  <r>
    <x v="0"/>
    <s v="DX.0087"/>
    <s v="Emergency Assistance to Conflict Affected Individuals in the Central African Republic (CAR)"/>
    <s v="MOVEMENT, EMERGENCY AND POST-CRISIS MIGRATION MANAGEMENT"/>
    <s v="CAR"/>
    <n v="4500234309"/>
    <s v=" PR 4200289591 CONTRAT AVEC CASAL POUR UN MONTANT DE 4002500 FCFA PREMIER VERSEMENT 1801750 FCFA DERNIER PAIEMENT 1200750 FCFA"/>
    <s v="Implementing Partners"/>
    <s v="CADRE D'APPUI SPIRIT. AUT. LOCALES"/>
    <s v="Central African Rep"/>
    <n v="6185"/>
    <x v="0"/>
    <x v="0"/>
  </r>
  <r>
    <x v="0"/>
    <s v="DX.0087"/>
    <s v="Emergency Assistance to Conflict Affected Individuals in the Central African Republic (CAR)"/>
    <s v="MOVEMENT, EMERGENCY AND POST-CRISIS MIGRATION MANAGEMENT"/>
    <s v="CAR"/>
    <n v="4500234464"/>
    <s v=" PR 4200289591 DISTRIBUTIONDES KITS NFI AXE KAGA BANDORO-KABO CONTRAT AVEC AFEB POUR UN MONTANT DE 4501000 PREMIER VERSEMENT 3150700 FCFA DERNIER VERSMENT 1350300 FCFA"/>
    <s v="Implementing Partners"/>
    <s v="Association des Femmes Evang. BOSSA"/>
    <s v="Central African Rep"/>
    <n v="6956"/>
    <x v="0"/>
    <x v="0"/>
  </r>
  <r>
    <x v="0"/>
    <s v="DX.0087"/>
    <s v="Emergency Assistance to Conflict Affected Individuals in the Central African Republic (CAR)"/>
    <s v="MOVEMENT, EMERGENCY AND POST-CRISIS MIGRATION MANAGEMENT"/>
    <s v="CAR"/>
    <n v="4500235625"/>
    <s v=" PR 4200281152 CONTRAT AVEC ONG VISION POUR LE DEVELOPPEMENT POUR UN MONTANT DE 4513260 FCFA PREMIER VERSEMENT 3159282 FCFA DERNIER VERSEMENT 1353978 FCFA"/>
    <s v="Implementing Partners"/>
    <s v="ONG VISION ET DEVELOPPEMENT"/>
    <s v="Central African Rep"/>
    <n v="3139"/>
    <x v="0"/>
    <x v="0"/>
  </r>
  <r>
    <x v="0"/>
    <s v="DX.0087"/>
    <s v="Emergency Assistance to Conflict Affected Individuals in the Central African Republic (CAR)"/>
    <s v="MOVEMENT, EMERGENCY AND POST-CRISIS MIGRATION MANAGEMENT"/>
    <s v="CAR"/>
    <n v="4500237450"/>
    <s v=" PR 4200281152 CONTRAT AVEC ARS POUR UN MONTANT TOTAL DE 15 800 155 FCFA PREMIER VERSEMENT 11 060 109 FCFA DERNIER VERSMENT 4 740 046 FCFA DERNIER PAIEMENT SERA FAIT APRES RECEPTION DU SERVICE ET UN RAPPORT FINAL APROUVE"/>
    <s v="Implementing Partners"/>
    <s v="AFRICAN RELIEF SERVICE 2"/>
    <s v="Central African Rep"/>
    <n v="10988"/>
    <x v="0"/>
    <x v="1"/>
  </r>
  <r>
    <x v="0"/>
    <s v="DX.0087"/>
    <s v="Emergency Assistance to Conflict Affected Individuals in the Central African Republic (CAR)"/>
    <s v="MOVEMENT, EMERGENCY AND POST-CRISIS MIGRATION MANAGEMENT"/>
    <s v="CAR"/>
    <n v="4500237462"/>
    <s v=" Mobility tracking a  Lobaye"/>
    <s v="Implementing Partners"/>
    <s v="ASSOCIATION LE SAMARITAIN"/>
    <s v="Central African Rep"/>
    <n v="3836"/>
    <x v="0"/>
    <x v="0"/>
  </r>
  <r>
    <x v="0"/>
    <s v="DX.0087"/>
    <s v="Emergency Assistance to Conflict Affected Individuals in the Central African Republic (CAR)"/>
    <s v="MOVEMENT, EMERGENCY AND POST-CRISIS MIGRATION MANAGEMENT"/>
    <s v="CAR"/>
    <n v="4500242636"/>
    <s v=" CONTRAT IP DTM CPCA (BANGUI / OMBELLA MPOKO)"/>
    <s v="Implementing Partners"/>
    <s v="COLLECTIF¨POUR LA PAIX EN CENTRAFRI"/>
    <s v="Central African Rep"/>
    <n v="5454"/>
    <x v="0"/>
    <x v="0"/>
  </r>
  <r>
    <x v="0"/>
    <s v="DX.0093"/>
    <s v="Enhancing Displacement and Mobility Needs Tracking, Inter-Sectorial Needs Assessment and Monitoring Displaced Populations in Borno, Adamawa, and Yobe (BAY) States, North-East Nigeria and Improving Communication with Communities"/>
    <s v="MOVEMENT, EMERGENCY AND POST-CRISIS MIGRATION MANAGEMENT"/>
    <s v="Nigeria"/>
    <n v="4500210702"/>
    <s v=" Enhancing displacement and mobility needs tracking, inter-sectorial needs assessment and monitoring displaced populations in Borno, Adamawa, and Yobe (States, North-east Nigeria and improving communication with communities PR Ref: 4200245079"/>
    <s v="Implementing Partners"/>
    <s v="Fact Foundation"/>
    <s v="Nigeria"/>
    <n v="72042"/>
    <x v="0"/>
    <x v="0"/>
  </r>
  <r>
    <x v="0"/>
    <s v="DX.0096"/>
    <s v="Supporting Conflict-Affected Populations in the Far North of Cameroon through Providing Humanitarian Actors with Reliable and Timely Displacement Figures and Trends"/>
    <s v="MOVEMENT, EMERGENCY AND POST-CRISIS MIGRATION MANAGEMENT"/>
    <s v="Cameroon"/>
    <n v="4500234848"/>
    <s v="000000000500000124-IP transfers – National CSOs"/>
    <s v="Implementing Partners"/>
    <s v="COMUNITY HUMANITARIAN EMERGENCY BOA"/>
    <s v="Cameroon"/>
    <n v="116656"/>
    <x v="0"/>
    <x v="0"/>
  </r>
  <r>
    <x v="0"/>
    <s v="DX.0097"/>
    <s v="Mobility Tracking and Multi-Sectoral Humanitarian Needs in Localities and Sites Affected by Displacement/Return in the Central African Republic (National Coverage)"/>
    <s v="MOVEMENT, EMERGENCY AND POST-CRISIS MIGRATION MANAGEMENT"/>
    <s v="CAR"/>
    <n v="4500230940"/>
    <s v=" PR 4200281152  MODALITE DE PAIEMENT: PREMIER VERSEMENT 4548110 FCFA DERNIER VERSEMENT 1949190 FCFA"/>
    <s v="Implementing Partners"/>
    <s v="JUPEDEC"/>
    <s v="Central African Rep"/>
    <n v="3131"/>
    <x v="0"/>
    <x v="0"/>
  </r>
  <r>
    <x v="0"/>
    <s v="DX.0097"/>
    <s v="Mobility Tracking and Multi-Sectoral Humanitarian Needs in Localities and Sites Affected by Displacement/Return in the Central African Republic (National Coverage)"/>
    <s v="MOVEMENT, EMERGENCY AND POST-CRISIS MIGRATION MANAGEMENT"/>
    <s v="CAR"/>
    <n v="4500230950"/>
    <s v=" Mobility tracking a Ouaham Mpende"/>
    <s v="Implementing Partners"/>
    <s v="CADRE D'APPUI SPIRIT. AUT. LOCALES"/>
    <s v="Central African Rep"/>
    <n v="4340"/>
    <x v="0"/>
    <x v="0"/>
  </r>
  <r>
    <x v="0"/>
    <s v="DX.0097"/>
    <s v="Mobility Tracking and Multi-Sectoral Humanitarian Needs in Localities and Sites Affected by Displacement/Return in the Central African Republic (National Coverage)"/>
    <s v="MOVEMENT, EMERGENCY AND POST-CRISIS MIGRATION MANAGEMENT"/>
    <s v="CAR"/>
    <n v="4500230953"/>
    <s v=" PR 4200281152  CONTRAT AVEC FNOHD POUR UN MONTANT DE 6000000 FCFA MODALITE DE PAIEMENT: PREMIER VERSEMENT 4200000 FCFA DERNIER VERSEMENT 1800000 FCFA"/>
    <s v="Implementing Partners"/>
    <s v="FNOHD"/>
    <s v="Central African Rep"/>
    <n v="2891"/>
    <x v="0"/>
    <x v="0"/>
  </r>
  <r>
    <x v="0"/>
    <s v="DX.0097"/>
    <s v="Mobility Tracking and Multi-Sectoral Humanitarian Needs in Localities and Sites Affected by Displacement/Return in the Central African Republic (National Coverage)"/>
    <s v="MOVEMENT, EMERGENCY AND POST-CRISIS MIGRATION MANAGEMENT"/>
    <s v="CAR"/>
    <n v="4500230962"/>
    <s v=" PR 4200281152  CONTRAT AVEC FNOHD POUR UN MONTANT DE 6810000 FCFA MODALITE DE PAIEMENT: PREMIER VERSEMENT 4767000 FCFA DERNIER VERSEMENT 2043000 FCFA"/>
    <s v="Implementing Partners"/>
    <s v="FNOHD"/>
    <s v="Central African Rep"/>
    <n v="3282"/>
    <x v="0"/>
    <x v="0"/>
  </r>
  <r>
    <x v="0"/>
    <s v="DX.0097"/>
    <s v="Mobility Tracking and Multi-Sectoral Humanitarian Needs in Localities and Sites Affected by Displacement/Return in the Central African Republic (National Coverage)"/>
    <s v="MOVEMENT, EMERGENCY AND POST-CRISIS MIGRATION MANAGEMENT"/>
    <s v="CAR"/>
    <n v="4500230975"/>
    <s v=" PR 4200281152 CONTRAT AVEC NDA POUR UN MONTANT DE 6252000 FCFA PERMIER VERSEMENT 4376400 FCFA DERNIER VERSEMENT 1875400 FCFA"/>
    <s v="Implementing Partners"/>
    <s v="Association Agropastoral de NDA"/>
    <s v="Central African Rep"/>
    <n v="3013"/>
    <x v="0"/>
    <x v="0"/>
  </r>
  <r>
    <x v="0"/>
    <s v="DX.0097"/>
    <s v="Mobility Tracking and Multi-Sectoral Humanitarian Needs in Localities and Sites Affected by Displacement/Return in the Central African Republic (National Coverage)"/>
    <s v="MOVEMENT, EMERGENCY AND POST-CRISIS MIGRATION MANAGEMENT"/>
    <s v="CAR"/>
    <n v="4500230979"/>
    <s v=" PR 4200281152 CONTRAT AVEC CPCA POUR UN MONTANT TOTAL DE 6302000 FCFA MODALITE DE PAIEMNT \ PREMIER VERSEMENT 4411400 FCFA DERNIER VERSEMENT 1890600 FCFA"/>
    <s v="Implementing Partners"/>
    <s v="COLLECTIF¨POUR LA PAIX EN CENTRAFRI"/>
    <s v="Central African Rep"/>
    <n v="3037"/>
    <x v="0"/>
    <x v="0"/>
  </r>
  <r>
    <x v="0"/>
    <s v="DX.0097"/>
    <s v="Mobility Tracking and Multi-Sectoral Humanitarian Needs in Localities and Sites Affected by Displacement/Return in the Central African Republic (National Coverage)"/>
    <s v="MOVEMENT, EMERGENCY AND POST-CRISIS MIGRATION MANAGEMENT"/>
    <s v="CAR"/>
    <n v="4500230987"/>
    <s v=" PR 4200281152 CONTRAT AVEC CPCA POUR UN MONTANT MODALITE DE PAIEMENT PREMIER VERSEMENT 7538440 FCFA DERNIER VERSEMENT 3230760 FCFA"/>
    <s v="Implementing Partners"/>
    <s v="COLLECTIF¨POUR LA PAIX EN CENTRAFRI"/>
    <s v="Central African Rep"/>
    <n v="5190"/>
    <x v="0"/>
    <x v="0"/>
  </r>
  <r>
    <x v="0"/>
    <s v="DX.0097"/>
    <s v="Mobility Tracking and Multi-Sectoral Humanitarian Needs in Localities and Sites Affected by Displacement/Return in the Central African Republic (National Coverage)"/>
    <s v="MOVEMENT, EMERGENCY AND POST-CRISIS MIGRATION MANAGEMENT"/>
    <s v="CAR"/>
    <n v="4500230992"/>
    <s v=" Mobility tracaking  a Ouaka"/>
    <s v="Implementing Partners"/>
    <s v="ONG ESPERANCE"/>
    <s v="Central African Rep"/>
    <n v="2987"/>
    <x v="0"/>
    <x v="0"/>
  </r>
  <r>
    <x v="0"/>
    <s v="DX.0097"/>
    <s v="Mobility Tracking and Multi-Sectoral Humanitarian Needs in Localities and Sites Affected by Displacement/Return in the Central African Republic (National Coverage)"/>
    <s v="MOVEMENT, EMERGENCY AND POST-CRISIS MIGRATION MANAGEMENT"/>
    <s v="CAR"/>
    <n v="4500232453"/>
    <s v=" PR 4200281152 CONTRAT AVEC AFEB POUR UN MONTANT TOTAL DE 8593000 FCFA MODALITE DE PAIEMENT: PREMIER VERSEMENT 6015100 FCFA DERNIER VERSEMENT 2577900 FCFA"/>
    <s v="Implementing Partners"/>
    <s v="Association des Femmes Evang. BOSSA"/>
    <s v="Central African Rep"/>
    <n v="4141"/>
    <x v="0"/>
    <x v="0"/>
  </r>
  <r>
    <x v="0"/>
    <s v="DX.0097"/>
    <s v="Mobility Tracking and Multi-Sectoral Humanitarian Needs in Localities and Sites Affected by Displacement/Return in the Central African Republic (National Coverage)"/>
    <s v="MOVEMENT, EMERGENCY AND POST-CRISIS MIGRATION MANAGEMENT"/>
    <s v="CAR"/>
    <n v="4500232457"/>
    <s v=" PR 4200281152 CONTRAT AVEC AFEB POUR UN MONTANT DE 8054700 FCFA MODALITE DE PAIEMENT PREMIER VERSEMENT 5638290 FCFA DERNIER VERSEMENT 2416410 FCFA"/>
    <s v="Implementing Partners"/>
    <s v="Association des Femmes Evang. BOSSA"/>
    <s v="Central African Rep"/>
    <n v="3882"/>
    <x v="0"/>
    <x v="0"/>
  </r>
  <r>
    <x v="0"/>
    <s v="DX.0097"/>
    <s v="Mobility Tracking and Multi-Sectoral Humanitarian Needs in Localities and Sites Affected by Displacement/Return in the Central African Republic (National Coverage)"/>
    <s v="MOVEMENT, EMERGENCY AND POST-CRISIS MIGRATION MANAGEMENT"/>
    <s v="CAR"/>
    <n v="4500235625"/>
    <s v=" PR 4200281152 CONTRAT AVEC ONG VISION POUR LE DEVELOPPEMENT POUR UN MONTANT DE 4513260 FCFA PREMIER VERSEMENT 3159282 FCFA DERNIER VERSEMENT 1353978 FCFA"/>
    <s v="Implementing Partners"/>
    <s v="ONG VISION ET DEVELOPPEMENT"/>
    <s v="Central African Rep"/>
    <n v="2092"/>
    <x v="0"/>
    <x v="0"/>
  </r>
  <r>
    <x v="0"/>
    <s v="DX.0097"/>
    <s v="Mobility Tracking and Multi-Sectoral Humanitarian Needs in Localities and Sites Affected by Displacement/Return in the Central African Republic (National Coverage)"/>
    <s v="MOVEMENT, EMERGENCY AND POST-CRISIS MIGRATION MANAGEMENT"/>
    <s v="CAR"/>
    <n v="4500237450"/>
    <s v=" PR 4200281152 CONTRAT AVEC ARS POUR UN MONTANT TOTAL DE 15 800 155 FCFA PREMIER VERSEMENT 11 060 109 FCFA DERNIER VERSMENT 4 740 046 FCFA DERNIER PAIEMENT SERA FAIT APRES RECEPTION DU SERVICE ET UN RAPPORT FINAL APROUVE"/>
    <s v="Implementing Partners"/>
    <s v="AFRICAN RELIEF SERVICE 2"/>
    <s v="Central African Rep"/>
    <n v="7325"/>
    <x v="0"/>
    <x v="1"/>
  </r>
  <r>
    <x v="0"/>
    <s v="DX.0097"/>
    <s v="Mobility Tracking and Multi-Sectoral Humanitarian Needs in Localities and Sites Affected by Displacement/Return in the Central African Republic (National Coverage)"/>
    <s v="MOVEMENT, EMERGENCY AND POST-CRISIS MIGRATION MANAGEMENT"/>
    <s v="CAR"/>
    <n v="4500237462"/>
    <s v=" Mobility tracking a  Lobaye"/>
    <s v="Implementing Partners"/>
    <s v="ASSOCIATION LE SAMARITAIN"/>
    <s v="Central African Rep"/>
    <n v="2557"/>
    <x v="0"/>
    <x v="0"/>
  </r>
  <r>
    <x v="0"/>
    <s v="DX.0097"/>
    <s v="Mobility Tracking and Multi-Sectoral Humanitarian Needs in Localities and Sites Affected by Displacement/Return in the Central African Republic (National Coverage)"/>
    <s v="MOVEMENT, EMERGENCY AND POST-CRISIS MIGRATION MANAGEMENT"/>
    <s v="CAR"/>
    <n v="4500257385"/>
    <s v=" PR 4200342485 PREMIER VERSEMENT 7204960 FCFA DEUXIEME VERSMENT 7204960 FCFA DERNIER VERSEMENT 3602480 FCFA"/>
    <s v="Implementing Partners"/>
    <s v="CADRE D'APPUI SPIRIT. AUT. LOCALES"/>
    <s v="Central African Rep"/>
    <n v="24071"/>
    <x v="0"/>
    <x v="0"/>
  </r>
  <r>
    <x v="0"/>
    <s v="DX.0097"/>
    <s v="Mobility Tracking and Multi-Sectoral Humanitarian Needs in Localities and Sites Affected by Displacement/Return in the Central African Republic (National Coverage)"/>
    <s v="MOVEMENT, EMERGENCY AND POST-CRISIS MIGRATION MANAGEMENT"/>
    <s v="CAR"/>
    <n v="4500257387"/>
    <s v=" PREMIER VERSEMENT 4800000 FCFA DEUXIEME VERSEMENT 4800000 FCFA DERNIER VERSEMENT 2400000 FCFA PR # 4200342485"/>
    <s v="Implementing Partners"/>
    <s v="ASSOCIATION LE SAMARITAIN"/>
    <s v="Central African Rep"/>
    <n v="16036"/>
    <x v="0"/>
    <x v="0"/>
  </r>
  <r>
    <x v="0"/>
    <s v="DX.0097"/>
    <s v="Mobility Tracking and Multi-Sectoral Humanitarian Needs in Localities and Sites Affected by Displacement/Return in the Central African Republic (National Coverage)"/>
    <s v="MOVEMENT, EMERGENCY AND POST-CRISIS MIGRATION MANAGEMENT"/>
    <s v="CAR"/>
    <n v="4500257388"/>
    <s v=" PR 4200342485 PREMIER VERSMENT 5200000 FCFA DEUXIEME VERSEMENT 5200000 FCFA DERNIER VERSMENT 2600000 FCFA"/>
    <s v="Implementing Partners"/>
    <s v="FNOHD"/>
    <s v="Central African Rep"/>
    <n v="17373"/>
    <x v="0"/>
    <x v="0"/>
  </r>
  <r>
    <x v="0"/>
    <s v="DX.0097"/>
    <s v="Mobility Tracking and Multi-Sectoral Humanitarian Needs in Localities and Sites Affected by Displacement/Return in the Central African Republic (National Coverage)"/>
    <s v="MOVEMENT, EMERGENCY AND POST-CRISIS MIGRATION MANAGEMENT"/>
    <s v="CAR"/>
    <n v="4500257389"/>
    <s v=" Mise en oeuvre des activites de Mobility traking Round 17 et Round 18 / Mise en oeuvre d'evaluations PRF 4200341485"/>
    <s v="Implementing Partners"/>
    <s v="ONG NDA"/>
    <s v="Central African Rep"/>
    <n v="16710"/>
    <x v="0"/>
    <x v="0"/>
  </r>
  <r>
    <x v="0"/>
    <s v="DX.0097"/>
    <s v="Mobility Tracking and Multi-Sectoral Humanitarian Needs in Localities and Sites Affected by Displacement/Return in the Central African Republic (National Coverage)"/>
    <s v="MOVEMENT, EMERGENCY AND POST-CRISIS MIGRATION MANAGEMENT"/>
    <s v="CAR"/>
    <n v="4500257393"/>
    <s v="Mobility tracaking a Ouaka"/>
    <s v="Implementing Partners"/>
    <s v="ONG ESPERANCE"/>
    <s v="Central African Rep"/>
    <n v="16567"/>
    <x v="0"/>
    <x v="0"/>
  </r>
  <r>
    <x v="0"/>
    <s v="DX.0097"/>
    <s v="Mobility Tracking and Multi-Sectoral Humanitarian Needs in Localities and Sites Affected by Displacement/Return in the Central African Republic (National Coverage)"/>
    <s v="MOVEMENT, EMERGENCY AND POST-CRISIS MIGRATION MANAGEMENT"/>
    <s v="CAR"/>
    <n v="4500257394"/>
    <s v=" Mobility tracking a Bangui et Ombella Mpoko"/>
    <s v="Implementing Partners"/>
    <s v="COLLECTIF¨POUR LA PAIX EN CENTRAFRI"/>
    <s v="Central African Rep"/>
    <n v="28783"/>
    <x v="0"/>
    <x v="0"/>
  </r>
  <r>
    <x v="0"/>
    <s v="DX.0097"/>
    <s v="Mobility Tracking and Multi-Sectoral Humanitarian Needs in Localities and Sites Affected by Displacement/Return in the Central African Republic (National Coverage)"/>
    <s v="MOVEMENT, EMERGENCY AND POST-CRISIS MIGRATION MANAGEMENT"/>
    <s v="CAR"/>
    <n v="4500257397"/>
    <s v=" Mobility tracking a Vakaga"/>
    <s v="Implementing Partners"/>
    <s v="ONG VISION ET DEVELOPPEMENT"/>
    <s v="Central African Rep"/>
    <n v="13862"/>
    <x v="0"/>
    <x v="0"/>
  </r>
  <r>
    <x v="0"/>
    <s v="DX.0097"/>
    <s v="Mobility Tracking and Multi-Sectoral Humanitarian Needs in Localities and Sites Affected by Displacement/Return in the Central African Republic (National Coverage)"/>
    <s v="MOVEMENT, EMERGENCY AND POST-CRISIS MIGRATION MANAGEMENT"/>
    <s v="CAR"/>
    <n v="4500257398"/>
    <s v=" Mise en oeuvre des activites de Mobility traking Round 17 et round 18 / Mise en oeuvre d'evaluations PRF 4200342485"/>
    <s v="Implementing Partners"/>
    <s v="Association des Femmes Evang. BOSSA"/>
    <s v="Central African Rep"/>
    <n v="21528"/>
    <x v="0"/>
    <x v="0"/>
  </r>
  <r>
    <x v="0"/>
    <s v="DX.0097"/>
    <s v="Mobility Tracking and Multi-Sectoral Humanitarian Needs in Localities and Sites Affected by Displacement/Return in the Central African Republic (National Coverage)"/>
    <s v="MOVEMENT, EMERGENCY AND POST-CRISIS MIGRATION MANAGEMENT"/>
    <s v="CAR"/>
    <n v="4500257399"/>
    <s v=" Mobility tracking a Mambere Kadei et Sangha Mbaere"/>
    <s v="Implementing Partners"/>
    <s v="AFRICAN RELIEF SERVICE 2"/>
    <s v="Central African Rep"/>
    <n v="42230"/>
    <x v="0"/>
    <x v="1"/>
  </r>
  <r>
    <x v="0"/>
    <s v="DX.0097"/>
    <s v="Mobility Tracking and Multi-Sectoral Humanitarian Needs in Localities and Sites Affected by Displacement/Return in the Central African Republic (National Coverage)"/>
    <s v="MOVEMENT, EMERGENCY AND POST-CRISIS MIGRATION MANAGEMENT"/>
    <s v="CAR"/>
    <n v="4500257401"/>
    <s v=" Mobility tracking a Haut Mbomou"/>
    <s v="Implementing Partners"/>
    <s v="JUPEDEC"/>
    <s v="Central African Rep"/>
    <n v="17366"/>
    <x v="0"/>
    <x v="0"/>
  </r>
  <r>
    <x v="0"/>
    <s v="DX.0097"/>
    <s v="Mobility Tracking and Multi-Sectoral Humanitarian Needs in Localities and Sites Affected by Displacement/Return in the Central African Republic (National Coverage)"/>
    <s v="MOVEMENT, EMERGENCY AND POST-CRISIS MIGRATION MANAGEMENT"/>
    <s v="CAR"/>
    <n v="4500257402"/>
    <s v=" DTM activity a Basse Kotto"/>
    <s v="Implementing Partners"/>
    <s v="COLLECTIF¨POUR LA PAIX EN CENTRAFRI"/>
    <s v="Central African Rep"/>
    <n v="10563"/>
    <x v="0"/>
    <x v="0"/>
  </r>
  <r>
    <x v="0"/>
    <s v="DX.0097"/>
    <s v="Mobility Tracking and Multi-Sectoral Humanitarian Needs in Localities and Sites Affected by Displacement/Return in the Central African Republic (National Coverage)"/>
    <s v="MOVEMENT, EMERGENCY AND POST-CRISIS MIGRATION MANAGEMENT"/>
    <s v="CAR"/>
    <n v="4500257405"/>
    <s v=" Mise en oeuvre des activites de Mobility traking Round 17 et round 18 / Mise en oeuvre d'evaluations PRF 4200342485"/>
    <s v="Implementing Partners"/>
    <s v="Association des Femmes Evang. BOSSA"/>
    <s v="Central African Rep"/>
    <n v="22967"/>
    <x v="0"/>
    <x v="0"/>
  </r>
  <r>
    <x v="0"/>
    <s v="DX.0097"/>
    <s v="Mobility Tracking and Multi-Sectoral Humanitarian Needs in Localities and Sites Affected by Displacement/Return in the Central African Republic (National Coverage)"/>
    <s v="MOVEMENT, EMERGENCY AND POST-CRISIS MIGRATION MANAGEMENT"/>
    <s v="CAR"/>
    <n v="4500257407"/>
    <s v=" Mise en oeuvre des activites de Mobility traking Round 17 et round 18 / Mise en oeuvre d'evaluations PRF 4200342485"/>
    <s v="Implementing Partners"/>
    <s v="FNOHD"/>
    <s v="Central African Rep"/>
    <n v="18201"/>
    <x v="0"/>
    <x v="0"/>
  </r>
  <r>
    <x v="0"/>
    <s v="DX.0098"/>
    <s v="Humanitarian Assistance to Displaced Population in Lac Province, Chad"/>
    <s v="MOVEMENT, EMERGENCY AND POST-CRISIS MIGRATION MANAGEMENT"/>
    <s v="Chad"/>
    <n v="4500216036"/>
    <s v=" IMPLEMENTING PARTNER DATA COLLECTION SERVICE SUPPORT IN THE LAC PROVINCE APPUI AU SERVICE DE COLLECTE DE DONNÉES DES PARTENAIRES DE MISE EN ŒUVRE DANS LA PROVINCE DU LAC PR:4200250862"/>
    <s v="Implementing Partners"/>
    <s v="ACHDR"/>
    <s v="Chad"/>
    <n v="103156"/>
    <x v="0"/>
    <x v="0"/>
  </r>
  <r>
    <x v="0"/>
    <s v="DX.0099"/>
    <s v="Supporting Multi-Sector Emergency Response Assistance for Populations Affected by the North-West, South-West Crisis in Cameroon"/>
    <s v="MOVEMENT, EMERGENCY AND POST-CRISIS MIGRATION MANAGEMENT"/>
    <s v="Cameroon"/>
    <n v="4500239543"/>
    <s v=" Implementation of 6 months of ETTs and 2 rounds of MSNA in the SW: July 2022- Dec 2022"/>
    <s v="Implementing Partners"/>
    <s v="CARITAS DIOCESE OF KUMBA"/>
    <s v="Cameroon"/>
    <n v="238872"/>
    <x v="0"/>
    <x v="6"/>
  </r>
  <r>
    <x v="0"/>
    <s v="DX.0099"/>
    <s v="Supporting Multi-Sector Emergency Response Assistance for Populations Affected by the North-West, South-West Crisis in Cameroon"/>
    <s v="MOVEMENT, EMERGENCY AND POST-CRISIS MIGRATION MANAGEMENT"/>
    <s v="Cameroon"/>
    <n v="4500239546"/>
    <s v=" Implementation of 6 months of ETTs and 2 rounds of MSNA in the NW: July 2022- Dec 2022"/>
    <s v="Implementing Partners"/>
    <s v="STRATEGIC HUMANITARIAN SERVICES"/>
    <s v="Cameroon"/>
    <n v="276115"/>
    <x v="0"/>
    <x v="0"/>
  </r>
  <r>
    <x v="0"/>
    <s v="DX.0101"/>
    <s v="Strengthening the Evidence Base on Human Mobility Along the Eastern Corridor Under the Migrant Response Plan (MRP)"/>
    <s v="MOVEMENT, EMERGENCY AND POST-CRISIS MIGRATION MANAGEMENT"/>
    <s v="Kenya"/>
    <n v="4500266887"/>
    <s v="IP transfers – Intergovernmental Orgs (n"/>
    <s v="Implementing Partners"/>
    <s v="OSDA"/>
    <s v="Kenya"/>
    <n v="61397"/>
    <x v="0"/>
    <x v="3"/>
  </r>
  <r>
    <x v="0"/>
    <s v="DX.0111"/>
    <s v="Strengthening the Evidence Base around Population Displacement in Mali"/>
    <s v="MOVEMENT, EMERGENCY AND POST-CRISIS MIGRATION MANAGEMENT"/>
    <s v="Mali"/>
    <n v="4500264564"/>
    <s v=" Accord-IOMBKO-2022 L'enregistrement biométrique des personnes déplacées internes, l'évaluation multisectorielle et mise à jour de la situation des mouvements de populations au Mali / PR 4200357068 / Unité DTM"/>
    <s v="Implementing Partners"/>
    <s v="DIRECTION NAT.DEV. SOC"/>
    <s v="Mali"/>
    <n v="509732"/>
    <x v="0"/>
    <x v="0"/>
  </r>
  <r>
    <x v="0"/>
    <s v="EP.0009"/>
    <s v="Spotlight Initiative Pacific Regional Programme"/>
    <s v="MOVEMENT, EMERGENCY AND POST-CRISIS MIGRATION MANAGEMENT"/>
    <s v="Marshall Islnds"/>
    <n v="4500212959"/>
    <s v=" Project Implementation Agreement on Spotlight Initiative MH/IP/2022/001"/>
    <s v="Implementing Partners"/>
    <s v="Changing Focus Ministries"/>
    <s v="Marshall Islands"/>
    <n v="10000"/>
    <x v="0"/>
    <x v="6"/>
  </r>
  <r>
    <x v="0"/>
    <s v="EP.0030"/>
    <s v="Enhancing Stakeholders’ Preparedness to Address Immediate Humanitarian Needs in Case of Rapid Onset Emergencies, Ukraine"/>
    <s v="MOVEMENT, EMERGENCY AND POST-CRISIS MIGRATION MANAGEMENT"/>
    <s v="Ukraine"/>
    <n v="4500211576"/>
    <s v=" UA1-2022-3006_IP services for distribution of thermal blankets, kitchen sets, water containers."/>
    <s v="Implementing Partners"/>
    <s v="NGO SPILNA SPRAVA"/>
    <s v="Ukraine"/>
    <n v="1936"/>
    <x v="0"/>
    <x v="0"/>
  </r>
  <r>
    <x v="0"/>
    <s v="EP.0030"/>
    <s v="Enhancing Stakeholders’ Preparedness to Address Immediate Humanitarian Needs in Case of Rapid Onset Emergencies, Ukraine"/>
    <s v="MOVEMENT, EMERGENCY AND POST-CRISIS MIGRATION MANAGEMENT"/>
    <s v="Ukraine"/>
    <n v="4500211592"/>
    <s v=" IP Agreement #UA1-2022-2343 LEG Approval Code: UKR/SS/V207/2022 Implementation of NGO Distribution of Critical Support for IDPs in Ukraine"/>
    <s v="Implementing Partners"/>
    <s v="IVANO-FRANKIVSKE OO"/>
    <s v="Ukraine"/>
    <n v="5988"/>
    <x v="0"/>
    <x v="0"/>
  </r>
  <r>
    <x v="0"/>
    <s v="EP.0030"/>
    <s v="Enhancing Stakeholders’ Preparedness to Address Immediate Humanitarian Needs in Case of Rapid Onset Emergencies, Ukraine"/>
    <s v="MOVEMENT, EMERGENCY AND POST-CRISIS MIGRATION MANAGEMENT"/>
    <s v="Ukraine"/>
    <n v="4500214382"/>
    <s v=" IP services to distribution of solar lamps and baby hygiene kits"/>
    <s v="Implementing Partners"/>
    <s v="FPC UKRAINIAN PRISM"/>
    <s v="Ukraine"/>
    <n v="1170"/>
    <x v="0"/>
    <x v="0"/>
  </r>
  <r>
    <x v="0"/>
    <s v="EP.0030"/>
    <s v="Enhancing Stakeholders’ Preparedness to Address Immediate Humanitarian Needs in Case of Rapid Onset Emergencies, Ukraine"/>
    <s v="MOVEMENT, EMERGENCY AND POST-CRISIS MIGRATION MANAGEMENT"/>
    <s v="Ukraine"/>
    <n v="4500214394"/>
    <s v=" IP services to distribution of NFI, ESK, and other relief items in Ukraine"/>
    <s v="Implementing Partners"/>
    <s v="BF PRAVO NA ZAKHYST"/>
    <s v="Ukraine"/>
    <n v="1111"/>
    <x v="0"/>
    <x v="0"/>
  </r>
  <r>
    <x v="0"/>
    <s v="EP.0030"/>
    <s v="Enhancing Stakeholders’ Preparedness to Address Immediate Humanitarian Needs in Case of Rapid Onset Emergencies, Ukraine"/>
    <s v="MOVEMENT, EMERGENCY AND POST-CRISIS MIGRATION MANAGEMENT"/>
    <s v="Ukraine"/>
    <n v="4500215609"/>
    <s v=" UA1-2022-3008_IP services to distribute NfIs in Ivano-Frankivsk"/>
    <s v="Implementing Partners"/>
    <s v="NGO Caritas I-F Char Foundation"/>
    <s v="Ukraine"/>
    <n v="4870"/>
    <x v="0"/>
    <x v="6"/>
  </r>
  <r>
    <x v="0"/>
    <s v="EP.0030"/>
    <s v="Enhancing Stakeholders’ Preparedness to Address Immediate Humanitarian Needs in Case of Rapid Onset Emergencies, Ukraine"/>
    <s v="MOVEMENT, EMERGENCY AND POST-CRISIS MIGRATION MANAGEMENT"/>
    <s v="Ukraine"/>
    <n v="4500218838"/>
    <s v=" IP for data collection services and field operation support"/>
    <s v="Implementing Partners"/>
    <s v="PO CYI TOP YOUTH"/>
    <s v="Ukraine"/>
    <n v="2459"/>
    <x v="0"/>
    <x v="8"/>
  </r>
  <r>
    <x v="0"/>
    <s v="EP.0030"/>
    <s v="Enhancing Stakeholders’ Preparedness to Address Immediate Humanitarian Needs in Case of Rapid Onset Emergencies, Ukraine"/>
    <s v="MOVEMENT, EMERGENCY AND POST-CRISIS MIGRATION MANAGEMENT"/>
    <s v="Ukraine"/>
    <n v="4500221488"/>
    <s v=" Our Reference: PR NO. (4200257052) UA1-2022-3010_Services of the CF&quot; Charity Foundation&quot; East-SOS&quot; in Ukraine Type of contract signed: Framework Agreement PO is for internal use  - financial tracking only (no signature required)."/>
    <s v="Implementing Partners"/>
    <s v="BF VOSTOK-SOS"/>
    <s v="Ukraine"/>
    <n v="901"/>
    <x v="0"/>
    <x v="0"/>
  </r>
  <r>
    <x v="0"/>
    <s v="EP.0030"/>
    <s v="Enhancing Stakeholders’ Preparedness to Address Immediate Humanitarian Needs in Case of Rapid Onset Emergencies, Ukraine"/>
    <s v="MOVEMENT, EMERGENCY AND POST-CRISIS MIGRATION MANAGEMENT"/>
    <s v="Ukraine"/>
    <n v="4500221500"/>
    <s v=" Our Reference: PR NO. (4200256993) UA1-2022-3012_IP for NFI items distribution_NGO Rotary Club Kyiv International Type of contract signed: Framework Agreement PO is for internal use  - financial tracking only (no signature required)."/>
    <s v="Implementing Partners"/>
    <s v="HO ROTARI KLUB KYIV INTERNESHENAL"/>
    <s v="Ukraine"/>
    <n v="16382"/>
    <x v="0"/>
    <x v="0"/>
  </r>
  <r>
    <x v="0"/>
    <s v="EP.0030"/>
    <s v="Enhancing Stakeholders’ Preparedness to Address Immediate Humanitarian Needs in Case of Rapid Onset Emergencies, Ukraine"/>
    <s v="MOVEMENT, EMERGENCY AND POST-CRISIS MIGRATION MANAGEMENT"/>
    <s v="Ukraine"/>
    <n v="4500222876"/>
    <s v=" PR NO. (4200257010) UA1-2022-3011_Services of Taras Shevchenko Ternopil Regional Association of Ukrainian Society &quot;Prosvita&quot;  Type of contract signed: Framework agreement NFIS/UA/2022/019 dd 04.04.2022  PO is for internal use  - financial tracking only ("/>
    <s v="Implementing Partners"/>
    <s v="PROSVITA IM.TARASA SHEVCHENKA"/>
    <s v="Ukraine"/>
    <n v="1230"/>
    <x v="0"/>
    <x v="0"/>
  </r>
  <r>
    <x v="0"/>
    <s v="EP.0030"/>
    <s v="Enhancing Stakeholders’ Preparedness to Address Immediate Humanitarian Needs in Case of Rapid Onset Emergencies, Ukraine"/>
    <s v="MOVEMENT, EMERGENCY AND POST-CRISIS MIGRATION MANAGEMENT"/>
    <s v="Ukraine"/>
    <n v="4500222879"/>
    <s v=" PR NO. (4200263150) UA1-2022-3013_IP_E&lt;(&gt;&amp;&lt;)&gt;S_NFIs items distribute_Lviv region  Type of contract signed: Framework agreement NFIS/UA/2022/031 dd 11.05.2022 / Amendment dd 07.06.2022  PO is for internal use  - financial tracking only (no signature requi"/>
    <s v="Implementing Partners"/>
    <s v="NGO EUROPEAN  DIALOGUE"/>
    <s v="Ukraine"/>
    <n v="383"/>
    <x v="0"/>
    <x v="0"/>
  </r>
  <r>
    <x v="0"/>
    <s v="EP.0030"/>
    <s v="Enhancing Stakeholders’ Preparedness to Address Immediate Humanitarian Needs in Case of Rapid Onset Emergencies, Ukraine"/>
    <s v="MOVEMENT, EMERGENCY AND POST-CRISIS MIGRATION MANAGEMENT"/>
    <s v="Ukraine"/>
    <n v="4500227953"/>
    <s v=" Our Reference: PR NO. (4200282138) UA1-2022-3022_IP Distribution of NFIs in Donetsk and Dnipropetrovsk oblasts  Type of contract signed: Agreement  PO is for internal use  - financial tracking only (no signature required)."/>
    <s v="Implementing Partners"/>
    <s v="CO CF IMPLEMENTATION OF IDEAS"/>
    <s v="Ukraine"/>
    <n v="10032"/>
    <x v="0"/>
    <x v="0"/>
  </r>
  <r>
    <x v="0"/>
    <s v="EP.0030"/>
    <s v="Enhancing Stakeholders’ Preparedness to Address Immediate Humanitarian Needs in Case of Rapid Onset Emergencies, Ukraine"/>
    <s v="MOVEMENT, EMERGENCY AND POST-CRISIS MIGRATION MANAGEMENT"/>
    <s v="Ukraine"/>
    <n v="4500230824"/>
    <s v=" PR NO. (4200288992) UA1-2022-3025_IP services for distribution of items_Vinnitska Oblast  Type of contract signed: Framework agreement NFIS/UA/2022/009 dd 23.03.2022  PO is for internal use  - financial tracking only (no signature required)."/>
    <s v="Implementing Partners"/>
    <s v="ICF FRIENDS HANDS"/>
    <s v="Ukraine"/>
    <n v="20180"/>
    <x v="0"/>
    <x v="0"/>
  </r>
  <r>
    <x v="0"/>
    <s v="EP.0030"/>
    <s v="Enhancing Stakeholders’ Preparedness to Address Immediate Humanitarian Needs in Case of Rapid Onset Emergencies, Ukraine"/>
    <s v="MOVEMENT, EMERGENCY AND POST-CRISIS MIGRATION MANAGEMENT"/>
    <s v="Ukraine"/>
    <n v="4500230849"/>
    <s v=" PR NO. (4200284835) UA1-2022-3029_IP services for distribution NFIs in Mykolaivska Oblast  Type of contract signed: Framework agreement NFIS/UA/2022/015 dd 25.03.2022  PO is for internal use  - financial tracking only (no signature required)."/>
    <s v="Implementing Partners"/>
    <s v="PA DREAMACTION"/>
    <s v="Ukraine"/>
    <n v="11101"/>
    <x v="0"/>
    <x v="0"/>
  </r>
  <r>
    <x v="0"/>
    <s v="EP.0030"/>
    <s v="Enhancing Stakeholders’ Preparedness to Address Immediate Humanitarian Needs in Case of Rapid Onset Emergencies, Ukraine"/>
    <s v="MOVEMENT, EMERGENCY AND POST-CRISIS MIGRATION MANAGEMENT"/>
    <s v="Ukraine"/>
    <n v="4500232729"/>
    <s v=" Our Reference: PR NO. (4200290948) UA1-2022-3027_IP engagement, NGO &quot;Friends Hands&quot; for CCCM activities, Vinnytsia oblast  Type of contract signed: PIA  PO is for internal use  - financial tracking only (no signature required). Created before service is"/>
    <s v="Implementing Partners"/>
    <s v="ICF FRIENDS HANDS"/>
    <s v="Ukraine"/>
    <n v="51040"/>
    <x v="0"/>
    <x v="0"/>
  </r>
  <r>
    <x v="0"/>
    <s v="EP.0030"/>
    <s v="Enhancing Stakeholders’ Preparedness to Address Immediate Humanitarian Needs in Case of Rapid Onset Emergencies, Ukraine"/>
    <s v="MOVEMENT, EMERGENCY AND POST-CRISIS MIGRATION MANAGEMENT"/>
    <s v="Ukraine"/>
    <n v="4500232945"/>
    <s v=" Our Reference: PR NO. (4200286627, 4200295820) UA1-2022-3024_IP Spilna Sprava, distribution of NFIS  Type of contract signed: Framework Agreement  PO is for internal use  - financial tracking only (no signature required). Created before service is render"/>
    <s v="Implementing Partners"/>
    <s v="NGO SPILNA SPRAVA"/>
    <s v="Ukraine"/>
    <n v="16542"/>
    <x v="0"/>
    <x v="0"/>
  </r>
  <r>
    <x v="0"/>
    <s v="EP.0030"/>
    <s v="Enhancing Stakeholders’ Preparedness to Address Immediate Humanitarian Needs in Case of Rapid Onset Emergencies, Ukraine"/>
    <s v="MOVEMENT, EMERGENCY AND POST-CRISIS MIGRATION MANAGEMENT"/>
    <s v="Ukraine"/>
    <n v="4500235383"/>
    <s v=" Our Reference: PR NO. (4200291004) UA1-2022-3026_IP Engagement, NGO Spilna sprava for CCCM activities, Vinnytsia oblast  Type of contract signed: PIA  PO is for internal use  - financial tracking only (no signature required). Created before service is re"/>
    <s v="Implementing Partners"/>
    <s v="NGO SPILNA SPRAVA"/>
    <s v="Ukraine"/>
    <n v="66560"/>
    <x v="0"/>
    <x v="0"/>
  </r>
  <r>
    <x v="0"/>
    <s v="EP.0030"/>
    <s v="Enhancing Stakeholders’ Preparedness to Address Immediate Humanitarian Needs in Case of Rapid Onset Emergencies, Ukraine"/>
    <s v="MOVEMENT, EMERGENCY AND POST-CRISIS MIGRATION MANAGEMENT"/>
    <s v="Ukraine"/>
    <n v="4500235747"/>
    <s v=" IP for NFIs distribution of 1500 Personal Hygiene Kits and 60 Institutional Hygiene Kits in Khmelnytska oblast under Frame Agreement"/>
    <s v="Implementing Partners"/>
    <s v="NGO ZHINOCHYI ANTYKORUPTSIINYI RUKH"/>
    <s v="Ukraine"/>
    <n v="6130"/>
    <x v="0"/>
    <x v="0"/>
  </r>
  <r>
    <x v="0"/>
    <s v="EP.0030"/>
    <s v="Enhancing Stakeholders’ Preparedness to Address Immediate Humanitarian Needs in Case of Rapid Onset Emergencies, Ukraine"/>
    <s v="MOVEMENT, EMERGENCY AND POST-CRISIS MIGRATION MANAGEMENT"/>
    <s v="Ukraine"/>
    <n v="4500235778"/>
    <s v=" Our Reference: PR NO. (4200265336) UA1-2022-3016_IP_Data Collection Services_Chernivtsi_The Committee of Voters  Type of contract signed: Service agreement  PO is for internal use  - financial tracking only (no signature required). Created after service"/>
    <s v="Implementing Partners"/>
    <s v="CHERNIVTSI COMMITTEE OF VOTERS"/>
    <s v="Ukraine"/>
    <n v="5445"/>
    <x v="0"/>
    <x v="0"/>
  </r>
  <r>
    <x v="0"/>
    <s v="EP.0030"/>
    <s v="Enhancing Stakeholders’ Preparedness to Address Immediate Humanitarian Needs in Case of Rapid Onset Emergencies, Ukraine"/>
    <s v="MOVEMENT, EMERGENCY AND POST-CRISIS MIGRATION MANAGEMENT"/>
    <s v="Ukraine"/>
    <n v="4500235825"/>
    <s v=" Our Reference: PR NO. (4200301350) UA1-2022-3030_IP_Distribution of items in Donetsk, Dnipro and Kirovohrad regions  Type of contract signed: Framework agreement  PO is for internal use  - financial tracking only (no signature required). Created before s"/>
    <s v="Implementing Partners"/>
    <s v="PO JOINTLY"/>
    <s v="Ukraine"/>
    <n v="3561"/>
    <x v="0"/>
    <x v="8"/>
  </r>
  <r>
    <x v="0"/>
    <s v="EP.0030"/>
    <s v="Enhancing Stakeholders’ Preparedness to Address Immediate Humanitarian Needs in Case of Rapid Onset Emergencies, Ukraine"/>
    <s v="MOVEMENT, EMERGENCY AND POST-CRISIS MIGRATION MANAGEMENT"/>
    <s v="Ukraine"/>
    <n v="4500238402"/>
    <s v=" Our Reference: PR NO. (4200256951) UA1-2022-3018_IP Services of the All-Ukrainian NGO Ukrainian Association of Business Support Centers in Ukraine  Type of contract signed: Framework agreement  PO is for internal use  - financial tracking only (no signat"/>
    <s v="Implementing Partners"/>
    <s v="NGO UKRAINSKA ASOTSIATSIIA TSENTRIV"/>
    <s v="Ukraine"/>
    <n v="2678"/>
    <x v="0"/>
    <x v="0"/>
  </r>
  <r>
    <x v="0"/>
    <s v="EP.0030"/>
    <s v="Enhancing Stakeholders’ Preparedness to Address Immediate Humanitarian Needs in Case of Rapid Onset Emergencies, Ukraine"/>
    <s v="MOVEMENT, EMERGENCY AND POST-CRISIS MIGRATION MANAGEMENT"/>
    <s v="Ukraine"/>
    <n v="4500238689"/>
    <s v=" IP services_Distribution of items_Kharkivska Oblast  IP services for distribution of 1350  tarpaulins, 23 Snails, 45 Lnails, 450 ropes,  450 hammers, 282 mattr, 707 WK, 450 plywood, 750 HK for HH"/>
    <s v="Implementing Partners"/>
    <s v="CFSR"/>
    <s v="Ukraine"/>
    <n v="11718"/>
    <x v="0"/>
    <x v="0"/>
  </r>
  <r>
    <x v="0"/>
    <s v="EP.0030"/>
    <s v="Enhancing Stakeholders’ Preparedness to Address Immediate Humanitarian Needs in Case of Rapid Onset Emergencies, Ukraine"/>
    <s v="MOVEMENT, EMERGENCY AND POST-CRISIS MIGRATION MANAGEMENT"/>
    <s v="Ukraine"/>
    <n v="4500239883"/>
    <s v=" Our Reference: PR NO. (4200303564) UA1-2022-5206.2_IP services_Assessment and monitoring of shelters in Poltava  Type of contract signed: Service agreement  PO is for internal use  - financial tracking only (no signature required). Created after service"/>
    <s v="Implementing Partners"/>
    <s v="HO ROTARI KLUB KYIV INTERNESHENAL"/>
    <s v="Ukraine"/>
    <n v="3600"/>
    <x v="0"/>
    <x v="0"/>
  </r>
  <r>
    <x v="0"/>
    <s v="EP.0030"/>
    <s v="Enhancing Stakeholders’ Preparedness to Address Immediate Humanitarian Needs in Case of Rapid Onset Emergencies, Ukraine"/>
    <s v="MOVEMENT, EMERGENCY AND POST-CRISIS MIGRATION MANAGEMENT"/>
    <s v="Ukraine"/>
    <n v="4500246484"/>
    <s v=" IP services in Ivano-Frankivsk and Lviv regions_CCCM"/>
    <s v="Implementing Partners"/>
    <s v="IVANO-FRANKIVSKE OO"/>
    <s v="Ukraine"/>
    <n v="70925"/>
    <x v="0"/>
    <x v="0"/>
  </r>
  <r>
    <x v="0"/>
    <s v="EP.0030"/>
    <s v="Enhancing Stakeholders’ Preparedness to Address Immediate Humanitarian Needs in Case of Rapid Onset Emergencies, Ukraine"/>
    <s v="MOVEMENT, EMERGENCY AND POST-CRISIS MIGRATION MANAGEMENT"/>
    <s v="Ukraine"/>
    <n v="4500247615"/>
    <s v=" IP Services_Ensuring comprehensive protection response in Donetsk and Zaporizhzhia Obl"/>
    <s v="Implementing Partners"/>
    <s v="ALLIANCE FOR CIVIL RIGHTS"/>
    <s v="Ukraine"/>
    <n v="26774"/>
    <x v="0"/>
    <x v="0"/>
  </r>
  <r>
    <x v="0"/>
    <s v="EP.0030"/>
    <s v="Enhancing Stakeholders’ Preparedness to Address Immediate Humanitarian Needs in Case of Rapid Onset Emergencies, Ukraine"/>
    <s v="MOVEMENT, EMERGENCY AND POST-CRISIS MIGRATION MANAGEMENT"/>
    <s v="Ukraine"/>
    <n v="4500247935"/>
    <s v=" UA1-2022-3048_IP services for distribution of NFI and WASH items in Rivnenska Oblast, Rivne and Dubno Raions - Distribution of 6144 blankets, 4464 mattresses, 4096 bedding kits, 3828 kitchen sets, 3328 HK for HH and 30 Institutional HK"/>
    <s v="Implementing Partners"/>
    <s v="VOLYNSKYY RESURSNYY TSENTR"/>
    <s v="Ukraine"/>
    <n v="3133"/>
    <x v="0"/>
    <x v="3"/>
  </r>
  <r>
    <x v="0"/>
    <s v="EP.0030"/>
    <s v="Enhancing Stakeholders’ Preparedness to Address Immediate Humanitarian Needs in Case of Rapid Onset Emergencies, Ukraine"/>
    <s v="MOVEMENT, EMERGENCY AND POST-CRISIS MIGRATION MANAGEMENT"/>
    <s v="Ukraine"/>
    <n v="4500248523"/>
    <s v=" IP services for the project on CHT, exploitation and GBV_Chernihiv obl"/>
    <s v="Implementing Partners"/>
    <s v="NGO Chernihiv Publ Com for HRP"/>
    <s v="Ukraine"/>
    <n v="24248"/>
    <x v="0"/>
    <x v="0"/>
  </r>
  <r>
    <x v="0"/>
    <s v="EP.0030"/>
    <s v="Enhancing Stakeholders’ Preparedness to Address Immediate Humanitarian Needs in Case of Rapid Onset Emergencies, Ukraine"/>
    <s v="MOVEMENT, EMERGENCY AND POST-CRISIS MIGRATION MANAGEMENT"/>
    <s v="Ukraine"/>
    <n v="4500248975"/>
    <s v=" IP services_Ensuring comprehensive protection response in Kyiv oblast"/>
    <s v="Implementing Partners"/>
    <s v="Charitable Foundation Caritas-Kyiv"/>
    <s v="Ukraine"/>
    <n v="25792"/>
    <x v="0"/>
    <x v="6"/>
  </r>
  <r>
    <x v="0"/>
    <s v="EP.0030"/>
    <s v="Enhancing Stakeholders’ Preparedness to Address Immediate Humanitarian Needs in Case of Rapid Onset Emergencies, Ukraine"/>
    <s v="MOVEMENT, EMERGENCY AND POST-CRISIS MIGRATION MANAGEMENT"/>
    <s v="Ukraine"/>
    <n v="4500249545"/>
    <s v=" UA1-2022-3054_IP Rotary Club to support CCCM activities (assessments and distribution, cash registration) in Dnipro, Poltava, Kyiv and other locations"/>
    <s v="Implementing Partners"/>
    <s v="HO ROTARI KLUB KYIV INTERNESHENAL"/>
    <s v="Ukraine"/>
    <n v="95054"/>
    <x v="0"/>
    <x v="0"/>
  </r>
  <r>
    <x v="0"/>
    <s v="EP.0030"/>
    <s v="Enhancing Stakeholders’ Preparedness to Address Immediate Humanitarian Needs in Case of Rapid Onset Emergencies, Ukraine"/>
    <s v="MOVEMENT, EMERGENCY AND POST-CRISIS MIGRATION MANAGEMENT"/>
    <s v="Ukraine"/>
    <n v="4500249921"/>
    <s v=" IP services_Ensuring comprehensive protection response in Kirovohrad oblast"/>
    <s v="Implementing Partners"/>
    <s v="CLEAR PAPER"/>
    <s v="Ukraine"/>
    <n v="28682"/>
    <x v="0"/>
    <x v="0"/>
  </r>
  <r>
    <x v="0"/>
    <s v="EP.0030"/>
    <s v="Enhancing Stakeholders’ Preparedness to Address Immediate Humanitarian Needs in Case of Rapid Onset Emergencies, Ukraine"/>
    <s v="MOVEMENT, EMERGENCY AND POST-CRISIS MIGRATION MANAGEMENT"/>
    <s v="Ukraine"/>
    <n v="4500251584"/>
    <s v=" Our Reference: PR NO. (4200334713) UA1-2022-3061_IP services for distribution of items in Lvivska Oblast  Type of contract signed: Framework agreement  PO is for internal use  - financial tracking only (no signature required)."/>
    <s v="Implementing Partners"/>
    <s v="NGO EUROPEAN  DIALOGUE"/>
    <s v="Ukraine"/>
    <n v="21588"/>
    <x v="0"/>
    <x v="0"/>
  </r>
  <r>
    <x v="0"/>
    <s v="EP.0030"/>
    <s v="Enhancing Stakeholders’ Preparedness to Address Immediate Humanitarian Needs in Case of Rapid Onset Emergencies, Ukraine"/>
    <s v="MOVEMENT, EMERGENCY AND POST-CRISIS MIGRATION MANAGEMENT"/>
    <s v="Ukraine"/>
    <n v="4500255732"/>
    <s v=" Our Reference: PR NO. (4200289040) UA1-2022-3028_IP services for distribution of items_Dnipropetrovska Oblast  Type of contract signed: Framework agreement  PO is for internal use - financial tracking only (no signature required)."/>
    <s v="Implementing Partners"/>
    <s v="NGO TSENTR STATUM"/>
    <s v="Ukraine"/>
    <n v="5298"/>
    <x v="0"/>
    <x v="0"/>
  </r>
  <r>
    <x v="0"/>
    <s v="EP.0030"/>
    <s v="Enhancing Stakeholders’ Preparedness to Address Immediate Humanitarian Needs in Case of Rapid Onset Emergencies, Ukraine"/>
    <s v="MOVEMENT, EMERGENCY AND POST-CRISIS MIGRATION MANAGEMENT"/>
    <s v="Ukraine"/>
    <n v="4500261416"/>
    <s v=" Camp Coordination and Camp Management (CCCM) Operational Activities in in the Zakarpattia oblast"/>
    <s v="Implementing Partners"/>
    <s v="ZRCO EDELWEISS"/>
    <s v="Ukraine"/>
    <n v="55000"/>
    <x v="0"/>
    <x v="0"/>
  </r>
  <r>
    <x v="0"/>
    <s v="EP.0030"/>
    <s v="Enhancing Stakeholders’ Preparedness to Address Immediate Humanitarian Needs in Case of Rapid Onset Emergencies, Ukraine"/>
    <s v="MOVEMENT, EMERGENCY AND POST-CRISIS MIGRATION MANAGEMENT"/>
    <s v="Ukraine"/>
    <n v="4500275116"/>
    <s v=" IP Services for Distribution of Emergency Shelter kits, in multiple oblasts"/>
    <s v="Implementing Partners"/>
    <s v="HO ROTARI KLUB KYIV INTERNESHENAL"/>
    <s v="Ukraine"/>
    <n v="217273"/>
    <x v="0"/>
    <x v="0"/>
  </r>
  <r>
    <x v="0"/>
    <s v="EP.0031"/>
    <s v="Prepositioning and Distribution of Critical Winterization Support for Most Vulnerable Communities in the Eastern Conflict Area of Ukraine"/>
    <s v="MOVEMENT, EMERGENCY AND POST-CRISIS MIGRATION MANAGEMENT"/>
    <s v="Ukraine"/>
    <n v="4500213017"/>
    <s v=" IP services to distribute 6,000 blankets in Ivano-Frankivsk Oblast"/>
    <s v="Implementing Partners"/>
    <s v="NGO Caritas I-F Char Foundation"/>
    <s v="Ukraine"/>
    <n v="4990"/>
    <x v="0"/>
    <x v="6"/>
  </r>
  <r>
    <x v="0"/>
    <s v="MP.0204"/>
    <s v="Regional Humanitarian Response to Venezuelan Migrants, Refugees and Vulnerable Populations - Phase II"/>
    <s v="MIGRATION HEALTH"/>
    <s v="Ecuador"/>
    <n v="4500212014"/>
    <s v=" ACUERDO DE IMPLEMENTACIÓN DE PROYECTO entre la Organización Internacional para las Migraciones (OIM) y CHILDFUND INTERNATIONAL USA.  Núm. Ref. de la Oficina de la OIM: IP-2022-03 Código de Proyecto OIM: MP.0204"/>
    <s v="Implementing Partners"/>
    <s v="CHILDFUND INTERNATIONAL USA"/>
    <s v="Ecuador"/>
    <n v="126752"/>
    <x v="0"/>
    <x v="1"/>
  </r>
  <r>
    <x v="0"/>
    <s v="MP.0204"/>
    <s v="Regional Humanitarian Response to Venezuelan Migrants, Refugees and Vulnerable Populations - Phase II"/>
    <s v="MIGRATION HEALTH"/>
    <s v="Ecuador"/>
    <n v="4500237635"/>
    <s v=" PR 4200275159  IP Contratación socio implementador CARITAS - Ferias de servicios  ACUERDO DE IMPLEMENTACIÓN DE PROYECTO entre la Organización Internacional para las Migraciones (OIM) y Pastoral Social Cáritas Ecuador (PSCE) relativo a Organización e impl"/>
    <s v="Implementing Partners"/>
    <s v="Pastoral Social Caritas Ecuador"/>
    <s v="Ecuador"/>
    <n v="26000"/>
    <x v="0"/>
    <x v="6"/>
  </r>
  <r>
    <x v="0"/>
    <s v="MP.0204"/>
    <s v="Regional Humanitarian Response to Venezuelan Migrants, Refugees and Vulnerable Populations - Phase II"/>
    <s v="MIGRATION HEALTH"/>
    <s v="Ecuador"/>
    <n v="4500240465"/>
    <s v=" PR 4200294150 y 4200361024 (ADENDA 1).  CAMOR Emprendimientos para cuidadores/as de NNA con discapacidad y/o neurodiversidad entre la Organización Internacional para las Migraciones (OIM) y Corporación Agencia Adventista de Desarrollo y Recursos Asistenc"/>
    <s v="Implementing Partners"/>
    <s v="ADRA"/>
    <s v="Ecuador"/>
    <n v="5000"/>
    <x v="0"/>
    <x v="1"/>
  </r>
  <r>
    <x v="0"/>
    <s v="MP.0204"/>
    <s v="Regional Humanitarian Response to Venezuelan Migrants, Refugees and Vulnerable Populations - Phase II"/>
    <s v="MIGRATION HEALTH"/>
    <s v="Panama"/>
    <n v="4500200473"/>
    <s v=" Empowering and Protecting Migrants and Refugees amidst a crisis: Integral Response to Venezuelan Migrants and Refugees through Fundación Scalabrini Bolivia (FUSB), member of the Scalabrini International Migration Network, in Bolivia"/>
    <s v="Implementing Partners"/>
    <s v="Scalabrini International Migration"/>
    <s v="USA"/>
    <n v="14000"/>
    <x v="0"/>
    <x v="1"/>
  </r>
  <r>
    <x v="0"/>
    <s v="MP.0204"/>
    <s v="Regional Humanitarian Response to Venezuelan Migrants, Refugees and Vulnerable Populations - Phase II"/>
    <s v="MIGRATION HEALTH"/>
    <s v="Panama"/>
    <n v="4500201854"/>
    <s v=" Shelter Manta, Manabí, Ecuador (SIMN)-Empowering and Protecting Migrants and Refugees PR-4200222010"/>
    <s v="Implementing Partners"/>
    <s v="Scalabrini International Migration"/>
    <s v="USA"/>
    <n v="20000"/>
    <x v="0"/>
    <x v="1"/>
  </r>
  <r>
    <x v="0"/>
    <s v="MP.0204"/>
    <s v="Regional Humanitarian Response to Venezuelan Migrants, Refugees and Vulnerable Populations - Phase II"/>
    <s v="MIGRATION HEALTH"/>
    <s v="Venezuela (BR)"/>
    <n v="4500221379"/>
    <s v=" SDC.2022.239 - ACUERDO DE IMPLEMENTACION DE PROYECTO RELATIVO A ATENCIÓN PUNTOS MOVILES PAGADERO EN EL PLAZO DE DIEZ (10) DÍAS LUEGO DE LA FIRMA DEL PRESENTE ACUERDO Y CUANDO LA OIM HAYA RECIBIDO LA SOLICITUD DE PAGO DE PARTE DEL ASOCIADO EN LA EJECUCIÓN"/>
    <s v="Implementing Partners"/>
    <s v="DIOCESIS DE SAN CRISTOBAL"/>
    <s v="Venezuela"/>
    <n v="16800"/>
    <x v="0"/>
    <x v="5"/>
  </r>
  <r>
    <x v="0"/>
    <s v="MP.0204"/>
    <s v="Regional Humanitarian Response to Venezuelan Migrants, Refugees and Vulnerable Populations - Phase II"/>
    <s v="MIGRATION HEALTH"/>
    <s v="Venezuela (BR)"/>
    <n v="4500221810"/>
    <s v=" SDC.2022.253 - ACUERDO DE IMPLEMENTACION DE PROYECTO RESPUESTA REGIONAL HUMANITARIA A MIGRANTES, REFUGIADOS Y POBLACIONES VENEZOLANAS VULNERABLES PAGADERO EN EL PLAZO DE QUINCE (15) DÍAS LUEGO DE LA FIRMA DEL PRESENTE ACUERDO Y CUANDO LA OIM HAYA RECIBIDO"/>
    <s v="Implementing Partners"/>
    <s v="ASOC C CARITAS DE VENEZUELA"/>
    <s v="Venezuela"/>
    <n v="19032"/>
    <x v="0"/>
    <x v="6"/>
  </r>
  <r>
    <x v="0"/>
    <s v="MP.0248"/>
    <s v="Prevention and Response to Acute Trafficking in People, Mental Health and Psychosocial Concerns in North-East Nigeria, Phase 2"/>
    <s v="MIGRATION HEALTH"/>
    <s v="Nigeria"/>
    <n v="4500244683"/>
    <s v=" artnership with UNIMAID on Professional Master’s Degree on MHPSS in Counselling and Conflict Transformation PR Ref: 4200203956_ 4200090818"/>
    <s v="Implementing Partners"/>
    <s v="CENTER FOR PEACE, DIPLOMATIC AND DE"/>
    <s v="Nigeria"/>
    <n v="6323"/>
    <x v="0"/>
    <x v="2"/>
  </r>
  <r>
    <x v="0"/>
    <s v="MP.0308"/>
    <s v="Introducing COVID-19 Rapid Tests in Mobile and Conflict Afflicted Population"/>
    <s v="MIGRATION HEALTH"/>
    <s v="Turkey"/>
    <n v="4600629156"/>
    <s v=" Project Title: Introduction of COVID-19 Rapid Tests in Mobile and Conflict-Afflicted Populations in Northwest Syria"/>
    <s v="Implementing Partners"/>
    <s v="Hand in Hand for Aid &amp; Development"/>
    <s v="Turkey"/>
    <n v="95233"/>
    <x v="0"/>
    <x v="1"/>
  </r>
  <r>
    <x v="0"/>
    <s v="MP.0370"/>
    <s v="Advancing the Global Health Security Agenda through Strengthening Capacities for Rapid Response to Humanitarian and Public Health Emergencies"/>
    <s v="MIGRATION HEALTH"/>
    <s v="Ethiopia"/>
    <n v="4500271891"/>
    <s v=" IP FIDO Emergency WASH Response for drought - affected at East Bale zone ,Oromia region at a total  110,168.88 USD."/>
    <s v="Implementing Partners"/>
    <s v="Fayyaa Integrated Development Org."/>
    <s v="Ethiopia"/>
    <n v="220338"/>
    <x v="0"/>
    <x v="0"/>
  </r>
  <r>
    <x v="0"/>
    <s v="MP.0370"/>
    <s v="Advancing the Global Health Security Agenda through Strengthening Capacities for Rapid Response to Humanitarian and Public Health Emergencies"/>
    <s v="MIGRATION HEALTH"/>
    <s v="Peru"/>
    <n v="4500229050"/>
    <s v=" Servicio de aplicación de encuesta Bioconductual Migrantes Venezolanos"/>
    <s v="Implementing Partners"/>
    <s v="Socios en Salud Sucursal Perú"/>
    <s v="Peru"/>
    <n v="140605"/>
    <x v="0"/>
    <x v="1"/>
  </r>
  <r>
    <x v="0"/>
    <s v="MP.0370"/>
    <s v="Advancing the Global Health Security Agenda through Strengthening Capacities for Rapid Response to Humanitarian and Public Health Emergencies"/>
    <s v="MIGRATION HEALTH"/>
    <s v="Tajikistan"/>
    <n v="4500212551"/>
    <s v=" Event management/logistical support in implementation of activities under IOM Project – &quot;Enhancing Health and Border Management in Kazakhstan, Kyrgyzstan, Tajikistan, and Uzbekistan to Respond to COVID-19 And Other Communicable Diseases”, in Kulob on 18"/>
    <s v="Implementing Partners"/>
    <s v="NGO Mayram"/>
    <s v="Tajikistan"/>
    <n v="522"/>
    <x v="0"/>
    <x v="0"/>
  </r>
  <r>
    <x v="0"/>
    <s v="MP.0370"/>
    <s v="Advancing the Global Health Security Agenda through Strengthening Capacities for Rapid Response to Humanitarian and Public Health Emergencies"/>
    <s v="MIGRATION HEALTH"/>
    <s v="Tajikistan"/>
    <n v="4500212553"/>
    <s v=" Event management/logistical support in implementation of activities under IOM Project – &quot;Enhancing Health and Border Management in Kazakhstan, Kyrgyzstan, Tajikistan, and Uzbekistan to Respond to COVID-19 And Other Communicable Diseases&quot;, in Kulob on 18"/>
    <s v="Implementing Partners"/>
    <s v="NGO Women of East"/>
    <s v="Tajikistan"/>
    <n v="215"/>
    <x v="0"/>
    <x v="0"/>
  </r>
  <r>
    <x v="0"/>
    <s v="MP.0370"/>
    <s v="Advancing the Global Health Security Agenda through Strengthening Capacities for Rapid Response to Humanitarian and Public Health Emergencies"/>
    <s v="MIGRATION HEALTH"/>
    <s v="Thailand"/>
    <n v="4500212986"/>
    <s v=" PR#4200232321,4200232329, BAS &lt;(&gt;&amp;&lt;)&gt; TOR are attached"/>
    <s v="Implementing Partners"/>
    <s v="World Vision Foundation of Thailand"/>
    <s v="Thailand"/>
    <n v="6967"/>
    <x v="0"/>
    <x v="1"/>
  </r>
  <r>
    <x v="0"/>
    <s v="MP.0371"/>
    <s v="Middle East Response – Ensuring Continuity of Treatment and Essential Services for People Affected by HIV, TB and Malaria in Yemen, Syria, Iraq, Jordan, Lebanon and Palestine."/>
    <s v="MIGRATION HEALTH"/>
    <s v="Jordan"/>
    <n v="4500190416"/>
    <s v=" Sub-Recipient Agreement between IOM and WHO EMRO under the Global Fund MER project  LEG Code: JOR/UNIM/MM0230/2021 IRQ LBN SYR YEM IOM PR# : 4200199395 Global Fund Grant Name&lt;(&gt;&amp;&lt;)&gt; Number: QSF-Z-IOM-2765  Start Date: 1 January 2022 End Date  : 31 Decemb"/>
    <s v="Implementing Partners"/>
    <s v="WORLD HEALTH ORGANIZATION - EMRO"/>
    <s v="Egypt"/>
    <n v="1316408"/>
    <x v="0"/>
    <x v="7"/>
  </r>
  <r>
    <x v="0"/>
    <s v="MP.0371"/>
    <s v="Middle East Response – Ensuring Continuity of Treatment and Essential Services for People Affected by HIV, TB and Malaria in Yemen, Syria, Iraq, Jordan, Lebanon and Palestine."/>
    <s v="MIGRATION HEALTH"/>
    <s v="Jordan"/>
    <n v="4500200960"/>
    <s v=" Grant Reference Code: QSF-Z-IOM  Start Date: 01 Juanuary 2022 End Date:   31 December 2024  Activities: Technical activities - Case detection, Lab testing and Capacity building.  Contribution Amount: USD2,795,160.00  WHO Contact:  Dr. Akjemal Magtymova W"/>
    <s v="Implementing Partners"/>
    <s v="WORLD HEALTH ORGANIZATION - SYRIA"/>
    <s v="Egypt"/>
    <n v="2795160"/>
    <x v="0"/>
    <x v="7"/>
  </r>
  <r>
    <x v="0"/>
    <s v="MP.0371"/>
    <s v="Middle East Response – Ensuring Continuity of Treatment and Essential Services for People Affected by HIV, TB and Malaria in Yemen, Syria, Iraq, Jordan, Lebanon and Palestine."/>
    <s v="MIGRATION HEALTH"/>
    <s v="Jordan"/>
    <n v="4500205253"/>
    <s v=" Extend services by local CBO to KVPs ,refugees ,migrants and other vulnerable including the drop-in center,  HTS, collaboration with primary and secondary healthcare providers and STI investigations."/>
    <s v="Implementing Partners"/>
    <s v="FOREAMS OF CHANGE CENTER TO ENABLE"/>
    <s v="Jordan"/>
    <n v="359996"/>
    <x v="0"/>
    <x v="0"/>
  </r>
  <r>
    <x v="0"/>
    <s v="MP.0371"/>
    <s v="Middle East Response – Ensuring Continuity of Treatment and Essential Services for People Affected by HIV, TB and Malaria in Yemen, Syria, Iraq, Jordan, Lebanon and Palestine."/>
    <s v="MIGRATION HEALTH"/>
    <s v="Lebanon"/>
    <n v="4500195004"/>
    <s v=" Make use of the findings of the HIV programme review to develop: a national strategic plan for the next three years (2021-2023), a costed operational plan for the NSP implementation and a national M&lt;(&gt;&amp;&lt;)&gt;E plan to monitor progress of the operational pla"/>
    <s v="Implementing Partners"/>
    <s v="WHO Lebanon"/>
    <s v="Lebanon"/>
    <n v="777399"/>
    <x v="0"/>
    <x v="7"/>
  </r>
  <r>
    <x v="0"/>
    <s v="MP.0523"/>
    <s v="Health and Gender Support Project for Cox's Bazar District"/>
    <s v="MIGRATION HEALTH"/>
    <s v="Bangladesh"/>
    <n v="4500183469"/>
    <s v=" Fund Transfer to IP Mukti Cox's Bazar PR#4200183652 Duration: January to December 2022 Program: MHD Requester: Md. Alamgir Miah"/>
    <s v="Implementing Partners"/>
    <s v="MUKTI Cox's Bazar"/>
    <s v="Bangladesh"/>
    <n v="500000"/>
    <x v="0"/>
    <x v="3"/>
  </r>
  <r>
    <x v="0"/>
    <s v="MP.0523"/>
    <s v="Health and Gender Support Project for Cox's Bazar District"/>
    <s v="MIGRATION HEALTH"/>
    <s v="Bangladesh"/>
    <n v="4500183470"/>
    <s v=" Fund Transfer to IP Bangla-German Sampreeti(BGS) PR#4200183644 Duration: January to December 2022 Program: MHD Requester: Md. Anamul"/>
    <s v="Implementing Partners"/>
    <s v="BANGLA-GERMAN SAMPREETI"/>
    <s v="Bangladesh"/>
    <n v="350000"/>
    <x v="0"/>
    <x v="0"/>
  </r>
  <r>
    <x v="0"/>
    <s v="MP.0523"/>
    <s v="Health and Gender Support Project for Cox's Bazar District"/>
    <s v="MIGRATION HEALTH"/>
    <s v="Bangladesh"/>
    <n v="4500234657"/>
    <s v=" Fund Transfer to IP RTMI(Extension) PR#4200276513 Program: Medical Response Duration: July 1, 2022 to December 31, 2022 Requester: Md. Alamgir Miah"/>
    <s v="Implementing Partners"/>
    <s v="RESEARCH TRAINING &amp; MANAGEMENT INT"/>
    <s v="Bangladesh"/>
    <n v="39678"/>
    <x v="0"/>
    <x v="0"/>
  </r>
  <r>
    <x v="0"/>
    <s v="MP.0530"/>
    <s v="Enhancing Integrated National Capacity to Respond to COVID-19 in Burundi"/>
    <s v="MIGRATION HEALTH"/>
    <s v="Burundi"/>
    <n v="4500188498"/>
    <s v=" REFERENCE PR:4200181532  Fees for DTM data collection by Implementing partener Burundian Red Cross from January to June 2022  PIA Agreement signed dated Dec 31 2021"/>
    <s v="Implementing Partners"/>
    <s v="CROIX ROUGE DU BURUNDI"/>
    <s v="Burundi"/>
    <n v="17427"/>
    <x v="0"/>
    <x v="4"/>
  </r>
  <r>
    <x v="0"/>
    <s v="MP.0531"/>
    <s v="Strengthening Public Health Measures on Points of Entry and Linked Quarantine Facilities in Myanmar During the COVID-19 Pandemic"/>
    <s v="MIGRATION HEALTH"/>
    <s v="Myanmar"/>
    <n v="4500238843"/>
    <s v=" Project Implementation for Strengthening Public Health Measures on Points of Entry and Linked Quarantine Facilities in Myanmar MP.0531.MM10.D3.02.003 MP.0531.MM10.D3.04.004 MP.0531.MM10.D3.14.007 YGN_PR_4200304957"/>
    <s v="Implementing Partners"/>
    <s v="Good Shepherd Myanmar Foundation(GS"/>
    <s v="Myanmar"/>
    <n v="49022"/>
    <x v="0"/>
    <x v="0"/>
  </r>
  <r>
    <x v="0"/>
    <s v="MP.0531"/>
    <s v="Strengthening Public Health Measures on Points of Entry and Linked Quarantine Facilities in Myanmar During the COVID-19 Pandemic"/>
    <s v="MIGRATION HEALTH"/>
    <s v="Myanmar"/>
    <n v="4500239752"/>
    <s v=" Project Implementation for Strengthening Public Health Measures on Points of Entry and Linked Quarantine Facilities in Myanmar  USD 39,000 shall be due within fifteen (15) calendar days after signing this Agreement"/>
    <s v="Implementing Partners"/>
    <s v="Waingmaw Lisu Development Associati"/>
    <s v="Myanmar"/>
    <n v="27841"/>
    <x v="0"/>
    <x v="3"/>
  </r>
  <r>
    <x v="0"/>
    <s v="MP.0531"/>
    <s v="Strengthening Public Health Measures on Points of Entry and Linked Quarantine Facilities in Myanmar During the COVID-19 Pandemic"/>
    <s v="MIGRATION HEALTH"/>
    <s v="Myanmar"/>
    <n v="4500239815"/>
    <s v=" To implement Strengthening Public Health Measures on Points MP.0531.MM10.D3.02.003 MP.0531.MM10.D3.04.007 MP.0531.MM10.D3.13.005 MP.0531.MM10.D3.14.007 YGN_PR_4200310179 Office Record"/>
    <s v="Implementing Partners"/>
    <s v="CIDKP"/>
    <s v="Myanmar"/>
    <n v="148912"/>
    <x v="0"/>
    <x v="3"/>
  </r>
  <r>
    <x v="0"/>
    <s v="MP.0531"/>
    <s v="Strengthening Public Health Measures on Points of Entry and Linked Quarantine Facilities in Myanmar During the COVID-19 Pandemic"/>
    <s v="MIGRATION HEALTH"/>
    <s v="Myanmar"/>
    <n v="4500240960"/>
    <s v=" For partner Mon Women’s Organization to implement Strengthening Public Health Measures on Points of Entry and Linked Quarantine MP.0531.MM10.D3.02.003 (100 %) YGN_PR_4200310827 Office Record"/>
    <s v="Implementing Partners"/>
    <s v="Mon Women's Organization"/>
    <s v="Myanmar"/>
    <n v="105908"/>
    <x v="0"/>
    <x v="3"/>
  </r>
  <r>
    <x v="0"/>
    <s v="MP.0531"/>
    <s v="Strengthening Public Health Measures on Points of Entry and Linked Quarantine Facilities in Myanmar During the COVID-19 Pandemic"/>
    <s v="MIGRATION HEALTH"/>
    <s v="Myanmar"/>
    <n v="4500241315"/>
    <s v=" Strengthening public health measures on points of entry and linked quarantine facilities in Myanmar during the covid-19 pandemic  1st installment : 50,000 USD shall be due within 15 calendar days after signing of the Agreement"/>
    <s v="Implementing Partners"/>
    <s v="Kachin Women's Association Thailand"/>
    <s v="Thailand"/>
    <n v="168345"/>
    <x v="0"/>
    <x v="3"/>
  </r>
  <r>
    <x v="0"/>
    <s v="MP.0531"/>
    <s v="Strengthening Public Health Measures on Points of Entry and Linked Quarantine Facilities in Myanmar During the COVID-19 Pandemic"/>
    <s v="MIGRATION HEALTH"/>
    <s v="Myanmar"/>
    <n v="4500247444"/>
    <s v=" Strengthening Public Health Measures on Points of Entry and Linked Quarantine Facilities in Myanmar during the COVID-19 Pandemic Project"/>
    <s v="Implementing Partners"/>
    <s v="Waingmaw Lisu Development Associati"/>
    <s v="Myanmar"/>
    <n v="50514"/>
    <x v="0"/>
    <x v="3"/>
  </r>
  <r>
    <x v="0"/>
    <s v="MP.0555"/>
    <s v="Switzerland’s Support to IOM Strategic Response and Recovery Plan 2021 for Improving Access to COVID-19 Vaccinations for Vulnerable Groups, and in Particular Vulnerable Migrants in Humanitarian Settings"/>
    <s v="MIGRATION HEALTH"/>
    <s v="Turkey"/>
    <n v="4600628438"/>
    <s v=" Leg Approval Code: GZTCB/IMPL/ED119/2021"/>
    <s v="Implementing Partners"/>
    <s v="Shafak Organization"/>
    <s v="Turkey"/>
    <n v="193175"/>
    <x v="0"/>
    <x v="0"/>
  </r>
  <r>
    <x v="0"/>
    <s v="MP.0556"/>
    <s v="Supporting COVID-19 Response and Relief at the Country Level through Disbursement and Facilitation of Subgrants for Selected Diaspora Organizations"/>
    <s v="MIGRATION HEALTH"/>
    <s v="USA"/>
    <n v="4500236375"/>
    <s v=" SUPPORTING COVID-19 RESPONSE AND RELIEF AT THE COUNTRY LEVEL THROUGH DISBURSEMENT AND FACILITATION OF SUB-GRANTS FOR SELECTED DIASPORA ORGANIZATIONS AS PER US10-PIA-22-005 FROM 01 AUGUST TO 31 DECEMBER 2022"/>
    <s v="Implementing Partners"/>
    <s v="FEDERATION TUNISIENS CITOYEN 2 RIVE"/>
    <s v="France"/>
    <n v="79488"/>
    <x v="0"/>
    <x v="0"/>
  </r>
  <r>
    <x v="0"/>
    <s v="MP.0556"/>
    <s v="Supporting COVID-19 Response and Relief at the Country Level through Disbursement and Facilitation of Subgrants for Selected Diaspora Organizations"/>
    <s v="MIGRATION HEALTH"/>
    <s v="USA"/>
    <n v="4500236378"/>
    <s v=" SUPPORTING COVID-19 RESPONSE AND RELIEF AT THE COUNTRY LEVEL THROUGH DISBURSEMENT AND FACILITATION OF SUB-GRANTS FOR SELECTED DIASPORA ORGANIZATIONS AS PER US10-PIA-22-006 FROM 01 AUGUST TO 30 NOVEMBER 2022  CHANGE LINE 10 TO REFLECT THE TOTAL OF 1ST EXP"/>
    <s v="Implementing Partners"/>
    <s v="GENESIS ENTREPRENEURSHIP TRUST"/>
    <s v="Zimbabwe"/>
    <n v="62402"/>
    <x v="0"/>
    <x v="0"/>
  </r>
  <r>
    <x v="0"/>
    <s v="MP.0556"/>
    <s v="Supporting COVID-19 Response and Relief at the Country Level through Disbursement and Facilitation of Subgrants for Selected Diaspora Organizations"/>
    <s v="MIGRATION HEALTH"/>
    <s v="USA"/>
    <n v="4500236380"/>
    <s v=" SUPPORTING COVID-19 RESPONSE AND RELIEF AT THE COUNTRY LEVEL THROUGH DISBURSEMENT AND FACILITATION OF SUB-GRANTS FOR SELECTED DIASPORA ORGANIZATIONS AS PER US10-PIA-22-008 FROM 01 AUGUST TO 31 DECEMBER 2022  TO REFLECT THE EXPENSES REPORT IN LINE 10 AND"/>
    <s v="Implementing Partners"/>
    <s v="SYRIAN AMERICAN MEDIC SOCIETY FOUND"/>
    <s v="USA"/>
    <n v="77602"/>
    <x v="0"/>
    <x v="0"/>
  </r>
  <r>
    <x v="0"/>
    <s v="MP.0556"/>
    <s v="Supporting COVID-19 Response and Relief at the Country Level through Disbursement and Facilitation of Subgrants for Selected Diaspora Organizations"/>
    <s v="MIGRATION HEALTH"/>
    <s v="USA"/>
    <n v="4500236387"/>
    <s v=" SUPPORTING COVID-19 RESPONSE AND RELIEF AT THE COUNTRY LEVEL THROUGH DISBURSEMENT AND FACILITATION OF SUB-GRANTS FOR SELECTED DIASPORA ORGANIZATIONS AS PER US10-PIA-22-009 FROM 01 AUGUST TO 31 DECEMBER 2022  CHANGE LINE 10 TO REFLECT THE TOTAL OF 1ST EXP"/>
    <s v="Implementing Partners"/>
    <s v="SOCIETY ADVANC SCIENCE TECH ARAB WO"/>
    <s v="USA"/>
    <n v="85127"/>
    <x v="0"/>
    <x v="0"/>
  </r>
  <r>
    <x v="0"/>
    <s v="MP.0556"/>
    <s v="Supporting COVID-19 Response and Relief at the Country Level through Disbursement and Facilitation of Subgrants for Selected Diaspora Organizations"/>
    <s v="MIGRATION HEALTH"/>
    <s v="USA"/>
    <n v="4500236391"/>
    <s v=" SUPPORTING COVID-19 RESPONSE AND RELIEF AT THE COUNTRY LEVEL THROUGH DISBURSEMENT AND FACILITATION OF SUB-GRANTS FOR SELECTED DIASPORA ORGANIZATIONS AS PER US10-PIA-22-010 FROM 01 AUGUST TO 31 DECEMBER 2022"/>
    <s v="Implementing Partners"/>
    <s v="TUNISIAN AMERICAN ASSOCI YOUNG PROF"/>
    <s v="USA"/>
    <n v="89900"/>
    <x v="0"/>
    <x v="0"/>
  </r>
  <r>
    <x v="0"/>
    <s v="MP.0556"/>
    <s v="Supporting COVID-19 Response and Relief at the Country Level through Disbursement and Facilitation of Subgrants for Selected Diaspora Organizations"/>
    <s v="MIGRATION HEALTH"/>
    <s v="USA"/>
    <n v="4500237226"/>
    <s v=" SUPPORTING COVID-19 RESPONSE AND RELIEF AT THE COUNTRY LEVEL THROUGH DISBURSEMENT AND FACILITATION OF SUB-GRANTS FOR SELECTED DIASPORA ORGANIZATIONS AS PER US10-PIA-22-007 FROM 01 AUGUST TO 31 DECEMBER 2022 NB: CHANGE LINE 10 TO REFLECT THE REPORT EXPENS"/>
    <s v="Implementing Partners"/>
    <s v="ASSOCIAZIONE PONTES RICERCHE E INTE"/>
    <s v="Italy"/>
    <n v="92896"/>
    <x v="0"/>
    <x v="0"/>
  </r>
  <r>
    <x v="0"/>
    <s v="MP.0556"/>
    <s v="Supporting COVID-19 Response and Relief at the Country Level through Disbursement and Facilitation of Subgrants for Selected Diaspora Organizations"/>
    <s v="MIGRATION HEALTH"/>
    <s v="USA"/>
    <n v="4500237612"/>
    <s v=" SUPPORTING COVID-19 RESPONSE AND RELIEF AT THE COUNTRY LEVEL THROUGH DISBURSEMENT AND FACILITATION OF SUB-GRANTS FOR SELECTED DIASPORA ORGANIZATIONS AS PER US10-PIA-22-004 FROM 01 AUGUST TO 31 OCTOBER 2022  TO CHANGE THE LINES 10 AND 20 TO REFLECT THE 1S"/>
    <s v="Implementing Partners"/>
    <s v="CITIZENS INITIATIVE"/>
    <s v="USA"/>
    <n v="88707"/>
    <x v="0"/>
    <x v="0"/>
  </r>
  <r>
    <x v="0"/>
    <s v="MP.0560"/>
    <s v="Emergency Assistance for Vulnerable Populations in Bolivar and Amazonas States, Venezuela"/>
    <s v="MIGRATION HEALTH"/>
    <s v="Venezuela (BR)"/>
    <n v="4500186566"/>
    <s v="  SDC.2022.062 CONVENIO BHA - VICARIATO APOSTÓLICO DE PUERTO AYACUCHO - AMAZONAS RELATIVO A &quot;ASISTENCIA DE EMERGENCIA PARA POBLACIONES VULNERABLES EN EL ESTADOS AMAZONAS, VENEZUELA&quot; CONVENIO REF. IOMVE/CONTR/2022/010"/>
    <s v="Implementing Partners"/>
    <s v="VICARIATO APOSTÓLICO"/>
    <s v="Venezuela"/>
    <n v="180894"/>
    <x v="0"/>
    <x v="5"/>
  </r>
  <r>
    <x v="0"/>
    <s v="MP.0566"/>
    <s v="Enhancing Public Health Capacity for the Safe Resumption of International Travel in Viet Nam"/>
    <s v="MIGRATION HEALTH"/>
    <s v="Viet Nam"/>
    <n v="4500274478"/>
    <s v=" Organization of roundtable meeting in Hanoi - GOPFP"/>
    <s v="Implementing Partners"/>
    <s v="Tong cuc Dan so KHH Gia dinh"/>
    <s v="Viet Nam"/>
    <n v="6419"/>
    <x v="0"/>
    <x v="9"/>
  </r>
  <r>
    <x v="0"/>
    <s v="MP.0567"/>
    <s v="Supporting the Royal Government of Cambodia in Health Compliant Border Response to Limit the Spread of COVID-19 Variants of Concern and Meet the Immediate Needs of Returning Migrant Workers from Abroad due to COVID-19 Pandemic"/>
    <s v="MIGRATION HEALTH"/>
    <s v="Cambodia"/>
    <n v="4500219357"/>
    <s v=" UNFPA - UN to UN agreement on support RGC in Health Compliance border reponse"/>
    <s v="Implementing Partners"/>
    <s v="United Nations Population Fund"/>
    <s v="Cambodia"/>
    <n v="115988"/>
    <x v="0"/>
    <x v="7"/>
  </r>
  <r>
    <x v="0"/>
    <s v="MP.0567"/>
    <s v="Supporting the Royal Government of Cambodia in Health Compliant Border Response to Limit the Spread of COVID-19 Variants of Concern and Meet the Immediate Needs of Returning Migrant Workers from Abroad due to COVID-19 Pandemic"/>
    <s v="MIGRATION HEALTH"/>
    <s v="Cambodia"/>
    <n v="4500219371"/>
    <s v=" UNICEF - UN to UN agreement to support RGC in Health Compliance border response to Covid 19"/>
    <s v="Implementing Partners"/>
    <s v="UNICEF"/>
    <s v="Cambodia"/>
    <n v="104135"/>
    <x v="0"/>
    <x v="7"/>
  </r>
  <r>
    <x v="0"/>
    <s v="MP.0567"/>
    <s v="Supporting the Royal Government of Cambodia in Health Compliant Border Response to Limit the Spread of COVID-19 Variants of Concern and Meet the Immediate Needs of Returning Migrant Workers from Abroad due to COVID-19 Pandemic"/>
    <s v="MIGRATION HEALTH"/>
    <s v="Cambodia"/>
    <n v="4500224897"/>
    <s v=" Partnership Agreement - IOM and WHO  Supporting the Royal Government of Cambodia in health compliant border response to limit the spread of COVID-19 variants of concern and meet the immediate needs of returning migrant workers from abroad due to COVID-19"/>
    <s v="Implementing Partners"/>
    <s v="World Health Organization"/>
    <s v="Cambodia"/>
    <n v="128400"/>
    <x v="0"/>
    <x v="7"/>
  </r>
  <r>
    <x v="0"/>
    <s v="MP.0572"/>
    <s v="MHPSS and Information Support for Conflict-Affected Persons Fleeing Ukraine to Hungary, Moldova, and Romania"/>
    <s v="MIGRATION HEALTH"/>
    <s v="Romania"/>
    <n v="4500232718"/>
    <s v=" Decont No. 1, 16 May-14 July 2022 (salaries)"/>
    <s v="Implementing Partners"/>
    <s v="FUNDATIA SCHOTTENER SERV. SOCIALE"/>
    <s v="Romania"/>
    <n v="15693"/>
    <x v="0"/>
    <x v="0"/>
  </r>
  <r>
    <x v="0"/>
    <s v="MP.0572"/>
    <s v="MHPSS and Information Support for Conflict-Affected Persons Fleeing Ukraine to Hungary, Moldova, and Romania"/>
    <s v="MIGRATION HEALTH"/>
    <s v="Romania"/>
    <n v="4500240114"/>
    <s v=" Counselors/Psychosocial Counselor"/>
    <s v="Implementing Partners"/>
    <s v="FUNDATIA SCHOTTENER SERV. SOCIALE"/>
    <s v="Romania"/>
    <n v="23019"/>
    <x v="0"/>
    <x v="0"/>
  </r>
  <r>
    <x v="0"/>
    <s v="MP.0572"/>
    <s v="MHPSS and Information Support for Conflict-Affected Persons Fleeing Ukraine to Hungary, Moldova, and Romania"/>
    <s v="MIGRATION HEALTH"/>
    <s v="Romania"/>
    <n v="4500250559"/>
    <s v=" Decont No. 3, 12 Aug-15 Sept 2022, project MHPPS - F. Schottener"/>
    <s v="Implementing Partners"/>
    <s v="FUNDATIA SCHOTTENER SERV. SOCIALE"/>
    <s v="Romania"/>
    <n v="30724"/>
    <x v="0"/>
    <x v="0"/>
  </r>
  <r>
    <x v="0"/>
    <s v="MP.0572"/>
    <s v="MHPSS and Information Support for Conflict-Affected Persons Fleeing Ukraine to Hungary, Moldova, and Romania"/>
    <s v="MIGRATION HEALTH"/>
    <s v="Romania"/>
    <n v="4500252865"/>
    <s v=" Decont no. 3, 12 Aug - 15 Sept 2022, project MHPPS - F Schottener"/>
    <s v="Implementing Partners"/>
    <s v="FUNDATIA SCHOTTENER SERV. SOCIALE"/>
    <s v="Romania"/>
    <n v="30724"/>
    <x v="0"/>
    <x v="0"/>
  </r>
  <r>
    <x v="0"/>
    <s v="MP.0572"/>
    <s v="MHPSS and Information Support for Conflict-Affected Persons Fleeing Ukraine to Hungary, Moldova, and Romania"/>
    <s v="MIGRATION HEALTH"/>
    <s v="Romania"/>
    <n v="4500264154"/>
    <s v=" Decont No. 5, 15 Oct-03 Nov 2022, as part of the project &quot;MHPPS and Support for Ukrainian Refugees&quot; (Austria funds) - Fund. Schottener"/>
    <s v="Implementing Partners"/>
    <s v="FUNDATIA SCHOTTENER SERV. SOCIALE"/>
    <s v="Romania"/>
    <n v="236"/>
    <x v="0"/>
    <x v="0"/>
  </r>
  <r>
    <x v="0"/>
    <s v="MP.0572"/>
    <s v="MHPSS and Information Support for Conflict-Affected Persons Fleeing Ukraine to Hungary, Moldova, and Romania"/>
    <s v="MIGRATION HEALTH"/>
    <s v="Romania"/>
    <n v="4500266908"/>
    <s v=" Decont No. 6, 04 Nov-15 Nov 2022, as part of the project &quot;MHPPS and Support for Ukrainian Refugees&quot; (Austria funds) - Fund. Schottener"/>
    <s v="Implementing Partners"/>
    <s v="FUNDATIA SCHOTTENER SERV. SOCIALE"/>
    <s v="Romania"/>
    <n v="3613"/>
    <x v="0"/>
    <x v="0"/>
  </r>
  <r>
    <x v="0"/>
    <s v="MP.0575"/>
    <s v="Active Surveillance of Travelers and Mobile Populations during the Ebola Virus Disease Outbreak in Equateur Province, the Democratic Republic of the Congo"/>
    <s v="MIGRATION HEALTH"/>
    <s v="Congo (Dem Rep)"/>
    <n v="4500244315"/>
    <s v=" Engagement Paternaire d'implementation CREC aux POC_MBANDAKA_25 Juillet au 25 Octobre 2022"/>
    <s v="Implementing Partners"/>
    <s v="CROIX ROUGE RDC"/>
    <s v="Congo (Dem Rep)"/>
    <n v="25896"/>
    <x v="0"/>
    <x v="4"/>
  </r>
  <r>
    <x v="0"/>
    <s v="RA.0119"/>
    <s v="Multi-Sectoral Support for Vulnerable Mobile Populations in Libya"/>
    <s v="MOVEMENT, EMERGENCY AND POST-CRISIS MIGRATION MANAGEMENT"/>
    <s v="Libya"/>
    <n v="4500273519"/>
    <s v=" UN to UN Contibution Agreement (LBY/UNIM/MM0156/2022), 05 Dec2022. PR 4200379643 approved 15 December 2022 This PO is for INTERNAL  USE PURPOSES ONLY"/>
    <s v="Implementing Partners"/>
    <s v="WORLD FOOD PROGRAMME"/>
    <s v="Libya"/>
    <n v="8000"/>
    <x v="0"/>
    <x v="7"/>
  </r>
  <r>
    <x v="0"/>
    <s v="SN.0039"/>
    <s v="Supply Chain Support to Humanitarian Partners Providing Assistance to Populations Affected by the Syrian Crisis in Northern Syria"/>
    <s v="MOVEMENT, EMERGENCY AND POST-CRISIS MIGRATION MANAGEMENT"/>
    <s v="Turkey"/>
    <n v="4600628972"/>
    <s v=" IPRF-GZT-2022-00030 - Contracting NGO for implementation of HNAP data collection support in 14 Syrian governorates for 5 months (1 May 2022 to 30 September 2022)"/>
    <s v="Implementing Partners"/>
    <s v="DEPLASMAN TOPLUMUN IHTIYACLARI"/>
    <s v="Turkey"/>
    <n v="3759"/>
    <x v="0"/>
    <x v="0"/>
  </r>
  <r>
    <x v="0"/>
    <s v="SN.0070"/>
    <s v="Emergency Grant Aid for Humanitarian Assistance in Afghanistan and Neighboring Countries"/>
    <s v="MOVEMENT, EMERGENCY AND POST-CRISIS MIGRATION MANAGEMENT"/>
    <s v="Afghanistan"/>
    <n v="4500224976"/>
    <s v=" Relief Humanitarian Development Organization (RHDO) for supporting of COVID-19 responses in Nangarhar and Herat provinces of Afghanistan for the month of November 2021 to December 2021"/>
    <s v="Implementing Partners"/>
    <s v="RELIEF HUMANITARIAN DEVELOPMENT"/>
    <s v="Afghanistan"/>
    <n v="171763"/>
    <x v="0"/>
    <x v="0"/>
  </r>
  <r>
    <x v="0"/>
    <s v="SN.0070"/>
    <s v="Emergency Grant Aid for Humanitarian Assistance in Afghanistan and Neighboring Countries"/>
    <s v="MOVEMENT, EMERGENCY AND POST-CRISIS MIGRATION MANAGEMENT"/>
    <s v="Afghanistan"/>
    <n v="4500224978"/>
    <s v=" Organization for Health promotion and Management (OHPM) for supporting to COVID-19 response in Kandahar and Helmand provinces in Afghanistan from November 2021 to December 2021"/>
    <s v="Implementing Partners"/>
    <s v="ORGANIZATION FOR HEALTH PROMOTION"/>
    <s v="Afghanistan"/>
    <n v="286487"/>
    <x v="0"/>
    <x v="0"/>
  </r>
  <r>
    <x v="0"/>
    <s v="SN.0090"/>
    <s v="Strengthening the Capacities of Shelters and Governmental Migratory Facilities in the Southern Border of Mexico"/>
    <s v="MOVEMENT, EMERGENCY AND POST-CRISIS MIGRATION MANAGEMENT"/>
    <s v="Mexico"/>
    <n v="4500227325"/>
    <s v=" Implementation Agreement on infrastructure, water, sanitation and hygiene, to make improvements in spaces"/>
    <s v="Implementing Partners"/>
    <s v="ALBERGUE DIOCESANO BELEN"/>
    <s v="Mexico"/>
    <n v="165165"/>
    <x v="0"/>
    <x v="3"/>
  </r>
  <r>
    <x v="0"/>
    <s v="SN.0110"/>
    <s v="Joint Implementation Program for Support of the Humanitarian Response Plan in Yemen 2020"/>
    <s v="MOVEMENT, EMERGENCY AND POST-CRISIS MIGRATION MANAGEMENT"/>
    <s v="Yemen"/>
    <n v="4500179864"/>
    <s v="000000000500000124-IP transfers – National CSOs"/>
    <s v="Implementing Partners"/>
    <s v="Together Foundation for Human Devel"/>
    <s v="Yemen"/>
    <n v="2131"/>
    <x v="0"/>
    <x v="0"/>
  </r>
  <r>
    <x v="0"/>
    <s v="SN.0133"/>
    <s v="Emergency Grant Aid in Response to the Volcanic Eruption in the Saint Vincent and the Grenadines"/>
    <s v="MOVEMENT, EMERGENCY AND POST-CRISIS MIGRATION MANAGEMENT"/>
    <s v="Guyana"/>
    <n v="4500188549"/>
    <s v=" Emergency Shelter Rehabilitation: St. Vincent and the Grenadines"/>
    <s v="Implementing Partners"/>
    <s v="Global Emergency Relief Recovery"/>
    <s v="USA"/>
    <n v="64494"/>
    <x v="0"/>
    <x v="1"/>
  </r>
  <r>
    <x v="0"/>
    <s v="SN.0146"/>
    <s v="Humanitarian Assistance in Shelter and Support to the Site Management for Vulnerable Populations Affected by Conflicts in Ituri and North Kivu, Democratic Republic of the Congo"/>
    <s v="MOVEMENT, EMERGENCY AND POST-CRISIS MIGRATION MANAGEMENT"/>
    <s v="Congo (Dem Rep)"/>
    <n v="4500182133"/>
    <s v=" Gestion light des sites en Ituri (Salama et Djaiba)  (a) Le premier versement de [USD] 13 .230 (Treize mille deux cent  trente Dollars) sera exigible dans un délai de quinze (15) jours  civils à partir de la signature du présent accord et la réception par  l’OIM"/>
    <s v="Implementing Partners"/>
    <s v="AIDES"/>
    <s v="Congo (Dem Rep)"/>
    <n v="44100"/>
    <x v="0"/>
    <x v="0"/>
  </r>
  <r>
    <x v="0"/>
    <s v="SN.0146"/>
    <s v="Humanitarian Assistance in Shelter and Support to the Site Management for Vulnerable Populations Affected by Conflicts in Ituri and North Kivu, Democratic Republic of the Congo"/>
    <s v="MOVEMENT, EMERGENCY AND POST-CRISIS MIGRATION MANAGEMENT"/>
    <s v="Congo (Dem Rep)"/>
    <n v="4500227442"/>
    <s v=" Transfer to IP (Danish Refugee Council) in three instalments, according to contract  (a) Le premier versement de USD 174,065 (cent soixante-quatorze mille  soixante-cinq dollars américains), soit 30% du montant total, sera  exigible dans un délai de quinze"/>
    <s v="Implementing Partners"/>
    <s v="CONSEIL DANOIS POUR LES REFUGIES"/>
    <s v="Congo (Dem Rep)"/>
    <n v="580218"/>
    <x v="0"/>
    <x v="1"/>
  </r>
  <r>
    <x v="0"/>
    <s v="SN.0148"/>
    <s v="Shelter and NFI Humanitarian Assistance for Displaced Populations in the Regions of Diffa, Maradi, and Tillabéry in Niger"/>
    <s v="MOVEMENT, EMERGENCY AND POST-CRISIS MIGRATION MANAGEMENT"/>
    <s v="Niger"/>
    <n v="4500201250"/>
    <s v=" DISTRIBUTION DE 737 ABRIS ET 695 BNA  PRF/4200226857"/>
    <s v="Implementing Partners"/>
    <s v="ONG AHDD"/>
    <s v="Niger"/>
    <n v="44754"/>
    <x v="0"/>
    <x v="0"/>
  </r>
  <r>
    <x v="0"/>
    <s v="SN.0149"/>
    <s v="Winterization and Hygiene Support to Conflict Affected Populations in Luhansk NGCA"/>
    <s v="MOVEMENT, EMERGENCY AND POST-CRISIS MIGRATION MANAGEMENT"/>
    <s v="Ukraine"/>
    <n v="4500250820"/>
    <s v=" Our Reference: PR NO. (4200329797) UA1-2022-3057_IP services for distribution of items in Zaporizhzhia  Type of contract signed: Framework agreement  PO is for internal use  - financial tracking only (no signature required). Created after service is rend"/>
    <s v="Implementing Partners"/>
    <s v="CF POSMISHKA UA"/>
    <s v="Ukraine"/>
    <n v="4425"/>
    <x v="0"/>
    <x v="0"/>
  </r>
  <r>
    <x v="0"/>
    <s v="SN.0149"/>
    <s v="Winterization and Hygiene Support to Conflict Affected Populations in Luhansk NGCA"/>
    <s v="MOVEMENT, EMERGENCY AND POST-CRISIS MIGRATION MANAGEMENT"/>
    <s v="Ukraine"/>
    <n v="4500250836"/>
    <s v=" Our Reference: PR NO. (4200324300) UA1-2022-3053_IP services for distribution of items_Kopychintsi Terponil Obl, Novovolynsk Volyn Obl  Type of contract signed: Framework agreement  PO is for internal use  - financial tracking only (no signature required"/>
    <s v="Implementing Partners"/>
    <s v="CF POSMISHKA UA"/>
    <s v="Ukraine"/>
    <n v="2950"/>
    <x v="0"/>
    <x v="0"/>
  </r>
  <r>
    <x v="0"/>
    <s v="SN.0149"/>
    <s v="Winterization and Hygiene Support to Conflict Affected Populations in Luhansk NGCA"/>
    <s v="MOVEMENT, EMERGENCY AND POST-CRISIS MIGRATION MANAGEMENT"/>
    <s v="Ukraine"/>
    <n v="4500250862"/>
    <s v=" Our Reference: PR NO. (4200332380) UA1-2022-3058_IP services for distribution of items in Ternopilska Oblast  Type of contract signed: Framework agreement  PO is for internal use  - financial tracking only (no signature required)."/>
    <s v="Implementing Partners"/>
    <s v="NGO ZHINOCHYI ANTYKORUPTSIINYI RUKH"/>
    <s v="Ukraine"/>
    <n v="3062"/>
    <x v="0"/>
    <x v="0"/>
  </r>
  <r>
    <x v="0"/>
    <s v="SN.0149"/>
    <s v="Winterization and Hygiene Support to Conflict Affected Populations in Luhansk NGCA"/>
    <s v="MOVEMENT, EMERGENCY AND POST-CRISIS MIGRATION MANAGEMENT"/>
    <s v="Ukraine"/>
    <n v="4500257170"/>
    <s v=" Our Reference: PR NO. (4200346165) UA1-2022-3064_IP services for distribution of items in Dnipro and Poltava  Type of contract signed: Framework agreement  PO is for internal use  - financial tracking only (no signature required)."/>
    <s v="Implementing Partners"/>
    <s v="NGO TSENTR STATUM"/>
    <s v="Ukraine"/>
    <n v="2130"/>
    <x v="0"/>
    <x v="0"/>
  </r>
  <r>
    <x v="0"/>
    <s v="SN.0151"/>
    <s v="Shelter and Non-Food Items (NFI) Assistance to Populations Affected by the Northern Ethiopia Crisis"/>
    <s v="MOVEMENT, EMERGENCY AND POST-CRISIS MIGRATION MANAGEMENT"/>
    <s v="Ethiopia"/>
    <n v="4500189431"/>
    <s v=" IP Transfer.. EHF Shelter repair kits for hawzen , Tigray region for 230 HH/1150 individual community members response at a total amount USD 64 ,008.  Reference;- PR-4200199436 PIA NO- ETH/ADD/FEB/989/2022."/>
    <s v="Implementing Partners"/>
    <s v="Heal Our People"/>
    <s v="Ethiopia"/>
    <n v="64008"/>
    <x v="0"/>
    <x v="3"/>
  </r>
  <r>
    <x v="0"/>
    <s v="SN.0156"/>
    <s v="Humanitarian Assistance on Shelter and Camp Coordination and Camp Management (CCCM) for Super Typhoon Rai Affected People"/>
    <s v="MOVEMENT, EMERGENCY AND POST-CRISIS MIGRATION MANAGEMENT"/>
    <s v="Philippines"/>
    <n v="4500182010"/>
    <s v=" PR No.: 4200190252 Please refer to the attached Project Implementation Agreement between IOM and Catholic Relief Services on Shelter and NFI support to Typhoon Rai affected households in Dinagat Region"/>
    <s v="Implementing Partners"/>
    <s v="CATHOLIC RELIEF SERVICES-UNITED STA"/>
    <s v="Philippines"/>
    <n v="471290"/>
    <x v="0"/>
    <x v="1"/>
  </r>
  <r>
    <x v="0"/>
    <s v="SN.0156"/>
    <s v="Humanitarian Assistance on Shelter and Camp Coordination and Camp Management (CCCM) for Super Typhoon Rai Affected People"/>
    <s v="MOVEMENT, EMERGENCY AND POST-CRISIS MIGRATION MANAGEMENT"/>
    <s v="Philippines"/>
    <n v="4500189116"/>
    <s v=" PR No.: 4200204439 IP CARE Philippines on Typhoon RAI Response in Siargao (CERF)  Please see attached signed Project Implementation Agreement"/>
    <s v="Implementing Partners"/>
    <s v="CARE Philippines"/>
    <s v="Philippines"/>
    <n v="326000"/>
    <x v="0"/>
    <x v="1"/>
  </r>
  <r>
    <x v="0"/>
    <s v="SN.0157"/>
    <s v="Emergency Assistance to Displaced Populations Affected by Conflict/Natural Disasters in Camp, Camp-like Settings, and Host Communities in the Central African Republic (CAR)"/>
    <s v="MOVEMENT, EMERGENCY AND POST-CRISIS MIGRATION MANAGEMENT"/>
    <s v="CAR"/>
    <n v="4500198867"/>
    <s v=" Prestation de service pour la mise en oeuvre des activites de DTM mobility tracking dans la Prefecture de l'OUHAM-PENDE. PR# 4200210759"/>
    <s v="Implementing Partners"/>
    <s v="CADRE D'APPUI SPIRIT. AUT. LOCALES"/>
    <s v="Central African Rep"/>
    <n v="14786"/>
    <x v="0"/>
    <x v="0"/>
  </r>
  <r>
    <x v="0"/>
    <s v="SN.0157"/>
    <s v="Emergency Assistance to Displaced Populations Affected by Conflict/Natural Disasters in Camp, Camp-like Settings, and Host Communities in the Central African Republic (CAR)"/>
    <s v="MOVEMENT, EMERGENCY AND POST-CRISIS MIGRATION MANAGEMENT"/>
    <s v="CAR"/>
    <n v="4500198877"/>
    <s v=" Prestation de service pour la mise en oeuvre des activites de DTM mobility tracking dans la Prefecture de la OUAKA. PR#00210759"/>
    <s v="Implementing Partners"/>
    <s v="ONG ESPERANCE"/>
    <s v="Central African Rep"/>
    <n v="10618"/>
    <x v="0"/>
    <x v="0"/>
  </r>
  <r>
    <x v="0"/>
    <s v="SN.0157"/>
    <s v="Emergency Assistance to Displaced Populations Affected by Conflict/Natural Disasters in Camp, Camp-like Settings, and Host Communities in the Central African Republic (CAR)"/>
    <s v="MOVEMENT, EMERGENCY AND POST-CRISIS MIGRATION MANAGEMENT"/>
    <s v="CAR"/>
    <n v="4500198883"/>
    <s v=" Prestation de service pour la mise en oeuvre des activites de DTM mobility tracking dans la Prefecture de le Haut-Mbomou. PR#4200210759"/>
    <s v="Implementing Partners"/>
    <s v="JUPEDEC"/>
    <s v="Central African Rep"/>
    <n v="11130"/>
    <x v="0"/>
    <x v="0"/>
  </r>
  <r>
    <x v="0"/>
    <s v="SN.0157"/>
    <s v="Emergency Assistance to Displaced Populations Affected by Conflict/Natural Disasters in Camp, Camp-like Settings, and Host Communities in the Central African Republic (CAR)"/>
    <s v="MOVEMENT, EMERGENCY AND POST-CRISIS MIGRATION MANAGEMENT"/>
    <s v="CAR"/>
    <n v="4500198891"/>
    <s v=" Prestation de service pour la mise en oeuvre des activites de DTM mobility tracking dans la Prefecture de la BASSE KOTTO. PR#4200210759"/>
    <s v="Implementing Partners"/>
    <s v="COLLECTIF¨POUR LA PAIX EN CENTRAFRI"/>
    <s v="Central African Rep"/>
    <n v="10796"/>
    <x v="0"/>
    <x v="0"/>
  </r>
  <r>
    <x v="0"/>
    <s v="SN.0157"/>
    <s v="Emergency Assistance to Displaced Populations Affected by Conflict/Natural Disasters in Camp, Camp-like Settings, and Host Communities in the Central African Republic (CAR)"/>
    <s v="MOVEMENT, EMERGENCY AND POST-CRISIS MIGRATION MANAGEMENT"/>
    <s v="CAR"/>
    <n v="4500198898"/>
    <s v=" Prestation de service pour la mise en oeuvre des activites de DTM mobility tracking dans la Prefecture de Haut Mbomou. PR#4200210759"/>
    <s v="Implementing Partners"/>
    <s v="ONG NDA"/>
    <s v="Central African Rep"/>
    <n v="10710"/>
    <x v="0"/>
    <x v="0"/>
  </r>
  <r>
    <x v="0"/>
    <s v="SN.0157"/>
    <s v="Emergency Assistance to Displaced Populations Affected by Conflict/Natural Disasters in Camp, Camp-like Settings, and Host Communities in the Central African Republic (CAR)"/>
    <s v="MOVEMENT, EMERGENCY AND POST-CRISIS MIGRATION MANAGEMENT"/>
    <s v="CAR"/>
    <n v="4500198905"/>
    <s v=" Prestation de service pour la mise en oeuvre des activites de DTM mobility tracking dans la Prefecture de MBOMOU. PR#00210759"/>
    <s v="Implementing Partners"/>
    <s v="FNOHD"/>
    <s v="Central African Rep"/>
    <n v="10638"/>
    <x v="0"/>
    <x v="0"/>
  </r>
  <r>
    <x v="0"/>
    <s v="SN.0157"/>
    <s v="Emergency Assistance to Displaced Populations Affected by Conflict/Natural Disasters in Camp, Camp-like Settings, and Host Communities in the Central African Republic (CAR)"/>
    <s v="MOVEMENT, EMERGENCY AND POST-CRISIS MIGRATION MANAGEMENT"/>
    <s v="CAR"/>
    <n v="4500201319"/>
    <s v=" PRESTATION DE SERVICE POUR LA MISE EN OEUVRE DES ACTIVITES DE DTM MOBILITY TRACKING DANS LA PREFECTURE DE BANGUI ET OMBELLA M'POKO. PR# 4200219841"/>
    <s v="Implementing Partners"/>
    <s v="COLLECTIF¨POUR LA PAIX EN CENTRAFRI"/>
    <s v="Central African Rep"/>
    <n v="18448"/>
    <x v="0"/>
    <x v="0"/>
  </r>
  <r>
    <x v="0"/>
    <s v="SN.0157"/>
    <s v="Emergency Assistance to Displaced Populations Affected by Conflict/Natural Disasters in Camp, Camp-like Settings, and Host Communities in the Central African Republic (CAR)"/>
    <s v="MOVEMENT, EMERGENCY AND POST-CRISIS MIGRATION MANAGEMENT"/>
    <s v="CAR"/>
    <n v="4500215124"/>
    <s v=" contrat  IP pour le profilage des menages beneficiaires a nana bakassa ,bogila et ngaoundaye   PR# 4200252705"/>
    <s v="Implementing Partners"/>
    <s v="CADRE D'APPUI SPIRIT. AUT. LOCALES"/>
    <s v="Central African Rep"/>
    <n v="4408"/>
    <x v="0"/>
    <x v="0"/>
  </r>
  <r>
    <x v="0"/>
    <s v="SN.0157"/>
    <s v="Emergency Assistance to Displaced Populations Affected by Conflict/Natural Disasters in Camp, Camp-like Settings, and Host Communities in the Central African Republic (CAR)"/>
    <s v="MOVEMENT, EMERGENCY AND POST-CRISIS MIGRATION MANAGEMENT"/>
    <s v="CAR"/>
    <n v="4500216370"/>
    <s v=" Finacement des activites de mobility trackin nana gribizi round 15 pr# 4200210759"/>
    <s v="Implementing Partners"/>
    <s v="Association des Femmes Evang. BOSSA"/>
    <s v="Central African Rep"/>
    <n v="13761"/>
    <x v="0"/>
    <x v="0"/>
  </r>
  <r>
    <x v="0"/>
    <s v="SN.0157"/>
    <s v="Emergency Assistance to Displaced Populations Affected by Conflict/Natural Disasters in Camp, Camp-like Settings, and Host Communities in the Central African Republic (CAR)"/>
    <s v="MOVEMENT, EMERGENCY AND POST-CRISIS MIGRATION MANAGEMENT"/>
    <s v="CAR"/>
    <n v="4500230940"/>
    <s v=" PR 4200281152  MODALITE DE PAIEMENT: PREMIER VERSEMENT 4548110 FCFA DERNIER VERSEMENT 1949190 FCFA"/>
    <s v="Implementing Partners"/>
    <s v="JUPEDEC"/>
    <s v="Central African Rep"/>
    <n v="2609"/>
    <x v="0"/>
    <x v="0"/>
  </r>
  <r>
    <x v="0"/>
    <s v="SN.0157"/>
    <s v="Emergency Assistance to Displaced Populations Affected by Conflict/Natural Disasters in Camp, Camp-like Settings, and Host Communities in the Central African Republic (CAR)"/>
    <s v="MOVEMENT, EMERGENCY AND POST-CRISIS MIGRATION MANAGEMENT"/>
    <s v="CAR"/>
    <n v="4500230950"/>
    <s v=" Mobility tracking a Ouaham Mpende"/>
    <s v="Implementing Partners"/>
    <s v="CADRE D'APPUI SPIRIT. AUT. LOCALES"/>
    <s v="Central African Rep"/>
    <n v="3617"/>
    <x v="0"/>
    <x v="0"/>
  </r>
  <r>
    <x v="0"/>
    <s v="SN.0157"/>
    <s v="Emergency Assistance to Displaced Populations Affected by Conflict/Natural Disasters in Camp, Camp-like Settings, and Host Communities in the Central African Republic (CAR)"/>
    <s v="MOVEMENT, EMERGENCY AND POST-CRISIS MIGRATION MANAGEMENT"/>
    <s v="CAR"/>
    <n v="4500230953"/>
    <s v=" PR 4200281152  CONTRAT AVEC FNOHD POUR UN MONTANT DE 6000000 FCFA MODALITE DE PAIEMENT: PREMIER VERSEMENT 4200000 FCFA DERNIER VERSEMENT 1800000 FCFA"/>
    <s v="Implementing Partners"/>
    <s v="FNOHD"/>
    <s v="Central African Rep"/>
    <n v="2410"/>
    <x v="0"/>
    <x v="0"/>
  </r>
  <r>
    <x v="0"/>
    <s v="SN.0157"/>
    <s v="Emergency Assistance to Displaced Populations Affected by Conflict/Natural Disasters in Camp, Camp-like Settings, and Host Communities in the Central African Republic (CAR)"/>
    <s v="MOVEMENT, EMERGENCY AND POST-CRISIS MIGRATION MANAGEMENT"/>
    <s v="CAR"/>
    <n v="4500230962"/>
    <s v=" PR 4200281152  CONTRAT AVEC FNOHD POUR UN MONTANT DE 6810000 FCFA MODALITE DE PAIEMENT: PREMIER VERSEMENT 4767000 FCFA DERNIER VERSEMENT 2043000 FCFA"/>
    <s v="Implementing Partners"/>
    <s v="FNOHD"/>
    <s v="Central African Rep"/>
    <n v="2735"/>
    <x v="0"/>
    <x v="0"/>
  </r>
  <r>
    <x v="0"/>
    <s v="SN.0157"/>
    <s v="Emergency Assistance to Displaced Populations Affected by Conflict/Natural Disasters in Camp, Camp-like Settings, and Host Communities in the Central African Republic (CAR)"/>
    <s v="MOVEMENT, EMERGENCY AND POST-CRISIS MIGRATION MANAGEMENT"/>
    <s v="CAR"/>
    <n v="4500230975"/>
    <s v=" PR 4200281152 CONTRAT AVEC NDA POUR UN MONTANT DE 6252000 FCFA PERMIER VERSEMENT 4376400 FCFA DERNIER VERSEMENT 1875400 FCFA"/>
    <s v="Implementing Partners"/>
    <s v="Association Agropastoral de NDA"/>
    <s v="Central African Rep"/>
    <n v="2511"/>
    <x v="0"/>
    <x v="0"/>
  </r>
  <r>
    <x v="0"/>
    <s v="SN.0157"/>
    <s v="Emergency Assistance to Displaced Populations Affected by Conflict/Natural Disasters in Camp, Camp-like Settings, and Host Communities in the Central African Republic (CAR)"/>
    <s v="MOVEMENT, EMERGENCY AND POST-CRISIS MIGRATION MANAGEMENT"/>
    <s v="CAR"/>
    <n v="4500230979"/>
    <s v=" PR 4200281152 CONTRAT AVEC CPCA POUR UN MONTANT TOTAL DE 6302000 FCFA MODALITE DE PAIEMNT \ PREMIER VERSEMENT 4411400 FCFA DERNIER VERSEMENT 1890600 FCFA"/>
    <s v="Implementing Partners"/>
    <s v="COLLECTIF¨POUR LA PAIX EN CENTRAFRI"/>
    <s v="Central African Rep"/>
    <n v="2531"/>
    <x v="0"/>
    <x v="0"/>
  </r>
  <r>
    <x v="0"/>
    <s v="SN.0157"/>
    <s v="Emergency Assistance to Displaced Populations Affected by Conflict/Natural Disasters in Camp, Camp-like Settings, and Host Communities in the Central African Republic (CAR)"/>
    <s v="MOVEMENT, EMERGENCY AND POST-CRISIS MIGRATION MANAGEMENT"/>
    <s v="CAR"/>
    <n v="4500230987"/>
    <s v=" PR 4200281152 CONTRAT AVEC CPCA POUR UN MONTANT MODALITE DE PAIEMENT PREMIER VERSEMENT 7538440 FCFA DERNIER VERSEMENT 3230760 FCFA"/>
    <s v="Implementing Partners"/>
    <s v="COLLECTIF¨POUR LA PAIX EN CENTRAFRI"/>
    <s v="Central African Rep"/>
    <n v="4325"/>
    <x v="0"/>
    <x v="0"/>
  </r>
  <r>
    <x v="0"/>
    <s v="SN.0157"/>
    <s v="Emergency Assistance to Displaced Populations Affected by Conflict/Natural Disasters in Camp, Camp-like Settings, and Host Communities in the Central African Republic (CAR)"/>
    <s v="MOVEMENT, EMERGENCY AND POST-CRISIS MIGRATION MANAGEMENT"/>
    <s v="CAR"/>
    <n v="4500230992"/>
    <s v=" Mobility tracaking  a Ouaka"/>
    <s v="Implementing Partners"/>
    <s v="ONG ESPERANCE"/>
    <s v="Central African Rep"/>
    <n v="2489"/>
    <x v="0"/>
    <x v="0"/>
  </r>
  <r>
    <x v="0"/>
    <s v="SN.0157"/>
    <s v="Emergency Assistance to Displaced Populations Affected by Conflict/Natural Disasters in Camp, Camp-like Settings, and Host Communities in the Central African Republic (CAR)"/>
    <s v="MOVEMENT, EMERGENCY AND POST-CRISIS MIGRATION MANAGEMENT"/>
    <s v="CAR"/>
    <n v="4500232453"/>
    <s v=" PR 4200281152 CONTRAT AVEC AFEB POUR UN MONTANT TOTAL DE 8593000 FCFA MODALITE DE PAIEMENT: PREMIER VERSEMENT 6015100 FCFA DERNIER VERSEMENT 2577900 FCFA"/>
    <s v="Implementing Partners"/>
    <s v="Association des Femmes Evang. BOSSA"/>
    <s v="Central African Rep"/>
    <n v="3451"/>
    <x v="0"/>
    <x v="0"/>
  </r>
  <r>
    <x v="0"/>
    <s v="SN.0157"/>
    <s v="Emergency Assistance to Displaced Populations Affected by Conflict/Natural Disasters in Camp, Camp-like Settings, and Host Communities in the Central African Republic (CAR)"/>
    <s v="MOVEMENT, EMERGENCY AND POST-CRISIS MIGRATION MANAGEMENT"/>
    <s v="CAR"/>
    <n v="4500232457"/>
    <s v=" PR 4200281152 CONTRAT AVEC AFEB POUR UN MONTANT DE 8054700 FCFA MODALITE DE PAIEMENT PREMIER VERSEMENT 5638290 FCFA DERNIER VERSEMENT 2416410 FCFA"/>
    <s v="Implementing Partners"/>
    <s v="Association des Femmes Evang. BOSSA"/>
    <s v="Central African Rep"/>
    <n v="3235"/>
    <x v="0"/>
    <x v="0"/>
  </r>
  <r>
    <x v="0"/>
    <s v="SN.0157"/>
    <s v="Emergency Assistance to Displaced Populations Affected by Conflict/Natural Disasters in Camp, Camp-like Settings, and Host Communities in the Central African Republic (CAR)"/>
    <s v="MOVEMENT, EMERGENCY AND POST-CRISIS MIGRATION MANAGEMENT"/>
    <s v="CAR"/>
    <n v="4500235625"/>
    <s v=" PR 4200281152 CONTRAT AVEC ONG VISION POUR LE DEVELOPPEMENT POUR UN MONTANT DE 4513260 FCFA PREMIER VERSEMENT 3159282 FCFA DERNIER VERSEMENT 1353978 FCFA"/>
    <s v="Implementing Partners"/>
    <s v="ONG VISION ET DEVELOPPEMENT"/>
    <s v="Central African Rep"/>
    <n v="1744"/>
    <x v="0"/>
    <x v="0"/>
  </r>
  <r>
    <x v="0"/>
    <s v="SN.0157"/>
    <s v="Emergency Assistance to Displaced Populations Affected by Conflict/Natural Disasters in Camp, Camp-like Settings, and Host Communities in the Central African Republic (CAR)"/>
    <s v="MOVEMENT, EMERGENCY AND POST-CRISIS MIGRATION MANAGEMENT"/>
    <s v="CAR"/>
    <n v="4500237450"/>
    <s v=" PR 4200281152 CONTRAT AVEC ARS POUR UN MONTANT TOTAL DE 15 800 155 FCFA PREMIER VERSEMENT 11 060 109 FCFA DERNIER VERSMENT 4 740 046 FCFA DERNIER PAIEMENT SERA FAIT APRES RECEPTION DU SERVICE ET UN RAPPORT FINAL APROUVE"/>
    <s v="Implementing Partners"/>
    <s v="AFRICAN RELIEF SERVICE 2"/>
    <s v="Central African Rep"/>
    <n v="6104"/>
    <x v="0"/>
    <x v="1"/>
  </r>
  <r>
    <x v="0"/>
    <s v="SN.0157"/>
    <s v="Emergency Assistance to Displaced Populations Affected by Conflict/Natural Disasters in Camp, Camp-like Settings, and Host Communities in the Central African Republic (CAR)"/>
    <s v="MOVEMENT, EMERGENCY AND POST-CRISIS MIGRATION MANAGEMENT"/>
    <s v="CAR"/>
    <n v="4500237462"/>
    <s v=" Mobility tracking a  Lobaye"/>
    <s v="Implementing Partners"/>
    <s v="ASSOCIATION LE SAMARITAIN"/>
    <s v="Central African Rep"/>
    <n v="2131"/>
    <x v="0"/>
    <x v="0"/>
  </r>
  <r>
    <x v="0"/>
    <s v="SN.0157"/>
    <s v="Emergency Assistance to Displaced Populations Affected by Conflict/Natural Disasters in Camp, Camp-like Settings, and Host Communities in the Central African Republic (CAR)"/>
    <s v="MOVEMENT, EMERGENCY AND POST-CRISIS MIGRATION MANAGEMENT"/>
    <s v="CAR"/>
    <n v="4500257385"/>
    <s v=" PR 4200342485 PREMIER VERSEMENT 7204960 FCFA DEUXIEME VERSMENT 7204960 FCFA DERNIER VERSEMENT 3602480 FCFA"/>
    <s v="Implementing Partners"/>
    <s v="CADRE D'APPUI SPIRIT. AUT. LOCALES"/>
    <s v="Central African Rep"/>
    <n v="2675"/>
    <x v="0"/>
    <x v="0"/>
  </r>
  <r>
    <x v="0"/>
    <s v="SN.0157"/>
    <s v="Emergency Assistance to Displaced Populations Affected by Conflict/Natural Disasters in Camp, Camp-like Settings, and Host Communities in the Central African Republic (CAR)"/>
    <s v="MOVEMENT, EMERGENCY AND POST-CRISIS MIGRATION MANAGEMENT"/>
    <s v="CAR"/>
    <n v="4500257387"/>
    <s v=" PREMIER VERSEMENT 4800000 FCFA DEUXIEME VERSEMENT 4800000 FCFA DERNIER VERSEMENT 2400000 FCFA PR # 4200342485"/>
    <s v="Implementing Partners"/>
    <s v="ASSOCIATION LE SAMARITAIN"/>
    <s v="Central African Rep"/>
    <n v="1782"/>
    <x v="0"/>
    <x v="0"/>
  </r>
  <r>
    <x v="0"/>
    <s v="SN.0157"/>
    <s v="Emergency Assistance to Displaced Populations Affected by Conflict/Natural Disasters in Camp, Camp-like Settings, and Host Communities in the Central African Republic (CAR)"/>
    <s v="MOVEMENT, EMERGENCY AND POST-CRISIS MIGRATION MANAGEMENT"/>
    <s v="CAR"/>
    <n v="4500257388"/>
    <s v=" PR 4200342485 PREMIER VERSMENT 5200000 FCFA DEUXIEME VERSEMENT 5200000 FCFA DERNIER VERSMENT 2600000 FCFA"/>
    <s v="Implementing Partners"/>
    <s v="FNOHD"/>
    <s v="Central African Rep"/>
    <n v="1930"/>
    <x v="0"/>
    <x v="0"/>
  </r>
  <r>
    <x v="0"/>
    <s v="SN.0157"/>
    <s v="Emergency Assistance to Displaced Populations Affected by Conflict/Natural Disasters in Camp, Camp-like Settings, and Host Communities in the Central African Republic (CAR)"/>
    <s v="MOVEMENT, EMERGENCY AND POST-CRISIS MIGRATION MANAGEMENT"/>
    <s v="CAR"/>
    <n v="4500257389"/>
    <s v=" Mise en oeuvre des activites de Mobility traking Round 17 et Round 18 / Mise en oeuvre d'evaluations PRF 4200341485"/>
    <s v="Implementing Partners"/>
    <s v="ONG NDA"/>
    <s v="Central African Rep"/>
    <n v="1857"/>
    <x v="0"/>
    <x v="0"/>
  </r>
  <r>
    <x v="0"/>
    <s v="SN.0157"/>
    <s v="Emergency Assistance to Displaced Populations Affected by Conflict/Natural Disasters in Camp, Camp-like Settings, and Host Communities in the Central African Republic (CAR)"/>
    <s v="MOVEMENT, EMERGENCY AND POST-CRISIS MIGRATION MANAGEMENT"/>
    <s v="CAR"/>
    <n v="4500257393"/>
    <s v="Mobility tracaking a Ouaka"/>
    <s v="Implementing Partners"/>
    <s v="ONG ESPERANCE"/>
    <s v="Central African Rep"/>
    <n v="1841"/>
    <x v="0"/>
    <x v="0"/>
  </r>
  <r>
    <x v="0"/>
    <s v="SN.0157"/>
    <s v="Emergency Assistance to Displaced Populations Affected by Conflict/Natural Disasters in Camp, Camp-like Settings, and Host Communities in the Central African Republic (CAR)"/>
    <s v="MOVEMENT, EMERGENCY AND POST-CRISIS MIGRATION MANAGEMENT"/>
    <s v="CAR"/>
    <n v="4500257394"/>
    <s v=" Mobility tracking a Bangui et Ombella Mpoko"/>
    <s v="Implementing Partners"/>
    <s v="COLLECTIF¨POUR LA PAIX EN CENTRAFRI"/>
    <s v="Central African Rep"/>
    <n v="3198"/>
    <x v="0"/>
    <x v="0"/>
  </r>
  <r>
    <x v="0"/>
    <s v="SN.0157"/>
    <s v="Emergency Assistance to Displaced Populations Affected by Conflict/Natural Disasters in Camp, Camp-like Settings, and Host Communities in the Central African Republic (CAR)"/>
    <s v="MOVEMENT, EMERGENCY AND POST-CRISIS MIGRATION MANAGEMENT"/>
    <s v="CAR"/>
    <n v="4500257397"/>
    <s v=" Mobility tracking a Vakaga"/>
    <s v="Implementing Partners"/>
    <s v="ONG VISION ET DEVELOPPEMENT"/>
    <s v="Central African Rep"/>
    <n v="1540"/>
    <x v="0"/>
    <x v="0"/>
  </r>
  <r>
    <x v="0"/>
    <s v="SN.0157"/>
    <s v="Emergency Assistance to Displaced Populations Affected by Conflict/Natural Disasters in Camp, Camp-like Settings, and Host Communities in the Central African Republic (CAR)"/>
    <s v="MOVEMENT, EMERGENCY AND POST-CRISIS MIGRATION MANAGEMENT"/>
    <s v="CAR"/>
    <n v="4500257398"/>
    <s v=" Mise en oeuvre des activites de Mobility traking Round 17 et round 18 / Mise en oeuvre d'evaluations PRF 4200342485"/>
    <s v="Implementing Partners"/>
    <s v="Association des Femmes Evang. BOSSA"/>
    <s v="Central African Rep"/>
    <n v="2392"/>
    <x v="0"/>
    <x v="0"/>
  </r>
  <r>
    <x v="0"/>
    <s v="SN.0157"/>
    <s v="Emergency Assistance to Displaced Populations Affected by Conflict/Natural Disasters in Camp, Camp-like Settings, and Host Communities in the Central African Republic (CAR)"/>
    <s v="MOVEMENT, EMERGENCY AND POST-CRISIS MIGRATION MANAGEMENT"/>
    <s v="CAR"/>
    <n v="4500257399"/>
    <s v=" Mobility tracking a Mambere Kadei et Sangha Mbaere"/>
    <s v="Implementing Partners"/>
    <s v="AFRICAN RELIEF SERVICE 2"/>
    <s v="Central African Rep"/>
    <n v="4692"/>
    <x v="0"/>
    <x v="1"/>
  </r>
  <r>
    <x v="0"/>
    <s v="SN.0157"/>
    <s v="Emergency Assistance to Displaced Populations Affected by Conflict/Natural Disasters in Camp, Camp-like Settings, and Host Communities in the Central African Republic (CAR)"/>
    <s v="MOVEMENT, EMERGENCY AND POST-CRISIS MIGRATION MANAGEMENT"/>
    <s v="CAR"/>
    <n v="4500257401"/>
    <s v=" Mobility tracking a Haut Mbomou"/>
    <s v="Implementing Partners"/>
    <s v="JUPEDEC"/>
    <s v="Central African Rep"/>
    <n v="1930"/>
    <x v="0"/>
    <x v="0"/>
  </r>
  <r>
    <x v="0"/>
    <s v="SN.0157"/>
    <s v="Emergency Assistance to Displaced Populations Affected by Conflict/Natural Disasters in Camp, Camp-like Settings, and Host Communities in the Central African Republic (CAR)"/>
    <s v="MOVEMENT, EMERGENCY AND POST-CRISIS MIGRATION MANAGEMENT"/>
    <s v="CAR"/>
    <n v="4500257402"/>
    <s v=" DTM activity a Basse Kotto"/>
    <s v="Implementing Partners"/>
    <s v="COLLECTIF¨POUR LA PAIX EN CENTRAFRI"/>
    <s v="Central African Rep"/>
    <n v="1174"/>
    <x v="0"/>
    <x v="0"/>
  </r>
  <r>
    <x v="0"/>
    <s v="SN.0157"/>
    <s v="Emergency Assistance to Displaced Populations Affected by Conflict/Natural Disasters in Camp, Camp-like Settings, and Host Communities in the Central African Republic (CAR)"/>
    <s v="MOVEMENT, EMERGENCY AND POST-CRISIS MIGRATION MANAGEMENT"/>
    <s v="CAR"/>
    <n v="4500257405"/>
    <s v=" Mise en oeuvre des activites de Mobility traking Round 17 et round 18 / Mise en oeuvre d'evaluations PRF 4200342485"/>
    <s v="Implementing Partners"/>
    <s v="Association des Femmes Evang. BOSSA"/>
    <s v="Central African Rep"/>
    <n v="2552"/>
    <x v="0"/>
    <x v="0"/>
  </r>
  <r>
    <x v="0"/>
    <s v="SN.0157"/>
    <s v="Emergency Assistance to Displaced Populations Affected by Conflict/Natural Disasters in Camp, Camp-like Settings, and Host Communities in the Central African Republic (CAR)"/>
    <s v="MOVEMENT, EMERGENCY AND POST-CRISIS MIGRATION MANAGEMENT"/>
    <s v="CAR"/>
    <n v="4500257407"/>
    <s v=" Mise en oeuvre des activites de Mobility traking Round 17 et round 18 / Mise en oeuvre d'evaluations PRF 4200342485"/>
    <s v="Implementing Partners"/>
    <s v="FNOHD"/>
    <s v="Central African Rep"/>
    <n v="2022"/>
    <x v="0"/>
    <x v="0"/>
  </r>
  <r>
    <x v="0"/>
    <s v="SN.0159"/>
    <s v="Provision of Critical Shelter and Non-Food Items Assistance to Displaced Populations in Yemen-2021"/>
    <s v="MOVEMENT, EMERGENCY AND POST-CRISIS MIGRATION MANAGEMENT"/>
    <s v="Yemen"/>
    <n v="4500181266"/>
    <s v=" Enhancing Response Capacity of Humanitarian Actors through Prepositioning of Essential Relief Items ( ( Warehousing Service in Ibb and South Taiz - 5th Extension)).  SAH-SFI-2022-10005"/>
    <s v="Implementing Partners"/>
    <s v="DEEM FOR DEVELOPMENT ORGANIZATION"/>
    <s v="Yemen"/>
    <n v="29963"/>
    <x v="0"/>
    <x v="0"/>
  </r>
  <r>
    <x v="0"/>
    <s v="SN.0159"/>
    <s v="Provision of Critical Shelter and Non-Food Items Assistance to Displaced Populations in Yemen-2021"/>
    <s v="MOVEMENT, EMERGENCY AND POST-CRISIS MIGRATION MANAGEMENT"/>
    <s v="Yemen"/>
    <n v="4500211577"/>
    <s v=" transporting cost 806 ESKs from Sana'a WH to distribution points and IP WH"/>
    <s v="Implementing Partners"/>
    <s v="Yemen General Union of Sociologists"/>
    <s v="Yemen"/>
    <n v="10363"/>
    <x v="0"/>
    <x v="0"/>
  </r>
  <r>
    <x v="0"/>
    <s v="SN.0159"/>
    <s v="Provision of Critical Shelter and Non-Food Items Assistance to Displaced Populations in Yemen-2021"/>
    <s v="MOVEMENT, EMERGENCY AND POST-CRISIS MIGRATION MANAGEMENT"/>
    <s v="Yemen"/>
    <n v="4500211620"/>
    <s v=" Enhancing the Response Capacity of Humanitarian Actors in Sana'a through Prepositioning of Essential Relief Items in Sana'a."/>
    <s v="Implementing Partners"/>
    <s v="Yemen General Union of Sociologists"/>
    <s v="Yemen"/>
    <n v="9900"/>
    <x v="0"/>
    <x v="0"/>
  </r>
  <r>
    <x v="0"/>
    <s v="SN.0159"/>
    <s v="Provision of Critical Shelter and Non-Food Items Assistance to Displaced Populations in Yemen-2021"/>
    <s v="MOVEMENT, EMERGENCY AND POST-CRISIS MIGRATION MANAGEMENT"/>
    <s v="Yemen"/>
    <n v="4500235373"/>
    <s v=" IP cost for warehousing Service of SNFI items in Taiz"/>
    <s v="Implementing Partners"/>
    <s v="Youth Creativity Organization for"/>
    <s v="Yemen"/>
    <n v="17920"/>
    <x v="0"/>
    <x v="0"/>
  </r>
  <r>
    <x v="0"/>
    <s v="SN.0160"/>
    <s v="Emergency Shelter Assistance and Non-food Items for Internally Displaced Persons (IDPs) and Host Communities in the communes of Barsalogho and Bouroum in the in the Center-North Region"/>
    <s v="MOVEMENT, EMERGENCY AND POST-CRISIS MIGRATION MANAGEMENT"/>
    <s v="Burkina Faso"/>
    <n v="4500190200"/>
    <s v=" Contrat de partenariat entre l'OIM et l'ONG DEDI pour la mise en oeuvre d'activités en contruction des abris d'urgences et distribution des kits articles ménagers essentiels (AME) au profit des personnes déplacées internes (PDI) et communautés hôtes dans"/>
    <s v="Implementing Partners"/>
    <s v="DEVELOP EQUITE DURABILITE ET INNOVA"/>
    <s v="Burkina Faso"/>
    <n v="389608"/>
    <x v="0"/>
    <x v="0"/>
  </r>
  <r>
    <x v="0"/>
    <s v="SN.0164"/>
    <s v="Multi-Purpose Cash, Shelter and Non-food Items Emergency Response to the Conflict in Ukraine"/>
    <s v="MOVEMENT, EMERGENCY AND POST-CRISIS MIGRATION MANAGEMENT"/>
    <s v="Ukraine"/>
    <n v="4500211576"/>
    <s v=" UA1-2022-3006_IP services for distribution of thermal blankets, kitchen sets, water containers."/>
    <s v="Implementing Partners"/>
    <s v="NGO SPILNA SPRAVA"/>
    <s v="Ukraine"/>
    <n v="968"/>
    <x v="0"/>
    <x v="0"/>
  </r>
  <r>
    <x v="0"/>
    <s v="SN.0164"/>
    <s v="Multi-Purpose Cash, Shelter and Non-food Items Emergency Response to the Conflict in Ukraine"/>
    <s v="MOVEMENT, EMERGENCY AND POST-CRISIS MIGRATION MANAGEMENT"/>
    <s v="Ukraine"/>
    <n v="4500214382"/>
    <s v=" IP services to distribution of solar lamps and baby hygiene kits"/>
    <s v="Implementing Partners"/>
    <s v="FPC UKRAINIAN PRISM"/>
    <s v="Ukraine"/>
    <n v="585"/>
    <x v="0"/>
    <x v="0"/>
  </r>
  <r>
    <x v="0"/>
    <s v="SN.0164"/>
    <s v="Multi-Purpose Cash, Shelter and Non-food Items Emergency Response to the Conflict in Ukraine"/>
    <s v="MOVEMENT, EMERGENCY AND POST-CRISIS MIGRATION MANAGEMENT"/>
    <s v="Ukraine"/>
    <n v="4500214394"/>
    <s v=" IP services to distribution of NFI, ESK, and other relief items in Ukraine"/>
    <s v="Implementing Partners"/>
    <s v="BF PRAVO NA ZAKHYST"/>
    <s v="Ukraine"/>
    <n v="555"/>
    <x v="0"/>
    <x v="0"/>
  </r>
  <r>
    <x v="0"/>
    <s v="SN.0164"/>
    <s v="Multi-Purpose Cash, Shelter and Non-food Items Emergency Response to the Conflict in Ukraine"/>
    <s v="MOVEMENT, EMERGENCY AND POST-CRISIS MIGRATION MANAGEMENT"/>
    <s v="Ukraine"/>
    <n v="4500218838"/>
    <s v=" IP for data collection services and field operation support"/>
    <s v="Implementing Partners"/>
    <s v="PO CYI TOP YOUTH"/>
    <s v="Ukraine"/>
    <n v="2459"/>
    <x v="0"/>
    <x v="8"/>
  </r>
  <r>
    <x v="0"/>
    <s v="SN.0164"/>
    <s v="Multi-Purpose Cash, Shelter and Non-food Items Emergency Response to the Conflict in Ukraine"/>
    <s v="MOVEMENT, EMERGENCY AND POST-CRISIS MIGRATION MANAGEMENT"/>
    <s v="Ukraine"/>
    <n v="4500221500"/>
    <s v=" Our Reference: PR NO. (4200256993) UA1-2022-3012_IP for NFI items distribution_NGO Rotary Club Kyiv International Type of contract signed: Framework Agreement PO is for internal use  - financial tracking only (no signature required)."/>
    <s v="Implementing Partners"/>
    <s v="HO ROTARI KLUB KYIV INTERNESHENAL"/>
    <s v="Ukraine"/>
    <n v="5461"/>
    <x v="0"/>
    <x v="0"/>
  </r>
  <r>
    <x v="0"/>
    <s v="SN.0164"/>
    <s v="Multi-Purpose Cash, Shelter and Non-food Items Emergency Response to the Conflict in Ukraine"/>
    <s v="MOVEMENT, EMERGENCY AND POST-CRISIS MIGRATION MANAGEMENT"/>
    <s v="Ukraine"/>
    <n v="4500222876"/>
    <s v=" PR NO. (4200257010) UA1-2022-3011_Services of Taras Shevchenko Ternopil Regional Association of Ukrainian Society &quot;Prosvita&quot;  Type of contract signed: Framework agreement NFIS/UA/2022/019 dd 04.04.2022  PO is for internal use  - financial tracking only ("/>
    <s v="Implementing Partners"/>
    <s v="PROSVITA IM.TARASA SHEVCHENKA"/>
    <s v="Ukraine"/>
    <n v="410"/>
    <x v="0"/>
    <x v="0"/>
  </r>
  <r>
    <x v="0"/>
    <s v="SN.0164"/>
    <s v="Multi-Purpose Cash, Shelter and Non-food Items Emergency Response to the Conflict in Ukraine"/>
    <s v="MOVEMENT, EMERGENCY AND POST-CRISIS MIGRATION MANAGEMENT"/>
    <s v="Ukraine"/>
    <n v="4500227752"/>
    <s v=" Our Reference: PR NO. (4200284159) UA1-2022-3023_IP_NFIs distribution_Vinnitsa Oblast  Type of contract signed: Agreement  PO is for internal use  - financial tracking only (no signature required). Created after service is rendered."/>
    <s v="Implementing Partners"/>
    <s v="NGO SPILNA SPRAVA"/>
    <s v="Ukraine"/>
    <n v="6670"/>
    <x v="0"/>
    <x v="0"/>
  </r>
  <r>
    <x v="0"/>
    <s v="SN.0164"/>
    <s v="Multi-Purpose Cash, Shelter and Non-food Items Emergency Response to the Conflict in Ukraine"/>
    <s v="MOVEMENT, EMERGENCY AND POST-CRISIS MIGRATION MANAGEMENT"/>
    <s v="Ukraine"/>
    <n v="4500235778"/>
    <s v=" Our Reference: PR NO. (4200265336) UA1-2022-3016_IP_Data Collection Services_Chernivtsi_The Committee of Voters  Type of contract signed: Service agreement  PO is for internal use  - financial tracking only (no signature required). Created after service"/>
    <s v="Implementing Partners"/>
    <s v="CHERNIVTSI COMMITTEE OF VOTERS"/>
    <s v="Ukraine"/>
    <n v="5445"/>
    <x v="0"/>
    <x v="0"/>
  </r>
  <r>
    <x v="0"/>
    <s v="SN.0164"/>
    <s v="Multi-Purpose Cash, Shelter and Non-food Items Emergency Response to the Conflict in Ukraine"/>
    <s v="MOVEMENT, EMERGENCY AND POST-CRISIS MIGRATION MANAGEMENT"/>
    <s v="Ukraine"/>
    <n v="4500238402"/>
    <s v=" Our Reference: PR NO. (4200256951) UA1-2022-3018_IP Services of the All-Ukrainian NGO Ukrainian Association of Business Support Centers in Ukraine  Type of contract signed: Framework agreement  PO is for internal use  - financial tracking only (no signat"/>
    <s v="Implementing Partners"/>
    <s v="NGO UKRAINSKA ASOTSIATSIIA TSENTRIV"/>
    <s v="Ukraine"/>
    <n v="893"/>
    <x v="0"/>
    <x v="0"/>
  </r>
  <r>
    <x v="0"/>
    <s v="SN.0165"/>
    <s v="Emergency Shelter and Non-Food Items (ESNFI) Assistance to Populations Affected by Crises in Oromia and Somali Regions of Ethiopia"/>
    <s v="MOVEMENT, EMERGENCY AND POST-CRISIS MIGRATION MANAGEMENT"/>
    <s v="Ethiopia"/>
    <n v="4500219556"/>
    <s v=" SNFI0103 - IP EECMY NFI assistance to populations affected by the Inter Communal Conflict"/>
    <s v="Implementing Partners"/>
    <s v="Ethiopian Evang Chur Mek.Yes-NC br"/>
    <s v="Ethiopia"/>
    <n v="30000"/>
    <x v="0"/>
    <x v="5"/>
  </r>
  <r>
    <x v="0"/>
    <s v="SN.0167"/>
    <s v="Shelter and NFI Assistance to Affected Populations from Tropical Storm Ana in Malawi"/>
    <s v="MOVEMENT, EMERGENCY AND POST-CRISIS MIGRATION MANAGEMENT"/>
    <s v="Malawi"/>
    <n v="4500209050"/>
    <s v=" 1ST INSTALLMENT"/>
    <s v="Implementing Partners"/>
    <s v="Malawi Red Cross Society"/>
    <s v="Malawi"/>
    <n v="360495"/>
    <x v="0"/>
    <x v="4"/>
  </r>
  <r>
    <x v="0"/>
    <s v="SN.0168"/>
    <s v="Humanitarian Assistance in Ukraine and Neighboring Countries"/>
    <s v="MOVEMENT, EMERGENCY AND POST-CRISIS MIGRATION MANAGEMENT"/>
    <s v="Hungary"/>
    <n v="4500221528"/>
    <s v=" PR 4200267246 Long term safe accomodation, transportatin &lt;(&gt;&amp;&lt;)&gt; environment with basic needs for persons displace by the conflict in Ukraine"/>
    <s v="Implementing Partners"/>
    <s v="ADRA"/>
    <s v="Hungary"/>
    <n v="54395"/>
    <x v="0"/>
    <x v="1"/>
  </r>
  <r>
    <x v="0"/>
    <s v="SN.0168"/>
    <s v="Humanitarian Assistance in Ukraine and Neighboring Countries"/>
    <s v="MOVEMENT, EMERGENCY AND POST-CRISIS MIGRATION MANAGEMENT"/>
    <s v="Poland"/>
    <n v="4500238822"/>
    <s v=" IP Agreement with Habitat for Humanity"/>
    <s v="Implementing Partners"/>
    <s v="FUNDACJA HABITAT"/>
    <s v="Poland"/>
    <n v="55951"/>
    <x v="0"/>
    <x v="1"/>
  </r>
  <r>
    <x v="0"/>
    <s v="SN.0168"/>
    <s v="Humanitarian Assistance in Ukraine and Neighboring Countries"/>
    <s v="MOVEMENT, EMERGENCY AND POST-CRISIS MIGRATION MANAGEMENT"/>
    <s v="Poland"/>
    <n v="4500243531"/>
    <s v=" IP agreement with Foundation Avalon - project to assist people with disabilities"/>
    <s v="Implementing Partners"/>
    <s v="Avalon-Direct help for disabled"/>
    <s v="Poland"/>
    <n v="48907"/>
    <x v="0"/>
    <x v="0"/>
  </r>
  <r>
    <x v="0"/>
    <s v="SN.0168"/>
    <s v="Humanitarian Assistance in Ukraine and Neighboring Countries"/>
    <s v="MOVEMENT, EMERGENCY AND POST-CRISIS MIGRATION MANAGEMENT"/>
    <s v="Slovakia"/>
    <n v="4500245855"/>
    <s v=" MHPSS first instalment"/>
    <s v="Implementing Partners"/>
    <s v="IPcko"/>
    <s v="Slovakia"/>
    <n v="45298"/>
    <x v="0"/>
    <x v="0"/>
  </r>
  <r>
    <x v="0"/>
    <s v="SN.0168"/>
    <s v="Humanitarian Assistance in Ukraine and Neighboring Countries"/>
    <s v="MOVEMENT, EMERGENCY AND POST-CRISIS MIGRATION MANAGEMENT"/>
    <s v="Ukraine"/>
    <n v="4500220202"/>
    <s v=" Our Reference: PR NO. (4200263973) UA1-2022-5206_Data collection and Field Ops Support_Monitoring of shelters in Dnipropetrovsk region  Type of contract signed: Service agreement  PO is for internal use  - financial tracking only (no signature required)."/>
    <s v="Implementing Partners"/>
    <s v="HO ROTARI KLUB KYIV INTERNESHENAL"/>
    <s v="Ukraine"/>
    <n v="5025"/>
    <x v="0"/>
    <x v="0"/>
  </r>
  <r>
    <x v="0"/>
    <s v="SN.0168"/>
    <s v="Humanitarian Assistance in Ukraine and Neighboring Countries"/>
    <s v="MOVEMENT, EMERGENCY AND POST-CRISIS MIGRATION MANAGEMENT"/>
    <s v="Ukraine"/>
    <n v="4500223321"/>
    <s v=" PR NO. (4200274042) UA1-2022-624.1_Emergency Health Response to the Humanitarian Crisis in Ukraine_UK-MED  Type of contract signed: PIA UKR/SS/V253/2022 dd 20.05.2022  PO is for internal use  - financial tracking only (no signature"/>
    <s v="Implementing Partners"/>
    <s v="UK-MED"/>
    <s v="United Kingdom"/>
    <n v="1500900"/>
    <x v="0"/>
    <x v="1"/>
  </r>
  <r>
    <x v="0"/>
    <s v="SN.0168"/>
    <s v="Humanitarian Assistance in Ukraine and Neighboring Countries"/>
    <s v="MOVEMENT, EMERGENCY AND POST-CRISIS MIGRATION MANAGEMENT"/>
    <s v="Ukraine"/>
    <n v="4500226765"/>
    <s v=" Our Reference: PR NO. (4200280039) UA1-2022-5206.1_Evaluation and monitoring of shelters in Dnipropetrovsk region_422 sites  Type of contract signed: Service agreement  PO is for internal use  - financial tracking only (no signature required). Created af"/>
    <s v="Implementing Partners"/>
    <s v="HO ROTARI KLUB KYIV INTERNESHENAL"/>
    <s v="Ukraine"/>
    <n v="31650"/>
    <x v="0"/>
    <x v="0"/>
  </r>
  <r>
    <x v="0"/>
    <s v="SN.0168"/>
    <s v="Humanitarian Assistance in Ukraine and Neighboring Countries"/>
    <s v="MOVEMENT, EMERGENCY AND POST-CRISIS MIGRATION MANAGEMENT"/>
    <s v="Ukraine"/>
    <n v="4500235815"/>
    <s v=" Our Reference: PR NO. (4200299792) UA1-2022-5207_CCCM_Payment for the Assessment_Ivano-Frankivsk Oblast  Type of contract signed: Service agreement  PO is for internal use  - financial tracking only (no signature required). Created after service is rende"/>
    <s v="Implementing Partners"/>
    <s v="IVANO-FRANKIVSKE OO"/>
    <s v="Ukraine"/>
    <n v="4400"/>
    <x v="0"/>
    <x v="0"/>
  </r>
  <r>
    <x v="0"/>
    <s v="SN.0170"/>
    <s v="Addressing Immediate Humanitarian Needs of the Most Vulnerable Populations in Ukraine"/>
    <s v="MOVEMENT, EMERGENCY AND POST-CRISIS MIGRATION MANAGEMENT"/>
    <s v="Ukraine"/>
    <n v="4500210822"/>
    <s v=" IP services to distribute hygiene kits in Zaporizhzhia"/>
    <s v="Implementing Partners"/>
    <s v="CF POSMISHKA UA"/>
    <s v="Ukraine"/>
    <n v="2950"/>
    <x v="0"/>
    <x v="0"/>
  </r>
  <r>
    <x v="0"/>
    <s v="SN.0170"/>
    <s v="Addressing Immediate Humanitarian Needs of the Most Vulnerable Populations in Ukraine"/>
    <s v="MOVEMENT, EMERGENCY AND POST-CRISIS MIGRATION MANAGEMENT"/>
    <s v="Ukraine"/>
    <n v="4500211576"/>
    <s v=" UA1-2022-3006_IP services for distribution of thermal blankets, kitchen sets, water containers."/>
    <s v="Implementing Partners"/>
    <s v="NGO SPILNA SPRAVA"/>
    <s v="Ukraine"/>
    <n v="645"/>
    <x v="0"/>
    <x v="0"/>
  </r>
  <r>
    <x v="0"/>
    <s v="SN.0170"/>
    <s v="Addressing Immediate Humanitarian Needs of the Most Vulnerable Populations in Ukraine"/>
    <s v="MOVEMENT, EMERGENCY AND POST-CRISIS MIGRATION MANAGEMENT"/>
    <s v="Ukraine"/>
    <n v="4500214382"/>
    <s v=" IP services to distribution of solar lamps and baby hygiene kits"/>
    <s v="Implementing Partners"/>
    <s v="FPC UKRAINIAN PRISM"/>
    <s v="Ukraine"/>
    <n v="390"/>
    <x v="0"/>
    <x v="0"/>
  </r>
  <r>
    <x v="0"/>
    <s v="SN.0170"/>
    <s v="Addressing Immediate Humanitarian Needs of the Most Vulnerable Populations in Ukraine"/>
    <s v="MOVEMENT, EMERGENCY AND POST-CRISIS MIGRATION MANAGEMENT"/>
    <s v="Ukraine"/>
    <n v="4500214394"/>
    <s v=" IP services to distribution of NFI, ESK, and other relief items in Ukraine"/>
    <s v="Implementing Partners"/>
    <s v="BF PRAVO NA ZAKHYST"/>
    <s v="Ukraine"/>
    <n v="370"/>
    <x v="0"/>
    <x v="0"/>
  </r>
  <r>
    <x v="0"/>
    <s v="SN.0170"/>
    <s v="Addressing Immediate Humanitarian Needs of the Most Vulnerable Populations in Ukraine"/>
    <s v="MOVEMENT, EMERGENCY AND POST-CRISIS MIGRATION MANAGEMENT"/>
    <s v="Ukraine"/>
    <n v="4500221488"/>
    <s v=" Our Reference: PR NO. (4200257052) UA1-2022-3010_Services of the CF&quot; Charity Foundation&quot; East-SOS&quot; in Ukraine Type of contract signed: Framework Agreement PO is for internal use  - financial tracking only (no signature required)."/>
    <s v="Implementing Partners"/>
    <s v="BF VOSTOK-SOS"/>
    <s v="Ukraine"/>
    <n v="501"/>
    <x v="0"/>
    <x v="0"/>
  </r>
  <r>
    <x v="0"/>
    <s v="SN.0170"/>
    <s v="Addressing Immediate Humanitarian Needs of the Most Vulnerable Populations in Ukraine"/>
    <s v="MOVEMENT, EMERGENCY AND POST-CRISIS MIGRATION MANAGEMENT"/>
    <s v="Ukraine"/>
    <n v="4500221500"/>
    <s v=" Our Reference: PR NO. (4200256993) UA1-2022-3012_IP for NFI items distribution_NGO Rotary Club Kyiv International Type of contract signed: Framework Agreement PO is for internal use  - financial tracking only (no signature required)."/>
    <s v="Implementing Partners"/>
    <s v="HO ROTARI KLUB KYIV INTERNESHENAL"/>
    <s v="Ukraine"/>
    <n v="3640"/>
    <x v="0"/>
    <x v="0"/>
  </r>
  <r>
    <x v="0"/>
    <s v="SN.0170"/>
    <s v="Addressing Immediate Humanitarian Needs of the Most Vulnerable Populations in Ukraine"/>
    <s v="MOVEMENT, EMERGENCY AND POST-CRISIS MIGRATION MANAGEMENT"/>
    <s v="Ukraine"/>
    <n v="4500222876"/>
    <s v=" PR NO. (4200257010) UA1-2022-3011_Services of Taras Shevchenko Ternopil Regional Association of Ukrainian Society &quot;Prosvita&quot;  Type of contract signed: Framework agreement NFIS/UA/2022/019 dd 04.04.2022  PO is for internal use  - financial tracking only ("/>
    <s v="Implementing Partners"/>
    <s v="PROSVITA IM.TARASA SHEVCHENKA"/>
    <s v="Ukraine"/>
    <n v="273"/>
    <x v="0"/>
    <x v="0"/>
  </r>
  <r>
    <x v="0"/>
    <s v="SN.0170"/>
    <s v="Addressing Immediate Humanitarian Needs of the Most Vulnerable Populations in Ukraine"/>
    <s v="MOVEMENT, EMERGENCY AND POST-CRISIS MIGRATION MANAGEMENT"/>
    <s v="Ukraine"/>
    <n v="4500238402"/>
    <s v=" Our Reference: PR NO. (4200256951) UA1-2022-3018_IP Services of the All-Ukrainian NGO Ukrainian Association of Business Support Centers in Ukraine  Type of contract signed: Framework agreement  PO is for internal use  - financial tracking only (no signat"/>
    <s v="Implementing Partners"/>
    <s v="NGO UKRAINSKA ASOTSIATSIIA TSENTRIV"/>
    <s v="Ukraine"/>
    <n v="595"/>
    <x v="0"/>
    <x v="0"/>
  </r>
  <r>
    <x v="0"/>
    <s v="SN.0170"/>
    <s v="Addressing Immediate Humanitarian Needs of the Most Vulnerable Populations in Ukraine"/>
    <s v="MOVEMENT, EMERGENCY AND POST-CRISIS MIGRATION MANAGEMENT"/>
    <s v="Ukraine"/>
    <n v="4500247012"/>
    <s v=" UA1-2022-3049_IP Services_Ensuring comprehensive protection in Poltava Oblast_Implementation of project on counter human trafficking, exploitation and GBV"/>
    <s v="Implementing Partners"/>
    <s v="NGO Svitlo Nadii"/>
    <s v="Ukraine"/>
    <n v="167095"/>
    <x v="0"/>
    <x v="0"/>
  </r>
  <r>
    <x v="0"/>
    <s v="SN.0170"/>
    <s v="Addressing Immediate Humanitarian Needs of the Most Vulnerable Populations in Ukraine"/>
    <s v="MOVEMENT, EMERGENCY AND POST-CRISIS MIGRATION MANAGEMENT"/>
    <s v="Ukraine"/>
    <n v="4500247935"/>
    <s v=" UA1-2022-3048_IP services for distribution of NFI and WASH items in Rivnenska Oblast, Rivne and Dubno Raions - Distribution of 6144 blankets, 4464 mattresses, 4096 bedding kits, 3828 kitchen sets, 3328 HK for HH and 30 Institutional HK"/>
    <s v="Implementing Partners"/>
    <s v="VOLYNSKYY RESURSNYY TSENTR"/>
    <s v="Ukraine"/>
    <n v="14273"/>
    <x v="0"/>
    <x v="3"/>
  </r>
  <r>
    <x v="0"/>
    <s v="SN.0170"/>
    <s v="Addressing Immediate Humanitarian Needs of the Most Vulnerable Populations in Ukraine"/>
    <s v="MOVEMENT, EMERGENCY AND POST-CRISIS MIGRATION MANAGEMENT"/>
    <s v="Ukraine"/>
    <n v="4500249545"/>
    <s v=" UA1-2022-3054_IP Rotary Club to support CCCM activities (assessments and distribution, cash registration) in Dnipro, Poltava, Kyiv and other locations"/>
    <s v="Implementing Partners"/>
    <s v="HO ROTARI KLUB KYIV INTERNESHENAL"/>
    <s v="Ukraine"/>
    <n v="45486"/>
    <x v="0"/>
    <x v="0"/>
  </r>
  <r>
    <x v="0"/>
    <s v="SN.0170"/>
    <s v="Addressing Immediate Humanitarian Needs of the Most Vulnerable Populations in Ukraine"/>
    <s v="MOVEMENT, EMERGENCY AND POST-CRISIS MIGRATION MANAGEMENT"/>
    <s v="Ukraine"/>
    <n v="4500250066"/>
    <s v=" UA1-2022-3036.01_IP COI CF &quot;Restore Ukraine&quot; for Shelter interventions implemented through data collection services and field operations support in targeted CCs within the Kharkiv oblast."/>
    <s v="Implementing Partners"/>
    <s v="CO ICF RESTORE UKRAINE"/>
    <s v="Ukraine"/>
    <n v="150000"/>
    <x v="0"/>
    <x v="0"/>
  </r>
  <r>
    <x v="0"/>
    <s v="SN.0170"/>
    <s v="Addressing Immediate Humanitarian Needs of the Most Vulnerable Populations in Ukraine"/>
    <s v="MOVEMENT, EMERGENCY AND POST-CRISIS MIGRATION MANAGEMENT"/>
    <s v="Ukraine"/>
    <n v="4500250875"/>
    <s v="000000000500000124-IP transfers – National CSOs"/>
    <s v="Implementing Partners"/>
    <s v="CF POSMISHKA UA"/>
    <s v="Ukraine"/>
    <n v="5100"/>
    <x v="0"/>
    <x v="0"/>
  </r>
  <r>
    <x v="0"/>
    <s v="SN.0170"/>
    <s v="Addressing Immediate Humanitarian Needs of the Most Vulnerable Populations in Ukraine"/>
    <s v="MOVEMENT, EMERGENCY AND POST-CRISIS MIGRATION MANAGEMENT"/>
    <s v="Ukraine"/>
    <n v="4500250884"/>
    <s v=" Our Reference: PR NO. (4200332417) UA1-2022-3060_IP services for distribution of items in Chernihiv and Cherkasy Oblast  Type of contract signed: Framework agreement  PO is for internal use  - financial tracking only (no signature required). Created afte"/>
    <s v="Implementing Partners"/>
    <s v="FPC UKRAINIAN PRISM"/>
    <s v="Ukraine"/>
    <n v="8748"/>
    <x v="0"/>
    <x v="0"/>
  </r>
  <r>
    <x v="0"/>
    <s v="SN.0170"/>
    <s v="Addressing Immediate Humanitarian Needs of the Most Vulnerable Populations in Ukraine"/>
    <s v="MOVEMENT, EMERGENCY AND POST-CRISIS MIGRATION MANAGEMENT"/>
    <s v="Ukraine"/>
    <n v="4500274173"/>
    <s v=" Implementation of comprehensive response to protect victims of trafficking in human beings, exploitation or violence in Cherkasy and Dnipropetrovsk Oblast"/>
    <s v="Implementing Partners"/>
    <s v="BO STO VIDSOTKIV ZHYTTIA CHERKASY"/>
    <s v="Ukraine"/>
    <n v="199941"/>
    <x v="0"/>
    <x v="0"/>
  </r>
  <r>
    <x v="0"/>
    <s v="SN.0170"/>
    <s v="Addressing Immediate Humanitarian Needs of the Most Vulnerable Populations in Ukraine"/>
    <s v="MOVEMENT, EMERGENCY AND POST-CRISIS MIGRATION MANAGEMENT"/>
    <s v="Ukraine"/>
    <n v="4500275116"/>
    <s v=" IP Services for Distribution of Emergency Shelter kits, in multiple oblasts"/>
    <s v="Implementing Partners"/>
    <s v="HO ROTARI KLUB KYIV INTERNESHENAL"/>
    <s v="Ukraine"/>
    <n v="76339"/>
    <x v="0"/>
    <x v="0"/>
  </r>
  <r>
    <x v="0"/>
    <s v="SN.0170"/>
    <s v="Addressing Immediate Humanitarian Needs of the Most Vulnerable Populations in Ukraine"/>
    <s v="MOVEMENT, EMERGENCY AND POST-CRISIS MIGRATION MANAGEMENT"/>
    <s v="Ukraine"/>
    <n v="4500275775"/>
    <s v=" IP Services for Procurement of Solid Fuel in multiple obl."/>
    <s v="Implementing Partners"/>
    <s v="HO ROTARI KLUB KYIV INTERNESHENAL"/>
    <s v="Ukraine"/>
    <n v="6610135"/>
    <x v="0"/>
    <x v="0"/>
  </r>
  <r>
    <x v="0"/>
    <s v="SN.0176"/>
    <s v="Humanitarian Assistance in Shelter and Site Management Support for Vulnerable Populations Affected by Cyclones Batsirai and Emnati"/>
    <s v="MOVEMENT, EMERGENCY AND POST-CRISIS MIGRATION MANAGEMENT"/>
    <s v="Madagascar"/>
    <n v="4500220160"/>
    <s v=" First instalment 1/2 : Humanitarian assistance in shelter and site management support for vulnerable populations affected by Cyclone Batsirai and Emnati"/>
    <s v="Implementing Partners"/>
    <s v="CRS - CATHOLIC RELIEF SERVICES"/>
    <s v="Madagascar"/>
    <n v="303080"/>
    <x v="0"/>
    <x v="1"/>
  </r>
  <r>
    <x v="0"/>
    <s v="SN.0176"/>
    <s v="Humanitarian Assistance in Shelter and Site Management Support for Vulnerable Populations Affected by Cyclones Batsirai and Emnati"/>
    <s v="MOVEMENT, EMERGENCY AND POST-CRISIS MIGRATION MANAGEMENT"/>
    <s v="Madagascar"/>
    <n v="4500220168"/>
    <s v=" First instalment 1/2 : Humanitarian assistance in shelter and site management support for vulnerable populations affected by Cyclone Batsirai and Emnati"/>
    <s v="Implementing Partners"/>
    <s v="Croix Rouge Malagasy"/>
    <s v="Madagascar"/>
    <n v="117965"/>
    <x v="0"/>
    <x v="4"/>
  </r>
  <r>
    <x v="0"/>
    <s v="SN.0181"/>
    <s v="Emergency Shelter and Non-food Items (ESNFI) Assistance to Populations Affected by Crises in Jara, North Wello, Amhara Regions of Ethiopia"/>
    <s v="MOVEMENT, EMERGENCY AND POST-CRISIS MIGRATION MANAGEMENT"/>
    <s v="Ethiopia"/>
    <n v="4500224040"/>
    <s v=" PO created for MIGO/MIRO Purpose PIA referance - ETH/ADD/June/1057/2022"/>
    <s v="Implementing Partners"/>
    <s v="Development for Peace Organization"/>
    <s v="Ethiopia"/>
    <n v="970000"/>
    <x v="0"/>
    <x v="0"/>
  </r>
  <r>
    <x v="0"/>
    <s v="SN.0182"/>
    <s v="Shelter and Non-Food Item Humanitarian Assistance for Displaced Populations in Situation of Vulnerability in the Regions of Tahoua and Tillaberi in Niger"/>
    <s v="MOVEMENT, EMERGENCY AND POST-CRISIS MIGRATION MANAGEMENT"/>
    <s v="Niger"/>
    <n v="4500232537"/>
    <s v=" DISTRIBUTION DE 865 SHELTER ET 865 NFI AUX DEPLACES DES COMMUNES ET DEPARTEMENT DE TORODI ET REGION DE TILLABERY; PRF#4200292563"/>
    <s v="Implementing Partners"/>
    <s v="ONG AHDD"/>
    <s v="Niger"/>
    <n v="107104"/>
    <x v="0"/>
    <x v="0"/>
  </r>
  <r>
    <x v="0"/>
    <s v="SN.0182"/>
    <s v="Shelter and Non-Food Item Humanitarian Assistance for Displaced Populations in Situation of Vulnerability in the Regions of Tahoua and Tillaberi in Niger"/>
    <s v="MOVEMENT, EMERGENCY AND POST-CRISIS MIGRATION MANAGEMENT"/>
    <s v="Niger"/>
    <n v="4500232540"/>
    <s v=" DISTRIBUTION DE 500 KIT NFI ET 500 SHELTERS A TILLIA, TASSARA ET BANGUI. PRF#4200292559"/>
    <s v="Implementing Partners"/>
    <s v="ONG ANTD"/>
    <s v="Niger"/>
    <n v="51434"/>
    <x v="0"/>
    <x v="0"/>
  </r>
  <r>
    <x v="0"/>
    <s v="SN.0182"/>
    <s v="Shelter and Non-Food Item Humanitarian Assistance for Displaced Populations in Situation of Vulnerability in the Regions of Tahoua and Tillaberi in Niger"/>
    <s v="MOVEMENT, EMERGENCY AND POST-CRISIS MIGRATION MANAGEMENT"/>
    <s v="Niger"/>
    <n v="4500263803"/>
    <s v=" Distribution of shelters and non-food items (ABNA, protection kits, training of peer educators, etc. Based on two payment prf 4200364700"/>
    <s v="Implementing Partners"/>
    <s v="ONG ANTD"/>
    <s v="Niger"/>
    <n v="12280"/>
    <x v="0"/>
    <x v="0"/>
  </r>
  <r>
    <x v="0"/>
    <s v="SN.0185"/>
    <s v="IOM Ukraine Winterization Strategy"/>
    <s v="MOVEMENT, EMERGENCY AND POST-CRISIS MIGRATION MANAGEMENT"/>
    <s v="Ukraine"/>
    <n v="4500275142"/>
    <s v=" IP_Servises_Distribution_Heating_Appliances"/>
    <s v="Implementing Partners"/>
    <s v="HO ROTARI KLUB KYIV INTERNESHENAL"/>
    <s v="Ukraine"/>
    <n v="132940"/>
    <x v="0"/>
    <x v="0"/>
  </r>
  <r>
    <x v="0"/>
    <s v="SN.0185"/>
    <s v="IOM Ukraine Winterization Strategy"/>
    <s v="MOVEMENT, EMERGENCY AND POST-CRISIS MIGRATION MANAGEMENT"/>
    <s v="Ukraine"/>
    <n v="4500275775"/>
    <s v=" IP Services for Procurement of Solid Fuel in multiple obl."/>
    <s v="Implementing Partners"/>
    <s v="HO ROTARI KLUB KYIV INTERNESHENAL"/>
    <s v="Ukraine"/>
    <n v="3629094"/>
    <x v="0"/>
    <x v="0"/>
  </r>
  <r>
    <x v="0"/>
    <s v="SN.0187"/>
    <s v="Winterization Support for Conflict-Affected Populations in Remote and Rural Areas in Ukraine"/>
    <s v="MOVEMENT, EMERGENCY AND POST-CRISIS MIGRATION MANAGEMENT"/>
    <s v="Ukraine"/>
    <n v="4500275775"/>
    <s v=" IP Services for Procurement of Solid Fuel in multiple obl."/>
    <s v="Implementing Partners"/>
    <s v="HO ROTARI KLUB KYIV INTERNESHENAL"/>
    <s v="Ukraine"/>
    <n v="2721820"/>
    <x v="0"/>
    <x v="0"/>
  </r>
  <r>
    <x v="0"/>
    <s v="SN.0189"/>
    <s v="Humanitarian Shelter Assistance for Vulnerable Populations Affected by Conflict in Ituri and North Kivu, Democratic Republic of the Congo (DRC)"/>
    <s v="MOVEMENT, EMERGENCY AND POST-CRISIS MIGRATION MANAGEMENT"/>
    <s v="Congo (Dem Rep)"/>
    <n v="4500255920"/>
    <s v=" Transfer_Payment for implementing partner AIDES for shelter assistance in North Kivu province"/>
    <s v="Implementing Partners"/>
    <s v="AIDES"/>
    <s v="Congo (Dem Rep)"/>
    <n v="429200"/>
    <x v="0"/>
    <x v="0"/>
  </r>
  <r>
    <x v="0"/>
    <s v="SN.0189"/>
    <s v="Humanitarian Shelter Assistance for Vulnerable Populations Affected by Conflict in Ituri and North Kivu, Democratic Republic of the Congo (DRC)"/>
    <s v="MOVEMENT, EMERGENCY AND POST-CRISIS MIGRATION MANAGEMENT"/>
    <s v="Congo (Dem Rep)"/>
    <n v="4500256245"/>
    <s v=" Transfer_Payment for implementing partner ADSSE for shelter assistance in Ituri province"/>
    <s v="Implementing Partners"/>
    <s v="ADSSE(ASS.POUR LE DEVELOPPEMENT SOC"/>
    <s v="Congo (Dem Rep)"/>
    <n v="299874"/>
    <x v="0"/>
    <x v="0"/>
  </r>
  <r>
    <x v="1"/>
    <s v="DP.2659"/>
    <s v="Provision of Humanitarian Coordination, Shelter and Settlements, Water, Sanitation and Hygiene (WASH), Multi-Purpose Cash Assistance (MPCA), Health and Protection Assistance for Crisis-Affected Populations in Ethiopia"/>
    <s v="MOVEMENT, EMERGENCY AND POST-CRISIS MIGRATION MANAGEMENT"/>
    <s v="Ethiopia"/>
    <n v="4500364246"/>
    <m/>
    <s v="Entity Grants"/>
    <s v="Tigray Youth Empowerment Solutions"/>
    <s v="Ethiopia"/>
    <n v="29267"/>
    <x v="0"/>
    <x v="3"/>
  </r>
  <r>
    <x v="1"/>
    <s v="DP.2681"/>
    <s v="Rapid Response Fund for Sudden Emergencies in Northeast Nigeria"/>
    <s v="MOVEMENT, EMERGENCY AND POST-CRISIS MIGRATION MANAGEMENT"/>
    <s v="Nigeria"/>
    <n v="4500359162"/>
    <m/>
    <s v="Entity Grants"/>
    <s v="CONCERN FOR WOMEN AND CHILDREN"/>
    <s v="Nigeria"/>
    <n v="57366"/>
    <x v="0"/>
    <x v="0"/>
  </r>
  <r>
    <x v="1"/>
    <s v="DP.2659"/>
    <s v="Provision of Humanitarian Coordination, Shelter and Settlements, Water, Sanitation and Hygiene (WASH), Multi-Purpose Cash Assistance (MPCA), Health and Protection Assistance for Crisis-Affected Populations in Ethiopia"/>
    <s v="MOVEMENT, EMERGENCY AND POST-CRISIS MIGRATION MANAGEMENT"/>
    <s v="Ethiopia"/>
    <n v="4500358307"/>
    <m/>
    <s v="Entity Grants"/>
    <s v="Afro Ethiopia Integrated Dev't"/>
    <s v="Ethiopia"/>
    <n v="101100"/>
    <x v="0"/>
    <x v="0"/>
  </r>
  <r>
    <x v="1"/>
    <s v="DP.2659"/>
    <s v="Provision of Humanitarian Coordination, Shelter and Settlements, Water, Sanitation and Hygiene (WASH), Multi-Purpose Cash Assistance (MPCA), Health and Protection Assistance for Crisis-Affected Populations in Ethiopia"/>
    <s v="MOVEMENT, EMERGENCY AND POST-CRISIS MIGRATION MANAGEMENT"/>
    <s v="Ethiopia"/>
    <n v="4500371516"/>
    <m/>
    <s v="Entity Grants"/>
    <s v="Community in Action Against Poverty"/>
    <s v="Ethiopia"/>
    <n v="130213"/>
    <x v="0"/>
    <x v="0"/>
  </r>
  <r>
    <x v="1"/>
    <s v="DP.2659"/>
    <s v="Provision of Humanitarian Coordination, Shelter and Settlements, Water, Sanitation and Hygiene (WASH), Multi-Purpose Cash Assistance (MPCA), Health and Protection Assistance for Crisis-Affected Populations in Ethiopia"/>
    <s v="MOVEMENT, EMERGENCY AND POST-CRISIS MIGRATION MANAGEMENT"/>
    <s v="Ethiopia"/>
    <n v="4500371470"/>
    <m/>
    <s v="Entity Grants"/>
    <s v="Organization for Social Services He"/>
    <s v="Ethiopia"/>
    <n v="145087"/>
    <x v="0"/>
    <x v="0"/>
  </r>
  <r>
    <x v="1"/>
    <s v="CC.0072"/>
    <s v="Enhancing Humanitarian Assistance to Populations Affected by Conflict and Natural Hazards in Central and Northern Mali"/>
    <s v="MOVEMENT, EMERGENCY AND POST-CRISIS MIGRATION MANAGEMENT"/>
    <s v="Mali"/>
    <n v="4500359121"/>
    <m/>
    <s v="Implementing Partner"/>
    <s v="DIRECTION NAT.DEV. SOC"/>
    <s v="Mali"/>
    <n v="133352"/>
    <x v="0"/>
    <x v="0"/>
  </r>
  <r>
    <x v="1"/>
    <s v="DP.1204"/>
    <s v="Comprehensive Action Plan for Afghanistan and Neighbouring Countries"/>
    <s v="MOVEMENT, EMERGENCY AND POST-CRISIS MIGRATION MANAGEMENT"/>
    <s v="Kazakhstan"/>
    <n v="4500373603"/>
    <m/>
    <s v="Implementing Partner"/>
    <s v="Crisis Center Zabota"/>
    <s v="Kazakhstan"/>
    <n v="24254"/>
    <x v="0"/>
    <x v="0"/>
  </r>
  <r>
    <x v="1"/>
    <s v="DP.1204"/>
    <s v="Comprehensive Action Plan for Afghanistan and Neighbouring Countries"/>
    <s v="MOVEMENT, EMERGENCY AND POST-CRISIS MIGRATION MANAGEMENT"/>
    <s v="Kazakhstan"/>
    <n v="4500371601"/>
    <m/>
    <s v="Implementing Partner"/>
    <s v="Sana"/>
    <s v="Kazakhstan"/>
    <n v="11907"/>
    <x v="0"/>
    <x v="8"/>
  </r>
  <r>
    <x v="1"/>
    <s v="DP.2051"/>
    <s v="Individual Measure to Strengthen the Response Capacity to Manage Migration Flows in Bosnia and Herzegovina"/>
    <s v="MOVEMENT, EMERGENCY AND POST-CRISIS MIGRATION MANAGEMENT"/>
    <s v="Bosnia-Herz."/>
    <n v="4500380275"/>
    <m/>
    <s v="Implementing Partner"/>
    <s v="Udruzenje Ujedinjene Zene"/>
    <s v="Bosnia-Herz."/>
    <n v="21352"/>
    <x v="0"/>
    <x v="0"/>
  </r>
  <r>
    <x v="1"/>
    <s v="DP.2057"/>
    <s v="Multisectoral Emergency Response to Conflict and Climate Shock Affected Internally Displaced Populations and Communities in Northern Mozambique – Phase II"/>
    <s v="MOVEMENT, EMERGENCY AND POST-CRISIS MIGRATION MANAGEMENT"/>
    <s v="Mozambique"/>
    <n v="4500375071"/>
    <m/>
    <s v="Implementing Partner"/>
    <s v="OIKOS"/>
    <s v="Mozambique"/>
    <n v="78814"/>
    <x v="0"/>
    <x v="1"/>
  </r>
  <r>
    <x v="1"/>
    <s v="DP.2057"/>
    <s v="Multisectoral Emergency Response to Conflict and Climate Shock Affected Internally Displaced Populations and Communities in Northern Mozambique – Phase II"/>
    <s v="MOVEMENT, EMERGENCY AND POST-CRISIS MIGRATION MANAGEMENT"/>
    <s v="Mozambique"/>
    <n v="4500367297"/>
    <m/>
    <s v="Implementing Partner"/>
    <s v="Pronanac Educacional"/>
    <s v="Mozambique"/>
    <n v="232575"/>
    <x v="0"/>
    <x v="0"/>
  </r>
  <r>
    <x v="1"/>
    <s v="DP.2338"/>
    <s v="Enhancing Programme Quality and Inclusion in Crisis Response"/>
    <s v="MOVEMENT, EMERGENCY AND POST-CRISIS MIGRATION MANAGEMENT"/>
    <s v="Nepal"/>
    <n v="4500366851"/>
    <m/>
    <s v="Implementing Partner"/>
    <s v="CBM Nepal Country Office"/>
    <s v="Nepal"/>
    <n v="9132"/>
    <x v="0"/>
    <x v="1"/>
  </r>
  <r>
    <x v="1"/>
    <s v="DP.2412"/>
    <s v="Multi-Sectoral Humanitarian Assistance for Displaced and Mobile Populations in Sudan"/>
    <s v="MOVEMENT, EMERGENCY AND POST-CRISIS MIGRATION MANAGEMENT"/>
    <s v="Sudan"/>
    <n v="4500352307"/>
    <m/>
    <s v="Implementing Partner"/>
    <s v="Addition for Disasters Assistance"/>
    <s v="Sudan"/>
    <n v="168174"/>
    <x v="0"/>
    <x v="0"/>
  </r>
  <r>
    <x v="1"/>
    <s v="DP.2412"/>
    <s v="Multi-Sectoral Humanitarian Assistance for Displaced and Mobile Populations in Sudan"/>
    <s v="MOVEMENT, EMERGENCY AND POST-CRISIS MIGRATION MANAGEMENT"/>
    <s v="Sudan"/>
    <n v="4500360329"/>
    <m/>
    <s v="Implementing Partner"/>
    <s v="Alsalam Organization for Rehabilita"/>
    <s v="Sudan"/>
    <n v="182301"/>
    <x v="0"/>
    <x v="0"/>
  </r>
  <r>
    <x v="1"/>
    <s v="DP.2412"/>
    <s v="Multi-Sectoral Humanitarian Assistance for Displaced and Mobile Populations in Sudan"/>
    <s v="MOVEMENT, EMERGENCY AND POST-CRISIS MIGRATION MANAGEMENT"/>
    <s v="Sudan"/>
    <n v="4500380466"/>
    <m/>
    <s v="Implementing Partner"/>
    <s v="Darfur Development Recon Agency"/>
    <s v="Sudan"/>
    <n v="93813"/>
    <x v="0"/>
    <x v="3"/>
  </r>
  <r>
    <x v="1"/>
    <s v="DP.2412"/>
    <s v="Multi-Sectoral Humanitarian Assistance for Displaced and Mobile Populations in Sudan"/>
    <s v="MOVEMENT, EMERGENCY AND POST-CRISIS MIGRATION MANAGEMENT"/>
    <s v="Sudan"/>
    <n v="4500360373"/>
    <m/>
    <s v="Implementing Partner"/>
    <s v="Dosha for Social Development Org"/>
    <s v="Sudan"/>
    <n v="186860"/>
    <x v="0"/>
    <x v="0"/>
  </r>
  <r>
    <x v="1"/>
    <s v="DP.2412"/>
    <s v="Multi-Sectoral Humanitarian Assistance for Displaced and Mobile Populations in Sudan"/>
    <s v="MOVEMENT, EMERGENCY AND POST-CRISIS MIGRATION MANAGEMENT"/>
    <s v="Sudan"/>
    <n v="4500355912"/>
    <m/>
    <s v="Implementing Partner"/>
    <s v="Durra for Social Development Organi"/>
    <s v="Sudan"/>
    <n v="45781"/>
    <x v="0"/>
    <x v="0"/>
  </r>
  <r>
    <x v="1"/>
    <s v="DP.2412"/>
    <s v="Multi-Sectoral Humanitarian Assistance for Displaced and Mobile Populations in Sudan"/>
    <s v="MOVEMENT, EMERGENCY AND POST-CRISIS MIGRATION MANAGEMENT"/>
    <s v="Sudan"/>
    <n v="4500379649"/>
    <m/>
    <s v="Implementing Partner"/>
    <s v="Elemar Charitable Development org"/>
    <s v="Sudan"/>
    <n v="33635"/>
    <x v="0"/>
    <x v="0"/>
  </r>
  <r>
    <x v="1"/>
    <s v="DP.2412"/>
    <s v="Multi-Sectoral Humanitarian Assistance for Displaced and Mobile Populations in Sudan"/>
    <s v="MOVEMENT, EMERGENCY AND POST-CRISIS MIGRATION MANAGEMENT"/>
    <s v="Sudan"/>
    <n v="4500374667"/>
    <m/>
    <s v="Implementing Partner"/>
    <s v="MEDICAL TEAMS INTERNATIONAL"/>
    <s v="Sudan"/>
    <n v="412349"/>
    <x v="0"/>
    <x v="1"/>
  </r>
  <r>
    <x v="1"/>
    <s v="DP.2412"/>
    <s v="Multi-Sectoral Humanitarian Assistance for Displaced and Mobile Populations in Sudan"/>
    <s v="MOVEMENT, EMERGENCY AND POST-CRISIS MIGRATION MANAGEMENT"/>
    <s v="Sudan"/>
    <n v="4500367017"/>
    <m/>
    <s v="Implementing Partner"/>
    <s v="Sudan Family Planning Association"/>
    <s v="Sudan"/>
    <n v="222561"/>
    <x v="0"/>
    <x v="0"/>
  </r>
  <r>
    <x v="1"/>
    <s v="DP.2413"/>
    <s v="Support to Displaced Afghans in Pakistan, Iran, Central Asia, and Afghanistan"/>
    <s v="MOVEMENT, EMERGENCY AND POST-CRISIS MIGRATION MANAGEMENT"/>
    <s v="Pakistan"/>
    <n v="4500373197"/>
    <m/>
    <s v="Implementing Partner"/>
    <s v="Society for Human Rights"/>
    <s v="Pakistan"/>
    <n v="212723"/>
    <x v="0"/>
    <x v="0"/>
  </r>
  <r>
    <x v="1"/>
    <s v="DP.2413"/>
    <s v="Support to Displaced Afghans in Pakistan, Iran, Central Asia, and Afghanistan"/>
    <s v="MOVEMENT, EMERGENCY AND POST-CRISIS MIGRATION MANAGEMENT"/>
    <s v="Tajikistan"/>
    <n v="4500362339"/>
    <m/>
    <s v="Implementing Partner"/>
    <s v="NGO Akhtari bakht"/>
    <s v="Tajikistan"/>
    <n v="4702"/>
    <x v="0"/>
    <x v="0"/>
  </r>
  <r>
    <x v="1"/>
    <s v="DP.2413"/>
    <s v="Support to Displaced Afghans in Pakistan, Iran, Central Asia, and Afghanistan"/>
    <s v="MOVEMENT, EMERGENCY AND POST-CRISIS MIGRATION MANAGEMENT"/>
    <s v="Tajikistan"/>
    <n v="4500362338"/>
    <m/>
    <s v="Implementing Partner"/>
    <s v="NGO Dunyoi Sabz"/>
    <s v="Tajikistan"/>
    <n v="4228"/>
    <x v="0"/>
    <x v="0"/>
  </r>
  <r>
    <x v="1"/>
    <s v="DP.2413"/>
    <s v="Support to Displaced Afghans in Pakistan, Iran, Central Asia, and Afghanistan"/>
    <s v="MOVEMENT, EMERGENCY AND POST-CRISIS MIGRATION MANAGEMENT"/>
    <s v="Tajikistan"/>
    <n v="4500362337"/>
    <m/>
    <s v="Implementing Partner"/>
    <s v="NGO Femida"/>
    <s v="Tajikistan"/>
    <n v="4761"/>
    <x v="0"/>
    <x v="0"/>
  </r>
  <r>
    <x v="1"/>
    <s v="DP.2413"/>
    <s v="Support to Displaced Afghans in Pakistan, Iran, Central Asia, and Afghanistan"/>
    <s v="MOVEMENT, EMERGENCY AND POST-CRISIS MIGRATION MANAGEMENT"/>
    <s v="Tajikistan"/>
    <n v="4500364566"/>
    <m/>
    <s v="Implementing Partner"/>
    <s v="PO Women Lawyers for Development"/>
    <s v="Tajikistan"/>
    <n v="4397"/>
    <x v="0"/>
    <x v="0"/>
  </r>
  <r>
    <x v="1"/>
    <s v="DP.2413"/>
    <s v="Support to Displaced Afghans in Pakistan, Iran, Central Asia, and Afghanistan"/>
    <s v="MOVEMENT, EMERGENCY AND POST-CRISIS MIGRATION MANAGEMENT"/>
    <s v="Tajikistan"/>
    <n v="4500362065"/>
    <m/>
    <s v="Implementing Partner"/>
    <s v="Women &amp; Society"/>
    <s v="Tajikistan"/>
    <n v="4708"/>
    <x v="0"/>
    <x v="0"/>
  </r>
  <r>
    <x v="1"/>
    <s v="DP.2437"/>
    <s v="Everyone Counts - Inclusive Data for Stability and Development"/>
    <s v="MOVEMENT, EMERGENCY AND POST-CRISIS MIGRATION MANAGEMENT"/>
    <s v="Ukraine"/>
    <n v="4500376404"/>
    <m/>
    <s v="Implementing Partner"/>
    <s v="CO COUNTRY TO UKRAINE"/>
    <s v="Ukraine"/>
    <n v="74149"/>
    <x v="0"/>
    <x v="0"/>
  </r>
  <r>
    <x v="1"/>
    <s v="DP.2437"/>
    <s v="Everyone Counts - Inclusive Data for Stability and Development"/>
    <s v="MOVEMENT, EMERGENCY AND POST-CRISIS MIGRATION MANAGEMENT"/>
    <s v="Ukraine"/>
    <n v="4500376418"/>
    <m/>
    <s v="Implementing Partner"/>
    <s v="NGO STEP"/>
    <s v="Ukraine"/>
    <n v="61108"/>
    <x v="0"/>
    <x v="0"/>
  </r>
  <r>
    <x v="1"/>
    <s v="DP.2437"/>
    <s v="Everyone Counts - Inclusive Data for Stability and Development"/>
    <s v="MOVEMENT, EMERGENCY AND POST-CRISIS MIGRATION MANAGEMENT"/>
    <s v="Ukraine"/>
    <n v="4500376415"/>
    <m/>
    <s v="Implementing Partner"/>
    <s v="NGO West Ukrainian Resource Center"/>
    <s v="Ukraine"/>
    <n v="28957"/>
    <x v="0"/>
    <x v="0"/>
  </r>
  <r>
    <x v="1"/>
    <s v="DP.2482"/>
    <s v="2022 French Contribution to IOM’s Activities for the Ukraine Crisis"/>
    <s v="MOVEMENT, EMERGENCY AND POST-CRISIS MIGRATION MANAGEMENT"/>
    <s v="Hungary"/>
    <n v="4500352317"/>
    <m/>
    <s v="Implementing Partner"/>
    <s v="Egyseg Ukran Egyesulet"/>
    <s v="Hungary"/>
    <n v="42323"/>
    <x v="0"/>
    <x v="0"/>
  </r>
  <r>
    <x v="1"/>
    <s v="DP.2482"/>
    <s v="2022 French Contribution to IOM’s Activities for the Ukraine Crisis"/>
    <s v="MOVEMENT, EMERGENCY AND POST-CRISIS MIGRATION MANAGEMENT"/>
    <s v="Hungary"/>
    <n v="4500352315"/>
    <m/>
    <s v="Implementing Partner"/>
    <s v="Menedek"/>
    <s v="Hungary"/>
    <n v="13607"/>
    <x v="0"/>
    <x v="0"/>
  </r>
  <r>
    <x v="1"/>
    <s v="DP.2506"/>
    <s v="Humanitarian Response in Cabo Delgado, Mozambique (Phase III)"/>
    <s v="MOVEMENT, EMERGENCY AND POST-CRISIS MIGRATION MANAGEMENT"/>
    <s v="Mozambique"/>
    <n v="4500375071"/>
    <m/>
    <s v="Implementing Partner"/>
    <s v="OIKOS"/>
    <s v="Mozambique"/>
    <n v="78814"/>
    <x v="0"/>
    <x v="1"/>
  </r>
  <r>
    <x v="1"/>
    <s v="DP.2523"/>
    <s v="Multi-sectoral and Integrated Lifesaving Humanitarian and Development Support to South Sudan"/>
    <s v="MOVEMENT, EMERGENCY AND POST-CRISIS MIGRATION MANAGEMENT"/>
    <s v="South Sudan"/>
    <n v="4500370255"/>
    <m/>
    <s v="Implementing Partner"/>
    <s v="COMMUNITY ENGAGEMENT NETWORK CEN"/>
    <s v="South Sudan"/>
    <n v="11212"/>
    <x v="0"/>
    <x v="0"/>
  </r>
  <r>
    <x v="1"/>
    <s v="DP.2545"/>
    <s v="Rapid Response Fund for Humanitarian Emergencies in Sudan"/>
    <s v="MOVEMENT, EMERGENCY AND POST-CRISIS MIGRATION MANAGEMENT"/>
    <s v="Sudan"/>
    <n v="4500366687"/>
    <m/>
    <s v="Implementing Partner"/>
    <s v="Blue Sky Voluntary Organization"/>
    <s v="Sudan"/>
    <n v="137468"/>
    <x v="0"/>
    <x v="0"/>
  </r>
  <r>
    <x v="1"/>
    <s v="DP.2545"/>
    <s v="Rapid Response Fund for Humanitarian Emergencies in Sudan"/>
    <s v="MOVEMENT, EMERGENCY AND POST-CRISIS MIGRATION MANAGEMENT"/>
    <s v="Sudan"/>
    <n v="4500371973"/>
    <m/>
    <s v="Implementing Partner"/>
    <s v="CAFA Development Organization"/>
    <s v="Sudan"/>
    <n v="220658"/>
    <x v="0"/>
    <x v="0"/>
  </r>
  <r>
    <x v="1"/>
    <s v="DP.2545"/>
    <s v="Rapid Response Fund for Humanitarian Emergencies in Sudan"/>
    <s v="MOVEMENT, EMERGENCY AND POST-CRISIS MIGRATION MANAGEMENT"/>
    <s v="Sudan"/>
    <n v="4500373887"/>
    <m/>
    <s v="Implementing Partner"/>
    <s v="LM International"/>
    <s v="Sudan"/>
    <n v="233575"/>
    <x v="0"/>
    <x v="1"/>
  </r>
  <r>
    <x v="1"/>
    <s v="DP.2545"/>
    <s v="Rapid Response Fund for Humanitarian Emergencies in Sudan"/>
    <s v="MOVEMENT, EMERGENCY AND POST-CRISIS MIGRATION MANAGEMENT"/>
    <s v="Sudan"/>
    <n v="4500374881"/>
    <m/>
    <s v="Implementing Partner"/>
    <s v="Muslim Aid"/>
    <s v="Sudan"/>
    <n v="216657"/>
    <x v="0"/>
    <x v="1"/>
  </r>
  <r>
    <x v="1"/>
    <s v="DP.2545"/>
    <s v="Rapid Response Fund for Humanitarian Emergencies in Sudan"/>
    <s v="MOVEMENT, EMERGENCY AND POST-CRISIS MIGRATION MANAGEMENT"/>
    <s v="Sudan"/>
    <n v="4500362292"/>
    <m/>
    <s v="Implementing Partner"/>
    <s v="NADA ELAZHAR FOR DISASTER PREVENTIO"/>
    <s v="Sudan"/>
    <n v="139398"/>
    <x v="0"/>
    <x v="0"/>
  </r>
  <r>
    <x v="1"/>
    <s v="DP.2545"/>
    <s v="Rapid Response Fund for Humanitarian Emergencies in Sudan"/>
    <s v="MOVEMENT, EMERGENCY AND POST-CRISIS MIGRATION MANAGEMENT"/>
    <s v="Sudan"/>
    <n v="4500378069"/>
    <m/>
    <s v="Implementing Partner"/>
    <s v="NADA ELAZHAR FOR DISASTER PREVENTIO"/>
    <s v="Sudan"/>
    <n v="16761"/>
    <x v="0"/>
    <x v="0"/>
  </r>
  <r>
    <x v="1"/>
    <s v="DP.2557"/>
    <s v="Supporting Conflict Affected Communities in Cameroon’s Far-North and North-West, South-West Regions to Recover through Resilience Building and Reconciliation for the Humanitarian Development Peace Nexus"/>
    <s v="MOVEMENT, EMERGENCY AND POST-CRISIS MIGRATION MANAGEMENT"/>
    <s v="Cameroon"/>
    <n v="4500380071"/>
    <m/>
    <s v="Implementing Partner"/>
    <s v="CAGEAD"/>
    <s v="Cameroon"/>
    <n v="28060"/>
    <x v="0"/>
    <x v="0"/>
  </r>
  <r>
    <x v="1"/>
    <s v="DP.2557"/>
    <s v="Supporting Conflict Affected Communities in Cameroon’s Far-North and North-West, South-West Regions to Recover through Resilience Building and Reconciliation for the Humanitarian Development Peace Nexus"/>
    <s v="MOVEMENT, EMERGENCY AND POST-CRISIS MIGRATION MANAGEMENT"/>
    <s v="Cameroon"/>
    <n v="4500352319"/>
    <m/>
    <s v="Implementing Partner"/>
    <s v="CARDEN"/>
    <s v="Cameroon"/>
    <n v="96912"/>
    <x v="0"/>
    <x v="10"/>
  </r>
  <r>
    <x v="1"/>
    <s v="DP.2557"/>
    <s v="Supporting Conflict Affected Communities in Cameroon’s Far-North and North-West, South-West Regions to Recover through Resilience Building and Reconciliation for the Humanitarian Development Peace Nexus"/>
    <s v="MOVEMENT, EMERGENCY AND POST-CRISIS MIGRATION MANAGEMENT"/>
    <s v="Cameroon"/>
    <n v="4500367532"/>
    <m/>
    <s v="Implementing Partner"/>
    <s v="CARITAS DIOCESE OF KUMBA"/>
    <s v="Cameroon"/>
    <n v="152587"/>
    <x v="0"/>
    <x v="6"/>
  </r>
  <r>
    <x v="1"/>
    <s v="DP.2557"/>
    <s v="Supporting Conflict Affected Communities in Cameroon’s Far-North and North-West, South-West Regions to Recover through Resilience Building and Reconciliation for the Humanitarian Development Peace Nexus"/>
    <s v="MOVEMENT, EMERGENCY AND POST-CRISIS MIGRATION MANAGEMENT"/>
    <s v="Cameroon"/>
    <n v="4500375875"/>
    <m/>
    <s v="Implementing Partner"/>
    <s v="IYEC"/>
    <s v="Cameroon"/>
    <n v="28060"/>
    <x v="0"/>
    <x v="3"/>
  </r>
  <r>
    <x v="1"/>
    <s v="DP.2557"/>
    <s v="Supporting Conflict Affected Communities in Cameroon’s Far-North and North-West, South-West Regions to Recover through Resilience Building and Reconciliation for the Humanitarian Development Peace Nexus"/>
    <s v="MOVEMENT, EMERGENCY AND POST-CRISIS MIGRATION MANAGEMENT"/>
    <s v="Cameroon"/>
    <n v="4500373387"/>
    <m/>
    <s v="Implementing Partner"/>
    <s v="STRATEGIC HUMANITARIAN SERVICES"/>
    <s v="Cameroon"/>
    <n v="96532"/>
    <x v="0"/>
    <x v="0"/>
  </r>
  <r>
    <x v="1"/>
    <s v="DP.2557"/>
    <s v="Supporting Conflict Affected Communities in Cameroon’s Far-North and North-West, South-West Regions to Recover through Resilience Building and Reconciliation for the Humanitarian Development Peace Nexus"/>
    <s v="MOVEMENT, EMERGENCY AND POST-CRISIS MIGRATION MANAGEMENT"/>
    <s v="Cameroon"/>
    <n v="4500352340"/>
    <m/>
    <s v="Implementing Partner"/>
    <s v="SYNERGIE POUR LE DEVELOPPEMENT LOCA"/>
    <s v="Cameroon"/>
    <n v="84911"/>
    <x v="0"/>
    <x v="3"/>
  </r>
  <r>
    <x v="1"/>
    <s v="DP.2558"/>
    <s v="Emergency Response to conflict-affected populations in Northern Mozambique"/>
    <s v="MOVEMENT, EMERGENCY AND POST-CRISIS MIGRATION MANAGEMENT"/>
    <s v="Mozambique"/>
    <n v="4500375071"/>
    <m/>
    <s v="Implementing Partner"/>
    <s v="OIKOS"/>
    <s v="Mozambique"/>
    <n v="78814"/>
    <x v="0"/>
    <x v="1"/>
  </r>
  <r>
    <x v="1"/>
    <s v="DP.2558"/>
    <s v="Emergency Response to conflict-affected populations in Northern Mozambique"/>
    <s v="MOVEMENT, EMERGENCY AND POST-CRISIS MIGRATION MANAGEMENT"/>
    <s v="Mozambique"/>
    <n v="4500367297"/>
    <m/>
    <s v="Implementing Partner"/>
    <s v="Pronanac Educacional"/>
    <s v="Mozambique"/>
    <n v="232575"/>
    <x v="0"/>
    <x v="0"/>
  </r>
  <r>
    <x v="1"/>
    <s v="DP.2560"/>
    <s v="Supporting the Establishment of a Humanitarian Programme for Africa"/>
    <s v="MOVEMENT, EMERGENCY AND POST-CRISIS MIGRATION MANAGEMENT"/>
    <s v="Mozambique"/>
    <n v="4500367297"/>
    <m/>
    <s v="Implementing Partner"/>
    <s v="Pronanac Educacional"/>
    <s v="Mozambique"/>
    <n v="232575"/>
    <x v="0"/>
    <x v="0"/>
  </r>
  <r>
    <x v="1"/>
    <s v="DP.2563"/>
    <s v="Establishment of the Global Emergency Response Program"/>
    <s v="MOVEMENT, EMERGENCY AND POST-CRISIS MIGRATION MANAGEMENT"/>
    <s v="Bangladesh"/>
    <n v="4500364486"/>
    <m/>
    <s v="Implementing Partner"/>
    <s v="CARE BANGLADESH"/>
    <s v="Bangladesh"/>
    <n v="122202"/>
    <x v="0"/>
    <x v="1"/>
  </r>
  <r>
    <x v="1"/>
    <s v="DP.2563"/>
    <s v="Establishment of the Global Emergency Response Program"/>
    <s v="MOVEMENT, EMERGENCY AND POST-CRISIS MIGRATION MANAGEMENT"/>
    <s v="Bangladesh"/>
    <n v="4500364511"/>
    <m/>
    <s v="Implementing Partner"/>
    <s v="NOWZUWAN"/>
    <s v="Bangladesh"/>
    <n v="62511"/>
    <x v="0"/>
    <x v="0"/>
  </r>
  <r>
    <x v="1"/>
    <s v="DP.2563"/>
    <s v="Establishment of the Global Emergency Response Program"/>
    <s v="MOVEMENT, EMERGENCY AND POST-CRISIS MIGRATION MANAGEMENT"/>
    <s v="Haiti"/>
    <n v="4500352875"/>
    <m/>
    <s v="Implementing Partner"/>
    <s v="SOLIDARITES INTERNATIONAL"/>
    <s v="Haiti"/>
    <n v="149488"/>
    <x v="0"/>
    <x v="1"/>
  </r>
  <r>
    <x v="1"/>
    <s v="DP.2563"/>
    <s v="Establishment of the Global Emergency Response Program"/>
    <s v="MOVEMENT, EMERGENCY AND POST-CRISIS MIGRATION MANAGEMENT"/>
    <s v="Venezuela (BR)"/>
    <n v="4500353715"/>
    <m/>
    <s v="Implementing Partner"/>
    <s v="FUNDACION PROYECTO MANIAPURE"/>
    <s v="Venezuela (BR)"/>
    <n v="64228"/>
    <x v="0"/>
    <x v="0"/>
  </r>
  <r>
    <x v="1"/>
    <s v="DP.2573"/>
    <s v="​​Addressing the Needs of Vulnerable Migrants within the Humanitarian, Development and Peace Nexus in Thailand"/>
    <s v="MOVEMENT, EMERGENCY AND POST-CRISIS MIGRATION MANAGEMENT"/>
    <s v="Thailand"/>
    <n v="4500358905"/>
    <m/>
    <s v="Implementing Partner"/>
    <s v="The Border Consortium"/>
    <s v="Thailand"/>
    <n v="254786"/>
    <x v="0"/>
    <x v="1"/>
  </r>
  <r>
    <x v="1"/>
    <s v="DP.2575"/>
    <s v="Providing Humanitarian Assistance among the Most Drought-Affected Communities and Support Their Resilience Building"/>
    <s v="MOVEMENT, EMERGENCY AND POST-CRISIS MIGRATION MANAGEMENT"/>
    <s v="Kenya"/>
    <n v="4500356190"/>
    <m/>
    <s v="Implementing Partner"/>
    <s v="LOKADO FOR CLIMATE CHANGE"/>
    <s v="Kenya"/>
    <n v="32873"/>
    <x v="0"/>
    <x v="3"/>
  </r>
  <r>
    <x v="1"/>
    <s v="DP.2575"/>
    <s v="Providing Humanitarian Assistance among the Most Drought-Affected Communities and Support Their Resilience Building"/>
    <s v="MOVEMENT, EMERGENCY AND POST-CRISIS MIGRATION MANAGEMENT"/>
    <s v="Kenya"/>
    <n v="4500356445"/>
    <m/>
    <s v="Implementing Partner"/>
    <s v="WASO RESOURCE DEVP. AGENCY(WARDA)"/>
    <s v="Kenya"/>
    <n v="32895"/>
    <x v="0"/>
    <x v="3"/>
  </r>
  <r>
    <x v="1"/>
    <s v="DP.2586"/>
    <s v="Emergency Response and Assistance to Displaced Persons (DP) in Syria"/>
    <s v="MOVEMENT, EMERGENCY AND POST-CRISIS MIGRATION MANAGEMENT"/>
    <s v="Turkey"/>
    <n v="4500379541"/>
    <m/>
    <s v="Implementing Partner"/>
    <s v="Bagimsiz Doktorlar Dernegi"/>
    <s v="Turkey"/>
    <n v="278644"/>
    <x v="0"/>
    <x v="0"/>
  </r>
  <r>
    <x v="1"/>
    <s v="DP.2586"/>
    <s v="Emergency Response and Assistance to Displaced Persons (DP) in Syria"/>
    <s v="MOVEMENT, EMERGENCY AND POST-CRISIS MIGRATION MANAGEMENT"/>
    <s v="Turkey"/>
    <n v="4500379535"/>
    <m/>
    <s v="Implementing Partner"/>
    <s v="MIHAD DERNEGI"/>
    <s v="Turkey"/>
    <n v="28570"/>
    <x v="0"/>
    <x v="1"/>
  </r>
  <r>
    <x v="1"/>
    <s v="DP.2586"/>
    <s v="Emergency Response and Assistance to Displaced Persons (DP) in Syria"/>
    <s v="MOVEMENT, EMERGENCY AND POST-CRISIS MIGRATION MANAGEMENT"/>
    <s v="Turkey"/>
    <n v="4500356013"/>
    <m/>
    <s v="Implementing Partner"/>
    <s v="MUZUN FOR HUMANITARIAN DEVELOPMENT"/>
    <s v="Turkey"/>
    <n v="149366"/>
    <x v="0"/>
    <x v="0"/>
  </r>
  <r>
    <x v="1"/>
    <s v="DP.2586"/>
    <s v="Emergency Response and Assistance to Displaced Persons (DP) in Syria"/>
    <s v="MOVEMENT, EMERGENCY AND POST-CRISIS MIGRATION MANAGEMENT"/>
    <s v="Turkey"/>
    <n v="4500379527"/>
    <m/>
    <s v="Implementing Partner"/>
    <s v="SDI (Social Development Internation"/>
    <s v="Turkey"/>
    <n v="231311"/>
    <x v="0"/>
    <x v="0"/>
  </r>
  <r>
    <x v="1"/>
    <s v="DP.2586"/>
    <s v="Emergency Response and Assistance to Displaced Persons (DP) in Syria"/>
    <s v="MOVEMENT, EMERGENCY AND POST-CRISIS MIGRATION MANAGEMENT"/>
    <s v="Turkey"/>
    <n v="4500355636"/>
    <m/>
    <s v="Implementing Partner"/>
    <s v="SYRIA RELIEF"/>
    <s v="Turkey"/>
    <n v="48394"/>
    <x v="0"/>
    <x v="1"/>
  </r>
  <r>
    <x v="1"/>
    <s v="DP.2586"/>
    <s v="Emergency Response and Assistance to Displaced Persons (DP) in Syria"/>
    <s v="MOVEMENT, EMERGENCY AND POST-CRISIS MIGRATION MANAGEMENT"/>
    <s v="Turkey"/>
    <n v="4500379549"/>
    <m/>
    <s v="Implementing Partner"/>
    <s v="SYRIAN AMERICAN MEDICAL SOCIETYFOUN"/>
    <s v="Turkey"/>
    <n v="201464"/>
    <x v="0"/>
    <x v="1"/>
  </r>
  <r>
    <x v="1"/>
    <s v="DP.2586"/>
    <s v="Emergency Response and Assistance to Displaced Persons (DP) in Syria"/>
    <s v="MOVEMENT, EMERGENCY AND POST-CRISIS MIGRATION MANAGEMENT"/>
    <s v="Turkey"/>
    <n v="4500357594"/>
    <m/>
    <s v="Implementing Partner"/>
    <s v="TAKAFUL AL SHAM ORGANIZATION"/>
    <s v="Turkey"/>
    <n v="57282"/>
    <x v="0"/>
    <x v="0"/>
  </r>
  <r>
    <x v="1"/>
    <s v="DP.2586"/>
    <s v="Emergency Response and Assistance to Displaced Persons (DP) in Syria"/>
    <s v="MOVEMENT, EMERGENCY AND POST-CRISIS MIGRATION MANAGEMENT"/>
    <s v="Turkey"/>
    <n v="4500357606"/>
    <m/>
    <s v="Implementing Partner"/>
    <s v="TAKAFUL AL SHAM ORGANIZATION"/>
    <s v="Turkey"/>
    <n v="246291"/>
    <x v="0"/>
    <x v="0"/>
  </r>
  <r>
    <x v="1"/>
    <s v="DP.2586"/>
    <s v="Emergency Response and Assistance to Displaced Persons (DP) in Syria"/>
    <s v="MOVEMENT, EMERGENCY AND POST-CRISIS MIGRATION MANAGEMENT"/>
    <s v="Turkey"/>
    <n v="4500357233"/>
    <m/>
    <s v="Implementing Partner"/>
    <s v="Uluslararasi Insani Yardimlasma Der"/>
    <s v="Turkey"/>
    <n v="68405"/>
    <x v="0"/>
    <x v="0"/>
  </r>
  <r>
    <x v="1"/>
    <s v="DP.2586"/>
    <s v="Emergency Response and Assistance to Displaced Persons (DP) in Syria"/>
    <s v="MOVEMENT, EMERGENCY AND POST-CRISIS MIGRATION MANAGEMENT"/>
    <s v="Turkey"/>
    <n v="4500379606"/>
    <m/>
    <s v="Implementing Partner"/>
    <s v="VATAN DERNEGI"/>
    <s v="Turkey"/>
    <n v="1359617"/>
    <x v="0"/>
    <x v="0"/>
  </r>
  <r>
    <x v="1"/>
    <s v="DP.2598"/>
    <s v="Contributing to Improved Living Conditions and Safety for Flood Affected Populations in Pakistan through Provision of Multisectoral Assistance"/>
    <s v="MOVEMENT, EMERGENCY AND POST-CRISIS MIGRATION MANAGEMENT"/>
    <s v="Pakistan"/>
    <n v="4500355198"/>
    <m/>
    <s v="Implementing Partner"/>
    <s v="International Rescue Committee"/>
    <s v="Pakistan"/>
    <n v="81187"/>
    <x v="0"/>
    <x v="1"/>
  </r>
  <r>
    <x v="1"/>
    <s v="DP.2598"/>
    <s v="Contributing to Improved Living Conditions and Safety for Flood Affected Populations in Pakistan through Provision of Multisectoral Assistance"/>
    <s v="MOVEMENT, EMERGENCY AND POST-CRISIS MIGRATION MANAGEMENT"/>
    <s v="Pakistan"/>
    <n v="4500371447"/>
    <m/>
    <s v="Implementing Partner"/>
    <s v="Society for Human Rights"/>
    <s v="Pakistan"/>
    <n v="94829"/>
    <x v="0"/>
    <x v="0"/>
  </r>
  <r>
    <x v="1"/>
    <s v="DP.2598"/>
    <s v="Contributing to Improved Living Conditions and Safety for Flood Affected Populations in Pakistan through Provision of Multisectoral Assistance"/>
    <s v="MOVEMENT, EMERGENCY AND POST-CRISIS MIGRATION MANAGEMENT"/>
    <s v="Pakistan"/>
    <n v="4500367564"/>
    <m/>
    <s v="Implementing Partner"/>
    <s v="Sustainable Economic Agriculture"/>
    <s v="Pakistan"/>
    <n v="421926"/>
    <x v="0"/>
    <x v="0"/>
  </r>
  <r>
    <x v="1"/>
    <s v="DP.2600"/>
    <s v="Multi-Sector Assistance to Populations Affected by the Syria Crisis"/>
    <s v="MOVEMENT, EMERGENCY AND POST-CRISIS MIGRATION MANAGEMENT"/>
    <s v="Jordan"/>
    <n v="4500358195"/>
    <m/>
    <s v="Implementing Partner"/>
    <s v="Care International"/>
    <s v="Jordan"/>
    <n v="56058"/>
    <x v="0"/>
    <x v="1"/>
  </r>
  <r>
    <x v="1"/>
    <s v="DP.2600"/>
    <s v="Multi-Sector Assistance to Populations Affected by the Syria Crisis"/>
    <s v="MOVEMENT, EMERGENCY AND POST-CRISIS MIGRATION MANAGEMENT"/>
    <s v="Turkey"/>
    <n v="4500357233"/>
    <m/>
    <s v="Implementing Partner"/>
    <s v="Uluslararasi Insani Yardimlasma Der"/>
    <s v="Turkey"/>
    <n v="68405"/>
    <x v="0"/>
    <x v="0"/>
  </r>
  <r>
    <x v="1"/>
    <s v="DP.2600"/>
    <s v="Multi-Sector Assistance to Populations Affected by the Syria Crisis"/>
    <s v="MOVEMENT, EMERGENCY AND POST-CRISIS MIGRATION MANAGEMENT"/>
    <s v="Turkey"/>
    <n v="4500363002"/>
    <m/>
    <s v="Implementing Partner"/>
    <s v="VIOLET ORGANIZATION"/>
    <s v="Turkey"/>
    <n v="65296"/>
    <x v="0"/>
    <x v="0"/>
  </r>
  <r>
    <x v="1"/>
    <s v="DP.2604"/>
    <s v="Promoting Shelter Upgrade and Community Building in Bhasan Char and Cox's Bazar District"/>
    <s v="MOVEMENT, EMERGENCY AND POST-CRISIS MIGRATION MANAGEMENT"/>
    <s v="Bangladesh"/>
    <n v="4500369764"/>
    <m/>
    <s v="Implementing Partner"/>
    <s v="BNWLA"/>
    <s v="Bangladesh"/>
    <n v="65401"/>
    <x v="0"/>
    <x v="0"/>
  </r>
  <r>
    <x v="1"/>
    <s v="DP.2605"/>
    <s v="Strengthening the Humanitarian Response to Crisis-Affected Populations in Czechia"/>
    <s v="MOVEMENT, EMERGENCY AND POST-CRISIS MIGRATION MANAGEMENT"/>
    <s v="Czechia"/>
    <n v="4500377054"/>
    <m/>
    <s v="Implementing Partner"/>
    <s v="CeHuPo"/>
    <s v="Czechia"/>
    <n v="74269"/>
    <x v="0"/>
    <x v="0"/>
  </r>
  <r>
    <x v="1"/>
    <s v="DP.2605"/>
    <s v="Strengthening the Humanitarian Response to Crisis-Affected Populations in Czechia"/>
    <s v="MOVEMENT, EMERGENCY AND POST-CRISIS MIGRATION MANAGEMENT"/>
    <s v="Czechia"/>
    <n v="4500369635"/>
    <m/>
    <s v="Implementing Partner"/>
    <s v="NADEJE"/>
    <s v="Czechia"/>
    <n v="12279"/>
    <x v="0"/>
    <x v="0"/>
  </r>
  <r>
    <x v="1"/>
    <s v="DP.2605"/>
    <s v="Strengthening the Humanitarian Response to Crisis-Affected Populations in Czechia"/>
    <s v="MOVEMENT, EMERGENCY AND POST-CRISIS MIGRATION MANAGEMENT"/>
    <s v="Czechia"/>
    <n v="4500377070"/>
    <m/>
    <s v="Implementing Partner"/>
    <s v="Ponton z.s."/>
    <s v="Czechia"/>
    <n v="8670"/>
    <x v="0"/>
    <x v="3"/>
  </r>
  <r>
    <x v="1"/>
    <s v="DP.2614"/>
    <s v="Regional Refugee and Migrant Response Plan (RMRP) for the Venezuela Situation 2023"/>
    <s v="MOVEMENT, EMERGENCY AND POST-CRISIS MIGRATION MANAGEMENT"/>
    <s v="Argentina"/>
    <n v="4500356734"/>
    <m/>
    <s v="Implementing Partner"/>
    <s v="ASOMEVENAR ASOCIACION CIVIL MEDICOS"/>
    <s v="Argentina"/>
    <n v="4814"/>
    <x v="0"/>
    <x v="0"/>
  </r>
  <r>
    <x v="1"/>
    <s v="DP.2614"/>
    <s v="Regional Refugee and Migrant Response Plan (RMRP) for the Venezuela Situation 2023"/>
    <s v="MOVEMENT, EMERGENCY AND POST-CRISIS MIGRATION MANAGEMENT"/>
    <s v="Bolivia (PS)"/>
    <n v="4500352451"/>
    <m/>
    <s v="Implementing Partner"/>
    <s v="Caritas Boliviana"/>
    <s v="Bolivia (PS)"/>
    <n v="24131"/>
    <x v="0"/>
    <x v="6"/>
  </r>
  <r>
    <x v="1"/>
    <s v="DP.2614"/>
    <s v="Regional Refugee and Migrant Response Plan (RMRP) for the Venezuela Situation 2023"/>
    <s v="MOVEMENT, EMERGENCY AND POST-CRISIS MIGRATION MANAGEMENT"/>
    <s v="Dominican Rep."/>
    <n v="4500376154"/>
    <m/>
    <s v="Implementing Partner"/>
    <s v="CAMARA DE COMERCIO DOMINICO CADOVEN"/>
    <s v="Dominican Rep."/>
    <n v="81473"/>
    <x v="0"/>
    <x v="10"/>
  </r>
  <r>
    <x v="1"/>
    <s v="DP.2614"/>
    <s v="Regional Refugee and Migrant Response Plan (RMRP) for the Venezuela Situation 2023"/>
    <s v="MOVEMENT, EMERGENCY AND POST-CRISIS MIGRATION MANAGEMENT"/>
    <s v="Ecuador"/>
    <n v="4500373526"/>
    <m/>
    <s v="Implementing Partner"/>
    <s v="FUNDACION CRISFE"/>
    <s v="Ecuador"/>
    <n v="37372"/>
    <x v="0"/>
    <x v="0"/>
  </r>
  <r>
    <x v="1"/>
    <s v="DP.2614"/>
    <s v="Regional Refugee and Migrant Response Plan (RMRP) for the Venezuela Situation 2023"/>
    <s v="MOVEMENT, EMERGENCY AND POST-CRISIS MIGRATION MANAGEMENT"/>
    <s v="Ecuador"/>
    <n v="4500372405"/>
    <m/>
    <s v="Implementing Partner"/>
    <s v="FUNDACION PARA EL DESARROLLO EMPRES"/>
    <s v="Ecuador"/>
    <n v="42044"/>
    <x v="0"/>
    <x v="0"/>
  </r>
  <r>
    <x v="1"/>
    <s v="DP.2614"/>
    <s v="Regional Refugee and Migrant Response Plan (RMRP) for the Venezuela Situation 2023"/>
    <s v="MOVEMENT, EMERGENCY AND POST-CRISIS MIGRATION MANAGEMENT"/>
    <s v="Guyana"/>
    <n v="4500365683"/>
    <m/>
    <s v="Implementing Partner"/>
    <s v="Childlink Inc"/>
    <s v="Guyana"/>
    <n v="7170"/>
    <x v="0"/>
    <x v="0"/>
  </r>
  <r>
    <x v="1"/>
    <s v="DP.2614"/>
    <s v="Regional Refugee and Migrant Response Plan (RMRP) for the Venezuela Situation 2023"/>
    <s v="MOVEMENT, EMERGENCY AND POST-CRISIS MIGRATION MANAGEMENT"/>
    <s v="Peru"/>
    <n v="4500378267"/>
    <m/>
    <s v="Implementing Partner"/>
    <s v="Aldeas Infantiles SOS PERU"/>
    <s v="Peru"/>
    <n v="45336"/>
    <x v="0"/>
    <x v="1"/>
  </r>
  <r>
    <x v="1"/>
    <s v="DP.2614"/>
    <s v="Regional Refugee and Migrant Response Plan (RMRP) for the Venezuela Situation 2023"/>
    <s v="MOVEMENT, EMERGENCY AND POST-CRISIS MIGRATION MANAGEMENT"/>
    <s v="Peru"/>
    <n v="4500380130"/>
    <m/>
    <s v="Implementing Partner"/>
    <s v="OCASIVEN"/>
    <s v="Peru"/>
    <n v="38183"/>
    <x v="0"/>
    <x v="0"/>
  </r>
  <r>
    <x v="1"/>
    <s v="DP.2614"/>
    <s v="Regional Refugee and Migrant Response Plan (RMRP) for the Venezuela Situation 2023"/>
    <s v="MOVEMENT, EMERGENCY AND POST-CRISIS MIGRATION MANAGEMENT"/>
    <s v="Peru"/>
    <n v="4500380118"/>
    <m/>
    <s v="Implementing Partner"/>
    <s v="Union Venezolana en Perú"/>
    <s v="Peru"/>
    <n v="91739"/>
    <x v="0"/>
    <x v="0"/>
  </r>
  <r>
    <x v="1"/>
    <s v="DP.2632"/>
    <s v="Life-Saving Assistance to Earthquake-Affected Households in Northwest Syria"/>
    <s v="MOVEMENT, EMERGENCY AND POST-CRISIS MIGRATION MANAGEMENT"/>
    <s v="Turkey"/>
    <n v="4500370668"/>
    <m/>
    <s v="Implementing Partner"/>
    <s v="MIHAD DERNEGI"/>
    <s v="Turkey"/>
    <n v="31126"/>
    <x v="0"/>
    <x v="1"/>
  </r>
  <r>
    <x v="1"/>
    <s v="DP.2632"/>
    <s v="Life-Saving Assistance to Earthquake-Affected Households in Northwest Syria"/>
    <s v="MOVEMENT, EMERGENCY AND POST-CRISIS MIGRATION MANAGEMENT"/>
    <s v="Turkey"/>
    <n v="4500355434"/>
    <m/>
    <s v="Implementing Partner"/>
    <s v="MUZUN FOR HUMANITARIAN DEVELOPMENT"/>
    <s v="Turkey"/>
    <n v="69153"/>
    <x v="0"/>
    <x v="0"/>
  </r>
  <r>
    <x v="1"/>
    <s v="DP.2637"/>
    <s v="WoS PSEA - CAP 2023/24"/>
    <s v="MOVEMENT, EMERGENCY AND POST-CRISIS MIGRATION MANAGEMENT"/>
    <s v="Jordan"/>
    <n v="4500358195"/>
    <m/>
    <s v="Implementing Partner"/>
    <s v="Care International"/>
    <s v="Jordan"/>
    <n v="56058"/>
    <x v="0"/>
    <x v="1"/>
  </r>
  <r>
    <x v="1"/>
    <s v="DP.2639"/>
    <s v="Bangladesh Appeal 2023 – Rohingya Humanitarian Crisis"/>
    <s v="MOVEMENT, EMERGENCY AND POST-CRISIS MIGRATION MANAGEMENT"/>
    <s v="Bangladesh"/>
    <n v="4500364491"/>
    <m/>
    <s v="Implementing Partner"/>
    <s v="ACTION CONTRE LA FAIM (ACF)"/>
    <s v="Bangladesh"/>
    <n v="98644"/>
    <x v="0"/>
    <x v="1"/>
  </r>
  <r>
    <x v="1"/>
    <s v="DP.2639"/>
    <s v="Bangladesh Appeal 2023 – Rohingya Humanitarian Crisis"/>
    <s v="MOVEMENT, EMERGENCY AND POST-CRISIS MIGRATION MANAGEMENT"/>
    <s v="Bangladesh"/>
    <n v="4500365165"/>
    <m/>
    <s v="Implementing Partner"/>
    <s v="BRAC"/>
    <s v="Bangladesh"/>
    <n v="67209"/>
    <x v="0"/>
    <x v="0"/>
  </r>
  <r>
    <x v="1"/>
    <s v="DP.2639"/>
    <s v="Bangladesh Appeal 2023 – Rohingya Humanitarian Crisis"/>
    <s v="MOVEMENT, EMERGENCY AND POST-CRISIS MIGRATION MANAGEMENT"/>
    <s v="Bangladesh"/>
    <n v="4500366005"/>
    <m/>
    <s v="Implementing Partner"/>
    <s v="Danish Refugee Council(DRC)"/>
    <s v="Denmark"/>
    <n v="262701"/>
    <x v="0"/>
    <x v="1"/>
  </r>
  <r>
    <x v="1"/>
    <s v="DP.2639"/>
    <s v="Bangladesh Appeal 2023 – Rohingya Humanitarian Crisis"/>
    <s v="MOVEMENT, EMERGENCY AND POST-CRISIS MIGRATION MANAGEMENT"/>
    <s v="Bangladesh"/>
    <n v="4500364502"/>
    <m/>
    <s v="Implementing Partner"/>
    <s v="DSK"/>
    <s v="Bangladesh"/>
    <n v="52120"/>
    <x v="0"/>
    <x v="0"/>
  </r>
  <r>
    <x v="1"/>
    <s v="DP.2639"/>
    <s v="Bangladesh Appeal 2023 – Rohingya Humanitarian Crisis"/>
    <s v="MOVEMENT, EMERGENCY AND POST-CRISIS MIGRATION MANAGEMENT"/>
    <s v="Bangladesh"/>
    <n v="4500364497"/>
    <m/>
    <s v="Implementing Partner"/>
    <s v="NGO FORUM FOR PUBLIC HEALTH"/>
    <s v="Bangladesh"/>
    <n v="101155"/>
    <x v="0"/>
    <x v="0"/>
  </r>
  <r>
    <x v="1"/>
    <s v="DP.2639"/>
    <s v="Bangladesh Appeal 2023 – Rohingya Humanitarian Crisis"/>
    <s v="MOVEMENT, EMERGENCY AND POST-CRISIS MIGRATION MANAGEMENT"/>
    <s v="Bangladesh"/>
    <n v="4500372066"/>
    <m/>
    <s v="Implementing Partner"/>
    <s v="PROTTYASHI"/>
    <s v="Bangladesh"/>
    <n v="93763"/>
    <x v="0"/>
    <x v="3"/>
  </r>
  <r>
    <x v="1"/>
    <s v="DP.2639"/>
    <s v="Bangladesh Appeal 2023 – Rohingya Humanitarian Crisis"/>
    <s v="MOVEMENT, EMERGENCY AND POST-CRISIS MIGRATION MANAGEMENT"/>
    <s v="Bangladesh"/>
    <n v="4500365083"/>
    <m/>
    <s v="Implementing Partner"/>
    <s v="Shushilan"/>
    <s v="Bangladesh"/>
    <n v="59024"/>
    <x v="0"/>
    <x v="0"/>
  </r>
  <r>
    <x v="1"/>
    <s v="DP.2639"/>
    <s v="Bangladesh Appeal 2023 – Rohingya Humanitarian Crisis"/>
    <s v="MOVEMENT, EMERGENCY AND POST-CRISIS MIGRATION MANAGEMENT"/>
    <s v="Bangladesh"/>
    <n v="4500365133"/>
    <m/>
    <s v="Implementing Partner"/>
    <s v="Shushilan"/>
    <s v="Bangladesh"/>
    <n v="115773"/>
    <x v="0"/>
    <x v="0"/>
  </r>
  <r>
    <x v="1"/>
    <s v="DP.2639"/>
    <s v="Bangladesh Appeal 2023 – Rohingya Humanitarian Crisis"/>
    <s v="MOVEMENT, EMERGENCY AND POST-CRISIS MIGRATION MANAGEMENT"/>
    <s v="Bangladesh"/>
    <n v="4500378087"/>
    <m/>
    <s v="Implementing Partner"/>
    <s v="WORLD FOOD PROGRAMME"/>
    <s v="Bangladesh"/>
    <n v="75089"/>
    <x v="0"/>
    <x v="7"/>
  </r>
  <r>
    <x v="1"/>
    <s v="DP.2645"/>
    <s v="Lifesaving and Transitional Support to Refugees and Host Communities in Cox’s Bazar District, Bangladesh"/>
    <s v="MOVEMENT, EMERGENCY AND POST-CRISIS MIGRATION MANAGEMENT"/>
    <s v="Bangladesh"/>
    <n v="4500362555"/>
    <m/>
    <s v="Implementing Partner"/>
    <s v="NSU Global Health Institute"/>
    <s v="Bangladesh"/>
    <n v="17858"/>
    <x v="0"/>
    <x v="10"/>
  </r>
  <r>
    <x v="1"/>
    <s v="DP.2654"/>
    <s v="Emergency Multisectoral Assistance to Vulnerable Populations in North Kivu and Ituri and Support for Durable Solutions for Displaced Persons"/>
    <s v="MOVEMENT, EMERGENCY AND POST-CRISIS MIGRATION MANAGEMENT"/>
    <s v="Congo (Dem Rep)"/>
    <n v="4500355258"/>
    <m/>
    <s v="Implementing Partner"/>
    <s v="LIVING PEACE INSTITUTE"/>
    <s v="Congo (Dem Rep)"/>
    <n v="98102"/>
    <x v="0"/>
    <x v="0"/>
  </r>
  <r>
    <x v="1"/>
    <s v="DP.2654"/>
    <s v="Emergency Multisectoral Assistance to Vulnerable Populations in North Kivu and Ituri and Support for Durable Solutions for Displaced Persons"/>
    <s v="MOVEMENT, EMERGENCY AND POST-CRISIS MIGRATION MANAGEMENT"/>
    <s v="Congo (Dem Rep)"/>
    <n v="4500354721"/>
    <m/>
    <s v="Implementing Partner"/>
    <s v="PDHPES"/>
    <s v="Congo (Dem Rep)"/>
    <n v="278403"/>
    <x v="0"/>
    <x v="0"/>
  </r>
  <r>
    <x v="1"/>
    <s v="DP.2655"/>
    <s v="Provision of Protection Assistance and Improved Access to Essential Services for Internally Displaced People (IDPs) in Informal Settlements in Iraq"/>
    <s v="MOVEMENT, EMERGENCY AND POST-CRISIS MIGRATION MANAGEMENT"/>
    <s v="Iraq"/>
    <n v="4500364985"/>
    <m/>
    <s v="Implementing Partner"/>
    <s v="The Justice Centre to Support"/>
    <s v="Iraq"/>
    <n v="46715"/>
    <x v="0"/>
    <x v="0"/>
  </r>
  <r>
    <x v="1"/>
    <s v="DP.2659"/>
    <s v="Provision of Humanitarian Coordination, Shelter and Settlements, Water, Sanitation and Hygiene (WASH), Multi-Purpose Cash Assistance (MPCA), Health and Protection Assistance for Crisis-Affected Populations in Ethiopia"/>
    <s v="MOVEMENT, EMERGENCY AND POST-CRISIS MIGRATION MANAGEMENT"/>
    <s v="Ethiopia"/>
    <n v="4500354562"/>
    <m/>
    <s v="Implementing Partner"/>
    <s v="ZOA RELIEF /HOPE/ RECOVERY"/>
    <s v="Ethiopia"/>
    <n v="111671"/>
    <x v="0"/>
    <x v="1"/>
  </r>
  <r>
    <x v="1"/>
    <s v="DP.2664"/>
    <s v="Enhanced Displacement and Mobility Tracking and Multi-Sectoral Support for Displaced Populations in Nigeria"/>
    <s v="MOVEMENT, EMERGENCY AND POST-CRISIS MIGRATION MANAGEMENT"/>
    <s v="Nigeria"/>
    <n v="4500372868"/>
    <m/>
    <s v="Implementing Partner"/>
    <s v="Peace restoration and Integral"/>
    <s v="Nigeria"/>
    <n v="12071"/>
    <x v="0"/>
    <x v="0"/>
  </r>
  <r>
    <x v="1"/>
    <s v="DP.2664"/>
    <s v="Enhanced Displacement and Mobility Tracking and Multi-Sectoral Support for Displaced Populations in Nigeria"/>
    <s v="MOVEMENT, EMERGENCY AND POST-CRISIS MIGRATION MANAGEMENT"/>
    <s v="Nigeria"/>
    <n v="4500370162"/>
    <m/>
    <s v="Implementing Partner"/>
    <s v="SALIENT HUMANITARIAN ORGANIZATION"/>
    <s v="Nigeria"/>
    <n v="12415"/>
    <x v="0"/>
    <x v="3"/>
  </r>
  <r>
    <x v="1"/>
    <s v="DP.2667"/>
    <s v="Strengthening NGOs' as well as Local and Diaspora-led CSOs’ Capacities on Preparedness and Emergency Response in the Context of Mixed Migration Flows in LAC and Shelter Support for Migrants and Host Communities in Ecuador"/>
    <s v="MOVEMENT, EMERGENCY AND POST-CRISIS MIGRATION MANAGEMENT"/>
    <s v="Ecuador"/>
    <n v="4500357485"/>
    <m/>
    <s v="Implementing Partner"/>
    <s v="NORWEGIAN REFUGEE COUNCIL"/>
    <s v="Norway"/>
    <n v="280881"/>
    <x v="0"/>
    <x v="1"/>
  </r>
  <r>
    <x v="1"/>
    <s v="DP.2667"/>
    <s v="Strengthening NGOs' as well as Local and Diaspora-led CSOs’ Capacities on Preparedness and Emergency Response in the Context of Mixed Migration Flows in LAC and Shelter Support for Migrants and Host Communities in Ecuador"/>
    <s v="MOVEMENT, EMERGENCY AND POST-CRISIS MIGRATION MANAGEMENT"/>
    <s v="Panama"/>
    <n v="4500372349"/>
    <m/>
    <s v="Implementing Partner"/>
    <s v="OHCHR OFFICE OF THE UNITED NATIONS"/>
    <s v="Switzerland"/>
    <n v="76834"/>
    <x v="0"/>
    <x v="7"/>
  </r>
  <r>
    <x v="1"/>
    <s v="DP.2669"/>
    <s v="Addressing Urgent Humanitarian Needs of Conflict-Affected Populations in Ukraine"/>
    <s v="MOVEMENT, EMERGENCY AND POST-CRISIS MIGRATION MANAGEMENT"/>
    <s v="Ukraine"/>
    <n v="4500356884"/>
    <m/>
    <s v="Implementing Partner"/>
    <s v="BF PRAVO NA ZAKHYST"/>
    <s v="Ukraine"/>
    <n v="337242"/>
    <x v="0"/>
    <x v="0"/>
  </r>
  <r>
    <x v="1"/>
    <s v="DP.2669"/>
    <s v="Addressing Urgent Humanitarian Needs of Conflict-Affected Populations in Ukraine"/>
    <s v="MOVEMENT, EMERGENCY AND POST-CRISIS MIGRATION MANAGEMENT"/>
    <s v="Ukraine"/>
    <n v="4500371643"/>
    <m/>
    <s v="Implementing Partner"/>
    <s v="CFSR"/>
    <s v="Ukraine"/>
    <n v="82802"/>
    <x v="0"/>
    <x v="0"/>
  </r>
  <r>
    <x v="1"/>
    <s v="DP.2669"/>
    <s v="Addressing Urgent Humanitarian Needs of Conflict-Affected Populations in Ukraine"/>
    <s v="MOVEMENT, EMERGENCY AND POST-CRISIS MIGRATION MANAGEMENT"/>
    <s v="Ukraine"/>
    <n v="4500377090"/>
    <m/>
    <s v="Implementing Partner"/>
    <s v="CO CF ANGELS OF SALVATION"/>
    <s v="Ukraine"/>
    <n v="468798"/>
    <x v="0"/>
    <x v="0"/>
  </r>
  <r>
    <x v="1"/>
    <s v="DP.2669"/>
    <s v="Addressing Urgent Humanitarian Needs of Conflict-Affected Populations in Ukraine"/>
    <s v="MOVEMENT, EMERGENCY AND POST-CRISIS MIGRATION MANAGEMENT"/>
    <s v="Ukraine"/>
    <n v="4500375960"/>
    <m/>
    <s v="Implementing Partner"/>
    <s v="CO CF IMPLEMENTATION OF IDEAS"/>
    <s v="Ukraine"/>
    <n v="157399"/>
    <x v="0"/>
    <x v="0"/>
  </r>
  <r>
    <x v="1"/>
    <s v="DP.2669"/>
    <s v="Addressing Urgent Humanitarian Needs of Conflict-Affected Populations in Ukraine"/>
    <s v="MOVEMENT, EMERGENCY AND POST-CRISIS MIGRATION MANAGEMENT"/>
    <s v="Ukraine"/>
    <n v="4500376011"/>
    <m/>
    <s v="Implementing Partner"/>
    <s v="CO CF IMPLEMENTATION OF IDEAS"/>
    <s v="Ukraine"/>
    <n v="115033"/>
    <x v="0"/>
    <x v="0"/>
  </r>
  <r>
    <x v="1"/>
    <s v="DP.2669"/>
    <s v="Addressing Urgent Humanitarian Needs of Conflict-Affected Populations in Ukraine"/>
    <s v="MOVEMENT, EMERGENCY AND POST-CRISIS MIGRATION MANAGEMENT"/>
    <s v="Ukraine"/>
    <n v="4500366411"/>
    <m/>
    <s v="Implementing Partner"/>
    <s v="NGO West Ukrainian Resource Center"/>
    <s v="Ukraine"/>
    <n v="82973"/>
    <x v="0"/>
    <x v="0"/>
  </r>
  <r>
    <x v="1"/>
    <s v="DP.2671"/>
    <s v="IOM's Earthquake Response in Türkiye"/>
    <s v="MOVEMENT, EMERGENCY AND POST-CRISIS MIGRATION MANAGEMENT"/>
    <s v="Turkey"/>
    <n v="4500363111"/>
    <m/>
    <s v="Implementing Partner"/>
    <s v="Genc Hayat Vakfi"/>
    <s v="Turkey"/>
    <n v="218127"/>
    <x v="0"/>
    <x v="0"/>
  </r>
  <r>
    <x v="1"/>
    <s v="DP.2678"/>
    <s v="​​Humanitarian Response to People in Situations of Mobility, Transit, and Displacement in Honduras in the Context of Insecurity and Humanitarian Crises ​"/>
    <s v="MOVEMENT, EMERGENCY AND POST-CRISIS MIGRATION MANAGEMENT"/>
    <s v="Honduras"/>
    <n v="4500371221"/>
    <m/>
    <s v="Implementing Partner"/>
    <s v="CRUZ ROJA HONDUREÑA"/>
    <s v="Honduras"/>
    <n v="308210"/>
    <x v="0"/>
    <x v="4"/>
  </r>
  <r>
    <x v="1"/>
    <s v="DP.2678"/>
    <s v="​​Humanitarian Response to People in Situations of Mobility, Transit, and Displacement in Honduras in the Context of Insecurity and Humanitarian Crises ​"/>
    <s v="MOVEMENT, EMERGENCY AND POST-CRISIS MIGRATION MANAGEMENT"/>
    <s v="Honduras"/>
    <n v="4500369344"/>
    <m/>
    <s v="Implementing Partner"/>
    <s v="FUNDACION ALIVIO DEL SUFRIMIENTO"/>
    <s v="Honduras"/>
    <n v="251819"/>
    <x v="0"/>
    <x v="0"/>
  </r>
  <r>
    <x v="1"/>
    <s v="DP.2681"/>
    <s v="Rapid Response Fund for Sudden Emergencies in Northeast Nigeria"/>
    <s v="MOVEMENT, EMERGENCY AND POST-CRISIS MIGRATION MANAGEMENT"/>
    <s v="Nigeria"/>
    <n v="4500378808"/>
    <m/>
    <s v="Implementing Partner"/>
    <s v="CARE BEST INITIATIVE"/>
    <s v="Nigeria"/>
    <n v="109168"/>
    <x v="0"/>
    <x v="0"/>
  </r>
  <r>
    <x v="1"/>
    <s v="DP.2681"/>
    <s v="Rapid Response Fund for Sudden Emergencies in Northeast Nigeria"/>
    <s v="MOVEMENT, EMERGENCY AND POST-CRISIS MIGRATION MANAGEMENT"/>
    <s v="Nigeria"/>
    <n v="4500378442"/>
    <m/>
    <s v="Implementing Partner"/>
    <s v="GREEN CONCERN FOR DEVELOPMENT"/>
    <s v="Nigeria"/>
    <n v="97381"/>
    <x v="0"/>
    <x v="0"/>
  </r>
  <r>
    <x v="1"/>
    <s v="DP.2681"/>
    <s v="Rapid Response Fund for Sudden Emergencies in Northeast Nigeria"/>
    <s v="MOVEMENT, EMERGENCY AND POST-CRISIS MIGRATION MANAGEMENT"/>
    <s v="Nigeria"/>
    <n v="4500374817"/>
    <m/>
    <s v="Implementing Partner"/>
    <s v="JESUIT REFUGEE SERVICES LTDGTE"/>
    <s v="Nigeria"/>
    <n v="99908"/>
    <x v="0"/>
    <x v="1"/>
  </r>
  <r>
    <x v="1"/>
    <s v="DP.2681"/>
    <s v="Rapid Response Fund for Sudden Emergencies in Northeast Nigeria"/>
    <s v="MOVEMENT, EMERGENCY AND POST-CRISIS MIGRATION MANAGEMENT"/>
    <s v="Nigeria"/>
    <n v="4500355856"/>
    <m/>
    <s v="Implementing Partner"/>
    <s v="SALIENT HUMANITARIAN ORGANIZATION"/>
    <s v="Nigeria"/>
    <n v="80691"/>
    <x v="0"/>
    <x v="3"/>
  </r>
  <r>
    <x v="1"/>
    <s v="DP.2681"/>
    <s v="Rapid Response Fund for Sudden Emergencies in Northeast Nigeria"/>
    <s v="MOVEMENT, EMERGENCY AND POST-CRISIS MIGRATION MANAGEMENT"/>
    <s v="Nigeria"/>
    <n v="4500378707"/>
    <m/>
    <s v="Implementing Partner"/>
    <s v="SHERIFF AID FOUNDATION"/>
    <s v="Nigeria"/>
    <n v="24987"/>
    <x v="0"/>
    <x v="0"/>
  </r>
  <r>
    <x v="1"/>
    <s v="DP.2689"/>
    <s v="Providing life-saving humanitarian assistance and protection support to vulnerable conflict-affected people in Ukraine and Neighbouring Countries"/>
    <s v="MOVEMENT, EMERGENCY AND POST-CRISIS MIGRATION MANAGEMENT"/>
    <s v="Czechia"/>
    <n v="4500367675"/>
    <m/>
    <s v="Implementing Partner"/>
    <s v="ADRA, o.p.s."/>
    <s v="Czechia"/>
    <n v="102979"/>
    <x v="0"/>
    <x v="1"/>
  </r>
  <r>
    <x v="1"/>
    <s v="DP.2689"/>
    <s v="Providing life-saving humanitarian assistance and protection support to vulnerable conflict-affected people in Ukraine and Neighbouring Countries"/>
    <s v="MOVEMENT, EMERGENCY AND POST-CRISIS MIGRATION MANAGEMENT"/>
    <s v="Czechia"/>
    <n v="4500361907"/>
    <m/>
    <s v="Implementing Partner"/>
    <s v="Ceska federace potravinovych bank"/>
    <s v="Czechia"/>
    <n v="277120"/>
    <x v="0"/>
    <x v="0"/>
  </r>
  <r>
    <x v="1"/>
    <s v="DP.2689"/>
    <s v="Providing life-saving humanitarian assistance and protection support to vulnerable conflict-affected people in Ukraine and Neighbouring Countries"/>
    <s v="MOVEMENT, EMERGENCY AND POST-CRISIS MIGRATION MANAGEMENT"/>
    <s v="Poland"/>
    <n v="4500360085"/>
    <m/>
    <s v="Implementing Partner"/>
    <s v="Fundacja Inna Przestrzen"/>
    <s v="Poland"/>
    <n v="58152"/>
    <x v="0"/>
    <x v="0"/>
  </r>
  <r>
    <x v="1"/>
    <s v="DP.2689"/>
    <s v="Providing life-saving humanitarian assistance and protection support to vulnerable conflict-affected people in Ukraine and Neighbouring Countries"/>
    <s v="MOVEMENT, EMERGENCY AND POST-CRISIS MIGRATION MANAGEMENT"/>
    <s v="Ukraine"/>
    <n v="4500360908"/>
    <m/>
    <s v="Implementing Partner"/>
    <s v="THE POLISH HUMANITARIAN ACTION FUND"/>
    <s v="Ukraine"/>
    <n v="48519"/>
    <x v="0"/>
    <x v="1"/>
  </r>
  <r>
    <x v="1"/>
    <s v="DP.2689"/>
    <s v="Providing life-saving humanitarian assistance and protection support to vulnerable conflict-affected people in Ukraine and Neighbouring Countries"/>
    <s v="MOVEMENT, EMERGENCY AND POST-CRISIS MIGRATION MANAGEMENT"/>
    <s v="Ukraine"/>
    <n v="4500369237"/>
    <m/>
    <s v="Implementing Partner"/>
    <s v="Ukrainian Red Cross Society"/>
    <s v="Ukraine"/>
    <n v="544331"/>
    <x v="0"/>
    <x v="4"/>
  </r>
  <r>
    <x v="1"/>
    <s v="DP.2689"/>
    <s v="Providing life-saving humanitarian assistance and protection support to vulnerable conflict-affected people in Ukraine and Neighbouring Countries"/>
    <s v="MOVEMENT, EMERGENCY AND POST-CRISIS MIGRATION MANAGEMENT"/>
    <s v="Ukraine"/>
    <n v="4500376463"/>
    <m/>
    <s v="Implementing Partner"/>
    <s v="VRRTEMD"/>
    <s v="Ukraine"/>
    <n v="93239"/>
    <x v="0"/>
    <x v="0"/>
  </r>
  <r>
    <x v="1"/>
    <s v="DP.2690"/>
    <s v="​​PRM Voluntary Contribution to the Sudan Emergency Regional Refugee Response Plan (3RP) 2023​"/>
    <s v="MOVEMENT, EMERGENCY AND POST-CRISIS MIGRATION MANAGEMENT"/>
    <s v="Egypt"/>
    <n v="4500374875"/>
    <m/>
    <s v="Implementing Partner"/>
    <s v="CARITAS EGYPT"/>
    <s v="Egypt"/>
    <n v="6519"/>
    <x v="0"/>
    <x v="6"/>
  </r>
  <r>
    <x v="1"/>
    <s v="DP.2690"/>
    <s v="​​PRM Voluntary Contribution to the Sudan Emergency Regional Refugee Response Plan (3RP) 2023​"/>
    <s v="MOVEMENT, EMERGENCY AND POST-CRISIS MIGRATION MANAGEMENT"/>
    <s v="Egypt"/>
    <n v="4500359578"/>
    <m/>
    <s v="Implementing Partner"/>
    <s v="Impact for Education Services"/>
    <s v="Egypt"/>
    <n v="143094"/>
    <x v="0"/>
    <x v="8"/>
  </r>
  <r>
    <x v="1"/>
    <s v="DP.2690"/>
    <s v="​​PRM Voluntary Contribution to the Sudan Emergency Regional Refugee Response Plan (3RP) 2023​"/>
    <s v="MOVEMENT, EMERGENCY AND POST-CRISIS MIGRATION MANAGEMENT"/>
    <s v="Egypt"/>
    <n v="4500371348"/>
    <m/>
    <s v="Implementing Partner"/>
    <s v="PLAN International"/>
    <s v="Egypt"/>
    <n v="35250"/>
    <x v="0"/>
    <x v="1"/>
  </r>
  <r>
    <x v="1"/>
    <s v="DP.2690"/>
    <s v="​​PRM Voluntary Contribution to the Sudan Emergency Regional Refugee Response Plan (3RP) 2023​"/>
    <s v="MOVEMENT, EMERGENCY AND POST-CRISIS MIGRATION MANAGEMENT"/>
    <s v="Egypt"/>
    <n v="4500366561"/>
    <m/>
    <s v="Implementing Partner"/>
    <s v="WORLD FOOD PROGRAMME"/>
    <s v="Egypt"/>
    <n v="513865"/>
    <x v="0"/>
    <x v="7"/>
  </r>
  <r>
    <x v="1"/>
    <s v="DP.2692"/>
    <s v="A Rapid Response Fund (RRF) program responding to Emergency Needs of Disaster affected population in South Sudan under the states of Greater Equatoria (Central, Western, Eastern), greater Upper Nile (Unity, Upper Nile and Jonglei), Greater Bahr el Gh"/>
    <s v="MOVEMENT, EMERGENCY AND POST-CRISIS MIGRATION MANAGEMENT"/>
    <s v="South Sudan"/>
    <n v="4500354582"/>
    <m/>
    <s v="Implementing Partner"/>
    <s v="ACRA"/>
    <s v="South Sudan"/>
    <n v="213849"/>
    <x v="0"/>
    <x v="0"/>
  </r>
  <r>
    <x v="1"/>
    <s v="DP.2692"/>
    <s v="A Rapid Response Fund (RRF) program responding to Emergency Needs of Disaster affected population in South Sudan under the states of Greater Equatoria (Central, Western, Eastern), greater Upper Nile (Unity, Upper Nile and Jonglei), Greater Bahr el Gh"/>
    <s v="MOVEMENT, EMERGENCY AND POST-CRISIS MIGRATION MANAGEMENT"/>
    <s v="South Sudan"/>
    <n v="4500368158"/>
    <m/>
    <s v="Implementing Partner"/>
    <s v="African Christian Ecumenical"/>
    <s v="South Sudan"/>
    <n v="59352"/>
    <x v="0"/>
    <x v="0"/>
  </r>
  <r>
    <x v="1"/>
    <s v="DP.2692"/>
    <s v="A Rapid Response Fund (RRF) program responding to Emergency Needs of Disaster affected population in South Sudan under the states of Greater Equatoria (Central, Western, Eastern), greater Upper Nile (Unity, Upper Nile and Jonglei), Greater Bahr el Gh"/>
    <s v="MOVEMENT, EMERGENCY AND POST-CRISIS MIGRATION MANAGEMENT"/>
    <s v="South Sudan"/>
    <n v="4500365445"/>
    <m/>
    <s v="Implementing Partner"/>
    <s v="African Humanitarian Corps"/>
    <s v="South Sudan"/>
    <n v="99355"/>
    <x v="0"/>
    <x v="0"/>
  </r>
  <r>
    <x v="1"/>
    <s v="DP.2692"/>
    <s v="A Rapid Response Fund (RRF) program responding to Emergency Needs of Disaster affected population in South Sudan under the states of Greater Equatoria (Central, Western, Eastern), greater Upper Nile (Unity, Upper Nile and Jonglei), Greater Bahr el Gh"/>
    <s v="MOVEMENT, EMERGENCY AND POST-CRISIS MIGRATION MANAGEMENT"/>
    <s v="South Sudan"/>
    <n v="4500365395"/>
    <m/>
    <s v="Implementing Partner"/>
    <s v="COMMUNITY ACTION ORGANIZATION"/>
    <s v="South Sudan"/>
    <n v="104923"/>
    <x v="0"/>
    <x v="0"/>
  </r>
  <r>
    <x v="1"/>
    <s v="DP.2692"/>
    <s v="A Rapid Response Fund (RRF) program responding to Emergency Needs of Disaster affected population in South Sudan under the states of Greater Equatoria (Central, Western, Eastern), greater Upper Nile (Unity, Upper Nile and Jonglei), Greater Bahr el Gh"/>
    <s v="MOVEMENT, EMERGENCY AND POST-CRISIS MIGRATION MANAGEMENT"/>
    <s v="South Sudan"/>
    <n v="4500365457"/>
    <m/>
    <s v="Implementing Partner"/>
    <s v="COMMUNITY INITIATIVE FOR DEVELOPMEN"/>
    <s v="South Sudan"/>
    <n v="70157"/>
    <x v="0"/>
    <x v="0"/>
  </r>
  <r>
    <x v="1"/>
    <s v="DP.2692"/>
    <s v="A Rapid Response Fund (RRF) program responding to Emergency Needs of Disaster affected population in South Sudan under the states of Greater Equatoria (Central, Western, Eastern), greater Upper Nile (Unity, Upper Nile and Jonglei), Greater Bahr el Gh"/>
    <s v="MOVEMENT, EMERGENCY AND POST-CRISIS MIGRATION MANAGEMENT"/>
    <s v="South Sudan"/>
    <n v="4500375288"/>
    <m/>
    <s v="Implementing Partner"/>
    <s v="Facilitating Action For Community E"/>
    <s v="South Sudan"/>
    <n v="147501"/>
    <x v="0"/>
    <x v="0"/>
  </r>
  <r>
    <x v="1"/>
    <s v="DP.2692"/>
    <s v="A Rapid Response Fund (RRF) program responding to Emergency Needs of Disaster affected population in South Sudan under the states of Greater Equatoria (Central, Western, Eastern), greater Upper Nile (Unity, Upper Nile and Jonglei), Greater Bahr el Gh"/>
    <s v="MOVEMENT, EMERGENCY AND POST-CRISIS MIGRATION MANAGEMENT"/>
    <s v="South Sudan"/>
    <n v="4500361089"/>
    <m/>
    <s v="Implementing Partner"/>
    <s v="Narrative Hub"/>
    <s v="South Sudan"/>
    <n v="106470"/>
    <x v="0"/>
    <x v="0"/>
  </r>
  <r>
    <x v="1"/>
    <s v="DP.2692"/>
    <s v="A Rapid Response Fund (RRF) program responding to Emergency Needs of Disaster affected population in South Sudan under the states of Greater Equatoria (Central, Western, Eastern), greater Upper Nile (Unity, Upper Nile and Jonglei), Greater Bahr el Gh"/>
    <s v="MOVEMENT, EMERGENCY AND POST-CRISIS MIGRATION MANAGEMENT"/>
    <s v="South Sudan"/>
    <n v="4500367251"/>
    <m/>
    <s v="Implementing Partner"/>
    <s v="Nile hope"/>
    <s v="South Sudan"/>
    <n v="96314"/>
    <x v="0"/>
    <x v="0"/>
  </r>
  <r>
    <x v="1"/>
    <s v="DP.2692"/>
    <s v="A Rapid Response Fund (RRF) program responding to Emergency Needs of Disaster affected population in South Sudan under the states of Greater Equatoria (Central, Western, Eastern), greater Upper Nile (Unity, Upper Nile and Jonglei), Greater Bahr el Gh"/>
    <s v="MOVEMENT, EMERGENCY AND POST-CRISIS MIGRATION MANAGEMENT"/>
    <s v="South Sudan"/>
    <n v="4500352352"/>
    <m/>
    <s v="Implementing Partner"/>
    <s v="PEACE IN ACTION AND SOCIAL SERVICE"/>
    <s v="South Sudan"/>
    <n v="116713"/>
    <x v="0"/>
    <x v="0"/>
  </r>
  <r>
    <x v="1"/>
    <s v="DP.2692"/>
    <s v="A Rapid Response Fund (RRF) program responding to Emergency Needs of Disaster affected population in South Sudan under the states of Greater Equatoria (Central, Western, Eastern), greater Upper Nile (Unity, Upper Nile and Jonglei), Greater Bahr el Gh"/>
    <s v="MOVEMENT, EMERGENCY AND POST-CRISIS MIGRATION MANAGEMENT"/>
    <s v="South Sudan"/>
    <n v="4500361095"/>
    <m/>
    <s v="Implementing Partner"/>
    <s v="REACH AFRICA ORGANIZATION (RAO)"/>
    <s v="South Sudan"/>
    <n v="83281"/>
    <x v="0"/>
    <x v="0"/>
  </r>
  <r>
    <x v="1"/>
    <s v="DP.2692"/>
    <s v="A Rapid Response Fund (RRF) program responding to Emergency Needs of Disaster affected population in South Sudan under the states of Greater Equatoria (Central, Western, Eastern), greater Upper Nile (Unity, Upper Nile and Jonglei), Greater Bahr el Gh"/>
    <s v="MOVEMENT, EMERGENCY AND POST-CRISIS MIGRATION MANAGEMENT"/>
    <s v="South Sudan"/>
    <n v="4500354629"/>
    <m/>
    <s v="Implementing Partner"/>
    <s v="Relief Corps Organization"/>
    <s v="South Sudan"/>
    <n v="140051"/>
    <x v="0"/>
    <x v="3"/>
  </r>
  <r>
    <x v="1"/>
    <s v="DP.2692"/>
    <s v="A Rapid Response Fund (RRF) program responding to Emergency Needs of Disaster affected population in South Sudan under the states of Greater Equatoria (Central, Western, Eastern), greater Upper Nile (Unity, Upper Nile and Jonglei), Greater Bahr el Gh"/>
    <s v="MOVEMENT, EMERGENCY AND POST-CRISIS MIGRATION MANAGEMENT"/>
    <s v="South Sudan"/>
    <n v="4500365649"/>
    <m/>
    <s v="Implementing Partner"/>
    <s v="Salvation and Light Develop Action"/>
    <s v="South Sudan"/>
    <n v="93057"/>
    <x v="0"/>
    <x v="0"/>
  </r>
  <r>
    <x v="1"/>
    <s v="DP.2692"/>
    <s v="A Rapid Response Fund (RRF) program responding to Emergency Needs of Disaster affected population in South Sudan under the states of Greater Equatoria (Central, Western, Eastern), greater Upper Nile (Unity, Upper Nile and Jonglei), Greater Bahr el Gh"/>
    <s v="MOVEMENT, EMERGENCY AND POST-CRISIS MIGRATION MANAGEMENT"/>
    <s v="South Sudan"/>
    <n v="4500352343"/>
    <m/>
    <s v="Implementing Partner"/>
    <s v="THE RESCUE INITIATIVE"/>
    <s v="South Sudan"/>
    <n v="42044"/>
    <x v="0"/>
    <x v="0"/>
  </r>
  <r>
    <x v="1"/>
    <s v="DP.2692"/>
    <s v="A Rapid Response Fund (RRF) program responding to Emergency Needs of Disaster affected population in South Sudan under the states of Greater Equatoria (Central, Western, Eastern), greater Upper Nile (Unity, Upper Nile and Jonglei), Greater Bahr el Gh"/>
    <s v="MOVEMENT, EMERGENCY AND POST-CRISIS MIGRATION MANAGEMENT"/>
    <s v="South Sudan"/>
    <n v="4500365629"/>
    <m/>
    <s v="Implementing Partner"/>
    <s v="Trust Guarantee Community Devt Aid"/>
    <s v="South Sudan"/>
    <n v="62563"/>
    <x v="0"/>
    <x v="0"/>
  </r>
  <r>
    <x v="1"/>
    <s v="DP.2692"/>
    <s v="A Rapid Response Fund (RRF) program responding to Emergency Needs of Disaster affected population in South Sudan under the states of Greater Equatoria (Central, Western, Eastern), greater Upper Nile (Unity, Upper Nile and Jonglei), Greater Bahr el Gh"/>
    <s v="MOVEMENT, EMERGENCY AND POST-CRISIS MIGRATION MANAGEMENT"/>
    <s v="South Sudan"/>
    <n v="4500354616"/>
    <m/>
    <s v="Implementing Partner"/>
    <s v="VOICE OF THE PEACE"/>
    <s v="South Sudan"/>
    <n v="137668"/>
    <x v="0"/>
    <x v="3"/>
  </r>
  <r>
    <x v="1"/>
    <s v="DP.2692"/>
    <s v="A Rapid Response Fund (RRF) program responding to Emergency Needs of Disaster affected population in South Sudan under the states of Greater Equatoria (Central, Western, Eastern), greater Upper Nile (Unity, Upper Nile and Jonglei), Greater Bahr el Gh"/>
    <s v="MOVEMENT, EMERGENCY AND POST-CRISIS MIGRATION MANAGEMENT"/>
    <s v="South Sudan"/>
    <n v="4500365655"/>
    <m/>
    <s v="Implementing Partner"/>
    <s v="Women and children health"/>
    <s v="South Sudan"/>
    <n v="58527"/>
    <x v="0"/>
    <x v="0"/>
  </r>
  <r>
    <x v="1"/>
    <s v="DP.2692"/>
    <s v="A Rapid Response Fund (RRF) program responding to Emergency Needs of Disaster affected population in South Sudan under the states of Greater Equatoria (Central, Western, Eastern), greater Upper Nile (Unity, Upper Nile and Jonglei), Greater Bahr el Gh"/>
    <s v="MOVEMENT, EMERGENCY AND POST-CRISIS MIGRATION MANAGEMENT"/>
    <s v="South Sudan"/>
    <n v="4500352329"/>
    <m/>
    <s v="Implementing Partner"/>
    <s v="WOMEN FOR CHANGE"/>
    <s v="South Sudan"/>
    <n v="90801"/>
    <x v="0"/>
    <x v="0"/>
  </r>
  <r>
    <x v="1"/>
    <s v="DP.2696"/>
    <s v="Provision of Integrated Humanitarian Assistance to the Most Vulnerable Crisis-Affected People through Mobile Teams in Sudan"/>
    <s v="MOVEMENT, EMERGENCY AND POST-CRISIS MIGRATION MANAGEMENT"/>
    <s v="Sudan"/>
    <n v="4500352307"/>
    <m/>
    <s v="Implementing Partner"/>
    <s v="Addition for Disasters Assistance"/>
    <s v="Sudan"/>
    <n v="168174"/>
    <x v="0"/>
    <x v="0"/>
  </r>
  <r>
    <x v="1"/>
    <s v="DP.2696"/>
    <s v="Provision of Integrated Humanitarian Assistance to the Most Vulnerable Crisis-Affected People through Mobile Teams in Sudan"/>
    <s v="MOVEMENT, EMERGENCY AND POST-CRISIS MIGRATION MANAGEMENT"/>
    <s v="Sudan"/>
    <n v="4500374667"/>
    <m/>
    <s v="Implementing Partner"/>
    <s v="MEDICAL TEAMS INTERNATIONAL"/>
    <s v="Sudan"/>
    <n v="412349"/>
    <x v="0"/>
    <x v="1"/>
  </r>
  <r>
    <x v="1"/>
    <s v="DP.2696"/>
    <s v="Provision of Integrated Humanitarian Assistance to the Most Vulnerable Crisis-Affected People through Mobile Teams in Sudan"/>
    <s v="MOVEMENT, EMERGENCY AND POST-CRISIS MIGRATION MANAGEMENT"/>
    <s v="Sudan"/>
    <n v="4500367017"/>
    <m/>
    <s v="Implementing Partner"/>
    <s v="Sudan Family Planning Association"/>
    <s v="Sudan"/>
    <n v="222561"/>
    <x v="0"/>
    <x v="0"/>
  </r>
  <r>
    <x v="1"/>
    <s v="DP.2698"/>
    <s v="Providing Multi-Purpose Cash Assistance (MPCA) to Address the Most Urgent Needs of the Drought Affected Communities"/>
    <s v="MOVEMENT, EMERGENCY AND POST-CRISIS MIGRATION MANAGEMENT"/>
    <s v="Kenya"/>
    <n v="4500377637"/>
    <m/>
    <s v="Implementing Partner"/>
    <s v="ARID LANDS DEVELOPMENT FOCUS"/>
    <s v="Kenya"/>
    <n v="75120"/>
    <x v="0"/>
    <x v="0"/>
  </r>
  <r>
    <x v="1"/>
    <s v="DP.2698"/>
    <s v="Providing Multi-Purpose Cash Assistance (MPCA) to Address the Most Urgent Needs of the Drought Affected Communities"/>
    <s v="MOVEMENT, EMERGENCY AND POST-CRISIS MIGRATION MANAGEMENT"/>
    <s v="Kenya"/>
    <n v="4500369193"/>
    <m/>
    <s v="Implementing Partner"/>
    <s v="RURAL AGENCY FOR COMMUNITY DEVELOPM"/>
    <s v="Kenya"/>
    <n v="278609"/>
    <x v="0"/>
    <x v="3"/>
  </r>
  <r>
    <x v="1"/>
    <s v="DP.2698"/>
    <s v="Providing Multi-Purpose Cash Assistance (MPCA) to Address the Most Urgent Needs of the Drought Affected Communities"/>
    <s v="MOVEMENT, EMERGENCY AND POST-CRISIS MIGRATION MANAGEMENT"/>
    <s v="Kenya"/>
    <n v="4500371970"/>
    <m/>
    <s v="Implementing Partner"/>
    <s v="STRATEGIES FOR NORTHERN DEVELOPMENT"/>
    <s v="Kenya"/>
    <n v="106510"/>
    <x v="0"/>
    <x v="3"/>
  </r>
  <r>
    <x v="1"/>
    <s v="DP.2698"/>
    <s v="Providing Multi-Purpose Cash Assistance (MPCA) to Address the Most Urgent Needs of the Drought Affected Communities"/>
    <s v="MOVEMENT, EMERGENCY AND POST-CRISIS MIGRATION MANAGEMENT"/>
    <s v="Kenya"/>
    <n v="4500372069"/>
    <m/>
    <s v="Implementing Partner"/>
    <s v="SUSTAIN APPROACH FOR COM SAPCONE"/>
    <s v="Kenya"/>
    <n v="230772"/>
    <x v="0"/>
    <x v="3"/>
  </r>
  <r>
    <x v="1"/>
    <s v="DP.2698"/>
    <s v="Providing Multi-Purpose Cash Assistance (MPCA) to Address the Most Urgent Needs of the Drought Affected Communities"/>
    <s v="MOVEMENT, EMERGENCY AND POST-CRISIS MIGRATION MANAGEMENT"/>
    <s v="Kenya"/>
    <n v="4500370975"/>
    <m/>
    <s v="Implementing Partner"/>
    <s v="WAJIR SOUTH DEVELOPMENT ASSOCIATION"/>
    <s v="Kenya"/>
    <n v="176146"/>
    <x v="0"/>
    <x v="0"/>
  </r>
  <r>
    <x v="1"/>
    <s v="DP.2701"/>
    <s v="2023 Ukraine Response to Support Refugees from Ukraine across Europe"/>
    <s v="MOVEMENT, EMERGENCY AND POST-CRISIS MIGRATION MANAGEMENT"/>
    <s v="Czechia"/>
    <n v="4500352631"/>
    <m/>
    <s v="Implementing Partner"/>
    <s v="KHK Karlovarskeho kraje"/>
    <s v="Czechia"/>
    <n v="49949"/>
    <x v="0"/>
    <x v="10"/>
  </r>
  <r>
    <x v="1"/>
    <s v="DP.2701"/>
    <s v="2023 Ukraine Response to Support Refugees from Ukraine across Europe"/>
    <s v="MOVEMENT, EMERGENCY AND POST-CRISIS MIGRATION MANAGEMENT"/>
    <s v="Czechia"/>
    <n v="4500358198"/>
    <m/>
    <s v="Implementing Partner"/>
    <s v="Slovo 21 z.s."/>
    <s v="Czechia"/>
    <n v="46715"/>
    <x v="0"/>
    <x v="0"/>
  </r>
  <r>
    <x v="1"/>
    <s v="DP.2701"/>
    <s v="2023 Ukraine Response to Support Refugees from Ukraine across Europe"/>
    <s v="MOVEMENT, EMERGENCY AND POST-CRISIS MIGRATION MANAGEMENT"/>
    <s v="Czechia"/>
    <n v="4500353821"/>
    <m/>
    <s v="Implementing Partner"/>
    <s v="Tatrhy z.s."/>
    <s v="Czechia"/>
    <n v="33467"/>
    <x v="0"/>
    <x v="0"/>
  </r>
  <r>
    <x v="1"/>
    <s v="DP.2701"/>
    <s v="2023 Ukraine Response to Support Refugees from Ukraine across Europe"/>
    <s v="MOVEMENT, EMERGENCY AND POST-CRISIS MIGRATION MANAGEMENT"/>
    <s v="Moldova (Rep)"/>
    <n v="4500370401"/>
    <m/>
    <s v="Implementing Partner"/>
    <s v="NGO JENSKIE INITSIATIVY"/>
    <s v="Moldova (Rep)"/>
    <n v="4291"/>
    <x v="0"/>
    <x v="0"/>
  </r>
  <r>
    <x v="1"/>
    <s v="DP.2701"/>
    <s v="2023 Ukraine Response to Support Refugees from Ukraine across Europe"/>
    <s v="MOVEMENT, EMERGENCY AND POST-CRISIS MIGRATION MANAGEMENT"/>
    <s v="Poland"/>
    <n v="4500375045"/>
    <m/>
    <s v="Implementing Partner"/>
    <s v="Avalon"/>
    <s v="Poland"/>
    <n v="196887"/>
    <x v="0"/>
    <x v="0"/>
  </r>
  <r>
    <x v="1"/>
    <s v="DP.2701"/>
    <s v="2023 Ukraine Response to Support Refugees from Ukraine across Europe"/>
    <s v="MOVEMENT, EMERGENCY AND POST-CRISIS MIGRATION MANAGEMENT"/>
    <s v="Poland"/>
    <n v="4500362955"/>
    <m/>
    <s v="Implementing Partner"/>
    <s v="FUNDACJA HABITAT"/>
    <s v="Poland"/>
    <n v="700725"/>
    <x v="0"/>
    <x v="1"/>
  </r>
  <r>
    <x v="1"/>
    <s v="DP.2701"/>
    <s v="2023 Ukraine Response to Support Refugees from Ukraine across Europe"/>
    <s v="MOVEMENT, EMERGENCY AND POST-CRISIS MIGRATION MANAGEMENT"/>
    <s v="Poland"/>
    <n v="4500360085"/>
    <m/>
    <s v="Implementing Partner"/>
    <s v="Fundacja Inna Przestrzen"/>
    <s v="Poland"/>
    <n v="58152"/>
    <x v="0"/>
    <x v="0"/>
  </r>
  <r>
    <x v="1"/>
    <s v="DP.2701"/>
    <s v="2023 Ukraine Response to Support Refugees from Ukraine across Europe"/>
    <s v="MOVEMENT, EMERGENCY AND POST-CRISIS MIGRATION MANAGEMENT"/>
    <s v="Poland"/>
    <n v="4500366847"/>
    <m/>
    <s v="Implementing Partner"/>
    <s v="Stowarzyszenie Lambda Warszawa"/>
    <s v="Poland"/>
    <n v="78262"/>
    <x v="0"/>
    <x v="0"/>
  </r>
  <r>
    <x v="1"/>
    <s v="DP.2704"/>
    <s v="Enhancing Resilience and Recovery in Mykolaiv"/>
    <s v="MOVEMENT, EMERGENCY AND POST-CRISIS MIGRATION MANAGEMENT"/>
    <s v="Ukraine"/>
    <n v="4500369237"/>
    <m/>
    <s v="Implementing Partner"/>
    <s v="Ukrainian Red Cross Society"/>
    <s v="Ukraine"/>
    <n v="544331"/>
    <x v="0"/>
    <x v="4"/>
  </r>
  <r>
    <x v="1"/>
    <s v="DP.2706"/>
    <s v="Multisectoral Emergency Response to Conflict and Climate Shock Affected Internally Displaced Populations and Communities in Northern Mozambique – Phase III"/>
    <s v="MOVEMENT, EMERGENCY AND POST-CRISIS MIGRATION MANAGEMENT"/>
    <s v="Mozambique"/>
    <n v="4500375071"/>
    <m/>
    <s v="Implementing Partner"/>
    <s v="OIKOS"/>
    <s v="Mozambique"/>
    <n v="78814"/>
    <x v="0"/>
    <x v="1"/>
  </r>
  <r>
    <x v="1"/>
    <s v="DP.2706"/>
    <s v="Multisectoral Emergency Response to Conflict and Climate Shock Affected Internally Displaced Populations and Communities in Northern Mozambique – Phase III"/>
    <s v="MOVEMENT, EMERGENCY AND POST-CRISIS MIGRATION MANAGEMENT"/>
    <s v="Mozambique"/>
    <n v="4500367297"/>
    <m/>
    <s v="Implementing Partner"/>
    <s v="Pronanac Educacional"/>
    <s v="Mozambique"/>
    <n v="232575"/>
    <x v="0"/>
    <x v="0"/>
  </r>
  <r>
    <x v="1"/>
    <s v="DP.2729"/>
    <s v="IOM - Ukraine Kakhovka dam - 2023"/>
    <s v="MOVEMENT, EMERGENCY AND POST-CRISIS MIGRATION MANAGEMENT"/>
    <s v="Ukraine"/>
    <n v="4500371643"/>
    <m/>
    <s v="Implementing Partner"/>
    <s v="CFSR"/>
    <s v="Ukraine"/>
    <n v="82802"/>
    <x v="0"/>
    <x v="0"/>
  </r>
  <r>
    <x v="1"/>
    <s v="DP.2729"/>
    <s v="IOM - Ukraine Kakhovka dam - 2023"/>
    <s v="MOVEMENT, EMERGENCY AND POST-CRISIS MIGRATION MANAGEMENT"/>
    <s v="Ukraine"/>
    <n v="4500375960"/>
    <m/>
    <s v="Implementing Partner"/>
    <s v="CO CF IMPLEMENTATION OF IDEAS"/>
    <s v="Ukraine"/>
    <n v="157399"/>
    <x v="0"/>
    <x v="0"/>
  </r>
  <r>
    <x v="1"/>
    <s v="DP.2730"/>
    <s v="Regional Migrants’ Response Plan (RMRP) for the Horn of Africa and Yemen 2023"/>
    <s v="MOVEMENT, EMERGENCY AND POST-CRISIS MIGRATION MANAGEMENT"/>
    <s v="Kenya"/>
    <n v="4500370978"/>
    <m/>
    <s v="Implementing Partner"/>
    <s v="DANISH REFUGEE COUNCIL"/>
    <s v="Kenya"/>
    <n v="56058"/>
    <x v="0"/>
    <x v="1"/>
  </r>
  <r>
    <x v="1"/>
    <s v="DP.2733"/>
    <s v="IOM Assistance Program for Afghans in US managed Transit Center, Camp As Sayliyah (CAS), in Doha, Qatar"/>
    <s v="MOVEMENT, EMERGENCY AND POST-CRISIS MIGRATION MANAGEMENT"/>
    <s v="Qatar"/>
    <n v="4500366529"/>
    <m/>
    <s v="Implementing Partner"/>
    <s v="Qatar Red Crescent"/>
    <s v="Qatar"/>
    <n v="195281"/>
    <x v="0"/>
    <x v="4"/>
  </r>
  <r>
    <x v="1"/>
    <s v="DP.2735"/>
    <s v="IOM Ukraine Crisis Response Plan 2023"/>
    <s v="MOVEMENT, EMERGENCY AND POST-CRISIS MIGRATION MANAGEMENT"/>
    <s v="Ukraine"/>
    <n v="4500377673"/>
    <m/>
    <s v="Implementing Partner"/>
    <s v="CF PATIENTS OF UKRAINE"/>
    <s v="Ukraine"/>
    <n v="465281"/>
    <x v="0"/>
    <x v="0"/>
  </r>
  <r>
    <x v="1"/>
    <s v="DP.2735"/>
    <s v="IOM Ukraine Crisis Response Plan 2023"/>
    <s v="MOVEMENT, EMERGENCY AND POST-CRISIS MIGRATION MANAGEMENT"/>
    <s v="Ukraine"/>
    <n v="4500377090"/>
    <m/>
    <s v="Implementing Partner"/>
    <s v="CO CF ANGELS OF SALVATION"/>
    <s v="Ukraine"/>
    <n v="468798"/>
    <x v="0"/>
    <x v="0"/>
  </r>
  <r>
    <x v="1"/>
    <s v="DP.2735"/>
    <s v="IOM Ukraine Crisis Response Plan 2023"/>
    <s v="MOVEMENT, EMERGENCY AND POST-CRISIS MIGRATION MANAGEMENT"/>
    <s v="Ukraine"/>
    <n v="4500360908"/>
    <m/>
    <s v="Implementing Partner"/>
    <s v="THE POLISH HUMANITARIAN ACTION FUND"/>
    <s v="Ukraine"/>
    <n v="48519"/>
    <x v="0"/>
    <x v="1"/>
  </r>
  <r>
    <x v="1"/>
    <s v="DP.2735"/>
    <s v="IOM Ukraine Crisis Response Plan 2023"/>
    <s v="MOVEMENT, EMERGENCY AND POST-CRISIS MIGRATION MANAGEMENT"/>
    <s v="Ukraine"/>
    <n v="4500378724"/>
    <m/>
    <s v="Implementing Partner"/>
    <s v="UK"/>
    <s v="United Kingdom"/>
    <n v="373720"/>
    <x v="0"/>
    <x v="8"/>
  </r>
  <r>
    <x v="1"/>
    <s v="DP.2735"/>
    <s v="IOM Ukraine Crisis Response Plan 2023"/>
    <s v="MOVEMENT, EMERGENCY AND POST-CRISIS MIGRATION MANAGEMENT"/>
    <s v="Ukraine"/>
    <n v="4500376463"/>
    <m/>
    <s v="Implementing Partner"/>
    <s v="VRRTEMD"/>
    <s v="Ukraine"/>
    <n v="93239"/>
    <x v="0"/>
    <x v="0"/>
  </r>
  <r>
    <x v="1"/>
    <s v="DP.2746"/>
    <s v="Lifesaving and Transitional Support to Refugees and Host Communities in Cox’s Bazar District, Bangladesh"/>
    <s v="MOVEMENT, EMERGENCY AND POST-CRISIS MIGRATION MANAGEMENT"/>
    <s v="Bangladesh"/>
    <n v="4500364505"/>
    <m/>
    <s v="Implementing Partner"/>
    <s v="FRIENDSHIP"/>
    <s v="Bangladesh"/>
    <n v="877728"/>
    <x v="0"/>
    <x v="0"/>
  </r>
  <r>
    <x v="1"/>
    <s v="DP.2759"/>
    <s v="Support of IOM Activities in Pakistan Outlines in the 2023 Refugee Response Plan (RRP) for the Afghanistan Situation"/>
    <s v="MOVEMENT, EMERGENCY AND POST-CRISIS MIGRATION MANAGEMENT"/>
    <s v="Pakistan"/>
    <n v="4500364579"/>
    <m/>
    <s v="Implementing Partner"/>
    <s v="CHEF International"/>
    <s v="Pakistan"/>
    <n v="86759"/>
    <x v="0"/>
    <x v="0"/>
  </r>
  <r>
    <x v="1"/>
    <s v="DP.2759"/>
    <s v="Support of IOM Activities in Pakistan Outlines in the 2023 Refugee Response Plan (RRP) for the Afghanistan Situation"/>
    <s v="MOVEMENT, EMERGENCY AND POST-CRISIS MIGRATION MANAGEMENT"/>
    <s v="Pakistan"/>
    <n v="4500364568"/>
    <m/>
    <s v="Implementing Partner"/>
    <s v="INNOVATIVE DEVELOPMENT ORGANIZATION"/>
    <s v="Pakistan"/>
    <n v="109959"/>
    <x v="0"/>
    <x v="0"/>
  </r>
  <r>
    <x v="1"/>
    <s v="DP.2759"/>
    <s v="Support of IOM Activities in Pakistan Outlines in the 2023 Refugee Response Plan (RRP) for the Afghanistan Situation"/>
    <s v="MOVEMENT, EMERGENCY AND POST-CRISIS MIGRATION MANAGEMENT"/>
    <s v="Pakistan"/>
    <n v="4500373197"/>
    <m/>
    <s v="Implementing Partner"/>
    <s v="Society for Human Rights"/>
    <s v="Pakistan"/>
    <n v="212723"/>
    <x v="0"/>
    <x v="0"/>
  </r>
  <r>
    <x v="1"/>
    <s v="DX.0097"/>
    <s v="Mobility Tracking and Multi-Sectoral Humanitarian Needs in Localities and Sites Affected by Displacement/Return in the Central African Republic (National Coverage)"/>
    <s v="MOVEMENT, EMERGENCY AND POST-CRISIS MIGRATION MANAGEMENT"/>
    <s v="CAR"/>
    <n v="4500368311"/>
    <m/>
    <s v="Implementing Partner"/>
    <s v="COLLECTIF¨POUR LA PAIX EN CENTRAFRI"/>
    <s v="CAR"/>
    <n v="15112"/>
    <x v="0"/>
    <x v="0"/>
  </r>
  <r>
    <x v="1"/>
    <s v="DX.0099"/>
    <s v="Supporting Multi-Sector Emergency Response Assistance for Populations Affected by the North-West, South-West Crisis in Cameroon"/>
    <s v="MOVEMENT, EMERGENCY AND POST-CRISIS MIGRATION MANAGEMENT"/>
    <s v="Cameroon"/>
    <n v="4500367532"/>
    <m/>
    <s v="Implementing Partner"/>
    <s v="CARITAS DIOCESE OF KUMBA"/>
    <s v="Cameroon"/>
    <n v="152587"/>
    <x v="0"/>
    <x v="6"/>
  </r>
  <r>
    <x v="1"/>
    <s v="DX.0099"/>
    <s v="Supporting Multi-Sector Emergency Response Assistance for Populations Affected by the North-West, South-West Crisis in Cameroon"/>
    <s v="MOVEMENT, EMERGENCY AND POST-CRISIS MIGRATION MANAGEMENT"/>
    <s v="Cameroon"/>
    <n v="4500367530"/>
    <m/>
    <s v="Implementing Partner"/>
    <s v="STRATEGIC HUMANITARIAN SERVICES"/>
    <s v="Cameroon"/>
    <n v="34364"/>
    <x v="0"/>
    <x v="0"/>
  </r>
  <r>
    <x v="1"/>
    <s v="DX.0099"/>
    <s v="Supporting Multi-Sector Emergency Response Assistance for Populations Affected by the North-West, South-West Crisis in Cameroon"/>
    <s v="MOVEMENT, EMERGENCY AND POST-CRISIS MIGRATION MANAGEMENT"/>
    <s v="Cameroon"/>
    <n v="4500373387"/>
    <m/>
    <s v="Implementing Partner"/>
    <s v="STRATEGIC HUMANITARIAN SERVICES"/>
    <s v="Cameroon"/>
    <n v="96532"/>
    <x v="0"/>
    <x v="0"/>
  </r>
  <r>
    <x v="1"/>
    <s v="DX.0101"/>
    <s v="Strengthening the Evidence Base on Human Mobility Along the Eastern Corridor Under the Migrant Response Plan (MRP)"/>
    <s v="MOVEMENT, EMERGENCY AND POST-CRISIS MIGRATION MANAGEMENT"/>
    <s v="Kenya"/>
    <n v="4500362119"/>
    <m/>
    <s v="Implementing Partner"/>
    <s v="ORG FOR SUSTAIN DEV AFRICA OSDA"/>
    <s v="Kenya"/>
    <n v="54775"/>
    <x v="0"/>
    <x v="3"/>
  </r>
  <r>
    <x v="1"/>
    <s v="RA.0119"/>
    <s v="Multi-Sectoral Support for Vulnerable Mobile Populations in Libya"/>
    <s v="MOVEMENT, EMERGENCY AND POST-CRISIS MIGRATION MANAGEMENT"/>
    <s v="Libya"/>
    <n v="4500368359"/>
    <m/>
    <s v="Implementing Partner"/>
    <s v="WORLD FOOD PROGRAMME"/>
    <s v="Libya"/>
    <n v="28440"/>
    <x v="0"/>
    <x v="7"/>
  </r>
  <r>
    <x v="1"/>
    <s v="SN.0183"/>
    <s v="Supply Chain Support to Humanitarian Partners Providing Assistance to Populations in Northwest Syria"/>
    <s v="MOVEMENT, EMERGENCY AND POST-CRISIS MIGRATION MANAGEMENT"/>
    <s v="Turkey"/>
    <n v="4500355434"/>
    <m/>
    <s v="Implementing Partner"/>
    <s v="MUZUN FOR HUMANITARIAN DEVELOPMENT"/>
    <s v="Turkey"/>
    <n v="69153"/>
    <x v="0"/>
    <x v="0"/>
  </r>
  <r>
    <x v="1"/>
    <s v="SN.0183"/>
    <s v="Supply Chain Support to Humanitarian Partners Providing Assistance to Populations in Northwest Syria"/>
    <s v="MOVEMENT, EMERGENCY AND POST-CRISIS MIGRATION MANAGEMENT"/>
    <s v="Turkey"/>
    <n v="4500363002"/>
    <m/>
    <s v="Implementing Partner"/>
    <s v="VIOLET ORGANIZATION"/>
    <s v="Turkey"/>
    <n v="65296"/>
    <x v="0"/>
    <x v="0"/>
  </r>
  <r>
    <x v="1"/>
    <s v="SN.0205"/>
    <s v="Emergency Humanitarian Support for Earthquake-Affected Population in Northwest Syria (NWS)"/>
    <s v="MOVEMENT, EMERGENCY AND POST-CRISIS MIGRATION MANAGEMENT"/>
    <s v="Turkey"/>
    <n v="4500356605"/>
    <m/>
    <s v="Implementing Partner"/>
    <s v="Shafak Organization"/>
    <s v="Turkey"/>
    <n v="39742"/>
    <x v="0"/>
    <x v="0"/>
  </r>
  <r>
    <x v="1"/>
    <s v="SN.0205"/>
    <s v="Emergency Humanitarian Support for Earthquake-Affected Population in Northwest Syria (NWS)"/>
    <s v="MOVEMENT, EMERGENCY AND POST-CRISIS MIGRATION MANAGEMENT"/>
    <s v="Turkey"/>
    <n v="4500355459"/>
    <m/>
    <s v="Implementing Partner"/>
    <s v="TAKAFUL AL SHAM ORGANIZATION"/>
    <s v="Turkey"/>
    <n v="30249"/>
    <x v="0"/>
    <x v="0"/>
  </r>
  <r>
    <x v="1"/>
    <s v="SN.0208"/>
    <s v="Ensuring Protection and Life-Saving Assistance to Populations Affected by Gangs Violence in Haiti"/>
    <s v="MOVEMENT, EMERGENCY AND POST-CRISIS MIGRATION MANAGEMENT"/>
    <s v="Haiti"/>
    <n v="4500352874"/>
    <m/>
    <s v="Implementing Partner"/>
    <s v="INITIATIVE CITOYENNE POUR LE DROIT"/>
    <s v="Haiti"/>
    <n v="44846"/>
    <x v="0"/>
    <x v="0"/>
  </r>
  <r>
    <x v="1"/>
    <s v="SN.0208"/>
    <s v="Ensuring Protection and Life-Saving Assistance to Populations Affected by Gangs Violence in Haiti"/>
    <s v="MOVEMENT, EMERGENCY AND POST-CRISIS MIGRATION MANAGEMENT"/>
    <s v="Haiti"/>
    <n v="4500352875"/>
    <m/>
    <s v="Implementing Partner"/>
    <s v="SOLIDARITES INTERNATIONAL"/>
    <s v="Haiti"/>
    <n v="149488"/>
    <x v="0"/>
    <x v="1"/>
  </r>
  <r>
    <x v="1"/>
    <s v="SN.0209"/>
    <s v="Provision of Immediate Lifesaving Emergency Shelter and Non-food Item (NFI) Assistance for Cyclone and Flood Affected Populations in Central and Northern Mozambique"/>
    <s v="MOVEMENT, EMERGENCY AND POST-CRISIS MIGRATION MANAGEMENT"/>
    <s v="Mozambique"/>
    <n v="4500373336"/>
    <m/>
    <s v="Implementing Partner"/>
    <s v="Accao para Desenvolvimento Social"/>
    <s v="Mozambique"/>
    <n v="161591"/>
    <x v="0"/>
    <x v="0"/>
  </r>
  <r>
    <x v="1"/>
    <s v="SN.0213"/>
    <s v="Lifesaving Assistance to Earthquake Affected Populations in Northwest Syria (NWS)"/>
    <s v="MOVEMENT, EMERGENCY AND POST-CRISIS MIGRATION MANAGEMENT"/>
    <s v="Turkey"/>
    <n v="4500355434"/>
    <m/>
    <s v="Implementing Partner"/>
    <s v="MUZUN FOR HUMANITARIAN DEVELOPMENT"/>
    <s v="Turkey"/>
    <n v="69153"/>
    <x v="0"/>
    <x v="0"/>
  </r>
  <r>
    <x v="1"/>
    <s v="SN.0216"/>
    <s v="Envelope 2: Shelter and Non-Food Items (NFI) Emergency Assistance to Vulnerable Populations in Northwest Syria"/>
    <s v="MOVEMENT, EMERGENCY AND POST-CRISIS MIGRATION MANAGEMENT"/>
    <s v="Turkey"/>
    <n v="4500355434"/>
    <m/>
    <s v="Implementing Partner"/>
    <s v="MUZUN FOR HUMANITARIAN DEVELOPMENT"/>
    <s v="Turkey"/>
    <n v="69153"/>
    <x v="0"/>
    <x v="0"/>
  </r>
  <r>
    <x v="1"/>
    <s v="SN.0217"/>
    <s v="Addressing the Immediate Humanitarian Needs of the Most Vulnerable Populations in Ukraine"/>
    <s v="MOVEMENT, EMERGENCY AND POST-CRISIS MIGRATION MANAGEMENT"/>
    <s v="Ukraine"/>
    <n v="4500357267"/>
    <m/>
    <s v="Implementing Partner"/>
    <s v="BF PRAVO NA ZAKHYST"/>
    <s v="Ukraine"/>
    <n v="192476"/>
    <x v="0"/>
    <x v="0"/>
  </r>
  <r>
    <x v="1"/>
    <s v="SN.0217"/>
    <s v="Addressing the Immediate Humanitarian Needs of the Most Vulnerable Populations in Ukraine"/>
    <s v="MOVEMENT, EMERGENCY AND POST-CRISIS MIGRATION MANAGEMENT"/>
    <s v="Ukraine"/>
    <n v="4500371643"/>
    <m/>
    <s v="Implementing Partner"/>
    <s v="CFSR"/>
    <s v="Ukraine"/>
    <n v="82802"/>
    <x v="0"/>
    <x v="0"/>
  </r>
  <r>
    <x v="1"/>
    <s v="SN.0217"/>
    <s v="Addressing the Immediate Humanitarian Needs of the Most Vulnerable Populations in Ukraine"/>
    <s v="MOVEMENT, EMERGENCY AND POST-CRISIS MIGRATION MANAGEMENT"/>
    <s v="Ukraine"/>
    <n v="4500377090"/>
    <m/>
    <s v="Implementing Partner"/>
    <s v="CO CF ANGELS OF SALVATION"/>
    <s v="Ukraine"/>
    <n v="468798"/>
    <x v="0"/>
    <x v="0"/>
  </r>
  <r>
    <x v="1"/>
    <s v="SN.0217"/>
    <s v="Addressing the Immediate Humanitarian Needs of the Most Vulnerable Populations in Ukraine"/>
    <s v="MOVEMENT, EMERGENCY AND POST-CRISIS MIGRATION MANAGEMENT"/>
    <s v="Ukraine"/>
    <n v="4500375960"/>
    <m/>
    <s v="Implementing Partner"/>
    <s v="CO CF IMPLEMENTATION OF IDEAS"/>
    <s v="Ukraine"/>
    <n v="157399"/>
    <x v="0"/>
    <x v="0"/>
  </r>
  <r>
    <x v="1"/>
    <s v="SN.0221"/>
    <s v="Post-Flood Housing Reconstruction Pilot in Pakistan"/>
    <s v="MOVEMENT, EMERGENCY AND POST-CRISIS MIGRATION MANAGEMENT"/>
    <s v="Pakistan"/>
    <n v="4500367564"/>
    <m/>
    <s v="Implementing Partner"/>
    <s v="Sustainable Economic Agriculture"/>
    <s v="Pakistan"/>
    <n v="421926"/>
    <x v="0"/>
    <x v="0"/>
  </r>
  <r>
    <x v="1"/>
    <s v="SN.0228"/>
    <s v="Winterization Support for Conflict-Affected Populations in Ukraine"/>
    <s v="MOVEMENT, EMERGENCY AND POST-CRISIS MIGRATION MANAGEMENT"/>
    <s v="Ukraine"/>
    <n v="4500377090"/>
    <m/>
    <s v="Implementing Partner"/>
    <s v="CO CF ANGELS OF SALVATION"/>
    <s v="Ukraine"/>
    <n v="468798"/>
    <x v="0"/>
    <x v="0"/>
  </r>
  <r>
    <x v="1"/>
    <s v="SN.0228"/>
    <s v="Winterization Support for Conflict-Affected Populations in Ukraine"/>
    <s v="MOVEMENT, EMERGENCY AND POST-CRISIS MIGRATION MANAGEMENT"/>
    <s v="Ukraine"/>
    <n v="4500376011"/>
    <m/>
    <s v="Implementing Partner"/>
    <s v="CO CF IMPLEMENTATION OF IDEAS"/>
    <s v="Ukraine"/>
    <n v="115033"/>
    <x v="0"/>
    <x v="0"/>
  </r>
  <r>
    <x v="2"/>
    <s v="CC.0070"/>
    <s v="Improving Site Coordination, Management Services, and Monitoring of Displacement and Multisectoral Humanitarian Needs in Communities and Sites Affected by Displacement/Return in Eastern DRC, Democratic Republic of the Congo"/>
    <s v="MOVEMENT, EMERGENCY AND POST-CRISIS MIGRATION MANAGEMENT"/>
    <s v="Congo (Dem Rep)"/>
    <n v="4500332030"/>
    <s v="IP transfers – National CSOs"/>
    <s v="Implementing Partner"/>
    <s v="PDHPES"/>
    <s v="Congo (Dem Rep)"/>
    <n v="17577"/>
    <x v="0"/>
    <x v="0"/>
  </r>
  <r>
    <x v="2"/>
    <s v="CC.0070"/>
    <s v="Improving Site Coordination, Management Services, and Monitoring of Displacement and Multisectoral Humanitarian Needs in Communities and Sites Affected by Displacement/Return in Eastern DRC, Democratic Republic of the Congo"/>
    <s v="MOVEMENT, EMERGENCY AND POST-CRISIS MIGRATION MANAGEMENT"/>
    <s v="Congo (Dem Rep)"/>
    <n v="4500332036"/>
    <s v="IP transfers – National CSOs"/>
    <s v="Implementing Partner"/>
    <s v="AHADI-RD Congo"/>
    <s v="Congo (Dem Rep)"/>
    <n v="17390"/>
    <x v="0"/>
    <x v="0"/>
  </r>
  <r>
    <x v="2"/>
    <s v="CC.0070"/>
    <s v="Improving Site Coordination, Management Services, and Monitoring of Displacement and Multisectoral Humanitarian Needs in Communities and Sites Affected by Displacement/Return in Eastern DRC, Democratic Republic of the Congo"/>
    <s v="MOVEMENT, EMERGENCY AND POST-CRISIS MIGRATION MANAGEMENT"/>
    <s v="Congo (Dem Rep)"/>
    <n v="4500332042"/>
    <s v="IP transfers – National CSOs"/>
    <s v="Implementing Partner"/>
    <s v="RESEAU D'ACTION POUR LE DVPT"/>
    <s v="Congo (Dem Rep)"/>
    <n v="16232"/>
    <x v="0"/>
    <x v="0"/>
  </r>
  <r>
    <x v="2"/>
    <s v="CC.0070"/>
    <s v="Improving Site Coordination, Management Services, and Monitoring of Displacement and Multisectoral Humanitarian Needs in Communities and Sites Affected by Displacement/Return in Eastern DRC, Democratic Republic of the Congo"/>
    <s v="MOVEMENT, EMERGENCY AND POST-CRISIS MIGRATION MANAGEMENT"/>
    <s v="Congo (Dem Rep)"/>
    <n v="4500332045"/>
    <s v="IP transfers – National CSOs"/>
    <s v="Implementing Partner"/>
    <s v="RESEAU D'ACTION POUR LE DVPT"/>
    <s v="Congo (Dem Rep)"/>
    <n v="15864"/>
    <x v="0"/>
    <x v="0"/>
  </r>
  <r>
    <x v="2"/>
    <s v="CC.0071"/>
    <s v="Emergency Response to Cyclone Mocha: Rehabilitation of Camp Structures, through Strengthened Site Development and Site Management to Improve Rohingya Refugees’ Living Conditions"/>
    <s v="MOVEMENT, EMERGENCY AND POST-CRISIS MIGRATION MANAGEMENT"/>
    <s v="Bangladesh"/>
    <n v="4500344022"/>
    <s v="PR-4200511781 Unit-SMSD Requestor-Arman Rahim CHY  Cost of DRC Contract agreement of Site Management Support in Camp 8E,8W ,10 &lt;(&gt;&amp;&lt;)&gt; 12 (01 Jul - 30 Sep 23)"/>
    <s v="Implementing Partner"/>
    <s v="Danish Refugee Council(DRC)"/>
    <s v="Denmark"/>
    <n v="58628"/>
    <x v="0"/>
    <x v="1"/>
  </r>
  <r>
    <x v="2"/>
    <s v="CC.0071"/>
    <s v="Emergency Response to Cyclone Mocha: Rehabilitation of Camp Structures, through Strengthened Site Development and Site Management to Improve Rohingya Refugees’ Living Conditions"/>
    <s v="MOVEMENT, EMERGENCY AND POST-CRISIS MIGRATION MANAGEMENT"/>
    <s v="Bangladesh"/>
    <n v="4500347926"/>
    <s v="PR-4200518725 Unit-SMSD Requestor-Arman Rahim CHY  Cost of CARE Contract agreement of Site Management Support in Camp 13 &lt;(&gt;&amp;&lt;)&gt; 16 ( 1 Jul - 30 Sep 2023)"/>
    <s v="Implementing Partner"/>
    <s v="CARE BANGLADESH"/>
    <s v="Bangladesh"/>
    <n v="29022"/>
    <x v="0"/>
    <x v="1"/>
  </r>
  <r>
    <x v="2"/>
    <s v="CC.0072"/>
    <s v="Enhancing Humanitarian Assistance to Populations Affected by Conflict and Natural Hazards in Central and Northern Mali"/>
    <s v="MOVEMENT, EMERGENCY AND POST-CRISIS MIGRATION MANAGEMENT"/>
    <s v="Mali"/>
    <n v="4500350515"/>
    <s v="Contrat d'implémentation d'enregistrement biométrique de la DNDS / Contrat CT N°AC-IOMBKO-23-031 / PR 4200533567 / Unité DTM"/>
    <s v="Implementing Partner"/>
    <s v="DIRECTION NAT.DEV. SOC"/>
    <s v="Mali"/>
    <n v="132349"/>
    <x v="0"/>
    <x v="0"/>
  </r>
  <r>
    <x v="2"/>
    <s v="DP.0970"/>
    <s v="Addressing Mixed Migration Flows in the Western Balkans"/>
    <s v="MOVEMENT, EMERGENCY AND POST-CRISIS MIGRATION MANAGEMENT"/>
    <s v="Bosnia-Herz."/>
    <n v="4500341324"/>
    <s v="Provision of services and field support to IOM Mixed Mobile Teams with Red Cross of RS for period 01 Jul 2023 - 30 Nov 2023  Contract No.:180-23-EM-BA10-NP"/>
    <s v="Implementing Partner"/>
    <s v="Red Cross of the Republic of Srpska"/>
    <s v="Bosnia-Herz."/>
    <n v="16124"/>
    <x v="0"/>
    <x v="4"/>
  </r>
  <r>
    <x v="2"/>
    <s v="DP.0970"/>
    <s v="Addressing Mixed Migration Flows in the Western Balkans"/>
    <s v="MOVEMENT, EMERGENCY AND POST-CRISIS MIGRATION MANAGEMENT"/>
    <s v="Bosnia-Herz."/>
    <n v="4500341332"/>
    <s v="Provision of services and field support to IOM Mixed Mobile Teams with Red Cross of Tuzla Canton for period 01 Jul 2023 - 30 Nov 2023  Contract No.: 181-23-EM-BA10-NP"/>
    <s v="Implementing Partner"/>
    <s v="Crveni kriz Tuzlanskog kantona"/>
    <s v="Bosnia-Herz."/>
    <n v="10124"/>
    <x v="0"/>
    <x v="4"/>
  </r>
  <r>
    <x v="2"/>
    <s v="DP.2051"/>
    <s v="Individual Measure to Strengthen the Response Capacity to Manage Migration Flows in Bosnia and Herzegovina"/>
    <s v="MOVEMENT, EMERGENCY AND POST-CRISIS MIGRATION MANAGEMENT"/>
    <s v="Bosnia-Herz."/>
    <n v="4500342660"/>
    <s v="Individual measure to strengthen the response capacity to manage migration flows in Bosnia and Herzegovina for the period of 01 April to 31 December 2023"/>
    <s v="Implementing Partner"/>
    <s v="Danish Refugee Council (DRC)"/>
    <s v="Bosnia-Herz."/>
    <n v="819558"/>
    <x v="0"/>
    <x v="1"/>
  </r>
  <r>
    <x v="2"/>
    <s v="DP.2051"/>
    <s v="Individual Measure to Strengthen the Response Capacity to Manage Migration Flows in Bosnia and Herzegovina"/>
    <s v="MOVEMENT, EMERGENCY AND POST-CRISIS MIGRATION MANAGEMENT"/>
    <s v="Bosnia-Herz."/>
    <n v="4500344593"/>
    <s v="This Agreement refers to the activities that will be carried out within the project entitled ‘’Individual measure to strengthen the response capacity to manage migration flows in Bosnia and Herzegovina’’ (hereinafter referred to as the ‘’Project’’), which is financed by the European Union (‘’Donor’’) in accordance with the Financing Agreement No. IPA/2022/435-616 (hereinafter ‘’EU Agreement’’).  The general goal of the Project is to provide support to the institutions of Bosnia and Herzegovina (BiH) in the areas of migration, reception and border management in the context of the number of migrants, asylum seekers and refugees who have been passing through the country since the end of 2017.  This long-term approach is in accordance with the Commission’s Opinion on BiH’s application for membership in the European Union, Key Priority No. 8, which calls for ‘’ensuring effective coordination, at all levels, of border management capacity and migration management capacity, as well as ensuring the functioning of the asylum system.’’  The activities proposed by IOM under the Donor-funded Project are designed to respond to the basic needs of migrants, depending on the type of assistance, by providing support to government institutions to maintain or improve their response to the refugee and migrant situation, by providing assistance in state-run facilities, in temporary reception centers, and beyond.  Goals will be achieved by strengthening the role of the Ministy in coordination and management of migration, in accordance with the legal competencies of the Ministry.  PIA ref. no. 120-23-EM-BA10-NP"/>
    <s v="Implementing Partner"/>
    <s v="Ministry of Security BiH"/>
    <s v="Bosnia-Herz."/>
    <n v="52949"/>
    <x v="0"/>
    <x v="9"/>
  </r>
  <r>
    <x v="2"/>
    <s v="DP.2254"/>
    <s v="Expanding Burundi’s Humanitarian, Early Recovery and Emergency Response for Vulnerable Displaced Populations"/>
    <s v="MOVEMENT, EMERGENCY AND POST-CRISIS MIGRATION MANAGEMENT"/>
    <s v="Burundi"/>
    <n v="4500345198"/>
    <s v="Fees for the Implementing Partner in data collection by the Burundian Red Cross PR # 4200534412"/>
    <s v="Implementing Partner"/>
    <s v="CROIX ROUGE DU BURUNDI"/>
    <s v="Burundi"/>
    <n v="20896"/>
    <x v="0"/>
    <x v="4"/>
  </r>
  <r>
    <x v="2"/>
    <s v="DP.2305"/>
    <s v="Improved Sanitation and Waste Management for Rohingya Camps and Host Communities in Bangladesh"/>
    <s v="MOVEMENT, EMERGENCY AND POST-CRISIS MIGRATION MANAGEMENT"/>
    <s v="Bangladesh"/>
    <n v="4500341929"/>
    <s v="PR-4200433134 Requestor-Mubashara TUMPA  PR-4200529480 Requestor-Moury RAHMAN  Unit-WASH  IP contract agreement with SHED -Camp 13 (Apr-Sep'23)"/>
    <s v="Implementing Partner"/>
    <s v="Society for Health Extension &amp;Dev.("/>
    <s v="Bangladesh"/>
    <n v="150563"/>
    <x v="0"/>
    <x v="3"/>
  </r>
  <r>
    <x v="2"/>
    <s v="DP.2412"/>
    <s v="Multi-Sectoral Humanitarian Assistance for Displaced and Mobile Populations in Sudan"/>
    <s v="MOVEMENT, EMERGENCY AND POST-CRISIS MIGRATION MANAGEMENT"/>
    <s v="Sudan"/>
    <n v="4500330024"/>
    <s v="IP transfers – National CSOs"/>
    <s v="Implementing Partner"/>
    <s v="Sudanese Red Crecent Socciety"/>
    <s v="Sudan"/>
    <n v="4859"/>
    <x v="0"/>
    <x v="4"/>
  </r>
  <r>
    <x v="2"/>
    <s v="DP.2413"/>
    <s v="Support to Displaced Afghans in Pakistan, Iran, Central Asia, and Afghanistan"/>
    <s v="MOVEMENT, EMERGENCY AND POST-CRISIS MIGRATION MANAGEMENT"/>
    <s v="Pakistan"/>
    <n v="4500344062"/>
    <s v="PR # 4200529075 Conducting community outreach to raise awareness of SRH and MHM, Strengthen and enhance awareness, knowledge and understanding among the Afghan population on GBV and in addressing root causes."/>
    <s v="Implementing Partner"/>
    <s v="Blue Veins"/>
    <s v="Pakistan"/>
    <n v="279655"/>
    <x v="0"/>
    <x v="3"/>
  </r>
  <r>
    <x v="2"/>
    <s v="DP.2470"/>
    <s v="IOM Flash Appeal for Ukraine and Neighbouring Countries 2022 - Norway"/>
    <s v="MOVEMENT, EMERGENCY AND POST-CRISIS MIGRATION MANAGEMENT"/>
    <s v="Moldova (Rep)"/>
    <n v="4500328416"/>
    <s v="Protect Women GBV Emergency_Apr-Aug'23 MD10-121/23"/>
    <s v="Implementing Partner"/>
    <s v="AO BIAZ GUL"/>
    <s v="Moldova (Rep)"/>
    <n v="24920"/>
    <x v="0"/>
    <x v="3"/>
  </r>
  <r>
    <x v="2"/>
    <s v="DP.2470"/>
    <s v="IOM Flash Appeal for Ukraine and Neighbouring Countries 2022 - Norway"/>
    <s v="MOVEMENT, EMERGENCY AND POST-CRISIS MIGRATION MANAGEMENT"/>
    <s v="Moldova (Rep)"/>
    <n v="4500331215"/>
    <s v="Support refugees disabilities_Feb-Nov'23 IP Agreement &quot;Needs-based support for refugees with disabilities from Ukraine in Moldova&quot;"/>
    <s v="Implementing Partner"/>
    <s v="AO ASOCIATIA MOTIVATIE DIN MD"/>
    <s v="Moldova (Rep)"/>
    <n v="102597"/>
    <x v="0"/>
    <x v="0"/>
  </r>
  <r>
    <x v="2"/>
    <s v="DP.2470"/>
    <s v="IOM Flash Appeal for Ukraine and Neighbouring Countries 2022 - Norway"/>
    <s v="MOVEMENT, EMERGENCY AND POST-CRISIS MIGRATION MANAGEMENT"/>
    <s v="Moldova (Rep)"/>
    <n v="4500332238"/>
    <s v="Protection Assistance Refugees"/>
    <s v="Implementing Partner"/>
    <s v="AO INTERACTIUNE"/>
    <s v="Moldova (Rep)"/>
    <n v="11311"/>
    <x v="0"/>
    <x v="0"/>
  </r>
  <r>
    <x v="2"/>
    <s v="DP.2470"/>
    <s v="IOM Flash Appeal for Ukraine and Neighbouring Countries 2022 - Norway"/>
    <s v="MOVEMENT, EMERGENCY AND POST-CRISIS MIGRATION MANAGEMENT"/>
    <s v="Moldova (Rep)"/>
    <n v="4500332911"/>
    <s v="STRENGTHEN CAPACITIES PROTECTION/INCLUSION_JUL-NOV'23"/>
    <s v="Implementing Partner"/>
    <s v="AO CNFACEM Centrul National de"/>
    <s v="Moldova (Rep)"/>
    <n v="10227"/>
    <x v="0"/>
    <x v="0"/>
  </r>
  <r>
    <x v="2"/>
    <s v="DP.2470"/>
    <s v="IOM Flash Appeal for Ukraine and Neighbouring Countries 2022 - Norway"/>
    <s v="MOVEMENT, EMERGENCY AND POST-CRISIS MIGRATION MANAGEMENT"/>
    <s v="Moldova (Rep)"/>
    <n v="4500334631"/>
    <s v="A Ray of Light_May-Nov'23"/>
    <s v="Implementing Partner"/>
    <s v="AO PAS CU PAS REGIUNEA SUD"/>
    <s v="Moldova (Rep)"/>
    <n v="6476"/>
    <x v="0"/>
    <x v="0"/>
  </r>
  <r>
    <x v="2"/>
    <s v="DP.2470"/>
    <s v="IOM Flash Appeal for Ukraine and Neighbouring Countries 2022 - Norway"/>
    <s v="MOVEMENT, EMERGENCY AND POST-CRISIS MIGRATION MANAGEMENT"/>
    <s v="Moldova (Rep)"/>
    <n v="4500335022"/>
    <s v="Assistance affected population Transnistria (Apr-Oct'23)"/>
    <s v="Implementing Partner"/>
    <s v="NGO JENSKIE INITSIATIVY"/>
    <s v="Moldova (Rep)"/>
    <n v="9350"/>
    <x v="0"/>
    <x v="0"/>
  </r>
  <r>
    <x v="2"/>
    <s v="DP.2470"/>
    <s v="IOM Flash Appeal for Ukraine and Neighbouring Countries 2022 - Norway"/>
    <s v="MOVEMENT, EMERGENCY AND POST-CRISIS MIGRATION MANAGEMENT"/>
    <s v="Moldova (Rep)"/>
    <n v="4500341241"/>
    <s v="PROTECTION ASSISTANCE REFUGEES_JUN-SEP'23"/>
    <s v="Implementing Partner"/>
    <s v="AO STIMUL"/>
    <s v="Moldova (Rep)"/>
    <n v="5612"/>
    <x v="0"/>
    <x v="0"/>
  </r>
  <r>
    <x v="2"/>
    <s v="DP.2499"/>
    <s v="Direct Life-Saving and Protection Assistance for Conflict-Affected Populations in Eastern Democratic Republic of the Congo"/>
    <s v="MOVEMENT, EMERGENCY AND POST-CRISIS MIGRATION MANAGEMENT"/>
    <s v="Congo (Dem Rep)"/>
    <n v="4500332030"/>
    <s v="IP transfers – National CSOs"/>
    <s v="Implementing Partner"/>
    <s v="PDHPES"/>
    <s v="Congo (Dem Rep)"/>
    <n v="99603"/>
    <x v="0"/>
    <x v="0"/>
  </r>
  <r>
    <x v="2"/>
    <s v="DP.2499"/>
    <s v="Direct Life-Saving and Protection Assistance for Conflict-Affected Populations in Eastern Democratic Republic of the Congo"/>
    <s v="MOVEMENT, EMERGENCY AND POST-CRISIS MIGRATION MANAGEMENT"/>
    <s v="Congo (Dem Rep)"/>
    <n v="4500332036"/>
    <s v="IP transfers – National CSOs"/>
    <s v="Implementing Partner"/>
    <s v="AHADI-RD Congo"/>
    <s v="Congo (Dem Rep)"/>
    <n v="98541"/>
    <x v="0"/>
    <x v="0"/>
  </r>
  <r>
    <x v="2"/>
    <s v="DP.2499"/>
    <s v="Direct Life-Saving and Protection Assistance for Conflict-Affected Populations in Eastern Democratic Republic of the Congo"/>
    <s v="MOVEMENT, EMERGENCY AND POST-CRISIS MIGRATION MANAGEMENT"/>
    <s v="Congo (Dem Rep)"/>
    <n v="4500332042"/>
    <s v="IP transfers – National CSOs"/>
    <s v="Implementing Partner"/>
    <s v="RESEAU D'ACTION POUR LE DVPT"/>
    <s v="Congo (Dem Rep)"/>
    <n v="91981"/>
    <x v="0"/>
    <x v="0"/>
  </r>
  <r>
    <x v="2"/>
    <s v="DP.2499"/>
    <s v="Direct Life-Saving and Protection Assistance for Conflict-Affected Populations in Eastern Democratic Republic of the Congo"/>
    <s v="MOVEMENT, EMERGENCY AND POST-CRISIS MIGRATION MANAGEMENT"/>
    <s v="Congo (Dem Rep)"/>
    <n v="4500332045"/>
    <s v="IP transfers – National CSOs"/>
    <s v="Implementing Partner"/>
    <s v="RESEAU D'ACTION POUR LE DVPT"/>
    <s v="Congo (Dem Rep)"/>
    <n v="89896"/>
    <x v="0"/>
    <x v="0"/>
  </r>
  <r>
    <x v="2"/>
    <s v="DP.2530"/>
    <s v="Assistance for Conflict-Affected People in Romania"/>
    <s v="MOVEMENT, EMERGENCY AND POST-CRISIS MIGRATION MANAGEMENT"/>
    <s v="Romania"/>
    <n v="4500351097"/>
    <s v="IP transfers – National CSOs"/>
    <s v="Implementing Partner"/>
    <s v="AIDROM"/>
    <s v="Romania"/>
    <n v="1107"/>
    <x v="0"/>
    <x v="0"/>
  </r>
  <r>
    <x v="2"/>
    <s v="DP.2530"/>
    <s v="Assistance for Conflict-Affected People in Romania"/>
    <s v="MOVEMENT, EMERGENCY AND POST-CRISIS MIGRATION MANAGEMENT"/>
    <s v="Romania"/>
    <n v="4500351214"/>
    <s v="IP transfers – National CSOs"/>
    <s v="Implementing Partner"/>
    <s v="GLOBAL HELP CRAIOVA"/>
    <s v="Romania"/>
    <n v="313"/>
    <x v="0"/>
    <x v="3"/>
  </r>
  <r>
    <x v="2"/>
    <s v="DP.2530"/>
    <s v="Assistance for Conflict-Affected People in Romania"/>
    <s v="MOVEMENT, EMERGENCY AND POST-CRISIS MIGRATION MANAGEMENT"/>
    <s v="Romania"/>
    <n v="4500351869"/>
    <s v="IP transfers – National CSOs"/>
    <s v="Implementing Partner"/>
    <s v="AIDROM"/>
    <s v="Romania"/>
    <n v="446"/>
    <x v="0"/>
    <x v="0"/>
  </r>
  <r>
    <x v="2"/>
    <s v="DP.2537"/>
    <s v="Protecting Vulnerable Migrants and Stabilizing Communities in Libya /Phase III"/>
    <s v="MOVEMENT, EMERGENCY AND POST-CRISIS MIGRATION MANAGEMENT"/>
    <s v="Libya"/>
    <n v="4500334019"/>
    <s v="PRF Details: 4200489429 approved on 21/June/2023 Contract Tracking/LEG Advisory Code: LBY/IMPL/KE0078/2023  Program Name: CS"/>
    <s v="Implementing Partner"/>
    <s v="FAB LAB Libya"/>
    <s v="Libya"/>
    <n v="71646"/>
    <x v="0"/>
    <x v="0"/>
  </r>
  <r>
    <x v="2"/>
    <s v="DP.2537"/>
    <s v="Protecting Vulnerable Migrants and Stabilizing Communities in Libya /Phase III"/>
    <s v="MOVEMENT, EMERGENCY AND POST-CRISIS MIGRATION MANAGEMENT"/>
    <s v="Libya"/>
    <n v="4500336517"/>
    <s v="PRF Details: 4200489438 approved on 21/June/2023 Contract Tracking/LEG Advisory Code: LBY/IMPL/KE0081/2023  Program Name: CS"/>
    <s v="Implementing Partner"/>
    <s v="Future Makers Society"/>
    <s v="Libya"/>
    <n v="66504"/>
    <x v="0"/>
    <x v="0"/>
  </r>
  <r>
    <x v="2"/>
    <s v="DP.2537"/>
    <s v="Protecting Vulnerable Migrants and Stabilizing Communities in Libya /Phase III"/>
    <s v="MOVEMENT, EMERGENCY AND POST-CRISIS MIGRATION MANAGEMENT"/>
    <s v="Libya"/>
    <n v="4500336525"/>
    <s v="IP transfers – National CSOs"/>
    <s v="Implementing Partner"/>
    <s v="Youth and Giving Organization"/>
    <s v="Tunisia"/>
    <n v="58622"/>
    <x v="0"/>
    <x v="8"/>
  </r>
  <r>
    <x v="2"/>
    <s v="DP.2537"/>
    <s v="Protecting Vulnerable Migrants and Stabilizing Communities in Libya /Phase III"/>
    <s v="MOVEMENT, EMERGENCY AND POST-CRISIS MIGRATION MANAGEMENT"/>
    <s v="Libya"/>
    <n v="4500337349"/>
    <s v="PRF Details: 4200489438 approved on 21/June/2023 Contract Tracking/LEG Advisory Code: LBY/IMPL/KE0080/2023  Program Name: CS"/>
    <s v="Implementing Partner"/>
    <s v="ENGINEERING ORGANIZATION OF DEVELOP"/>
    <s v="Libya"/>
    <n v="66588"/>
    <x v="0"/>
    <x v="0"/>
  </r>
  <r>
    <x v="2"/>
    <s v="DP.2545"/>
    <s v="Rapid Response Fund for Humanitarian Emergencies in Sudan"/>
    <s v="MOVEMENT, EMERGENCY AND POST-CRISIS MIGRATION MANAGEMENT"/>
    <s v="Sudan"/>
    <n v="4500334410"/>
    <s v="IP transfers – National CSOs"/>
    <s v="Implementing Partner"/>
    <s v="SOS Sahel Sudan"/>
    <s v="Sudan"/>
    <n v="340710"/>
    <x v="0"/>
    <x v="6"/>
  </r>
  <r>
    <x v="2"/>
    <s v="DP.2545"/>
    <s v="Rapid Response Fund for Humanitarian Emergencies in Sudan"/>
    <s v="MOVEMENT, EMERGENCY AND POST-CRISIS MIGRATION MANAGEMENT"/>
    <s v="Sudan"/>
    <n v="4500335427"/>
    <s v="IP transfers – National CSOs"/>
    <s v="Implementing Partner"/>
    <s v="Samaritan Aid Organization"/>
    <s v="Sudan"/>
    <n v="241760"/>
    <x v="0"/>
    <x v="0"/>
  </r>
  <r>
    <x v="2"/>
    <s v="DP.2545"/>
    <s v="Rapid Response Fund for Humanitarian Emergencies in Sudan"/>
    <s v="MOVEMENT, EMERGENCY AND POST-CRISIS MIGRATION MANAGEMENT"/>
    <s v="Sudan"/>
    <n v="4500336591"/>
    <s v="PR:4200431861"/>
    <s v="Implementing Partner"/>
    <s v="United Peace Organization"/>
    <s v="Sudan"/>
    <n v="250000"/>
    <x v="0"/>
    <x v="0"/>
  </r>
  <r>
    <x v="2"/>
    <s v="DP.2545"/>
    <s v="Rapid Response Fund for Humanitarian Emergencies in Sudan"/>
    <s v="MOVEMENT, EMERGENCY AND POST-CRISIS MIGRATION MANAGEMENT"/>
    <s v="Sudan"/>
    <n v="4500341803"/>
    <s v="PR No.4200498204"/>
    <s v="Implementing Partner"/>
    <s v="HUMAN APPEAL"/>
    <s v="Sudan"/>
    <n v="308363"/>
    <x v="0"/>
    <x v="1"/>
  </r>
  <r>
    <x v="2"/>
    <s v="DP.2545"/>
    <s v="Rapid Response Fund for Humanitarian Emergencies in Sudan"/>
    <s v="MOVEMENT, EMERGENCY AND POST-CRISIS MIGRATION MANAGEMENT"/>
    <s v="Sudan"/>
    <n v="4500345918"/>
    <s v="PR No:4200473114"/>
    <s v="Implementing Partner"/>
    <s v="Premiere Urgence Internationale"/>
    <s v="Sudan"/>
    <n v="250000"/>
    <x v="0"/>
    <x v="1"/>
  </r>
  <r>
    <x v="2"/>
    <s v="DP.2545"/>
    <s v="Rapid Response Fund for Humanitarian Emergencies in Sudan"/>
    <s v="MOVEMENT, EMERGENCY AND POST-CRISIS MIGRATION MANAGEMENT"/>
    <s v="Sudan"/>
    <n v="4500346050"/>
    <s v="PR.No.4200504996"/>
    <s v="Implementing Partner"/>
    <s v="NADA ELAZHAR FOR DISASTER PREVENTIO"/>
    <s v="Sudan"/>
    <n v="149830"/>
    <x v="0"/>
    <x v="0"/>
  </r>
  <r>
    <x v="2"/>
    <s v="DP.2557"/>
    <s v="Supporting Conflict Affected Communities in Cameroon’s Far-North and North-West, South-West Regions to Recover through Resilience Building and Reconciliation for the Humanitarian Development Peace Nexus"/>
    <s v="MOVEMENT, EMERGENCY AND POST-CRISIS MIGRATION MANAGEMENT"/>
    <s v="Cameroon"/>
    <n v="4500336447"/>
    <s v="Direct assistance to implementation partners for community projects"/>
    <s v="Implementing Partner"/>
    <s v="ASSOCIATION POUR LA PROMOTION ET LA"/>
    <s v="Cameroon"/>
    <n v="67497"/>
    <x v="0"/>
    <x v="0"/>
  </r>
  <r>
    <x v="2"/>
    <s v="DP.2557"/>
    <s v="Supporting Conflict Affected Communities in Cameroon’s Far-North and North-West, South-West Regions to Recover through Resilience Building and Reconciliation for the Humanitarian Development Peace Nexus"/>
    <s v="MOVEMENT, EMERGENCY AND POST-CRISIS MIGRATION MANAGEMENT"/>
    <s v="Cameroon"/>
    <n v="4500336506"/>
    <s v="IP transfers – National CSOs"/>
    <s v="Implementing Partner"/>
    <s v="CARDEN"/>
    <s v="Cameroon"/>
    <n v="26934"/>
    <x v="0"/>
    <x v="10"/>
  </r>
  <r>
    <x v="2"/>
    <s v="DP.2557"/>
    <s v="Supporting Conflict Affected Communities in Cameroon’s Far-North and North-West, South-West Regions to Recover through Resilience Building and Reconciliation for the Humanitarian Development Peace Nexus"/>
    <s v="MOVEMENT, EMERGENCY AND POST-CRISIS MIGRATION MANAGEMENT"/>
    <s v="Cameroon"/>
    <n v="4500340425"/>
    <s v="Services for the implementation of the NFI Shelter project activities of the Japons and Echo projects in the Far North region"/>
    <s v="Implementing Partner"/>
    <s v="ASSOCIATION DES ANIMATEURS ET ENCAD"/>
    <s v="Cameroon"/>
    <n v="160541"/>
    <x v="0"/>
    <x v="0"/>
  </r>
  <r>
    <x v="2"/>
    <s v="DP.2560"/>
    <s v="Supporting the Establishment of a Humanitarian Programme for Africa"/>
    <s v="MOVEMENT, EMERGENCY AND POST-CRISIS MIGRATION MANAGEMENT"/>
    <s v="Ethiopia"/>
    <n v="4500335267"/>
    <s v="INTERNAL PO   PIA REFERANCE IOM OFFICE SPESFIC REF NO - ETH/ADD/JULY/1323/2023 IOM GRANT NUMBER SNFI0153 IOM PROJECT CODE /PRIMA CODE DP2560/CH10P1126  PO is edited following 1st Amendment Leg Referance IOM spesfic Ref No  ETH/AA/SEPTEMBER/580/2023 RRF GRANT NUMBER SNFI0153 IOM PROJECT CODE DP2560CH10P1126"/>
    <s v="Implementing Partner"/>
    <s v="New Millennium Women Empowerment Or"/>
    <s v="Ethiopia"/>
    <n v="116037"/>
    <x v="0"/>
    <x v="0"/>
  </r>
  <r>
    <x v="2"/>
    <s v="DP.2565"/>
    <s v="Multi-Sectoral Support for Conflict Affected Populations, Specifically People Living with Disabilities, in East and Southern Ukraine"/>
    <s v="MOVEMENT, EMERGENCY AND POST-CRISIS MIGRATION MANAGEMENT"/>
    <s v="Ukraine"/>
    <n v="4500340766"/>
    <s v="PIA_UA1-2023-12619 dd.04/04/2023"/>
    <s v="Implementing Partner"/>
    <s v="Ukrainian Red Cross Society"/>
    <s v="Ukraine"/>
    <n v="551181"/>
    <x v="0"/>
    <x v="4"/>
  </r>
  <r>
    <x v="2"/>
    <s v="DP.2565"/>
    <s v="Multi-Sectoral Support for Conflict Affected Populations, Specifically People Living with Disabilities, in East and Southern Ukraine"/>
    <s v="MOVEMENT, EMERGENCY AND POST-CRISIS MIGRATION MANAGEMENT"/>
    <s v="Ukraine"/>
    <n v="4500345506"/>
    <s v="UA1-2023-10130.3 _4th&lt;(&gt;&amp;&lt;)&gt;5th installments for the activities implemented by IP of Artists &quot;Pectoral&quot;UA"/>
    <s v="Implementing Partner"/>
    <s v="HO KHUDOZHNYKIV PEKTORAL"/>
    <s v="Ukraine"/>
    <n v="18183"/>
    <x v="0"/>
    <x v="0"/>
  </r>
  <r>
    <x v="2"/>
    <s v="DP.2571"/>
    <s v="Providing Protection and Humanitarian Assistance to Vulnerable Venezuelans in Border Areas in Venezuela and Brazil"/>
    <s v="MOVEMENT, EMERGENCY AND POST-CRISIS MIGRATION MANAGEMENT"/>
    <s v="Venezuela (BR)"/>
    <n v="4500342746"/>
    <s v="IP.2023.033 - ACUERDO DE IMPLEMENTACION DE PROYECTO CARITAS DE VENEZUELA (CORO) IOMVE/CONTR/2023/054 &quot;Provision de asistencia y proteccion a personas en contexto de movilidad en condiciones de vulnerabilidad en las regiones fronterizas de Venezuela y Brasil (Extension)&quot;"/>
    <s v="Implementing Partner"/>
    <s v="ASOC C CARITAS DE VENEZUELA"/>
    <s v="Venezuela (BR)"/>
    <n v="13705"/>
    <x v="0"/>
    <x v="6"/>
  </r>
  <r>
    <x v="2"/>
    <s v="DP.2571"/>
    <s v="Providing Protection and Humanitarian Assistance to Vulnerable Venezuelans in Border Areas in Venezuela and Brazil"/>
    <s v="MOVEMENT, EMERGENCY AND POST-CRISIS MIGRATION MANAGEMENT"/>
    <s v="Venezuela (BR)"/>
    <n v="4500342748"/>
    <s v="IP.2023.029 - IP Ext Caritas MBO ECHO ACUERDO DE IMPLEMENTACION DE PROYECTO MARACAIBO &quot;Provision de asistencia y proteccion a personas en contexto de movilidad en condiciones de vulnerabilidad en las regiones fronterizas de Venezuela Extension&quot; IOMVE/CONT/2023/057"/>
    <s v="Implementing Partner"/>
    <s v="ASOC C CARITAS DE VENEZUELA"/>
    <s v="Venezuela (BR)"/>
    <n v="25124"/>
    <x v="0"/>
    <x v="6"/>
  </r>
  <r>
    <x v="2"/>
    <s v="DP.2571"/>
    <s v="Providing Protection and Humanitarian Assistance to Vulnerable Venezuelans in Border Areas in Venezuela and Brazil"/>
    <s v="MOVEMENT, EMERGENCY AND POST-CRISIS MIGRATION MANAGEMENT"/>
    <s v="Venezuela (BR)"/>
    <n v="4500342753"/>
    <s v="IP.2023.030 - IP Ext Cruz roja ZULIA ECHO &quot;Provision de asistencia y proteccion a personas en contexto de movilidad en condiciones de vulnerabilidad en las regiones fronterizas de Venezuela Extension&quot; IOMVE/CONTR/2023/056"/>
    <s v="Implementing Partner"/>
    <s v="Cruz Roja Venezolana Seccional Zuli"/>
    <s v="Venezuela (BR)"/>
    <n v="12413"/>
    <x v="0"/>
    <x v="4"/>
  </r>
  <r>
    <x v="2"/>
    <s v="DP.2571"/>
    <s v="Providing Protection and Humanitarian Assistance to Vulnerable Venezuelans in Border Areas in Venezuela and Brazil"/>
    <s v="MOVEMENT, EMERGENCY AND POST-CRISIS MIGRATION MANAGEMENT"/>
    <s v="Venezuela (BR)"/>
    <n v="4500342755"/>
    <s v="IP.2023.031 - IP Ext Diocesis SC ECHO &quot;Provision de asistencia y proteccion a personas en contexto de movilidad en condiciones de vulnerabilidad en las regiones fronterizas de Venezuela- Extensión&quot; IOMVE/CONT/2023/060"/>
    <s v="Implementing Partner"/>
    <s v="DIOCESIS DE SAN CRISTOBAL"/>
    <s v="Venezuela (BR)"/>
    <n v="209116"/>
    <x v="0"/>
    <x v="5"/>
  </r>
  <r>
    <x v="2"/>
    <s v="DP.2571"/>
    <s v="Providing Protection and Humanitarian Assistance to Vulnerable Venezuelans in Border Areas in Venezuela and Brazil"/>
    <s v="MOVEMENT, EMERGENCY AND POST-CRISIS MIGRATION MANAGEMENT"/>
    <s v="Venezuela (BR)"/>
    <n v="4500342760"/>
    <s v="IP.2023.032 - IP Ext Caritas Carupano ECHO ACUERDO DE IMPLEMENTACION DE PROYECTO CARUPANO &quot;Provision de asistencia y proteccion a personas en contexto de movilidad en condiciones de vulnerabilidad en las regiones fronterizas de Venezuela - Extensión&quot; IOMVE/CONT/2023/055"/>
    <s v="Implementing Partner"/>
    <s v="ASOC C CARITAS DE VENEZUELA"/>
    <s v="Venezuela (BR)"/>
    <n v="14649"/>
    <x v="0"/>
    <x v="6"/>
  </r>
  <r>
    <x v="2"/>
    <s v="DP.2571"/>
    <s v="Providing Protection and Humanitarian Assistance to Vulnerable Venezuelans in Border Areas in Venezuela and Brazil"/>
    <s v="MOVEMENT, EMERGENCY AND POST-CRISIS MIGRATION MANAGEMENT"/>
    <s v="Venezuela (BR)"/>
    <n v="4500342766"/>
    <s v="IP.2023.035 - IP Ext ODISEF ECHO IOMVE/CONTR/2023/059 ACUERDO DE IMPLEMENTACION DE PROYECTO CON LA ASOCIACION CIVIL OBSERVATORIO DE INVESTIGACIONES SOCIALES EN FRONTERA (ODISEF) &quot;Provision de asistencia y proteccion a personas en contexto de movilidad en condiciones de vulnerabilidad en las regiones fronterizas de Venezuela y Brasi (Extension)&quot;"/>
    <s v="Implementing Partner"/>
    <s v="ASOCIACION CIVIL OBSERVATORIO DE"/>
    <s v="Venezuela (BR)"/>
    <n v="18404"/>
    <x v="0"/>
    <x v="0"/>
  </r>
  <r>
    <x v="2"/>
    <s v="DP.2571"/>
    <s v="Providing Protection and Humanitarian Assistance to Vulnerable Venezuelans in Border Areas in Venezuela and Brazil"/>
    <s v="MOVEMENT, EMERGENCY AND POST-CRISIS MIGRATION MANAGEMENT"/>
    <s v="Venezuela (BR)"/>
    <n v="4500342773"/>
    <s v="IP.2023.036 - IP Ext Caritas Guadualito ECHO IOMVE/CONTR/2023/058 ACUERDO DE IMPLEMENTACION DE PROYECTO CARITAS GUASDUALITO &quot;Provision de asistencia y proteccion a personas en contexto de movilidad en condiciones de vulnerabilidad en las regiones fronterizas de Venezuela y Brasil (Extension)&quot;"/>
    <s v="Implementing Partner"/>
    <s v="ASOC. CIVIL CARITAS GUASDUALITO"/>
    <s v="Venezuela (BR)"/>
    <n v="32789"/>
    <x v="0"/>
    <x v="6"/>
  </r>
  <r>
    <x v="2"/>
    <s v="DP.2571"/>
    <s v="Providing Protection and Humanitarian Assistance to Vulnerable Venezuelans in Border Areas in Venezuela and Brazil"/>
    <s v="MOVEMENT, EMERGENCY AND POST-CRISIS MIGRATION MANAGEMENT"/>
    <s v="Venezuela (BR)"/>
    <n v="4500342780"/>
    <s v="IP.2023.037 - IP Ext Cruz roja Guadualito ECHO IOMVE/CONTR/2023/053 ACUERDO DE IMPLEMENTACON DE PROYECTO SUBCOMITE GUASDUALITO SECCIONAL APURE DE LA CRUZ ROJA VENEZOLANA &quot;Provision de asistencia y proteccion a personas en contexto de movilidad en condiciones de vulnerabilidad en las regiones fronterizas de Venezuela y Brasil (Extension)&quot;"/>
    <s v="Implementing Partner"/>
    <s v="Cruz Roja Sub Comite Guasdualito"/>
    <s v="Venezuela (BR)"/>
    <n v="7932"/>
    <x v="0"/>
    <x v="4"/>
  </r>
  <r>
    <x v="2"/>
    <s v="DP.2571"/>
    <s v="Providing Protection and Humanitarian Assistance to Vulnerable Venezuelans in Border Areas in Venezuela and Brazil"/>
    <s v="MOVEMENT, EMERGENCY AND POST-CRISIS MIGRATION MANAGEMENT"/>
    <s v="Venezuela (BR)"/>
    <n v="4500342785"/>
    <s v="IP.2023.034 - IP Maniapure ECHO ACUERDO DE IMPLEMENTACIÓN DE PROYECTO Fundación Proyecto Maniapure &quot;Provisión de asistencia y protección a personas en contexto de movilidad en condiciones de vulnerabilidad en las regiones fronterizas de Venezuela y Brasil ”"/>
    <s v="Implementing Partner"/>
    <s v="FUNDACION PROYECTO MANIAPURE"/>
    <s v="Venezuela (BR)"/>
    <n v="4013"/>
    <x v="0"/>
    <x v="0"/>
  </r>
  <r>
    <x v="2"/>
    <s v="DP.2573"/>
    <s v="​​Addressing the Needs of Vulnerable Migrants within the Humanitarian, Development and Peace Nexus in Thailand"/>
    <s v="MOVEMENT, EMERGENCY AND POST-CRISIS MIGRATION MANAGEMENT"/>
    <s v="Thailand"/>
    <n v="4500331979"/>
    <s v="Project implementing of Small grants programme for localized safe migration, labour rights, protection and assistance services targeting Myanmar migrants in Myanmar and Thailand from 1 July 2023 to 31 January 2024 in the maximum amount of 1,664,790.00"/>
    <s v="Implementing Partner"/>
    <s v="Human Rights and Development"/>
    <s v="Thailand"/>
    <n v="47201"/>
    <x v="0"/>
    <x v="0"/>
  </r>
  <r>
    <x v="2"/>
    <s v="DP.2573"/>
    <s v="​​Addressing the Needs of Vulnerable Migrants within the Humanitarian, Development and Peace Nexus in Thailand"/>
    <s v="MOVEMENT, EMERGENCY AND POST-CRISIS MIGRATION MANAGEMENT"/>
    <s v="Thailand"/>
    <n v="4500331980"/>
    <s v="Implementing Partner in implementing Small grants programme for localized safe migration, labour rights, protection and assistance s ervices targeting Myanmar migrants in Myanmar and Thailand (the &quot;Project&quot;) from 1 July 2023 to 31 December 2023 in the maximum amount of 1,286,810.00"/>
    <s v="Implementing Partner"/>
    <s v="MAP Foundation"/>
    <s v="Thailand"/>
    <n v="36485"/>
    <x v="0"/>
    <x v="3"/>
  </r>
  <r>
    <x v="2"/>
    <s v="DP.2575"/>
    <s v="Providing Humanitarian Assistance among the Most Drought-Affected Communities and Support Their Resilience Building"/>
    <s v="MOVEMENT, EMERGENCY AND POST-CRISIS MIGRATION MANAGEMENT"/>
    <s v="Kenya"/>
    <n v="4500332541"/>
    <s v="IP transfers – International CSOs"/>
    <s v="Implementing Partner"/>
    <s v="Accept International"/>
    <s v="Kenya"/>
    <n v="106235"/>
    <x v="0"/>
    <x v="1"/>
  </r>
  <r>
    <x v="2"/>
    <s v="DP.2578"/>
    <s v="Humanitarian Assistance to Mauritanian Returnees, Migrants, and Host Communities in Hodh Chargui (Mauritania)"/>
    <s v="MOVEMENT, EMERGENCY AND POST-CRISIS MIGRATION MANAGEMENT"/>
    <s v="Mauritania"/>
    <n v="4500336011"/>
    <s v="IP transfers – National CSOs"/>
    <s v="Implementing Partner"/>
    <s v="Delegation Regional Elevage Nema"/>
    <s v="Mauritania"/>
    <n v="12219"/>
    <x v="0"/>
    <x v="11"/>
  </r>
  <r>
    <x v="2"/>
    <s v="DP.2585"/>
    <s v="Provision of Life-saving Assistance to Displaced Populations in Ethiopia"/>
    <s v="MOVEMENT, EMERGENCY AND POST-CRISIS MIGRATION MANAGEMENT"/>
    <s v="Ethiopia"/>
    <n v="4500326163"/>
    <s v="Emergency shelter and Non-Food Items for conflict-affected returnees in Guba Woreda, Metekel zone, Benishangul Gumuz Region for Returnees: 1500 households (7500 individuals).  Reference:  Project Implementation Agreement number: ETH/ADD/June/1314/2023  PR number: 4200492486  PO Issued by: Mr. Nathaniel Abera/ Behailu  Contact Person: Mr. Abdu Mohammed (RRF)  Following the first amendment, PO edited 10/11/2023 Behailu,  PIA amendment Reference ETH/ADD/SEPTEMBER /577/2023 PR# 4200553178  20 AND 30 LINES ARE FINAL PAYMENT"/>
    <s v="Implementing Partner"/>
    <s v="MULTI INTEGRATED SUPPORT"/>
    <s v="Ethiopia"/>
    <n v="20657"/>
    <x v="0"/>
    <x v="0"/>
  </r>
  <r>
    <x v="2"/>
    <s v="DP.2586"/>
    <s v="Emergency Response and Assistance to Displaced Persons (DP) in Syria"/>
    <s v="MOVEMENT, EMERGENCY AND POST-CRISIS MIGRATION MANAGEMENT"/>
    <s v="Turkey"/>
    <n v="4500332711"/>
    <s v="IP transfers – National CSOs"/>
    <s v="Implementing Partner"/>
    <s v="YERYUZU DOKTORLARI DERNEGI"/>
    <s v="Turkey"/>
    <n v="164400"/>
    <x v="0"/>
    <x v="0"/>
  </r>
  <r>
    <x v="2"/>
    <s v="DP.2586"/>
    <s v="Emergency Response and Assistance to Displaced Persons (DP) in Syria"/>
    <s v="MOVEMENT, EMERGENCY AND POST-CRISIS MIGRATION MANAGEMENT"/>
    <s v="Turkey"/>
    <n v="4500338913"/>
    <s v="IP transfers – National CSOs"/>
    <s v="Implementing Partner"/>
    <s v="ACTED"/>
    <s v="Turkey"/>
    <n v="300000"/>
    <x v="0"/>
    <x v="1"/>
  </r>
  <r>
    <x v="2"/>
    <s v="DP.2586"/>
    <s v="Emergency Response and Assistance to Displaced Persons (DP) in Syria"/>
    <s v="MOVEMENT, EMERGENCY AND POST-CRISIS MIGRATION MANAGEMENT"/>
    <s v="Turkey"/>
    <n v="4500339494"/>
    <s v="IP transfers – National CSOs"/>
    <s v="Implementing Partner"/>
    <s v="HAYATA DESTEK DERNEGI"/>
    <s v="Turkey"/>
    <n v="349610"/>
    <x v="0"/>
    <x v="0"/>
  </r>
  <r>
    <x v="2"/>
    <s v="DP.2586"/>
    <s v="Emergency Response and Assistance to Displaced Persons (DP) in Syria"/>
    <s v="MOVEMENT, EMERGENCY AND POST-CRISIS MIGRATION MANAGEMENT"/>
    <s v="Turkey"/>
    <n v="4500349404"/>
    <s v="IP transfers – National CSOs"/>
    <s v="Implementing Partner"/>
    <s v="ATAA FOR RELIEF AND DEVELOPMENT"/>
    <s v="Turkey"/>
    <n v="157647"/>
    <x v="0"/>
    <x v="0"/>
  </r>
  <r>
    <x v="2"/>
    <s v="DP.2587"/>
    <s v="Multisectoral Emergency Assistance for Vulnerable Displaced Populations in Northwest Syria (NWS)"/>
    <s v="MOVEMENT, EMERGENCY AND POST-CRISIS MIGRATION MANAGEMENT"/>
    <s v="Turkey"/>
    <n v="4500335203"/>
    <s v="IP transfers – National CSOs"/>
    <s v="Implementing Partner"/>
    <s v="VATAN DERNEGI"/>
    <s v="Turkey"/>
    <n v="1937"/>
    <x v="0"/>
    <x v="0"/>
  </r>
  <r>
    <x v="2"/>
    <s v="DP.2589"/>
    <s v="Multisectoral Support to Enhance Integration of Ukrainians and Third Country Nationals in Poland"/>
    <s v="MOVEMENT, EMERGENCY AND POST-CRISIS MIGRATION MANAGEMENT"/>
    <s v="Poland"/>
    <n v="4500333477"/>
    <s v="PR 4200448044 Labour market inclusion - Labor Market Integration Center GDANS IP WAGA"/>
    <s v="Implementing Partner"/>
    <s v="STOWARZYSZENIE WAGA"/>
    <s v="Poland"/>
    <n v="49371"/>
    <x v="0"/>
    <x v="0"/>
  </r>
  <r>
    <x v="2"/>
    <s v="DP.2600"/>
    <s v="Multi-Sector Assistance to Populations Affected by the Syria Crisis"/>
    <s v="MOVEMENT, EMERGENCY AND POST-CRISIS MIGRATION MANAGEMENT"/>
    <s v="Jordan"/>
    <n v="4500337977"/>
    <s v="PR4200514224 Contracting NGOs for implementation of Provision of Protection against Sexual Exploitation and Abuse"/>
    <s v="Implementing Partner"/>
    <s v="UFUK Horizon"/>
    <s v="Iraq"/>
    <n v="49092"/>
    <x v="0"/>
    <x v="0"/>
  </r>
  <r>
    <x v="2"/>
    <s v="DP.2600"/>
    <s v="Multi-Sector Assistance to Populations Affected by the Syria Crisis"/>
    <s v="MOVEMENT, EMERGENCY AND POST-CRISIS MIGRATION MANAGEMENT"/>
    <s v="Turkey"/>
    <n v="4500331029"/>
    <s v="IP transfers – National CSOs"/>
    <s v="Implementing Partner"/>
    <s v="ATAA FOR RELIEF AND DEVELOPMENT"/>
    <s v="Turkey"/>
    <n v="11846"/>
    <x v="0"/>
    <x v="0"/>
  </r>
  <r>
    <x v="2"/>
    <s v="DP.2600"/>
    <s v="Multi-Sector Assistance to Populations Affected by the Syria Crisis"/>
    <s v="MOVEMENT, EMERGENCY AND POST-CRISIS MIGRATION MANAGEMENT"/>
    <s v="Turkey"/>
    <n v="4500335203"/>
    <s v="IP transfers – National CSOs"/>
    <s v="Implementing Partner"/>
    <s v="VATAN DERNEGI"/>
    <s v="Turkey"/>
    <n v="8420"/>
    <x v="0"/>
    <x v="0"/>
  </r>
  <r>
    <x v="2"/>
    <s v="DP.2601"/>
    <s v="Closing the Loop of Sustainable Procurement in Displacement Setting Using Innovative Finance"/>
    <s v="MOVEMENT, EMERGENCY AND POST-CRISIS MIGRATION MANAGEMENT"/>
    <s v="Uganda"/>
    <n v="4500347020"/>
    <s v="IP transfers – International CSOs"/>
    <s v="Implementing Partner"/>
    <s v="Mercy Corps"/>
    <s v="USA"/>
    <n v="40388"/>
    <x v="0"/>
    <x v="1"/>
  </r>
  <r>
    <x v="2"/>
    <s v="DP.2602"/>
    <s v="Emergency Grant Aid in Response to the Earthquake in Türkiye and Syria"/>
    <s v="MOVEMENT, EMERGENCY AND POST-CRISIS MIGRATION MANAGEMENT"/>
    <s v="Turkey"/>
    <n v="4500331029"/>
    <s v="IP transfers – National CSOs"/>
    <s v="Implementing Partner"/>
    <s v="ATAA FOR RELIEF AND DEVELOPMENT"/>
    <s v="Turkey"/>
    <n v="18365"/>
    <x v="0"/>
    <x v="0"/>
  </r>
  <r>
    <x v="2"/>
    <s v="DP.2606"/>
    <s v="Enhancing the Food Security, Nutrition, and Resilience of Vulnerable Populations in Nortwest Syria (NWS)"/>
    <s v="MOVEMENT, EMERGENCY AND POST-CRISIS MIGRATION MANAGEMENT"/>
    <s v="Turkey"/>
    <n v="4500332601"/>
    <s v="IP transfers – National CSOs"/>
    <s v="Implementing Partner"/>
    <s v="Uluslararasi Insani Yardimlasma Der"/>
    <s v="Turkey"/>
    <n v="319372"/>
    <x v="0"/>
    <x v="0"/>
  </r>
  <r>
    <x v="2"/>
    <s v="DP.2612"/>
    <s v="Enhancing Diasporas’ Operations and Coordination in Humanitarian Assistance for Increased Impact within a Framework for Diaspora Engagement in Humanitarian Assistance – Phase III"/>
    <s v="MOVEMENT, EMERGENCY AND POST-CRISIS MIGRATION MANAGEMENT"/>
    <s v="USA"/>
    <n v="4500334771"/>
    <s v="PROJECT IMPLEMENTING AGREEMENT AS PER US10-PIA-23-002 BETWEEN IOM - D.C AND GDC"/>
    <s v="Implementing Partner"/>
    <s v="GLOBAL DIASPORA CONFEDERATION"/>
    <s v="Netherlands"/>
    <n v="62780"/>
    <x v="0"/>
    <x v="1"/>
  </r>
  <r>
    <x v="2"/>
    <s v="DP.2613"/>
    <s v="Regional Refugee and Migrant Response Plan (RMRP 2023 - 2024) for the Venezuelan situation in Colombia"/>
    <s v="MOVEMENT, EMERGENCY AND POST-CRISIS MIGRATION MANAGEMENT"/>
    <s v="Colombia"/>
    <n v="4500328978"/>
    <s v="CONVENIO E&lt;(&gt;&amp;&lt;)&gt;E-036-034 FGM 12600281 CORPORACION DESARROLLO CORPRODINCO  TOTAL VALUE: COP 181.127.300 IOM CONTRIB: COP  80.000.000 + 80.074.800 SOC CONTRIB: COP  21.052.500"/>
    <s v="Implementing Partner"/>
    <s v="CORPORACION DESARROLLO CORPRODINCO"/>
    <s v="Colombia"/>
    <n v="38797"/>
    <x v="0"/>
    <x v="0"/>
  </r>
  <r>
    <x v="2"/>
    <s v="DP.2614"/>
    <s v="Regional Refugee and Migrant Response Plan (RMRP) for the Venezuela Situation 2023"/>
    <s v="MOVEMENT, EMERGENCY AND POST-CRISIS MIGRATION MANAGEMENT"/>
    <s v="Argentina"/>
    <n v="4500328563"/>
    <s v="PROYECTO PRM 2023  ACUERDO DE IPLEMENTACION  DURACION DE JUNIO A NOVIEMBRE  ENMIENDA #1 POR ARS 8.813.500  LINEAS NUEVAS 120-130-140 LINEAS COMPLEMENTARIAS A LAS ACTIVIDADES 30-90-100:  110-160-170"/>
    <s v="Implementing Partner"/>
    <s v="INICIA EMPRENDER PARA EL FUTURO"/>
    <s v="Argentina"/>
    <n v="73181"/>
    <x v="0"/>
    <x v="0"/>
  </r>
  <r>
    <x v="2"/>
    <s v="DP.2614"/>
    <s v="Regional Refugee and Migrant Response Plan (RMRP) for the Venezuela Situation 2023"/>
    <s v="MOVEMENT, EMERGENCY AND POST-CRISIS MIGRATION MANAGEMENT"/>
    <s v="Argentina"/>
    <n v="4500337080"/>
    <s v="Acuerdo FCCAM Abr-Nov RMRP 2023"/>
    <s v="Implementing Partner"/>
    <s v="FUNDACION COMISION CATOLICA ARG"/>
    <s v="Argentina"/>
    <n v="37044"/>
    <x v="0"/>
    <x v="0"/>
  </r>
  <r>
    <x v="2"/>
    <s v="DP.2614"/>
    <s v="Regional Refugee and Migrant Response Plan (RMRP) for the Venezuela Situation 2023"/>
    <s v="MOVEMENT, EMERGENCY AND POST-CRISIS MIGRATION MANAGEMENT"/>
    <s v="Argentina"/>
    <n v="4500337082"/>
    <s v="Acuerdo SJM Abr-Nov 2023"/>
    <s v="Implementing Partner"/>
    <s v="FUNDACION LOYOLA (SERVICIO JESUITA)"/>
    <s v="Argentina"/>
    <n v="61732"/>
    <x v="0"/>
    <x v="0"/>
  </r>
  <r>
    <x v="2"/>
    <s v="DP.2614"/>
    <s v="Regional Refugee and Migrant Response Plan (RMRP) for the Venezuela Situation 2023"/>
    <s v="MOVEMENT, EMERGENCY AND POST-CRISIS MIGRATION MANAGEMENT"/>
    <s v="Argentina"/>
    <n v="4500337085"/>
    <s v="Acuerdo APdeBA Jun-Nov 2023  ENMIENDA # 1 POR ARS 1.190.000"/>
    <s v="Implementing Partner"/>
    <s v="ASOCIACION PSICOANALITICA DE BUENOS"/>
    <s v="Argentina"/>
    <n v="20996"/>
    <x v="0"/>
    <x v="0"/>
  </r>
  <r>
    <x v="2"/>
    <s v="DP.2614"/>
    <s v="Regional Refugee and Migrant Response Plan (RMRP) for the Venezuela Situation 2023"/>
    <s v="MOVEMENT, EMERGENCY AND POST-CRISIS MIGRATION MANAGEMENT"/>
    <s v="Argentina"/>
    <n v="4500338568"/>
    <s v="Acuerdo CRA 01/04-30/08 de 2023"/>
    <s v="Implementing Partner"/>
    <s v="CRUZ ROJA ARGENTINA"/>
    <s v="Argentina"/>
    <n v="36433"/>
    <x v="0"/>
    <x v="4"/>
  </r>
  <r>
    <x v="2"/>
    <s v="DP.2614"/>
    <s v="Regional Refugee and Migrant Response Plan (RMRP) for the Venezuela Situation 2023"/>
    <s v="MOVEMENT, EMERGENCY AND POST-CRISIS MIGRATION MANAGEMENT"/>
    <s v="Argentina"/>
    <n v="4500338576"/>
    <s v="Acuerdo Alianza por Venezuela Abr-Nov 2023"/>
    <s v="Implementing Partner"/>
    <s v="ASOCIACION CIVIL ALIANZA POR VENEZU"/>
    <s v="Argentina"/>
    <n v="42477"/>
    <x v="0"/>
    <x v="0"/>
  </r>
  <r>
    <x v="2"/>
    <s v="DP.2614"/>
    <s v="Regional Refugee and Migrant Response Plan (RMRP) for the Venezuela Situation 2023"/>
    <s v="MOVEMENT, EMERGENCY AND POST-CRISIS MIGRATION MANAGEMENT"/>
    <s v="Argentina"/>
    <n v="4500343830"/>
    <s v="PROYECTO PRM 2023  CONTRATO SOCIO IMPLEMENTADOR  DURACION DE SEP A NOV 2023"/>
    <s v="Implementing Partner"/>
    <s v="ASOENVEAR ASOCIACION DE ENFERMEROS"/>
    <s v="Argentina"/>
    <n v="11266"/>
    <x v="0"/>
    <x v="0"/>
  </r>
  <r>
    <x v="2"/>
    <s v="DP.2614"/>
    <s v="Regional Refugee and Migrant Response Plan (RMRP) for the Venezuela Situation 2023"/>
    <s v="MOVEMENT, EMERGENCY AND POST-CRISIS MIGRATION MANAGEMENT"/>
    <s v="Argentina"/>
    <n v="4500343843"/>
    <s v="PROYECTO PRM 2023  Acuerdo IP Fundación Nobleza Obliga 01/08/23 al 30/11/23"/>
    <s v="Implementing Partner"/>
    <s v="FUNDACION NOBLEZA OBLIGA PARA EL"/>
    <s v="Argentina"/>
    <n v="5511"/>
    <x v="0"/>
    <x v="0"/>
  </r>
  <r>
    <x v="2"/>
    <s v="DP.2614"/>
    <s v="Regional Refugee and Migrant Response Plan (RMRP) for the Venezuela Situation 2023"/>
    <s v="MOVEMENT, EMERGENCY AND POST-CRISIS MIGRATION MANAGEMENT"/>
    <s v="Bolivia (PS)"/>
    <n v="4500337498"/>
    <s v="Recruitment of an implementing partner in the city of Cochabamba to provide assistance to migrants with the delivery of family"/>
    <s v="Implementing Partner"/>
    <s v="PASTORAL SOCIAL CARITAS COCHABAMBA"/>
    <s v="Bolivia (PS)"/>
    <n v="67119"/>
    <x v="0"/>
    <x v="6"/>
  </r>
  <r>
    <x v="2"/>
    <s v="DP.2614"/>
    <s v="Regional Refugee and Migrant Response Plan (RMRP) for the Venezuela Situation 2023"/>
    <s v="MOVEMENT, EMERGENCY AND POST-CRISIS MIGRATION MANAGEMENT"/>
    <s v="Bolivia (PS)"/>
    <n v="4500339904"/>
    <s v="Recruitment of an implementing partner in the city of La Paz to provide assistance to migrants with the delivery of family food kits, basic household supplies, support with the payment of housing rent, regularization procedures and provision of seed capital for the establishment of entrepreneurships."/>
    <s v="Implementing Partner"/>
    <s v="Fundacion Scalabrini Bolivia"/>
    <s v="Bolivia (PS)"/>
    <n v="56787"/>
    <x v="0"/>
    <x v="0"/>
  </r>
  <r>
    <x v="2"/>
    <s v="DP.2614"/>
    <s v="Regional Refugee and Migrant Response Plan (RMRP) for the Venezuela Situation 2023"/>
    <s v="MOVEMENT, EMERGENCY AND POST-CRISIS MIGRATION MANAGEMENT"/>
    <s v="Bolivia (PS)"/>
    <n v="4500339909"/>
    <s v="Recruitment of an implementing partner in the city of Santa Cruz to provide assistance to migrants with the delivery of family food kits, hygiene kits, regularization procedures, and events."/>
    <s v="Implementing Partner"/>
    <s v="C.Arquidiocesana de P. Social Carit"/>
    <s v="Bolivia (PS)"/>
    <n v="18724"/>
    <x v="0"/>
    <x v="6"/>
  </r>
  <r>
    <x v="2"/>
    <s v="DP.2614"/>
    <s v="Regional Refugee and Migrant Response Plan (RMRP) for the Venezuela Situation 2023"/>
    <s v="MOVEMENT, EMERGENCY AND POST-CRISIS MIGRATION MANAGEMENT"/>
    <s v="Chile"/>
    <n v="4500349281"/>
    <s v="ACUERDO DE IMPLEMENTACIÓN DE PROYECTO &quot;ASESORÍA E INFORMACIÓN JURÍDICA, SOCIAL Y LABORAL EN ASUNTOS MIGRATORIOS PARA MIGRANTES VENEZOLANOS Y OTRAS COLECTIVIDADES”"/>
    <s v="Implementing Partner"/>
    <s v="Instituto Catolico de Migrantes"/>
    <s v="Chile"/>
    <n v="97450"/>
    <x v="0"/>
    <x v="0"/>
  </r>
  <r>
    <x v="2"/>
    <s v="DP.2614"/>
    <s v="Regional Refugee and Migrant Response Plan (RMRP) for the Venezuela Situation 2023"/>
    <s v="MOVEMENT, EMERGENCY AND POST-CRISIS MIGRATION MANAGEMENT"/>
    <s v="Dominican Rep."/>
    <n v="4500345667"/>
    <s v="Service for:  IP 2-Assistance and protection actions for Venezuelans migrants Dominican Republic.  The parties wish to extend the activities from August 31, 2023 to November 30, 2023."/>
    <s v="Implementing Partner"/>
    <s v="Asociacion de Venezolanos Santiago"/>
    <s v="Dominican Rep."/>
    <n v="15070"/>
    <x v="0"/>
    <x v="0"/>
  </r>
  <r>
    <x v="2"/>
    <s v="DP.2614"/>
    <s v="Regional Refugee and Migrant Response Plan (RMRP) for the Venezuela Situation 2023"/>
    <s v="MOVEMENT, EMERGENCY AND POST-CRISIS MIGRATION MANAGEMENT"/>
    <s v="Dominican Rep."/>
    <n v="4500345674"/>
    <s v="Service for:  IP 1-Assistance and protection actions for Venezuelans migrants Dominican Republic.  IP 3-Assistance and protection actions for Venezuelans migrants Dominican Republic.  The partner in execution will begin the activities as of August 31, 2023 and must complete the activities completely and satisfactorily on November 30, 2023."/>
    <s v="Implementing Partner"/>
    <s v="Fundacion de Emigrantes y Refugiado"/>
    <s v="Dominican Rep."/>
    <n v="45209"/>
    <x v="0"/>
    <x v="0"/>
  </r>
  <r>
    <x v="2"/>
    <s v="DP.2614"/>
    <s v="Regional Refugee and Migrant Response Plan (RMRP) for the Venezuela Situation 2023"/>
    <s v="MOVEMENT, EMERGENCY AND POST-CRISIS MIGRATION MANAGEMENT"/>
    <s v="Ecuador"/>
    <n v="4500329647"/>
    <s v="PR 4200500225 - Salud - IP - Atención Integral en Salud"/>
    <s v="Implementing Partner"/>
    <s v="SOCIEDAD NACIONAL DE LA CRUZ ROJA E"/>
    <s v="Ecuador"/>
    <n v="374633"/>
    <x v="0"/>
    <x v="4"/>
  </r>
  <r>
    <x v="2"/>
    <s v="DP.2614"/>
    <s v="Regional Refugee and Migrant Response Plan (RMRP) for the Venezuela Situation 2023"/>
    <s v="MOVEMENT, EMERGENCY AND POST-CRISIS MIGRATION MANAGEMENT"/>
    <s v="Ecuador"/>
    <n v="4500330650"/>
    <s v="PR 4200493799   IP Fortalecimiento capacidades en emprendimientos sostenibles y competencias técnicas en UIO y Loja  ACUERDO DE IMPLEMENTACIÓN DE PROYECTO entre la Organización Internacional para las Migraciones (OIM) y Fundación para el Desarrollo Empresarial y Social (FEDES) relativo al proyecto de Fortalecimiento de Capacidades en Emprendimientos Sostenibles Fortalecimiento de Competencias Técnicas para Personas en Situación de Movilidad Humana  Núm. Ref. de la Oficina de la OIM IP_2023_13 Código de Proyecto OIM            DP.2614."/>
    <s v="Implementing Partner"/>
    <s v="FUNDACION PARA EL DESARROLLO EMPRES"/>
    <s v="Ecuador"/>
    <n v="115000"/>
    <x v="0"/>
    <x v="0"/>
  </r>
  <r>
    <x v="2"/>
    <s v="DP.2614"/>
    <s v="Regional Refugee and Migrant Response Plan (RMRP) for the Venezuela Situation 2023"/>
    <s v="MOVEMENT, EMERGENCY AND POST-CRISIS MIGRATION MANAGEMENT"/>
    <s v="Ecuador"/>
    <n v="4500331098"/>
    <s v="PR: 4200503292 Acuerdo de Implementación de Proyecto, Num. de referencia: IP-2023-14, relativo al: &quot;Programa de Fortalecimiento de Habilidades Blandas, Formación Técnica y Asesoría para el Acceso al Empleo (Relación Bajo Dependencia y Autoempleo) que Promueva la Integración Social y Económica de la Población Venezolana y Comunidad de Acogida&quot;."/>
    <s v="Implementing Partner"/>
    <s v="HIAS"/>
    <s v="Ecuador"/>
    <n v="60000"/>
    <x v="0"/>
    <x v="1"/>
  </r>
  <r>
    <x v="2"/>
    <s v="DP.2614"/>
    <s v="Regional Refugee and Migrant Response Plan (RMRP) for the Venezuela Situation 2023"/>
    <s v="MOVEMENT, EMERGENCY AND POST-CRISIS MIGRATION MANAGEMENT"/>
    <s v="Ecuador"/>
    <n v="4500331846"/>
    <s v="Acuerdo de Implementación de Proyecto, Num. de referencia: IP-2023-12, relativo al: &quot;Proyecto de integración socio económica de personas en situación de movilidad humana y de la comunidad de acogida a través del emprendimiento (Quito y Cuenca)&quot;."/>
    <s v="Implementing Partner"/>
    <s v="CHILDFUND INTERNATIONAL USA"/>
    <s v="Ecuador"/>
    <n v="140000"/>
    <x v="0"/>
    <x v="1"/>
  </r>
  <r>
    <x v="2"/>
    <s v="DP.2614"/>
    <s v="Regional Refugee and Migrant Response Plan (RMRP) for the Venezuela Situation 2023"/>
    <s v="MOVEMENT, EMERGENCY AND POST-CRISIS MIGRATION MANAGEMENT"/>
    <s v="Ecuador"/>
    <n v="4500340948"/>
    <s v="PR 4200513894_IP_Proceso de inclusión socio económica dirigida a población migrante y de la comunidad de acogida"/>
    <s v="Implementing Partner"/>
    <s v="FUDELA - FUNDACION DE LAS AMERICAS"/>
    <s v="Ecuador"/>
    <n v="93000"/>
    <x v="0"/>
    <x v="0"/>
  </r>
  <r>
    <x v="2"/>
    <s v="DP.2614"/>
    <s v="Regional Refugee and Migrant Response Plan (RMRP) for the Venezuela Situation 2023"/>
    <s v="MOVEMENT, EMERGENCY AND POST-CRISIS MIGRATION MANAGEMENT"/>
    <s v="Guyana"/>
    <n v="4500338289"/>
    <s v="IP transfers – National CSOs"/>
    <s v="Implementing Partner"/>
    <s v="Blossom Inc"/>
    <s v="Guyana"/>
    <n v="14345"/>
    <x v="0"/>
    <x v="0"/>
  </r>
  <r>
    <x v="2"/>
    <s v="DP.2614"/>
    <s v="Regional Refugee and Migrant Response Plan (RMRP) for the Venezuela Situation 2023"/>
    <s v="MOVEMENT, EMERGENCY AND POST-CRISIS MIGRATION MANAGEMENT"/>
    <s v="Peru"/>
    <n v="4500327238"/>
    <s v="ACUERDO DE IMPLEMENTACIÓN DE PROYECTO ENTRE LA ORGANIZACIÓN INTERNACIONAL PARA LAS MIGRACIONES (OIM) Y ALDEAS INFANTILES SOS PERÚ -ASOCIACIÓN NACIONAL RELATIVO A CONTRATACION DE SOCIO IMPLEMENTADOR PARA BRINDAR SERVICIOS ESPECIALIZADOS PARA LA ASISTENCIA Y PROTECCION DE NIÑAS, NIÑOS Y ADOLESCENTES MIGRANTES Y REFUGIADOS SEPARADOS, NO ACOMPAÑADOS O EN SITUACION DE VULNERABILIDAD."/>
    <s v="Implementing Partner"/>
    <s v="Aldeas Infantiles SOS PERU"/>
    <s v="Peru"/>
    <n v="71506"/>
    <x v="0"/>
    <x v="1"/>
  </r>
  <r>
    <x v="2"/>
    <s v="DP.2614"/>
    <s v="Regional Refugee and Migrant Response Plan (RMRP) for the Venezuela Situation 2023"/>
    <s v="MOVEMENT, EMERGENCY AND POST-CRISIS MIGRATION MANAGEMENT"/>
    <s v="Peru"/>
    <n v="4500332743"/>
    <s v="Contratación de IP para Asistencia humanitaria (NFI) para Lima y Tacna"/>
    <s v="Implementing Partner"/>
    <s v="Asociación Misioneros de San Carlos"/>
    <s v="Peru"/>
    <n v="60426"/>
    <x v="0"/>
    <x v="0"/>
  </r>
  <r>
    <x v="2"/>
    <s v="DP.2614"/>
    <s v="Regional Refugee and Migrant Response Plan (RMRP) for the Venezuela Situation 2023"/>
    <s v="MOVEMENT, EMERGENCY AND POST-CRISIS MIGRATION MANAGEMENT"/>
    <s v="Peru"/>
    <n v="4500335075"/>
    <s v="Contratación de IP para Asistencia humanitaria (NFI –kits de insumos no alimentarios y WASH) y GRD"/>
    <s v="Implementing Partner"/>
    <s v="CESAL"/>
    <s v="Peru"/>
    <n v="189546"/>
    <x v="0"/>
    <x v="1"/>
  </r>
  <r>
    <x v="2"/>
    <s v="DP.2614"/>
    <s v="Regional Refugee and Migrant Response Plan (RMRP) for the Venezuela Situation 2023"/>
    <s v="MOVEMENT, EMERGENCY AND POST-CRISIS MIGRATION MANAGEMENT"/>
    <s v="Peru"/>
    <n v="4500336184"/>
    <s v="Contratación de IP para gestión de casos Cash for rent para población refugiada y migrante."/>
    <s v="Implementing Partner"/>
    <s v="CARITAS CHOSICA"/>
    <s v="Peru"/>
    <n v="25222"/>
    <x v="0"/>
    <x v="6"/>
  </r>
  <r>
    <x v="2"/>
    <s v="DP.2614"/>
    <s v="Regional Refugee and Migrant Response Plan (RMRP) for the Venezuela Situation 2023"/>
    <s v="MOVEMENT, EMERGENCY AND POST-CRISIS MIGRATION MANAGEMENT"/>
    <s v="Peru"/>
    <n v="4500336223"/>
    <s v="Puno: Servicio para la implementación PAO de Desaguadero IP"/>
    <s v="Implementing Partner"/>
    <s v="CENTRO DE DESARROLLO HUMANO"/>
    <s v="Peru"/>
    <n v="74543"/>
    <x v="0"/>
    <x v="0"/>
  </r>
  <r>
    <x v="2"/>
    <s v="DP.2614"/>
    <s v="Regional Refugee and Migrant Response Plan (RMRP) for the Venezuela Situation 2023"/>
    <s v="MOVEMENT, EMERGENCY AND POST-CRISIS MIGRATION MANAGEMENT"/>
    <s v="Peru"/>
    <n v="4500339743"/>
    <s v="Contratación de IP mejoras de infraestructura de servicios básicos en Piura y Tumbes"/>
    <s v="Implementing Partner"/>
    <s v="ONG COOPERAZIONE INTERNAZIONALE"/>
    <s v="Peru"/>
    <n v="64794"/>
    <x v="0"/>
    <x v="1"/>
  </r>
  <r>
    <x v="2"/>
    <s v="DP.2614"/>
    <s v="Regional Refugee and Migrant Response Plan (RMRP) for the Venezuela Situation 2023"/>
    <s v="MOVEMENT, EMERGENCY AND POST-CRISIS MIGRATION MANAGEMENT"/>
    <s v="Peru"/>
    <n v="4500340211"/>
    <s v="Contratación de IP para servicio de Regularización Migratoria en Lima Metropolitana y Callao"/>
    <s v="Implementing Partner"/>
    <s v="OCASIVEN"/>
    <s v="Peru"/>
    <n v="59649"/>
    <x v="0"/>
    <x v="0"/>
  </r>
  <r>
    <x v="2"/>
    <s v="DP.2614"/>
    <s v="Regional Refugee and Migrant Response Plan (RMRP) for the Venezuela Situation 2023"/>
    <s v="MOVEMENT, EMERGENCY AND POST-CRISIS MIGRATION MANAGEMENT"/>
    <s v="Peru"/>
    <n v="4500341080"/>
    <s v="Contratación de IP para asistencia humanitaria en Madre de Dios"/>
    <s v="Implementing Partner"/>
    <s v="Asociacion Caritas Madre de Dios"/>
    <s v="Peru"/>
    <n v="10025"/>
    <x v="0"/>
    <x v="6"/>
  </r>
  <r>
    <x v="2"/>
    <s v="DP.2614"/>
    <s v="Regional Refugee and Migrant Response Plan (RMRP) for the Venezuela Situation 2023"/>
    <s v="MOVEMENT, EMERGENCY AND POST-CRISIS MIGRATION MANAGEMENT"/>
    <s v="Peru"/>
    <n v="4500347540"/>
    <s v="Contratación de IP para provisión de asistencia alimentaria a las personas refugiadas y migrantes."/>
    <s v="Implementing Partner"/>
    <s v="Agencia Adventista para el Desarrol"/>
    <s v="Peru"/>
    <n v="28901"/>
    <x v="0"/>
    <x v="1"/>
  </r>
  <r>
    <x v="2"/>
    <s v="DP.2614"/>
    <s v="Regional Refugee and Migrant Response Plan (RMRP) for the Venezuela Situation 2023"/>
    <s v="MOVEMENT, EMERGENCY AND POST-CRISIS MIGRATION MANAGEMENT"/>
    <s v="Trinidad,Tobago"/>
    <n v="4500344282"/>
    <s v="IP transfers – National CSOs"/>
    <s v="Implementing Partner"/>
    <s v="Amethyst School of Martial Arts and"/>
    <s v="Trinidad,Tobago"/>
    <n v="99601"/>
    <x v="0"/>
    <x v="3"/>
  </r>
  <r>
    <x v="2"/>
    <s v="DP.2614"/>
    <s v="Regional Refugee and Migrant Response Plan (RMRP) for the Venezuela Situation 2023"/>
    <s v="MOVEMENT, EMERGENCY AND POST-CRISIS MIGRATION MANAGEMENT"/>
    <s v="Uruguay"/>
    <n v="4500338287"/>
    <s v="Implementing Partner - Housing; food; hygiene; DP.2614"/>
    <s v="Implementing Partner"/>
    <s v="AGENCIA ADVENTISTA DE DESARROLLO Y"/>
    <s v="Uruguay"/>
    <n v="71079"/>
    <x v="0"/>
    <x v="1"/>
  </r>
  <r>
    <x v="2"/>
    <s v="DP.2624"/>
    <s v="Provision of Immediate Lifesaving Emergency Shelter, Non-food Items (NFI) and Camp Coordination and Camp Management Assistance in Response to Tropical Cyclone Freddy’s Impact"/>
    <s v="MOVEMENT, EMERGENCY AND POST-CRISIS MIGRATION MANAGEMENT"/>
    <s v="Malawi"/>
    <n v="4500349197"/>
    <s v="IP transfers – International CSOs"/>
    <s v="Implementing Partner"/>
    <s v="Malawi Red Cross Society"/>
    <s v="Malawi"/>
    <n v="59343"/>
    <x v="0"/>
    <x v="4"/>
  </r>
  <r>
    <x v="2"/>
    <s v="DP.2624"/>
    <s v="Provision of Immediate Lifesaving Emergency Shelter, Non-food Items (NFI) and Camp Coordination and Camp Management Assistance in Response to Tropical Cyclone Freddy’s Impact"/>
    <s v="MOVEMENT, EMERGENCY AND POST-CRISIS MIGRATION MANAGEMENT"/>
    <s v="Malawi"/>
    <n v="4500349886"/>
    <s v="IP transfers – National CSOs"/>
    <s v="Implementing Partner"/>
    <s v="HABITAT FOR HUMANITY MALAWI"/>
    <s v="Malawi"/>
    <n v="123069"/>
    <x v="0"/>
    <x v="1"/>
  </r>
  <r>
    <x v="2"/>
    <s v="DP.2627"/>
    <s v="Improving the Living Conditions of Affected Populations (IDPS and returnees) in the Central African Republic through Multi-Sectoral Assistance"/>
    <s v="MOVEMENT, EMERGENCY AND POST-CRISIS MIGRATION MANAGEMENT"/>
    <s v="CAR"/>
    <n v="4500333478"/>
    <s v="MOBILITY TRACKING RUND 19 AND 20 OTHER DTM ACTIVITY PRF 4200493619"/>
    <s v="Implementing Partner"/>
    <s v="ONG NDA"/>
    <s v="CAR"/>
    <n v="8229"/>
    <x v="0"/>
    <x v="0"/>
  </r>
  <r>
    <x v="2"/>
    <s v="DP.2627"/>
    <s v="Improving the Living Conditions of Affected Populations (IDPS and returnees) in the Central African Republic through Multi-Sectoral Assistance"/>
    <s v="MOVEMENT, EMERGENCY AND POST-CRISIS MIGRATION MANAGEMENT"/>
    <s v="CAR"/>
    <n v="4500333507"/>
    <s v="MOBILITY TRACKING ROUND 19 AND 20 OTHER DTM ACTIVITIES PRF 4200493616"/>
    <s v="Implementing Partner"/>
    <s v="ONG ESPERANCE"/>
    <s v="CAR"/>
    <n v="8918"/>
    <x v="0"/>
    <x v="0"/>
  </r>
  <r>
    <x v="2"/>
    <s v="DP.2627"/>
    <s v="Improving the Living Conditions of Affected Populations (IDPS and returnees) in the Central African Republic through Multi-Sectoral Assistance"/>
    <s v="MOVEMENT, EMERGENCY AND POST-CRISIS MIGRATION MANAGEMENT"/>
    <s v="CAR"/>
    <n v="4500333512"/>
    <s v="MOBILITY TRACKING ROUND 19 AND 20 OTHER DTM ACTIVITIES PRF 4200493619"/>
    <s v="Implementing Partner"/>
    <s v="JUPEDEC"/>
    <s v="CAR"/>
    <n v="8588"/>
    <x v="0"/>
    <x v="0"/>
  </r>
  <r>
    <x v="2"/>
    <s v="DP.2627"/>
    <s v="Improving the Living Conditions of Affected Populations (IDPS and returnees) in the Central African Republic through Multi-Sectoral Assistance"/>
    <s v="MOVEMENT, EMERGENCY AND POST-CRISIS MIGRATION MANAGEMENT"/>
    <s v="CAR"/>
    <n v="4500333514"/>
    <s v="MOBILITY TRACKING ROUND 19 AND 20 OTHER DTM ACTIVITIES PRF 4200493619"/>
    <s v="Implementing Partner"/>
    <s v="FNOHD"/>
    <s v="CAR"/>
    <n v="7749"/>
    <x v="0"/>
    <x v="0"/>
  </r>
  <r>
    <x v="2"/>
    <s v="DP.2627"/>
    <s v="Improving the Living Conditions of Affected Populations (IDPS and returnees) in the Central African Republic through Multi-Sectoral Assistance"/>
    <s v="MOVEMENT, EMERGENCY AND POST-CRISIS MIGRATION MANAGEMENT"/>
    <s v="CAR"/>
    <n v="4500333519"/>
    <s v="MOBILITY TRACKING ROUND 19 AND 20 OTHER DTM ACTIVITIES PRF 4200493619"/>
    <s v="Implementing Partner"/>
    <s v="ASSOCIATION LE SAMARITAIN"/>
    <s v="CAR"/>
    <n v="6628"/>
    <x v="0"/>
    <x v="0"/>
  </r>
  <r>
    <x v="2"/>
    <s v="DP.2627"/>
    <s v="Improving the Living Conditions of Affected Populations (IDPS and returnees) in the Central African Republic through Multi-Sectoral Assistance"/>
    <s v="MOVEMENT, EMERGENCY AND POST-CRISIS MIGRATION MANAGEMENT"/>
    <s v="CAR"/>
    <n v="4500333734"/>
    <s v="MOBILITY TRACKING ROUND 19 AND 20 OTHER DTM ACTIVITIES PRF 4200493619"/>
    <s v="Implementing Partner"/>
    <s v="ONG VISION ET DEVELOPPEMENT"/>
    <s v="CAR"/>
    <n v="5813"/>
    <x v="0"/>
    <x v="0"/>
  </r>
  <r>
    <x v="2"/>
    <s v="DP.2627"/>
    <s v="Improving the Living Conditions of Affected Populations (IDPS and returnees) in the Central African Republic through Multi-Sectoral Assistance"/>
    <s v="MOVEMENT, EMERGENCY AND POST-CRISIS MIGRATION MANAGEMENT"/>
    <s v="CAR"/>
    <n v="4500337263"/>
    <s v="MOBILITY TRACKING ROUND 19 AND 20 AND OTHER ACTIVITIES 4200493619"/>
    <s v="Implementing Partner"/>
    <s v="Association des Femmes Evang. BOSSA"/>
    <s v="CAR"/>
    <n v="16872"/>
    <x v="0"/>
    <x v="0"/>
  </r>
  <r>
    <x v="2"/>
    <s v="DP.2627"/>
    <s v="Improving the Living Conditions of Affected Populations (IDPS and returnees) in the Central African Republic through Multi-Sectoral Assistance"/>
    <s v="MOVEMENT, EMERGENCY AND POST-CRISIS MIGRATION MANAGEMENT"/>
    <s v="CAR"/>
    <n v="4500337277"/>
    <s v="MOBILITY TRACKING ROUND 19 AND 20 OTHER DTM ACTIVITIES PRF 4200493619"/>
    <s v="Implementing Partner"/>
    <s v="Association des Femmes Evang. BOSSA"/>
    <s v="CAR"/>
    <n v="14811"/>
    <x v="0"/>
    <x v="0"/>
  </r>
  <r>
    <x v="2"/>
    <s v="DP.2633"/>
    <s v="Providing Life-Saving Humanitarian Assistance to the Most Vulnerable and Contributing to Reduced Aid Dependency in Yemen"/>
    <s v="MOVEMENT, EMERGENCY AND POST-CRISIS MIGRATION MANAGEMENT"/>
    <s v="Yemen"/>
    <n v="4500330092"/>
    <s v="IP YCO Third Extension || 2 Months from 1 July 2023 until 31 August 2023_ (SFI22_077) SAP PR: 4200494789"/>
    <s v="Implementing Partner"/>
    <s v="Youth Creativity Organization for"/>
    <s v="Yemen"/>
    <n v="3720"/>
    <x v="0"/>
    <x v="0"/>
  </r>
  <r>
    <x v="2"/>
    <s v="DP.2633"/>
    <s v="Providing Life-Saving Humanitarian Assistance to the Most Vulnerable and Contributing to Reduced Aid Dependency in Yemen"/>
    <s v="MOVEMENT, EMERGENCY AND POST-CRISIS MIGRATION MANAGEMENT"/>
    <s v="Yemen"/>
    <n v="4500334037"/>
    <s v="PR_4200505816 PO created on behalf of M.Tamim"/>
    <s v="Implementing Partner"/>
    <s v="Human Relief Foundation"/>
    <s v="Yemen"/>
    <n v="5550"/>
    <x v="0"/>
    <x v="1"/>
  </r>
  <r>
    <x v="2"/>
    <s v="DP.2636"/>
    <s v="Emergency Shelter for Populations Affected by the Cyclone in the Great South-East of Madagascar"/>
    <s v="MOVEMENT, EMERGENCY AND POST-CRISIS MIGRATION MANAGEMENT"/>
    <s v="Madagascar"/>
    <n v="4500341529"/>
    <s v="IP transfers – National CSOs"/>
    <s v="Implementing Partner"/>
    <s v="Croix Rouge Malagasy"/>
    <s v="Madagascar"/>
    <n v="217169"/>
    <x v="0"/>
    <x v="4"/>
  </r>
  <r>
    <x v="2"/>
    <s v="DP.2636"/>
    <s v="Emergency Shelter for Populations Affected by the Cyclone in the Great South-East of Madagascar"/>
    <s v="MOVEMENT, EMERGENCY AND POST-CRISIS MIGRATION MANAGEMENT"/>
    <s v="Madagascar"/>
    <n v="4500344919"/>
    <s v="IP transfers – National CSOs"/>
    <s v="Implementing Partner"/>
    <s v="MEDAIR"/>
    <s v="Madagascar"/>
    <n v="168831"/>
    <x v="0"/>
    <x v="1"/>
  </r>
  <r>
    <x v="2"/>
    <s v="DP.2636"/>
    <s v="Emergency Shelter for Populations Affected by the Cyclone in the Great South-East of Madagascar"/>
    <s v="MOVEMENT, EMERGENCY AND POST-CRISIS MIGRATION MANAGEMENT"/>
    <s v="Madagascar"/>
    <n v="4500347289"/>
    <s v="IP transfers – National CSOs"/>
    <s v="Implementing Partner"/>
    <s v="Association ANKOSI"/>
    <s v="Madagascar"/>
    <n v="114031"/>
    <x v="0"/>
    <x v="0"/>
  </r>
  <r>
    <x v="2"/>
    <s v="DP.2637"/>
    <s v="WoS PSEA - CAP 2023/24"/>
    <s v="MOVEMENT, EMERGENCY AND POST-CRISIS MIGRATION MANAGEMENT"/>
    <s v="Jordan"/>
    <n v="4500337977"/>
    <s v="PR4200514224 Contracting NGOs for implementation of Provision of Protection against Sexual Exploitation and Abuse"/>
    <s v="Implementing Partner"/>
    <s v="UFUK Horizon"/>
    <s v="Iraq"/>
    <n v="9351"/>
    <x v="0"/>
    <x v="0"/>
  </r>
  <r>
    <x v="2"/>
    <s v="DP.2639"/>
    <s v="Bangladesh Appeal 2023 – Rohingya Humanitarian Crisis"/>
    <s v="MOVEMENT, EMERGENCY AND POST-CRISIS MIGRATION MANAGEMENT"/>
    <s v="Bangladesh"/>
    <n v="4500344022"/>
    <s v="PR-4200511781 Unit-SMSD Requestor-Arman Rahim CHY  Cost of DRC Contract agreement of Site Management Support in Camp 8E,8W ,10 &lt;(&gt;&amp;&lt;)&gt; 12 (01 Jul - 30 Sep 23)"/>
    <s v="Implementing Partner"/>
    <s v="Danish Refugee Council(DRC)"/>
    <s v="Denmark"/>
    <n v="234266"/>
    <x v="0"/>
    <x v="1"/>
  </r>
  <r>
    <x v="2"/>
    <s v="DP.2639"/>
    <s v="Bangladesh Appeal 2023 – Rohingya Humanitarian Crisis"/>
    <s v="MOVEMENT, EMERGENCY AND POST-CRISIS MIGRATION MANAGEMENT"/>
    <s v="Bangladesh"/>
    <n v="4500347926"/>
    <s v="PR-4200518725 Unit-SMSD Requestor-Arman Rahim CHY  Cost of CARE Contract agreement of Site Management Support in Camp 13 &lt;(&gt;&amp;&lt;)&gt; 16 ( 1 Jul - 30 Sep 2023)"/>
    <s v="Implementing Partner"/>
    <s v="CARE BANGLADESH"/>
    <s v="Bangladesh"/>
    <n v="116087"/>
    <x v="0"/>
    <x v="1"/>
  </r>
  <r>
    <x v="2"/>
    <s v="DP.2641"/>
    <s v="Additional Emergency Grant Aid in Response to the Earthquake in Syria"/>
    <s v="MOVEMENT, EMERGENCY AND POST-CRISIS MIGRATION MANAGEMENT"/>
    <s v="Turkey"/>
    <n v="4500333338"/>
    <s v="IP transfers – National CSOs"/>
    <s v="Implementing Partner"/>
    <s v="MUZUN FOR HUMANITARIAN DEVELOPMENT"/>
    <s v="Turkey"/>
    <n v="68381"/>
    <x v="0"/>
    <x v="0"/>
  </r>
  <r>
    <x v="2"/>
    <s v="DP.2654"/>
    <s v="Emergency Multisectoral Assistance to Vulnerable Populations in North Kivu and Ituri and Support for Durable Solutions for Displaced Persons"/>
    <s v="MOVEMENT, EMERGENCY AND POST-CRISIS MIGRATION MANAGEMENT"/>
    <s v="Congo (Dem Rep)"/>
    <n v="4500344540"/>
    <s v="IP transfers – National CSOs"/>
    <s v="Implementing Partner"/>
    <s v="AIDES"/>
    <s v="Congo (Dem Rep)"/>
    <n v="700350"/>
    <x v="0"/>
    <x v="0"/>
  </r>
  <r>
    <x v="2"/>
    <s v="DP.2659"/>
    <s v="Provision of Humanitarian Coordination, Shelter and Settlements, Water, Sanitation and Hygiene (WASH), Multi-Purpose Cash Assistance (MPCA), Health and Protection Assistance for Crisis-Affected Populations in Ethiopia"/>
    <s v="MOVEMENT, EMERGENCY AND POST-CRISIS MIGRATION MANAGEMENT"/>
    <s v="Ethiopia"/>
    <n v="4500326163"/>
    <s v="Emergency shelter and Non-Food Items for conflict-affected returnees in Guba Woreda, Metekel zone, Benishangul Gumuz Region for Returnees: 1500 households (7500 individuals).  Reference:  Project Implementation Agreement number: ETH/ADD/June/1314/2023  PR number: 4200492486  PO Issued by: Mr. Nathaniel Abera/ Behailu  Contact Person: Mr. Abdu Mohammed (RRF)  Following the first amendment, PO edited 10/11/2023 Behailu,  PIA amendment Reference ETH/ADD/SEPTEMBER /577/2023 PR# 4200553178  20 AND 30 LINES ARE FINAL PAYMENT"/>
    <s v="Implementing Partner"/>
    <s v="MULTI INTEGRATED SUPPORT"/>
    <s v="Ethiopia"/>
    <n v="95607"/>
    <x v="0"/>
    <x v="0"/>
  </r>
  <r>
    <x v="2"/>
    <s v="DP.2659"/>
    <s v="Provision of Humanitarian Coordination, Shelter and Settlements, Water, Sanitation and Hygiene (WASH), Multi-Purpose Cash Assistance (MPCA), Health and Protection Assistance for Crisis-Affected Populations in Ethiopia"/>
    <s v="MOVEMENT, EMERGENCY AND POST-CRISIS MIGRATION MANAGEMENT"/>
    <s v="Ethiopia"/>
    <n v="4500326167"/>
    <s v="ESNFI kits Provision for newly displaced flood affected IDPs in Afdher Zone of Somali Region for IDPs: 1500 HHs (7,500 individuals).  Reference:  Project Implementation Agreement number: ETH/ADD/June/1315/2023  PR number: 4200493165  PO Issued by: Mr. Nathaniel Abera  Contact Person: Mr. Abdu Mohammed (RRF)"/>
    <s v="Implementing Partner"/>
    <s v="Somali Ethiopian Social and E.D.A"/>
    <s v="Ethiopia"/>
    <n v="63648"/>
    <x v="0"/>
    <x v="0"/>
  </r>
  <r>
    <x v="2"/>
    <s v="DP.2659"/>
    <s v="Provision of Humanitarian Coordination, Shelter and Settlements, Water, Sanitation and Hygiene (WASH), Multi-Purpose Cash Assistance (MPCA), Health and Protection Assistance for Crisis-Affected Populations in Ethiopia"/>
    <s v="MOVEMENT, EMERGENCY AND POST-CRISIS MIGRATION MANAGEMENT"/>
    <s v="Ethiopia"/>
    <n v="4500326322"/>
    <s v="Emergency WASH assistance for cholera-affected communities at Teltele Woreda, Borena Zone for 20,877 individuals.  Reference:  Project Implementation Agreement number: ETH/ADD/June/1316/2023  PR number: 4200493885  PO Issued by: Mr. Nathaniel Abera  Contact Person: Mr. Abdu Mohammed (RRF)"/>
    <s v="Implementing Partner"/>
    <s v="Agro Pastoral Initiative for Dev.t"/>
    <s v="Ethiopia"/>
    <n v="65631"/>
    <x v="0"/>
    <x v="0"/>
  </r>
  <r>
    <x v="2"/>
    <s v="DP.2659"/>
    <s v="Provision of Humanitarian Coordination, Shelter and Settlements, Water, Sanitation and Hygiene (WASH), Multi-Purpose Cash Assistance (MPCA), Health and Protection Assistance for Crisis-Affected Populations in Ethiopia"/>
    <s v="MOVEMENT, EMERGENCY AND POST-CRISIS MIGRATION MANAGEMENT"/>
    <s v="Ethiopia"/>
    <n v="4500343683"/>
    <s v="IP for ESNFI Kits distribution to 700 HH IDPs in Siyat Site, Hintalo Woreda (RRFE0159 IP ACDD)"/>
    <s v="Implementing Partner"/>
    <s v="Advocacy Center for Democracy and D"/>
    <s v="Ethiopia"/>
    <n v="61273"/>
    <x v="0"/>
    <x v="0"/>
  </r>
  <r>
    <x v="2"/>
    <s v="DP.2659"/>
    <s v="Provision of Humanitarian Coordination, Shelter and Settlements, Water, Sanitation and Hygiene (WASH), Multi-Purpose Cash Assistance (MPCA), Health and Protection Assistance for Crisis-Affected Populations in Ethiopia"/>
    <s v="MOVEMENT, EMERGENCY AND POST-CRISIS MIGRATION MANAGEMENT"/>
    <s v="Ethiopia"/>
    <n v="4500348956"/>
    <s v="Internal PO for MIGO MIRO  Iom Project Code DP2659/CH1HP0547 IOM Office Spesfic Ref No ETH/ADD/September/1346/2023"/>
    <s v="Implementing Partner"/>
    <s v="Development for Peace Organization"/>
    <s v="Ethiopia"/>
    <n v="239979"/>
    <x v="0"/>
    <x v="0"/>
  </r>
  <r>
    <x v="2"/>
    <s v="DP.2666"/>
    <s v="Emergency Grant Aid in Response to the Cyclone in Myanmar and Bangladesh"/>
    <s v="MOVEMENT, EMERGENCY AND POST-CRISIS MIGRATION MANAGEMENT"/>
    <s v="Bangladesh"/>
    <n v="4500341933"/>
    <s v="PR-4200502321 Unit-WASH Requestor-Moury RAHMAN  IP agreement with SHED- Host Community (16 July - 30 November, 2023) Moury"/>
    <s v="Implementing Partner"/>
    <s v="Society for Health Extension &amp;Dev.("/>
    <s v="Bangladesh"/>
    <n v="39820"/>
    <x v="0"/>
    <x v="3"/>
  </r>
  <r>
    <x v="2"/>
    <s v="DP.2671"/>
    <s v="IOM's Earthquake Response in Türkiye"/>
    <s v="MOVEMENT, EMERGENCY AND POST-CRISIS MIGRATION MANAGEMENT"/>
    <s v="Turkey"/>
    <n v="4500332711"/>
    <s v="IP transfers – National CSOs"/>
    <s v="Implementing Partner"/>
    <s v="YERYUZU DOKTORLARI DERNEGI"/>
    <s v="Turkey"/>
    <n v="520600"/>
    <x v="0"/>
    <x v="0"/>
  </r>
  <r>
    <x v="2"/>
    <s v="DP.2671"/>
    <s v="IOM's Earthquake Response in Türkiye"/>
    <s v="MOVEMENT, EMERGENCY AND POST-CRISIS MIGRATION MANAGEMENT"/>
    <s v="Turkey"/>
    <n v="4500335021"/>
    <s v="IP transfers – National CSOs"/>
    <s v="Implementing Partner"/>
    <s v="DUNYA DOKTORLARI DERNEGI"/>
    <s v="Turkey"/>
    <n v="409000"/>
    <x v="0"/>
    <x v="1"/>
  </r>
  <r>
    <x v="2"/>
    <s v="DP.2671"/>
    <s v="IOM's Earthquake Response in Türkiye"/>
    <s v="MOVEMENT, EMERGENCY AND POST-CRISIS MIGRATION MANAGEMENT"/>
    <s v="Turkey"/>
    <n v="4500335501"/>
    <s v="IP transfers – National CSOs"/>
    <s v="Implementing Partner"/>
    <s v="Field Ready Turkiye"/>
    <s v="Turkey"/>
    <n v="87742"/>
    <x v="0"/>
    <x v="1"/>
  </r>
  <r>
    <x v="2"/>
    <s v="DP.2671"/>
    <s v="IOM's Earthquake Response in Türkiye"/>
    <s v="MOVEMENT, EMERGENCY AND POST-CRISIS MIGRATION MANAGEMENT"/>
    <s v="Turkey"/>
    <n v="4500338946"/>
    <s v="IP transfers – National CSOs"/>
    <s v="Implementing Partner"/>
    <s v="Genc Hayat Vakfi"/>
    <s v="Turkey"/>
    <n v="299992"/>
    <x v="0"/>
    <x v="0"/>
  </r>
  <r>
    <x v="2"/>
    <s v="DP.2671"/>
    <s v="IOM's Earthquake Response in Türkiye"/>
    <s v="MOVEMENT, EMERGENCY AND POST-CRISIS MIGRATION MANAGEMENT"/>
    <s v="Turkey"/>
    <n v="4500342577"/>
    <s v="IP transfers – National CSOs"/>
    <s v="Implementing Partner"/>
    <s v="Kalkinma icin Inovasyon Dernegi"/>
    <s v="Turkey"/>
    <n v="166692"/>
    <x v="0"/>
    <x v="3"/>
  </r>
  <r>
    <x v="2"/>
    <s v="DP.2673"/>
    <s v="Providing life-saving humanitarian protection and health care assistance to migrants and other vulnerable individuals in Lebanon"/>
    <s v="MOVEMENT, EMERGENCY AND POST-CRISIS MIGRATION MANAGEMENT"/>
    <s v="Lebanon"/>
    <n v="4500338897"/>
    <s v="IP transfers – International CSOs"/>
    <s v="Implementing Partner"/>
    <s v="Legal Action Worldwide"/>
    <s v="Switzerland"/>
    <n v="99950"/>
    <x v="0"/>
    <x v="1"/>
  </r>
  <r>
    <x v="2"/>
    <s v="DP.2673"/>
    <s v="Providing life-saving humanitarian protection and health care assistance to migrants and other vulnerable individuals in Lebanon"/>
    <s v="MOVEMENT, EMERGENCY AND POST-CRISIS MIGRATION MANAGEMENT"/>
    <s v="Lebanon"/>
    <n v="4500339653"/>
    <s v="IP transfers – National CSOs"/>
    <s v="Implementing Partner"/>
    <s v="L'UNION POUR LA PROTECTION DE L'ENF"/>
    <s v="Lebanon"/>
    <n v="55600"/>
    <x v="0"/>
    <x v="0"/>
  </r>
  <r>
    <x v="2"/>
    <s v="DP.2673"/>
    <s v="Providing life-saving humanitarian protection and health care assistance to migrants and other vulnerable individuals in Lebanon"/>
    <s v="MOVEMENT, EMERGENCY AND POST-CRISIS MIGRATION MANAGEMENT"/>
    <s v="Lebanon"/>
    <n v="4500340788"/>
    <s v="IP transfers – International CSOs"/>
    <s v="Implementing Partner"/>
    <s v="Migration Services and Development"/>
    <s v="Lebanon"/>
    <n v="196545"/>
    <x v="0"/>
    <x v="0"/>
  </r>
  <r>
    <x v="2"/>
    <s v="DP.2673"/>
    <s v="Providing life-saving humanitarian protection and health care assistance to migrants and other vulnerable individuals in Lebanon"/>
    <s v="MOVEMENT, EMERGENCY AND POST-CRISIS MIGRATION MANAGEMENT"/>
    <s v="Lebanon"/>
    <n v="4500349860"/>
    <s v="IP transfers – National CSOs"/>
    <s v="Implementing Partner"/>
    <s v="Caritas Lebanon Migrant Center"/>
    <s v="Lebanon"/>
    <n v="76699"/>
    <x v="0"/>
    <x v="6"/>
  </r>
  <r>
    <x v="2"/>
    <s v="DP.2675"/>
    <s v="Provision of Cash Assistance to Mitigate the Risk of Forced Relocation of IDPs in Abyei Administrative Areas"/>
    <s v="MOVEMENT, EMERGENCY AND POST-CRISIS MIGRATION MANAGEMENT"/>
    <s v="South Sudan"/>
    <n v="4500338161"/>
    <s v="Provision of cash assistance to mitigate the risk of forced relocation of IDPs in Abyei Administrative Areas. PRF#4200501716"/>
    <s v="Implementing Partner"/>
    <s v="CARE FOR CHILDREN AND OLD AGE"/>
    <s v="South Sudan"/>
    <n v="35710"/>
    <x v="0"/>
    <x v="0"/>
  </r>
  <r>
    <x v="2"/>
    <s v="DP.2691"/>
    <s v="Multi-purpose Cash Response for Food Insecure Households impacted by Drought"/>
    <s v="MOVEMENT, EMERGENCY AND POST-CRISIS MIGRATION MANAGEMENT"/>
    <s v="Ethiopia"/>
    <n v="4500334260"/>
    <s v="IP Internal PO  PIA Referance  IOM Office Spesfic No ETH/ADD/JULY/1329/2023 RRF GRANT NUMBER SNFI0156 IOM PROJECT CODE /PRIMA CODE DP.2691/CH1HP0556"/>
    <s v="Implementing Partner"/>
    <s v="Development for Peace Organization"/>
    <s v="Ethiopia"/>
    <n v="276030"/>
    <x v="0"/>
    <x v="0"/>
  </r>
  <r>
    <x v="2"/>
    <s v="DP.2691"/>
    <s v="Multi-purpose Cash Response for Food Insecure Households impacted by Drought"/>
    <s v="MOVEMENT, EMERGENCY AND POST-CRISIS MIGRATION MANAGEMENT"/>
    <s v="Ethiopia"/>
    <n v="4500334269"/>
    <s v="IP Internal PO  PIA Referance Number  ETH/ADD/JULY/1331/2023 RRF GRANT NUMBER SNFI00158 IOM PROJCET CODE /PRIMA CODE DP2691/CH1HP0556"/>
    <s v="Implementing Partner"/>
    <s v="Partnership for Pastoralist Devt As"/>
    <s v="Ethiopia"/>
    <n v="244991"/>
    <x v="0"/>
    <x v="0"/>
  </r>
  <r>
    <x v="2"/>
    <s v="DP.2691"/>
    <s v="Multi-purpose Cash Response for Food Insecure Households impacted by Drought"/>
    <s v="MOVEMENT, EMERGENCY AND POST-CRISIS MIGRATION MANAGEMENT"/>
    <s v="Ethiopia"/>
    <n v="4500334276"/>
    <s v="IP Internal PO  PIA Refarance IOM OFFICE -SPESFIC REF NO - ETH/ADD/JULY/1328/2023 RRF GRANT NUMBER SNFI0155 IOM PROJCET CODE /PRIMA CODE DP2691/CH1HP0556"/>
    <s v="Implementing Partner"/>
    <s v="ACTION FOR THE NEEDY IN ETH (ANE)"/>
    <s v="Ethiopia"/>
    <n v="244992"/>
    <x v="0"/>
    <x v="0"/>
  </r>
  <r>
    <x v="2"/>
    <s v="DP.2691"/>
    <s v="Multi-purpose Cash Response for Food Insecure Households impacted by Drought"/>
    <s v="MOVEMENT, EMERGENCY AND POST-CRISIS MIGRATION MANAGEMENT"/>
    <s v="Ethiopia"/>
    <n v="4500334285"/>
    <s v="IP INTERNAL PO  PIA REFERANCE ETH/ADD/JULY/1327/2023 RRF GRANT NUMBER SNFI10154 IOM PROJECT CODE /PRIMA CODE DP2691/CH1HP0556"/>
    <s v="Implementing Partner"/>
    <s v="Agro Pastoral Initiative for Dev.t"/>
    <s v="Ethiopia"/>
    <n v="92007"/>
    <x v="0"/>
    <x v="0"/>
  </r>
  <r>
    <x v="2"/>
    <s v="DP.2692"/>
    <s v="A Rapid Response Fund (RRF) program responding to Emergency Needs of Disaster affected population in South Sudan under the states of Greater Equatoria (Central, Western, Eastern), greater Upper Nile (Unity, Upper Nile and Jonglei), Greater Bahr el Gh"/>
    <s v="MOVEMENT, EMERGENCY AND POST-CRISIS MIGRATION MANAGEMENT"/>
    <s v="South Sudan"/>
    <n v="4500342669"/>
    <s v="RRF0363 - Emergency Measles response among children (from 6 months to 15 years) and active surveillance in Leer and Fangak Counties under PRF Ref #4200525553"/>
    <s v="Implementing Partner"/>
    <s v="HEALTHCARE FOUNDATION ORGANIZATION"/>
    <s v="South Sudan"/>
    <n v="81993"/>
    <x v="0"/>
    <x v="3"/>
  </r>
  <r>
    <x v="2"/>
    <s v="DP.2692"/>
    <s v="A Rapid Response Fund (RRF) program responding to Emergency Needs of Disaster affected population in South Sudan under the states of Greater Equatoria (Central, Western, Eastern), greater Upper Nile (Unity, Upper Nile and Jonglei), Greater Bahr el Gh"/>
    <s v="MOVEMENT, EMERGENCY AND POST-CRISIS MIGRATION MANAGEMENT"/>
    <s v="South Sudan"/>
    <n v="4500346365"/>
    <s v="RRF0364 - Emergency Shelter/NFIs response to the returnees and the most ulnerable host populations in Abyei affected by the on-going Sudan Crisis.  4200531639"/>
    <s v="Implementing Partner"/>
    <s v="CARE FOR CHILDREN AND OLD AGE"/>
    <s v="South Sudan"/>
    <n v="132838"/>
    <x v="0"/>
    <x v="0"/>
  </r>
  <r>
    <x v="2"/>
    <s v="DP.2692"/>
    <s v="A Rapid Response Fund (RRF) program responding to Emergency Needs of Disaster affected population in South Sudan under the states of Greater Equatoria (Central, Western, Eastern), greater Upper Nile (Unity, Upper Nile and Jonglei), Greater Bahr el Gh"/>
    <s v="MOVEMENT, EMERGENCY AND POST-CRISIS MIGRATION MANAGEMENT"/>
    <s v="South Sudan"/>
    <n v="4500349595"/>
    <s v="IP transfers – National CSOs"/>
    <s v="Implementing Partner"/>
    <s v="IMPACT HEALTH ORGANIZATION (IHO)"/>
    <s v="South Sudan"/>
    <n v="90457"/>
    <x v="0"/>
    <x v="0"/>
  </r>
  <r>
    <x v="2"/>
    <s v="DP.2693"/>
    <s v="Provision Of Life-Saving Multi-Sectoral Assistance To Internally Displaced Persons and Host Communities in Yemen"/>
    <s v="MOVEMENT, EMERGENCY AND POST-CRISIS MIGRATION MANAGEMENT"/>
    <s v="Yemen"/>
    <n v="4500341895"/>
    <s v="PRF# 4200500964 as per the attached Annex C - Budget Template"/>
    <s v="Implementing Partner"/>
    <s v="Yanabia Al-Khair Charity Foundation"/>
    <s v="Yemen"/>
    <n v="2321"/>
    <x v="0"/>
    <x v="0"/>
  </r>
  <r>
    <x v="2"/>
    <s v="DP.2693"/>
    <s v="Provision Of Life-Saving Multi-Sectoral Assistance To Internally Displaced Persons and Host Communities in Yemen"/>
    <s v="MOVEMENT, EMERGENCY AND POST-CRISIS MIGRATION MANAGEMENT"/>
    <s v="Yemen"/>
    <n v="4500344153"/>
    <s v="YCO _SFI23_097 | Taiz warehouse extension | 4 Month (September to December 2023)  SAP PR: 4200530595  INSTALLMENT SCHEDULE: - First Installment - will be paid after 30 days from the signature of the agreement. - Final Installment - after 30 days of project completion."/>
    <s v="Implementing Partner"/>
    <s v="Youth Creativity Organization for"/>
    <s v="Yemen"/>
    <n v="7640"/>
    <x v="0"/>
    <x v="0"/>
  </r>
  <r>
    <x v="2"/>
    <s v="DP.2693"/>
    <s v="Provision Of Life-Saving Multi-Sectoral Assistance To Internally Displaced Persons and Host Communities in Yemen"/>
    <s v="MOVEMENT, EMERGENCY AND POST-CRISIS MIGRATION MANAGEMENT"/>
    <s v="Yemen"/>
    <n v="4500346127"/>
    <s v="PRF# 4200532716"/>
    <s v="Implementing Partner"/>
    <s v="Human Relief Foundation"/>
    <s v="Yemen"/>
    <n v="3300"/>
    <x v="0"/>
    <x v="1"/>
  </r>
  <r>
    <x v="2"/>
    <s v="DP.2697"/>
    <s v="Comprehensive Reintegration Programme in Areas of Returns in Burundi (Phase IV)"/>
    <s v="MOVEMENT, EMERGENCY AND POST-CRISIS MIGRATION MANAGEMENT"/>
    <s v="Burundi"/>
    <n v="4500342206"/>
    <s v="IP Cost of implementation service for small-scale community stabilization projects PR reference # 4200528201"/>
    <s v="Implementing Partner"/>
    <s v="DANISH REFUGEE COUNCIL"/>
    <s v="Denmark"/>
    <n v="190000"/>
    <x v="0"/>
    <x v="1"/>
  </r>
  <r>
    <x v="2"/>
    <s v="DP.2701"/>
    <s v="2023 Ukraine Response to Support Refugees from Ukraine across Europe"/>
    <s v="MOVEMENT, EMERGENCY AND POST-CRISIS MIGRATION MANAGEMENT"/>
    <s v="Czechia"/>
    <n v="4500348240"/>
    <s v="Open call for civic initiatives throgh Foundation Via - IP"/>
    <s v="Implementing Partner"/>
    <s v="Nadace Via"/>
    <s v="Czechia"/>
    <n v="195000"/>
    <x v="0"/>
    <x v="0"/>
  </r>
  <r>
    <x v="2"/>
    <s v="DP.2701"/>
    <s v="2023 Ukraine Response to Support Refugees from Ukraine across Europe"/>
    <s v="MOVEMENT, EMERGENCY AND POST-CRISIS MIGRATION MANAGEMENT"/>
    <s v="Czechia"/>
    <n v="4500348268"/>
    <s v="IP - Preventing od loss of housing in the most vulnerable groups of refugees"/>
    <s v="Implementing Partner"/>
    <s v="Romodrom o.p.s."/>
    <s v="Czechia"/>
    <n v="50000"/>
    <x v="0"/>
    <x v="0"/>
  </r>
  <r>
    <x v="2"/>
    <s v="DP.2701"/>
    <s v="2023 Ukraine Response to Support Refugees from Ukraine across Europe"/>
    <s v="MOVEMENT, EMERGENCY AND POST-CRISIS MIGRATION MANAGEMENT"/>
    <s v="Moldova (Rep)"/>
    <n v="4500344493"/>
    <s v="Longer-term Housing Pilot - Moldova (Aug-Nov'23) Housing Ecosystem Assessment"/>
    <s v="Implementing Partner"/>
    <s v="HABITAT FOR HUMANITY INTERNATIONAL"/>
    <s v="USA"/>
    <n v="85245"/>
    <x v="0"/>
    <x v="1"/>
  </r>
  <r>
    <x v="2"/>
    <s v="DP.2701"/>
    <s v="2023 Ukraine Response to Support Refugees from Ukraine across Europe"/>
    <s v="MOVEMENT, EMERGENCY AND POST-CRISIS MIGRATION MANAGEMENT"/>
    <s v="Poland"/>
    <n v="4500344897"/>
    <s v="IP transfers – National CSOs"/>
    <s v="Implementing Partner"/>
    <s v="Stowarzyszenie Edukacji dla"/>
    <s v="Poland"/>
    <n v="169110"/>
    <x v="0"/>
    <x v="0"/>
  </r>
  <r>
    <x v="2"/>
    <s v="DP.2701"/>
    <s v="2023 Ukraine Response to Support Refugees from Ukraine across Europe"/>
    <s v="MOVEMENT, EMERGENCY AND POST-CRISIS MIGRATION MANAGEMENT"/>
    <s v="Poland"/>
    <n v="4500344938"/>
    <s v="PR Number: 4200504494 IP fund transfer."/>
    <s v="Implementing Partner"/>
    <s v="Fundacja EduNowa"/>
    <s v="Poland"/>
    <n v="163913"/>
    <x v="0"/>
    <x v="0"/>
  </r>
  <r>
    <x v="2"/>
    <s v="DP.2701"/>
    <s v="2023 Ukraine Response to Support Refugees from Ukraine across Europe"/>
    <s v="MOVEMENT, EMERGENCY AND POST-CRISIS MIGRATION MANAGEMENT"/>
    <s v="Poland"/>
    <n v="4500345439"/>
    <s v="PR Number:4200504478 Polish and Engligh Languase course provided by IP."/>
    <s v="Implementing Partner"/>
    <s v="STOWARZYSZENIE WAGA"/>
    <s v="Poland"/>
    <n v="176514"/>
    <x v="0"/>
    <x v="0"/>
  </r>
  <r>
    <x v="2"/>
    <s v="DP.2701"/>
    <s v="2023 Ukraine Response to Support Refugees from Ukraine across Europe"/>
    <s v="MOVEMENT, EMERGENCY AND POST-CRISIS MIGRATION MANAGEMENT"/>
    <s v="Poland"/>
    <n v="4500347806"/>
    <s v="IP transfers – National CSOs"/>
    <s v="Implementing Partner"/>
    <s v="Malopolski Fundusz Ekonomi Spoleczn"/>
    <s v="Poland"/>
    <n v="176514"/>
    <x v="0"/>
    <x v="0"/>
  </r>
  <r>
    <x v="2"/>
    <s v="DP.2701"/>
    <s v="2023 Ukraine Response to Support Refugees from Ukraine across Europe"/>
    <s v="MOVEMENT, EMERGENCY AND POST-CRISIS MIGRATION MANAGEMENT"/>
    <s v="Poland"/>
    <n v="4500352041"/>
    <s v="PR4200504507 Labour market inclusion - Labor Market IC WAŁBRZYCH and IC WROCŁAW IP Fundacija Ukraina"/>
    <s v="Implementing Partner"/>
    <s v="Fundacja Ukraina"/>
    <s v="Poland"/>
    <n v="282422"/>
    <x v="0"/>
    <x v="0"/>
  </r>
  <r>
    <x v="2"/>
    <s v="DP.2702"/>
    <s v="Supporting Vulnerable Refugees and Local Communities in Cox’s Bazar, Bangladesh, through Improved Access to Health, Protection, Shelter, Site Management and Site Development, Water, Sanitation and Hygiene (WASH) Services"/>
    <s v="MOVEMENT, EMERGENCY AND POST-CRISIS MIGRATION MANAGEMENT"/>
    <s v="Bangladesh"/>
    <n v="4500341977"/>
    <s v="PR-4200525081 Unit-Protection Requestor-Thui Sha Ching MARMA  Pulse Bangladesh Society partnership new agreement for 1st August to 30 November 2023"/>
    <s v="Implementing Partner"/>
    <s v="Pulse Bangladesh Society"/>
    <s v="Bangladesh"/>
    <n v="195337"/>
    <x v="0"/>
    <x v="0"/>
  </r>
  <r>
    <x v="2"/>
    <s v="DP.2702"/>
    <s v="Supporting Vulnerable Refugees and Local Communities in Cox’s Bazar, Bangladesh, through Improved Access to Health, Protection, Shelter, Site Management and Site Development, Water, Sanitation and Hygiene (WASH) Services"/>
    <s v="MOVEMENT, EMERGENCY AND POST-CRISIS MIGRATION MANAGEMENT"/>
    <s v="Bangladesh"/>
    <n v="4500342145"/>
    <s v="IP transfers – National CSOs"/>
    <s v="Implementing Partner"/>
    <s v="YPSA"/>
    <s v="Bangladesh"/>
    <n v="114704"/>
    <x v="0"/>
    <x v="0"/>
  </r>
  <r>
    <x v="2"/>
    <s v="DP.2702"/>
    <s v="Supporting Vulnerable Refugees and Local Communities in Cox’s Bazar, Bangladesh, through Improved Access to Health, Protection, Shelter, Site Management and Site Development, Water, Sanitation and Hygiene (WASH) Services"/>
    <s v="MOVEMENT, EMERGENCY AND POST-CRISIS MIGRATION MANAGEMENT"/>
    <s v="Bangladesh"/>
    <n v="4500342189"/>
    <s v="PR-4200494670 Unit-WASH Requestor-Moury Rahman.  IOM-DSK project implementation agreement for 4 months (1 June - 30 Sep, 2023) for monitoring, operation and maintenance of WASH"/>
    <s v="Implementing Partner"/>
    <s v="DSK"/>
    <s v="Bangladesh"/>
    <n v="137180"/>
    <x v="0"/>
    <x v="0"/>
  </r>
  <r>
    <x v="2"/>
    <s v="DP.2704"/>
    <s v="Enhancing Resilience and Recovery in Mykolaiv"/>
    <s v="MOVEMENT, EMERGENCY AND POST-CRISIS MIGRATION MANAGEMENT"/>
    <s v="Ukraine"/>
    <n v="4500340766"/>
    <s v="PIA_UA1-2023-12619 dd.04/04/2023"/>
    <s v="Implementing Partner"/>
    <s v="Ukrainian Red Cross Society"/>
    <s v="Ukraine"/>
    <n v="57400"/>
    <x v="0"/>
    <x v="4"/>
  </r>
  <r>
    <x v="2"/>
    <s v="DP.2707"/>
    <s v="Provision of Integrated Protection and Life-Saving Health Services to Migrants and Internally Displaced Persons (IDPs) in Yemen"/>
    <s v="MOVEMENT, EMERGENCY AND POST-CRISIS MIGRATION MANAGEMENT"/>
    <s v="Yemen"/>
    <n v="4500349114"/>
    <s v="PRF# 4200528014"/>
    <s v="Implementing Partner"/>
    <s v="Intersos"/>
    <s v="Yemen"/>
    <n v="656455"/>
    <x v="0"/>
    <x v="1"/>
  </r>
  <r>
    <x v="2"/>
    <s v="DP.2707"/>
    <s v="Provision of Integrated Protection and Life-Saving Health Services to Migrants and Internally Displaced Persons (IDPs) in Yemen"/>
    <s v="MOVEMENT, EMERGENCY AND POST-CRISIS MIGRATION MANAGEMENT"/>
    <s v="Yemen"/>
    <n v="4500349130"/>
    <s v="PRF# 4200527947"/>
    <s v="Implementing Partner"/>
    <s v="DANISH REFUGEE COUNCIL"/>
    <s v="Yemen"/>
    <n v="1094092"/>
    <x v="0"/>
    <x v="1"/>
  </r>
  <r>
    <x v="2"/>
    <s v="DR.0036"/>
    <s v="Inclusive Mitigation and Preparedness in Action (IMPACT) - Federated States of Micronesia"/>
    <s v="MIGRATION AND DEVELOPMENT"/>
    <s v="Micronesia (FS)"/>
    <n v="4500326353"/>
    <s v="Project Implementation Agreement on &quot;Strengthening the Food Security for the Community of Malem&quot; FM/IP/2023/003 dated 30 June 2023"/>
    <s v="Implementing Partner"/>
    <s v="Lelu Farmers Association"/>
    <s v="Micronesia (FS)"/>
    <n v="17316"/>
    <x v="0"/>
    <x v="3"/>
  </r>
  <r>
    <x v="2"/>
    <s v="DX.0097"/>
    <s v="Mobility Tracking and Multi-Sectoral Humanitarian Needs in Localities and Sites Affected by Displacement/Return in the Central African Republic (National Coverage)"/>
    <s v="MOVEMENT, EMERGENCY AND POST-CRISIS MIGRATION MANAGEMENT"/>
    <s v="CAR"/>
    <n v="4500333473"/>
    <s v="MOBILITY TRACKING ROUND 19 AND 20 OTHER DTM ACTIVITIES PRF 4200493619"/>
    <s v="Implementing Partner"/>
    <s v="COLLECTIF¨POUR LA PAIX EN CENTRAFRI"/>
    <s v="CAR"/>
    <n v="18124"/>
    <x v="0"/>
    <x v="0"/>
  </r>
  <r>
    <x v="2"/>
    <s v="DX.0097"/>
    <s v="Mobility Tracking and Multi-Sectoral Humanitarian Needs in Localities and Sites Affected by Displacement/Return in the Central African Republic (National Coverage)"/>
    <s v="MOVEMENT, EMERGENCY AND POST-CRISIS MIGRATION MANAGEMENT"/>
    <s v="CAR"/>
    <n v="4500333487"/>
    <s v="MOBILITY TRACKING ROUND 19 AND 20 OTHER DTM ACTIVITIES PRF 4200493619"/>
    <s v="Implementing Partner"/>
    <s v="COLLECTIF¨POUR LA PAIX EN CENTRAFRI"/>
    <s v="CAR"/>
    <n v="48236"/>
    <x v="0"/>
    <x v="0"/>
  </r>
  <r>
    <x v="2"/>
    <s v="DX.0097"/>
    <s v="Mobility Tracking and Multi-Sectoral Humanitarian Needs in Localities and Sites Affected by Displacement/Return in the Central African Republic (National Coverage)"/>
    <s v="MOVEMENT, EMERGENCY AND POST-CRISIS MIGRATION MANAGEMENT"/>
    <s v="CAR"/>
    <n v="4500333499"/>
    <s v="MOBILITY TRACKING ROUND 19 AND 20 OTHER DTM ACTIVITIES PRF 4200493619"/>
    <s v="Implementing Partner"/>
    <s v="AFRICAN RELIEF SERVICE 2"/>
    <s v="CAR"/>
    <n v="65876"/>
    <x v="0"/>
    <x v="1"/>
  </r>
  <r>
    <x v="2"/>
    <s v="DX.0097"/>
    <s v="Mobility Tracking and Multi-Sectoral Humanitarian Needs in Localities and Sites Affected by Displacement/Return in the Central African Republic (National Coverage)"/>
    <s v="MOVEMENT, EMERGENCY AND POST-CRISIS MIGRATION MANAGEMENT"/>
    <s v="CAR"/>
    <n v="4500333727"/>
    <s v="MOBILITY TRACKING ROUND 19 AND 20 OTHER DTM ACTIVITIES PRF 4200493619"/>
    <s v="Implementing Partner"/>
    <s v="FNOHD"/>
    <s v="CAR"/>
    <n v="17242"/>
    <x v="0"/>
    <x v="0"/>
  </r>
  <r>
    <x v="2"/>
    <s v="DX.0097"/>
    <s v="Mobility Tracking and Multi-Sectoral Humanitarian Needs in Localities and Sites Affected by Displacement/Return in the Central African Republic (National Coverage)"/>
    <s v="MOVEMENT, EMERGENCY AND POST-CRISIS MIGRATION MANAGEMENT"/>
    <s v="CAR"/>
    <n v="4500337243"/>
    <s v="MOBILITY TRACKING ROUND 19 AND 20 OTHER ACTIVITIES PRF 4200493619"/>
    <s v="Implementing Partner"/>
    <s v="Association des Femmes Evang. BOSSA"/>
    <s v="CAR"/>
    <n v="10569"/>
    <x v="0"/>
    <x v="0"/>
  </r>
  <r>
    <x v="2"/>
    <s v="DX.0099"/>
    <s v="Supporting Multi-Sector Emergency Response Assistance for Populations Affected by the North-West, South-West Crisis in Cameroon"/>
    <s v="MOVEMENT, EMERGENCY AND POST-CRISIS MIGRATION MANAGEMENT"/>
    <s v="Cameroon"/>
    <n v="4500343698"/>
    <s v="IP transfers – National CSOs"/>
    <s v="Implementing Partner"/>
    <s v="COMUNITY HUMANITARIAN EMERGENCY"/>
    <s v="Cameroon"/>
    <n v="71676"/>
    <x v="0"/>
    <x v="0"/>
  </r>
  <r>
    <x v="2"/>
    <s v="EP.0041"/>
    <s v="Addressing Protection Risks in Humanitarian Settings in Timor-Leste and Papua New Guinea"/>
    <s v="MOVEMENT, EMERGENCY AND POST-CRISIS MIGRATION MANAGEMENT"/>
    <s v="Timor-Leste"/>
    <n v="4500336675"/>
    <s v="UN Partnerships"/>
    <s v="Implementing Partner"/>
    <s v="UNICEF"/>
    <s v="USA"/>
    <n v="1485149"/>
    <x v="0"/>
    <x v="7"/>
  </r>
  <r>
    <x v="2"/>
    <s v="MP.0523"/>
    <s v="Health and Gender Support Project for Cox's Bazar District"/>
    <s v="MIGRATION HEALTH"/>
    <s v="Bangladesh"/>
    <n v="4500341936"/>
    <s v="IP transfers – National CSOs"/>
    <s v="Implementing Partner"/>
    <s v="RESEARCH TRAINING &amp; MANAGEMENT INT"/>
    <s v="Bangladesh"/>
    <n v="185690"/>
    <x v="0"/>
    <x v="0"/>
  </r>
  <r>
    <x v="2"/>
    <s v="MP.0523"/>
    <s v="Health and Gender Support Project for Cox's Bazar District"/>
    <s v="MIGRATION HEALTH"/>
    <s v="Bangladesh"/>
    <n v="4500342858"/>
    <s v="PR-4200513176 Unit-MHD Requestor-Md. Alamgir MIAH  Require budget for IP BGS for the period of 1 July 2023 to 31 December 2023 to implement ''Community Based Health Outreach."/>
    <s v="Implementing Partner"/>
    <s v="BANGLA-GERMAN SAMPREETI"/>
    <s v="Bangladesh"/>
    <n v="134902"/>
    <x v="0"/>
    <x v="0"/>
  </r>
  <r>
    <x v="2"/>
    <s v="MP.0523"/>
    <s v="Health and Gender Support Project for Cox's Bazar District"/>
    <s v="MIGRATION HEALTH"/>
    <s v="Bangladesh"/>
    <n v="4500344727"/>
    <s v="IP transfers – National CSOs"/>
    <s v="Implementing Partner"/>
    <s v="MUKTI Cox's Bazar"/>
    <s v="Bangladesh"/>
    <n v="218733"/>
    <x v="0"/>
    <x v="3"/>
  </r>
  <r>
    <x v="2"/>
    <s v="MP.0592"/>
    <s v="Regional Humanitarian Response to Venezuelan Migrants, Refugees and Vulnerable Populations - Phase III"/>
    <s v="MIGRATION HEALTH"/>
    <s v="Venezuela (BR)"/>
    <n v="4500333864"/>
    <s v="IP.2023.019 - Convenio Caritas de Venezuela DTM IOMVE/CONTR/2023/052 DTM Caritas Táchira (Venezuela) - AECID III Acuerdo de Implementacion de Proyecto entre Organizacion Internacional para las migraciones y Caritas de Venezuela relativo a levantamiento de Información - DTM Tachira y Zulia"/>
    <s v="Implementing Partner"/>
    <s v="ASOC C CARITAS DE VENEZUELA"/>
    <s v="Venezuela (BR)"/>
    <n v="30612"/>
    <x v="0"/>
    <x v="6"/>
  </r>
  <r>
    <x v="2"/>
    <s v="MP.0592"/>
    <s v="Regional Humanitarian Response to Venezuelan Migrants, Refugees and Vulnerable Populations - Phase III"/>
    <s v="MIGRATION HEALTH"/>
    <s v="Venezuela (BR)"/>
    <n v="4500342746"/>
    <s v="IP.2023.033 - ACUERDO DE IMPLEMENTACION DE PROYECTO CARITAS DE VENEZUELA (CORO) IOMVE/CONTR/2023/054 &quot;Provision de asistencia y proteccion a personas en contexto de movilidad en condiciones de vulnerabilidad en las regiones fronterizas de Venezuela y Brasil (Extension)&quot;"/>
    <s v="Implementing Partner"/>
    <s v="ASOC C CARITAS DE VENEZUELA"/>
    <s v="Venezuela (BR)"/>
    <n v="13705"/>
    <x v="0"/>
    <x v="6"/>
  </r>
  <r>
    <x v="2"/>
    <s v="MP.0592"/>
    <s v="Regional Humanitarian Response to Venezuelan Migrants, Refugees and Vulnerable Populations - Phase III"/>
    <s v="MIGRATION HEALTH"/>
    <s v="Venezuela (BR)"/>
    <n v="4500342748"/>
    <s v="IP.2023.029 - IP Ext Caritas MBO ECHO ACUERDO DE IMPLEMENTACION DE PROYECTO MARACAIBO &quot;Provision de asistencia y proteccion a personas en contexto de movilidad en condiciones de vulnerabilidad en las regiones fronterizas de Venezuela Extension&quot; IOMVE/CONT/2023/057"/>
    <s v="Implementing Partner"/>
    <s v="ASOC C CARITAS DE VENEZUELA"/>
    <s v="Venezuela (BR)"/>
    <n v="25124"/>
    <x v="0"/>
    <x v="6"/>
  </r>
  <r>
    <x v="2"/>
    <s v="MP.0592"/>
    <s v="Regional Humanitarian Response to Venezuelan Migrants, Refugees and Vulnerable Populations - Phase III"/>
    <s v="MIGRATION HEALTH"/>
    <s v="Venezuela (BR)"/>
    <n v="4500342753"/>
    <s v="IP.2023.030 - IP Ext Cruz roja ZULIA ECHO &quot;Provision de asistencia y proteccion a personas en contexto de movilidad en condiciones de vulnerabilidad en las regiones fronterizas de Venezuela Extension&quot; IOMVE/CONTR/2023/056"/>
    <s v="Implementing Partner"/>
    <s v="Cruz Roja Venezolana Seccional Zuli"/>
    <s v="Venezuela (BR)"/>
    <n v="12413"/>
    <x v="0"/>
    <x v="4"/>
  </r>
  <r>
    <x v="2"/>
    <s v="MP.0592"/>
    <s v="Regional Humanitarian Response to Venezuelan Migrants, Refugees and Vulnerable Populations - Phase III"/>
    <s v="MIGRATION HEALTH"/>
    <s v="Venezuela (BR)"/>
    <n v="4500342755"/>
    <s v="IP.2023.031 - IP Ext Diocesis SC ECHO &quot;Provision de asistencia y proteccion a personas en contexto de movilidad en condiciones de vulnerabilidad en las regiones fronterizas de Venezuela- Extensión&quot; IOMVE/CONT/2023/060"/>
    <s v="Implementing Partner"/>
    <s v="DIOCESIS DE SAN CRISTOBAL"/>
    <s v="Venezuela (BR)"/>
    <n v="49559"/>
    <x v="0"/>
    <x v="5"/>
  </r>
  <r>
    <x v="2"/>
    <s v="MP.0592"/>
    <s v="Regional Humanitarian Response to Venezuelan Migrants, Refugees and Vulnerable Populations - Phase III"/>
    <s v="MIGRATION HEALTH"/>
    <s v="Venezuela (BR)"/>
    <n v="4500342760"/>
    <s v="IP.2023.032 - IP Ext Caritas Carupano ECHO ACUERDO DE IMPLEMENTACION DE PROYECTO CARUPANO &quot;Provision de asistencia y proteccion a personas en contexto de movilidad en condiciones de vulnerabilidad en las regiones fronterizas de Venezuela - Extensión&quot; IOMVE/CONT/2023/055"/>
    <s v="Implementing Partner"/>
    <s v="ASOC C CARITAS DE VENEZUELA"/>
    <s v="Venezuela (BR)"/>
    <n v="14649"/>
    <x v="0"/>
    <x v="6"/>
  </r>
  <r>
    <x v="2"/>
    <s v="MP.0592"/>
    <s v="Regional Humanitarian Response to Venezuelan Migrants, Refugees and Vulnerable Populations - Phase III"/>
    <s v="MIGRATION HEALTH"/>
    <s v="Venezuela (BR)"/>
    <n v="4500342766"/>
    <s v="IP.2023.035 - IP Ext ODISEF ECHO IOMVE/CONTR/2023/059 ACUERDO DE IMPLEMENTACION DE PROYECTO CON LA ASOCIACION CIVIL OBSERVATORIO DE INVESTIGACIONES SOCIALES EN FRONTERA (ODISEF) &quot;Provision de asistencia y proteccion a personas en contexto de movilidad en condiciones de vulnerabilidad en las regiones fronterizas de Venezuela y Brasi (Extension)&quot;"/>
    <s v="Implementing Partner"/>
    <s v="ASOCIACION CIVIL OBSERVATORIO DE"/>
    <s v="Venezuela (BR)"/>
    <n v="18404"/>
    <x v="0"/>
    <x v="0"/>
  </r>
  <r>
    <x v="2"/>
    <s v="MP.0592"/>
    <s v="Regional Humanitarian Response to Venezuelan Migrants, Refugees and Vulnerable Populations - Phase III"/>
    <s v="MIGRATION HEALTH"/>
    <s v="Venezuela (BR)"/>
    <n v="4500342773"/>
    <s v="IP.2023.036 - IP Ext Caritas Guadualito ECHO IOMVE/CONTR/2023/058 ACUERDO DE IMPLEMENTACION DE PROYECTO CARITAS GUASDUALITO &quot;Provision de asistencia y proteccion a personas en contexto de movilidad en condiciones de vulnerabilidad en las regiones fronterizas de Venezuela y Brasil (Extension)&quot;"/>
    <s v="Implementing Partner"/>
    <s v="ASOC. CIVIL CARITAS GUASDUALITO"/>
    <s v="Venezuela (BR)"/>
    <n v="32789"/>
    <x v="0"/>
    <x v="6"/>
  </r>
  <r>
    <x v="2"/>
    <s v="MP.0592"/>
    <s v="Regional Humanitarian Response to Venezuelan Migrants, Refugees and Vulnerable Populations - Phase III"/>
    <s v="MIGRATION HEALTH"/>
    <s v="Venezuela (BR)"/>
    <n v="4500342780"/>
    <s v="IP.2023.037 - IP Ext Cruz roja Guadualito ECHO IOMVE/CONTR/2023/053 ACUERDO DE IMPLEMENTACON DE PROYECTO SUBCOMITE GUASDUALITO SECCIONAL APURE DE LA CRUZ ROJA VENEZOLANA &quot;Provision de asistencia y proteccion a personas en contexto de movilidad en condiciones de vulnerabilidad en las regiones fronterizas de Venezuela y Brasil (Extension)&quot;"/>
    <s v="Implementing Partner"/>
    <s v="Cruz Roja Sub Comite Guasdualito"/>
    <s v="Venezuela (BR)"/>
    <n v="7932"/>
    <x v="0"/>
    <x v="4"/>
  </r>
  <r>
    <x v="2"/>
    <s v="MP.0592"/>
    <s v="Regional Humanitarian Response to Venezuelan Migrants, Refugees and Vulnerable Populations - Phase III"/>
    <s v="MIGRATION HEALTH"/>
    <s v="Venezuela (BR)"/>
    <n v="4500342785"/>
    <s v="IP.2023.034 - IP Maniapure ECHO ACUERDO DE IMPLEMENTACIÓN DE PROYECTO Fundación Proyecto Maniapure &quot;Provisión de asistencia y protección a personas en contexto de movilidad en condiciones de vulnerabilidad en las regiones fronterizas de Venezuela y Brasil ”"/>
    <s v="Implementing Partner"/>
    <s v="FUNDACION PROYECTO MANIAPURE"/>
    <s v="Venezuela (BR)"/>
    <n v="4013"/>
    <x v="0"/>
    <x v="0"/>
  </r>
  <r>
    <x v="2"/>
    <s v="MP.0601"/>
    <s v="Emergency Assistance for Vulnerable Populations in the States of Bolívar and Amazonas, Venezuela"/>
    <s v="MIGRATION HEALTH"/>
    <s v="Venezuela (BR)"/>
    <n v="4500335719"/>
    <s v="IP.2023.027 - IP Aseinc &quot;Asistencia a víctimas de trata o de algún tipo de violencia identificadas en los estados Amazonas y Bolívar&quot; (proyecto BHA) Contrato Numero IOMVE/CONTR/2023/062"/>
    <s v="Implementing Partner"/>
    <s v="ASOC DESARR EDUC INTEGRAL Y COMUNIT"/>
    <s v="Venezuela (BR)"/>
    <n v="96015"/>
    <x v="0"/>
    <x v="0"/>
  </r>
  <r>
    <x v="2"/>
    <s v="SN.0157"/>
    <s v="Emergency Assistance to Displaced Populations Affected by Conflict/Natural Disasters in Camp, Camp-like Settings, and Host Communities in the Central African Republic (CAR)"/>
    <s v="MOVEMENT, EMERGENCY AND POST-CRISIS MIGRATION MANAGEMENT"/>
    <s v="CAR"/>
    <n v="4500329603"/>
    <s v="Mise en oeuvre d mecanisme de suivi des evaluations a Bangui et Ombella Mpoko PRF 4200493522"/>
    <s v="Implementing Partner"/>
    <s v="COLLECTIF¨POUR LA PAIX EN CENTRAFRI"/>
    <s v="CAR"/>
    <n v="4173"/>
    <x v="0"/>
    <x v="0"/>
  </r>
  <r>
    <x v="2"/>
    <s v="SN.0157"/>
    <s v="Emergency Assistance to Displaced Populations Affected by Conflict/Natural Disasters in Camp, Camp-like Settings, and Host Communities in the Central African Republic (CAR)"/>
    <s v="MOVEMENT, EMERGENCY AND POST-CRISIS MIGRATION MANAGEMENT"/>
    <s v="CAR"/>
    <n v="4500331728"/>
    <s v="MOBILITY TRACKING/SMI AND REGISTRATION OF RETURN FROM ABROAT AND DISPLACEMENT FROM TCHAD PRF 4200493520"/>
    <s v="Implementing Partner"/>
    <s v="CADRE D'APPUI SPIRIT. AUT. LOCALES"/>
    <s v="CAR"/>
    <n v="48731"/>
    <x v="0"/>
    <x v="0"/>
  </r>
  <r>
    <x v="2"/>
    <s v="SN.0157"/>
    <s v="Emergency Assistance to Displaced Populations Affected by Conflict/Natural Disasters in Camp, Camp-like Settings, and Host Communities in the Central African Republic (CAR)"/>
    <s v="MOVEMENT, EMERGENCY AND POST-CRISIS MIGRATION MANAGEMENT"/>
    <s v="CAR"/>
    <n v="4500333473"/>
    <s v="MOBILITY TRACKING ROUND 19 AND 20 OTHER DTM ACTIVITIES PRF 4200493619"/>
    <s v="Implementing Partner"/>
    <s v="COLLECTIF¨POUR LA PAIX EN CENTRAFRI"/>
    <s v="CAR"/>
    <n v="12083"/>
    <x v="0"/>
    <x v="0"/>
  </r>
  <r>
    <x v="2"/>
    <s v="SN.0157"/>
    <s v="Emergency Assistance to Displaced Populations Affected by Conflict/Natural Disasters in Camp, Camp-like Settings, and Host Communities in the Central African Republic (CAR)"/>
    <s v="MOVEMENT, EMERGENCY AND POST-CRISIS MIGRATION MANAGEMENT"/>
    <s v="CAR"/>
    <n v="4500333478"/>
    <s v="MOBILITY TRACKING RUND 19 AND 20 OTHER DTM ACTIVITY PRF 4200493619"/>
    <s v="Implementing Partner"/>
    <s v="ONG NDA"/>
    <s v="CAR"/>
    <n v="19200"/>
    <x v="0"/>
    <x v="0"/>
  </r>
  <r>
    <x v="2"/>
    <s v="SN.0157"/>
    <s v="Emergency Assistance to Displaced Populations Affected by Conflict/Natural Disasters in Camp, Camp-like Settings, and Host Communities in the Central African Republic (CAR)"/>
    <s v="MOVEMENT, EMERGENCY AND POST-CRISIS MIGRATION MANAGEMENT"/>
    <s v="CAR"/>
    <n v="4500333507"/>
    <s v="MOBILITY TRACKING ROUND 19 AND 20 OTHER DTM ACTIVITIES PRF 4200493616"/>
    <s v="Implementing Partner"/>
    <s v="ONG ESPERANCE"/>
    <s v="CAR"/>
    <n v="20809"/>
    <x v="0"/>
    <x v="0"/>
  </r>
  <r>
    <x v="2"/>
    <s v="SN.0157"/>
    <s v="Emergency Assistance to Displaced Populations Affected by Conflict/Natural Disasters in Camp, Camp-like Settings, and Host Communities in the Central African Republic (CAR)"/>
    <s v="MOVEMENT, EMERGENCY AND POST-CRISIS MIGRATION MANAGEMENT"/>
    <s v="CAR"/>
    <n v="4500333512"/>
    <s v="MOBILITY TRACKING ROUND 19 AND 20 OTHER DTM ACTIVITIES PRF 4200493619"/>
    <s v="Implementing Partner"/>
    <s v="JUPEDEC"/>
    <s v="CAR"/>
    <n v="20038"/>
    <x v="0"/>
    <x v="0"/>
  </r>
  <r>
    <x v="2"/>
    <s v="SN.0157"/>
    <s v="Emergency Assistance to Displaced Populations Affected by Conflict/Natural Disasters in Camp, Camp-like Settings, and Host Communities in the Central African Republic (CAR)"/>
    <s v="MOVEMENT, EMERGENCY AND POST-CRISIS MIGRATION MANAGEMENT"/>
    <s v="CAR"/>
    <n v="4500333514"/>
    <s v="MOBILITY TRACKING ROUND 19 AND 20 OTHER DTM ACTIVITIES PRF 4200493619"/>
    <s v="Implementing Partner"/>
    <s v="FNOHD"/>
    <s v="CAR"/>
    <n v="18081"/>
    <x v="0"/>
    <x v="0"/>
  </r>
  <r>
    <x v="2"/>
    <s v="SN.0157"/>
    <s v="Emergency Assistance to Displaced Populations Affected by Conflict/Natural Disasters in Camp, Camp-like Settings, and Host Communities in the Central African Republic (CAR)"/>
    <s v="MOVEMENT, EMERGENCY AND POST-CRISIS MIGRATION MANAGEMENT"/>
    <s v="CAR"/>
    <n v="4500333519"/>
    <s v="MOBILITY TRACKING ROUND 19 AND 20 OTHER DTM ACTIVITIES PRF 4200493619"/>
    <s v="Implementing Partner"/>
    <s v="ASSOCIATION LE SAMARITAIN"/>
    <s v="CAR"/>
    <n v="15466"/>
    <x v="0"/>
    <x v="0"/>
  </r>
  <r>
    <x v="2"/>
    <s v="SN.0157"/>
    <s v="Emergency Assistance to Displaced Populations Affected by Conflict/Natural Disasters in Camp, Camp-like Settings, and Host Communities in the Central African Republic (CAR)"/>
    <s v="MOVEMENT, EMERGENCY AND POST-CRISIS MIGRATION MANAGEMENT"/>
    <s v="CAR"/>
    <n v="4500333727"/>
    <s v="MOBILITY TRACKING ROUND 19 AND 20 OTHER DTM ACTIVITIES PRF 4200493619"/>
    <s v="Implementing Partner"/>
    <s v="FNOHD"/>
    <s v="CAR"/>
    <n v="14107"/>
    <x v="0"/>
    <x v="0"/>
  </r>
  <r>
    <x v="2"/>
    <s v="SN.0157"/>
    <s v="Emergency Assistance to Displaced Populations Affected by Conflict/Natural Disasters in Camp, Camp-like Settings, and Host Communities in the Central African Republic (CAR)"/>
    <s v="MOVEMENT, EMERGENCY AND POST-CRISIS MIGRATION MANAGEMENT"/>
    <s v="CAR"/>
    <n v="4500333734"/>
    <s v="MOBILITY TRACKING ROUND 19 AND 20 OTHER DTM ACTIVITIES PRF 4200493619"/>
    <s v="Implementing Partner"/>
    <s v="ONG VISION ET DEVELOPPEMENT"/>
    <s v="CAR"/>
    <n v="13565"/>
    <x v="0"/>
    <x v="0"/>
  </r>
  <r>
    <x v="2"/>
    <s v="SN.0157"/>
    <s v="Emergency Assistance to Displaced Populations Affected by Conflict/Natural Disasters in Camp, Camp-like Settings, and Host Communities in the Central African Republic (CAR)"/>
    <s v="MOVEMENT, EMERGENCY AND POST-CRISIS MIGRATION MANAGEMENT"/>
    <s v="CAR"/>
    <n v="4500337243"/>
    <s v="MOBILITY TRACKING ROUND 19 AND 20 OTHER ACTIVITIES PRF 4200493619"/>
    <s v="Implementing Partner"/>
    <s v="Association des Femmes Evang. BOSSA"/>
    <s v="CAR"/>
    <n v="24661"/>
    <x v="0"/>
    <x v="0"/>
  </r>
  <r>
    <x v="2"/>
    <s v="SN.0157"/>
    <s v="Emergency Assistance to Displaced Populations Affected by Conflict/Natural Disasters in Camp, Camp-like Settings, and Host Communities in the Central African Republic (CAR)"/>
    <s v="MOVEMENT, EMERGENCY AND POST-CRISIS MIGRATION MANAGEMENT"/>
    <s v="CAR"/>
    <n v="4500337263"/>
    <s v="MOBILITY TRACKING ROUND 19 AND 20 AND OTHER ACTIVITIES 4200493619"/>
    <s v="Implementing Partner"/>
    <s v="Association des Femmes Evang. BOSSA"/>
    <s v="CAR"/>
    <n v="19412"/>
    <x v="0"/>
    <x v="0"/>
  </r>
  <r>
    <x v="2"/>
    <s v="SN.0157"/>
    <s v="Emergency Assistance to Displaced Populations Affected by Conflict/Natural Disasters in Camp, Camp-like Settings, and Host Communities in the Central African Republic (CAR)"/>
    <s v="MOVEMENT, EMERGENCY AND POST-CRISIS MIGRATION MANAGEMENT"/>
    <s v="CAR"/>
    <n v="4500337277"/>
    <s v="MOBILITY TRACKING ROUND 19 AND 20 OTHER DTM ACTIVITIES PRF 4200493619"/>
    <s v="Implementing Partner"/>
    <s v="Association des Femmes Evang. BOSSA"/>
    <s v="CAR"/>
    <n v="34558"/>
    <x v="0"/>
    <x v="0"/>
  </r>
  <r>
    <x v="2"/>
    <s v="SN.0157"/>
    <s v="Emergency Assistance to Displaced Populations Affected by Conflict/Natural Disasters in Camp, Camp-like Settings, and Host Communities in the Central African Republic (CAR)"/>
    <s v="MOVEMENT, EMERGENCY AND POST-CRISIS MIGRATION MANAGEMENT"/>
    <s v="CAR"/>
    <n v="4500345573"/>
    <s v="CONTRAT IP AGR 4200520862"/>
    <s v="Implementing Partner"/>
    <s v="ASSOCIATION EPHPHATHA"/>
    <s v="CAR"/>
    <n v="24725"/>
    <x v="0"/>
    <x v="0"/>
  </r>
  <r>
    <x v="2"/>
    <s v="SN.0170"/>
    <s v="Addressing Immediate Humanitarian Needs of the Most Vulnerable Populations in Ukraine"/>
    <s v="MOVEMENT, EMERGENCY AND POST-CRISIS MIGRATION MANAGEMENT"/>
    <s v="Ukraine"/>
    <n v="4500336802"/>
    <s v="UA1-2022-3090_IP service_Winter in Hospitals_UA Brokers without Borders extension for PR 4200397137"/>
    <s v="Implementing Partner"/>
    <s v="CO CF UA BROKERS WITHOUT BORDERS UK"/>
    <s v="Ukraine"/>
    <n v="5944"/>
    <x v="0"/>
    <x v="1"/>
  </r>
  <r>
    <x v="2"/>
    <s v="SN.0184"/>
    <s v="Enhancing Protection of Persons of Concern in Mexico, Guatemala, El Salvador, Honduras and Costa Rica through Humanitarian/Shelter Assistance, Protection Assistance, Cash-Based Interventions and Improved Coordination among Actors"/>
    <s v="MOVEMENT, EMERGENCY AND POST-CRISIS MIGRATION MANAGEMENT"/>
    <s v="Costa Rica"/>
    <n v="4500326954"/>
    <s v="Purchase Order for CADENA COSTA RICA PROJECT IMPLEMENTATION AGREEMENT"/>
    <s v="Implementing Partner"/>
    <s v="CADENA COSTA RICA"/>
    <s v="Costa Rica"/>
    <n v="105400"/>
    <x v="0"/>
    <x v="1"/>
  </r>
  <r>
    <x v="2"/>
    <s v="SN.0200"/>
    <s v="Lifesaving Assistance to Displaced Populations in the Far-North Region of Cameroon through Shelter/Non-Food Items (NFI)"/>
    <s v="MOVEMENT, EMERGENCY AND POST-CRISIS MIGRATION MANAGEMENT"/>
    <s v="Cameroon"/>
    <n v="4500340425"/>
    <s v="Services for the implementation of the NFI Shelter project activities of the Japons and Echo projects in the Far North region"/>
    <s v="Implementing Partner"/>
    <s v="ASSOCIATION DES ANIMATEURS ET ENCAD"/>
    <s v="Cameroon"/>
    <n v="59428"/>
    <x v="0"/>
    <x v="0"/>
  </r>
  <r>
    <x v="2"/>
    <s v="SN.0205"/>
    <s v="Emergency Humanitarian Support for Earthquake-Affected Population in Northwest Syria (NWS)"/>
    <s v="MOVEMENT, EMERGENCY AND POST-CRISIS MIGRATION MANAGEMENT"/>
    <s v="Turkey"/>
    <n v="4500328438"/>
    <s v="IP transfers – National CSOs"/>
    <s v="Implementing Partner"/>
    <s v="NUR DERNEGI"/>
    <s v="Turkey"/>
    <n v="12975"/>
    <x v="0"/>
    <x v="0"/>
  </r>
  <r>
    <x v="2"/>
    <s v="SN.0205"/>
    <s v="Emergency Humanitarian Support for Earthquake-Affected Population in Northwest Syria (NWS)"/>
    <s v="MOVEMENT, EMERGENCY AND POST-CRISIS MIGRATION MANAGEMENT"/>
    <s v="Turkey"/>
    <n v="4500335203"/>
    <s v="IP transfers – National CSOs"/>
    <s v="Implementing Partner"/>
    <s v="VATAN DERNEGI"/>
    <s v="Turkey"/>
    <n v="1682"/>
    <x v="0"/>
    <x v="0"/>
  </r>
  <r>
    <x v="2"/>
    <s v="SN.0205"/>
    <s v="Emergency Humanitarian Support for Earthquake-Affected Population in Northwest Syria (NWS)"/>
    <s v="MOVEMENT, EMERGENCY AND POST-CRISIS MIGRATION MANAGEMENT"/>
    <s v="Turkey"/>
    <n v="4500341155"/>
    <s v="IP transfers – National CSOs"/>
    <s v="Implementing Partner"/>
    <s v="VATAN DERNEGI"/>
    <s v="Turkey"/>
    <n v="2525"/>
    <x v="0"/>
    <x v="0"/>
  </r>
  <r>
    <x v="2"/>
    <s v="SN.0205"/>
    <s v="Emergency Humanitarian Support for Earthquake-Affected Population in Northwest Syria (NWS)"/>
    <s v="MOVEMENT, EMERGENCY AND POST-CRISIS MIGRATION MANAGEMENT"/>
    <s v="Turkey"/>
    <n v="4500346214"/>
    <s v="IP transfers – National CSOs"/>
    <s v="Implementing Partner"/>
    <s v="VIOLET ORGANIZATION"/>
    <s v="Turkey"/>
    <n v="21518"/>
    <x v="0"/>
    <x v="0"/>
  </r>
  <r>
    <x v="2"/>
    <s v="SN.0205"/>
    <s v="Emergency Humanitarian Support for Earthquake-Affected Population in Northwest Syria (NWS)"/>
    <s v="MOVEMENT, EMERGENCY AND POST-CRISIS MIGRATION MANAGEMENT"/>
    <s v="Turkey"/>
    <n v="4500346618"/>
    <s v="IP transfers – National CSOs"/>
    <s v="Implementing Partner"/>
    <s v="SYRIA RELIEF"/>
    <s v="Turkey"/>
    <n v="4873"/>
    <x v="0"/>
    <x v="1"/>
  </r>
  <r>
    <x v="2"/>
    <s v="SN.0217"/>
    <s v="Addressing the Immediate Humanitarian Needs of the Most Vulnerable Populations in Ukraine"/>
    <s v="MOVEMENT, EMERGENCY AND POST-CRISIS MIGRATION MANAGEMENT"/>
    <s v="Ukraine"/>
    <n v="4500348115"/>
    <s v="UA1-2023-13011.2.EU &quot;Addressing the immediate humanitarian needs of the most vulnerable pop.&quot;"/>
    <s v="Implementing Partner"/>
    <s v="FUNDATSIIA SPRYIANNIA HROMAD AKTYV"/>
    <s v="Ukraine"/>
    <n v="73666"/>
    <x v="0"/>
    <x v="0"/>
  </r>
  <r>
    <x v="3"/>
    <s v="CC.0067"/>
    <s v="Provision of lifesaving humanitarian assistance through comprehensive site management and coordination services in displacement sites in Ma’rib and Al Hodeidah, Yemen"/>
    <s v="MOVEMENT, EMERGENCY AND POST-CRISIS MIGRATION MANAGEMENT"/>
    <s v="Yemen"/>
    <n v="4500316490"/>
    <s v="PRF# 4200476062"/>
    <s v="IPs"/>
    <s v="Youth Creativity Organization for"/>
    <s v="Yemen"/>
    <n v="1660"/>
    <x v="0"/>
    <x v="0"/>
  </r>
  <r>
    <x v="3"/>
    <s v="CC.0067"/>
    <s v="Provision of lifesaving humanitarian assistance through comprehensive site management and coordination services in displacement sites in Ma’rib and Al Hodeidah, Yemen"/>
    <s v="MOVEMENT, EMERGENCY AND POST-CRISIS MIGRATION MANAGEMENT"/>
    <s v="Yemen"/>
    <n v="4500316498"/>
    <s v="PRF# 4200476057"/>
    <s v="IPs"/>
    <s v="Human Relief Foundation"/>
    <s v="Yemen"/>
    <n v="2950"/>
    <x v="0"/>
    <x v="1"/>
  </r>
  <r>
    <x v="3"/>
    <s v="CC.0068"/>
    <s v="Wellbeing of populations affected is strengthened through camp coordination and camp management (CCCM) support to IDPs and host community in Tigray region"/>
    <s v="MOVEMENT, EMERGENCY AND POST-CRISIS MIGRATION MANAGEMENT"/>
    <s v="Ethiopia"/>
    <n v="4500302966"/>
    <s v="SNFI0143 IP TYES CCCM support in Freweyni Town, Eastern Zone, Tigray Region.  Reference:  Project Implementation Agreement number: ETH/ADD/March/1277/2023  PR number: 4200447057  PO Issued by: Mr. Nathaniel Abera  Contact Person: Mr. Abdu Mohammed (RRF)"/>
    <s v="IPs"/>
    <s v="Tigray Youth Empowerment Solutions"/>
    <s v="Ethiopia"/>
    <n v="35000"/>
    <x v="0"/>
    <x v="3"/>
  </r>
  <r>
    <x v="3"/>
    <s v="CC.0068"/>
    <s v="Wellbeing of populations affected is strengthened through camp coordination and camp management (CCCM) support to IDPs and host community in Tigray region"/>
    <s v="MOVEMENT, EMERGENCY AND POST-CRISIS MIGRATION MANAGEMENT"/>
    <s v="Ethiopia"/>
    <n v="4500302969"/>
    <s v="CCCM support to IDPs in 4 Settlement sites Tigray Region for 469 households/1,349 individuals.  Reference:  Project Implementation Agreement number: ETH/ADD/March/1276/2023  PR number: 4200447038  PO Issued by: Mr. Nathaniel Abera  Contact Person: Mr. Abd"/>
    <s v="IPs"/>
    <s v="Organization for Social Services He"/>
    <s v="Ethiopia"/>
    <n v="55000"/>
    <x v="0"/>
    <x v="0"/>
  </r>
  <r>
    <x v="3"/>
    <s v="CC.0068"/>
    <s v="Wellbeing of populations affected is strengthened through camp coordination and camp management (CCCM) support to IDPs and host community in Tigray region"/>
    <s v="MOVEMENT, EMERGENCY AND POST-CRISIS MIGRATION MANAGEMENT"/>
    <s v="Ethiopia"/>
    <n v="4500302976"/>
    <s v="SNFI0141 IP HOP CCCM support to IDPs in 4 Settlement sites Tigray Region  for 469 households/1,349 individuals.  Reference:  Project Implementation Agreement number: ETH/ADD/March/1278/2023  PR number: 4200447040  PO Issued by: Mr. Nathaniel Abera  Contac"/>
    <s v="IPs"/>
    <s v="Heal Our People"/>
    <s v="Ethiopia"/>
    <n v="40000"/>
    <x v="0"/>
    <x v="3"/>
  </r>
  <r>
    <x v="3"/>
    <s v="DP.0843"/>
    <s v="Ukraine crisis response plan 2021–2023"/>
    <s v="MOVEMENT, EMERGENCY AND POST-CRISIS MIGRATION MANAGEMENT"/>
    <s v="Ukraine"/>
    <n v="4500302850"/>
    <s v="UA1-2023-12619_IP_In-kind and cash grants for small farm owners"/>
    <s v="IPs"/>
    <s v="Ukrainian Red Cross Society"/>
    <s v="Ukraine"/>
    <n v="565536"/>
    <x v="0"/>
    <x v="4"/>
  </r>
  <r>
    <x v="3"/>
    <s v="DP.1716"/>
    <s v="Strengthening the humanitarian response for vulnerable people on the move in Mexico"/>
    <s v="MOVEMENT, EMERGENCY AND POST-CRISIS MIGRATION MANAGEMENT"/>
    <s v="Mexico"/>
    <n v="4500324682"/>
    <s v="Aportación De OIM Mexico A Red PEAS"/>
    <s v="IPs"/>
    <s v="ALTO COMISIONADO DE LAS NACIONES"/>
    <s v="Mexico"/>
    <n v="8640"/>
    <x v="0"/>
    <x v="7"/>
  </r>
  <r>
    <x v="3"/>
    <s v="DP.1716"/>
    <s v="Strengthening the humanitarian response for vulnerable people on the move in Mexico"/>
    <s v="MOVEMENT, EMERGENCY AND POST-CRISIS MIGRATION MANAGEMENT"/>
    <s v="Mexico"/>
    <n v="4500325530"/>
    <s v="IP Diseño Y Levantamiento De Las Encuestas De Migración En Las Fronteras De México (EMIF) 2023"/>
    <s v="IPs"/>
    <s v="EL COLEGIO DE LA FRONTERA NORTE AC"/>
    <s v="Mexico"/>
    <n v="809659"/>
    <x v="0"/>
    <x v="2"/>
  </r>
  <r>
    <x v="3"/>
    <s v="DP.2044"/>
    <s v="Protection and winterization assistance to the most vulnerable conflict-affected populations in Ukraine"/>
    <s v="MOVEMENT, EMERGENCY AND POST-CRISIS MIGRATION MANAGEMENT"/>
    <s v="Ukraine"/>
    <n v="4500323316"/>
    <s v="UA1-2023-13021_IP service_Ukraine: distribution of humanitarian aid to Donetsk and Kharkiv regions"/>
    <s v="IPs"/>
    <s v="U-SAVED CF"/>
    <s v="Ukraine"/>
    <n v="101351"/>
    <x v="0"/>
    <x v="1"/>
  </r>
  <r>
    <x v="3"/>
    <s v="DP.2051"/>
    <s v="Bosnia and Herzegovina: Individual measures to support the response to the refugee and migrant situation"/>
    <s v="MOVEMENT, EMERGENCY AND POST-CRISIS MIGRATION MANAGEMENT"/>
    <s v="Bosnia-Herz."/>
    <n v="4500309540"/>
    <s v="Implementation of Activities within the framework of &quot;Individual measure to strengthen the response capacity to manage migration flows in Bosnia and Herzegovina”- to provide support to the institutions of Bosnia and Herzegovina (BiH) in the areas of migra"/>
    <s v="IPs"/>
    <s v="The Service for Foreigners Affairs"/>
    <s v="Bosnia-Herz."/>
    <n v="2878756"/>
    <x v="0"/>
    <x v="9"/>
  </r>
  <r>
    <x v="3"/>
    <s v="DP.2057"/>
    <s v="Multisectoral emergency response to conflict and climate shock-affected internally displaced populations and communities in northern Mozambique – phase II"/>
    <s v="MOVEMENT, EMERGENCY AND POST-CRISIS MIGRATION MANAGEMENT"/>
    <s v="Mozambique"/>
    <n v="4500305365"/>
    <s v="Implementation of Disability Inclusion Activities in Mueda 4200418645"/>
    <s v="IPs"/>
    <s v="Handicap International Federation"/>
    <s v="Mozambique"/>
    <n v="168955"/>
    <x v="0"/>
    <x v="1"/>
  </r>
  <r>
    <x v="3"/>
    <s v="DP.2254"/>
    <s v="Expanding Burundi’s humanitarian, early recovery and emergency response for vulnerable displaced populations"/>
    <s v="MOVEMENT, EMERGENCY AND POST-CRISIS MIGRATION MANAGEMENT"/>
    <s v="Burundi"/>
    <n v="4500306617"/>
    <s v="Fees for the Implementing Partner in data collection by the Burundian Red Cross PR # 4200456612"/>
    <s v="IPs"/>
    <s v="CROIX ROUGE DU BURUNDI"/>
    <s v="Burundi"/>
    <n v="24145"/>
    <x v="0"/>
    <x v="4"/>
  </r>
  <r>
    <x v="3"/>
    <s v="DP.2305"/>
    <s v="Improved sanitation and waste management for Rohingya camps and host communities in Bangladesh"/>
    <s v="MOVEMENT, EMERGENCY AND POST-CRISIS MIGRATION MANAGEMENT"/>
    <s v="Bangladesh"/>
    <n v="4500318348"/>
    <s v="Six(6) month(Apr to Sep'2023) project implementation agreement with NGO Forum for improving WASH condition in Rohingya camps through operation and maintenance of WASH infrastructures and Hygiene Promotion for around 34,943 Rohingya refugees and host communities living in Kutupalong-Balukhali Expansion Camp 09 under the project &quot;Implementation of WASH Services for the Rohingya Refugees Living in Camp in Cox’s Bazar District&quot;.  PR: 4200437653 Program: WASH Requester: Mubashara TUMPA"/>
    <s v="IPs"/>
    <s v="NGO FORUM FOR PUBLIC HEALTH"/>
    <s v="Bangladesh"/>
    <n v="224839"/>
    <x v="0"/>
    <x v="0"/>
  </r>
  <r>
    <x v="3"/>
    <s v="DP.2312"/>
    <s v="Provision of shelter, settlement and WASH assistance for populations affected by the crisis in northern Ethiopia"/>
    <s v="MOVEMENT, EMERGENCY AND POST-CRISIS MIGRATION MANAGEMENT"/>
    <s v="Ethiopia"/>
    <n v="4500305860"/>
    <s v="IP Transfers - National CSO - As per agreement # ETH/ADD/April/1289/2023  - RRF Frant Number - RRFE0146  - PR# 4200454347"/>
    <s v="IPs"/>
    <s v="Development for Peace Organization"/>
    <s v="Ethiopia"/>
    <n v="75970"/>
    <x v="0"/>
    <x v="0"/>
  </r>
  <r>
    <x v="3"/>
    <s v="DP.2314"/>
    <s v="Supporting refugees and local communities in situations of vulnerability in Cox's Bazar through improved access to health, protection, and water, sanitation and hygiene services"/>
    <s v="MOVEMENT, EMERGENCY AND POST-CRISIS MIGRATION MANAGEMENT"/>
    <s v="Bangladesh"/>
    <n v="4500322138"/>
    <s v="IP transfers – National CSOs"/>
    <s v="IPs"/>
    <s v="DSK"/>
    <s v="Bangladesh"/>
    <n v="67032"/>
    <x v="0"/>
    <x v="0"/>
  </r>
  <r>
    <x v="3"/>
    <s v="DP.2322"/>
    <s v="Enhanced displacement and mobility tracking and multisectoral support for displaced populations in Nigeria"/>
    <s v="MOVEMENT, EMERGENCY AND POST-CRISIS MIGRATION MANAGEMENT"/>
    <s v="Nigeria"/>
    <n v="4500310912"/>
    <s v="Support Continues Functioning of UNDSS Security Information and Operations PR Ref: 4200466115 UNDP as the UNDSS financial custodian"/>
    <s v="IPs"/>
    <s v="UNDP"/>
    <s v="Nigeria"/>
    <n v="219539"/>
    <x v="0"/>
    <x v="7"/>
  </r>
  <r>
    <x v="3"/>
    <s v="DP.2376"/>
    <s v="Provision of humanitarian coordination and shelter and settlements assistance to crisis-affected populations in Ethiopia"/>
    <s v="MOVEMENT, EMERGENCY AND POST-CRISIS MIGRATION MANAGEMENT"/>
    <s v="Ethiopia"/>
    <n v="4500306067"/>
    <s v="RRFE0145 IP DAE ES Support for Conflict Displaced People in Oromia Special Zone, Amhara for IDPs: 2,000 HHs (10,000 Individuals).  Reference:  Project Implementation Agreement number: ETH/ADD/April/1281/2023  PR number: 4200450419  PO Issued by: Mr. Natha"/>
    <s v="IPs"/>
    <s v="Dorcas Aid Ethiopia (DAE)"/>
    <s v="Ethiopia"/>
    <n v="129497"/>
    <x v="0"/>
    <x v="1"/>
  </r>
  <r>
    <x v="3"/>
    <s v="DP.2389"/>
    <s v="Multisectoral humanitarian response for persons affected by violence in northern Mozambique and supporting the COVID-19 vaccination campaign roll-out in Mozambique, Botswana and South Africa"/>
    <s v="MOVEMENT, EMERGENCY AND POST-CRISIS MIGRATION MANAGEMENT"/>
    <s v="Botswana"/>
    <n v="4500307101"/>
    <s v="IP Agreement"/>
    <s v="IPs"/>
    <s v="BOTSWANA RED CROSS SOCIETY"/>
    <s v="Botswana"/>
    <n v="26201"/>
    <x v="0"/>
    <x v="4"/>
  </r>
  <r>
    <x v="3"/>
    <s v="DP.2398"/>
    <s v="Assistance to repatriated migrants in Haiti"/>
    <s v="MOVEMENT, EMERGENCY AND POST-CRISIS MIGRATION MANAGEMENT"/>
    <s v="Haiti"/>
    <n v="4500306055"/>
    <s v="IP - Flow monitoring at 30 border points with Dominican Republic"/>
    <s v="IPs"/>
    <s v="GROUPE APPUI RAPATRIES ET REFUGIES("/>
    <s v="Haiti"/>
    <n v="240347"/>
    <x v="0"/>
    <x v="0"/>
  </r>
  <r>
    <x v="3"/>
    <s v="DP.2437"/>
    <s v="Everyone counts – inclusive data for stability and development"/>
    <s v="MOVEMENT, EMERGENCY AND POST-CRISIS MIGRATION MANAGEMENT"/>
    <s v="Ukraine"/>
    <n v="4500306243"/>
    <s v="UA1-2022-3071 T&lt;(&gt;&amp;&lt;)&gt;R_IP contracting within the Everyone Counts Project"/>
    <s v="IPs"/>
    <s v="NGO Svitlo Nadii"/>
    <s v="Ukraine"/>
    <n v="237442"/>
    <x v="0"/>
    <x v="0"/>
  </r>
  <r>
    <x v="3"/>
    <s v="DP.2437"/>
    <s v="Everyone counts – inclusive data for stability and development"/>
    <s v="MOVEMENT, EMERGENCY AND POST-CRISIS MIGRATION MANAGEMENT"/>
    <s v="Ukraine"/>
    <n v="4500306263"/>
    <s v="UA1-2023-12050_T&lt;(&gt;&amp;&lt;)&gt;R_IP contracting within the Everyone Counts Project"/>
    <s v="IPs"/>
    <s v="CO COUNTRY TO UKRAINE"/>
    <s v="Ukraine"/>
    <n v="465081"/>
    <x v="0"/>
    <x v="0"/>
  </r>
  <r>
    <x v="3"/>
    <s v="DP.2437"/>
    <s v="Everyone counts – inclusive data for stability and development"/>
    <s v="MOVEMENT, EMERGENCY AND POST-CRISIS MIGRATION MANAGEMENT"/>
    <s v="Ukraine"/>
    <n v="4500306274"/>
    <s v="PIA_UA1-2022-3071 dd.06/04/2023"/>
    <s v="IPs"/>
    <s v="NGO West Ukrainian Resource Center"/>
    <s v="Ukraine"/>
    <n v="978154"/>
    <x v="0"/>
    <x v="0"/>
  </r>
  <r>
    <x v="3"/>
    <s v="DP.2437"/>
    <s v="Everyone counts – inclusive data for stability and development"/>
    <s v="MOVEMENT, EMERGENCY AND POST-CRISIS MIGRATION MANAGEMENT"/>
    <s v="Ukraine"/>
    <n v="4500306291"/>
    <s v="UA1-2023-12049_T&lt;(&gt;&amp;&lt;)&gt;R_IP contracting within the Everyone Counts Project"/>
    <s v="IPs"/>
    <s v="NGO STEP"/>
    <s v="Ukraine"/>
    <n v="306614"/>
    <x v="0"/>
    <x v="0"/>
  </r>
  <r>
    <x v="3"/>
    <s v="DP.2470"/>
    <s v="IOM flash appeal for Ukraine and neighbouring countries 2022 – Norway"/>
    <s v="MOVEMENT, EMERGENCY AND POST-CRISIS MIGRATION MANAGEMENT"/>
    <s v="Czechia"/>
    <n v="4500310722"/>
    <s v="IP transfers – National CSOs"/>
    <s v="IPs"/>
    <s v="Ukrajinska iniciativa"/>
    <s v="Czechia"/>
    <n v="9807"/>
    <x v="0"/>
    <x v="0"/>
  </r>
  <r>
    <x v="3"/>
    <s v="DP.2470"/>
    <s v="IOM flash appeal for Ukraine and neighbouring countries 2022 – Norway"/>
    <s v="MOVEMENT, EMERGENCY AND POST-CRISIS MIGRATION MANAGEMENT"/>
    <s v="Czechia"/>
    <n v="4500325815"/>
    <s v="IP La Strada"/>
    <s v="IPs"/>
    <s v="La Strada Ceska Republika, o.p.s."/>
    <s v="Czechia"/>
    <n v="10576"/>
    <x v="0"/>
    <x v="0"/>
  </r>
  <r>
    <x v="3"/>
    <s v="DP.2470"/>
    <s v="IOM flash appeal for Ukraine and neighbouring countries 2022 – Norway"/>
    <s v="MOVEMENT, EMERGENCY AND POST-CRISIS MIGRATION MANAGEMENT"/>
    <s v="Moldova (Rep)"/>
    <n v="4500323194"/>
    <s v="CBI DATA COLLECTION AND DISTRIBUITION_TRANSNITRIAN REGION"/>
    <s v="IPs"/>
    <s v="AO ADRA MOLDOVA"/>
    <s v="Moldova (Rep)"/>
    <n v="272907"/>
    <x v="0"/>
    <x v="1"/>
  </r>
  <r>
    <x v="3"/>
    <s v="DP.2470"/>
    <s v="IOM flash appeal for Ukraine and neighbouring countries 2022 – Norway"/>
    <s v="MOVEMENT, EMERGENCY AND POST-CRISIS MIGRATION MANAGEMENT"/>
    <s v="Romania"/>
    <n v="4500317093"/>
    <s v="IP transfers – National CSOs"/>
    <s v="IPs"/>
    <s v="AIDROM"/>
    <s v="Romania"/>
    <n v="2228"/>
    <x v="0"/>
    <x v="0"/>
  </r>
  <r>
    <x v="3"/>
    <s v="DP.2470"/>
    <s v="IOM flash appeal for Ukraine and neighbouring countries 2022 – Norway"/>
    <s v="MOVEMENT, EMERGENCY AND POST-CRISIS MIGRATION MANAGEMENT"/>
    <s v="Romania"/>
    <n v="4500317103"/>
    <s v="IP transfers – National CSOs"/>
    <s v="IPs"/>
    <s v="AIDROM"/>
    <s v="Romania"/>
    <n v="2026"/>
    <x v="0"/>
    <x v="0"/>
  </r>
  <r>
    <x v="3"/>
    <s v="DP.2470"/>
    <s v="IOM flash appeal for Ukraine and neighbouring countries 2022 – Norway"/>
    <s v="MOVEMENT, EMERGENCY AND POST-CRISIS MIGRATION MANAGEMENT"/>
    <s v="Ukraine"/>
    <n v="4500304929"/>
    <s v="UA1-2023-13025_Implementation of protection activities in Odesa oblast."/>
    <s v="IPs"/>
    <s v="NGO Faith Hope Love - Odesa"/>
    <s v="Ukraine"/>
    <n v="200472"/>
    <x v="0"/>
    <x v="0"/>
  </r>
  <r>
    <x v="3"/>
    <s v="DP.2470"/>
    <s v="IOM flash appeal for Ukraine and neighbouring countries 2022 – Norway"/>
    <s v="MOVEMENT, EMERGENCY AND POST-CRISIS MIGRATION MANAGEMENT"/>
    <s v="Ukraine"/>
    <n v="4500305171"/>
    <s v="UA1-2023-13023_IP services_Ensuring comprehensive protection response in Ivano-Frankivsk oblast"/>
    <s v="IPs"/>
    <s v="NGO Caritas I-F Char Foundation"/>
    <s v="Ukraine"/>
    <n v="208670"/>
    <x v="0"/>
    <x v="6"/>
  </r>
  <r>
    <x v="3"/>
    <s v="DP.2470"/>
    <s v="IOM flash appeal for Ukraine and neighbouring countries 2022 – Norway"/>
    <s v="MOVEMENT, EMERGENCY AND POST-CRISIS MIGRATION MANAGEMENT"/>
    <s v="Ukraine"/>
    <n v="4500305412"/>
    <s v="UA1-2023-13026_IP Services_Ensuring comprehensive protection response in Donetsk Oblast"/>
    <s v="IPs"/>
    <s v="ALLIANCE FOR CIVIL RIGHTS"/>
    <s v="Ukraine"/>
    <n v="113088"/>
    <x v="0"/>
    <x v="0"/>
  </r>
  <r>
    <x v="3"/>
    <s v="DP.2470"/>
    <s v="IOM flash appeal for Ukraine and neighbouring countries 2022 – Norway"/>
    <s v="MOVEMENT, EMERGENCY AND POST-CRISIS MIGRATION MANAGEMENT"/>
    <s v="Ukraine"/>
    <n v="4500305848"/>
    <s v="UA1-2023-13028_IP Services_Ensuring comprehensive protection in Kherson Oblast"/>
    <s v="IPs"/>
    <s v="NGO Successful Women"/>
    <s v="Ukraine"/>
    <n v="107913"/>
    <x v="0"/>
    <x v="0"/>
  </r>
  <r>
    <x v="3"/>
    <s v="DP.2470"/>
    <s v="IOM flash appeal for Ukraine and neighbouring countries 2022 – Norway"/>
    <s v="MOVEMENT, EMERGENCY AND POST-CRISIS MIGRATION MANAGEMENT"/>
    <s v="Ukraine"/>
    <n v="4500305915"/>
    <s v="UA1-2023-13024 IP Services Ensuring comprehensive protection in Cherkasy oblast"/>
    <s v="IPs"/>
    <s v="BO STO VIDSOTKIV ZHYTTIA CHERKASY"/>
    <s v="Ukraine"/>
    <n v="196720"/>
    <x v="0"/>
    <x v="0"/>
  </r>
  <r>
    <x v="3"/>
    <s v="DP.2470"/>
    <s v="IOM flash appeal for Ukraine and neighbouring countries 2022 – Norway"/>
    <s v="MOVEMENT, EMERGENCY AND POST-CRISIS MIGRATION MANAGEMENT"/>
    <s v="Ukraine"/>
    <n v="4500305966"/>
    <s v="UA1-2023-11026_Provision of emergency health response to the humanitarian crisis in Ukraine Noway funding"/>
    <s v="IPs"/>
    <s v="UK-MED"/>
    <s v="United Kingdom"/>
    <n v="780000"/>
    <x v="0"/>
    <x v="1"/>
  </r>
  <r>
    <x v="3"/>
    <s v="DP.2470"/>
    <s v="IOM flash appeal for Ukraine and neighbouring countries 2022 – Norway"/>
    <s v="MOVEMENT, EMERGENCY AND POST-CRISIS MIGRATION MANAGEMENT"/>
    <s v="Ukraine"/>
    <n v="4500306517"/>
    <s v="UA1-2023-13022_IP Services_Ensuring comprehensive protection response in Vinnytsia Oblast"/>
    <s v="IPs"/>
    <s v="NGO Dzherelo Nadii"/>
    <s v="Ukraine"/>
    <n v="207981"/>
    <x v="0"/>
    <x v="0"/>
  </r>
  <r>
    <x v="3"/>
    <s v="DP.2470"/>
    <s v="IOM flash appeal for Ukraine and neighbouring countries 2022 – Norway"/>
    <s v="MOVEMENT, EMERGENCY AND POST-CRISIS MIGRATION MANAGEMENT"/>
    <s v="Ukraine"/>
    <n v="4500307596"/>
    <s v="UA1-2023-13027_IP services Provision of comprehensive protection assistance_Kharkiv _Kropyvnytskyi"/>
    <s v="IPs"/>
    <s v="CLEAR PAPER"/>
    <s v="Ukraine"/>
    <n v="227147"/>
    <x v="0"/>
    <x v="0"/>
  </r>
  <r>
    <x v="3"/>
    <s v="DP.2470"/>
    <s v="IOM flash appeal for Ukraine and neighbouring countries 2022 – Norway"/>
    <s v="MOVEMENT, EMERGENCY AND POST-CRISIS MIGRATION MANAGEMENT"/>
    <s v="Ukraine"/>
    <n v="4500309874"/>
    <s v="UA1-2023-11027_Health and MHPSS Support to conflict affected populations within Khersonka Oblast, Mykolaiv"/>
    <s v="IPs"/>
    <s v="MEDICAL TEAMS INTERNATIONAL"/>
    <s v="Ukraine"/>
    <n v="520000"/>
    <x v="0"/>
    <x v="1"/>
  </r>
  <r>
    <x v="3"/>
    <s v="DP.2470"/>
    <s v="IOM flash appeal for Ukraine and neighbouring countries 2022 – Norway"/>
    <s v="MOVEMENT, EMERGENCY AND POST-CRISIS MIGRATION MANAGEMENT"/>
    <s v="Ukraine"/>
    <n v="4500312306"/>
    <s v="UA1-2023-13029_PX Ensuring protection response in Ternopil oblast"/>
    <s v="IPs"/>
    <s v="NGO Revival of the Nation"/>
    <s v="Ukraine"/>
    <n v="179050"/>
    <x v="0"/>
    <x v="0"/>
  </r>
  <r>
    <x v="3"/>
    <s v="DP.2470"/>
    <s v="IOM flash appeal for Ukraine and neighbouring countries 2022 – Norway"/>
    <s v="MOVEMENT, EMERGENCY AND POST-CRISIS MIGRATION MANAGEMENT"/>
    <s v="Ukraine"/>
    <n v="4500314255"/>
    <s v="UA1-2023-13034_PX_Provision of comprehensive protection of people in Mykolaiv region"/>
    <s v="IPs"/>
    <s v="NGO Liubystok"/>
    <s v="Ukraine"/>
    <n v="123200"/>
    <x v="0"/>
    <x v="0"/>
  </r>
  <r>
    <x v="3"/>
    <s v="DP.2470"/>
    <s v="IOM flash appeal for Ukraine and neighbouring countries 2022 – Norway"/>
    <s v="MOVEMENT, EMERGENCY AND POST-CRISIS MIGRATION MANAGEMENT"/>
    <s v="Ukraine"/>
    <n v="4500322492"/>
    <s v="UA1-2023-11021_Provision of Capacity Building to Health workers and Health facilities"/>
    <s v="IPs"/>
    <s v="NGO REVIVAL INSTITUTE FOR FUTURE"/>
    <s v="Ukraine"/>
    <n v="33000"/>
    <x v="0"/>
    <x v="0"/>
  </r>
  <r>
    <x v="3"/>
    <s v="DP.2491"/>
    <s v="Regional migrant response plan for the Horn of Africa and Yemen 2021 - 2024  - France"/>
    <s v="MOVEMENT, EMERGENCY AND POST-CRISIS MIGRATION MANAGEMENT"/>
    <s v="Ethiopia"/>
    <n v="4500310829"/>
    <s v="Internal PO created for service aggrement No ETH/ADD/March/1275/2023"/>
    <s v="IPs"/>
    <s v="Bright Star Relief and Development"/>
    <s v="Ethiopia"/>
    <n v="13669"/>
    <x v="0"/>
    <x v="0"/>
  </r>
  <r>
    <x v="3"/>
    <s v="DP.2510"/>
    <s v="Direct humanitarian assistance to vulnerable populations affected by forced displacement in the Niger"/>
    <s v="MOVEMENT, EMERGENCY AND POST-CRISIS MIGRATION MANAGEMENT"/>
    <s v="Niger"/>
    <n v="4500310545"/>
    <s v="PPAYEMENT DE LA PREMEIERE ET DEUXIEME TRANCHES DES ACTIVITES DE LA CAMPAGNES DE SENSIBILIATION EN MILEIU SCOLAIRE SUR LES THEMATIQUES DE PROTECTION DNS LES COMMUNES DE DIFFA GUESKEROU ET CHETIMARI   PR 4200436487"/>
    <s v="IPs"/>
    <s v="WARAKA"/>
    <s v="Niger"/>
    <n v="5866"/>
    <x v="0"/>
    <x v="0"/>
  </r>
  <r>
    <x v="3"/>
    <s v="DP.2510"/>
    <s v="Direct humanitarian assistance to vulnerable populations affected by forced displacement in the Niger"/>
    <s v="MOVEMENT, EMERGENCY AND POST-CRISIS MIGRATION MANAGEMENT"/>
    <s v="Niger"/>
    <n v="4500313902"/>
    <s v="Distribution of shelters, non-food items (ABNA), implementation of mental health activities and psychosocial support for IDPs and host communities in targeted communes of the Tillabéry 25 juilet au 25 octobre 2023  prf/4200466525"/>
    <s v="IPs"/>
    <s v="ONG ANTD"/>
    <s v="Niger"/>
    <n v="39330"/>
    <x v="0"/>
    <x v="0"/>
  </r>
  <r>
    <x v="3"/>
    <s v="DP.2512"/>
    <s v="Supporting access to housing and basic services for people fleeing the conflict in Ukraine"/>
    <s v="MOVEMENT, EMERGENCY AND POST-CRISIS MIGRATION MANAGEMENT"/>
    <s v="Hungary"/>
    <n v="4500316696"/>
    <s v="IP transfers – National CSOs"/>
    <s v="IPs"/>
    <s v="ADRA"/>
    <s v="Hungary"/>
    <n v="37621"/>
    <x v="0"/>
    <x v="1"/>
  </r>
  <r>
    <x v="3"/>
    <s v="DP.2526"/>
    <s v="Responding to emergency needs of disaster-affected populations in South Sudan"/>
    <s v="MOVEMENT, EMERGENCY AND POST-CRISIS MIGRATION MANAGEMENT"/>
    <s v="South Sudan"/>
    <n v="4500301866"/>
    <s v="Provision of emergency GBV response to the IPC4 and conflict affected population in Waat Payam in Nyirol County, Jonglei. PRF#4200441846"/>
    <s v="IPs"/>
    <s v="Narrative Hub"/>
    <s v="South Sudan"/>
    <n v="117118"/>
    <x v="0"/>
    <x v="0"/>
  </r>
  <r>
    <x v="3"/>
    <s v="DP.2526"/>
    <s v="Responding to emergency needs of disaster-affected populations in South Sudan"/>
    <s v="MOVEMENT, EMERGENCY AND POST-CRISIS MIGRATION MANAGEMENT"/>
    <s v="South Sudan"/>
    <n v="4500303314"/>
    <s v="Emergency livelihood inputs distribution to the most vulnerable IPC4 population in Mayom county, Unity State. PRF#4200441549"/>
    <s v="IPs"/>
    <s v="RURAL COMMUNITY DEVELOPMENT"/>
    <s v="South Sudan"/>
    <n v="95339"/>
    <x v="0"/>
    <x v="0"/>
  </r>
  <r>
    <x v="3"/>
    <s v="DP.2526"/>
    <s v="Responding to emergency needs of disaster-affected populations in South Sudan"/>
    <s v="MOVEMENT, EMERGENCY AND POST-CRISIS MIGRATION MANAGEMENT"/>
    <s v="South Sudan"/>
    <n v="4500304097"/>
    <s v="Provision of emergency Gender Based Violence (GBV) and Psychosocial support services to the IPC 4 affected population inTwic County, Warrap State. PRF#4200446238"/>
    <s v="IPs"/>
    <s v="WOMEN FOR CHANGE"/>
    <s v="South Sudan"/>
    <n v="176460"/>
    <x v="0"/>
    <x v="0"/>
  </r>
  <r>
    <x v="3"/>
    <s v="DP.2526"/>
    <s v="Responding to emergency needs of disaster-affected populations in South Sudan"/>
    <s v="MOVEMENT, EMERGENCY AND POST-CRISIS MIGRATION MANAGEMENT"/>
    <s v="South Sudan"/>
    <n v="4500304646"/>
    <s v="Emergency Food Security Response for IDPs and vulnerable host communities Project in Fashoda County. PRF#4200446377"/>
    <s v="IPs"/>
    <s v="National Relief and Develop Corps"/>
    <s v="Netherlands Antilles"/>
    <n v="91677"/>
    <x v="0"/>
    <x v="8"/>
  </r>
  <r>
    <x v="3"/>
    <s v="DP.2526"/>
    <s v="Responding to emergency needs of disaster-affected populations in South Sudan"/>
    <s v="MOVEMENT, EMERGENCY AND POST-CRISIS MIGRATION MANAGEMENT"/>
    <s v="South Sudan"/>
    <n v="4500304662"/>
    <s v="Provision of Emergency Non-food items to the Food Insecure communities (IPC 4) in Mayom, Unity State. PRF#4200451528"/>
    <s v="IPs"/>
    <s v="HOPE RESTORATION"/>
    <s v="South Sudan"/>
    <n v="120972"/>
    <x v="0"/>
    <x v="0"/>
  </r>
  <r>
    <x v="3"/>
    <s v="DP.2526"/>
    <s v="Responding to emergency needs of disaster-affected populations in South Sudan"/>
    <s v="MOVEMENT, EMERGENCY AND POST-CRISIS MIGRATION MANAGEMENT"/>
    <s v="South Sudan"/>
    <n v="4500307470"/>
    <s v="Provision of emergency wash services to drought affected people of the Jie community, Kapoeta East, EEC of South Sudan. PRF#4200451377"/>
    <s v="IPs"/>
    <s v="RURAL WATER AND SANITATION"/>
    <s v="South Sudan"/>
    <n v="245083"/>
    <x v="0"/>
    <x v="0"/>
  </r>
  <r>
    <x v="3"/>
    <s v="DP.2526"/>
    <s v="Responding to emergency needs of disaster-affected populations in South Sudan"/>
    <s v="MOVEMENT, EMERGENCY AND POST-CRISIS MIGRATION MANAGEMENT"/>
    <s v="South Sudan"/>
    <n v="4500311978"/>
    <s v="Provision of Non-food items to Internally Displaced Persons and Host community experiencing emergency (IPC)food insecurity (IPC 4) in Tonj North, Warrap State. PRF#4200467984"/>
    <s v="IPs"/>
    <s v="Trust Guarantee Community Devt Aid"/>
    <s v="South Sudan"/>
    <n v="80959"/>
    <x v="0"/>
    <x v="0"/>
  </r>
  <r>
    <x v="3"/>
    <s v="DP.2526"/>
    <s v="Responding to emergency needs of disaster-affected populations in South Sudan"/>
    <s v="MOVEMENT, EMERGENCY AND POST-CRISIS MIGRATION MANAGEMENT"/>
    <s v="South Sudan"/>
    <n v="4500312469"/>
    <s v="Provision of Emergency multi-sectoral assistance to IPC affected population through Non-Food Items (NFIs) in Akobo East County and WASH services in Marren/Gokjak Payam Canal/Pigi County, Jonglei State. PRF#4200469703"/>
    <s v="IPs"/>
    <s v="COMMUNITY INITIATIVE FOR DEVELOPMEN"/>
    <s v="South Sudan"/>
    <n v="291692"/>
    <x v="0"/>
    <x v="0"/>
  </r>
  <r>
    <x v="3"/>
    <s v="DP.2526"/>
    <s v="Responding to emergency needs of disaster-affected populations in South Sudan"/>
    <s v="MOVEMENT, EMERGENCY AND POST-CRISIS MIGRATION MANAGEMENT"/>
    <s v="South Sudan"/>
    <n v="4500312492"/>
    <s v="Implementing Emergency Livelihood to support 2,800 IPC 4 affected households in Gogrial East County. PRF#4200446974"/>
    <s v="IPs"/>
    <s v="lukluk community association for De"/>
    <s v="South Sudan"/>
    <n v="77938"/>
    <x v="0"/>
    <x v="0"/>
  </r>
  <r>
    <x v="3"/>
    <s v="DP.2526"/>
    <s v="Responding to emergency needs of disaster-affected populations in South Sudan"/>
    <s v="MOVEMENT, EMERGENCY AND POST-CRISIS MIGRATION MANAGEMENT"/>
    <s v="South Sudan"/>
    <n v="4500313223"/>
    <s v="WASH Response to the Hepatitis E Outbreak in Wau County, Western Bahr El Ghazel. PRF#4200465192"/>
    <s v="IPs"/>
    <s v="ALLIANCE FOR COMMUNITY DEVELOPMENT"/>
    <s v="South Sudan"/>
    <n v="185150"/>
    <x v="0"/>
    <x v="0"/>
  </r>
  <r>
    <x v="3"/>
    <s v="DP.2526"/>
    <s v="Responding to emergency needs of disaster-affected populations in South Sudan"/>
    <s v="MOVEMENT, EMERGENCY AND POST-CRISIS MIGRATION MANAGEMENT"/>
    <s v="South Sudan"/>
    <n v="4500314192"/>
    <s v="Improving access to emergency food security services to the IPC4 affected households in Gogrial West, Warrap state of South Sudan. PRF#4200449950"/>
    <s v="IPs"/>
    <s v="South Sudan Grassroots Initiative"/>
    <s v="South Sudan"/>
    <n v="103999"/>
    <x v="0"/>
    <x v="0"/>
  </r>
  <r>
    <x v="3"/>
    <s v="DP.2535"/>
    <s v="Multisectoral and integrated in protection and camp coordination and camp management/non-food items/shelter  assistance targeting displaced populations in the Central African Republic"/>
    <s v="MOVEMENT, EMERGENCY AND POST-CRISIS MIGRATION MANAGEMENT"/>
    <s v="CAR"/>
    <n v="4500307212"/>
    <s v="DTM RETURN INTENTION SURVEY IN HOST FAMILLIES PRF 4200438368 et 4200438174"/>
    <s v="IPs"/>
    <s v="Association des Femmes Evang. BOSSA"/>
    <s v="CAR"/>
    <n v="4517"/>
    <x v="0"/>
    <x v="0"/>
  </r>
  <r>
    <x v="3"/>
    <s v="DP.2535"/>
    <s v="Multisectoral and integrated in protection and camp coordination and camp management/non-food items/shelter  assistance targeting displaced populations in the Central African Republic"/>
    <s v="MOVEMENT, EMERGENCY AND POST-CRISIS MIGRATION MANAGEMENT"/>
    <s v="CAR"/>
    <n v="4500307240"/>
    <s v="MOBILITYTRACKING AND RETURN INTENTION SURVEY ACTIVITIES IN OUHAM AND MBOMOU AND DTM RETURN INTENTION SURVEY IN HOST FAMILLIES PRF 4200438174 ET 4200438368"/>
    <s v="IPs"/>
    <s v="FNOHD"/>
    <s v="CAR"/>
    <n v="3614"/>
    <x v="0"/>
    <x v="0"/>
  </r>
  <r>
    <x v="3"/>
    <s v="DP.2545"/>
    <s v="Rapid response fund for humanitarian emergencies in the Sudan"/>
    <s v="MOVEMENT, EMERGENCY AND POST-CRISIS MIGRATION MANAGEMENT"/>
    <s v="Sudan"/>
    <n v="4500303755"/>
    <s v="PR.4200430284"/>
    <s v="IPs"/>
    <s v="Al Massar Charity Organization"/>
    <s v="Sudan"/>
    <n v="225250"/>
    <x v="0"/>
    <x v="0"/>
  </r>
  <r>
    <x v="3"/>
    <s v="DP.2545"/>
    <s v="Rapid response fund for humanitarian emergencies in the Sudan"/>
    <s v="MOVEMENT, EMERGENCY AND POST-CRISIS MIGRATION MANAGEMENT"/>
    <s v="Sudan"/>
    <n v="4500315922"/>
    <s v="PR#4200473108"/>
    <s v="IPs"/>
    <s v="Humanity for Development and Prospe"/>
    <s v="Sudan"/>
    <n v="300000"/>
    <x v="0"/>
    <x v="0"/>
  </r>
  <r>
    <x v="3"/>
    <s v="DP.2545"/>
    <s v="Rapid response fund for humanitarian emergencies in the Sudan"/>
    <s v="MOVEMENT, EMERGENCY AND POST-CRISIS MIGRATION MANAGEMENT"/>
    <s v="Sudan"/>
    <n v="4500319807"/>
    <s v="IP transfers – National CSOs"/>
    <s v="IPs"/>
    <s v="Abuhadia Society for Women"/>
    <s v="Sudan"/>
    <n v="200000"/>
    <x v="0"/>
    <x v="3"/>
  </r>
  <r>
    <x v="3"/>
    <s v="DP.2546"/>
    <s v="Multisectoral assistance for internally displaced persons and persons with disabilities in north-east Nigeria"/>
    <s v="MOVEMENT, EMERGENCY AND POST-CRISIS MIGRATION MANAGEMENT"/>
    <s v="Nigeria"/>
    <n v="4500319660"/>
    <s v="Implementing Partner for distributing 200 ESKs &lt;(&gt;&amp;&lt;)&gt; 200 Improved NFI Kits in Dikwa, Nganzai, and Benisheikh PR Ref: 4200387276"/>
    <s v="IPs"/>
    <s v="SHERIFF AID FOUNDATION"/>
    <s v="Nigeria"/>
    <n v="19792"/>
    <x v="0"/>
    <x v="0"/>
  </r>
  <r>
    <x v="3"/>
    <s v="DP.2556"/>
    <s v="Emergency response to migration situation in Mexico and central America"/>
    <s v="MOVEMENT, EMERGENCY AND POST-CRISIS MIGRATION MANAGEMENT"/>
    <s v="Costa Rica"/>
    <n v="4500302005"/>
    <s v="Implementation Partner Agreement between IOM Emergency Unit and Alianza Ven CR for humanitarian operations.    Acuerdo de Implementación entre Unidad de Emergencias de OIM y Alianza Ven CR para operaciones humanitarias."/>
    <s v="IPs"/>
    <s v="ASOCIACION ALIANZA VEN CR"/>
    <s v="Costa Rica"/>
    <n v="110000"/>
    <x v="0"/>
    <x v="0"/>
  </r>
  <r>
    <x v="3"/>
    <s v="DP.2557"/>
    <s v="Supporting conflict affected communities in Cameroon’s far-North and North-West, South-West regions to recover through resilience building and reconciliation for the humanitarian development peace nex"/>
    <s v="MOVEMENT, EMERGENCY AND POST-CRISIS MIGRATION MANAGEMENT"/>
    <s v="Cameroon"/>
    <n v="4500321494"/>
    <s v="TRANSFER TO IP FOR ETT &lt;(&gt;&amp;&lt;)&gt; RINA NW: APRIL - SEPTEMBER 2023"/>
    <s v="IPs"/>
    <s v="STRATEGIC HUMANITARIAN SERVICES"/>
    <s v="Cameroon"/>
    <n v="34373"/>
    <x v="0"/>
    <x v="0"/>
  </r>
  <r>
    <x v="3"/>
    <s v="DP.2557"/>
    <s v="Supporting conflict affected communities in Cameroon’s far-North and North-West, South-West regions to recover through resilience building and reconciliation for the humanitarian development peace nex"/>
    <s v="MOVEMENT, EMERGENCY AND POST-CRISIS MIGRATION MANAGEMENT"/>
    <s v="Cameroon"/>
    <n v="4500321496"/>
    <s v="TRANSFER TO IP FOR : ETT &lt;(&gt;&amp;&lt;)&gt; RINA SW: APRIL - SEPTEMBER 2023"/>
    <s v="IPs"/>
    <s v="CARITAS DIOCESE OF KUMBA"/>
    <s v="Cameroon"/>
    <n v="27370"/>
    <x v="0"/>
    <x v="6"/>
  </r>
  <r>
    <x v="3"/>
    <s v="DP.2561"/>
    <s v="Protection of vulnerable conflict-affected communities in Ukraine and provision of urgent mental health and psychosocial support"/>
    <s v="MOVEMENT, EMERGENCY AND POST-CRISIS MIGRATION MANAGEMENT"/>
    <s v="Ukraine"/>
    <n v="4500305402"/>
    <s v="UA1-2023-10130_IP_Community-based MHPSS,mobile MHPSS_awareness raising_Kharkiv,Poltava,Kremencuk"/>
    <s v="IPs"/>
    <s v="HO KHUDOZHNYKIV PEKTORAL"/>
    <s v="Ukraine"/>
    <n v="18960"/>
    <x v="0"/>
    <x v="0"/>
  </r>
  <r>
    <x v="3"/>
    <s v="DP.2565"/>
    <s v="Multi-sectoral support for conflict affected populations, specifically people living with disabilities, in East and Southern Ukraine"/>
    <s v="MOVEMENT, EMERGENCY AND POST-CRISIS MIGRATION MANAGEMENT"/>
    <s v="Ukraine"/>
    <n v="4500302850"/>
    <s v="UA1-2023-12619_IP_In-kind and cash grants for small farm owners"/>
    <s v="IPs"/>
    <s v="Ukrainian Red Cross Society"/>
    <s v="Ukraine"/>
    <n v="532592"/>
    <x v="0"/>
    <x v="4"/>
  </r>
  <r>
    <x v="3"/>
    <s v="DP.2573"/>
    <s v="​​Addressing the needs of vulnerable migrants within the humanitarian, development and peace nexus in Thailand"/>
    <s v="MOVEMENT, EMERGENCY AND POST-CRISIS MIGRATION MANAGEMENT"/>
    <s v="Thailand"/>
    <n v="4500310235"/>
    <s v="PR # 4200456577"/>
    <s v="IPs"/>
    <s v="Foundation For Rural Youth"/>
    <s v="Thailand"/>
    <n v="40206"/>
    <x v="0"/>
    <x v="1"/>
  </r>
  <r>
    <x v="3"/>
    <s v="DP.2573"/>
    <s v="​​Addressing the needs of vulnerable migrants within the humanitarian, development and peace nexus in Thailand"/>
    <s v="MOVEMENT, EMERGENCY AND POST-CRISIS MIGRATION MANAGEMENT"/>
    <s v="Thailand"/>
    <n v="4500324495"/>
    <s v="PIA TH044-2023 THA/IMPL/PA0059/2023 PR4200483111"/>
    <s v="IPs"/>
    <s v="World Vision Foundation of Thailand"/>
    <s v="Thailand"/>
    <n v="266370"/>
    <x v="0"/>
    <x v="1"/>
  </r>
  <r>
    <x v="3"/>
    <s v="DP.2575"/>
    <s v="Providing humanitarian assistance among the most drought-affected communities and support their resilience building"/>
    <s v="MOVEMENT, EMERGENCY AND POST-CRISIS MIGRATION MANAGEMENT"/>
    <s v="Kenya"/>
    <n v="4500305708"/>
    <s v="IP transfers – National CSOs"/>
    <s v="IPs"/>
    <s v="LOKADO FOR CLIMATE CHANGE"/>
    <s v="Kenya"/>
    <n v="52324"/>
    <x v="0"/>
    <x v="3"/>
  </r>
  <r>
    <x v="3"/>
    <s v="DP.2575"/>
    <s v="Providing humanitarian assistance among the most drought-affected communities and support their resilience building"/>
    <s v="MOVEMENT, EMERGENCY AND POST-CRISIS MIGRATION MANAGEMENT"/>
    <s v="Kenya"/>
    <n v="4500305727"/>
    <s v="IP transfers – National CSOs"/>
    <s v="IPs"/>
    <s v="OSDA"/>
    <s v="Kenya"/>
    <n v="46373"/>
    <x v="0"/>
    <x v="3"/>
  </r>
  <r>
    <x v="3"/>
    <s v="DP.2585"/>
    <s v="Provision of life-saving assistance to displaced populations in Ethiopia"/>
    <s v="MOVEMENT, EMERGENCY AND POST-CRISIS MIGRATION MANAGEMENT"/>
    <s v="Ethiopia"/>
    <n v="4500306072"/>
    <s v="Emergency NFI support for Jara IDPs for 1000 households / 5000 people.  Reference:  Project Implementation Agreement number: ETH/ADD/April/1280/2023  PR number: 4200450271  PO Issued by: Mr. Nathaniel Abera  Contact Person: Mr. Abdu Mohammed (RRF)"/>
    <s v="IPs"/>
    <s v="Development for Peace Organization"/>
    <s v="Ethiopia"/>
    <n v="34965"/>
    <x v="0"/>
    <x v="0"/>
  </r>
  <r>
    <x v="3"/>
    <s v="DP.2585"/>
    <s v="Provision of life-saving assistance to displaced populations in Ethiopia"/>
    <s v="MOVEMENT, EMERGENCY AND POST-CRISIS MIGRATION MANAGEMENT"/>
    <s v="Ethiopia"/>
    <n v="4500315269"/>
    <s v="E/Shelter Support for Conflict Displaced People in Oromia Special Zone.  Reference:  Project Implementation Agreement number: ETH/ADD/May/1299/2023  PR number: 420047382  PO Issued by: Mr. Nathaniel Abera  Contact Person: Mr. Abdu Mohammed (RRF)"/>
    <s v="IPs"/>
    <s v="Dorcas Aid Ethiopia (DAE)"/>
    <s v="Ethiopia"/>
    <n v="18174"/>
    <x v="0"/>
    <x v="1"/>
  </r>
  <r>
    <x v="3"/>
    <s v="DP.2587"/>
    <s v="Multisectoral emergency response for vulnerable displaced populations in Northwest Syria (NWS)"/>
    <s v="MOVEMENT, EMERGENCY AND POST-CRISIS MIGRATION MANAGEMENT"/>
    <s v="Turkey"/>
    <n v="4500304666"/>
    <s v="IP transfers – National CSOs"/>
    <s v="IPs"/>
    <s v="Development and Health Organization"/>
    <s v="Turkey"/>
    <n v="363915"/>
    <x v="0"/>
    <x v="8"/>
  </r>
  <r>
    <x v="3"/>
    <s v="DP.2587"/>
    <s v="Multisectoral emergency response for vulnerable displaced populations in Northwest Syria (NWS)"/>
    <s v="MOVEMENT, EMERGENCY AND POST-CRISIS MIGRATION MANAGEMENT"/>
    <s v="Turkey"/>
    <n v="4500309498"/>
    <s v="IP transfers – National CSOs"/>
    <s v="IPs"/>
    <s v="Uluslararasi Insani Yardimlasma Der"/>
    <s v="Turkey"/>
    <n v="297313"/>
    <x v="0"/>
    <x v="0"/>
  </r>
  <r>
    <x v="3"/>
    <s v="DP.2587"/>
    <s v="Multisectoral emergency response for vulnerable displaced populations in Northwest Syria (NWS)"/>
    <s v="MOVEMENT, EMERGENCY AND POST-CRISIS MIGRATION MANAGEMENT"/>
    <s v="Turkey"/>
    <n v="4500324431"/>
    <s v="IP transfers – National CSOs"/>
    <s v="IPs"/>
    <s v="VATAN DERNEGI"/>
    <s v="Turkey"/>
    <n v="12973"/>
    <x v="0"/>
    <x v="0"/>
  </r>
  <r>
    <x v="3"/>
    <s v="DP.2589"/>
    <s v="Multisectoral support To enhance integration of Ukrainians and third country nationals in Poland"/>
    <s v="MOVEMENT, EMERGENCY AND POST-CRISIS MIGRATION MANAGEMENT"/>
    <s v="Poland"/>
    <n v="4500314434"/>
    <s v="UN Partnerships"/>
    <s v="IPs"/>
    <s v="Fundacja EduNowa"/>
    <s v="Poland"/>
    <n v="47973"/>
    <x v="0"/>
    <x v="0"/>
  </r>
  <r>
    <x v="3"/>
    <s v="DP.2589"/>
    <s v="Multisectoral support To enhance integration of Ukrainians and third country nationals in Poland"/>
    <s v="MOVEMENT, EMERGENCY AND POST-CRISIS MIGRATION MANAGEMENT"/>
    <s v="Poland"/>
    <n v="4500315617"/>
    <s v="UN Partnerships"/>
    <s v="IPs"/>
    <s v="Malopolski Fundusz Ekonomi Spoleczn"/>
    <s v="Poland"/>
    <n v="47972"/>
    <x v="0"/>
    <x v="0"/>
  </r>
  <r>
    <x v="3"/>
    <s v="DP.2589"/>
    <s v="Multisectoral support To enhance integration of Ukrainians and third country nationals in Poland"/>
    <s v="MOVEMENT, EMERGENCY AND POST-CRISIS MIGRATION MANAGEMENT"/>
    <s v="Poland"/>
    <n v="4500315636"/>
    <s v="PR 4200448047 Labour market inclusion - Labor Market Integration Center RZESZOW IP EKOS"/>
    <s v="IPs"/>
    <s v="Stowarzyszenie Edukacji dla"/>
    <s v="Poland"/>
    <n v="47086"/>
    <x v="0"/>
    <x v="0"/>
  </r>
  <r>
    <x v="3"/>
    <s v="DP.2589"/>
    <s v="Multisectoral support To enhance integration of Ukrainians and third country nationals in Poland"/>
    <s v="MOVEMENT, EMERGENCY AND POST-CRISIS MIGRATION MANAGEMENT"/>
    <s v="Poland"/>
    <n v="4500316954"/>
    <s v="UN Partnerships"/>
    <s v="IPs"/>
    <s v="Fundacja Ukraina"/>
    <s v="Poland"/>
    <n v="47405"/>
    <x v="0"/>
    <x v="0"/>
  </r>
  <r>
    <x v="3"/>
    <s v="DP.2595"/>
    <s v="Strengthening the humanitarian response to crisis-affected populations in Hungary"/>
    <s v="MOVEMENT, EMERGENCY AND POST-CRISIS MIGRATION MANAGEMENT"/>
    <s v="Hungary"/>
    <n v="4500320814"/>
    <s v="PR 4200481522. FoodBank services for 100 HHs / week from June to November."/>
    <s v="IPs"/>
    <s v="FoodBank Segito Alapitvany"/>
    <s v="Hungary"/>
    <n v="374461"/>
    <x v="0"/>
    <x v="0"/>
  </r>
  <r>
    <x v="3"/>
    <s v="DP.2598"/>
    <s v="Contributing to improved living conditions and safety for flood affected populations in Pakistan through provision of multisectoral assistance, Pakistan."/>
    <s v="MOVEMENT, EMERGENCY AND POST-CRISIS MIGRATION MANAGEMENT"/>
    <s v="Pakistan"/>
    <n v="4500302956"/>
    <s v="IP for Stregthen Protection Mechanisms for At-Risk Population Affected by Flood Emeregency (SAFE)"/>
    <s v="IPs"/>
    <s v="International Rescue Committee"/>
    <s v="Pakistan"/>
    <n v="88387"/>
    <x v="0"/>
    <x v="1"/>
  </r>
  <r>
    <x v="3"/>
    <s v="DP.2600"/>
    <s v="Multi-sector assistance to populations affected by the Syria crisis"/>
    <s v="MOVEMENT, EMERGENCY AND POST-CRISIS MIGRATION MANAGEMENT"/>
    <s v="Turkey"/>
    <n v="4500306949"/>
    <s v="IP transfers – National CSOs"/>
    <s v="IPs"/>
    <s v="SYRIA RELIEF"/>
    <s v="Turkey"/>
    <n v="1325723"/>
    <x v="0"/>
    <x v="1"/>
  </r>
  <r>
    <x v="3"/>
    <s v="DP.2600"/>
    <s v="Multi-sector assistance to populations affected by the Syria crisis"/>
    <s v="MOVEMENT, EMERGENCY AND POST-CRISIS MIGRATION MANAGEMENT"/>
    <s v="Turkey"/>
    <n v="4500308201"/>
    <s v="IP transfers – National CSOs"/>
    <s v="IPs"/>
    <s v="VATAN DERNEGI"/>
    <s v="Turkey"/>
    <n v="1543944"/>
    <x v="0"/>
    <x v="0"/>
  </r>
  <r>
    <x v="3"/>
    <s v="DP.2600"/>
    <s v="Multi-sector assistance to populations affected by the Syria crisis"/>
    <s v="MOVEMENT, EMERGENCY AND POST-CRISIS MIGRATION MANAGEMENT"/>
    <s v="Turkey"/>
    <n v="4500316287"/>
    <s v="IP transfers – National CSOs"/>
    <s v="IPs"/>
    <s v="GOAL"/>
    <s v="Ireland"/>
    <n v="29361"/>
    <x v="0"/>
    <x v="1"/>
  </r>
  <r>
    <x v="3"/>
    <s v="DP.2600"/>
    <s v="Multi-sector assistance to populations affected by the Syria crisis"/>
    <s v="MOVEMENT, EMERGENCY AND POST-CRISIS MIGRATION MANAGEMENT"/>
    <s v="Turkey"/>
    <n v="4500318611"/>
    <s v="IP transfers – National CSOs"/>
    <s v="IPs"/>
    <s v="SYRIA RELIEF"/>
    <s v="Turkey"/>
    <n v="20967"/>
    <x v="0"/>
    <x v="1"/>
  </r>
  <r>
    <x v="3"/>
    <s v="DP.2602"/>
    <s v="Emergency lifesaving NFI, wash support to earthquake-affected populations in Northwest Syria (NWS)"/>
    <s v="MOVEMENT, EMERGENCY AND POST-CRISIS MIGRATION MANAGEMENT"/>
    <s v="Turkey"/>
    <n v="4500322671"/>
    <s v="IP transfers – National CSOs"/>
    <s v="IPs"/>
    <s v="VIOLET ORGANIZATION"/>
    <s v="Turkey"/>
    <n v="37179"/>
    <x v="0"/>
    <x v="0"/>
  </r>
  <r>
    <x v="3"/>
    <s v="DP.2604"/>
    <s v="Promoting shelter upgrade and community building in Bhasan Char and Cox's Bazar district"/>
    <s v="MOVEMENT, EMERGENCY AND POST-CRISIS MIGRATION MANAGEMENT"/>
    <s v="Bangladesh"/>
    <n v="4500308311"/>
    <s v="IP transfers – National CSOs"/>
    <s v="IPs"/>
    <s v="NOWZUWAN"/>
    <s v="Bangladesh"/>
    <n v="140186"/>
    <x v="0"/>
    <x v="0"/>
  </r>
  <r>
    <x v="3"/>
    <s v="DP.2604"/>
    <s v="Promoting shelter upgrade and community building in Bhasan Char and Cox's Bazar district"/>
    <s v="MOVEMENT, EMERGENCY AND POST-CRISIS MIGRATION MANAGEMENT"/>
    <s v="Bangladesh"/>
    <n v="4500308393"/>
    <s v="IP transfers – National CSOs"/>
    <s v="IPs"/>
    <s v="Pulse Bangladesh Society"/>
    <s v="Bangladesh"/>
    <n v="208000"/>
    <x v="0"/>
    <x v="0"/>
  </r>
  <r>
    <x v="3"/>
    <s v="DP.2604"/>
    <s v="Promoting shelter upgrade and community building in Bhasan Char and Cox's Bazar district"/>
    <s v="MOVEMENT, EMERGENCY AND POST-CRISIS MIGRATION MANAGEMENT"/>
    <s v="Bangladesh"/>
    <n v="4500308433"/>
    <s v="IP transfers – National CSOs"/>
    <s v="IPs"/>
    <s v="SHUSHILAN"/>
    <s v="Bangladesh"/>
    <n v="305892"/>
    <x v="0"/>
    <x v="0"/>
  </r>
  <r>
    <x v="3"/>
    <s v="DP.2604"/>
    <s v="Promoting shelter upgrade and community building in Bhasan Char and Cox's Bazar district"/>
    <s v="MOVEMENT, EMERGENCY AND POST-CRISIS MIGRATION MANAGEMENT"/>
    <s v="Bangladesh"/>
    <n v="4500314595"/>
    <s v="PR-4200451521 Requestor-Faiz Noor Unit-SoCo"/>
    <s v="IPs"/>
    <s v="Society for Health Extension &amp;Dev.("/>
    <s v="Bangladesh"/>
    <n v="225238"/>
    <x v="0"/>
    <x v="3"/>
  </r>
  <r>
    <x v="3"/>
    <s v="DP.2604"/>
    <s v="Promoting shelter upgrade and community building in Bhasan Char and Cox's Bazar district"/>
    <s v="MOVEMENT, EMERGENCY AND POST-CRISIS MIGRATION MANAGEMENT"/>
    <s v="Bangladesh"/>
    <n v="4500314606"/>
    <s v="PR-4200454188 Requestor-Faiz Noor Unit-Soco"/>
    <s v="IPs"/>
    <s v="PROTTYASHI"/>
    <s v="Bangladesh"/>
    <n v="412892"/>
    <x v="0"/>
    <x v="3"/>
  </r>
  <r>
    <x v="3"/>
    <s v="DP.2604"/>
    <s v="Promoting shelter upgrade and community building in Bhasan Char and Cox's Bazar district"/>
    <s v="MOVEMENT, EMERGENCY AND POST-CRISIS MIGRATION MANAGEMENT"/>
    <s v="Bangladesh"/>
    <n v="4500314618"/>
    <s v="IP transfers – National CSOs"/>
    <s v="IPs"/>
    <s v="BNWLA"/>
    <s v="Bangladesh"/>
    <n v="69333"/>
    <x v="0"/>
    <x v="0"/>
  </r>
  <r>
    <x v="3"/>
    <s v="DP.2613"/>
    <s v="Regional refugee and migrant response plan (RMRP 2023 - 2024) for the Venezuelan situation in Colombia"/>
    <s v="MOVEMENT, EMERGENCY AND POST-CRISIS MIGRATION MANAGEMENT"/>
    <s v="Colombia"/>
    <n v="4500303091"/>
    <s v="CONVENIO E&lt;(&gt;&amp;&lt;)&gt;E-036-001 DE 2023 12611970 ALDEAS INFANTILES COLOMBIA  TOTAL VALUE: COP   $309.279.955.oo IOM CONTRIB: COP   $247.651.416.oo SOC CONTRIB: COP   $ 61.628.539.oo"/>
    <s v="IPs"/>
    <s v="ALDEAS INFANTILES SOS COLOMBIA"/>
    <s v="Colombia"/>
    <n v="53955"/>
    <x v="0"/>
    <x v="1"/>
  </r>
  <r>
    <x v="3"/>
    <s v="DP.2613"/>
    <s v="Regional refugee and migrant response plan (RMRP 2023 - 2024) for the Venezuelan situation in Colombia"/>
    <s v="MOVEMENT, EMERGENCY AND POST-CRISIS MIGRATION MANAGEMENT"/>
    <s v="Colombia"/>
    <n v="4500303904"/>
    <s v="CONVENIO E&lt;(&gt;&amp;&lt;)&gt;E - 036 - 028 DE 2023 12626899 ASOCIACION DE APOYO AL DESARROLLO (IP)  TOTAL VALUE:  COP 375.690.000 OIM CONTRIB:  COP 365.940.000 FUD CONTRIB:  COP   9.750.000"/>
    <s v="IPs"/>
    <s v="ASOCIACION DE APOYO AL DESARROLLO"/>
    <s v="Colombia"/>
    <n v="79726"/>
    <x v="0"/>
    <x v="3"/>
  </r>
  <r>
    <x v="3"/>
    <s v="DP.2613"/>
    <s v="Regional refugee and migrant response plan (RMRP 2023 - 2024) for the Venezuelan situation in Colombia"/>
    <s v="MOVEMENT, EMERGENCY AND POST-CRISIS MIGRATION MANAGEMENT"/>
    <s v="Colombia"/>
    <n v="4500305227"/>
    <s v="IP transfers – National CSOs"/>
    <s v="IPs"/>
    <s v="SOCIEDAD NACIONAL DE LA CRUZ ROJA ("/>
    <s v="Colombia"/>
    <n v="138442"/>
    <x v="0"/>
    <x v="4"/>
  </r>
  <r>
    <x v="3"/>
    <s v="DP.2613"/>
    <s v="Regional refugee and migrant response plan (RMRP 2023 - 2024) for the Venezuelan situation in Colombia"/>
    <s v="MOVEMENT, EMERGENCY AND POST-CRISIS MIGRATION MANAGEMENT"/>
    <s v="Colombia"/>
    <n v="4500306463"/>
    <s v="CONVENIO E&lt;(&gt;&amp;&lt;)&gt;E-036-027 de 2023 12601091 SOCIEDAD NACIONAL DE LA CRUZ ROJA  TOTAL VALUE: COP 412.420.561 IOM CONTRIB: COP 361.050.000 FUN CONTRIB: COP  51.370.561"/>
    <s v="IPs"/>
    <s v="SOCIEDAD NACIONAL DE LA CRUZ ROJA ("/>
    <s v="Colombia"/>
    <n v="78660"/>
    <x v="0"/>
    <x v="4"/>
  </r>
  <r>
    <x v="3"/>
    <s v="DP.2613"/>
    <s v="Regional refugee and migrant response plan (RMRP 2023 - 2024) for the Venezuelan situation in Colombia"/>
    <s v="MOVEMENT, EMERGENCY AND POST-CRISIS MIGRATION MANAGEMENT"/>
    <s v="Colombia"/>
    <n v="4500318109"/>
    <s v="ACUERDO IMPLEMENTACION E&lt;(&gt;&amp;&lt;)&gt;E-036-032 DE 2023 12601139 CORPORACION OPCION LEGAL (IP)  TOTAL VALUE: COP  2,047,853,628 IOM CONTRIB: COP  2,047,853,628"/>
    <s v="IPs"/>
    <s v="CORPORACION OPCION LEGAL (IP)"/>
    <s v="Colombia"/>
    <n v="462687"/>
    <x v="0"/>
    <x v="0"/>
  </r>
  <r>
    <x v="3"/>
    <s v="DP.2613"/>
    <s v="Regional refugee and migrant response plan (RMRP 2023 - 2024) for the Venezuelan situation in Colombia"/>
    <s v="MOVEMENT, EMERGENCY AND POST-CRISIS MIGRATION MANAGEMENT"/>
    <s v="Colombia"/>
    <n v="4500323419"/>
    <s v="CONVENIO FGM - 036 - 033 DE 2023 12627208 FUNDACION RENACER  TOTAL VALUE:  COP 241.083.181 OIM CONTRIB:  COP 241.083.181 FUD CONTRIB:  COP 0.00"/>
    <s v="IPs"/>
    <s v="FUNDACION RENACER"/>
    <s v="Colombia"/>
    <n v="54470"/>
    <x v="0"/>
    <x v="0"/>
  </r>
  <r>
    <x v="3"/>
    <s v="DP.2614"/>
    <s v="Regional refugee and migrant response plan (RMRP) for the Venezuela situation 2023"/>
    <s v="MOVEMENT, EMERGENCY AND POST-CRISIS MIGRATION MANAGEMENT"/>
    <s v="Ecuador"/>
    <n v="4500310560"/>
    <s v="ACUERDO DE IMPLEMENTACIÓN DE PROYECTO entre la Organización Internacional para las Migraciones (OIM) y Corporación Agencia Adventista de Desarrollo y Recursos Asistenciales del Ecuador – ADRA -Ecuador relativo a Atención Integral A Población En Situación"/>
    <s v="IPs"/>
    <s v="ADRA"/>
    <s v="Ecuador"/>
    <n v="508722"/>
    <x v="0"/>
    <x v="1"/>
  </r>
  <r>
    <x v="3"/>
    <s v="DP.2614"/>
    <s v="Regional refugee and migrant response plan (RMRP) for the Venezuela situation 2023"/>
    <s v="MOVEMENT, EMERGENCY AND POST-CRISIS MIGRATION MANAGEMENT"/>
    <s v="Ecuador"/>
    <n v="4500312960"/>
    <s v="Tejiendo Sueños, Cohesión y Fortalecimiento del Tejido Social Comunitario a través de la Artesanía, Arte y Creatividad."/>
    <s v="IPs"/>
    <s v="Corporación Humor y Vida"/>
    <s v="Ecuador"/>
    <n v="12495"/>
    <x v="0"/>
    <x v="0"/>
  </r>
  <r>
    <x v="3"/>
    <s v="DP.2614"/>
    <s v="Regional refugee and migrant response plan (RMRP) for the Venezuela situation 2023"/>
    <s v="MOVEMENT, EMERGENCY AND POST-CRISIS MIGRATION MANAGEMENT"/>
    <s v="Ecuador"/>
    <n v="4500314104"/>
    <s v="ACUERDO DE IMPLEMENTACIÓN DE PROYECTO entre la Organización Internacional para las Migraciones (OIM) y Fundación Alas de Colibrí relativo a &quot;Asistencia y protección a víctimas y/o sobrevivientes de Trata de Personas y Violencia Basada en Género y fortalec"/>
    <s v="IPs"/>
    <s v="Fundacion Alas de Colibrí"/>
    <s v="Ecuador"/>
    <n v="180000"/>
    <x v="0"/>
    <x v="0"/>
  </r>
  <r>
    <x v="3"/>
    <s v="DP.2614"/>
    <s v="Regional refugee and migrant response plan (RMRP) for the Venezuela situation 2023"/>
    <s v="MOVEMENT, EMERGENCY AND POST-CRISIS MIGRATION MANAGEMENT"/>
    <s v="Ecuador"/>
    <n v="4500314112"/>
    <s v="ACUERDO DE IMPLEMENTACIÓN DE PROYECTO entre la Organización Internacional para las Migraciones (OIM) y Fundación Diálogo Diverso relativo a &quot;Atención integral a población LGBTIQ+ y fortalecimiento de la capacidad de respuesta para la prevención y atención"/>
    <s v="IPs"/>
    <s v="FUNDACION DIALOGO DIVERSO"/>
    <s v="Ecuador"/>
    <n v="150000"/>
    <x v="0"/>
    <x v="0"/>
  </r>
  <r>
    <x v="3"/>
    <s v="DP.2614"/>
    <s v="Regional refugee and migrant response plan (RMRP) for the Venezuela situation 2023"/>
    <s v="MOVEMENT, EMERGENCY AND POST-CRISIS MIGRATION MANAGEMENT"/>
    <s v="Ecuador"/>
    <n v="4500314114"/>
    <s v="ACUERDO DE IMPLEMENTACIÓN DE PROYECTO entre la Organización Internacional para las Migraciones (OIM) y Asociación Mujer &lt;(&gt;&amp;&lt;)&gt; Mujer Colectivo LGBTI relativo a &quot;Asistencia y protección a víctimas y/o sobrevivientes de Trata de Personas y Violencia Basada"/>
    <s v="IPs"/>
    <s v="ASOCIACION MUJER Y MUJER COLECTIVO"/>
    <s v="Ecuador"/>
    <n v="115000"/>
    <x v="0"/>
    <x v="0"/>
  </r>
  <r>
    <x v="3"/>
    <s v="DP.2614"/>
    <s v="Regional refugee and migrant response plan (RMRP) for the Venezuela situation 2023"/>
    <s v="MOVEMENT, EMERGENCY AND POST-CRISIS MIGRATION MANAGEMENT"/>
    <s v="Ecuador"/>
    <n v="4500314116"/>
    <s v="ACUERDO DE IMPLEMENTACIÓN DE PROYECTO entre la Organización Internacional para las Migraciones (OIM) y Fundación AKUANUNA relativo a Atención integral a sobrevivientes de violencia basada en género y fortalecimiento del abordaje para prevención y asistenc"/>
    <s v="IPs"/>
    <s v="Fundacion Akuanuna"/>
    <s v="Ecuador"/>
    <n v="80000"/>
    <x v="0"/>
    <x v="0"/>
  </r>
  <r>
    <x v="3"/>
    <s v="DP.2614"/>
    <s v="Regional refugee and migrant response plan (RMRP) for the Venezuela situation 2023"/>
    <s v="MOVEMENT, EMERGENCY AND POST-CRISIS MIGRATION MANAGEMENT"/>
    <s v="Ecuador"/>
    <n v="4500314118"/>
    <s v="ACUERDO DE IMPLEMENTACIÓN DE PROYECTO entre la Organización Internacional para las Migraciones (OIM) y Fundación Quimera relativo a &quot;Asistencia y protección a víctimas y/o sobrevivientes de Trata de Personas y Violencia Basada en Género y fortalecimiento"/>
    <s v="IPs"/>
    <s v="FUNDACION QUIMERA"/>
    <s v="Ecuador"/>
    <n v="110000"/>
    <x v="0"/>
    <x v="0"/>
  </r>
  <r>
    <x v="3"/>
    <s v="DP.2614"/>
    <s v="Regional refugee and migrant response plan (RMRP) for the Venezuela situation 2023"/>
    <s v="MOVEMENT, EMERGENCY AND POST-CRISIS MIGRATION MANAGEMENT"/>
    <s v="Ecuador"/>
    <n v="4500314125"/>
    <s v="Proyecto Arte Que Nos Mueve: Diversidades Escénicas."/>
    <s v="IPs"/>
    <s v="FUNDACIÓN HACIENDO PANAS"/>
    <s v="Ecuador"/>
    <n v="24000"/>
    <x v="0"/>
    <x v="0"/>
  </r>
  <r>
    <x v="3"/>
    <s v="DP.2614"/>
    <s v="Regional refugee and migrant response plan (RMRP) for the Venezuela situation 2023"/>
    <s v="MOVEMENT, EMERGENCY AND POST-CRISIS MIGRATION MANAGEMENT"/>
    <s v="Ecuador"/>
    <n v="4500322407"/>
    <s v="4200475765 Acuerdo de Implementación de Proyecto, Num. de referencia: IP-2023-09, relativo a: &quot;Inclusión Socio Económica dirigida a Población en Movilidad Humana y Comunidad de Acogida a través del escalamiento de emprendimientos a través de la formalización y enlaces comerciales&quot;."/>
    <s v="IPs"/>
    <s v="FUNDACION CRISFE"/>
    <s v="Ecuador"/>
    <n v="50000"/>
    <x v="0"/>
    <x v="0"/>
  </r>
  <r>
    <x v="3"/>
    <s v="DP.2614"/>
    <s v="Regional refugee and migrant response plan (RMRP) for the Venezuela situation 2023"/>
    <s v="MOVEMENT, EMERGENCY AND POST-CRISIS MIGRATION MANAGEMENT"/>
    <s v="Peru"/>
    <n v="4500307686"/>
    <s v="ACUERDO DE IMPLEMENTACIÓN SNM - Descentralización e incremento de la capacidad operativa"/>
    <s v="IPs"/>
    <s v="Superintendencia Nac. de Migracione"/>
    <s v="Peru"/>
    <n v="296012"/>
    <x v="0"/>
    <x v="9"/>
  </r>
  <r>
    <x v="3"/>
    <s v="DP.2614"/>
    <s v="Regional refugee and migrant response plan (RMRP) for the Venezuela situation 2023"/>
    <s v="MOVEMENT, EMERGENCY AND POST-CRISIS MIGRATION MANAGEMENT"/>
    <s v="Peru"/>
    <n v="4500317011"/>
    <s v="Hiring of an implementing partner to assist refugees and migrants"/>
    <s v="IPs"/>
    <s v="Union Venezolana en Perú"/>
    <s v="Peru"/>
    <n v="169853"/>
    <x v="0"/>
    <x v="0"/>
  </r>
  <r>
    <x v="3"/>
    <s v="DP.2614"/>
    <s v="Regional refugee and migrant response plan (RMRP) for the Venezuela situation 2023"/>
    <s v="MOVEMENT, EMERGENCY AND POST-CRISIS MIGRATION MANAGEMENT"/>
    <s v="Peru"/>
    <n v="4500325047"/>
    <s v="IP transfers – International CSOs"/>
    <s v="IPs"/>
    <s v="HIAS PERU"/>
    <s v="Peru"/>
    <n v="101906"/>
    <x v="0"/>
    <x v="1"/>
  </r>
  <r>
    <x v="3"/>
    <s v="DP.2619"/>
    <s v="EQ Phase 1 [FSL support for earthquake-affected populations in Northwest Syria (NWS)]"/>
    <s v="MOVEMENT, EMERGENCY AND POST-CRISIS MIGRATION MANAGEMENT"/>
    <s v="Turkey"/>
    <n v="4500319518"/>
    <s v="IP transfers – National CSOs"/>
    <s v="IPs"/>
    <s v="Uluslararasi Insani Yardimlasma Der"/>
    <s v="Turkey"/>
    <n v="2513364"/>
    <x v="0"/>
    <x v="0"/>
  </r>
  <r>
    <x v="3"/>
    <s v="DP.2620"/>
    <s v="Lifesaving emergency assistance for affected populations"/>
    <s v="MOVEMENT, EMERGENCY AND POST-CRISIS MIGRATION MANAGEMENT"/>
    <s v="Turkey"/>
    <n v="4500305709"/>
    <s v="IP transfers – National CSOs"/>
    <s v="IPs"/>
    <s v="Shafak Organization"/>
    <s v="Turkey"/>
    <n v="321377"/>
    <x v="0"/>
    <x v="0"/>
  </r>
  <r>
    <x v="3"/>
    <s v="DP.2620"/>
    <s v="Lifesaving emergency assistance for affected populations"/>
    <s v="MOVEMENT, EMERGENCY AND POST-CRISIS MIGRATION MANAGEMENT"/>
    <s v="Turkey"/>
    <n v="4500311880"/>
    <s v="IP transfers – National CSOs"/>
    <s v="IPs"/>
    <s v="NUR DERNEGI"/>
    <s v="Turkey"/>
    <n v="375231"/>
    <x v="0"/>
    <x v="0"/>
  </r>
  <r>
    <x v="3"/>
    <s v="DP.2620"/>
    <s v="Lifesaving emergency assistance for affected populations"/>
    <s v="MOVEMENT, EMERGENCY AND POST-CRISIS MIGRATION MANAGEMENT"/>
    <s v="Turkey"/>
    <n v="4500319186"/>
    <s v="IP transfers – National CSOs"/>
    <s v="IPs"/>
    <s v="MUZUN FOR HUMANITARIAN DEVELOPMENT"/>
    <s v="Turkey"/>
    <n v="578760"/>
    <x v="0"/>
    <x v="0"/>
  </r>
  <r>
    <x v="3"/>
    <s v="DP.2620"/>
    <s v="Lifesaving emergency assistance for affected populations"/>
    <s v="MOVEMENT, EMERGENCY AND POST-CRISIS MIGRATION MANAGEMENT"/>
    <s v="Turkey"/>
    <n v="4500322725"/>
    <s v="IP transfers – National CSOs"/>
    <s v="IPs"/>
    <s v="ATAA FOR RELIEF AND DEVELOPMENT"/>
    <s v="Turkey"/>
    <n v="438920"/>
    <x v="0"/>
    <x v="0"/>
  </r>
  <r>
    <x v="3"/>
    <s v="DP.2624"/>
    <s v="Provision of immediate lifesaving emergency shelter, non-food items (NFI) and camp coordination and camp management assistance in response to tropical cyclone freddy’s impact"/>
    <s v="MOVEMENT, EMERGENCY AND POST-CRISIS MIGRATION MANAGEMENT"/>
    <s v="Malawi"/>
    <n v="4500308052"/>
    <s v="IP transfers – National CSOs"/>
    <s v="IPs"/>
    <s v="Malawi Red Cross Society"/>
    <s v="Malawi"/>
    <n v="62726"/>
    <x v="0"/>
    <x v="4"/>
  </r>
  <r>
    <x v="3"/>
    <s v="DP.2624"/>
    <s v="Provision of immediate lifesaving emergency shelter, non-food items (NFI) and camp coordination and camp management assistance in response to tropical cyclone freddy’s impact"/>
    <s v="MOVEMENT, EMERGENCY AND POST-CRISIS MIGRATION MANAGEMENT"/>
    <s v="Malawi"/>
    <n v="4500309993"/>
    <s v="IP transfers – National CSOs"/>
    <s v="IPs"/>
    <s v="HABITAT FOR HUMANITY MALAWI"/>
    <s v="Malawi"/>
    <n v="130085"/>
    <x v="0"/>
    <x v="1"/>
  </r>
  <r>
    <x v="3"/>
    <s v="DP.2634"/>
    <s v="Lifesaving CCCM, NFI and MPC assistance to IDPs affected by extreme rainfall and Yaku cyclone emergency in the coast of Peru to restore their dignity and improve their living conditions"/>
    <s v="MOVEMENT, EMERGENCY AND POST-CRISIS MIGRATION MANAGEMENT"/>
    <s v="Peru"/>
    <n v="4500319750"/>
    <s v="CERF - Contratación de IP para asistencia humanitaria y gestión de albergue en Piura"/>
    <s v="IPs"/>
    <s v="ONG COOPERAZIONE INTERNAZIONALE"/>
    <s v="Peru"/>
    <n v="197752"/>
    <x v="0"/>
    <x v="1"/>
  </r>
  <r>
    <x v="3"/>
    <s v="DP.2634"/>
    <s v="Lifesaving CCCM, NFI and MPC assistance to IDPs affected by extreme rainfall and Yaku cyclone emergency in the coast of Peru to restore their dignity and improve their living conditions"/>
    <s v="MOVEMENT, EMERGENCY AND POST-CRISIS MIGRATION MANAGEMENT"/>
    <s v="Peru"/>
    <n v="4500319755"/>
    <s v="CERF - Contratación de IP para CBI de necesidades básicas en Lambayeque, Lima, Piura y Tumbes"/>
    <s v="IPs"/>
    <s v="HIAS PERU"/>
    <s v="Peru"/>
    <n v="400492"/>
    <x v="0"/>
    <x v="1"/>
  </r>
  <r>
    <x v="3"/>
    <s v="DP.2634"/>
    <s v="Lifesaving CCCM, NFI and MPC assistance to IDPs affected by extreme rainfall and Yaku cyclone emergency in the coast of Peru to restore their dignity and improve their living conditions"/>
    <s v="MOVEMENT, EMERGENCY AND POST-CRISIS MIGRATION MANAGEMENT"/>
    <s v="Peru"/>
    <n v="4500319771"/>
    <s v="CERF - Contratación de IP para asistencia humanitaria y gestión de albergue en Lambayeque."/>
    <s v="IPs"/>
    <s v="FUNDACION AYUDA EN ACCIÓN"/>
    <s v="Peru"/>
    <n v="197758"/>
    <x v="0"/>
    <x v="1"/>
  </r>
  <r>
    <x v="3"/>
    <s v="DP.2634"/>
    <s v="Lifesaving CCCM, NFI and MPC assistance to IDPs affected by extreme rainfall and Yaku cyclone emergency in the coast of Peru to restore their dignity and improve their living conditions"/>
    <s v="MOVEMENT, EMERGENCY AND POST-CRISIS MIGRATION MANAGEMENT"/>
    <s v="Peru"/>
    <n v="4500320703"/>
    <s v="CERF - Contratación de IP para asistencia humanitaria y gestión de albergue en Lambayeque"/>
    <s v="IPs"/>
    <s v="SAVE THE CHILDREN INTERNATIONAL"/>
    <s v="Peru"/>
    <n v="197758"/>
    <x v="0"/>
    <x v="1"/>
  </r>
  <r>
    <x v="3"/>
    <s v="DP.2639"/>
    <s v="Bangladesh appeal 2023 – Rohingya humanitarian crisis"/>
    <s v="MOVEMENT, EMERGENCY AND POST-CRISIS MIGRATION MANAGEMENT"/>
    <s v="Bangladesh"/>
    <n v="4500308450"/>
    <s v="IP transfers – International CSOs"/>
    <s v="IPs"/>
    <s v="Danish Refugee Council(DRC)"/>
    <s v="Denmark"/>
    <n v="316750"/>
    <x v="0"/>
    <x v="1"/>
  </r>
  <r>
    <x v="3"/>
    <s v="DP.2639"/>
    <s v="Bangladesh appeal 2023 – Rohingya humanitarian crisis"/>
    <s v="MOVEMENT, EMERGENCY AND POST-CRISIS MIGRATION MANAGEMENT"/>
    <s v="Bangladesh"/>
    <n v="4500308498"/>
    <s v="IP transfers – International CSOs"/>
    <s v="IPs"/>
    <s v="CARE BANGLADESH"/>
    <s v="Bangladesh"/>
    <n v="147143"/>
    <x v="0"/>
    <x v="1"/>
  </r>
  <r>
    <x v="3"/>
    <s v="DP.2639"/>
    <s v="Bangladesh appeal 2023 – Rohingya humanitarian crisis"/>
    <s v="MOVEMENT, EMERGENCY AND POST-CRISIS MIGRATION MANAGEMENT"/>
    <s v="Bangladesh"/>
    <n v="4500320534"/>
    <s v="IP transfers – National CSOs"/>
    <s v="IPs"/>
    <s v="RESEARCH TRAINING &amp; MANAGEMENT INT"/>
    <s v="Bangladesh"/>
    <n v="97642"/>
    <x v="0"/>
    <x v="0"/>
  </r>
  <r>
    <x v="3"/>
    <s v="DP.2639"/>
    <s v="Bangladesh appeal 2023 – Rohingya humanitarian crisis"/>
    <s v="MOVEMENT, EMERGENCY AND POST-CRISIS MIGRATION MANAGEMENT"/>
    <s v="Bangladesh"/>
    <n v="4500323533"/>
    <s v="IP transfers – National CSOs"/>
    <s v="IPs"/>
    <s v="BRAC"/>
    <s v="Bangladesh"/>
    <n v="151879"/>
    <x v="0"/>
    <x v="0"/>
  </r>
  <r>
    <x v="3"/>
    <s v="DP.2645"/>
    <s v="Lifesaving and transitional support to refugees and host communities in Cox’s Bazar District, Bangladesh"/>
    <s v="MOVEMENT, EMERGENCY AND POST-CRISIS MIGRATION MANAGEMENT"/>
    <s v="Bangladesh"/>
    <n v="4500320760"/>
    <s v="IP transfers – National CSOs"/>
    <s v="IPs"/>
    <s v="FRIENDSHIP"/>
    <s v="Bangladesh"/>
    <n v="950249"/>
    <x v="0"/>
    <x v="0"/>
  </r>
  <r>
    <x v="3"/>
    <s v="DP.2659"/>
    <s v="Provision of humanitarian coordination, shelter and settlements, water, sanitation and hygiene (WASH), Multi-Purpose Cash Assistance (MPCA), Health and Protection Assistance for Crisis-Affected Popula"/>
    <s v="MOVEMENT, EMERGENCY AND POST-CRISIS MIGRATION MANAGEMENT"/>
    <s v="Ethiopia"/>
    <n v="4500324731"/>
    <s v="Improving well-being of drought-affected populations through camp coordination and camp management (CCCM) support to IDPs and host community.  Reference:  Project Implementation Agreement number: ETH/ADD/June/1307/2023  PR number: 4200488625  PO Issued by: Mr. Nathaniel Abera  Contact Person: Mr. Abdu Mohammed (RRF)"/>
    <s v="IPs"/>
    <s v="Positive Action for Development"/>
    <s v="Ethiopia"/>
    <n v="174374"/>
    <x v="0"/>
    <x v="0"/>
  </r>
  <r>
    <x v="3"/>
    <s v="DP.2659"/>
    <s v="Provision of humanitarian coordination, shelter and settlements, water, sanitation and hygiene (WASH), Multi-Purpose Cash Assistance (MPCA), Health and Protection Assistance for Crisis-Affected Popula"/>
    <s v="MOVEMENT, EMERGENCY AND POST-CRISIS MIGRATION MANAGEMENT"/>
    <s v="Ethiopia"/>
    <n v="4500324741"/>
    <s v="Provision of Emergency Shelter and Non-Food Items (NFIs) for the flood-displaced households in Abakarow Woreda, Shabelle Zone, Somali Region for IDPs: 1,500 HHs / 7, 500 individuals.  Reference:  Project Implementation Agreement number: ETH/ADD/June/1308/2023  PR number: 4200490120  PO Issued by: Mr. Nathaniel Abera  Contact Person: Mr. Abdu Mohammed (RRF)"/>
    <s v="IPs"/>
    <s v="Community in Action Against Poverty"/>
    <s v="Ethiopia"/>
    <n v="58050"/>
    <x v="0"/>
    <x v="0"/>
  </r>
  <r>
    <x v="3"/>
    <s v="DR.0029"/>
    <s v="Strengthening resilience to natural disasters in Burundi"/>
    <s v="MIGRATION AND DEVELOPMENT"/>
    <s v="Burundi"/>
    <n v="4500316013"/>
    <s v="Prevention and mitigation interventions at Gasekebuye ravin  PR:4200473490"/>
    <s v="IPs"/>
    <s v="OBUHA"/>
    <s v="Burundi"/>
    <n v="31650"/>
    <x v="0"/>
    <x v="9"/>
  </r>
  <r>
    <x v="3"/>
    <s v="DR.0065"/>
    <s v="Restoring the environment and strengthening resilience of Rohingya refugees and host communities in Cox’s Bazar"/>
    <s v="MIGRATION AND DEVELOPMENT"/>
    <s v="Bangladesh"/>
    <n v="4500301940"/>
    <s v="PR-4200433226 Requestor-Mubashara TUMPA Unit-WASH"/>
    <s v="IPs"/>
    <s v="Society for Health Extension &amp;Dev.("/>
    <s v="Bangladesh"/>
    <n v="156481"/>
    <x v="0"/>
    <x v="3"/>
  </r>
  <r>
    <x v="3"/>
    <s v="DR.0065"/>
    <s v="Restoring the environment and strengthening resilience of Rohingya refugees and host communities in Cox’s Bazar"/>
    <s v="MIGRATION AND DEVELOPMENT"/>
    <s v="Bangladesh"/>
    <n v="4500303187"/>
    <s v="IP transfers – National CSOs"/>
    <s v="IPs"/>
    <s v="DSK"/>
    <s v="Bangladesh"/>
    <n v="133049"/>
    <x v="0"/>
    <x v="0"/>
  </r>
  <r>
    <x v="3"/>
    <s v="DX.0097"/>
    <s v="Mobility tracking and multisectoral humanitarian needs in localities and sites affected by displacement/return in the Central African Republic (national coverage)"/>
    <s v="MOVEMENT, EMERGENCY AND POST-CRISIS MIGRATION MANAGEMENT"/>
    <s v="CAR"/>
    <n v="4500307205"/>
    <s v="DTM RETURN INTENTION SURVEY IN HOST FAMILIES PRF 4200438368"/>
    <s v="IPs"/>
    <s v="COLLECTIF¨POUR LA PAIX EN CENTRAFRI"/>
    <s v="CAR"/>
    <n v="4351"/>
    <x v="0"/>
    <x v="0"/>
  </r>
  <r>
    <x v="3"/>
    <s v="DX.0097"/>
    <s v="Mobility tracking and multisectoral humanitarian needs in localities and sites affected by displacement/return in the Central African Republic (national coverage)"/>
    <s v="MOVEMENT, EMERGENCY AND POST-CRISIS MIGRATION MANAGEMENT"/>
    <s v="CAR"/>
    <n v="4500307212"/>
    <s v="DTM RETURN INTENTION SURVEY IN HOST FAMILLIES PRF 4200438368 et 4200438174"/>
    <s v="IPs"/>
    <s v="Association des Femmes Evang. BOSSA"/>
    <s v="CAR"/>
    <n v="25127"/>
    <x v="0"/>
    <x v="0"/>
  </r>
  <r>
    <x v="3"/>
    <s v="DX.0097"/>
    <s v="Mobility tracking and multisectoral humanitarian needs in localities and sites affected by displacement/return in the Central African Republic (national coverage)"/>
    <s v="MOVEMENT, EMERGENCY AND POST-CRISIS MIGRATION MANAGEMENT"/>
    <s v="CAR"/>
    <n v="4500307233"/>
    <s v="DTM RETURN SURVEY IN HOST FAMILLIES PRF 4200438368"/>
    <s v="IPs"/>
    <s v="ASSOCIATION LE SAMARITAIN"/>
    <s v="CAR"/>
    <n v="515"/>
    <x v="0"/>
    <x v="0"/>
  </r>
  <r>
    <x v="3"/>
    <s v="DX.0097"/>
    <s v="Mobility tracking and multisectoral humanitarian needs in localities and sites affected by displacement/return in the Central African Republic (national coverage)"/>
    <s v="MOVEMENT, EMERGENCY AND POST-CRISIS MIGRATION MANAGEMENT"/>
    <s v="CAR"/>
    <n v="4500307240"/>
    <s v="MOBILITYTRACKING AND RETURN INTENTION SURVEY ACTIVITIES IN OUHAM AND MBOMOU AND DTM RETURN INTENTION SURVEY IN HOST FAMILLIES PRF 4200438174 ET 4200438368"/>
    <s v="IPs"/>
    <s v="FNOHD"/>
    <s v="CAR"/>
    <n v="3027"/>
    <x v="0"/>
    <x v="0"/>
  </r>
  <r>
    <x v="3"/>
    <s v="DX.0097"/>
    <s v="Mobility tracking and multisectoral humanitarian needs in localities and sites affected by displacement/return in the Central African Republic (national coverage)"/>
    <s v="MOVEMENT, EMERGENCY AND POST-CRISIS MIGRATION MANAGEMENT"/>
    <s v="CAR"/>
    <n v="4500307241"/>
    <s v="DTM RETURN SURVEY IN HOST FAMILIES PRF 4200438368"/>
    <s v="IPs"/>
    <s v="AFRICAN RELIEF SERVICE 2"/>
    <s v="CAR"/>
    <n v="2650"/>
    <x v="0"/>
    <x v="1"/>
  </r>
  <r>
    <x v="3"/>
    <s v="DX.0097"/>
    <s v="Mobility tracking and multisectoral humanitarian needs in localities and sites affected by displacement/return in the Central African Republic (national coverage)"/>
    <s v="MOVEMENT, EMERGENCY AND POST-CRISIS MIGRATION MANAGEMENT"/>
    <s v="CAR"/>
    <n v="4500307342"/>
    <s v="DTM RETURN INTENTION SURVEY IN HOST FAMILLIES PRF 4200438368"/>
    <s v="IPs"/>
    <s v="CADRE D'APPUI SPIRIT. AUT. LOCALES"/>
    <s v="CAR"/>
    <n v="1710"/>
    <x v="0"/>
    <x v="0"/>
  </r>
  <r>
    <x v="3"/>
    <s v="DX.0097"/>
    <s v="Mobility tracking and multisectoral humanitarian needs in localities and sites affected by displacement/return in the Central African Republic (national coverage)"/>
    <s v="MOVEMENT, EMERGENCY AND POST-CRISIS MIGRATION MANAGEMENT"/>
    <s v="CAR"/>
    <n v="4500307352"/>
    <s v="DTM RETURN INTENTION SURVEY IN HOST FAMILLIES PRF 4200438368"/>
    <s v="IPs"/>
    <s v="JUPEDEC"/>
    <s v="CAR"/>
    <n v="1230"/>
    <x v="0"/>
    <x v="0"/>
  </r>
  <r>
    <x v="3"/>
    <s v="DX.0097"/>
    <s v="Mobility tracking and multisectoral humanitarian needs in localities and sites affected by displacement/return in the Central African Republic (national coverage)"/>
    <s v="MOVEMENT, EMERGENCY AND POST-CRISIS MIGRATION MANAGEMENT"/>
    <s v="CAR"/>
    <n v="4500307355"/>
    <s v="DTM RETURN INTENTION SURVEY IN HOST FAMILLIES PRF 4200438368"/>
    <s v="IPs"/>
    <s v="ONG NDA"/>
    <s v="CAR"/>
    <n v="1136"/>
    <x v="0"/>
    <x v="0"/>
  </r>
  <r>
    <x v="3"/>
    <s v="DX.0097"/>
    <s v="Mobility tracking and multisectoral humanitarian needs in localities and sites affected by displacement/return in the Central African Republic (national coverage)"/>
    <s v="MOVEMENT, EMERGENCY AND POST-CRISIS MIGRATION MANAGEMENT"/>
    <s v="CAR"/>
    <n v="4500307357"/>
    <s v="DTM RETURN INTENTION SURVEY IN HOST FAMILLIES PRF 4200438368"/>
    <s v="IPs"/>
    <s v="ONG VISION ET DEVELOPPEMENT"/>
    <s v="CAR"/>
    <n v="515"/>
    <x v="0"/>
    <x v="0"/>
  </r>
  <r>
    <x v="3"/>
    <s v="DX.0097"/>
    <s v="Mobility tracking and multisectoral humanitarian needs in localities and sites affected by displacement/return in the Central African Republic (national coverage)"/>
    <s v="MOVEMENT, EMERGENCY AND POST-CRISIS MIGRATION MANAGEMENT"/>
    <s v="CAR"/>
    <n v="4500307358"/>
    <s v="DTM RETURN INTENTION SURVEY IN HOST FAMILLIES PRF 4200438368"/>
    <s v="IPs"/>
    <s v="ONG ESPERANCE"/>
    <s v="CAR"/>
    <n v="1753"/>
    <x v="0"/>
    <x v="0"/>
  </r>
  <r>
    <x v="3"/>
    <s v="DX.0099"/>
    <s v="Supporting multisectoral emergency response assistance for populations affected by the crisis in the North-West and South-West regions in Cameroon"/>
    <s v="MOVEMENT, EMERGENCY AND POST-CRISIS MIGRATION MANAGEMENT"/>
    <s v="Cameroon"/>
    <n v="4500321494"/>
    <s v="TRANSFER TO IP FOR ETT &lt;(&gt;&amp;&lt;)&gt; RINA NW: APRIL - SEPTEMBER 2023"/>
    <s v="IPs"/>
    <s v="STRATEGIC HUMANITARIAN SERVICES"/>
    <s v="Cameroon"/>
    <n v="47468"/>
    <x v="0"/>
    <x v="0"/>
  </r>
  <r>
    <x v="3"/>
    <s v="DX.0099"/>
    <s v="Supporting multisectoral emergency response assistance for populations affected by the crisis in the North-West and South-West regions in Cameroon"/>
    <s v="MOVEMENT, EMERGENCY AND POST-CRISIS MIGRATION MANAGEMENT"/>
    <s v="Cameroon"/>
    <n v="4500321496"/>
    <s v="TRANSFER TO IP FOR : ETT &lt;(&gt;&amp;&lt;)&gt; RINA SW: APRIL - SEPTEMBER 2023"/>
    <s v="IPs"/>
    <s v="CARITAS DIOCESE OF KUMBA"/>
    <s v="Cameroon"/>
    <n v="42810"/>
    <x v="0"/>
    <x v="6"/>
  </r>
  <r>
    <x v="3"/>
    <s v="MP.0592"/>
    <s v="Regional humanitarian response to Venezuelan migrants, refugees and vulnerable populations - phase III"/>
    <s v="MIGRATION HEALTH"/>
    <s v="Colombia"/>
    <n v="4500302401"/>
    <s v="ACUERDO DE IMPLEMENTACION E&lt;(&gt;&amp;&lt;)&gt;E-035-002 12607926 FUNDACION PLAN (IP)  TOTAL VALUE: COP   374,431,143 IOM CONTRIB: COP   374,431,143"/>
    <s v="IPs"/>
    <s v="FUNDACION PLAN"/>
    <s v="Colombia"/>
    <n v="81575"/>
    <x v="0"/>
    <x v="1"/>
  </r>
  <r>
    <x v="3"/>
    <s v="MP.0592"/>
    <s v="Regional humanitarian response to Venezuelan migrants, refugees and vulnerable populations - phase III"/>
    <s v="MIGRATION HEALTH"/>
    <s v="Panama"/>
    <n v="4500302042"/>
    <s v="IP transfers – International CSOs"/>
    <s v="IPs"/>
    <s v="Scalabrini International Migration"/>
    <s v="USA"/>
    <n v="25000"/>
    <x v="0"/>
    <x v="1"/>
  </r>
  <r>
    <x v="3"/>
    <s v="MP.0592"/>
    <s v="Regional humanitarian response to Venezuelan migrants, refugees and vulnerable populations - phase III"/>
    <s v="MIGRATION HEALTH"/>
    <s v="Panama"/>
    <n v="4500306044"/>
    <s v="PR_4200444636 Fortalecimiento de Capacidades a la Red Clamor en Materia de Lucha y Prevención Contra el Delito de Trata de Personas"/>
    <s v="IPs"/>
    <s v="CONSEJO EPISCOPAL LATINOAMERICANO"/>
    <s v="Colombia"/>
    <n v="43050"/>
    <x v="0"/>
    <x v="12"/>
  </r>
  <r>
    <x v="3"/>
    <s v="MP.0592"/>
    <s v="Regional humanitarian response to Venezuelan migrants, refugees and vulnerable populations - phase III"/>
    <s v="MIGRATION HEALTH"/>
    <s v="Panama"/>
    <n v="4500310556"/>
    <s v="PR_4200458642 Humanitarian Response to Venezuelan Migrants and Refugees Phase III"/>
    <s v="IPs"/>
    <s v="Scalabrini International Migration"/>
    <s v="USA"/>
    <n v="7000"/>
    <x v="0"/>
    <x v="1"/>
  </r>
  <r>
    <x v="3"/>
    <s v="MP.0592"/>
    <s v="Regional humanitarian response to Venezuelan migrants, refugees and vulnerable populations - phase III"/>
    <s v="MIGRATION HEALTH"/>
    <s v="Peru"/>
    <n v="4500307984"/>
    <s v="contratación de socio implementador para servicio de regularización migratoria."/>
    <s v="IPs"/>
    <s v="Encuen.Servicio Jesuita de la Solid"/>
    <s v="Peru"/>
    <n v="71426"/>
    <x v="0"/>
    <x v="0"/>
  </r>
  <r>
    <x v="3"/>
    <s v="MP.0601"/>
    <s v="Emergency assistance for vulnerable populations in the states of Bolívar and Amazonas, Venezuela"/>
    <s v="MIGRATION HEALTH"/>
    <s v="Venezuela (BR)"/>
    <n v="4500319375"/>
    <s v="ACUERDO DE IMPLEMENTACIÓN DE PROYECTO entra la Organizacion Internacional para las Migraciones (OIM) y la Fundación para la Educacion de los Refugiados (RET) Relativo a &quot;Asistencia para mejorar los servicios de infraestructura WASH en el estado Bolívar&quot; CONTRATO: IOMVE/CONTR/2023/040 CODIGO DE PROYECTO: MP.0601"/>
    <s v="IPs"/>
    <s v="FUNDACION PARA LA EDUCACION DE LOS"/>
    <s v="Venezuela (BR)"/>
    <n v="450000"/>
    <x v="0"/>
    <x v="8"/>
  </r>
  <r>
    <x v="3"/>
    <s v="MP.0601"/>
    <s v="Emergency assistance for vulnerable populations in the states of Bolívar and Amazonas, Venezuela"/>
    <s v="MIGRATION HEALTH"/>
    <s v="Venezuela (BR)"/>
    <n v="4500321486"/>
    <s v="IP transfers – National CSOs"/>
    <s v="IPs"/>
    <s v="FUNDACION PROYECTO MANIAPURE"/>
    <s v="Venezuela (BR)"/>
    <n v="130792"/>
    <x v="0"/>
    <x v="0"/>
  </r>
  <r>
    <x v="3"/>
    <s v="SN.0157"/>
    <s v="Emergency assistance to displaced populations affected by conflict/natural disasters in camp, camp-like settings, and host communities in the Central African Republic"/>
    <s v="MOVEMENT, EMERGENCY AND POST-CRISIS MIGRATION MANAGEMENT"/>
    <s v="CAR"/>
    <n v="4500307205"/>
    <s v="DTM RETURN INTENTION SURVEY IN HOST FAMILIES PRF 4200438368"/>
    <s v="IPs"/>
    <s v="COLLECTIF¨POUR LA PAIX EN CENTRAFRI"/>
    <s v="CAR"/>
    <n v="13053"/>
    <x v="0"/>
    <x v="0"/>
  </r>
  <r>
    <x v="3"/>
    <s v="SN.0157"/>
    <s v="Emergency assistance to displaced populations affected by conflict/natural disasters in camp, camp-like settings, and host communities in the Central African Republic"/>
    <s v="MOVEMENT, EMERGENCY AND POST-CRISIS MIGRATION MANAGEMENT"/>
    <s v="CAR"/>
    <n v="4500307212"/>
    <s v="DTM RETURN INTENTION SURVEY IN HOST FAMILLIES PRF 4200438368 et 4200438174"/>
    <s v="IPs"/>
    <s v="Association des Femmes Evang. BOSSA"/>
    <s v="CAR"/>
    <n v="8741"/>
    <x v="0"/>
    <x v="0"/>
  </r>
  <r>
    <x v="3"/>
    <s v="SN.0157"/>
    <s v="Emergency assistance to displaced populations affected by conflict/natural disasters in camp, camp-like settings, and host communities in the Central African Republic"/>
    <s v="MOVEMENT, EMERGENCY AND POST-CRISIS MIGRATION MANAGEMENT"/>
    <s v="CAR"/>
    <n v="4500307233"/>
    <s v="DTM RETURN SURVEY IN HOST FAMILLIES PRF 4200438368"/>
    <s v="IPs"/>
    <s v="ASSOCIATION LE SAMARITAIN"/>
    <s v="CAR"/>
    <n v="1545"/>
    <x v="0"/>
    <x v="0"/>
  </r>
  <r>
    <x v="3"/>
    <s v="SN.0157"/>
    <s v="Emergency assistance to displaced populations affected by conflict/natural disasters in camp, camp-like settings, and host communities in the Central African Republic"/>
    <s v="MOVEMENT, EMERGENCY AND POST-CRISIS MIGRATION MANAGEMENT"/>
    <s v="CAR"/>
    <n v="4500307240"/>
    <s v="MOBILITYTRACKING AND RETURN INTENTION SURVEY ACTIVITIES IN OUHAM AND MBOMOU AND DTM RETURN INTENTION SURVEY IN HOST FAMILLIES PRF 4200438174 ET 4200438368"/>
    <s v="IPs"/>
    <s v="FNOHD"/>
    <s v="CAR"/>
    <n v="3091"/>
    <x v="0"/>
    <x v="0"/>
  </r>
  <r>
    <x v="3"/>
    <s v="SN.0157"/>
    <s v="Emergency assistance to displaced populations affected by conflict/natural disasters in camp, camp-like settings, and host communities in the Central African Republic"/>
    <s v="MOVEMENT, EMERGENCY AND POST-CRISIS MIGRATION MANAGEMENT"/>
    <s v="CAR"/>
    <n v="4500307241"/>
    <s v="DTM RETURN SURVEY IN HOST FAMILIES PRF 4200438368"/>
    <s v="IPs"/>
    <s v="AFRICAN RELIEF SERVICE 2"/>
    <s v="CAR"/>
    <n v="7951"/>
    <x v="0"/>
    <x v="1"/>
  </r>
  <r>
    <x v="3"/>
    <s v="SN.0157"/>
    <s v="Emergency assistance to displaced populations affected by conflict/natural disasters in camp, camp-like settings, and host communities in the Central African Republic"/>
    <s v="MOVEMENT, EMERGENCY AND POST-CRISIS MIGRATION MANAGEMENT"/>
    <s v="CAR"/>
    <n v="4500307342"/>
    <s v="DTM RETURN INTENTION SURVEY IN HOST FAMILLIES PRF 4200438368"/>
    <s v="IPs"/>
    <s v="CADRE D'APPUI SPIRIT. AUT. LOCALES"/>
    <s v="CAR"/>
    <n v="5129"/>
    <x v="0"/>
    <x v="0"/>
  </r>
  <r>
    <x v="3"/>
    <s v="SN.0157"/>
    <s v="Emergency assistance to displaced populations affected by conflict/natural disasters in camp, camp-like settings, and host communities in the Central African Republic"/>
    <s v="MOVEMENT, EMERGENCY AND POST-CRISIS MIGRATION MANAGEMENT"/>
    <s v="CAR"/>
    <n v="4500307352"/>
    <s v="DTM RETURN INTENTION SURVEY IN HOST FAMILLIES PRF 4200438368"/>
    <s v="IPs"/>
    <s v="JUPEDEC"/>
    <s v="CAR"/>
    <n v="3691"/>
    <x v="0"/>
    <x v="0"/>
  </r>
  <r>
    <x v="3"/>
    <s v="SN.0157"/>
    <s v="Emergency assistance to displaced populations affected by conflict/natural disasters in camp, camp-like settings, and host communities in the Central African Republic"/>
    <s v="MOVEMENT, EMERGENCY AND POST-CRISIS MIGRATION MANAGEMENT"/>
    <s v="CAR"/>
    <n v="4500307355"/>
    <s v="DTM RETURN INTENTION SURVEY IN HOST FAMILLIES PRF 4200438368"/>
    <s v="IPs"/>
    <s v="ONG NDA"/>
    <s v="CAR"/>
    <n v="3408"/>
    <x v="0"/>
    <x v="0"/>
  </r>
  <r>
    <x v="3"/>
    <s v="SN.0157"/>
    <s v="Emergency assistance to displaced populations affected by conflict/natural disasters in camp, camp-like settings, and host communities in the Central African Republic"/>
    <s v="MOVEMENT, EMERGENCY AND POST-CRISIS MIGRATION MANAGEMENT"/>
    <s v="CAR"/>
    <n v="4500307357"/>
    <s v="DTM RETURN INTENTION SURVEY IN HOST FAMILLIES PRF 4200438368"/>
    <s v="IPs"/>
    <s v="ONG VISION ET DEVELOPPEMENT"/>
    <s v="CAR"/>
    <n v="1545"/>
    <x v="0"/>
    <x v="0"/>
  </r>
  <r>
    <x v="3"/>
    <s v="SN.0157"/>
    <s v="Emergency assistance to displaced populations affected by conflict/natural disasters in camp, camp-like settings, and host communities in the Central African Republic"/>
    <s v="MOVEMENT, EMERGENCY AND POST-CRISIS MIGRATION MANAGEMENT"/>
    <s v="CAR"/>
    <n v="4500307358"/>
    <s v="DTM RETURN INTENTION SURVEY IN HOST FAMILLIES PRF 4200438368"/>
    <s v="IPs"/>
    <s v="ONG ESPERANCE"/>
    <s v="CAR"/>
    <n v="5260"/>
    <x v="0"/>
    <x v="0"/>
  </r>
  <r>
    <x v="3"/>
    <s v="SN.0157"/>
    <s v="Emergency assistance to displaced populations affected by conflict/natural disasters in camp, camp-like settings, and host communities in the Central African Republic"/>
    <s v="MOVEMENT, EMERGENCY AND POST-CRISIS MIGRATION MANAGEMENT"/>
    <s v="CAR"/>
    <n v="4500313102"/>
    <s v="CONTRAT DE MISE EN OEUVRE D'UNE ACTIVITE DE DISTRIBUTION D'URGENCE DANS LA VAKAGA ET D'UNE MISE EN OEUVRE D'UN FLOW MONITORING POINT A AM DAFOK PRF 4200464468- 4200460722"/>
    <s v="IPs"/>
    <s v="ONG VISION ET DEVELOPPEMENT"/>
    <s v="CAR"/>
    <n v="8434"/>
    <x v="0"/>
    <x v="0"/>
  </r>
  <r>
    <x v="3"/>
    <s v="SN.0157"/>
    <s v="Emergency assistance to displaced populations affected by conflict/natural disasters in camp, camp-like settings, and host communities in the Central African Republic"/>
    <s v="MOVEMENT, EMERGENCY AND POST-CRISIS MIGRATION MANAGEMENT"/>
    <s v="CAR"/>
    <n v="4500315890"/>
    <s v="FLOW MONITORING DTM DANS LE CADRE DE LA CRISE DES REFUGIES SOUDANAIS A NDELE ET HAUTE KOTTO PRF 4200474895"/>
    <s v="IPs"/>
    <s v="ONG NDA"/>
    <s v="CAR"/>
    <n v="8387"/>
    <x v="0"/>
    <x v="0"/>
  </r>
  <r>
    <x v="3"/>
    <s v="SN.0157"/>
    <s v="Emergency assistance to displaced populations affected by conflict/natural disasters in camp, camp-like settings, and host communities in the Central African Republic"/>
    <s v="MOVEMENT, EMERGENCY AND POST-CRISIS MIGRATION MANAGEMENT"/>
    <s v="CAR"/>
    <n v="4500315935"/>
    <s v="FLOW MONITORING DTM DANS LE CADRE DE LA CRISE DES REFUGIES SOUDANAIS A NDELE ET HAUTE KOTTO PRF 4200474895"/>
    <s v="IPs"/>
    <s v="ASSOCIATION LE SAMARITAIN"/>
    <s v="CAR"/>
    <n v="8387"/>
    <x v="0"/>
    <x v="0"/>
  </r>
  <r>
    <x v="3"/>
    <s v="SN.0157"/>
    <s v="Emergency assistance to displaced populations affected by conflict/natural disasters in camp, camp-like settings, and host communities in the Central African Republic"/>
    <s v="MOVEMENT, EMERGENCY AND POST-CRISIS MIGRATION MANAGEMENT"/>
    <s v="CAR"/>
    <n v="4500321775"/>
    <s v="Distribution des kits a Zemio PRF 4200480354"/>
    <s v="IPs"/>
    <s v="ONG VISION ET DEVELOPPEMENT"/>
    <s v="CAR"/>
    <n v="4906"/>
    <x v="0"/>
    <x v="0"/>
  </r>
  <r>
    <x v="3"/>
    <s v="SN.0159"/>
    <s v="Provision of critical shelter and non-food item assistance to displaced populations in Yemen – 2021"/>
    <s v="MOVEMENT, EMERGENCY AND POST-CRISIS MIGRATION MANAGEMENT"/>
    <s v="Yemen"/>
    <n v="4500309797"/>
    <s v="IP transfers – National CSOs"/>
    <s v="IPs"/>
    <s v="Diversity Organization (DO)"/>
    <s v="Yemen"/>
    <n v="6574"/>
    <x v="0"/>
    <x v="0"/>
  </r>
  <r>
    <x v="3"/>
    <s v="SN.0159"/>
    <s v="Provision of critical shelter and non-food item assistance to displaced populations in Yemen – 2021"/>
    <s v="MOVEMENT, EMERGENCY AND POST-CRISIS MIGRATION MANAGEMENT"/>
    <s v="Yemen"/>
    <n v="4500309798"/>
    <s v="IP transfers – National CSOs"/>
    <s v="IPs"/>
    <s v="Diversity Organization (DO)"/>
    <s v="Yemen"/>
    <n v="10206"/>
    <x v="0"/>
    <x v="0"/>
  </r>
  <r>
    <x v="3"/>
    <s v="SN.0170"/>
    <s v="Addressing immediate humanitarian needs of the most vulnerable populations in Ukraine"/>
    <s v="MOVEMENT, EMERGENCY AND POST-CRISIS MIGRATION MANAGEMENT"/>
    <s v="Ukraine"/>
    <n v="4500302641"/>
    <s v="IP_ distribution of items in Chernivetska and Ivano-Frankivska Obl."/>
    <s v="IPs"/>
    <s v="BF PRAVO NA ZAKHYST"/>
    <s v="Ukraine"/>
    <n v="7386"/>
    <x v="0"/>
    <x v="0"/>
  </r>
  <r>
    <x v="3"/>
    <s v="SN.0170"/>
    <s v="Addressing immediate humanitarian needs of the most vulnerable populations in Ukraine"/>
    <s v="MOVEMENT, EMERGENCY AND POST-CRISIS MIGRATION MANAGEMENT"/>
    <s v="Ukraine"/>
    <n v="4500309066"/>
    <s v="UA1-2023-13041_IP services for distribution of items in Kochubeyivka village council"/>
    <s v="IPs"/>
    <s v="NGO UKRAINSKA ASOTSIATSIIA TSENTRIV"/>
    <s v="Ukraine"/>
    <n v="6435"/>
    <x v="0"/>
    <x v="0"/>
  </r>
  <r>
    <x v="3"/>
    <s v="SN.0170"/>
    <s v="Addressing immediate humanitarian needs of the most vulnerable populations in Ukraine"/>
    <s v="MOVEMENT, EMERGENCY AND POST-CRISIS MIGRATION MANAGEMENT"/>
    <s v="Ukraine"/>
    <n v="4500320504"/>
    <s v="UA1-2023-13020_IP service_Ukraine Assessment and distribution of ESKs in hard-to-reach areas"/>
    <s v="IPs"/>
    <s v="CF SLAVIC HEART"/>
    <s v="Ukraine"/>
    <n v="64324"/>
    <x v="0"/>
    <x v="0"/>
  </r>
  <r>
    <x v="3"/>
    <s v="SN.0185"/>
    <s v="IOM Ukraine winterization strategy"/>
    <s v="MOVEMENT, EMERGENCY AND POST-CRISIS MIGRATION MANAGEMENT"/>
    <s v="Ukraine"/>
    <n v="4500305402"/>
    <s v="UA1-2023-10130_IP_Community-based MHPSS,mobile MHPSS_awareness raising_Kharkiv,Poltava,Kremencuk"/>
    <s v="IPs"/>
    <s v="HO KHUDOZHNYKIV PEKTORAL"/>
    <s v="Ukraine"/>
    <n v="607"/>
    <x v="0"/>
    <x v="0"/>
  </r>
  <r>
    <x v="3"/>
    <s v="SN.0201"/>
    <s v="Improving access to shelter and non-food items (NFIs) for internally displaced persons (IDPs) in Gao and Kidal"/>
    <s v="MOVEMENT, EMERGENCY AND POST-CRISIS MIGRATION MANAGEMENT"/>
    <s v="Mali"/>
    <n v="4500302023"/>
    <s v="AC-IOMBKO-23-007 et l'amendement N° AD-IOMBKO-23-083 / SN.0201 / LEG: MLI/IMPL/LH001/2023 Accords relatif à l'exécution d'un projet relatif à l'amélioration d'accès en abris d'urgence et NFI des PDI à Gao et Ansongo / PR 4200432319 &lt;(&gt;&amp;&lt;)&gt; 4200477666 / Un"/>
    <s v="IPs"/>
    <s v="ONG STOP SAHEL"/>
    <s v="Mali"/>
    <n v="111074"/>
    <x v="0"/>
    <x v="0"/>
  </r>
  <r>
    <x v="3"/>
    <s v="SN.0201"/>
    <s v="Improving access to shelter and non-food items (NFIs) for internally displaced persons (IDPs) in Gao and Kidal"/>
    <s v="MOVEMENT, EMERGENCY AND POST-CRISIS MIGRATION MANAGEMENT"/>
    <s v="Mali"/>
    <n v="4500303641"/>
    <s v="Contrat AC-IOMBKO-23-009 / MLI/IMPL/LH002/2023 / Améliorer l'accès en abris d'urgence et en biens non alimentaires des personnes déplacées internes (PDI) dans la regions de Kidal / PR 4200432257 / Unité PPSU"/>
    <s v="IPs"/>
    <s v="CROIX ROUGE MALIENNE"/>
    <s v="Mali"/>
    <n v="91102"/>
    <x v="0"/>
    <x v="4"/>
  </r>
  <r>
    <x v="3"/>
    <s v="SN.0205"/>
    <s v="Emergency humanitarian support for earthquake-affected population in northwest Syria (NWS)"/>
    <s v="MOVEMENT, EMERGENCY AND POST-CRISIS MIGRATION MANAGEMENT"/>
    <s v="Turkey"/>
    <n v="4500318454"/>
    <s v="IP transfers – National CSOs"/>
    <s v="IPs"/>
    <s v="Yardim ve Koordine Birimi Dernegi"/>
    <s v="Turkey"/>
    <n v="6783"/>
    <x v="0"/>
    <x v="0"/>
  </r>
  <r>
    <x v="3"/>
    <s v="SN.0205"/>
    <s v="Emergency humanitarian support for earthquake-affected population in northwest Syria (NWS)"/>
    <s v="MOVEMENT, EMERGENCY AND POST-CRISIS MIGRATION MANAGEMENT"/>
    <s v="Turkey"/>
    <n v="4500323718"/>
    <s v="IP transfers – National CSOs"/>
    <s v="IPs"/>
    <s v="MUZUN FOR HUMANITARIAN DEVELOPMENT"/>
    <s v="Turkey"/>
    <n v="45210"/>
    <x v="0"/>
    <x v="0"/>
  </r>
  <r>
    <x v="3"/>
    <s v="SN.0211"/>
    <s v="Provision of non-food items (NFI) and lifesaving shelter assistance to earthquake-affected households in Türkiye"/>
    <s v="MOVEMENT, EMERGENCY AND POST-CRISIS MIGRATION MANAGEMENT"/>
    <s v="Turkey"/>
    <n v="4500316256"/>
    <s v="IP transfers – National CSOs"/>
    <s v="IPs"/>
    <s v="Sened Dernegi"/>
    <s v="Turkey"/>
    <n v="175000"/>
    <x v="0"/>
    <x v="0"/>
  </r>
  <r>
    <x v="4"/>
    <s v="DP.2465"/>
    <s v="IOM Flash Appeal for Ukraine and Neighboring Countries"/>
    <s v="MOVEMENT, EMERGENCY AND POST-CRISIS MIGRATION MANAGEMENT"/>
    <s v="Poland"/>
    <n v="4500295271"/>
    <s v="PR 4200388741 IP Agreement - The Central Council of Roma - Annex 2"/>
    <s v="Entity Grants"/>
    <s v="Centralna Rada Romow w Polsce"/>
    <s v="Poland"/>
    <n v="100050"/>
    <x v="0"/>
    <x v="0"/>
  </r>
  <r>
    <x v="4"/>
    <s v="DP.0970"/>
    <s v="Addressing Mixed Migration Flows in the Western Balkans"/>
    <s v="MOVEMENT, EMERGENCY AND POST-CRISIS MIGRATION MANAGEMENT"/>
    <s v="Bosnia-Herz."/>
    <n v="4500277640"/>
    <s v="USC - 01.09.2022. - 31.03.2023. - Red Cross Support to Mobile Teams at USC"/>
    <s v="Implementing Partners"/>
    <s v="Red Cross USC/ Crveni Kriz USK"/>
    <s v="Bosnia-Herz."/>
    <n v="22597.62"/>
    <x v="0"/>
    <x v="4"/>
  </r>
  <r>
    <x v="4"/>
    <s v="DP.2036"/>
    <s v="IOM – Multi Country Humanitarian Assistance – CAP 2022"/>
    <s v="MOVEMENT, EMERGENCY AND POST-CRISIS MIGRATION MANAGEMENT"/>
    <s v="Congo (Dem Rep)"/>
    <n v="4500283644"/>
    <s v="IP transfers – National CSOs"/>
    <s v="Implementing Partners"/>
    <s v="RESEAU D'ACTION POUR LE DVPT"/>
    <s v="Congo (Dem Rep)"/>
    <n v="3859"/>
    <x v="0"/>
    <x v="0"/>
  </r>
  <r>
    <x v="4"/>
    <s v="DP.2036"/>
    <s v="IOM – Multi Country Humanitarian Assistance – CAP 2022"/>
    <s v="MOVEMENT, EMERGENCY AND POST-CRISIS MIGRATION MANAGEMENT"/>
    <s v="Congo (Dem Rep)"/>
    <n v="4500283652"/>
    <s v="IP transfers – National CSOs"/>
    <s v="Implementing Partners"/>
    <s v="PDHPES"/>
    <s v="Congo (Dem Rep)"/>
    <n v="4127.08"/>
    <x v="0"/>
    <x v="0"/>
  </r>
  <r>
    <x v="4"/>
    <s v="DP.2036"/>
    <s v="IOM – Multi Country Humanitarian Assistance – CAP 2022"/>
    <s v="MOVEMENT, EMERGENCY AND POST-CRISIS MIGRATION MANAGEMENT"/>
    <s v="Congo (Dem Rep)"/>
    <n v="4500283672"/>
    <s v="IP transfers – National CSOs"/>
    <s v="Implementing Partners"/>
    <s v="RESEAU D'ACTION POUR LE DVPT"/>
    <s v="Congo (Dem Rep)"/>
    <n v="3830.36"/>
    <x v="0"/>
    <x v="0"/>
  </r>
  <r>
    <x v="4"/>
    <s v="DP.2036"/>
    <s v="IOM – Multi Country Humanitarian Assistance – CAP 2022"/>
    <s v="MOVEMENT, EMERGENCY AND POST-CRISIS MIGRATION MANAGEMENT"/>
    <s v="Congo (Dem Rep)"/>
    <n v="4500283685"/>
    <s v="IP transfers – National CSOs"/>
    <s v="Implementing Partners"/>
    <s v="AHADI-RD Congo"/>
    <s v="Congo (Dem Rep)"/>
    <n v="4453.32"/>
    <x v="0"/>
    <x v="0"/>
  </r>
  <r>
    <x v="4"/>
    <s v="DP.2051"/>
    <s v="Individual Measure to Strengthen the Response Capacity to Manage Migration Flows in Bosnia and Herzegovina"/>
    <s v="MOVEMENT, EMERGENCY AND POST-CRISIS MIGRATION MANAGEMENT"/>
    <s v="Bosnia-Herz."/>
    <n v="4500279809"/>
    <s v="Transfer of funds under the IPA IM as per Contribution Agreement IPA/2022/435-616 BIH/EUR/LC0094/2022"/>
    <s v="Implementing Partners"/>
    <s v="UNHCR"/>
    <s v="Bosnia-Herz."/>
    <n v="1257833.95"/>
    <x v="0"/>
    <x v="7"/>
  </r>
  <r>
    <x v="4"/>
    <s v="DP.2051"/>
    <s v="Individual Measure to Strengthen the Response Capacity to Manage Migration Flows in Bosnia and Herzegovina"/>
    <s v="MOVEMENT, EMERGENCY AND POST-CRISIS MIGRATION MANAGEMENT"/>
    <s v="Bosnia-Herz."/>
    <n v="4500279818"/>
    <s v="Transfer of funds under the IPA IM as per Contribution Agreement IPA/2022/435-616 BIH/EUR/LC0094/2022"/>
    <s v="Implementing Partners"/>
    <s v="UNFPA"/>
    <s v="Bosnia-Herz."/>
    <n v="1462526.87"/>
    <x v="0"/>
    <x v="7"/>
  </r>
  <r>
    <x v="4"/>
    <s v="DP.2051"/>
    <s v="Individual Measure to Strengthen the Response Capacity to Manage Migration Flows in Bosnia and Herzegovina"/>
    <s v="MOVEMENT, EMERGENCY AND POST-CRISIS MIGRATION MANAGEMENT"/>
    <s v="Bosnia-Herz."/>
    <n v="4500279834"/>
    <s v="Transfer of funds under the IPA IM as per Contribution Agreement IPA/2022/435-616 BIH/EUR/LC0094/2022"/>
    <s v="Implementing Partners"/>
    <s v="UNICEF"/>
    <s v="Bosnia-Herz."/>
    <n v="2892689.61"/>
    <x v="0"/>
    <x v="7"/>
  </r>
  <r>
    <x v="4"/>
    <s v="DP.2057"/>
    <s v="Multisectoral Emergency Response to Conflict and Climate Shock Affected Internally Displaced Populations and Communities in Northern Mozambique – Phase II"/>
    <s v="MOVEMENT, EMERGENCY AND POST-CRISIS MIGRATION MANAGEMENT"/>
    <s v="Mozambique"/>
    <n v="4500278364"/>
    <s v="IP transfers – International CSOs"/>
    <s v="Implementing Partners"/>
    <s v="OIKOS"/>
    <s v="Mozambique"/>
    <n v="333475"/>
    <x v="0"/>
    <x v="1"/>
  </r>
  <r>
    <x v="4"/>
    <s v="DP.2057"/>
    <s v="Multisectoral Emergency Response to Conflict and Climate Shock Affected Internally Displaced Populations and Communities in Northern Mozambique – Phase II"/>
    <s v="MOVEMENT, EMERGENCY AND POST-CRISIS MIGRATION MANAGEMENT"/>
    <s v="Mozambique"/>
    <n v="4500297833"/>
    <s v="IP transfers – International CSOs"/>
    <s v="Implementing Partners"/>
    <s v="AYUDA EN ACCION FOUNDATION"/>
    <s v="Mozambique"/>
    <n v="301200"/>
    <x v="0"/>
    <x v="1"/>
  </r>
  <r>
    <x v="4"/>
    <s v="DP.2060"/>
    <s v="Comprehensive Reintegration Programme in Areas of Returns in Burundi (Phase III)"/>
    <s v="MOVEMENT, EMERGENCY AND POST-CRISIS MIGRATION MANAGEMENT"/>
    <s v="Burundi"/>
    <n v="4500290874"/>
    <s v="implementing service fees to carry out the project activities in Ruyigi and Muyinga provinces.  PR:4200424705"/>
    <s v="Implementing Partners"/>
    <s v="DANISH REFUGEE COUNCIL"/>
    <s v="Denmark"/>
    <n v="156000"/>
    <x v="0"/>
    <x v="1"/>
  </r>
  <r>
    <x v="4"/>
    <s v="DP.2141"/>
    <s v="Greening Humanitarian Responses through Recovery, Repair, and Recycling of Solar Products in Camps"/>
    <s v="MOVEMENT, EMERGENCY AND POST-CRISIS MIGRATION MANAGEMENT"/>
    <s v="Uganda"/>
    <n v="4500277528"/>
    <s v="IP transfers – International CSOs"/>
    <s v="Implementing Partners"/>
    <s v="Mercy Corps"/>
    <s v="USA"/>
    <n v="48793"/>
    <x v="0"/>
    <x v="1"/>
  </r>
  <r>
    <x v="4"/>
    <s v="DP.2202"/>
    <s v="Humanitarian Assistance to Rohingya and Host Communities in Bangladesh"/>
    <s v="MOVEMENT, EMERGENCY AND POST-CRISIS MIGRATION MANAGEMENT"/>
    <s v="Bangladesh"/>
    <n v="4500298438"/>
    <s v="PR-4200279863 Unit-NFI &lt;(&gt;&amp;&lt;)&gt; Shelter Requestor-Md. Anamul HAQUE"/>
    <s v="Implementing Partners"/>
    <s v="NORWEGIAN REFUGEE COUNCIL (NRC)"/>
    <s v="Bangladesh"/>
    <n v="82247"/>
    <x v="0"/>
    <x v="1"/>
  </r>
  <r>
    <x v="4"/>
    <s v="DP.2312"/>
    <s v="Provision of Shelter, Settlements, and WASH Assistance for Populations Affected by the Northern Ethiopian Crisis"/>
    <s v="MOVEMENT, EMERGENCY AND POST-CRISIS MIGRATION MANAGEMENT"/>
    <s v="Ethiopia"/>
    <n v="4500276921"/>
    <s v="EPC_RRF - RRFE0129 IP ZOA Emergency NFI Support in Northwestern Tigray.   PR#4200391786"/>
    <s v="Implementing Partners"/>
    <s v="ZOA RELIEF /HOPE/ RECOVERY"/>
    <s v="Ethiopia"/>
    <n v="104276.15"/>
    <x v="0"/>
    <x v="1"/>
  </r>
  <r>
    <x v="4"/>
    <s v="DP.2312"/>
    <s v="Provision of Shelter, Settlements, and WASH Assistance for Populations Affected by the Northern Ethiopian Crisis"/>
    <s v="MOVEMENT, EMERGENCY AND POST-CRISIS MIGRATION MANAGEMENT"/>
    <s v="Ethiopia"/>
    <n v="4500278541"/>
    <s v="Rehabilitation of conflict affected Households through provision of emergency NFI kits in Maichewu Town, Southern Zone of TigrayRegion  Pr#4200392063"/>
    <s v="Implementing Partners"/>
    <s v="New Millennium Women Empowerm.t Org"/>
    <s v="Ethiopia"/>
    <n v="39801.019999999997"/>
    <x v="0"/>
    <x v="0"/>
  </r>
  <r>
    <x v="4"/>
    <s v="DP.2312"/>
    <s v="Provision of Shelter, Settlements, and WASH Assistance for Populations Affected by the Northern Ethiopian Crisis"/>
    <s v="MOVEMENT, EMERGENCY AND POST-CRISIS MIGRATION MANAGEMENT"/>
    <s v="Ethiopia"/>
    <n v="4500278546"/>
    <s v="FI response for conflict affected communities in Abala and Berhale   PR#4200392068"/>
    <s v="Implementing Partners"/>
    <s v="Voice of Wilderness Dev.t Org"/>
    <s v="Ethiopia"/>
    <n v="46082"/>
    <x v="0"/>
    <x v="0"/>
  </r>
  <r>
    <x v="4"/>
    <s v="DP.2312"/>
    <s v="Provision of Shelter, Settlements, and WASH Assistance for Populations Affected by the Northern Ethiopian Crisis"/>
    <s v="MOVEMENT, EMERGENCY AND POST-CRISIS MIGRATION MANAGEMENT"/>
    <s v="Ethiopia"/>
    <n v="4500288506"/>
    <s v="PIA referance Number ETH/ADD/FEB/1254/2023  PO is created for Internal MIGO /MIRO"/>
    <s v="Implementing Partners"/>
    <s v="Heal Our People"/>
    <s v="Ethiopia"/>
    <n v="28215"/>
    <x v="0"/>
    <x v="3"/>
  </r>
  <r>
    <x v="4"/>
    <s v="DP.2312"/>
    <s v="Provision of Shelter, Settlements, and WASH Assistance for Populations Affected by the Northern Ethiopian Crisis"/>
    <s v="MOVEMENT, EMERGENCY AND POST-CRISIS MIGRATION MANAGEMENT"/>
    <s v="Ethiopia"/>
    <n v="4500288514"/>
    <s v="PIA Refarance NO ETH/ADD/FEB/1255/2023 po IS CREATED FOR iNTERNAL migo miro  PO delivery date changed from 31.03.2023 to 15 MAy 2023 as the signed contract duration amendment n the final report delivery due date is 15May2023 as per request received from RRF_Abdu Mohammed"/>
    <s v="Implementing Partners"/>
    <s v="Positive Action for Development"/>
    <s v="Ethiopia"/>
    <n v="59379.57"/>
    <x v="0"/>
    <x v="0"/>
  </r>
  <r>
    <x v="4"/>
    <s v="DP.2312"/>
    <s v="Provision of Shelter, Settlements, and WASH Assistance for Populations Affected by the Northern Ethiopian Crisis"/>
    <s v="MOVEMENT, EMERGENCY AND POST-CRISIS MIGRATION MANAGEMENT"/>
    <s v="Ethiopia"/>
    <n v="4500291425"/>
    <s v="Rehabilitation of Emergency Shelters for Sebacare 4 IDP Site for 733 HH (3,665 individuals).  Reference:  Project Implementation Agreement number: ETH/ADD/February/1262/2023  PR number: 4200422234  PO Issued by: Mr. Nathaniel Abera  Contact Person: Mr. Abdu Mohammed (RRF)"/>
    <s v="Implementing Partners"/>
    <s v="Development for Peace Organization"/>
    <s v="Ethiopia"/>
    <n v="93604.87"/>
    <x v="0"/>
    <x v="0"/>
  </r>
  <r>
    <x v="4"/>
    <s v="DP.2314"/>
    <s v="Supporting Vulnerable Refugees and Local Communities in Cox's Bazar, Bangladesh, through Improved  Access to Health, Protection, and Water, Sanitation and Hygiene (WASH) Services"/>
    <s v="MOVEMENT, EMERGENCY AND POST-CRISIS MIGRATION MANAGEMENT"/>
    <s v="Bangladesh"/>
    <n v="4500290659"/>
    <s v="PR-4200404885 Requestor-Thui Sha Ching MARMA Unit-Protection"/>
    <s v="Implementing Partners"/>
    <s v="YPSA"/>
    <s v="Bangladesh"/>
    <n v="40352.85"/>
    <x v="0"/>
    <x v="0"/>
  </r>
  <r>
    <x v="4"/>
    <s v="DP.2314"/>
    <s v="Supporting Vulnerable Refugees and Local Communities in Cox's Bazar, Bangladesh, through Improved  Access to Health, Protection, and Water, Sanitation and Hygiene (WASH) Services"/>
    <s v="MOVEMENT, EMERGENCY AND POST-CRISIS MIGRATION MANAGEMENT"/>
    <s v="Bangladesh"/>
    <n v="4500290668"/>
    <s v="PR-4200393634 Requestor-Thui Sha Ching MARMA Unit- Protection"/>
    <s v="Implementing Partners"/>
    <s v="Pulse Bangladesh Society"/>
    <s v="Bangladesh"/>
    <n v="100793.77"/>
    <x v="0"/>
    <x v="0"/>
  </r>
  <r>
    <x v="4"/>
    <s v="DP.2374"/>
    <s v="Assistance to Populations Affected by Floods in Bujumbura Rural and Bujumbura Mairie, Burundi"/>
    <s v="MOVEMENT, EMERGENCY AND POST-CRISIS MIGRATION MANAGEMENT"/>
    <s v="Burundi"/>
    <n v="4500297519"/>
    <s v="PR4200419777 : Implementing Partner in data collection by the Burundian Red Cross"/>
    <s v="Implementing Partners"/>
    <s v="CROIX ROUGE DU BURUNDI"/>
    <s v="Burundi"/>
    <n v="18152.64"/>
    <x v="0"/>
    <x v="4"/>
  </r>
  <r>
    <x v="4"/>
    <s v="DP.2376"/>
    <s v="Provision of Humanitarian Coordination and Shelter and Settlements Assistance for Crisis-Affected Populations in Ethiopia"/>
    <s v="MOVEMENT, EMERGENCY AND POST-CRISIS MIGRATION MANAGEMENT"/>
    <s v="Ethiopia"/>
    <n v="4500288490"/>
    <s v="PIA REFERANCE ETH/ADD/FEB/1253/2023  PROJECT END DATE MARCH 31 2023 PIA  payment term is USD 50,620 upon signing the PIA agreement and 9 ,039.19 upon completion of the project. Due to Budget /PR s raised from two WBS lines, in order to fully link the PR value, PO is created on the basis of the PRF value."/>
    <s v="Implementing Partners"/>
    <s v="Dorcas Aid Ethiopia (DAE)"/>
    <s v="Ethiopia"/>
    <n v="63274.3"/>
    <x v="0"/>
    <x v="1"/>
  </r>
  <r>
    <x v="4"/>
    <s v="DP.2376"/>
    <s v="Provision of Humanitarian Coordination and Shelter and Settlements Assistance for Crisis-Affected Populations in Ethiopia"/>
    <s v="MOVEMENT, EMERGENCY AND POST-CRISIS MIGRATION MANAGEMENT"/>
    <s v="Ethiopia"/>
    <n v="4500291421"/>
    <s v="Emergency Water Trucking for Drought-Affected IDPs and Host Communities in 4 Districts of Borena Zone, Oromia for IDPs: 40,400 (8,080 HH) and Host Community: 15,600 (3,120 HH).  Reference:  Project Implementation Agreement number: ETH/ADD/February/1262/2023  PR number: 4200422251  PO Issued by: Mr. Nathaniel Abera  Contact Person: Mr. Abdu Mohammed (RRF)"/>
    <s v="Implementing Partners"/>
    <s v="COMITATO INTERNAZIONALE PER LO"/>
    <s v="Italy"/>
    <n v="193085"/>
    <x v="0"/>
    <x v="1"/>
  </r>
  <r>
    <x v="4"/>
    <s v="DP.2405"/>
    <s v="Multisectoral Emergency Response to Conflict Affected Internally Displaced Populations and Communities in Cabo Delgado, Mozambique"/>
    <s v="MOVEMENT, EMERGENCY AND POST-CRISIS MIGRATION MANAGEMENT"/>
    <s v="Mozambique"/>
    <n v="4500289967"/>
    <s v="IP transfers – International CSOs"/>
    <s v="Implementing Partners"/>
    <s v="AYUDA EN ACCION FOUNDATION"/>
    <s v="Mozambique"/>
    <n v="76938.48"/>
    <x v="0"/>
    <x v="1"/>
  </r>
  <r>
    <x v="4"/>
    <s v="DP.2412"/>
    <s v="Multi-Sectoral Humanitarian Assistance for Displaced and Mobile Populations in Sudan"/>
    <s v="MOVEMENT, EMERGENCY AND POST-CRISIS MIGRATION MANAGEMENT"/>
    <s v="Sudan"/>
    <n v="4500285100"/>
    <s v="PR No: 4200399074"/>
    <s v="Implementing Partners"/>
    <s v="NIDAA"/>
    <s v="Sudan"/>
    <n v="99545"/>
    <x v="0"/>
    <x v="0"/>
  </r>
  <r>
    <x v="4"/>
    <s v="DP.2419"/>
    <s v="Strengthening the Response for US-bound Afghan Evacuees in Transit Center as Sayliyah in Doha, Qatar"/>
    <s v="MOVEMENT, EMERGENCY AND POST-CRISIS MIGRATION MANAGEMENT"/>
    <s v="Qatar"/>
    <n v="4500296518"/>
    <s v="*Provision of Community Based Services and Mental Health and Psychosocial Support to assist Afhani people at CAS 01 Dec. 2022- 30 Sep. 2023  Agreement Ref: QA 2023-001_IP Program: AP"/>
    <s v="Implementing Partners"/>
    <s v="Qatar Red Crescent"/>
    <s v="Qatar"/>
    <n v="941921"/>
    <x v="0"/>
    <x v="4"/>
  </r>
  <r>
    <x v="4"/>
    <s v="DP.2436"/>
    <s v="Strengthening Community Resilience and Reducing Violence in Cameroon for the Humanitarian Development Peace Nexus"/>
    <s v="MOVEMENT, EMERGENCY AND POST-CRISIS MIGRATION MANAGEMENT"/>
    <s v="Cameroon"/>
    <n v="4500282253"/>
    <s v="IP AGM FOR: construction of community latrines, including awareness campaigns on good hygiene practices in the communities of Mabeta, Idenau ,Misselele et Motombolobo"/>
    <s v="Implementing Partners"/>
    <s v="LUKMEF-CAMEROON"/>
    <s v="Cameroon"/>
    <n v="73019.58"/>
    <x v="0"/>
    <x v="3"/>
  </r>
  <r>
    <x v="4"/>
    <s v="DP.2439"/>
    <s v="Emergency Livelihoods and Cash Assistance for Vulnerable Populations in Afghanistan"/>
    <s v="MOVEMENT, EMERGENCY AND POST-CRISIS MIGRATION MANAGEMENT"/>
    <s v="Afghanistan"/>
    <n v="4500287823"/>
    <s v="Multi-Purpose Cash Distribution (IP) - SRR Unit."/>
    <s v="Implementing Partners"/>
    <s v="Save the Children Italia"/>
    <s v="Italy"/>
    <n v="1099128.54"/>
    <x v="0"/>
    <x v="1"/>
  </r>
  <r>
    <x v="4"/>
    <s v="DP.2457"/>
    <s v="2022 Joint Response Plan for the Rohingya Humanitarian Crisis"/>
    <s v="MOVEMENT, EMERGENCY AND POST-CRISIS MIGRATION MANAGEMENT"/>
    <s v="Bangladesh"/>
    <n v="4500279611"/>
    <s v="PR-4200391403 Requestor-Kazi Mahfuzur Rahman Unit- WASH"/>
    <s v="Implementing Partners"/>
    <s v="BRAC"/>
    <s v="Bangladesh"/>
    <n v="102199.01"/>
    <x v="0"/>
    <x v="0"/>
  </r>
  <r>
    <x v="4"/>
    <s v="DP.2457"/>
    <s v="2022 Joint Response Plan for the Rohingya Humanitarian Crisis"/>
    <s v="MOVEMENT, EMERGENCY AND POST-CRISIS MIGRATION MANAGEMENT"/>
    <s v="Bangladesh"/>
    <n v="4500283241"/>
    <s v="PR-4200403015 Requestor - Thui Sha Ching MARMA Dept - Protection."/>
    <s v="Implementing Partners"/>
    <s v="BNWLA"/>
    <s v="Bangladesh"/>
    <n v="44999.87"/>
    <x v="0"/>
    <x v="0"/>
  </r>
  <r>
    <x v="4"/>
    <s v="DP.2457"/>
    <s v="2022 Joint Response Plan for the Rohingya Humanitarian Crisis"/>
    <s v="MOVEMENT, EMERGENCY AND POST-CRISIS MIGRATION MANAGEMENT"/>
    <s v="Bangladesh"/>
    <n v="4500284041"/>
    <s v="PR - 4200401706 Requestor - Arman Rahim CHY Dept - Programme Support SMSD"/>
    <s v="Implementing Partners"/>
    <s v="Danish Refugee Council(DRC)"/>
    <s v="Denmark"/>
    <n v="322900"/>
    <x v="0"/>
    <x v="1"/>
  </r>
  <r>
    <x v="4"/>
    <s v="DP.2457"/>
    <s v="2022 Joint Response Plan for the Rohingya Humanitarian Crisis"/>
    <s v="MOVEMENT, EMERGENCY AND POST-CRISIS MIGRATION MANAGEMENT"/>
    <s v="Bangladesh"/>
    <n v="4500284075"/>
    <s v="PR - 4200402127 Requestor - Md. Alamgir MIAH Dept - MHD"/>
    <s v="Implementing Partners"/>
    <s v="MUKTI Cox's Bazar"/>
    <s v="Bangladesh"/>
    <n v="42750.62"/>
    <x v="0"/>
    <x v="3"/>
  </r>
  <r>
    <x v="4"/>
    <s v="DP.2457"/>
    <s v="2022 Joint Response Plan for the Rohingya Humanitarian Crisis"/>
    <s v="MOVEMENT, EMERGENCY AND POST-CRISIS MIGRATION MANAGEMENT"/>
    <s v="Bangladesh"/>
    <n v="4500284189"/>
    <s v="PR-4200402120 Requestor-Md. Alamgir MIAH Unit-MHD"/>
    <s v="Implementing Partners"/>
    <s v="BANGLA-GERMAN SAMPREETI"/>
    <s v="Bangladesh"/>
    <n v="26503.14"/>
    <x v="0"/>
    <x v="0"/>
  </r>
  <r>
    <x v="4"/>
    <s v="DP.2457"/>
    <s v="2022 Joint Response Plan for the Rohingya Humanitarian Crisis"/>
    <s v="MOVEMENT, EMERGENCY AND POST-CRISIS MIGRATION MANAGEMENT"/>
    <s v="Bangladesh"/>
    <n v="4500284215"/>
    <s v="PR - 4200401577 Requestor - Arman Rahim CHY Unit - SMSD"/>
    <s v="Implementing Partners"/>
    <s v="NOWZUWAN"/>
    <s v="Bangladesh"/>
    <n v="70052.91"/>
    <x v="0"/>
    <x v="0"/>
  </r>
  <r>
    <x v="4"/>
    <s v="DP.2457"/>
    <s v="2022 Joint Response Plan for the Rohingya Humanitarian Crisis"/>
    <s v="MOVEMENT, EMERGENCY AND POST-CRISIS MIGRATION MANAGEMENT"/>
    <s v="Bangladesh"/>
    <n v="4500286912"/>
    <s v="IP transfers – National CSOs"/>
    <s v="Implementing Partners"/>
    <s v="RESEARCH TRAINING &amp; MANAGEMENT INT"/>
    <s v="Bangladesh"/>
    <n v="101470.59"/>
    <x v="0"/>
    <x v="0"/>
  </r>
  <r>
    <x v="4"/>
    <s v="DP.2457"/>
    <s v="2022 Joint Response Plan for the Rohingya Humanitarian Crisis"/>
    <s v="MOVEMENT, EMERGENCY AND POST-CRISIS MIGRATION MANAGEMENT"/>
    <s v="Bangladesh"/>
    <n v="4500287061"/>
    <s v="IP transfers – National CSOs"/>
    <s v="Implementing Partners"/>
    <s v="SHUSHILAN"/>
    <s v="Bangladesh"/>
    <n v="157515.34"/>
    <x v="0"/>
    <x v="0"/>
  </r>
  <r>
    <x v="4"/>
    <s v="DP.2457"/>
    <s v="2022 Joint Response Plan for the Rohingya Humanitarian Crisis"/>
    <s v="MOVEMENT, EMERGENCY AND POST-CRISIS MIGRATION MANAGEMENT"/>
    <s v="Bangladesh"/>
    <n v="4500287071"/>
    <s v="IP transfers – International CSOs"/>
    <s v="Implementing Partners"/>
    <s v="CARE BANGLADESH"/>
    <s v="Bangladesh"/>
    <n v="151368"/>
    <x v="0"/>
    <x v="1"/>
  </r>
  <r>
    <x v="4"/>
    <s v="DP.2457"/>
    <s v="2022 Joint Response Plan for the Rohingya Humanitarian Crisis"/>
    <s v="MOVEMENT, EMERGENCY AND POST-CRISIS MIGRATION MANAGEMENT"/>
    <s v="Bangladesh"/>
    <n v="4500290671"/>
    <s v="PR-4200400183 (Implementation agreement for 2 months (1 February - 31 March, 2023) Requestor-Mubashara TUMPA Unit-WASH"/>
    <s v="Implementing Partners"/>
    <s v="DSK"/>
    <s v="Bangladesh"/>
    <n v="79831.929999999993"/>
    <x v="0"/>
    <x v="0"/>
  </r>
  <r>
    <x v="4"/>
    <s v="DP.2458"/>
    <s v="2022 Regional Refugee and Migrant Response Plan (RMRP) for the Venezuela Situation"/>
    <s v="MOVEMENT, EMERGENCY AND POST-CRISIS MIGRATION MANAGEMENT"/>
    <s v="Argentina"/>
    <n v="4500279103"/>
    <s v="SJM - Acuerdo de implementación enero-marzo2023 (RMRP2022)"/>
    <s v="Implementing Partners"/>
    <s v="FUNDACION LOYOLA (SERVICIO JESUITA)"/>
    <s v="Argentina"/>
    <n v="54887.59"/>
    <x v="0"/>
    <x v="0"/>
  </r>
  <r>
    <x v="4"/>
    <s v="DP.2458"/>
    <s v="2022 Regional Refugee and Migrant Response Plan (RMRP) for the Venezuela Situation"/>
    <s v="MOVEMENT, EMERGENCY AND POST-CRISIS MIGRATION MANAGEMENT"/>
    <s v="Argentina"/>
    <n v="4500280303"/>
    <s v="PROYECTO PRM 2022  ACUERDO DE IMPLEMENTACION  DURACION DE 1 DE ENERO AL 15 DE MARZO BAJA DE LINEAS NO EJECUTADAS SEGUN IAF FINAL"/>
    <s v="Implementing Partners"/>
    <s v="CRUZ ROJA ARGENTINA"/>
    <s v="Argentina"/>
    <n v="62626.73"/>
    <x v="0"/>
    <x v="4"/>
  </r>
  <r>
    <x v="4"/>
    <s v="DP.2458"/>
    <s v="2022 Regional Refugee and Migrant Response Plan (RMRP) for the Venezuela Situation"/>
    <s v="MOVEMENT, EMERGENCY AND POST-CRISIS MIGRATION MANAGEMENT"/>
    <s v="Argentina"/>
    <n v="4500282055"/>
    <s v="PROYECTO PRM 2023  ACUERDO DE IMPLEMENTACION  DURACION DE 1 DE ENERO AL 15 DE MARZO"/>
    <s v="Implementing Partners"/>
    <s v="FUNDACION COMISION CATOLICA ARG"/>
    <s v="Argentina"/>
    <n v="24673.42"/>
    <x v="0"/>
    <x v="0"/>
  </r>
  <r>
    <x v="4"/>
    <s v="DP.2458"/>
    <s v="2022 Regional Refugee and Migrant Response Plan (RMRP) for the Venezuela Situation"/>
    <s v="MOVEMENT, EMERGENCY AND POST-CRISIS MIGRATION MANAGEMENT"/>
    <s v="Argentina"/>
    <n v="4500283751"/>
    <s v="PROYECTO PRM  ACUERDO DE IMPLEMENTACION  DURACION DE ENERO AL 15 DE MARZO DE 2023"/>
    <s v="Implementing Partners"/>
    <s v="ASOCIACION MUTUAL ISRAELITA ARGENTI"/>
    <s v="Argentina"/>
    <n v="4442.87"/>
    <x v="0"/>
    <x v="0"/>
  </r>
  <r>
    <x v="4"/>
    <s v="DP.2458"/>
    <s v="2022 Regional Refugee and Migrant Response Plan (RMRP) for the Venezuela Situation"/>
    <s v="MOVEMENT, EMERGENCY AND POST-CRISIS MIGRATION MANAGEMENT"/>
    <s v="Argentina"/>
    <n v="4500292008"/>
    <s v="APdeBA - Acuerdo de implementación diciembre - marzo 2023 (RMRP 2022)  16 de diciembre de 2022 y hasta el 31 de marzo de 2023,  importe máximo de ARS 1.239.600"/>
    <s v="Implementing Partners"/>
    <s v="ASOCIACION PSICOANALITICA DE BUENOS"/>
    <s v="Argentina"/>
    <n v="6298.82"/>
    <x v="0"/>
    <x v="0"/>
  </r>
  <r>
    <x v="4"/>
    <s v="DP.2458"/>
    <s v="2022 Regional Refugee and Migrant Response Plan (RMRP) for the Venezuela Situation"/>
    <s v="MOVEMENT, EMERGENCY AND POST-CRISIS MIGRATION MANAGEMENT"/>
    <s v="Argentina"/>
    <n v="4500292011"/>
    <s v="AxV - Acuerdo de implementación RMRP2022 (enero-marzo23)  a partir del 1° de enero de 2023 y hasta el 15 de marzo de 2023, por un importe máximo de ARS 4.645.800 BAJA DE LINEAS NO EJECUTADAS SEGUN IAF FINAL"/>
    <s v="Implementing Partners"/>
    <s v="ASOCIACION CIVIL ALIANZA POR VENEZU"/>
    <s v="Argentina"/>
    <n v="23606.84"/>
    <x v="0"/>
    <x v="0"/>
  </r>
  <r>
    <x v="4"/>
    <s v="DP.2458"/>
    <s v="2022 Regional Refugee and Migrant Response Plan (RMRP) for the Venezuela Situation"/>
    <s v="MOVEMENT, EMERGENCY AND POST-CRISIS MIGRATION MANAGEMENT"/>
    <s v="Bolivia (PS)"/>
    <n v="4500289867"/>
    <s v="Hiring of an implementing partner to support migrant population with the payment of housing rent and the provision of basic household supplies and food kits in the city of Cochabamba"/>
    <s v="Implementing Partners"/>
    <s v="PASTORAL SOCIAL CARITAS COCHABAMBA"/>
    <s v="Bolivia (PS)"/>
    <n v="42900.93"/>
    <x v="0"/>
    <x v="6"/>
  </r>
  <r>
    <x v="4"/>
    <s v="DP.2458"/>
    <s v="2022 Regional Refugee and Migrant Response Plan (RMRP) for the Venezuela Situation"/>
    <s v="MOVEMENT, EMERGENCY AND POST-CRISIS MIGRATION MANAGEMENT"/>
    <s v="Brazil"/>
    <n v="4500278489"/>
    <s v="IP transfers – National CSOs"/>
    <s v="Implementing Partners"/>
    <s v="SERVIÇO PASTORAL DOS MIGRANTES DO"/>
    <s v="Brazil"/>
    <n v="22302.09"/>
    <x v="0"/>
    <x v="0"/>
  </r>
  <r>
    <x v="4"/>
    <s v="DP.2458"/>
    <s v="2022 Regional Refugee and Migrant Response Plan (RMRP) for the Venezuela Situation"/>
    <s v="MOVEMENT, EMERGENCY AND POST-CRISIS MIGRATION MANAGEMENT"/>
    <s v="Chile"/>
    <n v="4500300563"/>
    <s v="ACUERDO DE IMPLEMENTACION DE PROYECTO &quot;Asesoría e Información Jurídica, Social y Laboral en Asuntos Migratorios para Migrantes Venezolanos y otras Colectividades en Chile”"/>
    <s v="Implementing Partners"/>
    <s v="Instituto Catolico de Migrantes"/>
    <s v="Chile"/>
    <n v="7165.9"/>
    <x v="0"/>
    <x v="0"/>
  </r>
  <r>
    <x v="4"/>
    <s v="DP.2458"/>
    <s v="2022 Regional Refugee and Migrant Response Plan (RMRP) for the Venezuela Situation"/>
    <s v="MOVEMENT, EMERGENCY AND POST-CRISIS MIGRATION MANAGEMENT"/>
    <s v="Ecuador"/>
    <n v="4500280653"/>
    <s v="4200348423 Contrato del Acuerdo de implementación de proyecto entre la Organización Internacional para las Migraciones (OIM) y Comitato Internazionale per lo Sviluppo dei Popoli – CISP, RUC: 1791382307001- &quot;IP - Asistencia humanitaria multisectorial integral a población migrante para el acceso a derechos, estabilización e integración local”"/>
    <s v="Implementing Partners"/>
    <s v="CISP COMITATO INTERNAZIONALE PER"/>
    <s v="Ecuador"/>
    <n v="350813.22"/>
    <x v="0"/>
    <x v="1"/>
  </r>
  <r>
    <x v="4"/>
    <s v="DP.2458"/>
    <s v="2022 Regional Refugee and Migrant Response Plan (RMRP) for the Venezuela Situation"/>
    <s v="MOVEMENT, EMERGENCY AND POST-CRISIS MIGRATION MANAGEMENT"/>
    <s v="Ecuador"/>
    <n v="4500288629"/>
    <s v="PR 4200411865  IP: Gestióde albergues y comedores  ACUERDO DE IMPLEMENTACIÓN DE PROYECTO entre la Organización Internacional para las Migraciones (OIM) y Agencia Adventista de Desarrollo y Recursos Asistenciales - ADRA relativo a Atención Integral en Tres Centros de Alojamiento Temporal y Dos Comedores Comunitarios para Grupos Vulnerables en Situación de Movilidad Humana  Núm. Ref de OIM 4200411865 Código de proyecto DP.2458"/>
    <s v="Implementing Partners"/>
    <s v="ADRA"/>
    <s v="Ecuador"/>
    <n v="50000"/>
    <x v="0"/>
    <x v="1"/>
  </r>
  <r>
    <x v="4"/>
    <s v="DP.2458"/>
    <s v="2022 Regional Refugee and Migrant Response Plan (RMRP) for the Venezuela Situation"/>
    <s v="MOVEMENT, EMERGENCY AND POST-CRISIS MIGRATION MANAGEMENT"/>
    <s v="Peru"/>
    <n v="4500277807"/>
    <s v="Assistance adaptation service in migratory regularization procedures"/>
    <s v="Implementing Partners"/>
    <s v="Encuen.Servicio Jesuita de la Solid"/>
    <s v="Peru"/>
    <n v="43000"/>
    <x v="0"/>
    <x v="0"/>
  </r>
  <r>
    <x v="4"/>
    <s v="DP.2458"/>
    <s v="2022 Regional Refugee and Migrant Response Plan (RMRP) for the Venezuela Situation"/>
    <s v="MOVEMENT, EMERGENCY AND POST-CRISIS MIGRATION MANAGEMENT"/>
    <s v="Trinidad,Tobago"/>
    <n v="4500285917"/>
    <s v="IP transfers – National CSOs"/>
    <s v="Implementing Partners"/>
    <s v="Amethyst School of Martial Arts and"/>
    <s v="Trinidad,Tobago"/>
    <n v="29000"/>
    <x v="0"/>
    <x v="3"/>
  </r>
  <r>
    <x v="4"/>
    <s v="DP.2458"/>
    <s v="2022 Regional Refugee and Migrant Response Plan (RMRP) for the Venezuela Situation"/>
    <s v="MOVEMENT, EMERGENCY AND POST-CRISIS MIGRATION MANAGEMENT"/>
    <s v="Uruguay"/>
    <n v="4500300909"/>
    <s v="Generation of quantitative and qualitative knowledge about recent migrant population in order to develop evidence based response."/>
    <s v="Implementing Partners"/>
    <s v="IHC JUAN PABLO TERRA"/>
    <s v="Uruguay"/>
    <n v="2000"/>
    <x v="0"/>
    <x v="0"/>
  </r>
  <r>
    <x v="4"/>
    <s v="DP.2465"/>
    <s v="IOM Flash Appeal for Ukraine and Neighboring Countries"/>
    <s v="MOVEMENT, EMERGENCY AND POST-CRISIS MIGRATION MANAGEMENT"/>
    <s v="Belarus"/>
    <n v="4500291440"/>
    <s v="Grant to the Implementation partner (Belarusian Red Cross Society) for the continuation for DTM survey"/>
    <s v="Implementing Partners"/>
    <s v="Belarus Red Cross Society/Minsk"/>
    <s v="Belarus"/>
    <n v="29388.63"/>
    <x v="0"/>
    <x v="4"/>
  </r>
  <r>
    <x v="4"/>
    <s v="DP.2465"/>
    <s v="IOM Flash Appeal for Ukraine and Neighboring Countries"/>
    <s v="MOVEMENT, EMERGENCY AND POST-CRISIS MIGRATION MANAGEMENT"/>
    <s v="Czechia"/>
    <n v="4500280222"/>
    <s v="IP Nadace Via"/>
    <s v="Implementing Partners"/>
    <s v="Nadace Via"/>
    <s v="Czechia"/>
    <n v="25500"/>
    <x v="0"/>
    <x v="0"/>
  </r>
  <r>
    <x v="4"/>
    <s v="DP.2465"/>
    <s v="IOM Flash Appeal for Ukraine and Neighboring Countries"/>
    <s v="MOVEMENT, EMERGENCY AND POST-CRISIS MIGRATION MANAGEMENT"/>
    <s v="Czechia"/>
    <n v="4500283620"/>
    <s v="IP transfers – National CSOs"/>
    <s v="Implementing Partners"/>
    <s v="ADRA, o.p.s."/>
    <s v="Czechia"/>
    <n v="80000"/>
    <x v="0"/>
    <x v="1"/>
  </r>
  <r>
    <x v="4"/>
    <s v="DP.2465"/>
    <s v="IOM Flash Appeal for Ukraine and Neighboring Countries"/>
    <s v="MOVEMENT, EMERGENCY AND POST-CRISIS MIGRATION MANAGEMENT"/>
    <s v="Czechia"/>
    <n v="4500287161"/>
    <s v="IP transfers – National CSOs"/>
    <s v="Implementing Partners"/>
    <s v="Romodrom o.p.s."/>
    <s v="Czechia"/>
    <n v="24990"/>
    <x v="0"/>
    <x v="0"/>
  </r>
  <r>
    <x v="4"/>
    <s v="DP.2465"/>
    <s v="IOM Flash Appeal for Ukraine and Neighboring Countries"/>
    <s v="MOVEMENT, EMERGENCY AND POST-CRISIS MIGRATION MANAGEMENT"/>
    <s v="Czechia"/>
    <n v="4500288640"/>
    <s v="IP Klubíčko 2 (1 - 3_2023)"/>
    <s v="Implementing Partners"/>
    <s v="Klubicko Cheb z.s."/>
    <s v="Czechia"/>
    <n v="30000"/>
    <x v="0"/>
    <x v="0"/>
  </r>
  <r>
    <x v="4"/>
    <s v="DP.2465"/>
    <s v="IOM Flash Appeal for Ukraine and Neighboring Countries"/>
    <s v="MOVEMENT, EMERGENCY AND POST-CRISIS MIGRATION MANAGEMENT"/>
    <s v="Czechia"/>
    <n v="4500291599"/>
    <s v="IP Adra 2 - housing pilot"/>
    <s v="Implementing Partners"/>
    <s v="ADRA, o.p.s."/>
    <s v="Czechia"/>
    <n v="93495.72"/>
    <x v="0"/>
    <x v="1"/>
  </r>
  <r>
    <x v="4"/>
    <s v="DP.2465"/>
    <s v="IOM Flash Appeal for Ukraine and Neighboring Countries"/>
    <s v="MOVEMENT, EMERGENCY AND POST-CRISIS MIGRATION MANAGEMENT"/>
    <s v="Czechia"/>
    <n v="4500293798"/>
    <s v="IP transfers – National CSOs"/>
    <s v="Implementing Partners"/>
    <s v="KHK Karlovarskeho kraje"/>
    <s v="Czechia"/>
    <n v="35540"/>
    <x v="0"/>
    <x v="10"/>
  </r>
  <r>
    <x v="4"/>
    <s v="DP.2465"/>
    <s v="IOM Flash Appeal for Ukraine and Neighboring Countries"/>
    <s v="MOVEMENT, EMERGENCY AND POST-CRISIS MIGRATION MANAGEMENT"/>
    <s v="Czechia"/>
    <n v="4500294193"/>
    <s v="IMplementing partner AMSP"/>
    <s v="Implementing Partners"/>
    <s v="AMSP"/>
    <s v="Czechia"/>
    <n v="11211"/>
    <x v="0"/>
    <x v="10"/>
  </r>
  <r>
    <x v="4"/>
    <s v="DP.2465"/>
    <s v="IOM Flash Appeal for Ukraine and Neighboring Countries"/>
    <s v="MOVEMENT, EMERGENCY AND POST-CRISIS MIGRATION MANAGEMENT"/>
    <s v="Czechia"/>
    <n v="4500296211"/>
    <s v="IP - Consortium"/>
    <s v="Implementing Partners"/>
    <s v="Consortium of Migrants Assisting Or"/>
    <s v="Czechia"/>
    <n v="14970"/>
    <x v="0"/>
    <x v="0"/>
  </r>
  <r>
    <x v="4"/>
    <s v="DP.2465"/>
    <s v="IOM Flash Appeal for Ukraine and Neighboring Countries"/>
    <s v="MOVEMENT, EMERGENCY AND POST-CRISIS MIGRATION MANAGEMENT"/>
    <s v="Czechia"/>
    <n v="4500299404"/>
    <s v="IP transfers – National CSOs"/>
    <s v="Implementing Partners"/>
    <s v="Ukrajinska iniciativa"/>
    <s v="Czechia"/>
    <n v="55022.42"/>
    <x v="0"/>
    <x v="0"/>
  </r>
  <r>
    <x v="4"/>
    <s v="DP.2465"/>
    <s v="IOM Flash Appeal for Ukraine and Neighboring Countries"/>
    <s v="MOVEMENT, EMERGENCY AND POST-CRISIS MIGRATION MANAGEMENT"/>
    <s v="Czechia"/>
    <n v="4500299427"/>
    <s v="IP Slovo 21"/>
    <s v="Implementing Partners"/>
    <s v="Slovo 21 z.s."/>
    <s v="Czechia"/>
    <n v="52986.73"/>
    <x v="0"/>
    <x v="0"/>
  </r>
  <r>
    <x v="4"/>
    <s v="DP.2465"/>
    <s v="IOM Flash Appeal for Ukraine and Neighboring Countries"/>
    <s v="MOVEMENT, EMERGENCY AND POST-CRISIS MIGRATION MANAGEMENT"/>
    <s v="Hungary"/>
    <n v="4500282131"/>
    <s v="Amendment 1 to the Project Implementation Agreeement Project implementation activities, Providing Longer term safe accommodation, transportation and environment with basic needs for per sons displaced by the conflict in Ukraine.  Reference: PO # 4500221528 - the first installment PO # 4500240378 - the second and third installments (Original Agreement installments)"/>
    <s v="Implementing Partners"/>
    <s v="ADRA"/>
    <s v="Hungary"/>
    <n v="451408.06"/>
    <x v="0"/>
    <x v="1"/>
  </r>
  <r>
    <x v="4"/>
    <s v="DP.2465"/>
    <s v="IOM Flash Appeal for Ukraine and Neighboring Countries"/>
    <s v="MOVEMENT, EMERGENCY AND POST-CRISIS MIGRATION MANAGEMENT"/>
    <s v="Poland"/>
    <n v="4500280218"/>
    <s v="IP for implementation of activities for establishing an Integration Center in Gdansk to provide the following services: 1)Polish and English language courses to be conducted by the Implementing Partner for adult beneficiaries of temporary protection in Gdansk; 2) Vocational counselling including career and business counselling and assistance in finding job opportunities matching the candidate's profile prepared by the counsellor will be provided by the Implementing Partner in close cooperation with IOM for 200 persons from the target group; and 3) Project promotion and sensitization events as per PR 4200359265"/>
    <s v="Implementing Partners"/>
    <s v="STOWARZYSZENIE WAGA"/>
    <s v="Poland"/>
    <n v="195111.31"/>
    <x v="0"/>
    <x v="0"/>
  </r>
  <r>
    <x v="4"/>
    <s v="DP.2465"/>
    <s v="IOM Flash Appeal for Ukraine and Neighboring Countries"/>
    <s v="MOVEMENT, EMERGENCY AND POST-CRISIS MIGRATION MANAGEMENT"/>
    <s v="Poland"/>
    <n v="4500283625"/>
    <s v="Rent of space and coordination of the integration center for the period Jan - Mar 2023 as per 4200400309"/>
    <s v="Implementing Partners"/>
    <s v="Fundacja Inna Przestrzen"/>
    <s v="Poland"/>
    <n v="22349.1"/>
    <x v="0"/>
    <x v="0"/>
  </r>
  <r>
    <x v="4"/>
    <s v="DP.2465"/>
    <s v="IOM Flash Appeal for Ukraine and Neighboring Countries"/>
    <s v="MOVEMENT, EMERGENCY AND POST-CRISIS MIGRATION MANAGEMENT"/>
    <s v="Romania"/>
    <n v="4500298578"/>
    <s v="IP transfers – National CSOs"/>
    <s v="Implementing Partners"/>
    <s v="AsociatiaCentrulpentruResurseCivice"/>
    <s v="Romania"/>
    <n v="24632.89"/>
    <x v="0"/>
    <x v="0"/>
  </r>
  <r>
    <x v="4"/>
    <s v="DP.2465"/>
    <s v="IOM Flash Appeal for Ukraine and Neighboring Countries"/>
    <s v="MOVEMENT, EMERGENCY AND POST-CRISIS MIGRATION MANAGEMENT"/>
    <s v="Romania"/>
    <n v="4500298793"/>
    <s v="IP transfers – National CSOs"/>
    <s v="Implementing Partners"/>
    <s v="ASOCIATIA FILANTROPIA ORADEA"/>
    <s v="Romania"/>
    <n v="5797.29"/>
    <x v="0"/>
    <x v="3"/>
  </r>
  <r>
    <x v="4"/>
    <s v="DP.2465"/>
    <s v="IOM Flash Appeal for Ukraine and Neighboring Countries"/>
    <s v="MOVEMENT, EMERGENCY AND POST-CRISIS MIGRATION MANAGEMENT"/>
    <s v="Romania"/>
    <n v="4500299014"/>
    <s v="IP transfers – National CSOs"/>
    <s v="Implementing Partners"/>
    <s v="GLOBAL HELP CRAIOVA"/>
    <s v="Romania"/>
    <n v="7748.7"/>
    <x v="0"/>
    <x v="3"/>
  </r>
  <r>
    <x v="4"/>
    <s v="DP.2465"/>
    <s v="IOM Flash Appeal for Ukraine and Neighboring Countries"/>
    <s v="MOVEMENT, EMERGENCY AND POST-CRISIS MIGRATION MANAGEMENT"/>
    <s v="Romania"/>
    <n v="4500299480"/>
    <s v="IP transfers – National CSOs"/>
    <s v="Implementing Partners"/>
    <s v="ASOCIATIA FILANTROPIA ORADEA"/>
    <s v="Romania"/>
    <n v="10200.06"/>
    <x v="0"/>
    <x v="3"/>
  </r>
  <r>
    <x v="4"/>
    <s v="DP.2465"/>
    <s v="IOM Flash Appeal for Ukraine and Neighboring Countries"/>
    <s v="MOVEMENT, EMERGENCY AND POST-CRISIS MIGRATION MANAGEMENT"/>
    <s v="Romania"/>
    <n v="4500300848"/>
    <s v="IP transfers – National CSOs"/>
    <s v="Implementing Partners"/>
    <s v="GLOBAL HELP CRAIOVA"/>
    <s v="Romania"/>
    <n v="28251.5"/>
    <x v="0"/>
    <x v="3"/>
  </r>
  <r>
    <x v="4"/>
    <s v="DP.2465"/>
    <s v="IOM Flash Appeal for Ukraine and Neighboring Countries"/>
    <s v="MOVEMENT, EMERGENCY AND POST-CRISIS MIGRATION MANAGEMENT"/>
    <s v="Romania"/>
    <n v="4500301105"/>
    <s v="IP transfers – National CSOs"/>
    <s v="Implementing Partners"/>
    <s v="AsociatiaCentrulpentruResurseCivice"/>
    <s v="Romania"/>
    <n v="28695.37"/>
    <x v="0"/>
    <x v="0"/>
  </r>
  <r>
    <x v="4"/>
    <s v="DP.2465"/>
    <s v="IOM Flash Appeal for Ukraine and Neighboring Countries"/>
    <s v="MOVEMENT, EMERGENCY AND POST-CRISIS MIGRATION MANAGEMENT"/>
    <s v="Slovakia"/>
    <n v="4500288549"/>
    <s v="PR 4200412218"/>
    <s v="Implementing Partners"/>
    <s v="IPcko"/>
    <s v="Slovakia"/>
    <n v="299967.32"/>
    <x v="0"/>
    <x v="0"/>
  </r>
  <r>
    <x v="4"/>
    <s v="DP.2471"/>
    <s v="Strengthening Protection Mechanisms in Poland Following the Crisis in Ukraine"/>
    <s v="MOVEMENT, EMERGENCY AND POST-CRISIS MIGRATION MANAGEMENT"/>
    <s v="Poland"/>
    <n v="4500283625"/>
    <s v="Rent of space and coordination of the integration center for the period Jan - Mar 2023 as per 4200400309"/>
    <s v="Implementing Partners"/>
    <s v="Fundacja Inna Przestrzen"/>
    <s v="Poland"/>
    <n v="7449.69"/>
    <x v="0"/>
    <x v="0"/>
  </r>
  <r>
    <x v="4"/>
    <s v="DP.2482"/>
    <s v="2022 French Contribution to IOM’s Activities for the Ukraine Crisis"/>
    <s v="MOVEMENT, EMERGENCY AND POST-CRISIS MIGRATION MANAGEMENT"/>
    <s v="Ukraine"/>
    <n v="4500277046"/>
    <s v="IP services for distribution of Relief items in Chernihivska Oblast"/>
    <s v="Implementing Partners"/>
    <s v="FPC UKRAINIAN PRISM"/>
    <s v="Ukraine"/>
    <n v="3513.78"/>
    <x v="0"/>
    <x v="0"/>
  </r>
  <r>
    <x v="4"/>
    <s v="DP.2482"/>
    <s v="2022 French Contribution to IOM’s Activities for the Ukraine Crisis"/>
    <s v="MOVEMENT, EMERGENCY AND POST-CRISIS MIGRATION MANAGEMENT"/>
    <s v="Ukraine"/>
    <n v="4500285111"/>
    <s v="UA1-2023-8017_IP_Distribution_Vinnytsia Oblast"/>
    <s v="Implementing Partners"/>
    <s v="NGO SPILNA SPRAVA"/>
    <s v="Ukraine"/>
    <n v="9030.2999999999993"/>
    <x v="0"/>
    <x v="0"/>
  </r>
  <r>
    <x v="4"/>
    <s v="DP.2482"/>
    <s v="2022 French Contribution to IOM’s Activities for the Ukraine Crisis"/>
    <s v="MOVEMENT, EMERGENCY AND POST-CRISIS MIGRATION MANAGEMENT"/>
    <s v="Ukraine"/>
    <n v="4500286235"/>
    <s v="UA1-2023-13016_IP services for distribution of items in Mykolaivska Oblast"/>
    <s v="Implementing Partners"/>
    <s v="PA DREAMACTION"/>
    <s v="Ukraine"/>
    <n v="9894.0499999999993"/>
    <x v="0"/>
    <x v="0"/>
  </r>
  <r>
    <x v="4"/>
    <s v="DP.2488"/>
    <s v="Greening Humanitarian Responses Through Enhanced Solar Energy Harvesting"/>
    <s v="MOVEMENT, EMERGENCY AND POST-CRISIS MIGRATION MANAGEMENT"/>
    <s v="Thailand"/>
    <n v="4500298958"/>
    <s v="PIA for Greening humanitarian responses through enhanced Solar Energy harvesting  Budject: In the maximum amount of EUR 267,390.00 (Two hundred sixty-seven thousand three hundred ninety EUROS only)  Project duration: 01 Feb 2023 and fully and satisfactori"/>
    <s v="Implementing Partners"/>
    <s v="Practical Action"/>
    <s v="United Kingdom"/>
    <n v="133625.75"/>
    <x v="0"/>
    <x v="1"/>
  </r>
  <r>
    <x v="4"/>
    <s v="DP.2491"/>
    <s v="Regional Migrant Response Plan for the Horn of Africa and Yemen"/>
    <s v="MOVEMENT, EMERGENCY AND POST-CRISIS MIGRATION MANAGEMENT"/>
    <s v="Ethiopia"/>
    <n v="4500292157"/>
    <s v="Provision of dignified temporary accommodation assistance, protection assistance; and comprehensive psychosocial services and skills training to the most vulnerable migrant returnees in partnership with AGAR Ethiopia Charitable Society."/>
    <s v="Implementing Partners"/>
    <s v="Agar Ethiopia Charitable Society"/>
    <s v="Ethiopia"/>
    <n v="78314.5"/>
    <x v="0"/>
    <x v="0"/>
  </r>
  <r>
    <x v="4"/>
    <s v="DP.2492"/>
    <s v="Greening Humanitarian Responses Through Enhanced Solar Energy Harvesting"/>
    <s v="MOVEMENT, EMERGENCY AND POST-CRISIS MIGRATION MANAGEMENT"/>
    <s v="Thailand"/>
    <n v="4500298958"/>
    <s v="PIA for Greening humanitarian responses through enhanced Solar Energy harvesting  Budject: In the maximum amount of EUR 267,390.00 (Two hundred sixty-seven thousand three hundred ninety EUROS only)  Project duration: 01 Feb 2023 and fully and satisfactori"/>
    <s v="Implementing Partners"/>
    <s v="Practical Action"/>
    <s v="United Kingdom"/>
    <n v="149626.38"/>
    <x v="0"/>
    <x v="1"/>
  </r>
  <r>
    <x v="4"/>
    <s v="DP.2499"/>
    <s v="Direct Life-Saving and Protection Assistance for Conflict-Affected Populations in Eastern Democratic Republic of the Congo"/>
    <s v="MOVEMENT, EMERGENCY AND POST-CRISIS MIGRATION MANAGEMENT"/>
    <s v="Congo (Dem Rep)"/>
    <n v="4500283644"/>
    <s v="IP transfers – National CSOs"/>
    <s v="Implementing Partners"/>
    <s v="RESEAU D'ACTION POUR LE DVPT"/>
    <s v="Congo (Dem Rep)"/>
    <n v="92616"/>
    <x v="0"/>
    <x v="0"/>
  </r>
  <r>
    <x v="4"/>
    <s v="DP.2499"/>
    <s v="Direct Life-Saving and Protection Assistance for Conflict-Affected Populations in Eastern Democratic Republic of the Congo"/>
    <s v="MOVEMENT, EMERGENCY AND POST-CRISIS MIGRATION MANAGEMENT"/>
    <s v="Congo (Dem Rep)"/>
    <n v="4500283652"/>
    <s v="IP transfers – National CSOs"/>
    <s v="Implementing Partners"/>
    <s v="PDHPES"/>
    <s v="Congo (Dem Rep)"/>
    <n v="99049.919999999998"/>
    <x v="0"/>
    <x v="0"/>
  </r>
  <r>
    <x v="4"/>
    <s v="DP.2499"/>
    <s v="Direct Life-Saving and Protection Assistance for Conflict-Affected Populations in Eastern Democratic Republic of the Congo"/>
    <s v="MOVEMENT, EMERGENCY AND POST-CRISIS MIGRATION MANAGEMENT"/>
    <s v="Congo (Dem Rep)"/>
    <n v="4500283672"/>
    <s v="IP transfers – National CSOs"/>
    <s v="Implementing Partners"/>
    <s v="RESEAU D'ACTION POUR LE DVPT"/>
    <s v="Congo (Dem Rep)"/>
    <n v="91928.639999999999"/>
    <x v="0"/>
    <x v="0"/>
  </r>
  <r>
    <x v="4"/>
    <s v="DP.2499"/>
    <s v="Direct Life-Saving and Protection Assistance for Conflict-Affected Populations in Eastern Democratic Republic of the Congo"/>
    <s v="MOVEMENT, EMERGENCY AND POST-CRISIS MIGRATION MANAGEMENT"/>
    <s v="Congo (Dem Rep)"/>
    <n v="4500283685"/>
    <s v="IP transfers – National CSOs"/>
    <s v="Implementing Partners"/>
    <s v="AHADI-RD Congo"/>
    <s v="Congo (Dem Rep)"/>
    <n v="106879.67999999999"/>
    <x v="0"/>
    <x v="0"/>
  </r>
  <r>
    <x v="4"/>
    <s v="DP.2504"/>
    <s v="Integrated Humanitarian Multi-Sector Assistance to Internally Displaced Persons (IDPs) in Iraq"/>
    <s v="MOVEMENT, EMERGENCY AND POST-CRISIS MIGRATION MANAGEMENT"/>
    <s v="Iraq"/>
    <n v="4500279815"/>
    <s v="PR#4200348606 Provision of Mental Health and Psychosocial Support to IDPs in  Dawodia Camp"/>
    <s v="Implementing Partners"/>
    <s v="Rusaz Organization"/>
    <s v="Iraq"/>
    <n v="24000"/>
    <x v="0"/>
    <x v="0"/>
  </r>
  <r>
    <x v="4"/>
    <s v="DP.2504"/>
    <s v="Integrated Humanitarian Multi-Sector Assistance to Internally Displaced Persons (IDPs) in Iraq"/>
    <s v="MOVEMENT, EMERGENCY AND POST-CRISIS MIGRATION MANAGEMENT"/>
    <s v="Iraq"/>
    <n v="4500280370"/>
    <s v="PR#4200348606 Provision of Mental Health and Psychosocial Support to IDPs in Kabarto 1 and 2 Camps"/>
    <s v="Implementing Partners"/>
    <s v="BETTER WORLD ORGANIZATION"/>
    <s v="Iraq"/>
    <n v="24000"/>
    <x v="0"/>
    <x v="3"/>
  </r>
  <r>
    <x v="4"/>
    <s v="DP.2512"/>
    <s v="Supporting Access to Housing and Basic Services for People Fleeing the Conflict in Ukraine"/>
    <s v="MOVEMENT, EMERGENCY AND POST-CRISIS MIGRATION MANAGEMENT"/>
    <s v="Hungary"/>
    <n v="4500281118"/>
    <s v="PROJECT IMPLEMENTATION AGREEMENT on Non-formal development and education activities for Ukrainian refugees in Budapest  Reference; PR # 4200401335 Project Implemantion Agreement signed 10 January 2023"/>
    <s v="Implementing Partners"/>
    <s v="Egyseg Ukran Egyesulet"/>
    <s v="Hungary"/>
    <n v="185925.39"/>
    <x v="0"/>
    <x v="0"/>
  </r>
  <r>
    <x v="4"/>
    <s v="DP.2512"/>
    <s v="Supporting Access to Housing and Basic Services for People Fleeing the Conflict in Ukraine"/>
    <s v="MOVEMENT, EMERGENCY AND POST-CRISIS MIGRATION MANAGEMENT"/>
    <s v="Hungary"/>
    <n v="4500283495"/>
    <s v="Implementation of IOM Project Activities;  Supplimentaly integration service and employment related information provision to displaced persons from Ukraine.   Reference: PR # 4200403567 Project Implementation Agreement dated 18 Jan 2023."/>
    <s v="Implementing Partners"/>
    <s v="Menedek-Hungarian Association"/>
    <s v="Hungary"/>
    <n v="53210.26"/>
    <x v="0"/>
    <x v="0"/>
  </r>
  <r>
    <x v="4"/>
    <s v="DP.2518"/>
    <s v="Regional Migrant Response Plan (RMRP) for the Horn of Africa and Yemen 2022 dated February 2022"/>
    <s v="MOVEMENT, EMERGENCY AND POST-CRISIS MIGRATION MANAGEMENT"/>
    <s v="Ethiopia"/>
    <n v="4500292157"/>
    <s v="Provision of dignified temporary accommodation assistance, protection assistance; and comprehensive psychosocial services and skills training to the most vulnerable migrant returnees in partnership with AGAR Ethiopia Charitable Society."/>
    <s v="Implementing Partners"/>
    <s v="Agar Ethiopia Charitable Society"/>
    <s v="Ethiopia"/>
    <n v="78314.5"/>
    <x v="0"/>
    <x v="0"/>
  </r>
  <r>
    <x v="4"/>
    <s v="DP.2525"/>
    <s v="Improving Protection and Living Conditions and Reducing Vulnerabilities of Crisis-Affected Populations in North-East Nigeria"/>
    <s v="MOVEMENT, EMERGENCY AND POST-CRISIS MIGRATION MANAGEMENT"/>
    <s v="Nigeria"/>
    <n v="4500277990"/>
    <s v="Counselling and Conflict Transformation  #PRF REF 4200393993"/>
    <s v="Implementing Partners"/>
    <s v="CENTER FOR PEACE, DIPLOMATIC AND DE"/>
    <s v="Nigeria"/>
    <n v="12480.75"/>
    <x v="0"/>
    <x v="2"/>
  </r>
  <r>
    <x v="4"/>
    <s v="DP.2526"/>
    <s v="A Rapid Response Fund (RRF) Program Responding to Emergency Needs of Disaster Affected Populations in South Sudan"/>
    <s v="MOVEMENT, EMERGENCY AND POST-CRISIS MIGRATION MANAGEMENT"/>
    <s v="South Sudan"/>
    <n v="4500276981"/>
    <s v="Provision of emergency food security and livelihoods support to populations under IPC 4 in Aweil East County. PRF#4200387797"/>
    <s v="Implementing Partners"/>
    <s v="SMILE AGAIN AFRICA DEVELOPMENT ORG"/>
    <s v="South Sudan"/>
    <n v="97185"/>
    <x v="0"/>
    <x v="0"/>
  </r>
  <r>
    <x v="4"/>
    <s v="DP.2526"/>
    <s v="A Rapid Response Fund (RRF) Program Responding to Emergency Needs of Disaster Affected Populations in South Sudan"/>
    <s v="MOVEMENT, EMERGENCY AND POST-CRISIS MIGRATION MANAGEMENT"/>
    <s v="South Sudan"/>
    <n v="4500277191"/>
    <s v="Provision of Emergency Food Security Response for IDPs and vulnerable host communities in Ayod County. PRF#4200392077"/>
    <s v="Implementing Partners"/>
    <s v="CHRISTIAN MISSION FOR DEVELOPMENT"/>
    <s v="South Sudan"/>
    <n v="127697"/>
    <x v="0"/>
    <x v="0"/>
  </r>
  <r>
    <x v="4"/>
    <s v="DP.2526"/>
    <s v="A Rapid Response Fund (RRF) Program Responding to Emergency Needs of Disaster Affected Populations in South Sudan"/>
    <s v="MOVEMENT, EMERGENCY AND POST-CRISIS MIGRATION MANAGEMENT"/>
    <s v="South Sudan"/>
    <n v="4500277423"/>
    <s v="Provision of livelihood assistance to acute food insecure populations in IPC phase 4 in Aweil South County in Northern Bahr El Ghazal State, South Sudan PRF#4200393081"/>
    <s v="Implementing Partners"/>
    <s v="MOTHER AND CHILDREN DEVELOPMENT AID"/>
    <s v="South Sudan"/>
    <n v="86344"/>
    <x v="0"/>
    <x v="0"/>
  </r>
  <r>
    <x v="4"/>
    <s v="DP.2526"/>
    <s v="A Rapid Response Fund (RRF) Program Responding to Emergency Needs of Disaster Affected Populations in South Sudan"/>
    <s v="MOVEMENT, EMERGENCY AND POST-CRISIS MIGRATION MANAGEMENT"/>
    <s v="South Sudan"/>
    <n v="4500277462"/>
    <s v="Implementing Lifesaving GBV Prevention and Response to the People affected by conflict in Pibor, Lekuangole, Verteth,Kongkong, Jom, Lukurnyang,Ellashok school, Kondako. PRF#4200393802"/>
    <s v="Implementing Partners"/>
    <s v="VOICE OF THE PEACE"/>
    <s v="South Sudan"/>
    <n v="144881"/>
    <x v="0"/>
    <x v="3"/>
  </r>
  <r>
    <x v="4"/>
    <s v="DP.2526"/>
    <s v="A Rapid Response Fund (RRF) Program Responding to Emergency Needs of Disaster Affected Populations in South Sudan"/>
    <s v="MOVEMENT, EMERGENCY AND POST-CRISIS MIGRATION MANAGEMENT"/>
    <s v="South Sudan"/>
    <n v="4500277510"/>
    <s v="Provision of Emergency lifesaving Nutrition Interventions to affected population in IPC AMN phase 4 (Catastrophe) in Fangak County, Jonglei state. PRF#4200393804"/>
    <s v="Implementing Partners"/>
    <s v="COMMUNITY ACTION ORGANIZATION"/>
    <s v="South Sudan"/>
    <n v="143432"/>
    <x v="0"/>
    <x v="0"/>
  </r>
  <r>
    <x v="4"/>
    <s v="DP.2526"/>
    <s v="A Rapid Response Fund (RRF) Program Responding to Emergency Needs of Disaster Affected Populations in South Sudan"/>
    <s v="MOVEMENT, EMERGENCY AND POST-CRISIS MIGRATION MANAGEMENT"/>
    <s v="South Sudan"/>
    <n v="4500281777"/>
    <s v="Provision of Emergency Livelihood support to 4,000 IPC 4 affected communities in Twic East County, Jonglei state. PRF#4200399540"/>
    <s v="Implementing Partners"/>
    <s v="Salvation and Light Develop Action"/>
    <s v="South Sudan"/>
    <n v="143432"/>
    <x v="0"/>
    <x v="0"/>
  </r>
  <r>
    <x v="4"/>
    <s v="DP.2526"/>
    <s v="A Rapid Response Fund (RRF) Program Responding to Emergency Needs of Disaster Affected Populations in South Sudan"/>
    <s v="MOVEMENT, EMERGENCY AND POST-CRISIS MIGRATION MANAGEMENT"/>
    <s v="South Sudan"/>
    <n v="4500282571"/>
    <s v="Implementing Provision of non-food items assistance to most vulnerable IPC 4 populations in Uror County, Jonglei State. PRF#4200403217"/>
    <s v="Implementing Partners"/>
    <s v="REACH AFRICA ORGANIZATION (RAO)"/>
    <s v="South Sudan"/>
    <n v="87536"/>
    <x v="0"/>
    <x v="0"/>
  </r>
  <r>
    <x v="4"/>
    <s v="DP.2526"/>
    <s v="A Rapid Response Fund (RRF) Program Responding to Emergency Needs of Disaster Affected Populations in South Sudan"/>
    <s v="MOVEMENT, EMERGENCY AND POST-CRISIS MIGRATION MANAGEMENT"/>
    <s v="South Sudan"/>
    <n v="4500283025"/>
    <s v="Implementing Increase in food security of the most vulnerable population under IPC 4 through providing relevant inputsand training to 4,000 Households in Aweil East County. PRF#4200403129"/>
    <s v="Implementing Partners"/>
    <s v="HELP RESTORE YOUTH"/>
    <s v="South Sudan"/>
    <n v="76198"/>
    <x v="0"/>
    <x v="0"/>
  </r>
  <r>
    <x v="4"/>
    <s v="DP.2526"/>
    <s v="A Rapid Response Fund (RRF) Program Responding to Emergency Needs of Disaster Affected Populations in South Sudan"/>
    <s v="MOVEMENT, EMERGENCY AND POST-CRISIS MIGRATION MANAGEMENT"/>
    <s v="South Sudan"/>
    <n v="4500284011"/>
    <s v="Provision of Life saving Emergency Non-food Items (NFIs) to food insecure vulnerable communities (IPC Phase 4) in the five payamsof Tonj South County, Warrap State. PRF#4200406084"/>
    <s v="Implementing Partners"/>
    <s v="TOUCH AFRICA DEVELOPMENT ORGANIZATI"/>
    <s v="South Sudan"/>
    <n v="69819"/>
    <x v="0"/>
    <x v="0"/>
  </r>
  <r>
    <x v="4"/>
    <s v="DP.2526"/>
    <s v="A Rapid Response Fund (RRF) Program Responding to Emergency Needs of Disaster Affected Populations in South Sudan"/>
    <s v="MOVEMENT, EMERGENCY AND POST-CRISIS MIGRATION MANAGEMENT"/>
    <s v="South Sudan"/>
    <n v="4500285489"/>
    <s v="Emergency WASH response to the affected IPC 4 households in Aweil East and North Counties, Northern Bahr elGhazal State. PRF#4200411482"/>
    <s v="Implementing Partners"/>
    <s v="CENTRE FOR EMERGENCY &amp; DEVELOPMENT"/>
    <s v="South Sudan"/>
    <n v="84945"/>
    <x v="0"/>
    <x v="0"/>
  </r>
  <r>
    <x v="4"/>
    <s v="DP.2526"/>
    <s v="A Rapid Response Fund (RRF) Program Responding to Emergency Needs of Disaster Affected Populations in South Sudan"/>
    <s v="MOVEMENT, EMERGENCY AND POST-CRISIS MIGRATION MANAGEMENT"/>
    <s v="South Sudan"/>
    <n v="4500285505"/>
    <s v="Emergency S/NFIs response to IPC 4 households in Nyirol County, Jonglei State. PRF#4200411445"/>
    <s v="Implementing Partners"/>
    <s v="COMMUNITY INITIATIVE FOR DEVELOPMEN"/>
    <s v="South Sudan"/>
    <n v="82375"/>
    <x v="0"/>
    <x v="0"/>
  </r>
  <r>
    <x v="4"/>
    <s v="DP.2526"/>
    <s v="A Rapid Response Fund (RRF) Program Responding to Emergency Needs of Disaster Affected Populations in South Sudan"/>
    <s v="MOVEMENT, EMERGENCY AND POST-CRISIS MIGRATION MANAGEMENT"/>
    <s v="South Sudan"/>
    <n v="4500285515"/>
    <s v="Provision of Emergency Health Care Services for People Affected by IPC 4 in Akobo East, Akobo County, Jonglei State, South Sudan PRF#4200406110"/>
    <s v="Implementing Partners"/>
    <s v="MEDICAIR"/>
    <s v="South Sudan"/>
    <n v="180076"/>
    <x v="0"/>
    <x v="0"/>
  </r>
  <r>
    <x v="4"/>
    <s v="DP.2526"/>
    <s v="A Rapid Response Fund (RRF) Program Responding to Emergency Needs of Disaster Affected Populations in South Sudan"/>
    <s v="MOVEMENT, EMERGENCY AND POST-CRISIS MIGRATION MANAGEMENT"/>
    <s v="South Sudan"/>
    <n v="4500286305"/>
    <s v="Emergency FSL response to IPC 4 affected households in Kapoeta East, Eastern Equatoria State. PRF#4200411448"/>
    <s v="Implementing Partners"/>
    <s v="RURAL ACTION AGAINST HUNGER"/>
    <s v="South Sudan"/>
    <n v="108822"/>
    <x v="0"/>
    <x v="0"/>
  </r>
  <r>
    <x v="4"/>
    <s v="DP.2526"/>
    <s v="A Rapid Response Fund (RRF) Program Responding to Emergency Needs of Disaster Affected Populations in South Sudan"/>
    <s v="MOVEMENT, EMERGENCY AND POST-CRISIS MIGRATION MANAGEMENT"/>
    <s v="South Sudan"/>
    <n v="4500287842"/>
    <s v="Provision of emergency GBV response and prevention services to the vulnerable population in Emergency (IPC 4) in Uror County,Jonglei State  PRF#4200417488"/>
    <s v="Implementing Partners"/>
    <s v="GRASSROOTS EMPOWERMENT AND"/>
    <s v="South Sudan"/>
    <n v="122864"/>
    <x v="0"/>
    <x v="0"/>
  </r>
  <r>
    <x v="4"/>
    <s v="DP.2526"/>
    <s v="A Rapid Response Fund (RRF) Program Responding to Emergency Needs of Disaster Affected Populations in South Sudan"/>
    <s v="MOVEMENT, EMERGENCY AND POST-CRISIS MIGRATION MANAGEMENT"/>
    <s v="South Sudan"/>
    <n v="4500288923"/>
    <s v="Provision of emergency Shelter and life-saving Non-food Items response to food insecure vulnerable populations (IPC 4) in GogrialWest County. PRF#4200417454"/>
    <s v="Implementing Partners"/>
    <s v="CARE FOR CHILDREN AND OLD AGE"/>
    <s v="South Sudan"/>
    <n v="263659"/>
    <x v="0"/>
    <x v="0"/>
  </r>
  <r>
    <x v="4"/>
    <s v="DP.2526"/>
    <s v="A Rapid Response Fund (RRF) Program Responding to Emergency Needs of Disaster Affected Populations in South Sudan"/>
    <s v="MOVEMENT, EMERGENCY AND POST-CRISIS MIGRATION MANAGEMENT"/>
    <s v="South Sudan"/>
    <n v="4500291269"/>
    <s v="Responding to Measles Outbreak through Reactive Measles Vaccination Campaigns in 3 Payams of Bor South County, Jonglei State. PRF#4200418447"/>
    <s v="Implementing Partners"/>
    <s v="Livewell South Sudan Organization"/>
    <s v="South Sudan"/>
    <n v="97724"/>
    <x v="0"/>
    <x v="0"/>
  </r>
  <r>
    <x v="4"/>
    <s v="DP.2526"/>
    <s v="A Rapid Response Fund (RRF) Program Responding to Emergency Needs of Disaster Affected Populations in South Sudan"/>
    <s v="MOVEMENT, EMERGENCY AND POST-CRISIS MIGRATION MANAGEMENT"/>
    <s v="South Sudan"/>
    <n v="4500291385"/>
    <s v="Emergency WASH services to IPC affected Households in Twic East, Jonglei State. PRF#4200420093"/>
    <s v="Implementing Partners"/>
    <s v="Relief Corps Organization"/>
    <s v="South Sudan"/>
    <n v="121477.87"/>
    <x v="0"/>
    <x v="3"/>
  </r>
  <r>
    <x v="4"/>
    <s v="DP.2526"/>
    <s v="A Rapid Response Fund (RRF) Program Responding to Emergency Needs of Disaster Affected Populations in South Sudan"/>
    <s v="MOVEMENT, EMERGENCY AND POST-CRISIS MIGRATION MANAGEMENT"/>
    <s v="South Sudan"/>
    <n v="4500294204"/>
    <s v="Provision of Emergency WASH Basic services to IPC4 population in Mayom County, Unity State. PRF#4200425044"/>
    <s v="Implementing Partners"/>
    <s v="HUMANE-AID FOR COMMUNITY"/>
    <s v="South Sudan"/>
    <n v="96045"/>
    <x v="0"/>
    <x v="0"/>
  </r>
  <r>
    <x v="4"/>
    <s v="DP.2526"/>
    <s v="A Rapid Response Fund (RRF) Program Responding to Emergency Needs of Disaster Affected Populations in South Sudan"/>
    <s v="MOVEMENT, EMERGENCY AND POST-CRISIS MIGRATION MANAGEMENT"/>
    <s v="South Sudan"/>
    <n v="4500294236"/>
    <s v="Emergency WASH intervention to the IPC 4 Affected households in Ayod County, Jonglei State. PRF#4200431812"/>
    <s v="Implementing Partners"/>
    <s v="PEACE IN ACTION AND SOCIAL SERVICE"/>
    <s v="South Sudan"/>
    <n v="102399"/>
    <x v="0"/>
    <x v="0"/>
  </r>
  <r>
    <x v="4"/>
    <s v="DP.2526"/>
    <s v="A Rapid Response Fund (RRF) Program Responding to Emergency Needs of Disaster Affected Populations in South Sudan"/>
    <s v="MOVEMENT, EMERGENCY AND POST-CRISIS MIGRATION MANAGEMENT"/>
    <s v="South Sudan"/>
    <n v="4500295534"/>
    <s v="Emergency Shelter intervention to the conflict affected households in Gumuru Payam - Greater Pibor, Jonglei State. PRF#4200431808"/>
    <s v="Implementing Partners"/>
    <s v="YOUTH EMPOWERMENT AND DEVELOPMENT A"/>
    <s v="South Sudan"/>
    <n v="97959"/>
    <x v="0"/>
    <x v="0"/>
  </r>
  <r>
    <x v="4"/>
    <s v="DP.2526"/>
    <s v="A Rapid Response Fund (RRF) Program Responding to Emergency Needs of Disaster Affected Populations in South Sudan"/>
    <s v="MOVEMENT, EMERGENCY AND POST-CRISIS MIGRATION MANAGEMENT"/>
    <s v="South Sudan"/>
    <n v="4500296462"/>
    <s v="Emergency lifesaving intervention through coordinated and effective information management system(Nutrition Cluster) with local and international NGOs of South Sudan. PRF#4200424661"/>
    <s v="Implementing Partners"/>
    <s v="International Medical Corps UK"/>
    <s v="South Sudan"/>
    <n v="37080"/>
    <x v="0"/>
    <x v="1"/>
  </r>
  <r>
    <x v="4"/>
    <s v="DP.2526"/>
    <s v="A Rapid Response Fund (RRF) Program Responding to Emergency Needs of Disaster Affected Populations in South Sudan"/>
    <s v="MOVEMENT, EMERGENCY AND POST-CRISIS MIGRATION MANAGEMENT"/>
    <s v="South Sudan"/>
    <n v="4500298295"/>
    <s v="Provision of emergency primary healthcare services to conflict affected IDPs in Kajo-Keji County, South Sudan. PRF#4200435833"/>
    <s v="Implementing Partners"/>
    <s v="SOUTH SUDAN HEALTH ASSOCIATION (SSU"/>
    <s v="South Sudan"/>
    <n v="182733"/>
    <x v="0"/>
    <x v="0"/>
  </r>
  <r>
    <x v="4"/>
    <s v="DP.2526"/>
    <s v="A Rapid Response Fund (RRF) Program Responding to Emergency Needs of Disaster Affected Populations in South Sudan"/>
    <s v="MOVEMENT, EMERGENCY AND POST-CRISIS MIGRATION MANAGEMENT"/>
    <s v="South Sudan"/>
    <n v="4500298795"/>
    <s v="Provision of multi-sectoral emergency Shelters/Non-Food Items (NFIs) and Gender Based Violence (GBV) prevention in Kajo-Keji County. PRF#4200440182"/>
    <s v="Implementing Partners"/>
    <s v="POLISH HUMANITARIAN ACTION (PAH)"/>
    <s v="South Sudan"/>
    <n v="189695"/>
    <x v="0"/>
    <x v="1"/>
  </r>
  <r>
    <x v="4"/>
    <s v="DP.2526"/>
    <s v="A Rapid Response Fund (RRF) Program Responding to Emergency Needs of Disaster Affected Populations in South Sudan"/>
    <s v="MOVEMENT, EMERGENCY AND POST-CRISIS MIGRATION MANAGEMENT"/>
    <s v="South Sudan"/>
    <n v="4500298826"/>
    <s v="IP transfers – National CSOs"/>
    <s v="Implementing Partners"/>
    <s v="WATER FOR SOUTH SUDAN"/>
    <s v="South Sudan"/>
    <n v="70234"/>
    <x v="0"/>
    <x v="0"/>
  </r>
  <r>
    <x v="4"/>
    <s v="DP.2532"/>
    <s v="Strengthening the Humanitarian Health and Water Sanitation and Hygiene Response for the Most Vulnerable Populations in Northern Abyei"/>
    <s v="MOVEMENT, EMERGENCY AND POST-CRISIS MIGRATION MANAGEMENT"/>
    <s v="Sudan"/>
    <n v="4500292142"/>
    <s v="IP transfers – National CSOs"/>
    <s v="Implementing Partners"/>
    <s v="Elgoni Charitable Organization"/>
    <s v="Sudan"/>
    <n v="133360"/>
    <x v="0"/>
    <x v="0"/>
  </r>
  <r>
    <x v="4"/>
    <s v="DP.2536"/>
    <s v="IOM Appeal - Ukraine and Neighbouring Countries"/>
    <s v="MOVEMENT, EMERGENCY AND POST-CRISIS MIGRATION MANAGEMENT"/>
    <s v="Czechia"/>
    <n v="4500282793"/>
    <s v="IP Amiga"/>
    <s v="Implementing Partners"/>
    <s v="Amiga z.s."/>
    <s v="Czechia"/>
    <n v="216523.47"/>
    <x v="0"/>
    <x v="0"/>
  </r>
  <r>
    <x v="4"/>
    <s v="DP.2536"/>
    <s v="IOM Appeal - Ukraine and Neighbouring Countries"/>
    <s v="MOVEMENT, EMERGENCY AND POST-CRISIS MIGRATION MANAGEMENT"/>
    <s v="Czechia"/>
    <n v="4500283988"/>
    <s v="IP Naděje"/>
    <s v="Implementing Partners"/>
    <s v="NADEJE"/>
    <s v="Czechia"/>
    <n v="33415.839999999997"/>
    <x v="0"/>
    <x v="0"/>
  </r>
  <r>
    <x v="4"/>
    <s v="DP.2536"/>
    <s v="IOM Appeal - Ukraine and Neighbouring Countries"/>
    <s v="MOVEMENT, EMERGENCY AND POST-CRISIS MIGRATION MANAGEMENT"/>
    <s v="Czechia"/>
    <n v="4500292566"/>
    <s v="Implementing Partner MAS Vladar 2"/>
    <s v="Implementing Partners"/>
    <s v="MAS Vladar o.p.s."/>
    <s v="Czechia"/>
    <n v="21660.65"/>
    <x v="0"/>
    <x v="3"/>
  </r>
  <r>
    <x v="4"/>
    <s v="DP.2536"/>
    <s v="IOM Appeal - Ukraine and Neighbouring Countries"/>
    <s v="MOVEMENT, EMERGENCY AND POST-CRISIS MIGRATION MANAGEMENT"/>
    <s v="Czechia"/>
    <n v="4500299421"/>
    <s v="IP transfers – National CSOs"/>
    <s v="Implementing Partners"/>
    <s v="Brdy-Vltava o.p.s."/>
    <s v="Czechia"/>
    <n v="44843.05"/>
    <x v="0"/>
    <x v="3"/>
  </r>
  <r>
    <x v="4"/>
    <s v="DP.2536"/>
    <s v="IOM Appeal - Ukraine and Neighbouring Countries"/>
    <s v="MOVEMENT, EMERGENCY AND POST-CRISIS MIGRATION MANAGEMENT"/>
    <s v="Ukraine"/>
    <n v="4500277061"/>
    <s v="IP_Healthcare Services by Alima_Kherson and Mykolaiv region"/>
    <s v="Implementing Partners"/>
    <s v="ALIMA"/>
    <s v="Ukraine"/>
    <n v="512163.4"/>
    <x v="0"/>
    <x v="1"/>
  </r>
  <r>
    <x v="4"/>
    <s v="DP.2536"/>
    <s v="IOM Appeal - Ukraine and Neighbouring Countries"/>
    <s v="MOVEMENT, EMERGENCY AND POST-CRISIS MIGRATION MANAGEMENT"/>
    <s v="Ukraine"/>
    <n v="4500277523"/>
    <s v="IP_Ensuring comprehensive protection response_Kherson obl."/>
    <s v="Implementing Partners"/>
    <s v="NGO Successful Women"/>
    <s v="Ukraine"/>
    <n v="69333.55"/>
    <x v="0"/>
    <x v="0"/>
  </r>
  <r>
    <x v="4"/>
    <s v="DP.2536"/>
    <s v="IOM Appeal - Ukraine and Neighbouring Countries"/>
    <s v="MOVEMENT, EMERGENCY AND POST-CRISIS MIGRATION MANAGEMENT"/>
    <s v="Ukraine"/>
    <n v="4500277685"/>
    <s v="UA1-2022-3090_IP_NGO_Comprehensive Protection Response_Kirovohrad and KharkivEnter text here..."/>
    <s v="Implementing Partners"/>
    <s v="CLEAR PAPER"/>
    <s v="Ukraine"/>
    <n v="82954.42"/>
    <x v="0"/>
    <x v="0"/>
  </r>
  <r>
    <x v="4"/>
    <s v="DP.2536"/>
    <s v="IOM Appeal - Ukraine and Neighbouring Countries"/>
    <s v="MOVEMENT, EMERGENCY AND POST-CRISIS MIGRATION MANAGEMENT"/>
    <s v="Ukraine"/>
    <n v="4500278928"/>
    <s v="UA1-2022-3088_IP services_Ensuring comprehensive protection response in Donetska Oblast"/>
    <s v="Implementing Partners"/>
    <s v="ALLIANCE FOR CIVIL RIGHTS"/>
    <s v="Ukraine"/>
    <n v="72325.5"/>
    <x v="0"/>
    <x v="0"/>
  </r>
  <r>
    <x v="4"/>
    <s v="DP.2536"/>
    <s v="IOM Appeal - Ukraine and Neighbouring Countries"/>
    <s v="MOVEMENT, EMERGENCY AND POST-CRISIS MIGRATION MANAGEMENT"/>
    <s v="Ukraine"/>
    <n v="4500285201"/>
    <s v="UK MED Emergency Health Response to the Humanitarian Crisis in Ukraine- FCDO projectEnter text here..."/>
    <s v="Implementing Partners"/>
    <s v="UK-MED"/>
    <s v="United Kingdom"/>
    <n v="440000"/>
    <x v="0"/>
    <x v="1"/>
  </r>
  <r>
    <x v="4"/>
    <s v="DP.2545"/>
    <s v="Rapid Response Fund for Humanitarian Emergencies in Sudan"/>
    <s v="MOVEMENT, EMERGENCY AND POST-CRISIS MIGRATION MANAGEMENT"/>
    <s v="Sudan"/>
    <n v="4500282992"/>
    <s v="PR# 4200378490"/>
    <s v="Implementing Partners"/>
    <s v="NADA ELAZHAR FOR DISASTER PREVENTIO"/>
    <s v="Sudan"/>
    <n v="149876"/>
    <x v="0"/>
    <x v="0"/>
  </r>
  <r>
    <x v="4"/>
    <s v="DP.2545"/>
    <s v="Rapid Response Fund for Humanitarian Emergencies in Sudan"/>
    <s v="MOVEMENT, EMERGENCY AND POST-CRISIS MIGRATION MANAGEMENT"/>
    <s v="Sudan"/>
    <n v="4500284236"/>
    <s v="IP transfers – National CSOs"/>
    <s v="Implementing Partners"/>
    <s v="Samaritan Aid Organization"/>
    <s v="Sudan"/>
    <n v="219048"/>
    <x v="0"/>
    <x v="0"/>
  </r>
  <r>
    <x v="4"/>
    <s v="DP.2545"/>
    <s v="Rapid Response Fund for Humanitarian Emergencies in Sudan"/>
    <s v="MOVEMENT, EMERGENCY AND POST-CRISIS MIGRATION MANAGEMENT"/>
    <s v="Sudan"/>
    <n v="4500297261"/>
    <s v="IP transfers – International CSOs"/>
    <s v="Implementing Partners"/>
    <s v="INTERNATIONAL RESCUE COMMITTEE INC"/>
    <s v="Sudan"/>
    <n v="250000"/>
    <x v="0"/>
    <x v="1"/>
  </r>
  <r>
    <x v="4"/>
    <s v="DP.2546"/>
    <s v="Multi-Sectoral Assistance for Internally Displaced Persons (IDPs) and Persons with Disabilities in North-East Nigeria"/>
    <s v="MOVEMENT, EMERGENCY AND POST-CRISIS MIGRATION MANAGEMENT"/>
    <s v="Nigeria"/>
    <n v="4500280910"/>
    <s v="Provision of Critical Camp Management Services in North-east Nigeria to Improve Living Conditions in Camp and Camp-like Settings during the rainy season (IP) PR Ref: 4200394081"/>
    <s v="Implementing Partners"/>
    <s v="SALIENT HUMANITARIAN ORGANIZATION"/>
    <s v="Nigeria"/>
    <n v="50000"/>
    <x v="0"/>
    <x v="3"/>
  </r>
  <r>
    <x v="4"/>
    <s v="DP.2549"/>
    <s v="Winterisation Assistance for Early Recovery in Mykolaiv Oblast, Ukraine"/>
    <s v="MOVEMENT, EMERGENCY AND POST-CRISIS MIGRATION MANAGEMENT"/>
    <s v="Ukraine"/>
    <n v="4500285167"/>
    <s v="UA1-2023-13012_NGO IP_water supply in Mykolaiv"/>
    <s v="Implementing Partners"/>
    <s v="Mission10forty"/>
    <s v="Ukraine"/>
    <n v="372093.82"/>
    <x v="0"/>
    <x v="1"/>
  </r>
  <r>
    <x v="4"/>
    <s v="DP.2550"/>
    <s v="Multi-Sectoral Response to Increased CCCM, S-NFIs, WASH, and Health Multi-Sectoral Response to Increased Cccm, S-Nfis, Wash, and Health Needs of the Most Vulnerable Populations Affected by Increased Violence, Natural Disasters and Food Insecurity in"/>
    <s v="MOVEMENT, EMERGENCY AND POST-CRISIS MIGRATION MANAGEMENT"/>
    <s v="South Sudan"/>
    <n v="4500286330"/>
    <s v="Provision of Camp Coordination and camp Management services for internally Displaced Persons in Greater Pibor Administravtive Area. PRF#4200397994"/>
    <s v="Implementing Partners"/>
    <s v="PEACE CORPS ORG. SOUTH SUDAN"/>
    <s v="South Sudan"/>
    <n v="196846.5"/>
    <x v="0"/>
    <x v="1"/>
  </r>
  <r>
    <x v="4"/>
    <s v="DP.2559"/>
    <s v="Ukraine - Humanitarian - IOM 2022"/>
    <s v="MOVEMENT, EMERGENCY AND POST-CRISIS MIGRATION MANAGEMENT"/>
    <s v="Ukraine"/>
    <n v="4500294859"/>
    <s v="UA1-2023-13017 IP service_Ukraine: Window repairs in the damaged Ukrainian hospitals"/>
    <s v="Implementing Partners"/>
    <s v="CO CF UA BROKERS WITHOUT BORDERS UK"/>
    <s v="Ukraine"/>
    <n v="125351.91"/>
    <x v="0"/>
    <x v="1"/>
  </r>
  <r>
    <x v="4"/>
    <s v="DP.2561"/>
    <s v="Protection of Vulnerable Conflict-Affected Communities in Ukraine and Provision of Urgent Mental Health and Psychosocial Support"/>
    <s v="MOVEMENT, EMERGENCY AND POST-CRISIS MIGRATION MANAGEMENT"/>
    <s v="Ukraine"/>
    <n v="4500279537"/>
    <s v="PIA_UA1-2023-13001 dd.13/01/2023"/>
    <s v="Implementing Partners"/>
    <s v="BO STO VIDSOTKIV ZHYTTIA CHERKASY"/>
    <s v="Ukraine"/>
    <n v="37316.11"/>
    <x v="0"/>
    <x v="0"/>
  </r>
  <r>
    <x v="4"/>
    <s v="DP.2561"/>
    <s v="Protection of Vulnerable Conflict-Affected Communities in Ukraine and Provision of Urgent Mental Health and Psychosocial Support"/>
    <s v="MOVEMENT, EMERGENCY AND POST-CRISIS MIGRATION MANAGEMENT"/>
    <s v="Ukraine"/>
    <n v="4500284329"/>
    <s v="UA1-2023-13007_IP services_Dnipro oblast"/>
    <s v="Implementing Partners"/>
    <s v="NGO Promin Dnipro"/>
    <s v="Ukraine"/>
    <n v="97263.51"/>
    <x v="0"/>
    <x v="0"/>
  </r>
  <r>
    <x v="4"/>
    <s v="DP.2566"/>
    <s v="Ukraine: Protection of Vulnerable Conflict-Affected Population"/>
    <s v="MOVEMENT, EMERGENCY AND POST-CRISIS MIGRATION MANAGEMENT"/>
    <s v="Ukraine"/>
    <n v="4500277689"/>
    <s v="UA1-2022-3089_IP services_Ensuring comprehensive protection response in Ternopil oblast"/>
    <s v="Implementing Partners"/>
    <s v="NGO Revival of the Nation"/>
    <s v="Ukraine"/>
    <n v="104422.18"/>
    <x v="0"/>
    <x v="0"/>
  </r>
  <r>
    <x v="4"/>
    <s v="DP.2567"/>
    <s v="Provision of Emergency Shelter, NFI, and WASH Support to Flood-Affected Populations in Pakistan"/>
    <s v="MOVEMENT, EMERGENCY AND POST-CRISIS MIGRATION MANAGEMENT"/>
    <s v="Pakistan"/>
    <n v="4500299671"/>
    <s v="IP transfers – National CSOs"/>
    <s v="Implementing Partners"/>
    <s v="Tameer e Khalaq Foundation"/>
    <s v="Pakistan"/>
    <n v="143969.29999999999"/>
    <x v="0"/>
    <x v="0"/>
  </r>
  <r>
    <x v="4"/>
    <s v="DP.2571"/>
    <s v="Providing Protection and Humanitarian Assistance to Vulnerable Venezuelans in Border Areas in Venezuela and Brazil"/>
    <s v="MOVEMENT, EMERGENCY AND POST-CRISIS MIGRATION MANAGEMENT"/>
    <s v="Venezuela (BR)"/>
    <n v="4500287579"/>
    <s v="IP.2023.001 ACUERDO DE IMPLEMENTACION DE PROYECTO &quot;Provisión de asistencia y protección a personas en contexto de movilidad en condiciones de vulnerabilidad en las regiones fronterizas de Venezuela y Brasil” IOMVE/CONTR/2023/020"/>
    <s v="Implementing Partners"/>
    <s v="ASOCIACION CIVIL OBSERVATORIO DE"/>
    <s v="Venezuela (BR)"/>
    <n v="32615.72"/>
    <x v="0"/>
    <x v="0"/>
  </r>
  <r>
    <x v="4"/>
    <s v="DP.2571"/>
    <s v="Providing Protection and Humanitarian Assistance to Vulnerable Venezuelans in Border Areas in Venezuela and Brazil"/>
    <s v="MOVEMENT, EMERGENCY AND POST-CRISIS MIGRATION MANAGEMENT"/>
    <s v="Venezuela (BR)"/>
    <n v="4500287586"/>
    <s v="IP.2023.002 - ACUERDO DE IMPLEMENTACION DE PROYECTO &quot;Provision de asistencia y proteccion a personas en contexto de movilidad en condiciones de vulnerabilidad en las regiones fronterizas de Venezuela y Brasil&quot; IOMVE/CONTR/2023/017"/>
    <s v="Implementing Partners"/>
    <s v="Cruz Roja Venezolana Seccional Zuli"/>
    <s v="Venezuela (BR)"/>
    <n v="55543.59"/>
    <x v="0"/>
    <x v="4"/>
  </r>
  <r>
    <x v="4"/>
    <s v="DP.2571"/>
    <s v="Providing Protection and Humanitarian Assistance to Vulnerable Venezuelans in Border Areas in Venezuela and Brazil"/>
    <s v="MOVEMENT, EMERGENCY AND POST-CRISIS MIGRATION MANAGEMENT"/>
    <s v="Venezuela (BR)"/>
    <n v="4500287591"/>
    <s v="IP.2023.003 - ACUERDO DE IMPLEMENTACION DE PROYECTO &quot;Provision de asistencia y proteccion a personas en contexto de movilidad en condiciones de vulnerabilidad en las regiones fronterizas de Venezuela y Brasil&quot; IOMVE/CONT/2023/021"/>
    <s v="Implementing Partners"/>
    <s v="DIOCESIS DE SAN CRISTOBAL"/>
    <s v="Venezuela (BR)"/>
    <n v="271826.7"/>
    <x v="0"/>
    <x v="5"/>
  </r>
  <r>
    <x v="4"/>
    <s v="DP.2571"/>
    <s v="Providing Protection and Humanitarian Assistance to Vulnerable Venezuelans in Border Areas in Venezuela and Brazil"/>
    <s v="MOVEMENT, EMERGENCY AND POST-CRISIS MIGRATION MANAGEMENT"/>
    <s v="Venezuela (BR)"/>
    <n v="4500287887"/>
    <s v="IP.2023.005 - ACUERDO DE IMPLEMENTACION DE PROYECTO MARACAIBO &quot;Provision de asistencia y proteccion a personas en contexto de movilidad en condiciones de vulnerabilidad en las regiones fronterizas de Venezuela y Brasil&quot; IOMVE/CONT/2023/018"/>
    <s v="Implementing Partners"/>
    <s v="ASOC C CARITAS DE VENEZUELA"/>
    <s v="Venezuela (BR)"/>
    <n v="69736.27"/>
    <x v="0"/>
    <x v="6"/>
  </r>
  <r>
    <x v="4"/>
    <s v="DP.2571"/>
    <s v="Providing Protection and Humanitarian Assistance to Vulnerable Venezuelans in Border Areas in Venezuela and Brazil"/>
    <s v="MOVEMENT, EMERGENCY AND POST-CRISIS MIGRATION MANAGEMENT"/>
    <s v="Venezuela (BR)"/>
    <n v="4500287896"/>
    <s v="IP.2023.006 - ACUERDO DE IMPLEMENTACION DE PROYECTO CORO &quot;Provision de asistencia y proteccion a personas en contexto de movilidad en condiciones de vulnerabilidad en las regiones fronterizas de Venezuela y Brasil&quot; IOMVE/CONT/2023/015"/>
    <s v="Implementing Partners"/>
    <s v="ASOC C CARITAS DE VENEZUELA"/>
    <s v="Venezuela (BR)"/>
    <n v="44187.29"/>
    <x v="0"/>
    <x v="6"/>
  </r>
  <r>
    <x v="4"/>
    <s v="DP.2571"/>
    <s v="Providing Protection and Humanitarian Assistance to Vulnerable Venezuelans in Border Areas in Venezuela and Brazil"/>
    <s v="MOVEMENT, EMERGENCY AND POST-CRISIS MIGRATION MANAGEMENT"/>
    <s v="Venezuela (BR)"/>
    <n v="4500287941"/>
    <s v="IP.2023.007 - ACUERDO DE IMPLEMENTACION DE PROYECTO CARUPANO &quot;Provision de asistencia y proteccion a personas en contexto de movilidad en condiciones de vulnerabilidad en las regiones fronterizas de Venezuela y Brasil&quot; IOMVE/CONT/2023/016"/>
    <s v="Implementing Partners"/>
    <s v="ASOC C CARITAS DE VENEZUELA"/>
    <s v="Venezuela (BR)"/>
    <n v="77195.91"/>
    <x v="0"/>
    <x v="6"/>
  </r>
  <r>
    <x v="4"/>
    <s v="DP.2571"/>
    <s v="Providing Protection and Humanitarian Assistance to Vulnerable Venezuelans in Border Areas in Venezuela and Brazil"/>
    <s v="MOVEMENT, EMERGENCY AND POST-CRISIS MIGRATION MANAGEMENT"/>
    <s v="Venezuela (BR)"/>
    <n v="4500287994"/>
    <s v="IP.2023.004 - ACUERDO DE IMPLEMENTACION DE PROYECTO &quot;Provision de asistencia y proteccion a personas en contexto de movilidad en condiciones de vulnerabilidad en las regiones fronterizas de Venezuela y Brasil&quot; IOMVE/CONT/2023/014"/>
    <s v="Implementing Partners"/>
    <s v="Cruz Roja Sub Comite Guasdualito"/>
    <s v="Venezuela (BR)"/>
    <n v="22723.35"/>
    <x v="0"/>
    <x v="4"/>
  </r>
  <r>
    <x v="4"/>
    <s v="DP.2571"/>
    <s v="Providing Protection and Humanitarian Assistance to Vulnerable Venezuelans in Border Areas in Venezuela and Brazil"/>
    <s v="MOVEMENT, EMERGENCY AND POST-CRISIS MIGRATION MANAGEMENT"/>
    <s v="Venezuela (BR)"/>
    <n v="4500288671"/>
    <s v="IP.2023.009 - ACUERDO DE IMPLEMENTACIÓN DE PROYECTO entre Organización Internacional para las Migraciones (OIM) y Cáritas de Venezuela relativo a la recolección de Información DTM IOMVE/CONTR/2023/023 DP 2571"/>
    <s v="Implementing Partners"/>
    <s v="ASOC C CARITAS DE VENEZUELA"/>
    <s v="Venezuela (BR)"/>
    <n v="20011.96"/>
    <x v="0"/>
    <x v="6"/>
  </r>
  <r>
    <x v="4"/>
    <s v="DP.2571"/>
    <s v="Providing Protection and Humanitarian Assistance to Vulnerable Venezuelans in Border Areas in Venezuela and Brazil"/>
    <s v="MOVEMENT, EMERGENCY AND POST-CRISIS MIGRATION MANAGEMENT"/>
    <s v="Venezuela (BR)"/>
    <n v="4500291377"/>
    <s v="IP.2023.008 - ACUERDO DE IMPLEMENTACION DE PROYECTO GUASDUALITO &quot;Provision de asistencia y proteccion a personas en contexto de movilidad en condiciones de vulnerabilidad en las regiones fronterizas de Venezuela y Brasil&quot; IOMVE/CONT/2023/019"/>
    <s v="Implementing Partners"/>
    <s v="ASOC. CIVIL CARITAS GUASDUALITO"/>
    <s v="Venezuela (BR)"/>
    <n v="51932.18"/>
    <x v="0"/>
    <x v="6"/>
  </r>
  <r>
    <x v="4"/>
    <s v="DP.2579"/>
    <s v="Enhancing Protection of Vulnerable Host Communities in Cox's Bazar"/>
    <s v="MOVEMENT, EMERGENCY AND POST-CRISIS MIGRATION MANAGEMENT"/>
    <s v="Bangladesh"/>
    <n v="4500290842"/>
    <s v="PR-4200411637 Requestor-Thui Sha Ching MARMA Unit-Protection  BNWLA IPs agreement for 1st January to 31st October 2023 on Assistance to Vulnerable Migrants and Counter Trafficking (CT)"/>
    <s v="Implementing Partners"/>
    <s v="BNWLA"/>
    <s v="Bangladesh"/>
    <n v="128375.67"/>
    <x v="0"/>
    <x v="0"/>
  </r>
  <r>
    <x v="4"/>
    <s v="DP.2584"/>
    <s v="Provision of Multi-Purpose Cash Assistance (MPCA) to Address the Most Critical Needs of Crisis-Affected Communities"/>
    <s v="MOVEMENT, EMERGENCY AND POST-CRISIS MIGRATION MANAGEMENT"/>
    <s v="South Sudan"/>
    <n v="4500299712"/>
    <s v="Payment Implementing Partner CCOSS (Care for Children and Old Age in South Sudan CERF-4200432554"/>
    <s v="Implementing Partners"/>
    <s v="CARE FOR CHILDREN AND OLD AGE"/>
    <s v="South Sudan"/>
    <n v="140000"/>
    <x v="0"/>
    <x v="0"/>
  </r>
  <r>
    <x v="4"/>
    <s v="DP.2585"/>
    <s v="Provision of Life-saving Assistance to Displaced Populations in Ethiopia"/>
    <s v="MOVEMENT, EMERGENCY AND POST-CRISIS MIGRATION MANAGEMENT"/>
    <s v="Ethiopia"/>
    <n v="4500288490"/>
    <s v="PIA REFERANCE ETH/ADD/FEB/1253/2023  PROJECT END DATE MARCH 31 2023 PIA  payment term is USD 50,620 upon signing the PIA agreement and 9 ,039.19 upon completion of the project. Due to Budget /PR s raised from two WBS lines, in order to fully link the PR value, PO is created on the basis of the PRF value."/>
    <s v="Implementing Partners"/>
    <s v="Dorcas Aid Ethiopia (DAE)"/>
    <s v="Ethiopia"/>
    <n v="9039.19"/>
    <x v="0"/>
    <x v="1"/>
  </r>
  <r>
    <x v="4"/>
    <s v="DP.2592"/>
    <s v="​​Provision of Emergency Shelter and Non-Food Items (NFIs) for Populations Affected by Drought and the Northern Ethiopian Crisis"/>
    <s v="MOVEMENT, EMERGENCY AND POST-CRISIS MIGRATION MANAGEMENT"/>
    <s v="Ethiopia"/>
    <n v="4500293476"/>
    <s v="Provision of Emergency Shelter and Cash for Non-Food Items (NFIs) for Populations Affected by drought in the Somali Region for IDPs: 3,055 HHs / 15, 275 individuals."/>
    <s v="Implementing Partners"/>
    <s v="Community in Action Against Poverty"/>
    <s v="Ethiopia"/>
    <n v="99659.62"/>
    <x v="0"/>
    <x v="0"/>
  </r>
  <r>
    <x v="4"/>
    <s v="DP.2592"/>
    <s v="​​Provision of Emergency Shelter and Non-Food Items (NFIs) for Populations Affected by Drought and the Northern Ethiopian Crisis"/>
    <s v="MOVEMENT, EMERGENCY AND POST-CRISIS MIGRATION MANAGEMENT"/>
    <s v="Ethiopia"/>
    <n v="4500293481"/>
    <s v="Provision of Cash for Non-Food Items (NFIs) for Populations Affected by the Northern Ethiopian Crisis in the Tigray Region for IDPs: 1,180 HH / 6,490 individuals."/>
    <s v="Implementing Partners"/>
    <s v="Development for Peace Organization"/>
    <s v="Ethiopia"/>
    <n v="159304"/>
    <x v="0"/>
    <x v="0"/>
  </r>
  <r>
    <x v="4"/>
    <s v="DP.2592"/>
    <s v="​​Provision of Emergency Shelter and Non-Food Items (NFIs) for Populations Affected by Drought and the Northern Ethiopian Crisis"/>
    <s v="MOVEMENT, EMERGENCY AND POST-CRISIS MIGRATION MANAGEMENT"/>
    <s v="Ethiopia"/>
    <n v="4500293483"/>
    <s v="Provision of Emergency Shelter and Cash for Non-Food Items (NFIs) for Populations Affected by drought in Oromia Region for IDPs: 2,070 HH / 11 ,385 Individuals."/>
    <s v="Implementing Partners"/>
    <s v="Positive Action for Development"/>
    <s v="Ethiopia"/>
    <n v="76590"/>
    <x v="0"/>
    <x v="0"/>
  </r>
  <r>
    <x v="4"/>
    <s v="DP.2592"/>
    <s v="​​Provision of Emergency Shelter and Non-Food Items (NFIs) for Populations Affected by Drought and the Northern Ethiopian Crisis"/>
    <s v="MOVEMENT, EMERGENCY AND POST-CRISIS MIGRATION MANAGEMENT"/>
    <s v="Ethiopia"/>
    <n v="4500293486"/>
    <s v="Provision of Emergency Shelter and Non-Food Items (NFIs) for Populations Affected by the Northern Ethiopian Crisis in Afar Region for 1,054 HHs / 5,798 individuals."/>
    <s v="Implementing Partners"/>
    <s v="Voice of Wilderness Dev.t Org"/>
    <s v="Ethiopia"/>
    <n v="38998"/>
    <x v="0"/>
    <x v="0"/>
  </r>
  <r>
    <x v="4"/>
    <s v="DP.2605"/>
    <s v="Strengthening the Humanitarian Response to Crisis-Affected Populations in Czechia"/>
    <s v="MOVEMENT, EMERGENCY AND POST-CRISIS MIGRATION MANAGEMENT"/>
    <s v="Czechia"/>
    <n v="4500299432"/>
    <s v="IP Laxus"/>
    <s v="Implementing Partners"/>
    <s v="Laxus, z.u."/>
    <s v="Czechia"/>
    <n v="138645.31"/>
    <x v="0"/>
    <x v="0"/>
  </r>
  <r>
    <x v="4"/>
    <s v="DR.0046"/>
    <s v="Together for Equality: Preventing and Responding to Gender-Based Violence in Timor-Leste"/>
    <s v="MIGRATION AND DEVELOPMENT"/>
    <s v="Timor-Leste"/>
    <n v="4500294088"/>
    <s v="IP transfers – National CSOs"/>
    <s v="Implementing Partners"/>
    <s v="Cruz Vermelha de Timor Leste"/>
    <s v="Timor-Leste"/>
    <n v="191395"/>
    <x v="0"/>
    <x v="4"/>
  </r>
  <r>
    <x v="4"/>
    <s v="DX.0096"/>
    <s v="Supporting Conflict-Affected Populations in the Far North of Cameroon through Providing Humanitarian Actors with Reliable and Timely Displacement Figures and Trends"/>
    <s v="MOVEMENT, EMERGENCY AND POST-CRISIS MIGRATION MANAGEMENT"/>
    <s v="Cameroon"/>
    <n v="4500278992"/>
    <s v="DTM Mobility Tracking (MT) Round 26 and Stabiliy index (SI) Round 3 Data collection exercise"/>
    <s v="Implementing Partners"/>
    <s v="COMUNITY HUMANITARIAN EMERGENCY BOA"/>
    <s v="Cameroon"/>
    <n v="73133.64"/>
    <x v="0"/>
    <x v="0"/>
  </r>
  <r>
    <x v="4"/>
    <s v="DX.0098"/>
    <s v="Humanitarian Assistance to Displaced Population in Lac Province, Chad"/>
    <s v="MOVEMENT, EMERGENCY AND POST-CRISIS MIGRATION MANAGEMENT"/>
    <s v="Chad"/>
    <n v="4500277748"/>
    <s v="AGREEMENT TO COLLECT INFORMATION ON POPULATION MOVEMENTS IN THE LAKE PROVINCE ACCORD SUR LA COLLECTE D'INFORMATION SUR LES MOUVEMENTS DE POPULATION DANS LA PROVINCE DU LAC PR:4200394054"/>
    <s v="Implementing Partners"/>
    <s v="ACHDR"/>
    <s v="Chad"/>
    <n v="88497.07"/>
    <x v="0"/>
    <x v="0"/>
  </r>
  <r>
    <x v="4"/>
    <s v="DX.0101"/>
    <s v="Strengthening the Evidence Base on Human Mobility Along the Eastern Corridor Under the Migrant Response Plan (MRP)"/>
    <s v="MOVEMENT, EMERGENCY AND POST-CRISIS MIGRATION MANAGEMENT"/>
    <s v="Kenya"/>
    <n v="4500285333"/>
    <s v="IP transfers – National CSOs"/>
    <s v="Implementing Partners"/>
    <s v="OSDA"/>
    <s v="Kenya"/>
    <n v="19455.349999999999"/>
    <x v="0"/>
    <x v="3"/>
  </r>
  <r>
    <x v="4"/>
    <s v="MP.0248"/>
    <s v="Prevention and Response to Acute Trafficking in People, Mental Health and Psychosocial Concerns in North-East Nigeria, Phase 2"/>
    <s v="MIGRATION HEALTH"/>
    <s v="Nigeria"/>
    <n v="4500277990"/>
    <s v="Counselling and Conflict Transformation  #PRF REF 4200393993"/>
    <s v="Implementing Partners"/>
    <s v="CENTER FOR PEACE, DIPLOMATIC AND DE"/>
    <s v="Nigeria"/>
    <n v="8320.5"/>
    <x v="0"/>
    <x v="2"/>
  </r>
  <r>
    <x v="4"/>
    <s v="MP.0523"/>
    <s v="Health and Gender Support Project for Cox's Bazar District"/>
    <s v="MIGRATION HEALTH"/>
    <s v="Bangladesh"/>
    <n v="4500297174"/>
    <s v="PR-4200414752 Requestor-Md. Alamgir MIAH Unit-MHD  Mukti (Feb,23 - Jun,23)"/>
    <s v="Implementing Partners"/>
    <s v="MUKTI Cox's Bazar"/>
    <s v="Bangladesh"/>
    <n v="212580.7"/>
    <x v="0"/>
    <x v="3"/>
  </r>
  <r>
    <x v="4"/>
    <s v="MP.0523"/>
    <s v="Health and Gender Support Project for Cox's Bazar District"/>
    <s v="MIGRATION HEALTH"/>
    <s v="Bangladesh"/>
    <n v="4500297199"/>
    <s v="PR-4200413891 Requestor-Md. Alamgir MIAH Unit-MHD  Bangla-German Sampreeti (BGS) Feb,23 - Jun,23."/>
    <s v="Implementing Partners"/>
    <s v="BANGLA-GERMAN SAMPREETI"/>
    <s v="Bangladesh"/>
    <n v="131229.13"/>
    <x v="0"/>
    <x v="0"/>
  </r>
  <r>
    <x v="4"/>
    <s v="MP.0580"/>
    <s v="Humanitarian Assistance for Myanmar Muslims from Rakhine State and Special At-Risk Groups in Thailand"/>
    <s v="MIGRATION HEALTH"/>
    <s v="Thailand"/>
    <n v="4500298973"/>
    <s v="PR 4200408861"/>
    <s v="Implementing Partners"/>
    <s v="International Detention Coalition"/>
    <s v="Australia"/>
    <n v="6434.09"/>
    <x v="0"/>
    <x v="1"/>
  </r>
  <r>
    <x v="4"/>
    <s v="RA.0054"/>
    <s v="Voluntary Humanitarian Return for Third Country Nationals Fleeing Ukraine to Neighboring Countries"/>
    <s v="MOVEMENT, EMERGENCY AND POST-CRISIS MIGRATION MANAGEMENT"/>
    <s v="Romania"/>
    <n v="4500293970"/>
    <s v="IP transfers – National CSOs"/>
    <s v="Implementing Partners"/>
    <s v="ASOCIATIA PROIECT VOIAJOR"/>
    <s v="Romania"/>
    <n v="26703.22"/>
    <x v="0"/>
    <x v="0"/>
  </r>
  <r>
    <x v="4"/>
    <s v="RA.0054"/>
    <s v="Voluntary Humanitarian Return for Third Country Nationals Fleeing Ukraine to Neighboring Countries"/>
    <s v="MOVEMENT, EMERGENCY AND POST-CRISIS MIGRATION MANAGEMENT"/>
    <s v="Romania"/>
    <n v="4500301224"/>
    <s v="IP transfers – National CSOs"/>
    <s v="Implementing Partners"/>
    <s v="AsociatiaCentrulpentruResurseCivice"/>
    <s v="Romania"/>
    <n v="33706.14"/>
    <x v="0"/>
    <x v="0"/>
  </r>
  <r>
    <x v="4"/>
    <s v="RA.0054"/>
    <s v="Voluntary Humanitarian Return for Third Country Nationals Fleeing Ukraine to Neighboring Countries"/>
    <s v="MOVEMENT, EMERGENCY AND POST-CRISIS MIGRATION MANAGEMENT"/>
    <s v="Slovakia"/>
    <n v="4500288549"/>
    <s v="PR 4200412218"/>
    <s v="Implementing Partners"/>
    <s v="IPcko"/>
    <s v="Slovakia"/>
    <n v="64956.43"/>
    <x v="0"/>
    <x v="0"/>
  </r>
  <r>
    <x v="4"/>
    <s v="SN.0159"/>
    <s v="Provision of Critical Shelter and Non-Food Items Assistance to Displaced Populations in Yemen-2021"/>
    <s v="MOVEMENT, EMERGENCY AND POST-CRISIS MIGRATION MANAGEMENT"/>
    <s v="Yemen"/>
    <n v="4500290981"/>
    <s v="IP,SNFI,IOM       IP Prepositioning and Distribution of 253 (ESKs &lt;(&gt;&amp;&lt;)&gt; NFIs ) in Al-wadi Camp Abyan _DO org. ----------------------------------------------------------------------- 4200408716"/>
    <s v="Implementing Partners"/>
    <s v="Diversity Organization (DO)"/>
    <s v="Yemen"/>
    <n v="8701"/>
    <x v="0"/>
    <x v="0"/>
  </r>
  <r>
    <x v="4"/>
    <s v="SN.0159"/>
    <s v="Provision of Critical Shelter and Non-Food Items Assistance to Displaced Populations in Yemen-2021"/>
    <s v="MOVEMENT, EMERGENCY AND POST-CRISIS MIGRATION MANAGEMENT"/>
    <s v="Yemen"/>
    <n v="4500296520"/>
    <s v="IP (HRF) Warehousing Agreement Extension for 3 months until May 2023_ SFI22_085_ Aden SAP PR: 4200419044  DLEIVERY ADDRESS: Yemen - Aden - Al Solban  FOCAL POINT: BINSHUAIB Aseel - TEL: 779181643"/>
    <s v="Implementing Partners"/>
    <s v="Human Relief Foundation"/>
    <s v="Yemen"/>
    <n v="17700"/>
    <x v="0"/>
    <x v="1"/>
  </r>
  <r>
    <x v="4"/>
    <s v="SN.0159"/>
    <s v="Provision of Critical Shelter and Non-Food Items Assistance to Displaced Populations in Yemen-2021"/>
    <s v="MOVEMENT, EMERGENCY AND POST-CRISIS MIGRATION MANAGEMENT"/>
    <s v="Yemen"/>
    <n v="4500298080"/>
    <s v="IP grant SFI23_087_ Prepositioning, Distribution and transportation of 104 Emergency Shelter Kits (ESKs) in Hays _WC through YRC org SAP PR: 4200408609  DELIVERY ADDRESS: Hays, West Coast  FOCAL POINT: Anas Qasem - Email: amohammedqasem@iom.int"/>
    <s v="Implementing Partners"/>
    <s v="Yemeni Response Council"/>
    <s v="Yemen"/>
    <n v="1939.6"/>
    <x v="0"/>
    <x v="0"/>
  </r>
  <r>
    <x v="4"/>
    <s v="SN.0159"/>
    <s v="Provision of Critical Shelter and Non-Food Items Assistance to Displaced Populations in Yemen-2021"/>
    <s v="MOVEMENT, EMERGENCY AND POST-CRISIS MIGRATION MANAGEMENT"/>
    <s v="Yemen"/>
    <n v="4500298083"/>
    <s v="YRC- IP Distribution &lt;(&gt;&amp;&lt;)&gt; Transporation of 16 NFI &lt;(&gt;&amp;&lt;)&gt; 323 ESK in Hays - Al Hudaydah SAP PR: 4200359234  DELIVERY ADDRESS: Hays, West Coast  FOCAL POINT: Anas Qasem - Email: amohammedqasem@iom.int"/>
    <s v="Implementing Partners"/>
    <s v="Yemeni Response Council"/>
    <s v="Yemen"/>
    <n v="4223.3999999999996"/>
    <x v="0"/>
    <x v="0"/>
  </r>
  <r>
    <x v="4"/>
    <s v="SN.0170"/>
    <s v="Addressing Immediate Humanitarian Needs of the Most Vulnerable Populations in Ukraine"/>
    <s v="MOVEMENT, EMERGENCY AND POST-CRISIS MIGRATION MANAGEMENT"/>
    <s v="Ukraine"/>
    <n v="4500285167"/>
    <s v="UA1-2023-13012_NGO IP_water supply in Mykolaiv"/>
    <s v="Implementing Partners"/>
    <s v="Mission10forty"/>
    <s v="Ukraine"/>
    <n v="159468.26999999999"/>
    <x v="0"/>
    <x v="1"/>
  </r>
  <r>
    <x v="4"/>
    <s v="SN.0170"/>
    <s v="Addressing Immediate Humanitarian Needs of the Most Vulnerable Populations in Ukraine"/>
    <s v="MOVEMENT, EMERGENCY AND POST-CRISIS MIGRATION MANAGEMENT"/>
    <s v="Ukraine"/>
    <n v="4500286204"/>
    <s v="UA1-2023-13015I_P service for 2nd distribution of NFI to Sumy, Kyiv, Cherkasy, Lviv, Mykolaiv oblast"/>
    <s v="Implementing Partners"/>
    <s v="HO ROTARI KLUB KYIV INTERNESHENAL"/>
    <s v="Ukraine"/>
    <n v="10333.6"/>
    <x v="0"/>
    <x v="0"/>
  </r>
  <r>
    <x v="4"/>
    <s v="SN.0170"/>
    <s v="Addressing Immediate Humanitarian Needs of the Most Vulnerable Populations in Ukraine"/>
    <s v="MOVEMENT, EMERGENCY AND POST-CRISIS MIGRATION MANAGEMENT"/>
    <s v="Ukraine"/>
    <n v="4500289036"/>
    <s v="IP service_Winter in Hospitals_UA Brokers without Borders"/>
    <s v="Implementing Partners"/>
    <s v="CO CF UA BROKERS WITHOUT BORDERS UK"/>
    <s v="Ukraine"/>
    <n v="1363195"/>
    <x v="0"/>
    <x v="1"/>
  </r>
  <r>
    <x v="4"/>
    <s v="SN.0185"/>
    <s v="IOM Ukraine Winterization Strategy"/>
    <s v="MOVEMENT, EMERGENCY AND POST-CRISIS MIGRATION MANAGEMENT"/>
    <s v="Ukraine"/>
    <n v="4500277436"/>
    <s v="IP_Ensuring comprehensive protection response_Vinnytska obl."/>
    <s v="Implementing Partners"/>
    <s v="NGO Dzherelo Nadii"/>
    <s v="Ukraine"/>
    <n v="82149.929999999993"/>
    <x v="0"/>
    <x v="0"/>
  </r>
  <r>
    <x v="4"/>
    <s v="SN.0185"/>
    <s v="IOM Ukraine Winterization Strategy"/>
    <s v="MOVEMENT, EMERGENCY AND POST-CRISIS MIGRATION MANAGEMENT"/>
    <s v="Ukraine"/>
    <n v="4500277490"/>
    <s v="IP_Ensuring_comprehensive protection response_Odesa onl."/>
    <s v="Implementing Partners"/>
    <s v="NGO Faith Hope Love - Odesa"/>
    <s v="Ukraine"/>
    <n v="75000"/>
    <x v="0"/>
    <x v="0"/>
  </r>
  <r>
    <x v="4"/>
    <s v="SN.0185"/>
    <s v="IOM Ukraine Winterization Strategy"/>
    <s v="MOVEMENT, EMERGENCY AND POST-CRISIS MIGRATION MANAGEMENT"/>
    <s v="Ukraine"/>
    <n v="4500277502"/>
    <s v="IP_provision_protection response_Volyn obl."/>
    <s v="Implementing Partners"/>
    <s v="NGO Volyn Perspectives"/>
    <s v="Ukraine"/>
    <n v="75562.5"/>
    <x v="0"/>
    <x v="0"/>
  </r>
  <r>
    <x v="4"/>
    <s v="SN.0185"/>
    <s v="IOM Ukraine Winterization Strategy"/>
    <s v="MOVEMENT, EMERGENCY AND POST-CRISIS MIGRATION MANAGEMENT"/>
    <s v="Ukraine"/>
    <n v="4500277509"/>
    <s v="IP_NGO_Ensuring comprehensive response_Ivano-Frankivsk obl.- 3d installment"/>
    <s v="Implementing Partners"/>
    <s v="NGO Caritas I-F Char Foundation"/>
    <s v="Ukraine"/>
    <n v="80979.740000000005"/>
    <x v="0"/>
    <x v="6"/>
  </r>
  <r>
    <x v="4"/>
    <s v="SN.0185"/>
    <s v="IOM Ukraine Winterization Strategy"/>
    <s v="MOVEMENT, EMERGENCY AND POST-CRISIS MIGRATION MANAGEMENT"/>
    <s v="Ukraine"/>
    <n v="4500277540"/>
    <s v="IP_Ensuring_comprehensive protection response_Rivne reg."/>
    <s v="Implementing Partners"/>
    <s v="Center Chayka"/>
    <s v="Ukraine"/>
    <n v="75005.98"/>
    <x v="0"/>
    <x v="0"/>
  </r>
  <r>
    <x v="4"/>
    <s v="SN.0185"/>
    <s v="IOM Ukraine Winterization Strategy"/>
    <s v="MOVEMENT, EMERGENCY AND POST-CRISIS MIGRATION MANAGEMENT"/>
    <s v="Ukraine"/>
    <n v="4500279537"/>
    <s v="PIA_UA1-2023-13001 dd.13/01/2023"/>
    <s v="Implementing Partners"/>
    <s v="BO STO VIDSOTKIV ZHYTTIA CHERKASY"/>
    <s v="Ukraine"/>
    <n v="82095.45"/>
    <x v="0"/>
    <x v="0"/>
  </r>
  <r>
    <x v="4"/>
    <s v="SN.0185"/>
    <s v="IOM Ukraine Winterization Strategy"/>
    <s v="MOVEMENT, EMERGENCY AND POST-CRISIS MIGRATION MANAGEMENT"/>
    <s v="Ukraine"/>
    <n v="4500295114"/>
    <s v="UA1-2023-8098_IP services for distribution of items in Khersonska Oblast"/>
    <s v="Implementing Partners"/>
    <s v="PA DREAMACTION"/>
    <s v="Ukraine"/>
    <n v="31337.03"/>
    <x v="0"/>
    <x v="0"/>
  </r>
  <r>
    <x v="4"/>
    <s v="SN.0185"/>
    <s v="IOM Ukraine Winterization Strategy"/>
    <s v="MOVEMENT, EMERGENCY AND POST-CRISIS MIGRATION MANAGEMENT"/>
    <s v="Ukraine"/>
    <n v="4500295160"/>
    <s v="UA1-2023-13014_IP services for the 3d distribution of items in CCs of Kyivska OBlast"/>
    <s v="Implementing Partners"/>
    <s v="HO ROTARI KLUB KYIV INTERNESHENAL"/>
    <s v="Ukraine"/>
    <n v="16318.85"/>
    <x v="0"/>
    <x v="0"/>
  </r>
  <r>
    <x v="4"/>
    <s v="SN.0187"/>
    <s v="Winterization Support for Conflict-Affected Populations in Remote and Rural Areas in Ukraine"/>
    <s v="MOVEMENT, EMERGENCY AND POST-CRISIS MIGRATION MANAGEMENT"/>
    <s v="Ukraine"/>
    <n v="4500279570"/>
    <s v="Heating appliances distribution by NGO Implementation of ideas"/>
    <s v="Implementing Partners"/>
    <s v="CO CF IMPLEMENTATION OF IDEAS"/>
    <s v="Ukraine"/>
    <n v="19954.060000000001"/>
    <x v="0"/>
    <x v="0"/>
  </r>
  <r>
    <x v="4"/>
    <s v="SN.0187"/>
    <s v="Winterization Support for Conflict-Affected Populations in Remote and Rural Areas in Ukraine"/>
    <s v="MOVEMENT, EMERGENCY AND POST-CRISIS MIGRATION MANAGEMENT"/>
    <s v="Ukraine"/>
    <n v="4500279579"/>
    <s v="IP services_Heating appliances distribution by NGO Posmishka UA"/>
    <s v="Implementing Partners"/>
    <s v="CF POSMISHKA UA"/>
    <s v="Ukraine"/>
    <n v="39905.440000000002"/>
    <x v="0"/>
    <x v="0"/>
  </r>
  <r>
    <x v="4"/>
    <s v="SN.0187"/>
    <s v="Winterization Support for Conflict-Affected Populations in Remote and Rural Areas in Ukraine"/>
    <s v="MOVEMENT, EMERGENCY AND POST-CRISIS MIGRATION MANAGEMENT"/>
    <s v="Ukraine"/>
    <n v="4500279586"/>
    <s v="IP services_ Heating appliances distribution"/>
    <s v="Implementing Partners"/>
    <s v="CF NEW WAY"/>
    <s v="Ukraine"/>
    <n v="16793.080000000002"/>
    <x v="0"/>
    <x v="0"/>
  </r>
  <r>
    <x v="4"/>
    <s v="SN.0190"/>
    <s v="Multisectoral Humanitarian Assistance for People Affected by Ancuabe Attacks in Cabo Delgado"/>
    <s v="MOVEMENT, EMERGENCY AND POST-CRISIS MIGRATION MANAGEMENT"/>
    <s v="Mozambique"/>
    <n v="4500297833"/>
    <s v="IP transfers – International CSOs"/>
    <s v="Implementing Partners"/>
    <s v="AYUDA EN ACCION FOUNDATION"/>
    <s v="Mozambique"/>
    <n v="118800"/>
    <x v="0"/>
    <x v="1"/>
  </r>
  <r>
    <x v="5"/>
    <s v="DP.2051"/>
    <s v="Individual Measure to Strengthen the Response Capacity to Manage Migration Flows in Bosnia and Herzegovina"/>
    <s v="MOVEMENT, EMERGENCY AND POST-CRISIS MIGRATION MANAGEMENT"/>
    <s v="Bosnia and Herzegovina"/>
    <n v="4500455544"/>
    <m/>
    <s v="Implementing Partner"/>
    <s v="Drustvo Crvenog krsta kriza Bosne i"/>
    <s v="Bosnia and Herzegovina"/>
    <n v="209555.75"/>
    <x v="0"/>
    <x v="4"/>
  </r>
  <r>
    <x v="5"/>
    <s v="DP.2051"/>
    <s v="Individual Measure to Strengthen the Response Capacity to Manage Migration Flows in Bosnia and Herzegovina"/>
    <s v="MOVEMENT, EMERGENCY AND POST-CRISIS MIGRATION MANAGEMENT"/>
    <s v="Bosnia and Herzegovina"/>
    <n v="4500455555"/>
    <m/>
    <s v="Implementing Partner"/>
    <s v="Drustvo Crvenog krsta kriza Bosne i"/>
    <s v="Bosnia and Herzegovina"/>
    <n v="228174.97"/>
    <x v="0"/>
    <x v="4"/>
  </r>
  <r>
    <x v="5"/>
    <s v="DP.2413"/>
    <s v="Support to Displaced Afghans in Pakistan, Iran, Central Asia, and Afghanistan"/>
    <s v="MOVEMENT, EMERGENCY AND POST-CRISIS MIGRATION MANAGEMENT"/>
    <s v="Afghanistan"/>
    <n v="4500478805"/>
    <m/>
    <s v="Implementing Partner"/>
    <s v="ACTED"/>
    <s v="Afghanistan"/>
    <n v="964135.02"/>
    <x v="0"/>
    <x v="1"/>
  </r>
  <r>
    <x v="5"/>
    <s v="DP.2470"/>
    <s v="IOM Flash Appeal for Ukraine and Neighbouring Countries 2022 - Norway"/>
    <s v="MOVEMENT, EMERGENCY AND POST-CRISIS MIGRATION MANAGEMENT"/>
    <s v="Republic of Moldova"/>
    <n v="4500478844"/>
    <m/>
    <s v="Implementing Partner"/>
    <s v="AO ASOCIATIA MOTIVATIE DIN MD"/>
    <s v="Republic of Moldova"/>
    <n v="24965.71"/>
    <x v="0"/>
    <x v="0"/>
  </r>
  <r>
    <x v="5"/>
    <s v="DP.2470"/>
    <s v="IOM Flash Appeal for Ukraine and Neighbouring Countries 2022 - Norway"/>
    <s v="MOVEMENT, EMERGENCY AND POST-CRISIS MIGRATION MANAGEMENT"/>
    <s v="Republic of Moldova"/>
    <n v="4500478886"/>
    <m/>
    <s v="Implementing Partner"/>
    <s v="AO CDPD"/>
    <s v="Republic of Moldova"/>
    <n v="24142.66"/>
    <x v="0"/>
    <x v="0"/>
  </r>
  <r>
    <x v="5"/>
    <s v="DP.2470"/>
    <s v="IOM Flash Appeal for Ukraine and Neighbouring Countries 2022 - Norway"/>
    <s v="MOVEMENT, EMERGENCY AND POST-CRISIS MIGRATION MANAGEMENT"/>
    <s v="Republic of Moldova"/>
    <n v="4500479261"/>
    <m/>
    <s v="Implementing Partner"/>
    <s v="BAZOVYJJ CENTR REABILITACII OSORC"/>
    <s v="Republic of Moldova"/>
    <n v="36455.42"/>
    <x v="0"/>
    <x v="0"/>
  </r>
  <r>
    <x v="5"/>
    <s v="DP.2470"/>
    <s v="IOM Flash Appeal for Ukraine and Neighbouring Countries 2022 - Norway"/>
    <s v="MOVEMENT, EMERGENCY AND POST-CRISIS MIGRATION MANAGEMENT"/>
    <s v="Republic of Moldova"/>
    <n v="4500481336"/>
    <m/>
    <s v="Implementing Partner"/>
    <s v="AO INTERACTIUNE"/>
    <s v="Republic of Moldova"/>
    <n v="29772.29"/>
    <x v="0"/>
    <x v="0"/>
  </r>
  <r>
    <x v="5"/>
    <s v="DP.2506"/>
    <s v="Humanitarian Response in Cabo Delgado, Mozambique (Phase III)"/>
    <s v="MOVEMENT, EMERGENCY AND POST-CRISIS MIGRATION MANAGEMENT"/>
    <s v="Mozambique"/>
    <n v="4500466661"/>
    <m/>
    <s v="Implementing Partner"/>
    <s v="Pronanac Educacional"/>
    <s v="Mozambique"/>
    <n v="7800"/>
    <x v="0"/>
    <x v="0"/>
  </r>
  <r>
    <x v="5"/>
    <s v="DP.2506"/>
    <s v="Humanitarian Response in Cabo Delgado, Mozambique (Phase III)"/>
    <s v="MOVEMENT, EMERGENCY AND POST-CRISIS MIGRATION MANAGEMENT"/>
    <s v="Mozambique"/>
    <n v="4500482347"/>
    <m/>
    <s v="Implementing Partner"/>
    <s v="AYUDA EN ACCION FOUNDATION"/>
    <s v="Mozambique"/>
    <n v="190000"/>
    <x v="0"/>
    <x v="1"/>
  </r>
  <r>
    <x v="5"/>
    <s v="DP.2506"/>
    <s v="Humanitarian Response in Cabo Delgado, Mozambique (Phase III)"/>
    <s v="MOVEMENT, EMERGENCY AND POST-CRISIS MIGRATION MANAGEMENT"/>
    <s v="Mozambique"/>
    <n v="4500482390"/>
    <m/>
    <s v="Implementing Partner"/>
    <s v="OIKOS"/>
    <s v="Mozambique"/>
    <n v="322103.51"/>
    <x v="0"/>
    <x v="1"/>
  </r>
  <r>
    <x v="5"/>
    <s v="DP.2545"/>
    <s v="Rapid Response Fund for Humanitarian Emergencies in Sudan"/>
    <s v="MOVEMENT, EMERGENCY AND POST-CRISIS MIGRATION MANAGEMENT"/>
    <s v="Sudan"/>
    <n v="4500455133"/>
    <m/>
    <s v="Implementing Partner"/>
    <s v="NADA ELAZHAR FOR DISASTER PREVENTIO"/>
    <s v="Sudan"/>
    <n v="110339"/>
    <x v="0"/>
    <x v="0"/>
  </r>
  <r>
    <x v="5"/>
    <s v="DP.2545"/>
    <s v="Rapid Response Fund for Humanitarian Emergencies in Sudan"/>
    <s v="MOVEMENT, EMERGENCY AND POST-CRISIS MIGRATION MANAGEMENT"/>
    <s v="Sudan"/>
    <n v="4500456546"/>
    <m/>
    <s v="Implementing Partner"/>
    <s v="SUDANESE AMERICAN PHYSICIANS"/>
    <s v="United States Virgin Islands"/>
    <n v="246846"/>
    <x v="0"/>
    <x v="1"/>
  </r>
  <r>
    <x v="5"/>
    <s v="DP.2545"/>
    <s v="Rapid Response Fund for Humanitarian Emergencies in Sudan"/>
    <s v="MOVEMENT, EMERGENCY AND POST-CRISIS MIGRATION MANAGEMENT"/>
    <s v="Sudan"/>
    <n v="4500461601"/>
    <m/>
    <s v="Implementing Partner"/>
    <s v="Sadagaat Charity Organization"/>
    <s v="Sudan"/>
    <n v="180254"/>
    <x v="0"/>
    <x v="0"/>
  </r>
  <r>
    <x v="5"/>
    <s v="DP.2545"/>
    <s v="Rapid Response Fund for Humanitarian Emergencies in Sudan"/>
    <s v="MOVEMENT, EMERGENCY AND POST-CRISIS MIGRATION MANAGEMENT"/>
    <s v="Sudan"/>
    <n v="4500463632"/>
    <m/>
    <s v="Implementing Partner"/>
    <s v="Sudanese Organization Relief-(SORR)"/>
    <s v="Sudan"/>
    <n v="249500"/>
    <x v="0"/>
    <x v="0"/>
  </r>
  <r>
    <x v="5"/>
    <s v="DP.2545"/>
    <s v="Rapid Response Fund for Humanitarian Emergencies in Sudan"/>
    <s v="MOVEMENT, EMERGENCY AND POST-CRISIS MIGRATION MANAGEMENT"/>
    <s v="Sudan"/>
    <n v="4500467289"/>
    <m/>
    <s v="Implementing Partner"/>
    <s v="United Peace Organization"/>
    <s v="Sudan"/>
    <n v="209351"/>
    <x v="0"/>
    <x v="0"/>
  </r>
  <r>
    <x v="5"/>
    <s v="DP.2545"/>
    <s v="Rapid Response Fund for Humanitarian Emergencies in Sudan"/>
    <s v="MOVEMENT, EMERGENCY AND POST-CRISIS MIGRATION MANAGEMENT"/>
    <s v="Sudan"/>
    <n v="4500473373"/>
    <m/>
    <s v="Implementing Partner"/>
    <s v="Concern Worldwide U.S. Inc"/>
    <s v="United States of America"/>
    <n v="241266"/>
    <x v="0"/>
    <x v="1"/>
  </r>
  <r>
    <x v="5"/>
    <s v="DP.2545"/>
    <s v="Rapid Response Fund for Humanitarian Emergencies in Sudan"/>
    <s v="MOVEMENT, EMERGENCY AND POST-CRISIS MIGRATION MANAGEMENT"/>
    <s v="Sudan"/>
    <n v="4500473594"/>
    <m/>
    <s v="Implementing Partner"/>
    <s v="Building Resilience Development Org"/>
    <s v="Sudan"/>
    <n v="129208"/>
    <x v="0"/>
    <x v="0"/>
  </r>
  <r>
    <x v="5"/>
    <s v="DP.2545"/>
    <s v="Rapid Response Fund for Humanitarian Emergencies in Sudan"/>
    <s v="MOVEMENT, EMERGENCY AND POST-CRISIS MIGRATION MANAGEMENT"/>
    <s v="Sudan"/>
    <n v="4500476670"/>
    <m/>
    <s v="Implementing Partner"/>
    <s v="Aleshraq Organization for Developme"/>
    <s v="Sudan"/>
    <n v="57241"/>
    <x v="0"/>
    <x v="0"/>
  </r>
  <r>
    <x v="5"/>
    <s v="DP.2545"/>
    <s v="Rapid Response Fund for Humanitarian Emergencies in Sudan"/>
    <s v="MOVEMENT, EMERGENCY AND POST-CRISIS MIGRATION MANAGEMENT"/>
    <s v="Sudan"/>
    <n v="4500477023"/>
    <m/>
    <s v="Implementing Partner"/>
    <s v="SPACES for Peace and Development Or"/>
    <s v="Sudan"/>
    <n v="71836"/>
    <x v="0"/>
    <x v="0"/>
  </r>
  <r>
    <x v="5"/>
    <s v="DP.2545"/>
    <s v="Rapid Response Fund for Humanitarian Emergencies in Sudan"/>
    <s v="MOVEMENT, EMERGENCY AND POST-CRISIS MIGRATION MANAGEMENT"/>
    <s v="Sudan"/>
    <n v="4500478272"/>
    <m/>
    <s v="Implementing Partner"/>
    <s v="Sudan Agwa Organization"/>
    <s v="Sudan"/>
    <n v="53876"/>
    <x v="0"/>
    <x v="3"/>
  </r>
  <r>
    <x v="5"/>
    <s v="DP.2545"/>
    <s v="Rapid Response Fund for Humanitarian Emergencies in Sudan"/>
    <s v="MOVEMENT, EMERGENCY AND POST-CRISIS MIGRATION MANAGEMENT"/>
    <s v="Sudan"/>
    <n v="4500478480"/>
    <m/>
    <s v="Implementing Partner"/>
    <s v="LM International"/>
    <s v="Sudan"/>
    <n v="149689"/>
    <x v="0"/>
    <x v="1"/>
  </r>
  <r>
    <x v="5"/>
    <s v="DP.2545"/>
    <s v="Rapid Response Fund for Humanitarian Emergencies in Sudan"/>
    <s v="MOVEMENT, EMERGENCY AND POST-CRISIS MIGRATION MANAGEMENT"/>
    <s v="Sudan"/>
    <n v="4500478857"/>
    <m/>
    <s v="Implementing Partner"/>
    <s v="Sawa Sudan for Development and Huma"/>
    <s v="Sudan"/>
    <n v="50610"/>
    <x v="0"/>
    <x v="0"/>
  </r>
  <r>
    <x v="5"/>
    <s v="DP.2545"/>
    <s v="Rapid Response Fund for Humanitarian Emergencies in Sudan"/>
    <s v="MOVEMENT, EMERGENCY AND POST-CRISIS MIGRATION MANAGEMENT"/>
    <s v="Sudan"/>
    <n v="4500480460"/>
    <m/>
    <s v="Implementing Partner"/>
    <s v="Rural Community Development Organiz"/>
    <s v="Sudan"/>
    <n v="50169"/>
    <x v="0"/>
    <x v="0"/>
  </r>
  <r>
    <x v="5"/>
    <s v="DP.2545"/>
    <s v="Rapid Response Fund for Humanitarian Emergencies in Sudan"/>
    <s v="MOVEMENT, EMERGENCY AND POST-CRISIS MIGRATION MANAGEMENT"/>
    <s v="Sudan"/>
    <n v="4500480863"/>
    <m/>
    <s v="Implementing Partner"/>
    <s v="National Planning Organization"/>
    <s v="Sudan"/>
    <n v="242083"/>
    <x v="0"/>
    <x v="3"/>
  </r>
  <r>
    <x v="5"/>
    <s v="DP.2545"/>
    <s v="Rapid Response Fund for Humanitarian Emergencies in Sudan"/>
    <s v="MOVEMENT, EMERGENCY AND POST-CRISIS MIGRATION MANAGEMENT"/>
    <s v="Sudan"/>
    <n v="4500481579"/>
    <m/>
    <s v="Implementing Partner"/>
    <s v="Jasmar Human Security Organization"/>
    <s v="Sudan"/>
    <n v="277092"/>
    <x v="0"/>
    <x v="0"/>
  </r>
  <r>
    <x v="5"/>
    <s v="DP.2545"/>
    <s v="Rapid Response Fund for Humanitarian Emergencies in Sudan"/>
    <s v="MOVEMENT, EMERGENCY AND POST-CRISIS MIGRATION MANAGEMENT"/>
    <s v="Sudan"/>
    <n v="4500481638"/>
    <m/>
    <s v="Implementing Partner"/>
    <s v="Welthunger"/>
    <s v="Sudan"/>
    <n v="31367"/>
    <x v="0"/>
    <x v="1"/>
  </r>
  <r>
    <x v="5"/>
    <s v="DP.2545"/>
    <s v="Rapid Response Fund for Humanitarian Emergencies in Sudan"/>
    <s v="MOVEMENT, EMERGENCY AND POST-CRISIS MIGRATION MANAGEMENT"/>
    <s v="Sudan"/>
    <n v="4500481640"/>
    <m/>
    <s v="Implementing Partner"/>
    <s v="LM International"/>
    <s v="Sudan"/>
    <n v="92726"/>
    <x v="0"/>
    <x v="1"/>
  </r>
  <r>
    <x v="5"/>
    <s v="DP.2627"/>
    <s v="Improving the living conditions of affected populations (IDPs and returnees) in the Central African Republic through multi-sectoral assistance"/>
    <s v="MOVEMENT, EMERGENCY AND POST-CRISIS MIGRATION MANAGEMENT"/>
    <s v="Central African Republic"/>
    <n v="4500464337"/>
    <m/>
    <s v="Implementing Partner"/>
    <s v="PERSON NEED RELIEF MISSION(PNRM)"/>
    <s v="Central African Republic"/>
    <n v="206701.77"/>
    <x v="0"/>
    <x v="1"/>
  </r>
  <r>
    <x v="5"/>
    <s v="DP.2627"/>
    <s v="Improving the living conditions of affected populations (IDPs and returnees) in the Central African Republic through multi-sectoral assistance"/>
    <s v="MOVEMENT, EMERGENCY AND POST-CRISIS MIGRATION MANAGEMENT"/>
    <s v="Central African Republic"/>
    <n v="4500464364"/>
    <m/>
    <s v="Implementing Partner"/>
    <s v="UTEFAJEDE"/>
    <s v="Central African Republic"/>
    <n v="206701.77"/>
    <x v="0"/>
    <x v="0"/>
  </r>
  <r>
    <x v="5"/>
    <s v="DP.2627"/>
    <s v="Improving the living conditions of affected populations (IDPs and returnees) in the Central African Republic through multi-sectoral assistance"/>
    <s v="MOVEMENT, EMERGENCY AND POST-CRISIS MIGRATION MANAGEMENT"/>
    <s v="Central African Republic"/>
    <n v="4500477699"/>
    <m/>
    <s v="Implementing Partner"/>
    <s v="Association des Femmes Evang. BOSSA"/>
    <s v="Central African Republic"/>
    <n v="31291.07"/>
    <x v="0"/>
    <x v="0"/>
  </r>
  <r>
    <x v="5"/>
    <s v="DP.2627"/>
    <s v="Improving the living conditions of affected populations (IDPs and returnees) in the Central African Republic through multi-sectoral assistance"/>
    <s v="MOVEMENT, EMERGENCY AND POST-CRISIS MIGRATION MANAGEMENT"/>
    <s v="Central African Republic"/>
    <n v="4500477716"/>
    <m/>
    <s v="Implementing Partner"/>
    <s v="ONG NDA"/>
    <s v="Central African Republic"/>
    <n v="8235.99"/>
    <x v="0"/>
    <x v="0"/>
  </r>
  <r>
    <x v="5"/>
    <s v="DP.2627"/>
    <s v="Improving the living conditions of affected populations (IDPs and returnees) in the Central African Republic through multi-sectoral assistance"/>
    <s v="MOVEMENT, EMERGENCY AND POST-CRISIS MIGRATION MANAGEMENT"/>
    <s v="Central African Republic"/>
    <n v="4500477723"/>
    <m/>
    <s v="Implementing Partner"/>
    <s v="Association des Femmes Evang. BOSSA"/>
    <s v="Central African Republic"/>
    <n v="30382.2"/>
    <x v="0"/>
    <x v="0"/>
  </r>
  <r>
    <x v="5"/>
    <s v="DP.2627"/>
    <s v="Improving the living conditions of affected populations (IDPs and returnees) in the Central African Republic through multi-sectoral assistance"/>
    <s v="MOVEMENT, EMERGENCY AND POST-CRISIS MIGRATION MANAGEMENT"/>
    <s v="Central African Republic"/>
    <n v="4500477733"/>
    <m/>
    <s v="Implementing Partner"/>
    <s v="Association des Femmes Evang. BOSSA"/>
    <s v="Central African Republic"/>
    <n v="26060.02"/>
    <x v="0"/>
    <x v="0"/>
  </r>
  <r>
    <x v="5"/>
    <s v="DP.2627"/>
    <s v="Improving the living conditions of affected populations (IDPs and returnees) in the Central African Republic through multi-sectoral assistance"/>
    <s v="MOVEMENT, EMERGENCY AND POST-CRISIS MIGRATION MANAGEMENT"/>
    <s v="Central African Republic"/>
    <n v="4500477737"/>
    <m/>
    <s v="Implementing Partner"/>
    <s v="ASSOCIATION LE SAMARITAIN"/>
    <s v="Central African Republic"/>
    <n v="19165.68"/>
    <x v="0"/>
    <x v="0"/>
  </r>
  <r>
    <x v="5"/>
    <s v="DP.2627"/>
    <s v="Improving the living conditions of affected populations (IDPs and returnees) in the Central African Republic through multi-sectoral assistance"/>
    <s v="MOVEMENT, EMERGENCY AND POST-CRISIS MIGRATION MANAGEMENT"/>
    <s v="Central African Republic"/>
    <n v="4500477743"/>
    <m/>
    <s v="Implementing Partner"/>
    <s v="COLLECTIF¨POUR LA PAIX EN CENTRAFRI"/>
    <s v="Central African Republic"/>
    <n v="16882.18"/>
    <x v="0"/>
    <x v="0"/>
  </r>
  <r>
    <x v="5"/>
    <s v="DP.2627"/>
    <s v="Improving the living conditions of affected populations (IDPs and returnees) in the Central African Republic through multi-sectoral assistance"/>
    <s v="MOVEMENT, EMERGENCY AND POST-CRISIS MIGRATION MANAGEMENT"/>
    <s v="Central African Republic"/>
    <n v="4500477745"/>
    <m/>
    <s v="Implementing Partner"/>
    <s v="COLLECTIF¨POUR LA PAIX EN CENTRAFRI"/>
    <s v="Central African Republic"/>
    <n v="26203.34"/>
    <x v="0"/>
    <x v="0"/>
  </r>
  <r>
    <x v="5"/>
    <s v="DP.2627"/>
    <s v="Improving the living conditions of affected populations (IDPs and returnees) in the Central African Republic through multi-sectoral assistance"/>
    <s v="MOVEMENT, EMERGENCY AND POST-CRISIS MIGRATION MANAGEMENT"/>
    <s v="Central African Republic"/>
    <n v="4500477749"/>
    <m/>
    <s v="Implementing Partner"/>
    <s v="FNOHD"/>
    <s v="Central African Republic"/>
    <n v="22405.83"/>
    <x v="0"/>
    <x v="0"/>
  </r>
  <r>
    <x v="5"/>
    <s v="DP.2627"/>
    <s v="Improving the living conditions of affected populations (IDPs and returnees) in the Central African Republic through multi-sectoral assistance"/>
    <s v="MOVEMENT, EMERGENCY AND POST-CRISIS MIGRATION MANAGEMENT"/>
    <s v="Central African Republic"/>
    <n v="4500477756"/>
    <m/>
    <s v="Implementing Partner"/>
    <s v="CADRE D'APPUI SPIRIT. AUT. LOCALES"/>
    <s v="Central African Republic"/>
    <n v="21383.73"/>
    <x v="0"/>
    <x v="0"/>
  </r>
  <r>
    <x v="5"/>
    <s v="DP.2627"/>
    <s v="Improving the living conditions of affected populations (IDPs and returnees) in the Central African Republic through multi-sectoral assistance"/>
    <s v="MOVEMENT, EMERGENCY AND POST-CRISIS MIGRATION MANAGEMENT"/>
    <s v="Central African Republic"/>
    <n v="4500477840"/>
    <m/>
    <s v="Implementing Partner"/>
    <s v="ONG ESPERANCE"/>
    <s v="Central African Republic"/>
    <n v="25786.240000000002"/>
    <x v="0"/>
    <x v="0"/>
  </r>
  <r>
    <x v="5"/>
    <s v="DP.2627"/>
    <s v="Improving the living conditions of affected populations (IDPs and returnees) in the Central African Republic through multi-sectoral assistance"/>
    <s v="MOVEMENT, EMERGENCY AND POST-CRISIS MIGRATION MANAGEMENT"/>
    <s v="Central African Republic"/>
    <n v="4500477846"/>
    <m/>
    <s v="Implementing Partner"/>
    <s v="JUPEDEC"/>
    <s v="Central African Republic"/>
    <n v="24831.32"/>
    <x v="0"/>
    <x v="0"/>
  </r>
  <r>
    <x v="5"/>
    <s v="DP.2627"/>
    <s v="Improving the living conditions of affected populations (IDPs and returnees) in the Central African Republic through multi-sectoral assistance"/>
    <s v="MOVEMENT, EMERGENCY AND POST-CRISIS MIGRATION MANAGEMENT"/>
    <s v="Central African Republic"/>
    <n v="4500477858"/>
    <m/>
    <s v="Implementing Partner"/>
    <s v="COLLECTIF¨POUR LA PAIX EN CENTRAFRI"/>
    <s v="Central African Republic"/>
    <n v="41842.120000000003"/>
    <x v="0"/>
    <x v="0"/>
  </r>
  <r>
    <x v="5"/>
    <s v="DP.2627"/>
    <s v="Improving the living conditions of affected populations (IDPs and returnees) in the Central African Republic through multi-sectoral assistance"/>
    <s v="MOVEMENT, EMERGENCY AND POST-CRISIS MIGRATION MANAGEMENT"/>
    <s v="Central African Republic"/>
    <n v="4500477864"/>
    <m/>
    <s v="Implementing Partner"/>
    <s v="FNOHD"/>
    <s v="Central African Republic"/>
    <n v="27194.3"/>
    <x v="0"/>
    <x v="0"/>
  </r>
  <r>
    <x v="5"/>
    <s v="DP.2627"/>
    <s v="Improving the living conditions of affected populations (IDPs and returnees) in the Central African Republic through multi-sectoral assistance"/>
    <s v="MOVEMENT, EMERGENCY AND POST-CRISIS MIGRATION MANAGEMENT"/>
    <s v="Central African Republic"/>
    <n v="4500477868"/>
    <m/>
    <s v="Implementing Partner"/>
    <s v="AFRICAN RELIEF SERVICE 2"/>
    <s v="Central African Republic"/>
    <n v="57143.8"/>
    <x v="0"/>
    <x v="1"/>
  </r>
  <r>
    <x v="5"/>
    <s v="DP.2627"/>
    <s v="Improving the living conditions of affected populations (IDPs and returnees) in the Central African Republic through multi-sectoral assistance"/>
    <s v="MOVEMENT, EMERGENCY AND POST-CRISIS MIGRATION MANAGEMENT"/>
    <s v="Central African Republic"/>
    <n v="4500480428"/>
    <m/>
    <s v="Implementing Partner"/>
    <s v="FNOHD"/>
    <s v="Central African Republic"/>
    <n v="22982.76"/>
    <x v="0"/>
    <x v="0"/>
  </r>
  <r>
    <x v="5"/>
    <s v="DP.2627"/>
    <s v="Improving the living conditions of affected populations (IDPs and returnees) in the Central African Republic through multi-sectoral assistance"/>
    <s v="MOVEMENT, EMERGENCY AND POST-CRISIS MIGRATION MANAGEMENT"/>
    <s v="Central African Republic"/>
    <n v="4500480430"/>
    <m/>
    <s v="Implementing Partner"/>
    <s v="COLLECTIF¨POUR LA PAIX EN CENTRAFRI"/>
    <s v="Central African Republic"/>
    <n v="22982.76"/>
    <x v="0"/>
    <x v="0"/>
  </r>
  <r>
    <x v="5"/>
    <s v="DP.2632"/>
    <s v="Life-Saving Assistance to Earthquake-Affected Households in Northwest Syria"/>
    <s v="MOVEMENT, EMERGENCY AND POST-CRISIS MIGRATION MANAGEMENT"/>
    <s v="Turkey"/>
    <n v="4500456641"/>
    <m/>
    <s v="Implementing Partner"/>
    <s v="MUZUN FOR HUMANITARIAN DEVELOPMENT"/>
    <s v="Turkey"/>
    <n v="31367.26"/>
    <x v="0"/>
    <x v="0"/>
  </r>
  <r>
    <x v="5"/>
    <s v="DP.2632"/>
    <s v="Life-Saving Assistance to Earthquake-Affected Households in Northwest Syria"/>
    <s v="MOVEMENT, EMERGENCY AND POST-CRISIS MIGRATION MANAGEMENT"/>
    <s v="Turkey"/>
    <n v="4500479389"/>
    <m/>
    <s v="Implementing Partner"/>
    <s v="ULUSLARARASI INSANI YARDIMLASMA DER"/>
    <s v="Turkey"/>
    <n v="1270495.2"/>
    <x v="0"/>
    <x v="0"/>
  </r>
  <r>
    <x v="5"/>
    <s v="DP.2632"/>
    <s v="Life-Saving Assistance to Earthquake-Affected Households in Northwest Syria"/>
    <s v="MOVEMENT, EMERGENCY AND POST-CRISIS MIGRATION MANAGEMENT"/>
    <s v="Turkey"/>
    <n v="4500480827"/>
    <m/>
    <s v="Implementing Partner"/>
    <s v="MUZUN FOR HUMANITARIAN DEVELOPMENT"/>
    <s v="Turkey"/>
    <n v="6378.5"/>
    <x v="0"/>
    <x v="0"/>
  </r>
  <r>
    <x v="5"/>
    <s v="DP.2655"/>
    <s v="Provision of Protection Assistance and Improved Access to Essential Services for Internally Displaced People (IDPs) in Informal Settlements in Iraq"/>
    <s v="MOVEMENT, EMERGENCY AND POST-CRISIS MIGRATION MANAGEMENT"/>
    <s v="Iraq"/>
    <n v="4500462153"/>
    <m/>
    <s v="Implementing Partner"/>
    <s v="Sorouh for Sustainable Development"/>
    <s v="Iraq"/>
    <n v="57000"/>
    <x v="0"/>
    <x v="0"/>
  </r>
  <r>
    <x v="5"/>
    <s v="DP.2681"/>
    <s v="Rapid Response Fund for Sudden Emergencies in Northeast Nigeria"/>
    <s v="MOVEMENT, EMERGENCY AND POST-CRISIS MIGRATION MANAGEMENT"/>
    <s v="Nigeria"/>
    <n v="4500455317"/>
    <m/>
    <s v="Implementing Partner"/>
    <s v="CARE AID SUPPORT INITIATIVE"/>
    <s v="Nigeria"/>
    <n v="277422.69"/>
    <x v="0"/>
    <x v="0"/>
  </r>
  <r>
    <x v="5"/>
    <s v="DP.2681"/>
    <s v="Rapid Response Fund for Sudden Emergencies in Northeast Nigeria"/>
    <s v="MOVEMENT, EMERGENCY AND POST-CRISIS MIGRATION MANAGEMENT"/>
    <s v="Nigeria"/>
    <n v="4500455319"/>
    <m/>
    <s v="Implementing Partner"/>
    <s v="SALIENT HUMANITARIAN ORGANIZATION"/>
    <s v="Nigeria"/>
    <n v="156982.16"/>
    <x v="0"/>
    <x v="3"/>
  </r>
  <r>
    <x v="5"/>
    <s v="DP.2681"/>
    <s v="Rapid Response Fund for Sudden Emergencies in Northeast Nigeria"/>
    <s v="MOVEMENT, EMERGENCY AND POST-CRISIS MIGRATION MANAGEMENT"/>
    <s v="Nigeria"/>
    <n v="4500459912"/>
    <m/>
    <s v="Implementing Partner"/>
    <s v="Grassroots Lifesaving Outreach"/>
    <s v="Niger"/>
    <n v="154184.75"/>
    <x v="0"/>
    <x v="0"/>
  </r>
  <r>
    <x v="5"/>
    <s v="DP.2681"/>
    <s v="Rapid Response Fund for Sudden Emergencies in Northeast Nigeria"/>
    <s v="MOVEMENT, EMERGENCY AND POST-CRISIS MIGRATION MANAGEMENT"/>
    <s v="Nigeria"/>
    <n v="4500460266"/>
    <m/>
    <s v="Implementing Partner"/>
    <s v="CENTER FOR ADV ,TRAN and ACC INT"/>
    <s v="Nigeria"/>
    <n v="270558.86"/>
    <x v="0"/>
    <x v="0"/>
  </r>
  <r>
    <x v="5"/>
    <s v="DP.2681"/>
    <s v="Rapid Response Fund for Sudden Emergencies in Northeast Nigeria"/>
    <s v="MOVEMENT, EMERGENCY AND POST-CRISIS MIGRATION MANAGEMENT"/>
    <s v="Nigeria"/>
    <n v="4500460415"/>
    <m/>
    <s v="Implementing Partner"/>
    <s v="GHIV Africa"/>
    <s v="Nigeria"/>
    <n v="137232.57999999999"/>
    <x v="0"/>
    <x v="0"/>
  </r>
  <r>
    <x v="5"/>
    <s v="DP.2681"/>
    <s v="Rapid Response Fund for Sudden Emergencies in Northeast Nigeria"/>
    <s v="MOVEMENT, EMERGENCY AND POST-CRISIS MIGRATION MANAGEMENT"/>
    <s v="Nigeria"/>
    <n v="4500461159"/>
    <m/>
    <s v="Implementing Partner"/>
    <s v="WADATA RELIEF CARE INITIATIVE"/>
    <s v="Nigeria"/>
    <n v="261173.44"/>
    <x v="0"/>
    <x v="3"/>
  </r>
  <r>
    <x v="5"/>
    <s v="DP.2681"/>
    <s v="Rapid Response Fund for Sudden Emergencies in Northeast Nigeria"/>
    <s v="MOVEMENT, EMERGENCY AND POST-CRISIS MIGRATION MANAGEMENT"/>
    <s v="Nigeria"/>
    <n v="4500462590"/>
    <m/>
    <s v="Implementing Partner"/>
    <s v="Solidarites International"/>
    <s v="Nigeria"/>
    <n v="303648.71999999997"/>
    <x v="0"/>
    <x v="1"/>
  </r>
  <r>
    <x v="5"/>
    <s v="DP.2681"/>
    <s v="Rapid Response Fund for Sudden Emergencies in Northeast Nigeria"/>
    <s v="MOVEMENT, EMERGENCY AND POST-CRISIS MIGRATION MANAGEMENT"/>
    <s v="Nigeria"/>
    <n v="4500462819"/>
    <m/>
    <s v="Implementing Partner"/>
    <s v="Safer World Foundation"/>
    <s v="Nigeria"/>
    <n v="207460.84"/>
    <x v="0"/>
    <x v="1"/>
  </r>
  <r>
    <x v="5"/>
    <s v="DP.2681"/>
    <s v="Rapid Response Fund for Sudden Emergencies in Northeast Nigeria"/>
    <s v="MOVEMENT, EMERGENCY AND POST-CRISIS MIGRATION MANAGEMENT"/>
    <s v="Nigeria"/>
    <n v="4500462983"/>
    <m/>
    <s v="Implementing Partner"/>
    <s v="RELIEF RESCUE INITIATIVE RRI"/>
    <s v="Nigeria"/>
    <n v="285135.06"/>
    <x v="0"/>
    <x v="3"/>
  </r>
  <r>
    <x v="5"/>
    <s v="DP.2681"/>
    <s v="Rapid Response Fund for Sudden Emergencies in Northeast Nigeria"/>
    <s v="MOVEMENT, EMERGENCY AND POST-CRISIS MIGRATION MANAGEMENT"/>
    <s v="Nigeria"/>
    <n v="4500474516"/>
    <m/>
    <s v="Implementing Partner"/>
    <s v="Community Engagement and Social Dev"/>
    <s v="Nigeria"/>
    <n v="161669.94"/>
    <x v="0"/>
    <x v="0"/>
  </r>
  <r>
    <x v="5"/>
    <s v="DP.2681"/>
    <s v="Rapid Response Fund for Sudden Emergencies in Northeast Nigeria"/>
    <s v="MOVEMENT, EMERGENCY AND POST-CRISIS MIGRATION MANAGEMENT"/>
    <s v="Nigeria"/>
    <n v="4500474535"/>
    <m/>
    <s v="Implementing Partner"/>
    <s v="HOPE FOR STREET CHILDREN AND"/>
    <s v="Nigeria"/>
    <n v="126933.12"/>
    <x v="0"/>
    <x v="3"/>
  </r>
  <r>
    <x v="5"/>
    <s v="DP.2714"/>
    <s v="Improving Living Conditions of Conflict and Disaster Affected Populations in Somalia"/>
    <s v="MOVEMENT, EMERGENCY AND POST-CRISIS MIGRATION MANAGEMENT"/>
    <s v="Somalia"/>
    <n v="4500472898"/>
    <m/>
    <s v="Implementing Partner"/>
    <s v="Peace Hub Foundation"/>
    <s v="Somalia"/>
    <n v="120384.94"/>
    <x v="0"/>
    <x v="0"/>
  </r>
  <r>
    <x v="5"/>
    <s v="DP.2764"/>
    <s v="Strengthening Resilience of Afghan Nationals and Host Communities in Pakistan through Multi-sectoral Interventions"/>
    <s v="MOVEMENT, EMERGENCY AND POST-CRISIS MIGRATION MANAGEMENT"/>
    <s v="Pakistan"/>
    <n v="4500468271"/>
    <m/>
    <s v="Implementing Partner"/>
    <s v="Tameer e Khalaq Foundation"/>
    <s v="Pakistan"/>
    <n v="29856.35"/>
    <x v="0"/>
    <x v="0"/>
  </r>
  <r>
    <x v="5"/>
    <s v="DP.2764"/>
    <s v="Strengthening Resilience of Afghan Nationals and Host Communities in Pakistan through Multi-sectoral Interventions"/>
    <s v="MOVEMENT, EMERGENCY AND POST-CRISIS MIGRATION MANAGEMENT"/>
    <s v="Pakistan"/>
    <n v="4500470712"/>
    <m/>
    <s v="Implementing Partner"/>
    <s v="Islamic Relief"/>
    <s v="Pakistan"/>
    <n v="29884.29"/>
    <x v="0"/>
    <x v="1"/>
  </r>
  <r>
    <x v="5"/>
    <s v="DP.2773"/>
    <s v="Regional Migration Response Plan for the Horn of Africa and Yemen"/>
    <s v="MOVEMENT, EMERGENCY AND POST-CRISIS MIGRATION MANAGEMENT"/>
    <s v="Kenya"/>
    <n v="4500454829"/>
    <m/>
    <s v="Implementing Partner"/>
    <s v="DANISH REFUGEE COUNCIL"/>
    <s v="Kenya"/>
    <n v="36000"/>
    <x v="0"/>
    <x v="1"/>
  </r>
  <r>
    <x v="5"/>
    <s v="DP.2784"/>
    <s v="Addressing the Humanitarian and Protection Needs of Displaced Persons in Haiti through a Multisectoral Approach"/>
    <s v="MOVEMENT, EMERGENCY AND POST-CRISIS MIGRATION MANAGEMENT"/>
    <s v="Haiti"/>
    <n v="4500456750"/>
    <m/>
    <s v="Implementing Partner"/>
    <s v="CESVI"/>
    <s v="Afghanistan"/>
    <n v="40000"/>
    <x v="0"/>
    <x v="1"/>
  </r>
  <r>
    <x v="5"/>
    <s v="DP.2785"/>
    <s v="Supporting the Establishment of a Humanitarian Programme for Africa 2024"/>
    <s v="MOVEMENT, EMERGENCY AND POST-CRISIS MIGRATION MANAGEMENT"/>
    <s v="Djibouti"/>
    <n v="4500478748"/>
    <m/>
    <s v="Implementing Partner"/>
    <s v="CROISSANT ROUGE DE DJIBOUTI"/>
    <s v="Djibouti"/>
    <n v="16626"/>
    <x v="0"/>
    <x v="4"/>
  </r>
  <r>
    <x v="5"/>
    <s v="DP.2785"/>
    <s v="Supporting the Establishment of a Humanitarian Programme for Africa 2024"/>
    <s v="MOVEMENT, EMERGENCY AND POST-CRISIS MIGRATION MANAGEMENT"/>
    <s v="Sudan"/>
    <n v="4500467289"/>
    <m/>
    <s v="Implementing Partner"/>
    <s v="United Peace Organization"/>
    <s v="Sudan"/>
    <n v="89722"/>
    <x v="0"/>
    <x v="0"/>
  </r>
  <r>
    <x v="5"/>
    <s v="DP.2789"/>
    <s v="Addressing the Urgent Needs of Vulnerable Myanmar Nationals and Other Vulnerable Populations Affected by the Myanmar Crisis in Thailand"/>
    <s v="MOVEMENT, EMERGENCY AND POST-CRISIS MIGRATION MANAGEMENT"/>
    <s v="Thailand"/>
    <n v="4500469132"/>
    <m/>
    <s v="Implementing Partner"/>
    <s v="Help Without Frontiers"/>
    <s v="Thailand"/>
    <n v="49635.18"/>
    <x v="0"/>
    <x v="3"/>
  </r>
  <r>
    <x v="5"/>
    <s v="DP.2806"/>
    <s v="Enhanced Humanitarian Assistance and Social Cohesion and Resilience for Crisis-Affected Population"/>
    <s v="MOVEMENT, EMERGENCY AND POST-CRISIS MIGRATION MANAGEMENT"/>
    <s v="Niger"/>
    <n v="4500457150"/>
    <m/>
    <s v="Implementing Partner"/>
    <s v="MINISTER DE L INTERIEUR"/>
    <s v="Niger"/>
    <n v="40524.06"/>
    <x v="0"/>
    <x v="9"/>
  </r>
  <r>
    <x v="5"/>
    <s v="DP.2806"/>
    <s v="Enhanced Humanitarian Assistance and Social Cohesion and Resilience for Crisis-Affected Population"/>
    <s v="MOVEMENT, EMERGENCY AND POST-CRISIS MIGRATION MANAGEMENT"/>
    <s v="Niger"/>
    <n v="4500458863"/>
    <m/>
    <s v="Implementing Partner"/>
    <s v="ONG DEDI"/>
    <s v="Niger"/>
    <n v="233205.65"/>
    <x v="0"/>
    <x v="0"/>
  </r>
  <r>
    <x v="5"/>
    <s v="DP.2809"/>
    <s v="The Project for the Improvement of Camps for Displaced Persons from Myanmar and Host Communities in Cox’s Bazar District"/>
    <s v="MOVEMENT, EMERGENCY AND POST-CRISIS MIGRATION MANAGEMENT"/>
    <s v="Bangladesh"/>
    <n v="4500476567"/>
    <m/>
    <s v="Implementing Partner"/>
    <s v="NGO FORUM FOR PUBLIC HEALTH"/>
    <s v="Bangladesh"/>
    <n v="86685.79"/>
    <x v="0"/>
    <x v="0"/>
  </r>
  <r>
    <x v="5"/>
    <s v="DP.2811"/>
    <s v="Supporting Humanitarian Assistance in Afghanistan Programme"/>
    <s v="MOVEMENT, EMERGENCY AND POST-CRISIS MIGRATION MANAGEMENT"/>
    <s v="Afghanistan"/>
    <n v="4500479851"/>
    <m/>
    <s v="Implementing Partner"/>
    <s v="Norwegian Refugee Council NRC"/>
    <s v="Afghanistan"/>
    <n v="632111.25"/>
    <x v="0"/>
    <x v="1"/>
  </r>
  <r>
    <x v="5"/>
    <s v="DP.2816"/>
    <s v="Bangladesh Appeal 2024 – Rohingya Humanitarian Crisis."/>
    <s v="MOVEMENT, EMERGENCY AND POST-CRISIS MIGRATION MANAGEMENT"/>
    <s v="Bangladesh"/>
    <n v="4500459736"/>
    <m/>
    <s v="Implementing Partner"/>
    <s v="PROTTYASHI"/>
    <s v="Bangladesh"/>
    <n v="200939.09"/>
    <x v="0"/>
    <x v="3"/>
  </r>
  <r>
    <x v="5"/>
    <s v="DP.2816"/>
    <s v="Bangladesh Appeal 2024 – Rohingya Humanitarian Crisis."/>
    <s v="MOVEMENT, EMERGENCY AND POST-CRISIS MIGRATION MANAGEMENT"/>
    <s v="Bangladesh"/>
    <n v="4500463551"/>
    <m/>
    <s v="Implementing Partner"/>
    <s v="NGO FORUM FOR PUBLIC HEALTH"/>
    <s v="Bangladesh"/>
    <n v="72525.210000000006"/>
    <x v="0"/>
    <x v="0"/>
  </r>
  <r>
    <x v="5"/>
    <s v="DP.2816"/>
    <s v="Bangladesh Appeal 2024 – Rohingya Humanitarian Crisis."/>
    <s v="MOVEMENT, EMERGENCY AND POST-CRISIS MIGRATION MANAGEMENT"/>
    <s v="Bangladesh"/>
    <n v="4500465445"/>
    <m/>
    <s v="Implementing Partner"/>
    <s v="Danish Refugee Council(DRC)"/>
    <s v="Denmark"/>
    <n v="129890.75"/>
    <x v="0"/>
    <x v="1"/>
  </r>
  <r>
    <x v="5"/>
    <s v="DP.2816"/>
    <s v="Bangladesh Appeal 2024 – Rohingya Humanitarian Crisis."/>
    <s v="MOVEMENT, EMERGENCY AND POST-CRISIS MIGRATION MANAGEMENT"/>
    <s v="Bangladesh"/>
    <n v="4500465452"/>
    <m/>
    <s v="Implementing Partner"/>
    <s v="BNWLA"/>
    <s v="Bangladesh"/>
    <n v="29853"/>
    <x v="0"/>
    <x v="0"/>
  </r>
  <r>
    <x v="5"/>
    <s v="DP.2816"/>
    <s v="Bangladesh Appeal 2024 – Rohingya Humanitarian Crisis."/>
    <s v="MOVEMENT, EMERGENCY AND POST-CRISIS MIGRATION MANAGEMENT"/>
    <s v="Bangladesh"/>
    <n v="4500466244"/>
    <m/>
    <s v="Implementing Partner"/>
    <s v="NOWZUWAN"/>
    <s v="Bangladesh"/>
    <n v="42751.26"/>
    <x v="0"/>
    <x v="0"/>
  </r>
  <r>
    <x v="5"/>
    <s v="DP.2816"/>
    <s v="Bangladesh Appeal 2024 – Rohingya Humanitarian Crisis."/>
    <s v="MOVEMENT, EMERGENCY AND POST-CRISIS MIGRATION MANAGEMENT"/>
    <s v="Bangladesh"/>
    <n v="4500478154"/>
    <m/>
    <s v="Implementing Partner"/>
    <s v="Danish Refugee Council(DRC)"/>
    <s v="Denmark"/>
    <n v="195000.01"/>
    <x v="0"/>
    <x v="1"/>
  </r>
  <r>
    <x v="5"/>
    <s v="DP.2816"/>
    <s v="Bangladesh Appeal 2024 – Rohingya Humanitarian Crisis."/>
    <s v="MOVEMENT, EMERGENCY AND POST-CRISIS MIGRATION MANAGEMENT"/>
    <s v="Bangladesh"/>
    <n v="4500481927"/>
    <m/>
    <s v="Implementing Partner"/>
    <s v="DSK"/>
    <s v="Bangladesh"/>
    <n v="72225"/>
    <x v="0"/>
    <x v="0"/>
  </r>
  <r>
    <x v="5"/>
    <s v="DP.2816"/>
    <s v="Bangladesh Appeal 2024 – Rohingya Humanitarian Crisis."/>
    <s v="MOVEMENT, EMERGENCY AND POST-CRISIS MIGRATION MANAGEMENT"/>
    <s v="Bangladesh"/>
    <n v="4500480675"/>
    <m/>
    <s v="Implementing Partner"/>
    <s v="NGO FORUM FOR PUBLIC HEALTH"/>
    <s v="Bangladesh"/>
    <n v="129000"/>
    <x v="0"/>
    <x v="0"/>
  </r>
  <r>
    <x v="5"/>
    <s v="DP.2816"/>
    <s v="Bangladesh Appeal 2024 – Rohingya Humanitarian Crisis."/>
    <s v="MOVEMENT, EMERGENCY AND POST-CRISIS MIGRATION MANAGEMENT"/>
    <s v="Bangladesh"/>
    <n v="4500481930"/>
    <m/>
    <s v="Implementing Partner"/>
    <s v="BNWLA"/>
    <s v="Bangladesh"/>
    <n v="45000.24"/>
    <x v="0"/>
    <x v="0"/>
  </r>
  <r>
    <x v="5"/>
    <s v="DP.2820"/>
    <s v="Rohingya Response and National Resilience Programme (RRNRP)"/>
    <s v="MOVEMENT, EMERGENCY AND POST-CRISIS MIGRATION MANAGEMENT"/>
    <s v="Bangladesh"/>
    <n v="4500479454"/>
    <m/>
    <s v="Implementing Partner"/>
    <s v="Danish Refugee Council(DRC)"/>
    <s v="Denmark"/>
    <n v="22128"/>
    <x v="0"/>
    <x v="1"/>
  </r>
  <r>
    <x v="5"/>
    <s v="DP.2822"/>
    <s v="Improving the living conditions of affected populations (IDPs and returnees) in the Central African Republic through multi-sectoral assistance"/>
    <s v="MOVEMENT, EMERGENCY AND POST-CRISIS MIGRATION MANAGEMENT"/>
    <s v="Central African Republic"/>
    <n v="4500477716"/>
    <m/>
    <s v="Implementing Partner"/>
    <s v="ONG NDA"/>
    <s v="Central African Republic"/>
    <n v="6213.11"/>
    <x v="0"/>
    <x v="0"/>
  </r>
  <r>
    <x v="5"/>
    <s v="DP.2822"/>
    <s v="Improving the living conditions of affected populations (IDPs and returnees) in the Central African Republic through multi-sectoral assistance"/>
    <s v="MOVEMENT, EMERGENCY AND POST-CRISIS MIGRATION MANAGEMENT"/>
    <s v="Central African Republic"/>
    <n v="4500477756"/>
    <m/>
    <s v="Implementing Partner"/>
    <s v="CADRE D'APPUI SPIRIT. AUT. LOCALES"/>
    <s v="Central African Republic"/>
    <n v="16131.57"/>
    <x v="0"/>
    <x v="0"/>
  </r>
  <r>
    <x v="5"/>
    <s v="DP.2824"/>
    <s v="Assistance with Emergency Shelter and Household Items and Site Management for Displaced Populations in North Kivu"/>
    <s v="MOVEMENT, EMERGENCY AND POST-CRISIS MIGRATION MANAGEMENT"/>
    <s v="Democratic Republic of the Congo"/>
    <n v="4500471461"/>
    <m/>
    <s v="Implementing Partner"/>
    <s v="RESEAU DES FEMMES ENTREPREUNEURES"/>
    <s v="Democratic Republic of the Congo"/>
    <n v="135000"/>
    <x v="0"/>
    <x v="0"/>
  </r>
  <r>
    <x v="5"/>
    <s v="DP.2828"/>
    <s v="Regional Refugee and Migrant Response Plan (RMRP) for the Venezuela Situation 2024"/>
    <s v="MOVEMENT, EMERGENCY AND POST-CRISIS MIGRATION MANAGEMENT"/>
    <s v="Argentina"/>
    <n v="4500460438"/>
    <m/>
    <s v="Implementing Partner"/>
    <s v="FUSA PARA LA SALUD INTEG AC"/>
    <s v="Argentina"/>
    <n v="8420.5400000000009"/>
    <x v="0"/>
    <x v="0"/>
  </r>
  <r>
    <x v="5"/>
    <s v="DP.2828"/>
    <s v="Regional Refugee and Migrant Response Plan (RMRP) for the Venezuela Situation 2024"/>
    <s v="MOVEMENT, EMERGENCY AND POST-CRISIS MIGRATION MANAGEMENT"/>
    <s v="Aruba (Kingdom of the Netherlands)"/>
    <n v="4500463267"/>
    <m/>
    <s v="Implementing Partner"/>
    <s v="Fundacion Venearuba Solidaria"/>
    <s v="Aruba (Kingdom of the Netherlands)"/>
    <n v="85643"/>
    <x v="0"/>
    <x v="0"/>
  </r>
  <r>
    <x v="5"/>
    <s v="DP.2828"/>
    <s v="Regional Refugee and Migrant Response Plan (RMRP) for the Venezuela Situation 2024"/>
    <s v="MOVEMENT, EMERGENCY AND POST-CRISIS MIGRATION MANAGEMENT"/>
    <s v="Chile"/>
    <n v="4500458577"/>
    <m/>
    <s v="Implementing Partner"/>
    <s v="Instituto Catolico de Migrantes"/>
    <s v="Chile"/>
    <n v="106487.9"/>
    <x v="0"/>
    <x v="0"/>
  </r>
  <r>
    <x v="5"/>
    <s v="DP.2828"/>
    <s v="Regional Refugee and Migrant Response Plan (RMRP) for the Venezuela Situation 2024"/>
    <s v="MOVEMENT, EMERGENCY AND POST-CRISIS MIGRATION MANAGEMENT"/>
    <s v="Chile"/>
    <n v="4500467118"/>
    <m/>
    <s v="Implementing Partner"/>
    <s v="Fundacion Infocap Jovenes"/>
    <s v="Chile"/>
    <n v="82598.66"/>
    <x v="0"/>
    <x v="0"/>
  </r>
  <r>
    <x v="5"/>
    <s v="DP.2828"/>
    <s v="Regional Refugee and Migrant Response Plan (RMRP) for the Venezuela Situation 2024"/>
    <s v="MOVEMENT, EMERGENCY AND POST-CRISIS MIGRATION MANAGEMENT"/>
    <s v="Chile"/>
    <n v="4500467576"/>
    <m/>
    <s v="Implementing Partner"/>
    <s v="Fundacion Infocap Jovenes"/>
    <s v="Chile"/>
    <n v="177248.33"/>
    <x v="0"/>
    <x v="0"/>
  </r>
  <r>
    <x v="5"/>
    <s v="DP.2828"/>
    <s v="Regional Refugee and Migrant Response Plan (RMRP) for the Venezuela Situation 2024"/>
    <s v="MOVEMENT, EMERGENCY AND POST-CRISIS MIGRATION MANAGEMENT"/>
    <s v="Chile"/>
    <n v="4500474666"/>
    <m/>
    <s v="Implementing Partner"/>
    <s v="Universidad de Chile"/>
    <s v="Chile"/>
    <n v="33915.730000000003"/>
    <x v="0"/>
    <x v="2"/>
  </r>
  <r>
    <x v="5"/>
    <s v="DP.2828"/>
    <s v="Regional Refugee and Migrant Response Plan (RMRP) for the Venezuela Situation 2024"/>
    <s v="MOVEMENT, EMERGENCY AND POST-CRISIS MIGRATION MANAGEMENT"/>
    <s v="Ecuador"/>
    <n v="4500455337"/>
    <m/>
    <s v="Implementing Partner"/>
    <s v="HIAS-EC"/>
    <s v="Ecuador"/>
    <n v="135100"/>
    <x v="0"/>
    <x v="1"/>
  </r>
  <r>
    <x v="5"/>
    <s v="DP.2828"/>
    <s v="Regional Refugee and Migrant Response Plan (RMRP) for the Venezuela Situation 2024"/>
    <s v="MOVEMENT, EMERGENCY AND POST-CRISIS MIGRATION MANAGEMENT"/>
    <s v="Ecuador"/>
    <n v="4500456810"/>
    <m/>
    <s v="Implementing Partner"/>
    <s v="FUNDACION DIALOGO DIVERSO"/>
    <s v="Ecuador"/>
    <n v="135900"/>
    <x v="0"/>
    <x v="0"/>
  </r>
  <r>
    <x v="5"/>
    <s v="DP.2828"/>
    <s v="Regional Refugee and Migrant Response Plan (RMRP) for the Venezuela Situation 2024"/>
    <s v="MOVEMENT, EMERGENCY AND POST-CRISIS MIGRATION MANAGEMENT"/>
    <s v="Ecuador"/>
    <n v="4500457886"/>
    <m/>
    <s v="Implementing Partner"/>
    <s v="ASOCIACION MUJER Y MUJER COLECTIVO"/>
    <s v="Ecuador"/>
    <n v="66166"/>
    <x v="0"/>
    <x v="0"/>
  </r>
  <r>
    <x v="5"/>
    <s v="DP.2828"/>
    <s v="Regional Refugee and Migrant Response Plan (RMRP) for the Venezuela Situation 2024"/>
    <s v="MOVEMENT, EMERGENCY AND POST-CRISIS MIGRATION MANAGEMENT"/>
    <s v="Ecuador"/>
    <n v="4500477556"/>
    <m/>
    <s v="Implementing Partner"/>
    <s v="Coopi-Cooperazione Internazionale"/>
    <s v="Ecuador"/>
    <n v="50000"/>
    <x v="0"/>
    <x v="1"/>
  </r>
  <r>
    <x v="5"/>
    <s v="DP.2828"/>
    <s v="Regional Refugee and Migrant Response Plan (RMRP) for the Venezuela Situation 2024"/>
    <s v="MOVEMENT, EMERGENCY AND POST-CRISIS MIGRATION MANAGEMENT"/>
    <s v="Peru"/>
    <n v="4500457488"/>
    <m/>
    <s v="Implementing Partner"/>
    <s v="HIAS PERU"/>
    <s v="Peru"/>
    <n v="176290.08"/>
    <x v="0"/>
    <x v="1"/>
  </r>
  <r>
    <x v="5"/>
    <s v="DP.2828"/>
    <s v="Regional Refugee and Migrant Response Plan (RMRP) for the Venezuela Situation 2024"/>
    <s v="MOVEMENT, EMERGENCY AND POST-CRISIS MIGRATION MANAGEMENT"/>
    <s v="Peru"/>
    <n v="4500465770"/>
    <m/>
    <s v="Implementing Partner"/>
    <s v="ANGELES DEL CAMINO"/>
    <s v="Peru"/>
    <n v="17963.14"/>
    <x v="0"/>
    <x v="0"/>
  </r>
  <r>
    <x v="5"/>
    <s v="DP.2828"/>
    <s v="Regional Refugee and Migrant Response Plan (RMRP) for the Venezuela Situation 2024"/>
    <s v="MOVEMENT, EMERGENCY AND POST-CRISIS MIGRATION MANAGEMENT"/>
    <s v="Peru"/>
    <n v="4500471051"/>
    <m/>
    <s v="Implementing Partner"/>
    <s v="Superintendencia Nac. de Migracione"/>
    <s v="Peru"/>
    <n v="29936.47"/>
    <x v="0"/>
    <x v="9"/>
  </r>
  <r>
    <x v="5"/>
    <s v="DP.2828"/>
    <s v="Regional Refugee and Migrant Response Plan (RMRP) for the Venezuela Situation 2024"/>
    <s v="MOVEMENT, EMERGENCY AND POST-CRISIS MIGRATION MANAGEMENT"/>
    <s v="Peru"/>
    <n v="4500473072"/>
    <m/>
    <s v="Implementing Partner"/>
    <s v="ASOCIACION BENEFICA PRISMA"/>
    <s v="Peru"/>
    <n v="12365.62"/>
    <x v="0"/>
    <x v="0"/>
  </r>
  <r>
    <x v="5"/>
    <s v="DP.2828"/>
    <s v="Regional Refugee and Migrant Response Plan (RMRP) for the Venezuela Situation 2024"/>
    <s v="MOVEMENT, EMERGENCY AND POST-CRISIS MIGRATION MANAGEMENT"/>
    <s v="Peru"/>
    <n v="4500475491"/>
    <m/>
    <s v="Implementing Partner"/>
    <s v="Superintendencia Nac. de Migracione"/>
    <s v="Peru"/>
    <n v="49882.92"/>
    <x v="0"/>
    <x v="9"/>
  </r>
  <r>
    <x v="5"/>
    <s v="DP.2828"/>
    <s v="Regional Refugee and Migrant Response Plan (RMRP) for the Venezuela Situation 2024"/>
    <s v="MOVEMENT, EMERGENCY AND POST-CRISIS MIGRATION MANAGEMENT"/>
    <s v="Peru"/>
    <n v="4500476248"/>
    <m/>
    <s v="Implementing Partner"/>
    <s v="Encuen.Servicio Jesuita de la Solid"/>
    <s v="Peru"/>
    <n v="23122.41"/>
    <x v="0"/>
    <x v="0"/>
  </r>
  <r>
    <x v="5"/>
    <s v="DP.2828"/>
    <s v="Regional Refugee and Migrant Response Plan (RMRP) for the Venezuela Situation 2024"/>
    <s v="MOVEMENT, EMERGENCY AND POST-CRISIS MIGRATION MANAGEMENT"/>
    <s v="Peru"/>
    <n v="4500476829"/>
    <m/>
    <s v="Implementing Partner"/>
    <s v="CESAL"/>
    <s v="Peru"/>
    <n v="26000"/>
    <x v="0"/>
    <x v="1"/>
  </r>
  <r>
    <x v="5"/>
    <s v="DP.2828"/>
    <s v="Regional Refugee and Migrant Response Plan (RMRP) for the Venezuela Situation 2024"/>
    <s v="MOVEMENT, EMERGENCY AND POST-CRISIS MIGRATION MANAGEMENT"/>
    <s v="Peru"/>
    <n v="4500476878"/>
    <m/>
    <s v="Implementing Partner"/>
    <s v="HIAS PERU"/>
    <s v="Peru"/>
    <n v="63539.93"/>
    <x v="0"/>
    <x v="1"/>
  </r>
  <r>
    <x v="5"/>
    <s v="DP.2828"/>
    <s v="Regional Refugee and Migrant Response Plan (RMRP) for the Venezuela Situation 2024"/>
    <s v="MOVEMENT, EMERGENCY AND POST-CRISIS MIGRATION MANAGEMENT"/>
    <s v="Peru"/>
    <n v="4500477459"/>
    <m/>
    <s v="Implementing Partner"/>
    <s v="Superintendencia Nac. de Migracione"/>
    <s v="Peru"/>
    <n v="256575.57"/>
    <x v="0"/>
    <x v="9"/>
  </r>
  <r>
    <x v="5"/>
    <s v="DP.2828"/>
    <s v="Regional Refugee and Migrant Response Plan (RMRP) for the Venezuela Situation 2024"/>
    <s v="MOVEMENT, EMERGENCY AND POST-CRISIS MIGRATION MANAGEMENT"/>
    <s v="Peru"/>
    <n v="4500478879"/>
    <m/>
    <s v="Implementing Partner"/>
    <s v="Asociacion Caritas Madre de Dios"/>
    <s v="Peru"/>
    <n v="48807.87"/>
    <x v="0"/>
    <x v="6"/>
  </r>
  <r>
    <x v="5"/>
    <s v="DP.2828"/>
    <s v="Regional Refugee and Migrant Response Plan (RMRP) for the Venezuela Situation 2024"/>
    <s v="MOVEMENT, EMERGENCY AND POST-CRISIS MIGRATION MANAGEMENT"/>
    <s v="Peru"/>
    <n v="4500481426"/>
    <m/>
    <s v="Implementing Partner"/>
    <s v="ASOCIACION BENEFICA PRISMA"/>
    <s v="Peru"/>
    <n v="24833.81"/>
    <x v="0"/>
    <x v="0"/>
  </r>
  <r>
    <x v="5"/>
    <s v="DP.2828"/>
    <s v="Regional Refugee and Migrant Response Plan (RMRP) for the Venezuela Situation 2024"/>
    <s v="MOVEMENT, EMERGENCY AND POST-CRISIS MIGRATION MANAGEMENT"/>
    <s v="Peru"/>
    <n v="4500482021"/>
    <m/>
    <s v="Implementing Partner"/>
    <s v="ANGELES DEL CAMINO"/>
    <s v="Peru"/>
    <n v="25062"/>
    <x v="0"/>
    <x v="0"/>
  </r>
  <r>
    <x v="5"/>
    <s v="DP.2828"/>
    <s v="Regional Refugee and Migrant Response Plan (RMRP) for the Venezuela Situation 2024"/>
    <s v="MOVEMENT, EMERGENCY AND POST-CRISIS MIGRATION MANAGEMENT"/>
    <s v="Peru"/>
    <n v="4500482039"/>
    <m/>
    <s v="Implementing Partner"/>
    <s v="PAN AMERICAN DEVELOPMENT FOUNDATION"/>
    <s v="Peru"/>
    <n v="51468.87"/>
    <x v="0"/>
    <x v="1"/>
  </r>
  <r>
    <x v="5"/>
    <s v="DP.2828"/>
    <s v="Regional Refugee and Migrant Response Plan (RMRP) for the Venezuela Situation 2024"/>
    <s v="MOVEMENT, EMERGENCY AND POST-CRISIS MIGRATION MANAGEMENT"/>
    <s v="Trinidad and Tobago"/>
    <n v="4500465698"/>
    <m/>
    <s v="Implementing Partner"/>
    <s v="Women Owned Media and Education Net"/>
    <s v="Trinidad and Tobago"/>
    <n v="25000"/>
    <x v="0"/>
    <x v="0"/>
  </r>
  <r>
    <x v="5"/>
    <s v="DP.2828"/>
    <s v="Regional Refugee and Migrant Response Plan (RMRP) for the Venezuela Situation 2024"/>
    <s v="MOVEMENT, EMERGENCY AND POST-CRISIS MIGRATION MANAGEMENT"/>
    <s v="Trinidad and Tobago"/>
    <n v="4500465703"/>
    <m/>
    <s v="Implementing Partner"/>
    <s v="Chosen Hands"/>
    <s v="Trinidad and Tobago"/>
    <n v="25000"/>
    <x v="0"/>
    <x v="0"/>
  </r>
  <r>
    <x v="5"/>
    <s v="DP.2828"/>
    <s v="Regional Refugee and Migrant Response Plan (RMRP) for the Venezuela Situation 2024"/>
    <s v="MOVEMENT, EMERGENCY AND POST-CRISIS MIGRATION MANAGEMENT"/>
    <s v="Trinidad and Tobago"/>
    <n v="4500465706"/>
    <m/>
    <s v="Implementing Partner"/>
    <s v="Families In Action"/>
    <s v="Trinidad and Tobago"/>
    <n v="25000"/>
    <x v="0"/>
    <x v="0"/>
  </r>
  <r>
    <x v="5"/>
    <s v="DP.2828"/>
    <s v="Regional Refugee and Migrant Response Plan (RMRP) for the Venezuela Situation 2024"/>
    <s v="MOVEMENT, EMERGENCY AND POST-CRISIS MIGRATION MANAGEMENT"/>
    <s v="Trinidad and Tobago"/>
    <n v="4500471016"/>
    <m/>
    <s v="Implementing Partner"/>
    <s v="ASSOCIATION OF FEMALE EXECUTIVES OF"/>
    <s v="Trinidad and Tobago"/>
    <n v="25000"/>
    <x v="0"/>
    <x v="0"/>
  </r>
  <r>
    <x v="5"/>
    <s v="DP.2833"/>
    <s v="Responding to Urgent Needs of Affected Communities in Northern and Central Mali"/>
    <s v="MOVEMENT, EMERGENCY AND POST-CRISIS MIGRATION MANAGEMENT"/>
    <s v="Mali"/>
    <n v="4500458792"/>
    <m/>
    <s v="Implementing Partner"/>
    <s v="ASS.TASSAGHT"/>
    <s v="Mali"/>
    <n v="44333.72"/>
    <x v="0"/>
    <x v="0"/>
  </r>
  <r>
    <x v="5"/>
    <s v="DP.2833"/>
    <s v="Responding to Urgent Needs of Affected Communities in Northern and Central Mali"/>
    <s v="MOVEMENT, EMERGENCY AND POST-CRISIS MIGRATION MANAGEMENT"/>
    <s v="Mali"/>
    <n v="4500466762"/>
    <m/>
    <s v="Implementing Partner"/>
    <s v="ADAZ"/>
    <s v="Mali"/>
    <n v="41340.36"/>
    <x v="0"/>
    <x v="0"/>
  </r>
  <r>
    <x v="5"/>
    <s v="DP.2833"/>
    <s v="Responding to Urgent Needs of Affected Communities in Northern and Central Mali"/>
    <s v="MOVEMENT, EMERGENCY AND POST-CRISIS MIGRATION MANAGEMENT"/>
    <s v="Mali"/>
    <n v="4500475950"/>
    <m/>
    <s v="Implementing Partner"/>
    <s v="ODISAHEL"/>
    <s v="Mali"/>
    <n v="45040.39"/>
    <x v="0"/>
    <x v="0"/>
  </r>
  <r>
    <x v="5"/>
    <s v="DP.2836"/>
    <s v="Humanitarian Assistance to Rohingya and Host Communities in Bangladesh"/>
    <s v="MOVEMENT, EMERGENCY AND POST-CRISIS MIGRATION MANAGEMENT"/>
    <s v="Bangladesh"/>
    <n v="4500476560"/>
    <m/>
    <s v="Implementing Partner"/>
    <s v="ACTION CONTRE LA FAIM (ACF)"/>
    <s v="Bangladesh"/>
    <n v="403609.3"/>
    <x v="0"/>
    <x v="1"/>
  </r>
  <r>
    <x v="5"/>
    <s v="DP.2836"/>
    <s v="Humanitarian Assistance to Rohingya and Host Communities in Bangladesh"/>
    <s v="MOVEMENT, EMERGENCY AND POST-CRISIS MIGRATION MANAGEMENT"/>
    <s v="Bangladesh"/>
    <n v="4500480566"/>
    <m/>
    <s v="Implementing Partner"/>
    <s v="Pulse Bangladesh Society"/>
    <s v="Bangladesh"/>
    <n v="218422"/>
    <x v="0"/>
    <x v="0"/>
  </r>
  <r>
    <x v="5"/>
    <s v="DP.2838"/>
    <s v="Addressing Urgent Humanitarian Needs of the Vulnerable Refugees and Third-Country Nationals in the Republic of Moldova"/>
    <s v="MOVEMENT, EMERGENCY AND POST-CRISIS MIGRATION MANAGEMENT"/>
    <s v="Republic of Moldova"/>
    <n v="4500461124"/>
    <m/>
    <s v="Implementing Partner"/>
    <s v="AO ADRA MOLDOVA"/>
    <s v="Republic of Moldova"/>
    <n v="121317.07"/>
    <x v="0"/>
    <x v="1"/>
  </r>
  <r>
    <x v="5"/>
    <s v="DP.2840"/>
    <s v="Humanitarian Response to International Migrants in Transit through Honduras"/>
    <s v="MOVEMENT, EMERGENCY AND POST-CRISIS MIGRATION MANAGEMENT"/>
    <s v="Honduras"/>
    <n v="4500456882"/>
    <m/>
    <s v="Implementing Partner"/>
    <s v="ASOCIACION VISION MUNDIAL HONDURAS"/>
    <s v="Honduras"/>
    <n v="89673.19"/>
    <x v="0"/>
    <x v="1"/>
  </r>
  <r>
    <x v="5"/>
    <s v="DP.2842"/>
    <s v="Humanitarian Multisectoral Response to the Needs of People on the Move (Including Returnees) in Venezuela with a Lifesaving and Human Security Approach"/>
    <s v="MOVEMENT, EMERGENCY AND POST-CRISIS MIGRATION MANAGEMENT"/>
    <s v="Venezuela (Bolivarian Republic of)"/>
    <n v="4500461633"/>
    <m/>
    <s v="Implementing Partner"/>
    <s v="Cruz Roja Sub Comite Guasdualito"/>
    <s v="Venezuela (Bolivarian Republic of)"/>
    <n v="15553.69"/>
    <x v="0"/>
    <x v="4"/>
  </r>
  <r>
    <x v="5"/>
    <s v="DP.2842"/>
    <s v="Humanitarian Multisectoral Response to the Needs of People on the Move (Including Returnees) in Venezuela with a Lifesaving and Human Security Approach"/>
    <s v="MOVEMENT, EMERGENCY AND POST-CRISIS MIGRATION MANAGEMENT"/>
    <s v="Venezuela (Bolivarian Republic of)"/>
    <n v="4500461635"/>
    <m/>
    <s v="Implementing Partner"/>
    <s v="Cruz Roja Venezolana Seccional Zuli"/>
    <s v="Venezuela (Bolivarian Republic of)"/>
    <n v="17019"/>
    <x v="0"/>
    <x v="4"/>
  </r>
  <r>
    <x v="5"/>
    <s v="DP.2842"/>
    <s v="Humanitarian Multisectoral Response to the Needs of People on the Move (Including Returnees) in Venezuela with a Lifesaving and Human Security Approach"/>
    <s v="MOVEMENT, EMERGENCY AND POST-CRISIS MIGRATION MANAGEMENT"/>
    <s v="Venezuela (Bolivarian Republic of)"/>
    <n v="4500463747"/>
    <m/>
    <s v="Implementing Partner"/>
    <s v="ASOCIACION CIVIL OBSERVATORIO DE"/>
    <s v="Venezuela (Bolivarian Republic of)"/>
    <n v="20038.439999999999"/>
    <x v="0"/>
    <x v="0"/>
  </r>
  <r>
    <x v="5"/>
    <s v="DP.2842"/>
    <s v="Humanitarian Multisectoral Response to the Needs of People on the Move (Including Returnees) in Venezuela with a Lifesaving and Human Security Approach"/>
    <s v="MOVEMENT, EMERGENCY AND POST-CRISIS MIGRATION MANAGEMENT"/>
    <s v="Venezuela (Bolivarian Republic of)"/>
    <n v="4500463753"/>
    <m/>
    <s v="Implementing Partner"/>
    <s v="DIOCESIS DE SAN CRISTOBAL"/>
    <s v="Venezuela (Bolivarian Republic of)"/>
    <n v="134797.07999999999"/>
    <x v="0"/>
    <x v="5"/>
  </r>
  <r>
    <x v="5"/>
    <s v="DP.2846"/>
    <s v="Adopting a Comprehensive Approach to Addressing the Critical Humanitarian and Protection Needs of Displaced Populations in Haiti"/>
    <s v="MOVEMENT, EMERGENCY AND POST-CRISIS MIGRATION MANAGEMENT"/>
    <s v="Haiti"/>
    <n v="4500458682"/>
    <m/>
    <s v="Implementing Partner"/>
    <s v="Medicos del Mundo Argentina"/>
    <s v="Haiti"/>
    <n v="246034.67"/>
    <x v="0"/>
    <x v="1"/>
  </r>
  <r>
    <x v="5"/>
    <s v="DP.2853"/>
    <s v="El Niño Flood Relief II"/>
    <s v="MOVEMENT, EMERGENCY AND POST-CRISIS MIGRATION MANAGEMENT"/>
    <s v="Burundi"/>
    <n v="4500478791"/>
    <m/>
    <s v="Implementing Partner"/>
    <s v="UNICEF BURUNDI OFFICE"/>
    <s v="Burundi"/>
    <n v="485000"/>
    <x v="0"/>
    <x v="7"/>
  </r>
  <r>
    <x v="5"/>
    <s v="DP.2859"/>
    <s v="Supporting Displaced and Crisis Affected Populations in Cameroon's Far North Region"/>
    <s v="MOVEMENT, EMERGENCY AND POST-CRISIS MIGRATION MANAGEMENT"/>
    <s v="Cameroon"/>
    <n v="4500478191"/>
    <m/>
    <s v="Implementing Partner"/>
    <s v="ASSOCIATION SERBOWEL FACILITATEUR H"/>
    <s v="Cameroon"/>
    <n v="45074.16"/>
    <x v="0"/>
    <x v="0"/>
  </r>
  <r>
    <x v="5"/>
    <s v="DP.2861"/>
    <s v="Regional Refugee And Migrant Response Plan (RMRP 2023 - 2024) For The Venezuelan Situation In Colombia"/>
    <s v="MOVEMENT, EMERGENCY AND POST-CRISIS MIGRATION MANAGEMENT"/>
    <s v="Colombia"/>
    <n v="4500467165"/>
    <m/>
    <s v="Implementing Partner"/>
    <s v="CRUZ ROJA COLOMBIANA CUNDINAMARCA"/>
    <s v="Colombia"/>
    <n v="208200.95"/>
    <x v="0"/>
    <x v="4"/>
  </r>
  <r>
    <x v="5"/>
    <s v="DP.2861"/>
    <s v="Regional Refugee And Migrant Response Plan (RMRP 2023 - 2024) For The Venezuelan Situation In Colombia"/>
    <s v="MOVEMENT, EMERGENCY AND POST-CRISIS MIGRATION MANAGEMENT"/>
    <s v="Colombia"/>
    <n v="4500467771"/>
    <m/>
    <s v="Implementing Partner"/>
    <s v="SECRETARIADO DIOCESANO DE PASTORAL"/>
    <s v="Colombia"/>
    <n v="170346.23"/>
    <x v="0"/>
    <x v="5"/>
  </r>
  <r>
    <x v="5"/>
    <s v="DP.2861"/>
    <s v="Regional Refugee And Migrant Response Plan (RMRP 2023 - 2024) For The Venezuelan Situation In Colombia"/>
    <s v="MOVEMENT, EMERGENCY AND POST-CRISIS MIGRATION MANAGEMENT"/>
    <s v="Colombia"/>
    <n v="4500482283"/>
    <m/>
    <s v="Implementing Partner"/>
    <s v="WORLD VISION INTERNATIONAL (IP)"/>
    <s v="Colombia"/>
    <n v="370503.06"/>
    <x v="0"/>
    <x v="1"/>
  </r>
  <r>
    <x v="5"/>
    <s v="DP.2863"/>
    <s v="Addressing the Urgent and Ongoing Humanitarian Needs of War-Affected Populations in Ukraine"/>
    <s v="MOVEMENT, EMERGENCY AND POST-CRISIS MIGRATION MANAGEMENT"/>
    <s v="Ukraine"/>
    <n v="4500456767"/>
    <m/>
    <s v="Implementing Partner"/>
    <s v="CO RCC"/>
    <s v="Ukraine"/>
    <n v="331430.94"/>
    <x v="0"/>
    <x v="0"/>
  </r>
  <r>
    <x v="5"/>
    <s v="DP.2863"/>
    <s v="Addressing the Urgent and Ongoing Humanitarian Needs of War-Affected Populations in Ukraine"/>
    <s v="MOVEMENT, EMERGENCY AND POST-CRISIS MIGRATION MANAGEMENT"/>
    <s v="Ukraine"/>
    <n v="4500458079"/>
    <m/>
    <s v="Implementing Partner"/>
    <s v="ICF Caritas Ukraine"/>
    <s v="Ukraine"/>
    <n v="200191.79"/>
    <x v="0"/>
    <x v="6"/>
  </r>
  <r>
    <x v="5"/>
    <s v="DP.2863"/>
    <s v="Addressing the Urgent and Ongoing Humanitarian Needs of War-Affected Populations in Ukraine"/>
    <s v="MOVEMENT, EMERGENCY AND POST-CRISIS MIGRATION MANAGEMENT"/>
    <s v="Ukraine"/>
    <n v="4500458178"/>
    <m/>
    <s v="Implementing Partner"/>
    <s v="NGO ROAD TO LIFE"/>
    <s v="Ukraine"/>
    <n v="229147.4"/>
    <x v="0"/>
    <x v="0"/>
  </r>
  <r>
    <x v="5"/>
    <s v="DP.2863"/>
    <s v="Addressing the Urgent and Ongoing Humanitarian Needs of War-Affected Populations in Ukraine"/>
    <s v="MOVEMENT, EMERGENCY AND POST-CRISIS MIGRATION MANAGEMENT"/>
    <s v="Ukraine"/>
    <n v="4500461468"/>
    <m/>
    <s v="Implementing Partner"/>
    <s v="NGO TMGK Vidrodzhennia Natsii"/>
    <s v="Ukraine"/>
    <n v="182076.4"/>
    <x v="0"/>
    <x v="0"/>
  </r>
  <r>
    <x v="5"/>
    <s v="DP.2863"/>
    <s v="Addressing the Urgent and Ongoing Humanitarian Needs of War-Affected Populations in Ukraine"/>
    <s v="MOVEMENT, EMERGENCY AND POST-CRISIS MIGRATION MANAGEMENT"/>
    <s v="Ukraine"/>
    <n v="4500462856"/>
    <m/>
    <s v="Implementing Partner"/>
    <s v="ALLIANCE FOR CIVIL RIGHTS"/>
    <s v="Ukraine"/>
    <n v="275848.28999999998"/>
    <x v="0"/>
    <x v="0"/>
  </r>
  <r>
    <x v="5"/>
    <s v="DP.2863"/>
    <s v="Addressing the Urgent and Ongoing Humanitarian Needs of War-Affected Populations in Ukraine"/>
    <s v="MOVEMENT, EMERGENCY AND POST-CRISIS MIGRATION MANAGEMENT"/>
    <s v="Ukraine"/>
    <n v="4500463525"/>
    <m/>
    <s v="Implementing Partner"/>
    <s v="CO 100 Life Cherkasy"/>
    <s v="Ukraine"/>
    <n v="176312.22"/>
    <x v="0"/>
    <x v="0"/>
  </r>
  <r>
    <x v="5"/>
    <s v="DP.2863"/>
    <s v="Addressing the Urgent and Ongoing Humanitarian Needs of War-Affected Populations in Ukraine"/>
    <s v="MOVEMENT, EMERGENCY AND POST-CRISIS MIGRATION MANAGEMENT"/>
    <s v="Ukraine"/>
    <n v="4500464365"/>
    <m/>
    <s v="Implementing Partner"/>
    <s v="CO RCC"/>
    <s v="Ukraine"/>
    <n v="167284.09"/>
    <x v="0"/>
    <x v="0"/>
  </r>
  <r>
    <x v="5"/>
    <s v="DP.2863"/>
    <s v="Addressing the Urgent and Ongoing Humanitarian Needs of War-Affected Populations in Ukraine"/>
    <s v="MOVEMENT, EMERGENCY AND POST-CRISIS MIGRATION MANAGEMENT"/>
    <s v="Ukraine"/>
    <n v="4500464391"/>
    <m/>
    <s v="Implementing Partner"/>
    <s v="NGO FAIITH HOPE LOVE - ODESA"/>
    <s v="Ukraine"/>
    <n v="169975.9"/>
    <x v="0"/>
    <x v="0"/>
  </r>
  <r>
    <x v="5"/>
    <s v="DP.2863"/>
    <s v="Addressing the Urgent and Ongoing Humanitarian Needs of War-Affected Populations in Ukraine"/>
    <s v="MOVEMENT, EMERGENCY AND POST-CRISIS MIGRATION MANAGEMENT"/>
    <s v="Ukraine"/>
    <n v="4500464426"/>
    <m/>
    <s v="Implementing Partner"/>
    <s v="NGO Successful Women"/>
    <s v="Ukraine"/>
    <n v="218284.73"/>
    <x v="0"/>
    <x v="0"/>
  </r>
  <r>
    <x v="5"/>
    <s v="DP.2863"/>
    <s v="Addressing the Urgent and Ongoing Humanitarian Needs of War-Affected Populations in Ukraine"/>
    <s v="MOVEMENT, EMERGENCY AND POST-CRISIS MIGRATION MANAGEMENT"/>
    <s v="Ukraine"/>
    <n v="4500464587"/>
    <m/>
    <s v="Implementing Partner"/>
    <s v="NGO Liubystok"/>
    <s v="Ukraine"/>
    <n v="205063.09"/>
    <x v="0"/>
    <x v="0"/>
  </r>
  <r>
    <x v="5"/>
    <s v="DP.2863"/>
    <s v="Addressing the Urgent and Ongoing Humanitarian Needs of War-Affected Populations in Ukraine"/>
    <s v="MOVEMENT, EMERGENCY AND POST-CRISIS MIGRATION MANAGEMENT"/>
    <s v="Ukraine"/>
    <n v="4500464614"/>
    <m/>
    <s v="Implementing Partner"/>
    <s v="NGO Spring of Hope. Ukraine"/>
    <s v="Ukraine"/>
    <n v="366340.8"/>
    <x v="0"/>
    <x v="0"/>
  </r>
  <r>
    <x v="5"/>
    <s v="DP.2863"/>
    <s v="Addressing the Urgent and Ongoing Humanitarian Needs of War-Affected Populations in Ukraine"/>
    <s v="MOVEMENT, EMERGENCY AND POST-CRISIS MIGRATION MANAGEMENT"/>
    <s v="Ukraine"/>
    <n v="4500464667"/>
    <m/>
    <s v="Implementing Partner"/>
    <s v="CF POSMISHKA UA"/>
    <s v="Ukraine"/>
    <n v="240070.82"/>
    <x v="0"/>
    <x v="0"/>
  </r>
  <r>
    <x v="5"/>
    <s v="DP.2863"/>
    <s v="Addressing the Urgent and Ongoing Humanitarian Needs of War-Affected Populations in Ukraine"/>
    <s v="MOVEMENT, EMERGENCY AND POST-CRISIS MIGRATION MANAGEMENT"/>
    <s v="Ukraine"/>
    <n v="4500464934"/>
    <m/>
    <s v="Implementing Partner"/>
    <s v="NGO Caritas I-F Char Foundation"/>
    <s v="Ukraine"/>
    <n v="220522.36"/>
    <x v="0"/>
    <x v="6"/>
  </r>
  <r>
    <x v="5"/>
    <s v="DP.2863"/>
    <s v="Addressing the Urgent and Ongoing Humanitarian Needs of War-Affected Populations in Ukraine"/>
    <s v="MOVEMENT, EMERGENCY AND POST-CRISIS MIGRATION MANAGEMENT"/>
    <s v="Ukraine"/>
    <n v="4500464983"/>
    <m/>
    <s v="Implementing Partner"/>
    <s v="VSEUKRAINSKE TOVARYSTVO PROSVITA"/>
    <s v="Ukraine"/>
    <n v="176000"/>
    <x v="0"/>
    <x v="0"/>
  </r>
  <r>
    <x v="5"/>
    <s v="DP.2863"/>
    <s v="Addressing the Urgent and Ongoing Humanitarian Needs of War-Affected Populations in Ukraine"/>
    <s v="MOVEMENT, EMERGENCY AND POST-CRISIS MIGRATION MANAGEMENT"/>
    <s v="Ukraine"/>
    <n v="4500465043"/>
    <m/>
    <s v="Implementing Partner"/>
    <s v="CO 100 Life Cherkasy"/>
    <s v="Ukraine"/>
    <n v="141745.81"/>
    <x v="0"/>
    <x v="0"/>
  </r>
  <r>
    <x v="5"/>
    <s v="DP.2863"/>
    <s v="Addressing the Urgent and Ongoing Humanitarian Needs of War-Affected Populations in Ukraine"/>
    <s v="MOVEMENT, EMERGENCY AND POST-CRISIS MIGRATION MANAGEMENT"/>
    <s v="Ukraine"/>
    <n v="4500465854"/>
    <m/>
    <s v="Implementing Partner"/>
    <s v="CLEAR PAPER"/>
    <s v="Ukraine"/>
    <n v="381846.3"/>
    <x v="0"/>
    <x v="0"/>
  </r>
  <r>
    <x v="5"/>
    <s v="DP.2863"/>
    <s v="Addressing the Urgent and Ongoing Humanitarian Needs of War-Affected Populations in Ukraine"/>
    <s v="MOVEMENT, EMERGENCY AND POST-CRISIS MIGRATION MANAGEMENT"/>
    <s v="Ukraine"/>
    <n v="4500469256"/>
    <m/>
    <s v="Implementing Partner"/>
    <s v="CO CF UA BROKERS WITHOUT BORDERS UK"/>
    <s v="Ukraine"/>
    <n v="26313.65"/>
    <x v="0"/>
    <x v="1"/>
  </r>
  <r>
    <x v="5"/>
    <s v="DP.2863"/>
    <s v="Addressing the Urgent and Ongoing Humanitarian Needs of War-Affected Populations in Ukraine"/>
    <s v="MOVEMENT, EMERGENCY AND POST-CRISIS MIGRATION MANAGEMENT"/>
    <s v="Ukraine"/>
    <n v="4500480525"/>
    <m/>
    <s v="Implementing Partner"/>
    <s v="NGO Association for Democratic Deve"/>
    <s v="Ukraine"/>
    <n v="34682.300000000003"/>
    <x v="0"/>
    <x v="0"/>
  </r>
  <r>
    <x v="5"/>
    <s v="DP.2863"/>
    <s v="Addressing the Urgent and Ongoing Humanitarian Needs of War-Affected Populations in Ukraine"/>
    <s v="MOVEMENT, EMERGENCY AND POST-CRISIS MIGRATION MANAGEMENT"/>
    <s v="Ukraine"/>
    <n v="4500480539"/>
    <m/>
    <s v="Implementing Partner"/>
    <s v="CENTER FOR CIVIC INITIATIVES SUMY"/>
    <s v="Ukraine"/>
    <n v="63128.800000000003"/>
    <x v="0"/>
    <x v="0"/>
  </r>
  <r>
    <x v="5"/>
    <s v="DP.2863"/>
    <s v="Addressing the Urgent and Ongoing Humanitarian Needs of War-Affected Populations in Ukraine"/>
    <s v="MOVEMENT, EMERGENCY AND POST-CRISIS MIGRATION MANAGEMENT"/>
    <s v="Ukraine"/>
    <n v="4500481359"/>
    <m/>
    <s v="Implementing Partner"/>
    <s v="NGO Agency of City Initiatives"/>
    <s v="Ukraine"/>
    <n v="46354.37"/>
    <x v="0"/>
    <x v="0"/>
  </r>
  <r>
    <x v="5"/>
    <s v="DP.2864"/>
    <s v="Provision of Integrated Multi-sectoral Assistance to Vulnerable Displaced Population in Somalia"/>
    <s v="MOVEMENT, EMERGENCY AND POST-CRISIS MIGRATION MANAGEMENT"/>
    <s v="Somalia"/>
    <n v="4500459758"/>
    <m/>
    <s v="Implementing Partner"/>
    <s v="KAALMO RELIEF AND DEVELOPMENT ORGAN"/>
    <s v="Somalia"/>
    <n v="11054"/>
    <x v="0"/>
    <x v="0"/>
  </r>
  <r>
    <x v="5"/>
    <s v="DP.2864"/>
    <s v="Provision of Integrated Multi-sectoral Assistance to Vulnerable Displaced Population in Somalia"/>
    <s v="MOVEMENT, EMERGENCY AND POST-CRISIS MIGRATION MANAGEMENT"/>
    <s v="Somalia"/>
    <n v="4500475758"/>
    <m/>
    <s v="Implementing Partner"/>
    <s v="Marginalized Communities Advocacy N"/>
    <s v="Somalia"/>
    <n v="14496"/>
    <x v="0"/>
    <x v="0"/>
  </r>
  <r>
    <x v="5"/>
    <s v="DP.2864"/>
    <s v="Provision of Integrated Multi-sectoral Assistance to Vulnerable Displaced Population in Somalia"/>
    <s v="MOVEMENT, EMERGENCY AND POST-CRISIS MIGRATION MANAGEMENT"/>
    <s v="Somalia"/>
    <n v="4500478314"/>
    <m/>
    <s v="Implementing Partner"/>
    <s v="Action Againts Poverty and Peace De"/>
    <s v="Somalia"/>
    <n v="8451"/>
    <x v="0"/>
    <x v="0"/>
  </r>
  <r>
    <x v="5"/>
    <s v="DP.2867"/>
    <s v="PRM Contribution to the Ukraine Refugee Regional Response (RRP 2024)"/>
    <s v="MOVEMENT, EMERGENCY AND POST-CRISIS MIGRATION MANAGEMENT"/>
    <s v="Czechia"/>
    <n v="4500477859"/>
    <m/>
    <s v="Implementing Partner"/>
    <s v="Ukrajinska iniciativa"/>
    <s v="Czechia"/>
    <n v="70000"/>
    <x v="0"/>
    <x v="0"/>
  </r>
  <r>
    <x v="5"/>
    <s v="DP.2867"/>
    <s v="PRM Contribution to the Ukraine Refugee Regional Response (RRP 2024)"/>
    <s v="MOVEMENT, EMERGENCY AND POST-CRISIS MIGRATION MANAGEMENT"/>
    <s v="Czechia"/>
    <n v="4500477860"/>
    <m/>
    <s v="Implementing Partner"/>
    <s v="Nadace Via"/>
    <s v="Czechia"/>
    <n v="80000"/>
    <x v="0"/>
    <x v="0"/>
  </r>
  <r>
    <x v="5"/>
    <s v="DP.2867"/>
    <s v="PRM Contribution to the Ukraine Refugee Regional Response (RRP 2024)"/>
    <s v="MOVEMENT, EMERGENCY AND POST-CRISIS MIGRATION MANAGEMENT"/>
    <s v="Czechia"/>
    <n v="4500478042"/>
    <m/>
    <s v="Implementing Partner"/>
    <s v="Centrum pro cizince Jihomoravskeho"/>
    <s v="Czechia"/>
    <n v="58858.05"/>
    <x v="0"/>
    <x v="3"/>
  </r>
  <r>
    <x v="5"/>
    <s v="DP.2867"/>
    <s v="PRM Contribution to the Ukraine Refugee Regional Response (RRP 2024)"/>
    <s v="MOVEMENT, EMERGENCY AND POST-CRISIS MIGRATION MANAGEMENT"/>
    <s v="Czechia"/>
    <n v="4500478044"/>
    <m/>
    <s v="Implementing Partner"/>
    <s v="Zensky vzdelavaci ustav Brno, z.u."/>
    <s v="Czechia"/>
    <n v="30827"/>
    <x v="0"/>
    <x v="0"/>
  </r>
  <r>
    <x v="5"/>
    <s v="DP.2867"/>
    <s v="PRM Contribution to the Ukraine Refugee Regional Response (RRP 2024)"/>
    <s v="MOVEMENT, EMERGENCY AND POST-CRISIS MIGRATION MANAGEMENT"/>
    <s v="Czechia"/>
    <n v="4500478367"/>
    <m/>
    <s v="Implementing Partner"/>
    <s v="Hub for Change, spolek"/>
    <s v="Czechia"/>
    <n v="45785"/>
    <x v="0"/>
    <x v="0"/>
  </r>
  <r>
    <x v="5"/>
    <s v="DP.2867"/>
    <s v="PRM Contribution to the Ukraine Refugee Regional Response (RRP 2024)"/>
    <s v="MOVEMENT, EMERGENCY AND POST-CRISIS MIGRATION MANAGEMENT"/>
    <s v="Czechia"/>
    <n v="4500478371"/>
    <m/>
    <s v="Implementing Partner"/>
    <s v="Centrum pro integraci cizincu,o.ps."/>
    <s v="Czechia"/>
    <n v="47842"/>
    <x v="0"/>
    <x v="0"/>
  </r>
  <r>
    <x v="5"/>
    <s v="DP.2867"/>
    <s v="PRM Contribution to the Ukraine Refugee Regional Response (RRP 2024)"/>
    <s v="MOVEMENT, EMERGENCY AND POST-CRISIS MIGRATION MANAGEMENT"/>
    <s v="Czechia"/>
    <n v="4500478373"/>
    <m/>
    <s v="Implementing Partner"/>
    <s v="yourchance o.p.s."/>
    <s v="Czechia"/>
    <n v="60000"/>
    <x v="0"/>
    <x v="0"/>
  </r>
  <r>
    <x v="5"/>
    <s v="DP.2867"/>
    <s v="PRM Contribution to the Ukraine Refugee Regional Response (RRP 2024)"/>
    <s v="MOVEMENT, EMERGENCY AND POST-CRISIS MIGRATION MANAGEMENT"/>
    <s v="Czechia"/>
    <n v="4500478376"/>
    <m/>
    <s v="Implementing Partner"/>
    <s v="Kalyna"/>
    <s v="Czechia"/>
    <n v="50000"/>
    <x v="0"/>
    <x v="0"/>
  </r>
  <r>
    <x v="5"/>
    <s v="DP.2867"/>
    <s v="PRM Contribution to the Ukraine Refugee Regional Response (RRP 2024)"/>
    <s v="MOVEMENT, EMERGENCY AND POST-CRISIS MIGRATION MANAGEMENT"/>
    <s v="Czechia"/>
    <n v="4500478378"/>
    <m/>
    <s v="Implementing Partner"/>
    <s v="Kroky Dobra z.s."/>
    <s v="Czechia"/>
    <n v="59936"/>
    <x v="0"/>
    <x v="0"/>
  </r>
  <r>
    <x v="5"/>
    <s v="DP.2867"/>
    <s v="PRM Contribution to the Ukraine Refugee Regional Response (RRP 2024)"/>
    <s v="MOVEMENT, EMERGENCY AND POST-CRISIS MIGRATION MANAGEMENT"/>
    <s v="Czechia"/>
    <n v="4500478382"/>
    <m/>
    <s v="Implementing Partner"/>
    <s v="InBaze, z.s."/>
    <s v="Czechia"/>
    <n v="20000"/>
    <x v="0"/>
    <x v="0"/>
  </r>
  <r>
    <x v="5"/>
    <s v="DP.2867"/>
    <s v="PRM Contribution to the Ukraine Refugee Regional Response (RRP 2024)"/>
    <s v="MOVEMENT, EMERGENCY AND POST-CRISIS MIGRATION MANAGEMENT"/>
    <s v="Czechia"/>
    <n v="4500478385"/>
    <m/>
    <s v="Implementing Partner"/>
    <s v="Tatrhy z.s."/>
    <s v="Czechia"/>
    <n v="22898"/>
    <x v="0"/>
    <x v="0"/>
  </r>
  <r>
    <x v="5"/>
    <s v="DP.2867"/>
    <s v="PRM Contribution to the Ukraine Refugee Regional Response (RRP 2024)"/>
    <s v="MOVEMENT, EMERGENCY AND POST-CRISIS MIGRATION MANAGEMENT"/>
    <s v="Czechia"/>
    <n v="4500478388"/>
    <m/>
    <s v="Implementing Partner"/>
    <s v="Ceske priority, z.u."/>
    <s v="Czechia"/>
    <n v="50000"/>
    <x v="0"/>
    <x v="2"/>
  </r>
  <r>
    <x v="5"/>
    <s v="DP.2867"/>
    <s v="PRM Contribution to the Ukraine Refugee Regional Response (RRP 2024)"/>
    <s v="MOVEMENT, EMERGENCY AND POST-CRISIS MIGRATION MANAGEMENT"/>
    <s v="Czechia"/>
    <n v="4500478392"/>
    <m/>
    <s v="Implementing Partner"/>
    <s v="Palacky University Olomouc"/>
    <s v="Czechia"/>
    <n v="35000"/>
    <x v="0"/>
    <x v="2"/>
  </r>
  <r>
    <x v="5"/>
    <s v="DP.2867"/>
    <s v="PRM Contribution to the Ukraine Refugee Regional Response (RRP 2024)"/>
    <s v="MOVEMENT, EMERGENCY AND POST-CRISIS MIGRATION MANAGEMENT"/>
    <s v="Hungary"/>
    <n v="4500465147"/>
    <m/>
    <s v="Implementing Partner"/>
    <s v="Utcarol Lakasba Egyesulet"/>
    <s v="Hungary"/>
    <n v="55580.72"/>
    <x v="0"/>
    <x v="0"/>
  </r>
  <r>
    <x v="5"/>
    <s v="DP.2867"/>
    <s v="PRM Contribution to the Ukraine Refugee Regional Response (RRP 2024)"/>
    <s v="MOVEMENT, EMERGENCY AND POST-CRISIS MIGRATION MANAGEMENT"/>
    <s v="Poland"/>
    <n v="4500458443"/>
    <m/>
    <s v="Implementing Partner"/>
    <s v="Fundacja im. Stefana Batorego"/>
    <s v="Poland"/>
    <n v="1017796.39"/>
    <x v="0"/>
    <x v="0"/>
  </r>
  <r>
    <x v="5"/>
    <s v="DP.2867"/>
    <s v="PRM Contribution to the Ukraine Refugee Regional Response (RRP 2024)"/>
    <s v="MOVEMENT, EMERGENCY AND POST-CRISIS MIGRATION MANAGEMENT"/>
    <s v="Poland"/>
    <n v="4500459996"/>
    <m/>
    <s v="Implementing Partner"/>
    <s v="FUNDACJA MIGRANT INFO POINT"/>
    <s v="Poland"/>
    <n v="171421.1"/>
    <x v="0"/>
    <x v="3"/>
  </r>
  <r>
    <x v="5"/>
    <s v="DP.2867"/>
    <s v="PRM Contribution to the Ukraine Refugee Regional Response (RRP 2024)"/>
    <s v="MOVEMENT, EMERGENCY AND POST-CRISIS MIGRATION MANAGEMENT"/>
    <s v="Poland"/>
    <n v="4500460245"/>
    <m/>
    <s v="Implementing Partner"/>
    <s v="FUNDACJA UKRAINA-WALBRZYCH"/>
    <s v="Poland"/>
    <n v="62156.5"/>
    <x v="0"/>
    <x v="0"/>
  </r>
  <r>
    <x v="5"/>
    <s v="DP.2867"/>
    <s v="PRM Contribution to the Ukraine Refugee Regional Response (RRP 2024)"/>
    <s v="MOVEMENT, EMERGENCY AND POST-CRISIS MIGRATION MANAGEMENT"/>
    <s v="Poland"/>
    <n v="4500462165"/>
    <m/>
    <s v="Implementing Partner"/>
    <s v="Fundacja Q"/>
    <s v="Poland"/>
    <n v="144895.04999999999"/>
    <x v="0"/>
    <x v="0"/>
  </r>
  <r>
    <x v="5"/>
    <s v="DP.2867"/>
    <s v="PRM Contribution to the Ukraine Refugee Regional Response (RRP 2024)"/>
    <s v="MOVEMENT, EMERGENCY AND POST-CRISIS MIGRATION MANAGEMENT"/>
    <s v="Poland"/>
    <n v="4500478889"/>
    <m/>
    <s v="Implementing Partner"/>
    <s v="STOWARZYSZENIE WAGA"/>
    <s v="Poland"/>
    <n v="147094.88"/>
    <x v="0"/>
    <x v="0"/>
  </r>
  <r>
    <x v="5"/>
    <s v="DP.2867"/>
    <s v="PRM Contribution to the Ukraine Refugee Regional Response (RRP 2024)"/>
    <s v="MOVEMENT, EMERGENCY AND POST-CRISIS MIGRATION MANAGEMENT"/>
    <s v="Republic of Moldova"/>
    <n v="4500478844"/>
    <m/>
    <s v="Implementing Partner"/>
    <s v="AO ASOCIATIA MOTIVATIE DIN MD"/>
    <s v="Republic of Moldova"/>
    <n v="24965.71"/>
    <x v="0"/>
    <x v="0"/>
  </r>
  <r>
    <x v="5"/>
    <s v="DP.2867"/>
    <s v="PRM Contribution to the Ukraine Refugee Regional Response (RRP 2024)"/>
    <s v="MOVEMENT, EMERGENCY AND POST-CRISIS MIGRATION MANAGEMENT"/>
    <s v="Republic of Moldova"/>
    <n v="4500478886"/>
    <m/>
    <s v="Implementing Partner"/>
    <s v="AO CDPD"/>
    <s v="Republic of Moldova"/>
    <n v="23327.3"/>
    <x v="0"/>
    <x v="0"/>
  </r>
  <r>
    <x v="5"/>
    <s v="DP.2867"/>
    <s v="PRM Contribution to the Ukraine Refugee Regional Response (RRP 2024)"/>
    <s v="MOVEMENT, EMERGENCY AND POST-CRISIS MIGRATION MANAGEMENT"/>
    <s v="Republic of Moldova"/>
    <n v="4500479261"/>
    <m/>
    <s v="Implementing Partner"/>
    <s v="BAZOVYJJ CENTR REABILITACII OSORC"/>
    <s v="Republic of Moldova"/>
    <n v="35117.97"/>
    <x v="0"/>
    <x v="0"/>
  </r>
  <r>
    <x v="5"/>
    <s v="DP.2867"/>
    <s v="PRM Contribution to the Ukraine Refugee Regional Response (RRP 2024)"/>
    <s v="MOVEMENT, EMERGENCY AND POST-CRISIS MIGRATION MANAGEMENT"/>
    <s v="Republic of Moldova"/>
    <n v="4500479310"/>
    <m/>
    <s v="Implementing Partner"/>
    <s v="ASOCIATIA OBSTEASCA CIVIC AID"/>
    <s v="Republic of Moldova"/>
    <n v="45479.28"/>
    <x v="0"/>
    <x v="0"/>
  </r>
  <r>
    <x v="5"/>
    <s v="DP.2867"/>
    <s v="PRM Contribution to the Ukraine Refugee Regional Response (RRP 2024)"/>
    <s v="MOVEMENT, EMERGENCY AND POST-CRISIS MIGRATION MANAGEMENT"/>
    <s v="Republic of Moldova"/>
    <n v="4500479353"/>
    <m/>
    <s v="Implementing Partner"/>
    <s v="AO AU Filantropia Crestina"/>
    <s v="Republic of Moldova"/>
    <n v="41099.589999999997"/>
    <x v="0"/>
    <x v="3"/>
  </r>
  <r>
    <x v="5"/>
    <s v="DP.2867"/>
    <s v="PRM Contribution to the Ukraine Refugee Regional Response (RRP 2024)"/>
    <s v="MOVEMENT, EMERGENCY AND POST-CRISIS MIGRATION MANAGEMENT"/>
    <s v="Republic of Moldova"/>
    <n v="4500479362"/>
    <m/>
    <s v="Implementing Partner"/>
    <s v="AO DO IT"/>
    <s v="Republic of Moldova"/>
    <n v="39003.57"/>
    <x v="0"/>
    <x v="0"/>
  </r>
  <r>
    <x v="5"/>
    <s v="DP.2867"/>
    <s v="PRM Contribution to the Ukraine Refugee Regional Response (RRP 2024)"/>
    <s v="MOVEMENT, EMERGENCY AND POST-CRISIS MIGRATION MANAGEMENT"/>
    <s v="Republic of Moldova"/>
    <n v="4500480143"/>
    <m/>
    <s v="Implementing Partner"/>
    <s v="RESONANCE"/>
    <s v="Republic of Moldova"/>
    <n v="35288.339999999997"/>
    <x v="0"/>
    <x v="0"/>
  </r>
  <r>
    <x v="5"/>
    <s v="DP.2869"/>
    <s v="Advancing Sustainable and State-Led Interventions in Support to the Transition in Bosnia and Herzegovina"/>
    <s v="MOVEMENT, EMERGENCY AND POST-CRISIS MIGRATION MANAGEMENT"/>
    <s v="Bosnia and Herzegovina"/>
    <n v="4500455564"/>
    <m/>
    <s v="Implementing Partner"/>
    <s v="Drustvo Crvenog krsta kriza Bosne i"/>
    <s v="Bosnia and Herzegovina"/>
    <n v="52054.9"/>
    <x v="0"/>
    <x v="4"/>
  </r>
  <r>
    <x v="5"/>
    <s v="DP.2869"/>
    <s v="Advancing Sustainable and State-Led Interventions in Support to the Transition in Bosnia and Herzegovina"/>
    <s v="MOVEMENT, EMERGENCY AND POST-CRISIS MIGRATION MANAGEMENT"/>
    <s v="Bosnia and Herzegovina"/>
    <n v="4500475519"/>
    <m/>
    <s v="Implementing Partner"/>
    <s v="MINISTARSTVO ZA LJUDSKA PRAVA"/>
    <s v="Bosnia and Herzegovina"/>
    <n v="35598.699999999997"/>
    <x v="0"/>
    <x v="9"/>
  </r>
  <r>
    <x v="5"/>
    <s v="DP.2869"/>
    <s v="Advancing Sustainable and State-Led Interventions in Support to the Transition in Bosnia and Herzegovina"/>
    <s v="MOVEMENT, EMERGENCY AND POST-CRISIS MIGRATION MANAGEMENT"/>
    <s v="Bosnia and Herzegovina"/>
    <n v="4500455569"/>
    <m/>
    <s v="Implementing Partner"/>
    <s v="Drustvo Crvenog krsta kriza Bosne i"/>
    <s v="Bosnia and Herzegovina"/>
    <n v="36409.379999999997"/>
    <x v="0"/>
    <x v="4"/>
  </r>
  <r>
    <x v="5"/>
    <s v="DP.2870"/>
    <s v="Provision of Comprehensive Protection and Health Services to Migrants and Internally Displaced Persons (IDPs) in Yemen"/>
    <s v="MOVEMENT, EMERGENCY AND POST-CRISIS MIGRATION MANAGEMENT"/>
    <s v="Yemen"/>
    <n v="4500467523"/>
    <m/>
    <s v="Implementing Partner"/>
    <s v="Danish Refugee Council-YE"/>
    <s v="Yemen"/>
    <n v="921908.86"/>
    <x v="0"/>
    <x v="1"/>
  </r>
  <r>
    <x v="5"/>
    <s v="DP.2870"/>
    <s v="Provision of Comprehensive Protection and Health Services to Migrants and Internally Displaced Persons (IDPs) in Yemen"/>
    <s v="MOVEMENT, EMERGENCY AND POST-CRISIS MIGRATION MANAGEMENT"/>
    <s v="Yemen"/>
    <n v="4500476413"/>
    <m/>
    <s v="Implementing Partner"/>
    <s v="INTERSOS-YE"/>
    <s v="Yemen"/>
    <n v="421940.93"/>
    <x v="0"/>
    <x v="1"/>
  </r>
  <r>
    <x v="5"/>
    <s v="DP.2872"/>
    <s v="Area-Based Intervention for Multi-Sectoral Emergency and Recovery Assistance in Mozambique"/>
    <s v="MOVEMENT, EMERGENCY AND POST-CRISIS MIGRATION MANAGEMENT"/>
    <s v="Mozambique"/>
    <n v="4500468724"/>
    <m/>
    <s v="Implementing Partner"/>
    <s v="Pronanac Educacional"/>
    <s v="Mozambique"/>
    <n v="42000"/>
    <x v="0"/>
    <x v="0"/>
  </r>
  <r>
    <x v="5"/>
    <s v="DP.2873"/>
    <s v="Multi-Sectoral Support for Conflict-Affected Populations and Vulnerable Migrants in Lebanon"/>
    <s v="MOVEMENT, EMERGENCY AND POST-CRISIS MIGRATION MANAGEMENT"/>
    <s v="Lebanon"/>
    <n v="4500458760"/>
    <m/>
    <s v="Implementing Partner"/>
    <s v="Caritas Lebanon Migrant Center"/>
    <s v="Lebanon"/>
    <n v="78000"/>
    <x v="0"/>
    <x v="6"/>
  </r>
  <r>
    <x v="5"/>
    <s v="DP.2875"/>
    <s v="Multi-Sectoral Assistance to Displaced Populations in the Lac Province, Chad"/>
    <s v="MOVEMENT, EMERGENCY AND POST-CRISIS MIGRATION MANAGEMENT"/>
    <s v="Chad"/>
    <n v="4500468411"/>
    <m/>
    <s v="Implementing Partner"/>
    <s v="ASSOCIATION ACTED COMPTE USD"/>
    <s v="Chad"/>
    <n v="247255"/>
    <x v="0"/>
    <x v="1"/>
  </r>
  <r>
    <x v="5"/>
    <s v="DP.2875"/>
    <s v="Multi-Sectoral Assistance to Displaced Populations in the Lac Province, Chad"/>
    <s v="MOVEMENT, EMERGENCY AND POST-CRISIS MIGRATION MANAGEMENT"/>
    <s v="Chad"/>
    <n v="4500480058"/>
    <m/>
    <s v="Implementing Partner"/>
    <s v="CAIDEL"/>
    <s v="Chad"/>
    <n v="248774.22"/>
    <x v="0"/>
    <x v="0"/>
  </r>
  <r>
    <x v="5"/>
    <s v="DP.2881"/>
    <s v="Enhancing Resilience in Border Communities: Climate-Adapted Water Resource Management and Feeder Roads (DARIS WACAN)"/>
    <s v="MOVEMENT, EMERGENCY AND POST-CRISIS MIGRATION MANAGEMENT"/>
    <s v="Kenya"/>
    <n v="4500469701"/>
    <m/>
    <s v="Implementing Partner"/>
    <s v="ORG FOR SUSTAIN DEV AFRICA OSDA"/>
    <s v="Kenya"/>
    <n v="499996.8"/>
    <x v="0"/>
    <x v="3"/>
  </r>
  <r>
    <x v="5"/>
    <s v="DP.2885"/>
    <s v="Direct Lifesaving Assistance for Conflict-Affected Displaced Populations in Eastern Democratic Republic of the Congo"/>
    <s v="MOVEMENT, EMERGENCY AND POST-CRISIS MIGRATION MANAGEMENT"/>
    <s v="Democratic Republic of the Congo"/>
    <n v="4500464302"/>
    <m/>
    <s v="Implementing Partner"/>
    <s v="AIDES"/>
    <s v="Democratic Republic of the Congo"/>
    <n v="1400000"/>
    <x v="0"/>
    <x v="0"/>
  </r>
  <r>
    <x v="5"/>
    <s v="DP.2893"/>
    <s v="IOM –  Bangladesh – Cyclone Remal - 2024"/>
    <s v="MOVEMENT, EMERGENCY AND POST-CRISIS MIGRATION MANAGEMENT"/>
    <s v="Bangladesh"/>
    <n v="4500469488"/>
    <m/>
    <s v="Implementing Partner"/>
    <s v="Friends Village Deve Bangladesh"/>
    <s v="Bangladesh"/>
    <n v="185409.18"/>
    <x v="0"/>
    <x v="0"/>
  </r>
  <r>
    <x v="5"/>
    <s v="DP.2893"/>
    <s v="IOM –  Bangladesh – Cyclone Remal - 2024"/>
    <s v="MOVEMENT, EMERGENCY AND POST-CRISIS MIGRATION MANAGEMENT"/>
    <s v="Bangladesh"/>
    <n v="4500473581"/>
    <m/>
    <s v="Implementing Partner"/>
    <s v="Uttaran"/>
    <s v="Bangladesh"/>
    <n v="262587.17"/>
    <x v="0"/>
    <x v="0"/>
  </r>
  <r>
    <x v="5"/>
    <s v="DP.2895"/>
    <s v="Elevating the Impact of Diaspora Operations and Coordination in Humanitarian Assistance through the Framework for Diaspora Engagement in Humanitarian Assistance – Phase IV"/>
    <s v="MOVEMENT, EMERGENCY AND POST-CRISIS MIGRATION MANAGEMENT"/>
    <s v="United States of America"/>
    <n v="4500460469"/>
    <m/>
    <s v="Implementing Partner"/>
    <s v="DANISH REFUGEE COUNCIL"/>
    <s v="Denmark"/>
    <n v="681985"/>
    <x v="0"/>
    <x v="1"/>
  </r>
  <r>
    <x v="5"/>
    <s v="DP.2895"/>
    <s v="Elevating the Impact of Diaspora Operations and Coordination in Humanitarian Assistance through the Framework for Diaspora Engagement in Humanitarian Assistance – Phase IV"/>
    <s v="MOVEMENT, EMERGENCY AND POST-CRISIS MIGRATION MANAGEMENT"/>
    <s v="United States of America"/>
    <n v="4500474252"/>
    <m/>
    <s v="Implementing Partner"/>
    <s v="Youth Initiative For Land In Africa"/>
    <s v="Benin"/>
    <n v="20000"/>
    <x v="0"/>
    <x v="0"/>
  </r>
  <r>
    <x v="5"/>
    <s v="DP.2895"/>
    <s v="Elevating the Impact of Diaspora Operations and Coordination in Humanitarian Assistance through the Framework for Diaspora Engagement in Humanitarian Assistance – Phase IV"/>
    <s v="MOVEMENT, EMERGENCY AND POST-CRISIS MIGRATION MANAGEMENT"/>
    <s v="United States of America"/>
    <n v="4500478518"/>
    <m/>
    <s v="Implementing Partner"/>
    <s v="THE ADDIS CLINIC INC"/>
    <s v="United States of America"/>
    <n v="19950"/>
    <x v="0"/>
    <x v="1"/>
  </r>
  <r>
    <x v="5"/>
    <s v="DP.2902"/>
    <s v="Ensuring the Delivery of Critical Humanitarian Assistance to Vulnerable Migrants in the Dominican Republic and The Bahamas"/>
    <s v="MOVEMENT, EMERGENCY AND POST-CRISIS MIGRATION MANAGEMENT"/>
    <s v="Dominican Republic"/>
    <n v="4500481009"/>
    <m/>
    <s v="Implementing Partner"/>
    <s v="Movimiento Socio Cultural-MOSCTHA"/>
    <s v="Dominican Republic"/>
    <n v="87356.86"/>
    <x v="0"/>
    <x v="0"/>
  </r>
  <r>
    <x v="5"/>
    <s v="DP.2908"/>
    <s v="Integrated Multisectoral Emergency Response to Conflict and Climate Shocks to Affected Populations in Northern Mozambique"/>
    <s v="MOVEMENT, EMERGENCY AND POST-CRISIS MIGRATION MANAGEMENT"/>
    <s v="Mozambique"/>
    <n v="4500466661"/>
    <m/>
    <s v="Implementing Partner"/>
    <s v="Pronanac Educacional"/>
    <s v="Mozambique"/>
    <n v="57200"/>
    <x v="0"/>
    <x v="0"/>
  </r>
  <r>
    <x v="5"/>
    <s v="DP.2921"/>
    <s v="Provision of Life-Saving Cash and Shelter Assistance to Vulnerable Households Affected by Food Insecurity and Water-Borne Diseases in Nasir, Aweil East and Rubkona counties, South Sudan"/>
    <s v="MOVEMENT, EMERGENCY AND POST-CRISIS MIGRATION MANAGEMENT"/>
    <s v="South Sudan"/>
    <n v="4500470139"/>
    <m/>
    <s v="Implementing Partner"/>
    <s v="CARE FOR CHILDREN AND OLD AGE"/>
    <s v="South Sudan"/>
    <n v="174549"/>
    <x v="0"/>
    <x v="0"/>
  </r>
  <r>
    <x v="5"/>
    <s v="DP.2929"/>
    <s v="Displacement Tracking of Flood-Affected Populations in Chad"/>
    <s v="MOVEMENT, EMERGENCY AND POST-CRISIS MIGRATION MANAGEMENT"/>
    <s v="Chad"/>
    <n v="4500480535"/>
    <m/>
    <s v="Implementing Partner"/>
    <s v="CROIX ROUGE DU TCHAD"/>
    <s v="Chad"/>
    <n v="32172.86"/>
    <x v="0"/>
    <x v="4"/>
  </r>
  <r>
    <x v="5"/>
    <s v="DP.2932"/>
    <s v="Emergency Grant in Response to the Deterioration of the Humanitarian Situation in Lebanon"/>
    <s v="MOVEMENT, EMERGENCY AND POST-CRISIS MIGRATION MANAGEMENT"/>
    <s v="Lebanon"/>
    <n v="4500474709"/>
    <m/>
    <s v="Implementing Partner"/>
    <s v="ACTED"/>
    <s v="Lebanon"/>
    <n v="20000"/>
    <x v="0"/>
    <x v="1"/>
  </r>
  <r>
    <x v="5"/>
    <s v="DP.2932"/>
    <s v="Emergency Grant in Response to the Deterioration of the Humanitarian Situation in Lebanon"/>
    <s v="MOVEMENT, EMERGENCY AND POST-CRISIS MIGRATION MANAGEMENT"/>
    <s v="Lebanon"/>
    <n v="4500478663"/>
    <m/>
    <s v="Implementing Partner"/>
    <s v="FUNDACION ACCION CONTRA EL HAMBRE"/>
    <s v="Lebanon"/>
    <n v="383500"/>
    <x v="0"/>
    <x v="1"/>
  </r>
  <r>
    <x v="5"/>
    <s v="DP.2939"/>
    <s v="​​Multisectoral Humanitarian Assistance to Vulnerable Internally Displaced Persons (IDPs) and Other Conflict-Affected People in Northwest Syria ​(NWS)"/>
    <s v="MOVEMENT, EMERGENCY AND POST-CRISIS MIGRATION MANAGEMENT"/>
    <s v="Turkey"/>
    <n v="4500456641"/>
    <m/>
    <s v="Implementing Partner"/>
    <s v="MUZUN FOR HUMANITARIAN DEVELOPMENT"/>
    <s v="Turkey"/>
    <n v="14996.13"/>
    <x v="0"/>
    <x v="0"/>
  </r>
  <r>
    <x v="5"/>
    <s v="DP.2939"/>
    <s v="​​Multisectoral Humanitarian Assistance to Vulnerable Internally Displaced Persons (IDPs) and Other Conflict-Affected People in Northwest Syria ​(NWS)"/>
    <s v="MOVEMENT, EMERGENCY AND POST-CRISIS MIGRATION MANAGEMENT"/>
    <s v="Turkey"/>
    <n v="4500472237"/>
    <m/>
    <s v="Implementing Partner"/>
    <s v="VATAN DERNEGI"/>
    <s v="Turkey"/>
    <n v="150966.39000000001"/>
    <x v="0"/>
    <x v="0"/>
  </r>
  <r>
    <x v="5"/>
    <s v="DP.2939"/>
    <s v="​​Multisectoral Humanitarian Assistance to Vulnerable Internally Displaced Persons (IDPs) and Other Conflict-Affected People in Northwest Syria ​(NWS)"/>
    <s v="MOVEMENT, EMERGENCY AND POST-CRISIS MIGRATION MANAGEMENT"/>
    <s v="Turkey"/>
    <n v="4500474528"/>
    <m/>
    <s v="Implementing Partner"/>
    <s v="ULUSLARARASI INSANI YARDIMLASMA DER"/>
    <s v="Turkey"/>
    <n v="548798.18000000005"/>
    <x v="0"/>
    <x v="0"/>
  </r>
  <r>
    <x v="5"/>
    <s v="DP.2939"/>
    <s v="​​Multisectoral Humanitarian Assistance to Vulnerable Internally Displaced Persons (IDPs) and Other Conflict-Affected People in Northwest Syria ​(NWS)"/>
    <s v="MOVEMENT, EMERGENCY AND POST-CRISIS MIGRATION MANAGEMENT"/>
    <s v="Turkey"/>
    <n v="4500475176"/>
    <m/>
    <s v="Implementing Partner"/>
    <s v="Kudra for Social Development Soluti"/>
    <s v="Turkey"/>
    <n v="130687.5"/>
    <x v="0"/>
    <x v="3"/>
  </r>
  <r>
    <x v="5"/>
    <s v="DP.2939"/>
    <s v="​​Multisectoral Humanitarian Assistance to Vulnerable Internally Displaced Persons (IDPs) and Other Conflict-Affected People in Northwest Syria ​(NWS)"/>
    <s v="MOVEMENT, EMERGENCY AND POST-CRISIS MIGRATION MANAGEMENT"/>
    <s v="Turkey"/>
    <n v="4500476350"/>
    <m/>
    <s v="Implementing Partner"/>
    <s v="MUZUN FOR HUMANITARIAN DEVELOPMENT"/>
    <s v="Turkey"/>
    <n v="22435.58"/>
    <x v="0"/>
    <x v="0"/>
  </r>
  <r>
    <x v="5"/>
    <s v="DP.2939"/>
    <s v="​​Multisectoral Humanitarian Assistance to Vulnerable Internally Displaced Persons (IDPs) and Other Conflict-Affected People in Northwest Syria ​(NWS)"/>
    <s v="MOVEMENT, EMERGENCY AND POST-CRISIS MIGRATION MANAGEMENT"/>
    <s v="Turkey"/>
    <n v="4500476360"/>
    <m/>
    <s v="Implementing Partner"/>
    <s v="VIOLET ORGANIZATION"/>
    <s v="Turkey"/>
    <n v="27649.98"/>
    <x v="0"/>
    <x v="0"/>
  </r>
  <r>
    <x v="5"/>
    <s v="DP.2939"/>
    <s v="​​Multisectoral Humanitarian Assistance to Vulnerable Internally Displaced Persons (IDPs) and Other Conflict-Affected People in Northwest Syria ​(NWS)"/>
    <s v="MOVEMENT, EMERGENCY AND POST-CRISIS MIGRATION MANAGEMENT"/>
    <s v="Turkey"/>
    <n v="4500476365"/>
    <m/>
    <s v="Implementing Partner"/>
    <s v="ULUSLARARASI INSANI YARDIMLASMA DER"/>
    <s v="Turkey"/>
    <n v="25723.200000000001"/>
    <x v="0"/>
    <x v="0"/>
  </r>
  <r>
    <x v="5"/>
    <s v="DP.2939"/>
    <s v="​​Multisectoral Humanitarian Assistance to Vulnerable Internally Displaced Persons (IDPs) and Other Conflict-Affected People in Northwest Syria ​(NWS)"/>
    <s v="MOVEMENT, EMERGENCY AND POST-CRISIS MIGRATION MANAGEMENT"/>
    <s v="Turkey"/>
    <n v="4500479450"/>
    <m/>
    <s v="Implementing Partner"/>
    <s v="VATAN DERNEGI"/>
    <s v="Turkey"/>
    <n v="547995.97"/>
    <x v="0"/>
    <x v="0"/>
  </r>
  <r>
    <x v="5"/>
    <s v="DP.2939"/>
    <s v="​​Multisectoral Humanitarian Assistance to Vulnerable Internally Displaced Persons (IDPs) and Other Conflict-Affected People in Northwest Syria ​(NWS)"/>
    <s v="MOVEMENT, EMERGENCY AND POST-CRISIS MIGRATION MANAGEMENT"/>
    <s v="Turkey"/>
    <n v="4500479589"/>
    <m/>
    <s v="Implementing Partner"/>
    <s v="ULUSLARARASI INSANI YARDIMLASMA DER"/>
    <s v="Turkey"/>
    <n v="30000"/>
    <x v="0"/>
    <x v="0"/>
  </r>
  <r>
    <x v="5"/>
    <s v="DP.2939"/>
    <s v="​​Multisectoral Humanitarian Assistance to Vulnerable Internally Displaced Persons (IDPs) and Other Conflict-Affected People in Northwest Syria ​(NWS)"/>
    <s v="MOVEMENT, EMERGENCY AND POST-CRISIS MIGRATION MANAGEMENT"/>
    <s v="Turkey"/>
    <n v="4500480722"/>
    <m/>
    <s v="Implementing Partner"/>
    <s v="VIOLET ORGANIZATION"/>
    <s v="Turkey"/>
    <n v="36562.19"/>
    <x v="0"/>
    <x v="0"/>
  </r>
  <r>
    <x v="5"/>
    <s v="DP.2939"/>
    <s v="​​Multisectoral Humanitarian Assistance to Vulnerable Internally Displaced Persons (IDPs) and Other Conflict-Affected People in Northwest Syria ​(NWS)"/>
    <s v="MOVEMENT, EMERGENCY AND POST-CRISIS MIGRATION MANAGEMENT"/>
    <s v="Turkey"/>
    <n v="4500480810"/>
    <m/>
    <s v="Implementing Partner"/>
    <s v="ULUSLARARASI INSANI YARDIMLASMA DER"/>
    <s v="Turkey"/>
    <n v="40381.57"/>
    <x v="0"/>
    <x v="0"/>
  </r>
  <r>
    <x v="5"/>
    <s v="DP.2939"/>
    <s v="​​Multisectoral Humanitarian Assistance to Vulnerable Internally Displaced Persons (IDPs) and Other Conflict-Affected People in Northwest Syria ​(NWS)"/>
    <s v="MOVEMENT, EMERGENCY AND POST-CRISIS MIGRATION MANAGEMENT"/>
    <s v="Turkey"/>
    <n v="4500480818"/>
    <m/>
    <s v="Implementing Partner"/>
    <s v="MUZUN FOR HUMANITARIAN DEVELOPMENT"/>
    <s v="Turkey"/>
    <n v="40139.94"/>
    <x v="0"/>
    <x v="0"/>
  </r>
  <r>
    <x v="5"/>
    <s v="DP.2940"/>
    <s v="German Federal Foreign Office (GFFO) Contribution to IOM's Humanitarian Response in Ukraine and Neighbouring Countries 2024"/>
    <s v="MOVEMENT, EMERGENCY AND POST-CRISIS MIGRATION MANAGEMENT"/>
    <s v="Czechia"/>
    <n v="4500455867"/>
    <m/>
    <s v="Implementing Partner"/>
    <s v="Diakonie CCE - SZC"/>
    <s v="Czechia"/>
    <n v="15845"/>
    <x v="0"/>
    <x v="1"/>
  </r>
  <r>
    <x v="5"/>
    <s v="DP.2940"/>
    <s v="German Federal Foreign Office (GFFO) Contribution to IOM's Humanitarian Response in Ukraine and Neighbouring Countries 2024"/>
    <s v="MOVEMENT, EMERGENCY AND POST-CRISIS MIGRATION MANAGEMENT"/>
    <s v="Czechia"/>
    <n v="4500458225"/>
    <m/>
    <s v="Implementing Partner"/>
    <s v="Romodrom o.p.s."/>
    <s v="Czechia"/>
    <n v="35400"/>
    <x v="0"/>
    <x v="0"/>
  </r>
  <r>
    <x v="5"/>
    <s v="DP.2940"/>
    <s v="German Federal Foreign Office (GFFO) Contribution to IOM's Humanitarian Response in Ukraine and Neighbouring Countries 2024"/>
    <s v="MOVEMENT, EMERGENCY AND POST-CRISIS MIGRATION MANAGEMENT"/>
    <s v="Czechia"/>
    <n v="4500479435"/>
    <m/>
    <s v="Implementing Partner"/>
    <s v="Diakonie CCE - SCPS"/>
    <s v="Czechia"/>
    <n v="18354.43"/>
    <x v="0"/>
    <x v="1"/>
  </r>
  <r>
    <x v="5"/>
    <s v="DP.2940"/>
    <s v="German Federal Foreign Office (GFFO) Contribution to IOM's Humanitarian Response in Ukraine and Neighbouring Countries 2024"/>
    <s v="MOVEMENT, EMERGENCY AND POST-CRISIS MIGRATION MANAGEMENT"/>
    <s v="Hungary"/>
    <n v="4500477865"/>
    <m/>
    <s v="Implementing Partner"/>
    <s v="Menedek-Hungarian Association"/>
    <s v="Hungary"/>
    <n v="15297.67"/>
    <x v="0"/>
    <x v="0"/>
  </r>
  <r>
    <x v="5"/>
    <s v="DP.2944"/>
    <s v="Provision of Humanitarian Assistance: Lebanon Humanitarian Crisis"/>
    <s v="MOVEMENT, EMERGENCY AND POST-CRISIS MIGRATION MANAGEMENT"/>
    <s v="Lebanon"/>
    <n v="4500474709"/>
    <m/>
    <s v="Implementing Partner"/>
    <s v="ACTED"/>
    <s v="Lebanon"/>
    <n v="400000"/>
    <x v="0"/>
    <x v="1"/>
  </r>
  <r>
    <x v="5"/>
    <s v="DP.2944"/>
    <s v="Provision of Humanitarian Assistance: Lebanon Humanitarian Crisis"/>
    <s v="MOVEMENT, EMERGENCY AND POST-CRISIS MIGRATION MANAGEMENT"/>
    <s v="Lebanon"/>
    <n v="4500478663"/>
    <m/>
    <s v="Implementing Partner"/>
    <s v="FUNDACION ACCION CONTRA EL HAMBRE"/>
    <s v="Lebanon"/>
    <n v="76500"/>
    <x v="0"/>
    <x v="1"/>
  </r>
  <r>
    <x v="5"/>
    <s v="DP.2950"/>
    <s v="Saving Lives &amp; Building Resilience by Bridging the Gap between Humanitarian Assistance Development in Nariño, Cauca and Atlántico, Colombia"/>
    <s v="MOVEMENT, EMERGENCY AND POST-CRISIS MIGRATION MANAGEMENT"/>
    <s v="Colombia"/>
    <n v="4500480329"/>
    <m/>
    <s v="Implementing Partner"/>
    <s v="CLUB KIWANIS NUBES VERDES"/>
    <s v="Colombia"/>
    <n v="186567.85"/>
    <x v="0"/>
    <x v="1"/>
  </r>
  <r>
    <x v="5"/>
    <s v="DP.2956"/>
    <s v="The Project for Livelihood Improvement for Displaced Persons from Myanmar and Host Communities in Cox's Bazar District and Bhasan Char"/>
    <s v="MOVEMENT, EMERGENCY AND POST-CRISIS MIGRATION MANAGEMENT"/>
    <s v="Bangladesh"/>
    <n v="4500482260"/>
    <m/>
    <s v="Implementing Partner"/>
    <s v="PROTTYASHI"/>
    <s v="Bangladesh"/>
    <n v="240594.98"/>
    <x v="0"/>
    <x v="3"/>
  </r>
  <r>
    <x v="5"/>
    <s v="DP.2958"/>
    <s v="Support of IOM Activities in Pakistan Outlined in the 2024-25 Regional Refugee Response Plan (3RP) for Afghanistan Situation"/>
    <s v="MOVEMENT, EMERGENCY AND POST-CRISIS MIGRATION MANAGEMENT"/>
    <s v="Pakistan"/>
    <n v="4500468248"/>
    <m/>
    <s v="Implementing Partner"/>
    <s v="Initiative for Develop and Empowerm"/>
    <s v="Pakistan"/>
    <n v="29523.759999999998"/>
    <x v="0"/>
    <x v="0"/>
  </r>
  <r>
    <x v="5"/>
    <s v="DR.0060"/>
    <s v="The Bor Flood Mitigation Project"/>
    <s v="MIGRATION AND DEVELOPMENT"/>
    <s v="South Sudan"/>
    <n v="4500473553"/>
    <m/>
    <s v="Implementing Partner"/>
    <s v="Dr.John Garang University Science T"/>
    <s v="South Sudan"/>
    <n v="81775"/>
    <x v="0"/>
    <x v="2"/>
  </r>
  <r>
    <x v="5"/>
    <s v="DR.0065"/>
    <s v="Restoring the Environment and Strengthening Resilience of Rohingya Refugees and Host Communities in Cox’s Bazar"/>
    <s v="MIGRATION AND DEVELOPMENT"/>
    <s v="Bangladesh"/>
    <n v="4500476657"/>
    <m/>
    <s v="Implementing Partner"/>
    <s v="Society for Health Extension &amp;Dev.("/>
    <s v="Bangladesh"/>
    <n v="131128.23000000001"/>
    <x v="0"/>
    <x v="3"/>
  </r>
  <r>
    <x v="5"/>
    <s v="DR.0084"/>
    <s v="Bosnia and Herzegovina: Strengthening Local Capacities for Disaster Preparedness and Response"/>
    <s v="MIGRATION AND DEVELOPMENT"/>
    <s v="Bosnia and Herzegovina"/>
    <n v="4500455485"/>
    <m/>
    <s v="Implementing Partner"/>
    <s v="Drustvo Crvenog krsta kriza Bosne i"/>
    <s v="Bosnia and Herzegovina"/>
    <n v="96170.4"/>
    <x v="0"/>
    <x v="4"/>
  </r>
  <r>
    <x v="5"/>
    <s v="DR.0091"/>
    <s v="Enhancing Protection and Strengthening Resilience of Vulnerable Refugee Hosting Communities in Cox's Bazar"/>
    <s v="MIGRATION AND DEVELOPMENT"/>
    <s v="Bangladesh"/>
    <n v="4500481924"/>
    <m/>
    <s v="Implementing Partner"/>
    <s v="YPSA"/>
    <s v="Bangladesh"/>
    <n v="203221.76000000001"/>
    <x v="0"/>
    <x v="0"/>
  </r>
  <r>
    <x v="5"/>
    <s v="DX.0101"/>
    <s v="Strengthening the Evidence Base on Human Mobility Along the Eastern Corridor Under the Migrant Response Plan (MRP)"/>
    <s v="MOVEMENT, EMERGENCY AND POST-CRISIS MIGRATION MANAGEMENT"/>
    <s v="Kenya"/>
    <n v="4500469054"/>
    <m/>
    <s v="Implementing Partner"/>
    <s v="ORG FOR SUSTAIN DEV AFRICA OSDA"/>
    <s v="Kenya"/>
    <n v="72000"/>
    <x v="0"/>
    <x v="3"/>
  </r>
  <r>
    <x v="5"/>
    <s v="DX.0141"/>
    <s v="Supporting Multi-Sector Emergency Response Assistance for Populations Affected by the North-West, South-West Crisis in Cameroon"/>
    <s v="MOVEMENT, EMERGENCY AND POST-CRISIS MIGRATION MANAGEMENT"/>
    <s v="Cameroon"/>
    <n v="4500454872"/>
    <m/>
    <s v="Implementing Partner"/>
    <s v="STRATEGIC HUMANITARIAN SERVICES"/>
    <s v="Cameroon"/>
    <n v="124039.03999999999"/>
    <x v="0"/>
    <x v="0"/>
  </r>
  <r>
    <x v="5"/>
    <s v="DX.0141"/>
    <s v="Supporting Multi-Sector Emergency Response Assistance for Populations Affected by the North-West, South-West Crisis in Cameroon"/>
    <s v="MOVEMENT, EMERGENCY AND POST-CRISIS MIGRATION MANAGEMENT"/>
    <s v="Cameroon"/>
    <n v="4500454882"/>
    <m/>
    <s v="Implementing Partner"/>
    <s v="CARITAS DIOCESE OF KUMBA"/>
    <s v="Cameroon"/>
    <n v="122020.96"/>
    <x v="0"/>
    <x v="6"/>
  </r>
  <r>
    <x v="5"/>
    <s v="EP.0053"/>
    <s v="The United Nations’ Interagency Plan to Build the Capacity of Local Partners to Prepare and Respond to the Needs of People In-Transit through Costa Rica"/>
    <s v="MOVEMENT, EMERGENCY AND POST-CRISIS MIGRATION MANAGEMENT"/>
    <s v="Costa Rica"/>
    <n v="4500468631"/>
    <m/>
    <s v="Implementing Partner"/>
    <s v="FONDO DE NACIONES UNIDAS PARA LA"/>
    <s v="Costa Rica"/>
    <n v="837376.72"/>
    <x v="0"/>
    <x v="7"/>
  </r>
  <r>
    <x v="5"/>
    <s v="EP.0053"/>
    <s v="The United Nations’ Interagency Plan to Build the Capacity of Local Partners to Prepare and Respond to the Needs of People In-Transit through Costa Rica"/>
    <s v="MOVEMENT, EMERGENCY AND POST-CRISIS MIGRATION MANAGEMENT"/>
    <s v="Costa Rica"/>
    <n v="4500469096"/>
    <m/>
    <s v="Implementing Partner"/>
    <s v="Fondo de Poblacion de las Naciones"/>
    <s v="Costa Rica"/>
    <n v="211717.47"/>
    <x v="0"/>
    <x v="7"/>
  </r>
  <r>
    <x v="5"/>
    <s v="EP.0053"/>
    <s v="The United Nations’ Interagency Plan to Build the Capacity of Local Partners to Prepare and Respond to the Needs of People In-Transit through Costa Rica"/>
    <s v="MOVEMENT, EMERGENCY AND POST-CRISIS MIGRATION MANAGEMENT"/>
    <s v="Costa Rica"/>
    <n v="4500480765"/>
    <m/>
    <s v="Implementing Partner"/>
    <s v="United Nations High Commissioner"/>
    <s v="Costa Rica"/>
    <n v="579279.72"/>
    <x v="0"/>
    <x v="7"/>
  </r>
  <r>
    <x v="5"/>
    <s v="MP.0629"/>
    <s v="Emergency Assistance for Vulnerable Populations in the States of Amazonas, Apure, Bolivar, Delta Amacuro and Zulia in Venezuela"/>
    <s v="MIGRATION HEALTH"/>
    <s v="Venezuela (Bolivarian Republic of)"/>
    <n v="4500467133"/>
    <m/>
    <s v="Implementing Partner"/>
    <s v="FUNDACION VEN DA TU MANO"/>
    <s v="Venezuela (Bolivarian Republic of)"/>
    <n v="150000"/>
    <x v="0"/>
    <x v="0"/>
  </r>
  <r>
    <x v="5"/>
    <s v="MP.0633"/>
    <s v="Safe in Lebanon: Promoting Health and Well-being in Communities Prone to Irregular Migration"/>
    <s v="MIGRATION HEALTH"/>
    <s v="Lebanon"/>
    <n v="4500471888"/>
    <m/>
    <s v="Implementing Partner"/>
    <s v="RESTART CENTER"/>
    <s v="Lebanon"/>
    <n v="100000"/>
    <x v="0"/>
    <x v="0"/>
  </r>
  <r>
    <x v="5"/>
    <s v="SN.0208"/>
    <s v="Ensuring Protection and Life-Saving Assistance to Populations Affected by Gangs Violence in Haiti"/>
    <s v="MOVEMENT, EMERGENCY AND POST-CRISIS MIGRATION MANAGEMENT"/>
    <s v="Haiti"/>
    <n v="4500456750"/>
    <m/>
    <s v="Implementing Partner"/>
    <s v="CESVI"/>
    <s v="Afghanistan"/>
    <n v="135000"/>
    <x v="0"/>
    <x v="1"/>
  </r>
  <r>
    <x v="5"/>
    <s v="SN.0208"/>
    <s v="Ensuring Protection and Life-Saving Assistance to Populations Affected by Gangs Violence in Haiti"/>
    <s v="MOVEMENT, EMERGENCY AND POST-CRISIS MIGRATION MANAGEMENT"/>
    <s v="Haiti"/>
    <n v="4500458605"/>
    <m/>
    <s v="Implementing Partner"/>
    <s v="ALIMA ALLIANCE FOR INT MED ACTION"/>
    <s v="Ukraine"/>
    <n v="200000"/>
    <x v="0"/>
    <x v="1"/>
  </r>
  <r>
    <x v="5"/>
    <s v="SN.0208"/>
    <s v="Ensuring Protection and Life-Saving Assistance to Populations Affected by Gangs Violence in Haiti"/>
    <s v="MOVEMENT, EMERGENCY AND POST-CRISIS MIGRATION MANAGEMENT"/>
    <s v="Haiti"/>
    <n v="4500477531"/>
    <m/>
    <s v="Implementing Partner"/>
    <s v="Fondation SEROvie-SEROvie ARPA"/>
    <s v="Haiti"/>
    <n v="350000"/>
    <x v="0"/>
    <x v="0"/>
  </r>
  <r>
    <x v="5"/>
    <s v="SN.0236"/>
    <s v="Lifesaving Assistance to Displaced Populations in the Far-North and South-West Regions of Cameroon through Shelter/Non-food Items (NFI) and Cash for Rent"/>
    <s v="MOVEMENT, EMERGENCY AND POST-CRISIS MIGRATION MANAGEMENT"/>
    <s v="Cameroon"/>
    <n v="4500454893"/>
    <m/>
    <s v="Implementing Partner"/>
    <s v="CARITAS DIOCESE OF KUMBA"/>
    <s v="Cameroon"/>
    <n v="78167.09"/>
    <x v="0"/>
    <x v="6"/>
  </r>
  <r>
    <x v="5"/>
    <s v="DP.2659"/>
    <s v="Provision of Humanitarian Coordination, Shelter and Settlements, Water, Sanitation and Hygiene (WASH), Multi-Purpose Cash Assistance (MPCA), Health and Protection Assistance for Crisis-Affected Populations in Ethiopia"/>
    <s v="MOVEMENT, EMERGENCY AND POST-CRISIS MIGRATION MANAGEMENT"/>
    <s v="Ethiopia"/>
    <n v="4500464186"/>
    <m/>
    <s v="Entity Grants"/>
    <s v="Kelem Ethiopia"/>
    <s v="Ethiopia"/>
    <n v="356808.85"/>
    <x v="0"/>
    <x v="0"/>
  </r>
  <r>
    <x v="5"/>
    <s v="DP.2659"/>
    <s v="Provision of Humanitarian Coordination, Shelter and Settlements, Water, Sanitation and Hygiene (WASH), Multi-Purpose Cash Assistance (MPCA), Health and Protection Assistance for Crisis-Affected Populations in Ethiopia"/>
    <s v="MOVEMENT, EMERGENCY AND POST-CRISIS MIGRATION MANAGEMENT"/>
    <s v="Ethiopia"/>
    <n v="4500464192"/>
    <m/>
    <s v="Entity Grants"/>
    <s v="Partnership for Pastoralist Devt As"/>
    <s v="Ethiopia"/>
    <n v="369324.12"/>
    <x v="0"/>
    <x v="0"/>
  </r>
  <r>
    <x v="5"/>
    <s v="DP.2659"/>
    <s v="Provision of Humanitarian Coordination, Shelter and Settlements, Water, Sanitation and Hygiene (WASH), Multi-Purpose Cash Assistance (MPCA), Health and Protection Assistance for Crisis-Affected Populations in Ethiopia"/>
    <s v="MOVEMENT, EMERGENCY AND POST-CRISIS MIGRATION MANAGEMENT"/>
    <s v="Ethiopia"/>
    <n v="4500464196"/>
    <m/>
    <s v="Entity Grants"/>
    <s v="Advocacy Center Democracy Developme"/>
    <s v="Ethiopia"/>
    <n v="387806.86"/>
    <x v="0"/>
    <x v="0"/>
  </r>
  <r>
    <x v="5"/>
    <s v="DP.2659"/>
    <s v="Provision of Humanitarian Coordination, Shelter and Settlements, Water, Sanitation and Hygiene (WASH), Multi-Purpose Cash Assistance (MPCA), Health and Protection Assistance for Crisis-Affected Populations in Ethiopia"/>
    <s v="MOVEMENT, EMERGENCY AND POST-CRISIS MIGRATION MANAGEMENT"/>
    <s v="Ethiopia"/>
    <n v="4500465860"/>
    <m/>
    <s v="Entity Grants"/>
    <s v="ZOA RELIEF /HOPE/ RECOVERY"/>
    <s v="Ethiopia"/>
    <n v="388340.67"/>
    <x v="0"/>
    <x v="1"/>
  </r>
  <r>
    <x v="5"/>
    <s v="DP.2659"/>
    <s v="Provision of Humanitarian Coordination, Shelter and Settlements, Water, Sanitation and Hygiene (WASH), Multi-Purpose Cash Assistance (MPCA), Health and Protection Assistance for Crisis-Affected Populations in Ethiopia"/>
    <s v="MOVEMENT, EMERGENCY AND POST-CRISIS MIGRATION MANAGEMENT"/>
    <s v="Ethiopia"/>
    <n v="4500468775"/>
    <m/>
    <s v="Entity Grants"/>
    <s v="Development for Peace Organization"/>
    <s v="Ethiopia"/>
    <n v="232009.99"/>
    <x v="0"/>
    <x v="0"/>
  </r>
  <r>
    <x v="6"/>
    <s v="DP.2470"/>
    <s v="MOVEMENT, EMERGENCY AND POST-CRISIS MIGRATION MANAGEMENT"/>
    <s v="IOM Flash Appeal for Ukraine and Neighbouring Countries 2022 - Norway"/>
    <s v="Ukraine"/>
    <n v="4500439194"/>
    <m/>
    <s v="Implementing Partner"/>
    <s v="NGO ROAD TO LIFE"/>
    <s v="Ukraine"/>
    <n v="39278.67"/>
    <x v="0"/>
    <x v="0"/>
  </r>
  <r>
    <x v="6"/>
    <s v="DP.2470"/>
    <s v="MOVEMENT, EMERGENCY AND POST-CRISIS MIGRATION MANAGEMENT"/>
    <s v="IOM Flash Appeal for Ukraine and Neighbouring Countries 2022 - Norway"/>
    <s v="Ukraine"/>
    <n v="4500439423"/>
    <m/>
    <s v="Implementing Partner"/>
    <s v="NGO Caritas I-F Char Foundation"/>
    <s v="Ukraine"/>
    <n v="43529.36"/>
    <x v="0"/>
    <x v="6"/>
  </r>
  <r>
    <x v="6"/>
    <s v="DP.2470"/>
    <s v="MOVEMENT, EMERGENCY AND POST-CRISIS MIGRATION MANAGEMENT"/>
    <s v="IOM Flash Appeal for Ukraine and Neighbouring Countries 2022 - Norway"/>
    <s v="Ukraine"/>
    <n v="4500439428"/>
    <m/>
    <s v="Implementing Partner"/>
    <s v="NGO FAIITH HOPE LOVE - ODESA"/>
    <s v="Ukraine"/>
    <n v="42566.27"/>
    <x v="0"/>
    <x v="0"/>
  </r>
  <r>
    <x v="6"/>
    <s v="DP.2470"/>
    <s v="MOVEMENT, EMERGENCY AND POST-CRISIS MIGRATION MANAGEMENT"/>
    <s v="IOM Flash Appeal for Ukraine and Neighbouring Countries 2022 - Norway"/>
    <s v="Ukraine"/>
    <n v="4500439430"/>
    <m/>
    <s v="Implementing Partner"/>
    <s v="NGO Liubystok"/>
    <s v="Ukraine"/>
    <n v="47287.03"/>
    <x v="0"/>
    <x v="0"/>
  </r>
  <r>
    <x v="6"/>
    <s v="DP.2470"/>
    <s v="MOVEMENT, EMERGENCY AND POST-CRISIS MIGRATION MANAGEMENT"/>
    <s v="IOM Flash Appeal for Ukraine and Neighbouring Countries 2022 - Norway"/>
    <s v="Ukraine"/>
    <n v="4500439425"/>
    <m/>
    <s v="Implementing Partner"/>
    <s v="NGO Spring of Hope. Ukraine"/>
    <s v="Ukraine"/>
    <n v="53000"/>
    <x v="0"/>
    <x v="0"/>
  </r>
  <r>
    <x v="6"/>
    <s v="DP.2413"/>
    <s v="MOVEMENT, EMERGENCY AND POST-CRISIS MIGRATION MANAGEMENT"/>
    <s v="Support to Displaced Afghans in Pakistan, Iran, Central Asia, and Afghanistan"/>
    <s v="Afghanistan"/>
    <n v="4500436404"/>
    <m/>
    <s v="Implementing Partner"/>
    <s v="Norwegian Refugee Council NRC"/>
    <s v="Afghanistan"/>
    <n v="979635.58"/>
    <x v="0"/>
    <x v="1"/>
  </r>
  <r>
    <x v="6"/>
    <s v="DP.2470"/>
    <s v="MOVEMENT, EMERGENCY AND POST-CRISIS MIGRATION MANAGEMENT"/>
    <s v="IOM Flash Appeal for Ukraine and Neighbouring Countries 2022 - Norway"/>
    <s v="Ukraine"/>
    <n v="4500439420"/>
    <m/>
    <s v="Implementing Partner"/>
    <s v="NGO Revival of the Nation"/>
    <s v="Ukraine"/>
    <n v="34204.82"/>
    <x v="0"/>
    <x v="0"/>
  </r>
  <r>
    <x v="6"/>
    <s v="DP.2470"/>
    <s v="MOVEMENT, EMERGENCY AND POST-CRISIS MIGRATION MANAGEMENT"/>
    <s v="IOM Flash Appeal for Ukraine and Neighbouring Countries 2022 - Norway"/>
    <s v="Ukraine"/>
    <n v="4500439433"/>
    <m/>
    <s v="Implementing Partner"/>
    <s v="CLEAR PAPER"/>
    <s v="Ukraine"/>
    <n v="104384.58"/>
    <x v="0"/>
    <x v="0"/>
  </r>
  <r>
    <x v="6"/>
    <s v="DP.2470"/>
    <s v="MOVEMENT, EMERGENCY AND POST-CRISIS MIGRATION MANAGEMENT"/>
    <s v="IOM Flash Appeal for Ukraine and Neighbouring Countries 2022 - Norway"/>
    <s v="Ukraine"/>
    <n v="4500440064"/>
    <m/>
    <s v="Implementing Partner"/>
    <s v="BO STO VIDSOTKIV ZHYTTIA CHERKASY"/>
    <s v="Ukraine"/>
    <n v="49709.64"/>
    <x v="0"/>
    <x v="0"/>
  </r>
  <r>
    <x v="6"/>
    <s v="DP.2537"/>
    <s v="MOVEMENT, EMERGENCY AND POST-CRISIS MIGRATION MANAGEMENT"/>
    <s v="Protecting Vulnerable Migrants and Stabilizing Communities in Libya /Phase III"/>
    <s v="Libya"/>
    <n v="4500444518"/>
    <m/>
    <s v="Implementing Partner"/>
    <s v="ENGINEERING ORGANIZATION OF DEVELOP"/>
    <s v="Libya"/>
    <n v="70000.210000000006"/>
    <x v="0"/>
    <x v="0"/>
  </r>
  <r>
    <x v="6"/>
    <s v="DP.2537"/>
    <s v="MOVEMENT, EMERGENCY AND POST-CRISIS MIGRATION MANAGEMENT"/>
    <s v="Protecting Vulnerable Migrants and Stabilizing Communities in Libya /Phase III"/>
    <s v="Libya"/>
    <n v="4500444523"/>
    <m/>
    <s v="Implementing Partner"/>
    <s v="Future Makers Society"/>
    <s v="Libya"/>
    <n v="55467.11"/>
    <x v="0"/>
    <x v="0"/>
  </r>
  <r>
    <x v="6"/>
    <s v="DP.2537"/>
    <s v="MOVEMENT, EMERGENCY AND POST-CRISIS MIGRATION MANAGEMENT"/>
    <s v="Protecting Vulnerable Migrants and Stabilizing Communities in Libya /Phase III"/>
    <s v="Libya"/>
    <n v="4500444522"/>
    <m/>
    <s v="Implementing Partner"/>
    <s v="FAB LAB Libya"/>
    <s v="Libya"/>
    <n v="66975.53"/>
    <x v="0"/>
    <x v="0"/>
  </r>
  <r>
    <x v="6"/>
    <s v="DP.2537"/>
    <s v="MOVEMENT, EMERGENCY AND POST-CRISIS MIGRATION MANAGEMENT"/>
    <s v="Protecting Vulnerable Migrants and Stabilizing Communities in Libya /Phase III"/>
    <s v="Libya"/>
    <n v="4500444524"/>
    <m/>
    <s v="Implementing Partner"/>
    <s v="Youth and Giving Organization"/>
    <s v="Tunisia"/>
    <n v="66015.44"/>
    <x v="0"/>
    <x v="8"/>
  </r>
  <r>
    <x v="6"/>
    <s v="DP.2545"/>
    <s v="MOVEMENT, EMERGENCY AND POST-CRISIS MIGRATION MANAGEMENT"/>
    <s v="Rapid Response Fund for Humanitarian Emergencies in Sudan"/>
    <s v="Sudan"/>
    <n v="4500452143"/>
    <m/>
    <s v="Implementing Partner"/>
    <s v="Africa Humanitarian Action"/>
    <s v="Sudan"/>
    <n v="211539"/>
    <x v="0"/>
    <x v="1"/>
  </r>
  <r>
    <x v="6"/>
    <s v="DP.2545"/>
    <s v="MOVEMENT, EMERGENCY AND POST-CRISIS MIGRATION MANAGEMENT"/>
    <s v="Rapid Response Fund for Humanitarian Emergencies in Sudan"/>
    <s v="Sudan"/>
    <n v="4500450860"/>
    <m/>
    <s v="Implementing Partner"/>
    <s v="HUMAN APPEAL"/>
    <s v="Sudan"/>
    <n v="226744"/>
    <x v="0"/>
    <x v="1"/>
  </r>
  <r>
    <x v="6"/>
    <s v="DP.2545"/>
    <s v="MOVEMENT, EMERGENCY AND POST-CRISIS MIGRATION MANAGEMENT"/>
    <s v="Rapid Response Fund for Humanitarian Emergencies in Sudan"/>
    <s v="Sudan"/>
    <n v="4500441422"/>
    <m/>
    <s v="Implementing Partner"/>
    <s v="Peace Light for Rural Development"/>
    <s v="Sudan"/>
    <n v="222745"/>
    <x v="0"/>
    <x v="0"/>
  </r>
  <r>
    <x v="6"/>
    <s v="DP.2545"/>
    <s v="MOVEMENT, EMERGENCY AND POST-CRISIS MIGRATION MANAGEMENT"/>
    <s v="Rapid Response Fund for Humanitarian Emergencies in Sudan"/>
    <s v="Sudan"/>
    <n v="4500439099"/>
    <m/>
    <s v="Implementing Partner"/>
    <s v="Hope and Friendship for Development"/>
    <s v="Sudan"/>
    <n v="50642"/>
    <x v="0"/>
    <x v="0"/>
  </r>
  <r>
    <x v="6"/>
    <s v="DP.2545"/>
    <s v="MOVEMENT, EMERGENCY AND POST-CRISIS MIGRATION MANAGEMENT"/>
    <s v="Rapid Response Fund for Humanitarian Emergencies in Sudan"/>
    <s v="Sudan"/>
    <n v="4500439967"/>
    <m/>
    <s v="Implementing Partner"/>
    <s v="Samaritan Aid Organization"/>
    <s v="Sudan"/>
    <n v="78900"/>
    <x v="0"/>
    <x v="0"/>
  </r>
  <r>
    <x v="6"/>
    <s v="DP.2545"/>
    <s v="MOVEMENT, EMERGENCY AND POST-CRISIS MIGRATION MANAGEMENT"/>
    <s v="Rapid Response Fund for Humanitarian Emergencies in Sudan"/>
    <s v="Sudan"/>
    <n v="4500445842"/>
    <m/>
    <s v="Implementing Partner"/>
    <s v="Hands for Relief An Development Org"/>
    <s v="Sudan"/>
    <n v="85985"/>
    <x v="0"/>
    <x v="8"/>
  </r>
  <r>
    <x v="6"/>
    <s v="DP.2545"/>
    <s v="MOVEMENT, EMERGENCY AND POST-CRISIS MIGRATION MANAGEMENT"/>
    <s v="Rapid Response Fund for Humanitarian Emergencies in Sudan"/>
    <s v="Sudan"/>
    <n v="4500445835"/>
    <m/>
    <s v="Implementing Partner"/>
    <s v="Kuwaiti Patients Helping Fund (KPHF"/>
    <s v="Sudan"/>
    <n v="218815"/>
    <x v="0"/>
    <x v="1"/>
  </r>
  <r>
    <x v="6"/>
    <s v="DP.2545"/>
    <s v="MOVEMENT, EMERGENCY AND POST-CRISIS MIGRATION MANAGEMENT"/>
    <s v="Rapid Response Fund for Humanitarian Emergencies in Sudan"/>
    <s v="Sudan"/>
    <n v="4500447746"/>
    <m/>
    <s v="Implementing Partner"/>
    <s v="Driba Center for Environmental Stud"/>
    <s v="Sudan"/>
    <n v="144727"/>
    <x v="0"/>
    <x v="0"/>
  </r>
  <r>
    <x v="6"/>
    <s v="DP.2545"/>
    <s v="MOVEMENT, EMERGENCY AND POST-CRISIS MIGRATION MANAGEMENT"/>
    <s v="Rapid Response Fund for Humanitarian Emergencies in Sudan"/>
    <s v="Sudan"/>
    <n v="4500451612"/>
    <m/>
    <s v="Implementing Partner"/>
    <s v="TALAWIET ORGANIZATION FOR DEV (TOD)"/>
    <s v="Sudan"/>
    <n v="163294"/>
    <x v="0"/>
    <x v="0"/>
  </r>
  <r>
    <x v="6"/>
    <s v="DP.2545"/>
    <s v="MOVEMENT, EMERGENCY AND POST-CRISIS MIGRATION MANAGEMENT"/>
    <s v="Rapid Response Fund for Humanitarian Emergencies in Sudan"/>
    <s v="Sudan"/>
    <n v="4500450866"/>
    <m/>
    <s v="Implementing Partner"/>
    <s v="SPACES for Peace and Development Or"/>
    <s v="Sudan"/>
    <n v="89807"/>
    <x v="0"/>
    <x v="0"/>
  </r>
  <r>
    <x v="6"/>
    <s v="DP.2545"/>
    <s v="MOVEMENT, EMERGENCY AND POST-CRISIS MIGRATION MANAGEMENT"/>
    <s v="Rapid Response Fund for Humanitarian Emergencies in Sudan"/>
    <s v="Sudan"/>
    <n v="4500452126"/>
    <m/>
    <s v="Implementing Partner"/>
    <s v="African Vision for Development Org"/>
    <s v="Sudan"/>
    <n v="249589"/>
    <x v="0"/>
    <x v="0"/>
  </r>
  <r>
    <x v="6"/>
    <s v="DP.2545"/>
    <s v="MOVEMENT, EMERGENCY AND POST-CRISIS MIGRATION MANAGEMENT"/>
    <s v="Rapid Response Fund for Humanitarian Emergencies in Sudan"/>
    <s v="Sudan"/>
    <n v="4500452166"/>
    <m/>
    <s v="Implementing Partner"/>
    <s v="Sahari Organization for Development"/>
    <s v="Sudan"/>
    <n v="155524"/>
    <x v="0"/>
    <x v="0"/>
  </r>
  <r>
    <x v="6"/>
    <s v="DP.2545"/>
    <s v="MOVEMENT, EMERGENCY AND POST-CRISIS MIGRATION MANAGEMENT"/>
    <s v="Rapid Response Fund for Humanitarian Emergencies in Sudan"/>
    <s v="Sudan"/>
    <n v="4500452246"/>
    <m/>
    <s v="Implementing Partner"/>
    <s v="Peace Initiative and Dev org"/>
    <s v="Sudan"/>
    <n v="249183"/>
    <x v="0"/>
    <x v="0"/>
  </r>
  <r>
    <x v="6"/>
    <s v="DP.2545"/>
    <s v="MOVEMENT, EMERGENCY AND POST-CRISIS MIGRATION MANAGEMENT"/>
    <s v="Rapid Response Fund for Humanitarian Emergencies in Sudan"/>
    <s v="Sudan"/>
    <n v="4500454225"/>
    <m/>
    <s v="Implementing Partner"/>
    <s v="MEDICAL TEAMS INTERNATIONAL-SD"/>
    <s v="Sudan"/>
    <n v="249814"/>
    <x v="0"/>
    <x v="1"/>
  </r>
  <r>
    <x v="6"/>
    <s v="DP.2600"/>
    <s v="MOVEMENT, EMERGENCY AND POST-CRISIS MIGRATION MANAGEMENT"/>
    <s v="Multi-Sector Assistance to Populations Affected by the Syria Crisis"/>
    <s v="Turkey"/>
    <n v="4500433481"/>
    <m/>
    <s v="Implementing Partner"/>
    <s v="Kudra for Social Development Soluti"/>
    <s v="Turkey"/>
    <n v="54844"/>
    <x v="0"/>
    <x v="3"/>
  </r>
  <r>
    <x v="6"/>
    <s v="DP.2600"/>
    <s v="MOVEMENT, EMERGENCY AND POST-CRISIS MIGRATION MANAGEMENT"/>
    <s v="Multi-Sector Assistance to Populations Affected by the Syria Crisis"/>
    <s v="Turkey"/>
    <n v="4500433682"/>
    <m/>
    <s v="Implementing Partner"/>
    <s v="Shafak Organization"/>
    <s v="Turkey"/>
    <n v="729938.07"/>
    <x v="0"/>
    <x v="0"/>
  </r>
  <r>
    <x v="6"/>
    <s v="DP.2600"/>
    <s v="MOVEMENT, EMERGENCY AND POST-CRISIS MIGRATION MANAGEMENT"/>
    <s v="Multi-Sector Assistance to Populations Affected by the Syria Crisis"/>
    <s v="Turkey"/>
    <n v="4500448340"/>
    <m/>
    <s v="Implementing Partner"/>
    <s v="VATAN DERNEGI"/>
    <s v="Turkey"/>
    <n v="867326.46"/>
    <x v="0"/>
    <x v="0"/>
  </r>
  <r>
    <x v="6"/>
    <s v="DP.2600"/>
    <s v="MOVEMENT, EMERGENCY AND POST-CRISIS MIGRATION MANAGEMENT"/>
    <s v="Multi-Sector Assistance to Populations Affected by the Syria Crisis"/>
    <s v="Turkey"/>
    <n v="4500454335"/>
    <m/>
    <s v="Implementing Partner"/>
    <s v="VATAN DERNEGI"/>
    <s v="Turkey"/>
    <n v="1023959.31"/>
    <x v="0"/>
    <x v="0"/>
  </r>
  <r>
    <x v="6"/>
    <s v="DP.2627"/>
    <s v="MOVEMENT, EMERGENCY AND POST-CRISIS MIGRATION MANAGEMENT"/>
    <s v="Improving the living conditions of affected populations (IDPs and returnees) in the Central African Republic through multi-sectoral assistance"/>
    <s v="CAR"/>
    <n v="4500430177"/>
    <m/>
    <s v="Implementing Partner"/>
    <s v="JUPEDEC"/>
    <s v="CAR"/>
    <n v="19782.86"/>
    <x v="0"/>
    <x v="0"/>
  </r>
  <r>
    <x v="6"/>
    <s v="DP.2627"/>
    <s v="MOVEMENT, EMERGENCY AND POST-CRISIS MIGRATION MANAGEMENT"/>
    <s v="Improving the living conditions of affected populations (IDPs and returnees) in the Central African Republic through multi-sectoral assistance"/>
    <s v="CAR"/>
    <n v="4500440406"/>
    <m/>
    <s v="Implementing Partner"/>
    <s v="JUPEDEC"/>
    <s v="CAR"/>
    <n v="15581.41"/>
    <x v="0"/>
    <x v="0"/>
  </r>
  <r>
    <x v="6"/>
    <s v="DP.2627"/>
    <s v="MOVEMENT, EMERGENCY AND POST-CRISIS MIGRATION MANAGEMENT"/>
    <s v="Improving the living conditions of affected populations (IDPs and returnees) in the Central African Republic through multi-sectoral assistance"/>
    <s v="CAR"/>
    <n v="4500441161"/>
    <m/>
    <s v="Implementing Partner"/>
    <s v="COLLECTIF¨POUR LA PAIX EN CENTRAFRI"/>
    <s v="CAR"/>
    <n v="10670.79"/>
    <x v="0"/>
    <x v="0"/>
  </r>
  <r>
    <x v="6"/>
    <s v="DP.2632"/>
    <s v="MOVEMENT, EMERGENCY AND POST-CRISIS MIGRATION MANAGEMENT"/>
    <s v="Life-Saving Assistance to Earthquake-Affected Households in Northwest Syria"/>
    <s v="Turkey"/>
    <n v="4500433481"/>
    <m/>
    <s v="Implementing Partner"/>
    <s v="Kudra for Social Development Soluti"/>
    <s v="Turkey"/>
    <n v="11656"/>
    <x v="0"/>
    <x v="3"/>
  </r>
  <r>
    <x v="6"/>
    <s v="DP.2662"/>
    <s v="MOVEMENT, EMERGENCY AND POST-CRISIS MIGRATION MANAGEMENT"/>
    <s v="Emergency Multisectoral Assistance for the Most Vulnerable Households in Northwest Syria (NWS) and Provision of SSAFE Programming"/>
    <s v="Turkey"/>
    <n v="4500437603"/>
    <m/>
    <s v="Implementing Partner"/>
    <s v="ULUSLARARASI INSANI YARDIMLASMA DER"/>
    <s v="Turkey"/>
    <n v="727927.71"/>
    <x v="0"/>
    <x v="0"/>
  </r>
  <r>
    <x v="6"/>
    <s v="DP.2681"/>
    <s v="MOVEMENT, EMERGENCY AND POST-CRISIS MIGRATION MANAGEMENT"/>
    <s v="Rapid Response Fund for Sudden Emergencies in Northeast Nigeria"/>
    <s v="Nigeria"/>
    <n v="4500433530"/>
    <m/>
    <s v="Implementing Partner"/>
    <s v="FUTURE RESILIENCE AND DEVELOPMENT"/>
    <s v="Nigeria"/>
    <n v="149484.4"/>
    <x v="0"/>
    <x v="0"/>
  </r>
  <r>
    <x v="6"/>
    <s v="DP.2681"/>
    <s v="MOVEMENT, EMERGENCY AND POST-CRISIS MIGRATION MANAGEMENT"/>
    <s v="Rapid Response Fund for Sudden Emergencies in Northeast Nigeria"/>
    <s v="Nigeria"/>
    <n v="4500437714"/>
    <m/>
    <s v="Implementing Partner"/>
    <s v="Yobe Peace and Community"/>
    <s v="Nigeria"/>
    <n v="109018.97"/>
    <x v="0"/>
    <x v="3"/>
  </r>
  <r>
    <x v="6"/>
    <s v="DP.2681"/>
    <s v="MOVEMENT, EMERGENCY AND POST-CRISIS MIGRATION MANAGEMENT"/>
    <s v="Rapid Response Fund for Sudden Emergencies in Northeast Nigeria"/>
    <s v="Nigeria"/>
    <n v="4500442204"/>
    <m/>
    <s v="Implementing Partner"/>
    <s v="SHERIFF AID FOUNDATION"/>
    <s v="Nigeria"/>
    <n v="152150.35"/>
    <x v="0"/>
    <x v="0"/>
  </r>
  <r>
    <x v="6"/>
    <s v="DP.2681"/>
    <s v="MOVEMENT, EMERGENCY AND POST-CRISIS MIGRATION MANAGEMENT"/>
    <s v="Rapid Response Fund for Sudden Emergencies in Northeast Nigeria"/>
    <s v="Nigeria"/>
    <n v="4500453841"/>
    <m/>
    <s v="Implementing Partner"/>
    <s v="Terre des Hommes Foundation"/>
    <s v="Nigeria"/>
    <n v="289710.73"/>
    <x v="0"/>
    <x v="1"/>
  </r>
  <r>
    <x v="6"/>
    <s v="DP.2681"/>
    <s v="MOVEMENT, EMERGENCY AND POST-CRISIS MIGRATION MANAGEMENT"/>
    <s v="Rapid Response Fund for Sudden Emergencies in Northeast Nigeria"/>
    <s v="Nigeria"/>
    <n v="4500454377"/>
    <m/>
    <s v="Implementing Partner"/>
    <s v="GOALPRIME ORGANIZATION NIGERIA"/>
    <s v="Nigeria"/>
    <n v="68146.070000000007"/>
    <x v="0"/>
    <x v="3"/>
  </r>
  <r>
    <x v="6"/>
    <s v="DP.2692"/>
    <s v="MOVEMENT, EMERGENCY AND POST-CRISIS MIGRATION MANAGEMENT"/>
    <s v="A Rapid Response Fund (RRF) program responding to Emergency Needs of Disaster affected population in South Sudan under the states of Greater Equatoria (Central, Western, Eastern), greater Upper Nile (Unity, Upper Nile and Jonglei), Greater Bahr el Gh"/>
    <s v="South Sudan"/>
    <n v="4500436841"/>
    <m/>
    <s v="Implementing Partner"/>
    <s v="Hope Africa South Sudan"/>
    <s v="South Sudan"/>
    <n v="228317"/>
    <x v="0"/>
    <x v="0"/>
  </r>
  <r>
    <x v="6"/>
    <s v="DP.2692"/>
    <s v="MOVEMENT, EMERGENCY AND POST-CRISIS MIGRATION MANAGEMENT"/>
    <s v="A Rapid Response Fund (RRF) program responding to Emergency Needs of Disaster affected population in South Sudan under the states of Greater Equatoria (Central, Western, Eastern), greater Upper Nile (Unity, Upper Nile and Jonglei), Greater Bahr el Gh"/>
    <s v="South Sudan"/>
    <n v="4500441549"/>
    <m/>
    <s v="Implementing Partner"/>
    <s v="VOICE OF THE PEACE"/>
    <s v="South Sudan"/>
    <n v="198405"/>
    <x v="0"/>
    <x v="3"/>
  </r>
  <r>
    <x v="6"/>
    <s v="DP.2692"/>
    <s v="MOVEMENT, EMERGENCY AND POST-CRISIS MIGRATION MANAGEMENT"/>
    <s v="A Rapid Response Fund (RRF) program responding to Emergency Needs of Disaster affected population in South Sudan under the states of Greater Equatoria (Central, Western, Eastern), greater Upper Nile (Unity, Upper Nile and Jonglei), Greater Bahr el Gh"/>
    <s v="South Sudan"/>
    <n v="4500441566"/>
    <m/>
    <s v="Implementing Partner"/>
    <s v="African Relief and Devt Foundation"/>
    <s v="South Sudan"/>
    <n v="178821"/>
    <x v="0"/>
    <x v="0"/>
  </r>
  <r>
    <x v="6"/>
    <s v="DP.2692"/>
    <s v="MOVEMENT, EMERGENCY AND POST-CRISIS MIGRATION MANAGEMENT"/>
    <s v="A Rapid Response Fund (RRF) program responding to Emergency Needs of Disaster affected population in South Sudan under the states of Greater Equatoria (Central, Western, Eastern), greater Upper Nile (Unity, Upper Nile and Jonglei), Greater Bahr el Gh"/>
    <s v="South Sudan"/>
    <n v="4500441707"/>
    <m/>
    <s v="Implementing Partner"/>
    <s v="COMMUNITY INITIATIVE FOR DEVELOPMEN"/>
    <s v="South Sudan"/>
    <n v="200000"/>
    <x v="0"/>
    <x v="0"/>
  </r>
  <r>
    <x v="6"/>
    <s v="DP.2714"/>
    <s v="MOVEMENT, EMERGENCY AND POST-CRISIS MIGRATION MANAGEMENT"/>
    <s v="Improving Living Conditions of Conflict and Disaster Affected Populations in Somalia"/>
    <s v="Somalia"/>
    <n v="4500444468"/>
    <m/>
    <s v="Implementing Partner"/>
    <s v="WFP SOMALIA ( Somalia Off.)"/>
    <s v="Kenya"/>
    <n v="17150"/>
    <x v="0"/>
    <x v="7"/>
  </r>
  <r>
    <x v="6"/>
    <s v="DP.2714"/>
    <s v="MOVEMENT, EMERGENCY AND POST-CRISIS MIGRATION MANAGEMENT"/>
    <s v="Improving Living Conditions of Conflict and Disaster Affected Populations in Somalia"/>
    <s v="Somalia"/>
    <n v="4500435095"/>
    <m/>
    <s v="Implementing Partner"/>
    <s v="Horn of Africa Peace Network (HAPEN"/>
    <s v="Somalia"/>
    <n v="30600"/>
    <x v="0"/>
    <x v="0"/>
  </r>
  <r>
    <x v="6"/>
    <s v="DP.2739"/>
    <s v="MOVEMENT, EMERGENCY AND POST-CRISIS MIGRATION MANAGEMENT"/>
    <s v="Ensuring the Delivery of Critical Humanitarian Assistance to Vulnerable Migrants in the Dominican Republic and The Bahamas."/>
    <s v="Dominican Rep."/>
    <n v="4500449663"/>
    <m/>
    <s v="Implementing Partner"/>
    <s v="Movimiento Socio Cultural-MOSCTHA"/>
    <s v="Dominican Rep."/>
    <n v="14089.01"/>
    <x v="0"/>
    <x v="0"/>
  </r>
  <r>
    <x v="6"/>
    <s v="DP.2764"/>
    <s v="MOVEMENT, EMERGENCY AND POST-CRISIS MIGRATION MANAGEMENT"/>
    <s v="Strengthening Resilience of Afghan Nationals and Host Communities in Pakistan through Multi-sectoral Interventions"/>
    <s v="Pakistan"/>
    <n v="4500432241"/>
    <m/>
    <s v="Implementing Partner"/>
    <s v="Society for Human Rights"/>
    <s v="Pakistan"/>
    <n v="243899.54"/>
    <x v="0"/>
    <x v="0"/>
  </r>
  <r>
    <x v="6"/>
    <s v="DP.2791"/>
    <s v="MOVEMENT, EMERGENCY AND POST-CRISIS MIGRATION MANAGEMENT"/>
    <s v="Saving Lives &amp; Building Resilience by Bridging the Gap between Humanitarian Assistance and Development in Bogotá and Santander, Colombia"/>
    <s v="Colombia"/>
    <n v="4500453024"/>
    <m/>
    <s v="Implementing Partner"/>
    <s v="PARROQUIA BEATO JUAN BAUTISTA SCALA"/>
    <s v="Colombia"/>
    <n v="6358.3"/>
    <x v="0"/>
    <x v="5"/>
  </r>
  <r>
    <x v="6"/>
    <s v="DP.2773"/>
    <s v="MOVEMENT, EMERGENCY AND POST-CRISIS MIGRATION MANAGEMENT"/>
    <s v="Regional Migration Response Plan for the Horn of Africa and Yemen"/>
    <s v="Djibouti"/>
    <n v="4500440347"/>
    <m/>
    <s v="Implementing Partner"/>
    <s v="CARITAS"/>
    <s v="Djibouti"/>
    <n v="26086.26"/>
    <x v="0"/>
    <x v="6"/>
  </r>
  <r>
    <x v="6"/>
    <s v="DP.2792"/>
    <s v="MOVEMENT, EMERGENCY AND POST-CRISIS MIGRATION MANAGEMENT"/>
    <s v="Strengthening Emergency Health Response and Humanitarian Border Management in Sudan"/>
    <s v="Sudan"/>
    <n v="4500448248"/>
    <m/>
    <s v="Implementing Partner"/>
    <s v="MEDICAL TEAMS INTERNATIONAL-SD"/>
    <s v="Sudan"/>
    <n v="313815.78000000003"/>
    <x v="0"/>
    <x v="1"/>
  </r>
  <r>
    <x v="6"/>
    <s v="DP.2794"/>
    <s v="MOVEMENT, EMERGENCY AND POST-CRISIS MIGRATION MANAGEMENT"/>
    <s v="Responding to Urgent Needs of Internally Displaced People in Northern and Central Mali"/>
    <s v="Mali"/>
    <n v="4500432819"/>
    <m/>
    <s v="Implementing Partner"/>
    <s v="ONG NOVA MALI"/>
    <s v="Mali"/>
    <n v="44047.25"/>
    <x v="0"/>
    <x v="0"/>
  </r>
  <r>
    <x v="6"/>
    <s v="DP.2794"/>
    <s v="MOVEMENT, EMERGENCY AND POST-CRISIS MIGRATION MANAGEMENT"/>
    <s v="Responding to Urgent Needs of Internally Displaced People in Northern and Central Mali"/>
    <s v="Mali"/>
    <n v="4500439289"/>
    <m/>
    <s v="Implementing Partner"/>
    <s v="DIRECTION NAT.DEV. SOC"/>
    <s v="Mali"/>
    <n v="122373.3"/>
    <x v="0"/>
    <x v="0"/>
  </r>
  <r>
    <x v="6"/>
    <s v="DP.2798"/>
    <s v="MOVEMENT, EMERGENCY AND POST-CRISIS MIGRATION MANAGEMENT"/>
    <s v="Responding to the Multifaceted Crisis of Migrants and Host Communities in Egypt"/>
    <s v="Egypt"/>
    <n v="4500430617"/>
    <m/>
    <s v="Implementing Partner"/>
    <s v="UNDP - Egypt"/>
    <s v="Egypt"/>
    <n v="2435"/>
    <x v="0"/>
    <x v="7"/>
  </r>
  <r>
    <x v="6"/>
    <s v="DP.2799"/>
    <s v="MOVEMENT, EMERGENCY AND POST-CRISIS MIGRATION MANAGEMENT"/>
    <s v="Multisectoral Support to Enhance Integration of Refugees from Ukraine in Poland - 2024"/>
    <s v="Poland"/>
    <n v="4500432095"/>
    <m/>
    <s v="Implementing Partner"/>
    <s v="STOWARZYSZENIE WAGA"/>
    <s v="Poland"/>
    <n v="44720.5"/>
    <x v="0"/>
    <x v="0"/>
  </r>
  <r>
    <x v="6"/>
    <s v="DP.2799"/>
    <s v="MOVEMENT, EMERGENCY AND POST-CRISIS MIGRATION MANAGEMENT"/>
    <s v="Multisectoral Support to Enhance Integration of Refugees from Ukraine in Poland - 2024"/>
    <s v="Poland"/>
    <n v="4500446503"/>
    <m/>
    <s v="Implementing Partner"/>
    <s v="Konsorcjum Migracyjne"/>
    <s v="Poland"/>
    <n v="14237.73"/>
    <x v="0"/>
    <x v="0"/>
  </r>
  <r>
    <x v="6"/>
    <s v="DP.2800"/>
    <s v="MOVEMENT, EMERGENCY AND POST-CRISIS MIGRATION MANAGEMENT"/>
    <s v="Ehancing Access To Essential WASH And Health Services For Conflict Affected Populations In Yemen"/>
    <s v="Yemen"/>
    <n v="4500441035"/>
    <m/>
    <s v="Implementing Partner"/>
    <s v="Youth Creativity Organization for"/>
    <s v="Yemen"/>
    <n v="2664"/>
    <x v="0"/>
    <x v="0"/>
  </r>
  <r>
    <x v="6"/>
    <s v="DP.2806"/>
    <s v="MOVEMENT, EMERGENCY AND POST-CRISIS MIGRATION MANAGEMENT"/>
    <s v="Enhanced Humanitarian Assistance and Social Cohesion and Resilience for Crisis-Affected Population"/>
    <s v="Niger"/>
    <n v="4500432355"/>
    <m/>
    <s v="Implementing Partner"/>
    <s v="MINISTER DE L INTERIEUR"/>
    <s v="Niger"/>
    <n v="5393.54"/>
    <x v="0"/>
    <x v="9"/>
  </r>
  <r>
    <x v="6"/>
    <s v="DP.2806"/>
    <s v="MOVEMENT, EMERGENCY AND POST-CRISIS MIGRATION MANAGEMENT"/>
    <s v="Enhanced Humanitarian Assistance and Social Cohesion and Resilience for Crisis-Affected Population"/>
    <s v="Niger"/>
    <n v="4500452984"/>
    <m/>
    <s v="Implementing Partner"/>
    <s v="ONG ANTD"/>
    <s v="Niger"/>
    <n v="94059.54"/>
    <x v="0"/>
    <x v="0"/>
  </r>
  <r>
    <x v="6"/>
    <s v="DP.2809"/>
    <s v="MOVEMENT, EMERGENCY AND POST-CRISIS MIGRATION MANAGEMENT"/>
    <s v="The Project for the Improvement of Camps for Displaced Persons from Myanmar and Host Communities in Cox’s Bazar District"/>
    <s v="Bangladesh"/>
    <n v="4500444654"/>
    <m/>
    <s v="Implementing Partner"/>
    <s v="BNWLA"/>
    <s v="Bangladesh"/>
    <n v="45000.35"/>
    <x v="0"/>
    <x v="0"/>
  </r>
  <r>
    <x v="6"/>
    <s v="DP.2816"/>
    <s v="MOVEMENT, EMERGENCY AND POST-CRISIS MIGRATION MANAGEMENT"/>
    <s v="Bangladesh Appeal 2024 – Rohingya Humanitarian Crisis."/>
    <s v="Bangladesh"/>
    <n v="4500432643"/>
    <m/>
    <s v="Implementing Partner"/>
    <s v="Danish Refugee Council(DRC)"/>
    <s v="Denmark"/>
    <n v="60084.62"/>
    <x v="0"/>
    <x v="1"/>
  </r>
  <r>
    <x v="6"/>
    <s v="DP.2816"/>
    <s v="MOVEMENT, EMERGENCY AND POST-CRISIS MIGRATION MANAGEMENT"/>
    <s v="Bangladesh Appeal 2024 – Rohingya Humanitarian Crisis."/>
    <s v="Bangladesh"/>
    <n v="4500451501"/>
    <m/>
    <s v="Implementing Partner"/>
    <s v="Pulse Bangladesh Society"/>
    <s v="Bangladesh"/>
    <n v="168135.55"/>
    <x v="0"/>
    <x v="0"/>
  </r>
  <r>
    <x v="6"/>
    <s v="DP.2818"/>
    <s v="MOVEMENT, EMERGENCY AND POST-CRISIS MIGRATION MANAGEMENT"/>
    <s v="Emergency Protection and MHPSS Support for Returnees in Eastern Chad"/>
    <s v="Chad"/>
    <n v="4500453704"/>
    <m/>
    <s v="Implementing Partner"/>
    <s v="Association Help-Tchad pour le Dev"/>
    <s v="Chad"/>
    <n v="231548.98"/>
    <x v="0"/>
    <x v="0"/>
  </r>
  <r>
    <x v="6"/>
    <s v="DP.2820"/>
    <s v="MOVEMENT, EMERGENCY AND POST-CRISIS MIGRATION MANAGEMENT"/>
    <s v="Rohingya Response and National Resilience Programme (RRNRP)"/>
    <s v="Bangladesh"/>
    <n v="4500437581"/>
    <m/>
    <s v="Implementing Partner"/>
    <s v="FRIENDSHIP"/>
    <s v="Bangladesh"/>
    <n v="1403846.14"/>
    <x v="0"/>
    <x v="0"/>
  </r>
  <r>
    <x v="6"/>
    <s v="DP.2820"/>
    <s v="MOVEMENT, EMERGENCY AND POST-CRISIS MIGRATION MANAGEMENT"/>
    <s v="Rohingya Response and National Resilience Programme (RRNRP)"/>
    <s v="Bangladesh"/>
    <n v="4500451351"/>
    <m/>
    <s v="Implementing Partner"/>
    <s v="NGO FORUM FOR PUBLIC HEALTH"/>
    <s v="Bangladesh"/>
    <n v="14999.54"/>
    <x v="0"/>
    <x v="0"/>
  </r>
  <r>
    <x v="6"/>
    <s v="DP.2823"/>
    <s v="MOVEMENT, EMERGENCY AND POST-CRISIS MIGRATION MANAGEMENT"/>
    <s v="IOM Responding to Humanitarian Needs and Building Local Capacities in Ukraine"/>
    <s v="Ukraine"/>
    <n v="4500435416"/>
    <m/>
    <s v="Implementing Partner"/>
    <s v="FUNDATSIIA SPRYIANNIA HROMAD AKTYV"/>
    <s v="Ukraine"/>
    <n v="225276.17"/>
    <x v="0"/>
    <x v="0"/>
  </r>
  <r>
    <x v="6"/>
    <s v="DP.2828"/>
    <s v="MOVEMENT, EMERGENCY AND POST-CRISIS MIGRATION MANAGEMENT"/>
    <s v="Regional Refugee and Migrant Response Plan (RMRP) for the Venezuela Situation 2024"/>
    <s v="Argentina"/>
    <n v="4500437787"/>
    <m/>
    <s v="Implementing Partner"/>
    <s v="INICIA EMPRENDER PARA EL FUTURO"/>
    <s v="Argentina"/>
    <n v="72919.11"/>
    <x v="0"/>
    <x v="0"/>
  </r>
  <r>
    <x v="6"/>
    <s v="DP.2828"/>
    <s v="MOVEMENT, EMERGENCY AND POST-CRISIS MIGRATION MANAGEMENT"/>
    <s v="Regional Refugee and Migrant Response Plan (RMRP) for the Venezuela Situation 2024"/>
    <s v="Argentina"/>
    <n v="4500437794"/>
    <m/>
    <s v="Implementing Partner"/>
    <s v="FUNDACION LOYOLA (SERVICIO JESUITA)"/>
    <s v="Argentina"/>
    <n v="57497.45"/>
    <x v="0"/>
    <x v="0"/>
  </r>
  <r>
    <x v="6"/>
    <s v="DP.2828"/>
    <s v="MOVEMENT, EMERGENCY AND POST-CRISIS MIGRATION MANAGEMENT"/>
    <s v="Regional Refugee and Migrant Response Plan (RMRP) for the Venezuela Situation 2024"/>
    <s v="Argentina"/>
    <n v="4500453286"/>
    <m/>
    <s v="Implementing Partner"/>
    <s v="DIAGONAL ASOCIACION CIVIL"/>
    <s v="Argentina"/>
    <n v="11399.22"/>
    <x v="0"/>
    <x v="0"/>
  </r>
  <r>
    <x v="6"/>
    <s v="DP.2828"/>
    <s v="MOVEMENT, EMERGENCY AND POST-CRISIS MIGRATION MANAGEMENT"/>
    <s v="Regional Refugee and Migrant Response Plan (RMRP) for the Venezuela Situation 2024"/>
    <s v="Argentina"/>
    <n v="4500439467"/>
    <m/>
    <s v="Implementing Partner"/>
    <s v="ASOCIACION CIVIL ALIANZA POR VENEZU"/>
    <s v="Argentina"/>
    <n v="33025.01"/>
    <x v="0"/>
    <x v="0"/>
  </r>
  <r>
    <x v="6"/>
    <s v="DP.2828"/>
    <s v="MOVEMENT, EMERGENCY AND POST-CRISIS MIGRATION MANAGEMENT"/>
    <s v="Regional Refugee and Migrant Response Plan (RMRP) for the Venezuela Situation 2024"/>
    <s v="Bolivia (PS)"/>
    <n v="4500434361"/>
    <m/>
    <s v="Implementing Partner"/>
    <s v="PASTORAL SOCIAL CARITAS COCHABAMBA"/>
    <s v="Bolivia (PS)"/>
    <n v="69927.44"/>
    <x v="0"/>
    <x v="6"/>
  </r>
  <r>
    <x v="6"/>
    <s v="DP.2828"/>
    <s v="MOVEMENT, EMERGENCY AND POST-CRISIS MIGRATION MANAGEMENT"/>
    <s v="Regional Refugee and Migrant Response Plan (RMRP) for the Venezuela Situation 2024"/>
    <s v="Bolivia (PS)"/>
    <n v="4500440602"/>
    <m/>
    <s v="Implementing Partner"/>
    <s v="Caritas Boliviana"/>
    <s v="Bolivia (PS)"/>
    <n v="30067.11"/>
    <x v="0"/>
    <x v="6"/>
  </r>
  <r>
    <x v="6"/>
    <s v="DP.2828"/>
    <s v="MOVEMENT, EMERGENCY AND POST-CRISIS MIGRATION MANAGEMENT"/>
    <s v="Regional Refugee and Migrant Response Plan (RMRP) for the Venezuela Situation 2024"/>
    <s v="Bolivia (PS)"/>
    <n v="4500434717"/>
    <m/>
    <s v="Implementing Partner"/>
    <s v="Fundacion Scalabrini Bolivia"/>
    <s v="Bolivia (PS)"/>
    <n v="23311.94"/>
    <x v="0"/>
    <x v="0"/>
  </r>
  <r>
    <x v="6"/>
    <s v="DP.2828"/>
    <s v="MOVEMENT, EMERGENCY AND POST-CRISIS MIGRATION MANAGEMENT"/>
    <s v="Regional Refugee and Migrant Response Plan (RMRP) for the Venezuela Situation 2024"/>
    <s v="Dominican Rep."/>
    <n v="4500447114"/>
    <m/>
    <s v="Implementing Partner"/>
    <s v="Asociacion de Venezolanos Santiago"/>
    <s v="Dominican Rep."/>
    <n v="43196.95"/>
    <x v="0"/>
    <x v="0"/>
  </r>
  <r>
    <x v="6"/>
    <s v="DP.2828"/>
    <s v="MOVEMENT, EMERGENCY AND POST-CRISIS MIGRATION MANAGEMENT"/>
    <s v="Regional Refugee and Migrant Response Plan (RMRP) for the Venezuela Situation 2024"/>
    <s v="Ecuador"/>
    <n v="4500434718"/>
    <m/>
    <s v="Implementing Partner"/>
    <s v="ADRA"/>
    <s v="Ecuador"/>
    <n v="950867.19"/>
    <x v="0"/>
    <x v="1"/>
  </r>
  <r>
    <x v="6"/>
    <s v="DP.2828"/>
    <s v="MOVEMENT, EMERGENCY AND POST-CRISIS MIGRATION MANAGEMENT"/>
    <s v="Regional Refugee and Migrant Response Plan (RMRP) for the Venezuela Situation 2024"/>
    <s v="Dominican Rep."/>
    <n v="4500447790"/>
    <m/>
    <s v="Implementing Partner"/>
    <s v="Fundacion de Emigrantes y Refugiado"/>
    <s v="Dominican Rep."/>
    <n v="65143.35"/>
    <x v="0"/>
    <x v="0"/>
  </r>
  <r>
    <x v="6"/>
    <s v="DP.2828"/>
    <s v="MOVEMENT, EMERGENCY AND POST-CRISIS MIGRATION MANAGEMENT"/>
    <s v="Regional Refugee and Migrant Response Plan (RMRP) for the Venezuela Situation 2024"/>
    <s v="Ecuador"/>
    <n v="4500439483"/>
    <m/>
    <s v="Implementing Partner"/>
    <s v="FUNDACION ECUATORIANA EQUIDAD"/>
    <s v="Ecuador"/>
    <n v="31245.5"/>
    <x v="0"/>
    <x v="0"/>
  </r>
  <r>
    <x v="6"/>
    <s v="DP.2828"/>
    <s v="MOVEMENT, EMERGENCY AND POST-CRISIS MIGRATION MANAGEMENT"/>
    <s v="Regional Refugee and Migrant Response Plan (RMRP) for the Venezuela Situation 2024"/>
    <s v="Ecuador"/>
    <n v="4500441274"/>
    <m/>
    <s v="Implementing Partner"/>
    <s v="FUNDACION PARA EL DESARROLLO EMPRES"/>
    <s v="Ecuador"/>
    <n v="100000"/>
    <x v="0"/>
    <x v="0"/>
  </r>
  <r>
    <x v="6"/>
    <s v="DP.2828"/>
    <s v="MOVEMENT, EMERGENCY AND POST-CRISIS MIGRATION MANAGEMENT"/>
    <s v="Regional Refugee and Migrant Response Plan (RMRP) for the Venezuela Situation 2024"/>
    <s v="Ecuador"/>
    <n v="4500443387"/>
    <m/>
    <s v="Implementing Partner"/>
    <s v="CORPORACION KIMIRINA"/>
    <s v="Ecuador"/>
    <n v="70000"/>
    <x v="0"/>
    <x v="0"/>
  </r>
  <r>
    <x v="6"/>
    <s v="DP.2828"/>
    <s v="MOVEMENT, EMERGENCY AND POST-CRISIS MIGRATION MANAGEMENT"/>
    <s v="Regional Refugee and Migrant Response Plan (RMRP) for the Venezuela Situation 2024"/>
    <s v="Ecuador"/>
    <n v="4500444828"/>
    <m/>
    <s v="Implementing Partner"/>
    <s v="Fundacion Akuanuna"/>
    <s v="Ecuador"/>
    <n v="44250"/>
    <x v="0"/>
    <x v="0"/>
  </r>
  <r>
    <x v="6"/>
    <s v="DP.2828"/>
    <s v="MOVEMENT, EMERGENCY AND POST-CRISIS MIGRATION MANAGEMENT"/>
    <s v="Regional Refugee and Migrant Response Plan (RMRP) for the Venezuela Situation 2024"/>
    <s v="Ecuador"/>
    <n v="4500444839"/>
    <m/>
    <s v="Implementing Partner"/>
    <s v="Fundacion Alas de Colibrí"/>
    <s v="Ecuador"/>
    <n v="246834"/>
    <x v="0"/>
    <x v="0"/>
  </r>
  <r>
    <x v="6"/>
    <s v="DP.2828"/>
    <s v="MOVEMENT, EMERGENCY AND POST-CRISIS MIGRATION MANAGEMENT"/>
    <s v="Regional Refugee and Migrant Response Plan (RMRP) for the Venezuela Situation 2024"/>
    <s v="Ecuador"/>
    <n v="4500447788"/>
    <m/>
    <s v="Implementing Partner"/>
    <s v="FUNDACION RED INT DE ORG DE SA RIOS"/>
    <s v="Ecuador"/>
    <n v="45000"/>
    <x v="0"/>
    <x v="8"/>
  </r>
  <r>
    <x v="6"/>
    <s v="DP.2828"/>
    <s v="MOVEMENT, EMERGENCY AND POST-CRISIS MIGRATION MANAGEMENT"/>
    <s v="Regional Refugee and Migrant Response Plan (RMRP) for the Venezuela Situation 2024"/>
    <s v="Ecuador"/>
    <n v="4500452947"/>
    <m/>
    <s v="Implementing Partner"/>
    <s v="Coopi-Cooperazione Internazionale"/>
    <s v="Ecuador"/>
    <n v="80000"/>
    <x v="0"/>
    <x v="1"/>
  </r>
  <r>
    <x v="6"/>
    <s v="DP.2828"/>
    <s v="MOVEMENT, EMERGENCY AND POST-CRISIS MIGRATION MANAGEMENT"/>
    <s v="Regional Refugee and Migrant Response Plan (RMRP) for the Venezuela Situation 2024"/>
    <s v="Ecuador"/>
    <n v="4500449798"/>
    <m/>
    <s v="Implementing Partner"/>
    <s v="Fundación Lunita Lunera"/>
    <s v="Ecuador"/>
    <n v="125250"/>
    <x v="0"/>
    <x v="0"/>
  </r>
  <r>
    <x v="6"/>
    <s v="DP.2828"/>
    <s v="MOVEMENT, EMERGENCY AND POST-CRISIS MIGRATION MANAGEMENT"/>
    <s v="Regional Refugee and Migrant Response Plan (RMRP) for the Venezuela Situation 2024"/>
    <s v="Ecuador"/>
    <n v="4500452962"/>
    <m/>
    <s v="Implementing Partner"/>
    <s v="FUDELA - FUNDACION DE LAS AMERICAS"/>
    <s v="Ecuador"/>
    <n v="178000"/>
    <x v="0"/>
    <x v="0"/>
  </r>
  <r>
    <x v="6"/>
    <s v="DP.2828"/>
    <s v="MOVEMENT, EMERGENCY AND POST-CRISIS MIGRATION MANAGEMENT"/>
    <s v="Regional Refugee and Migrant Response Plan (RMRP) for the Venezuela Situation 2024"/>
    <s v="Ecuador"/>
    <n v="4500454594"/>
    <m/>
    <s v="Implementing Partner"/>
    <s v="DEFENSORIA PUBLICA"/>
    <s v="Ecuador"/>
    <n v="5954.73"/>
    <x v="0"/>
    <x v="9"/>
  </r>
  <r>
    <x v="6"/>
    <s v="DP.2828"/>
    <s v="MOVEMENT, EMERGENCY AND POST-CRISIS MIGRATION MANAGEMENT"/>
    <s v="Regional Refugee and Migrant Response Plan (RMRP) for the Venezuela Situation 2024"/>
    <s v="Peru"/>
    <n v="4500430794"/>
    <m/>
    <s v="Implementing Partner"/>
    <s v="Union Venezolana en Perú"/>
    <s v="Peru"/>
    <n v="265891.44"/>
    <x v="0"/>
    <x v="0"/>
  </r>
  <r>
    <x v="6"/>
    <s v="DP.2828"/>
    <s v="MOVEMENT, EMERGENCY AND POST-CRISIS MIGRATION MANAGEMENT"/>
    <s v="Regional Refugee and Migrant Response Plan (RMRP) for the Venezuela Situation 2024"/>
    <s v="Peru"/>
    <n v="4500435890"/>
    <m/>
    <s v="Implementing Partner"/>
    <s v="Asociación Misioneros de San Carlos"/>
    <s v="Peru"/>
    <n v="39328.79"/>
    <x v="0"/>
    <x v="0"/>
  </r>
  <r>
    <x v="6"/>
    <s v="DP.2828"/>
    <s v="MOVEMENT, EMERGENCY AND POST-CRISIS MIGRATION MANAGEMENT"/>
    <s v="Regional Refugee and Migrant Response Plan (RMRP) for the Venezuela Situation 2024"/>
    <s v="Peru"/>
    <n v="4500435900"/>
    <m/>
    <s v="Implementing Partner"/>
    <s v="Asociacion Caritas Madre de Dios"/>
    <s v="Peru"/>
    <n v="79968.52"/>
    <x v="0"/>
    <x v="6"/>
  </r>
  <r>
    <x v="6"/>
    <s v="DP.2828"/>
    <s v="MOVEMENT, EMERGENCY AND POST-CRISIS MIGRATION MANAGEMENT"/>
    <s v="Regional Refugee and Migrant Response Plan (RMRP) for the Venezuela Situation 2024"/>
    <s v="Peru"/>
    <n v="4500435904"/>
    <m/>
    <s v="Implementing Partner"/>
    <s v="FUNDACION ACCION CONTRA EL HAMBR-PE"/>
    <s v="Peru"/>
    <n v="237231.25"/>
    <x v="0"/>
    <x v="1"/>
  </r>
  <r>
    <x v="6"/>
    <s v="DP.2828"/>
    <s v="MOVEMENT, EMERGENCY AND POST-CRISIS MIGRATION MANAGEMENT"/>
    <s v="Regional Refugee and Migrant Response Plan (RMRP) for the Venezuela Situation 2024"/>
    <s v="Peru"/>
    <n v="4500435906"/>
    <m/>
    <s v="Implementing Partner"/>
    <s v="Agencia Adventista para el Desarrol"/>
    <s v="Peru"/>
    <n v="109334.04"/>
    <x v="0"/>
    <x v="1"/>
  </r>
  <r>
    <x v="6"/>
    <s v="DP.2828"/>
    <s v="MOVEMENT, EMERGENCY AND POST-CRISIS MIGRATION MANAGEMENT"/>
    <s v="Regional Refugee and Migrant Response Plan (RMRP) for the Venezuela Situation 2024"/>
    <s v="Peru"/>
    <n v="4500435921"/>
    <m/>
    <s v="Implementing Partner"/>
    <s v="CESAL"/>
    <s v="Peru"/>
    <n v="238131.08"/>
    <x v="0"/>
    <x v="1"/>
  </r>
  <r>
    <x v="6"/>
    <s v="DP.2828"/>
    <s v="MOVEMENT, EMERGENCY AND POST-CRISIS MIGRATION MANAGEMENT"/>
    <s v="Regional Refugee and Migrant Response Plan (RMRP) for the Venezuela Situation 2024"/>
    <s v="Peru"/>
    <n v="4500436682"/>
    <m/>
    <s v="Implementing Partner"/>
    <s v="PAN AMERICAN DEVELOPMENT FOUNDATION"/>
    <s v="Peru"/>
    <n v="183534.34"/>
    <x v="0"/>
    <x v="1"/>
  </r>
  <r>
    <x v="6"/>
    <s v="DP.2828"/>
    <s v="MOVEMENT, EMERGENCY AND POST-CRISIS MIGRATION MANAGEMENT"/>
    <s v="Regional Refugee and Migrant Response Plan (RMRP) for the Venezuela Situation 2024"/>
    <s v="Peru"/>
    <n v="4500436696"/>
    <m/>
    <s v="Implementing Partner"/>
    <s v="Superintendencia Nac. de Migracione"/>
    <s v="Peru"/>
    <n v="455820.65"/>
    <x v="0"/>
    <x v="9"/>
  </r>
  <r>
    <x v="6"/>
    <s v="DP.2828"/>
    <s v="MOVEMENT, EMERGENCY AND POST-CRISIS MIGRATION MANAGEMENT"/>
    <s v="Regional Refugee and Migrant Response Plan (RMRP) for the Venezuela Situation 2024"/>
    <s v="Peru"/>
    <n v="4500438339"/>
    <m/>
    <s v="Implementing Partner"/>
    <s v="CESAL"/>
    <s v="Peru"/>
    <n v="64000"/>
    <x v="0"/>
    <x v="1"/>
  </r>
  <r>
    <x v="6"/>
    <s v="DP.2828"/>
    <s v="MOVEMENT, EMERGENCY AND POST-CRISIS MIGRATION MANAGEMENT"/>
    <s v="Regional Refugee and Migrant Response Plan (RMRP) for the Venezuela Situation 2024"/>
    <s v="Peru"/>
    <n v="4500438627"/>
    <m/>
    <s v="Implementing Partner"/>
    <s v="ASOCIACION BENEFICA PRISMA"/>
    <s v="Peru"/>
    <n v="62648.11"/>
    <x v="0"/>
    <x v="0"/>
  </r>
  <r>
    <x v="6"/>
    <s v="DP.2828"/>
    <s v="MOVEMENT, EMERGENCY AND POST-CRISIS MIGRATION MANAGEMENT"/>
    <s v="Regional Refugee and Migrant Response Plan (RMRP) for the Venezuela Situation 2024"/>
    <s v="Peru"/>
    <n v="4500441571"/>
    <m/>
    <s v="Implementing Partner"/>
    <s v="Encuen.Servicio Jesuita de la Solid"/>
    <s v="Peru"/>
    <n v="90324.32"/>
    <x v="0"/>
    <x v="0"/>
  </r>
  <r>
    <x v="6"/>
    <s v="DP.2828"/>
    <s v="MOVEMENT, EMERGENCY AND POST-CRISIS MIGRATION MANAGEMENT"/>
    <s v="Regional Refugee and Migrant Response Plan (RMRP) for the Venezuela Situation 2024"/>
    <s v="Peru"/>
    <n v="4500443063"/>
    <m/>
    <s v="Implementing Partner"/>
    <s v="CENTRO DE DESARROLLO HUMANO"/>
    <s v="Peru"/>
    <n v="115786.69"/>
    <x v="0"/>
    <x v="0"/>
  </r>
  <r>
    <x v="6"/>
    <s v="DP.2828"/>
    <s v="MOVEMENT, EMERGENCY AND POST-CRISIS MIGRATION MANAGEMENT"/>
    <s v="Regional Refugee and Migrant Response Plan (RMRP) for the Venezuela Situation 2024"/>
    <s v="Peru"/>
    <n v="4500451733"/>
    <m/>
    <s v="Implementing Partner"/>
    <s v="VENEICA ASOCIACION"/>
    <s v="Peru"/>
    <n v="63085.37"/>
    <x v="0"/>
    <x v="0"/>
  </r>
  <r>
    <x v="6"/>
    <s v="DP.2828"/>
    <s v="MOVEMENT, EMERGENCY AND POST-CRISIS MIGRATION MANAGEMENT"/>
    <s v="Regional Refugee and Migrant Response Plan (RMRP) for the Venezuela Situation 2024"/>
    <s v="Uruguay"/>
    <n v="4500450055"/>
    <m/>
    <s v="Implementing Partner"/>
    <s v="AGENCIA ADVENTISTA DE DESARROLLO Y"/>
    <s v="Uruguay"/>
    <n v="92941.91"/>
    <x v="0"/>
    <x v="1"/>
  </r>
  <r>
    <x v="6"/>
    <s v="DP.2833"/>
    <s v="MOVEMENT, EMERGENCY AND POST-CRISIS MIGRATION MANAGEMENT"/>
    <s v="Responding to Urgent Needs of Affected Communities in Northern and Central Mali"/>
    <s v="Mali"/>
    <n v="4500439289"/>
    <m/>
    <s v="Implementing Partner"/>
    <s v="DIRECTION NAT.DEV. SOC"/>
    <s v="Mali"/>
    <n v="149567.37"/>
    <x v="0"/>
    <x v="0"/>
  </r>
  <r>
    <x v="6"/>
    <s v="DP.2833"/>
    <s v="MOVEMENT, EMERGENCY AND POST-CRISIS MIGRATION MANAGEMENT"/>
    <s v="Responding to Urgent Needs of Affected Communities in Northern and Central Mali"/>
    <s v="Mali"/>
    <n v="4500439298"/>
    <m/>
    <s v="Implementing Partner"/>
    <s v="DIRECTION NAT.DEV. SOC"/>
    <s v="Mali"/>
    <n v="214256.26"/>
    <x v="0"/>
    <x v="0"/>
  </r>
  <r>
    <x v="6"/>
    <s v="DP.2836"/>
    <s v="MOVEMENT, EMERGENCY AND POST-CRISIS MIGRATION MANAGEMENT"/>
    <s v="Humanitarian Assistance to Rohingya and Host Communities in Bangladesh"/>
    <s v="Bangladesh"/>
    <n v="4500430930"/>
    <m/>
    <s v="Implementing Partner"/>
    <s v="ACTION CONTRE LA FAIM (ACF)"/>
    <s v="Bangladesh"/>
    <n v="235664.87"/>
    <x v="0"/>
    <x v="1"/>
  </r>
  <r>
    <x v="6"/>
    <s v="DP.2836"/>
    <s v="MOVEMENT, EMERGENCY AND POST-CRISIS MIGRATION MANAGEMENT"/>
    <s v="Humanitarian Assistance to Rohingya and Host Communities in Bangladesh"/>
    <s v="Bangladesh"/>
    <n v="4500432638"/>
    <m/>
    <s v="Implementing Partner"/>
    <s v="Danish Refugee Council(DRC)"/>
    <s v="Denmark"/>
    <n v="74795.649999999994"/>
    <x v="0"/>
    <x v="1"/>
  </r>
  <r>
    <x v="6"/>
    <s v="DP.2836"/>
    <s v="MOVEMENT, EMERGENCY AND POST-CRISIS MIGRATION MANAGEMENT"/>
    <s v="Humanitarian Assistance to Rohingya and Host Communities in Bangladesh"/>
    <s v="Bangladesh"/>
    <n v="4500437075"/>
    <m/>
    <s v="Implementing Partner"/>
    <s v="CARE BANGLADESH"/>
    <s v="Bangladesh"/>
    <n v="177820.9"/>
    <x v="0"/>
    <x v="1"/>
  </r>
  <r>
    <x v="6"/>
    <s v="DP.2836"/>
    <s v="MOVEMENT, EMERGENCY AND POST-CRISIS MIGRATION MANAGEMENT"/>
    <s v="Humanitarian Assistance to Rohingya and Host Communities in Bangladesh"/>
    <s v="Bangladesh"/>
    <n v="4500444429"/>
    <m/>
    <s v="Implementing Partner"/>
    <s v="NOWZUWAN"/>
    <s v="Bangladesh"/>
    <n v="64181.2"/>
    <x v="0"/>
    <x v="0"/>
  </r>
  <r>
    <x v="6"/>
    <s v="DP.2836"/>
    <s v="MOVEMENT, EMERGENCY AND POST-CRISIS MIGRATION MANAGEMENT"/>
    <s v="Humanitarian Assistance to Rohingya and Host Communities in Bangladesh"/>
    <s v="Bangladesh"/>
    <n v="4500444502"/>
    <m/>
    <s v="Implementing Partner"/>
    <s v="YPSA"/>
    <s v="Bangladesh"/>
    <n v="62369.17"/>
    <x v="0"/>
    <x v="0"/>
  </r>
  <r>
    <x v="6"/>
    <s v="DP.2836"/>
    <s v="MOVEMENT, EMERGENCY AND POST-CRISIS MIGRATION MANAGEMENT"/>
    <s v="Humanitarian Assistance to Rohingya and Host Communities in Bangladesh"/>
    <s v="Bangladesh"/>
    <n v="4500448325"/>
    <m/>
    <s v="Implementing Partner"/>
    <s v="Danish Refugee Council(DRC)"/>
    <s v="Denmark"/>
    <n v="191883.94"/>
    <x v="0"/>
    <x v="1"/>
  </r>
  <r>
    <x v="6"/>
    <s v="DP.2836"/>
    <s v="MOVEMENT, EMERGENCY AND POST-CRISIS MIGRATION MANAGEMENT"/>
    <s v="Humanitarian Assistance to Rohingya and Host Communities in Bangladesh"/>
    <s v="Bangladesh"/>
    <n v="4500451351"/>
    <m/>
    <s v="Implementing Partner"/>
    <s v="NGO FORUM FOR PUBLIC HEALTH"/>
    <s v="Bangladesh"/>
    <n v="92140.07"/>
    <x v="0"/>
    <x v="0"/>
  </r>
  <r>
    <x v="6"/>
    <s v="DP.2840"/>
    <s v="MOVEMENT, EMERGENCY AND POST-CRISIS MIGRATION MANAGEMENT"/>
    <s v="Humanitarian Response to International Migrants in Transit through Honduras"/>
    <s v="Honduras"/>
    <n v="4500438684"/>
    <m/>
    <s v="Implementing Partner"/>
    <s v="FUNDACION ALIVIO DEL SUFRIMIENTO"/>
    <s v="Honduras"/>
    <n v="294943.84999999998"/>
    <x v="0"/>
    <x v="0"/>
  </r>
  <r>
    <x v="6"/>
    <s v="DP.2840"/>
    <s v="MOVEMENT, EMERGENCY AND POST-CRISIS MIGRATION MANAGEMENT"/>
    <s v="Humanitarian Response to International Migrants in Transit through Honduras"/>
    <s v="Honduras"/>
    <n v="4500439009"/>
    <m/>
    <s v="Implementing Partner"/>
    <s v="CARITAS DE HONDURAS"/>
    <s v="Honduras"/>
    <n v="154654.79"/>
    <x v="0"/>
    <x v="6"/>
  </r>
  <r>
    <x v="6"/>
    <s v="DP.2842"/>
    <s v="MOVEMENT, EMERGENCY AND POST-CRISIS MIGRATION MANAGEMENT"/>
    <s v="Humanitarian Multisectoral Response to the Needs of People on the Move (Including Returnees) in Venezuela with a Lifesaving and Human Security Approach"/>
    <s v="Venezuela (BR)"/>
    <n v="4500438286"/>
    <m/>
    <s v="Implementing Partner"/>
    <s v="DIOCESIS DE SAN CRISTOBAL"/>
    <s v="Venezuela (BR)"/>
    <n v="48648.65"/>
    <x v="0"/>
    <x v="5"/>
  </r>
  <r>
    <x v="6"/>
    <s v="DP.2842"/>
    <s v="MOVEMENT, EMERGENCY AND POST-CRISIS MIGRATION MANAGEMENT"/>
    <s v="Humanitarian Multisectoral Response to the Needs of People on the Move (Including Returnees) in Venezuela with a Lifesaving and Human Security Approach"/>
    <s v="Venezuela (BR)"/>
    <n v="4500438287"/>
    <m/>
    <s v="Implementing Partner"/>
    <s v="ASOCIACION CIVIL OBSERVATORIO DE"/>
    <s v="Venezuela (BR)"/>
    <n v="18865.34"/>
    <x v="0"/>
    <x v="0"/>
  </r>
  <r>
    <x v="6"/>
    <s v="DP.2842"/>
    <s v="MOVEMENT, EMERGENCY AND POST-CRISIS MIGRATION MANAGEMENT"/>
    <s v="Humanitarian Multisectoral Response to the Needs of People on the Move (Including Returnees) in Venezuela with a Lifesaving and Human Security Approach"/>
    <s v="Venezuela (BR)"/>
    <n v="4500438292"/>
    <m/>
    <s v="Implementing Partner"/>
    <s v="ASOC. CIVIL CARITAS GUASDUALITO"/>
    <s v="Venezuela (BR)"/>
    <n v="58846.38"/>
    <x v="0"/>
    <x v="6"/>
  </r>
  <r>
    <x v="6"/>
    <s v="DP.2842"/>
    <s v="MOVEMENT, EMERGENCY AND POST-CRISIS MIGRATION MANAGEMENT"/>
    <s v="Humanitarian Multisectoral Response to the Needs of People on the Move (Including Returnees) in Venezuela with a Lifesaving and Human Security Approach"/>
    <s v="Venezuela (BR)"/>
    <n v="4500438298"/>
    <m/>
    <s v="Implementing Partner"/>
    <s v="Cruz Roja Sub Comite Guasdualito"/>
    <s v="Venezuela (BR)"/>
    <n v="13248.63"/>
    <x v="0"/>
    <x v="4"/>
  </r>
  <r>
    <x v="6"/>
    <s v="DP.2842"/>
    <s v="MOVEMENT, EMERGENCY AND POST-CRISIS MIGRATION MANAGEMENT"/>
    <s v="Humanitarian Multisectoral Response to the Needs of People on the Move (Including Returnees) in Venezuela with a Lifesaving and Human Security Approach"/>
    <s v="Venezuela (BR)"/>
    <n v="4500438307"/>
    <m/>
    <s v="Implementing Partner"/>
    <s v="Cruz Roja Venezolana Seccional Zuli"/>
    <s v="Venezuela (BR)"/>
    <n v="14664.86"/>
    <x v="0"/>
    <x v="4"/>
  </r>
  <r>
    <x v="6"/>
    <s v="DP.2842"/>
    <s v="MOVEMENT, EMERGENCY AND POST-CRISIS MIGRATION MANAGEMENT"/>
    <s v="Humanitarian Multisectoral Response to the Needs of People on the Move (Including Returnees) in Venezuela with a Lifesaving and Human Security Approach"/>
    <s v="Venezuela (BR)"/>
    <n v="4500438310"/>
    <m/>
    <s v="Implementing Partner"/>
    <s v="FUNDACION PROYECTO MANIAPURE"/>
    <s v="Venezuela (BR)"/>
    <n v="27335.87"/>
    <x v="0"/>
    <x v="0"/>
  </r>
  <r>
    <x v="6"/>
    <s v="DP.2842"/>
    <s v="MOVEMENT, EMERGENCY AND POST-CRISIS MIGRATION MANAGEMENT"/>
    <s v="Humanitarian Multisectoral Response to the Needs of People on the Move (Including Returnees) in Venezuela with a Lifesaving and Human Security Approach"/>
    <s v="Venezuela (BR)"/>
    <n v="4500438313"/>
    <m/>
    <s v="Implementing Partner"/>
    <s v="Diocesis Ciudad Guayana"/>
    <s v="Venezuela (BR)"/>
    <n v="15405.4"/>
    <x v="0"/>
    <x v="5"/>
  </r>
  <r>
    <x v="6"/>
    <s v="DP.2842"/>
    <s v="MOVEMENT, EMERGENCY AND POST-CRISIS MIGRATION MANAGEMENT"/>
    <s v="Humanitarian Multisectoral Response to the Needs of People on the Move (Including Returnees) in Venezuela with a Lifesaving and Human Security Approach"/>
    <s v="Venezuela (BR)"/>
    <n v="4500438696"/>
    <m/>
    <s v="Implementing Partner"/>
    <s v="HIAS VENEZUELA"/>
    <s v="Venezuela (BR)"/>
    <n v="27465.94"/>
    <x v="0"/>
    <x v="1"/>
  </r>
  <r>
    <x v="6"/>
    <s v="DP.2848"/>
    <s v="MOVEMENT, EMERGENCY AND POST-CRISIS MIGRATION MANAGEMENT"/>
    <s v="Providing Life-Saving Humanitarian Assistance to the Most Vulnerable and Contributing to Reduced Aid Dependency in Yemen"/>
    <s v="Yemen"/>
    <n v="4500441035"/>
    <m/>
    <s v="Implementing Partner"/>
    <s v="Youth Creativity Organization for"/>
    <s v="Yemen"/>
    <n v="3336"/>
    <x v="0"/>
    <x v="0"/>
  </r>
  <r>
    <x v="6"/>
    <s v="DP.2861"/>
    <s v="MOVEMENT, EMERGENCY AND POST-CRISIS MIGRATION MANAGEMENT"/>
    <s v="Regional Refugee And Migrant Response Plan (RMRP 2023 - 2024) For The Venezuelan Situation In Colombia"/>
    <s v="Colombia"/>
    <n v="4500432504"/>
    <m/>
    <s v="Implementing Partner"/>
    <s v="ALDEAS INFANTILES SOS COLOMBIA"/>
    <s v="Colombia"/>
    <n v="197847.36"/>
    <x v="0"/>
    <x v="1"/>
  </r>
  <r>
    <x v="6"/>
    <s v="DP.2861"/>
    <s v="MOVEMENT, EMERGENCY AND POST-CRISIS MIGRATION MANAGEMENT"/>
    <s v="Regional Refugee And Migrant Response Plan (RMRP 2023 - 2024) For The Venezuelan Situation In Colombia"/>
    <s v="Colombia"/>
    <n v="4500438932"/>
    <m/>
    <s v="Implementing Partner"/>
    <s v="CRUZ ROJA COLOMBIANA CUNDINAMARCA"/>
    <s v="Colombia"/>
    <n v="68393.55"/>
    <x v="0"/>
    <x v="4"/>
  </r>
  <r>
    <x v="6"/>
    <s v="DP.2861"/>
    <s v="MOVEMENT, EMERGENCY AND POST-CRISIS MIGRATION MANAGEMENT"/>
    <s v="Regional Refugee And Migrant Response Plan (RMRP 2023 - 2024) For The Venezuelan Situation In Colombia"/>
    <s v="Colombia"/>
    <n v="4500449320"/>
    <m/>
    <s v="Implementing Partner"/>
    <s v="WORLD VISION INTERNATIONAL (IP)"/>
    <s v="Colombia"/>
    <n v="170385.02"/>
    <x v="0"/>
    <x v="1"/>
  </r>
  <r>
    <x v="6"/>
    <s v="DP.2861"/>
    <s v="MOVEMENT, EMERGENCY AND POST-CRISIS MIGRATION MANAGEMENT"/>
    <s v="Regional Refugee And Migrant Response Plan (RMRP 2023 - 2024) For The Venezuelan Situation In Colombia"/>
    <s v="Colombia"/>
    <n v="4500453024"/>
    <m/>
    <s v="Implementing Partner"/>
    <s v="PARROQUIA BEATO JUAN BAUTISTA SCALA"/>
    <s v="Colombia"/>
    <n v="175277.21"/>
    <x v="0"/>
    <x v="5"/>
  </r>
  <r>
    <x v="6"/>
    <s v="DP.2864"/>
    <s v="MOVEMENT, EMERGENCY AND POST-CRISIS MIGRATION MANAGEMENT"/>
    <s v="Provision of Integrated Multi-sectoral Assistance to Vulnerable Displaced Population in Somalia"/>
    <s v="Somalia"/>
    <n v="4500450158"/>
    <m/>
    <s v="Implementing Partner"/>
    <s v="Juba Foundation"/>
    <s v="Somalia"/>
    <n v="27819"/>
    <x v="0"/>
    <x v="3"/>
  </r>
  <r>
    <x v="6"/>
    <s v="DP.2866"/>
    <s v="MOVEMENT, EMERGENCY AND POST-CRISIS MIGRATION MANAGEMENT"/>
    <s v="Emergency Assistance to Displaced Populations and Host Communities Affected by Security Crises and Climate-Related Disasters in Niger (Shelter, Non-food Items and Water, Hygiene and Sanitation (WASH))"/>
    <s v="Niger"/>
    <n v="4500448576"/>
    <m/>
    <s v="Implementing Partner"/>
    <s v="ONG VISION PLUS"/>
    <s v="Niger"/>
    <n v="276452.53999999998"/>
    <x v="0"/>
    <x v="0"/>
  </r>
  <r>
    <x v="6"/>
    <s v="DP.2866"/>
    <s v="MOVEMENT, EMERGENCY AND POST-CRISIS MIGRATION MANAGEMENT"/>
    <s v="Emergency Assistance to Displaced Populations and Host Communities Affected by Security Crises and Climate-Related Disasters in Niger (Shelter, Non-food Items and Water, Hygiene and Sanitation (WASH))"/>
    <s v="Niger"/>
    <n v="4500448577"/>
    <m/>
    <s v="Implementing Partner"/>
    <s v="ONG DEDI"/>
    <s v="Niger"/>
    <n v="611234.06000000006"/>
    <x v="0"/>
    <x v="0"/>
  </r>
  <r>
    <x v="6"/>
    <s v="DP.2867"/>
    <s v="MOVEMENT, EMERGENCY AND POST-CRISIS MIGRATION MANAGEMENT"/>
    <s v="PRM Contribution to the Ukraine Refugee Regional Response (RRP 2024)"/>
    <s v="Czechia"/>
    <n v="4500442858"/>
    <m/>
    <s v="Implementing Partner"/>
    <s v="Diakonie CCE - SCPS"/>
    <s v="Czechia"/>
    <n v="32432.43"/>
    <x v="0"/>
    <x v="1"/>
  </r>
  <r>
    <x v="6"/>
    <s v="DP.2867"/>
    <s v="MOVEMENT, EMERGENCY AND POST-CRISIS MIGRATION MANAGEMENT"/>
    <s v="PRM Contribution to the Ukraine Refugee Regional Response (RRP 2024)"/>
    <s v="Czechia"/>
    <n v="4500448916"/>
    <m/>
    <s v="Implementing Partner"/>
    <s v="Organizace pro pomoc uprchlikum"/>
    <s v="Czechia"/>
    <n v="100000"/>
    <x v="0"/>
    <x v="0"/>
  </r>
  <r>
    <x v="6"/>
    <s v="DP.2867"/>
    <s v="MOVEMENT, EMERGENCY AND POST-CRISIS MIGRATION MANAGEMENT"/>
    <s v="PRM Contribution to the Ukraine Refugee Regional Response (RRP 2024)"/>
    <s v="Moldova (Rep)"/>
    <n v="4500450280"/>
    <m/>
    <s v="Implementing Partner"/>
    <s v="AO INTERACTIUNE"/>
    <s v="Moldova (Rep)"/>
    <n v="51126.19"/>
    <x v="0"/>
    <x v="0"/>
  </r>
  <r>
    <x v="6"/>
    <s v="DP.2867"/>
    <s v="MOVEMENT, EMERGENCY AND POST-CRISIS MIGRATION MANAGEMENT"/>
    <s v="PRM Contribution to the Ukraine Refugee Regional Response (RRP 2024)"/>
    <s v="Poland"/>
    <n v="4500442533"/>
    <m/>
    <s v="Implementing Partner"/>
    <s v="FUNDACJA UKRAINA-WALBRZYCH"/>
    <s v="Poland"/>
    <n v="18915.509999999998"/>
    <x v="0"/>
    <x v="0"/>
  </r>
  <r>
    <x v="6"/>
    <s v="DP.2867"/>
    <s v="MOVEMENT, EMERGENCY AND POST-CRISIS MIGRATION MANAGEMENT"/>
    <s v="PRM Contribution to the Ukraine Refugee Regional Response (RRP 2024)"/>
    <s v="Poland"/>
    <n v="4500446083"/>
    <m/>
    <s v="Implementing Partner"/>
    <s v="STOWARZYSZENIE WAGA"/>
    <s v="Poland"/>
    <n v="110971"/>
    <x v="0"/>
    <x v="0"/>
  </r>
  <r>
    <x v="6"/>
    <s v="DP.2867"/>
    <s v="MOVEMENT, EMERGENCY AND POST-CRISIS MIGRATION MANAGEMENT"/>
    <s v="PRM Contribution to the Ukraine Refugee Regional Response (RRP 2024)"/>
    <s v="Poland"/>
    <n v="4500446188"/>
    <m/>
    <s v="Implementing Partner"/>
    <s v="GERMANITAS"/>
    <s v="Poland"/>
    <n v="139960.65"/>
    <x v="0"/>
    <x v="0"/>
  </r>
  <r>
    <x v="6"/>
    <s v="DP.2867"/>
    <s v="MOVEMENT, EMERGENCY AND POST-CRISIS MIGRATION MANAGEMENT"/>
    <s v="PRM Contribution to the Ukraine Refugee Regional Response (RRP 2024)"/>
    <s v="Poland"/>
    <n v="4500447363"/>
    <m/>
    <s v="Implementing Partner"/>
    <s v="FUNDACJA HABITAT"/>
    <s v="Poland"/>
    <n v="300000"/>
    <x v="0"/>
    <x v="1"/>
  </r>
  <r>
    <x v="6"/>
    <s v="DP.2867"/>
    <s v="MOVEMENT, EMERGENCY AND POST-CRISIS MIGRATION MANAGEMENT"/>
    <s v="PRM Contribution to the Ukraine Refugee Regional Response (RRP 2024)"/>
    <s v="Poland"/>
    <n v="4500447673"/>
    <m/>
    <s v="Implementing Partner"/>
    <s v="PODKARPACKIE STOWARZYSZENIE DLA"/>
    <s v="Poland"/>
    <n v="179514.2"/>
    <x v="0"/>
    <x v="3"/>
  </r>
  <r>
    <x v="6"/>
    <s v="DP.2867"/>
    <s v="MOVEMENT, EMERGENCY AND POST-CRISIS MIGRATION MANAGEMENT"/>
    <s v="PRM Contribution to the Ukraine Refugee Regional Response (RRP 2024)"/>
    <s v="Poland"/>
    <n v="4500450353"/>
    <m/>
    <s v="Implementing Partner"/>
    <s v="Fundacja To Proste"/>
    <s v="Poland"/>
    <n v="83617.58"/>
    <x v="0"/>
    <x v="0"/>
  </r>
  <r>
    <x v="6"/>
    <s v="DP.2867"/>
    <s v="MOVEMENT, EMERGENCY AND POST-CRISIS MIGRATION MANAGEMENT"/>
    <s v="PRM Contribution to the Ukraine Refugee Regional Response (RRP 2024)"/>
    <s v="Poland"/>
    <n v="4500450734"/>
    <m/>
    <s v="Implementing Partner"/>
    <s v="Fundacja EduNowa"/>
    <s v="Poland"/>
    <n v="163720.93"/>
    <x v="0"/>
    <x v="0"/>
  </r>
  <r>
    <x v="6"/>
    <s v="DP.2867"/>
    <s v="MOVEMENT, EMERGENCY AND POST-CRISIS MIGRATION MANAGEMENT"/>
    <s v="PRM Contribution to the Ukraine Refugee Regional Response (RRP 2024)"/>
    <s v="Romania"/>
    <n v="4500448742"/>
    <m/>
    <s v="Implementing Partner"/>
    <s v="ADPARE"/>
    <s v="Romania"/>
    <n v="50000"/>
    <x v="0"/>
    <x v="0"/>
  </r>
  <r>
    <x v="6"/>
    <s v="DP.2867"/>
    <s v="MOVEMENT, EMERGENCY AND POST-CRISIS MIGRATION MANAGEMENT"/>
    <s v="PRM Contribution to the Ukraine Refugee Regional Response (RRP 2024)"/>
    <s v="Slovakia"/>
    <n v="4500453285"/>
    <m/>
    <s v="Implementing Partner"/>
    <s v="EQUITA"/>
    <s v="Slovakia"/>
    <n v="70465.63"/>
    <x v="0"/>
    <x v="0"/>
  </r>
  <r>
    <x v="6"/>
    <s v="DP.2873"/>
    <s v="MOVEMENT, EMERGENCY AND POST-CRISIS MIGRATION MANAGEMENT"/>
    <s v="Multi-Sectoral Support for Conflict-Affected Populations and Vulnerable Migrants in Lebanon"/>
    <s v="Lebanon"/>
    <n v="4500454447"/>
    <m/>
    <s v="Implementing Partner"/>
    <s v="SHEILD"/>
    <s v="Lebanon"/>
    <n v="30000"/>
    <x v="0"/>
    <x v="0"/>
  </r>
  <r>
    <x v="6"/>
    <s v="DP.2876"/>
    <s v="MOVEMENT, EMERGENCY AND POST-CRISIS MIGRATION MANAGEMENT"/>
    <s v="Comprehensive Multi-Sectoral Assistance To Internally Displaced Persons and Host Communities in Yemen"/>
    <s v="Yemen"/>
    <n v="4500441035"/>
    <m/>
    <s v="Implementing Partner"/>
    <s v="Youth Creativity Organization for"/>
    <s v="Yemen"/>
    <n v="8460"/>
    <x v="0"/>
    <x v="0"/>
  </r>
  <r>
    <x v="6"/>
    <s v="DP.2881"/>
    <s v="MOVEMENT, EMERGENCY AND POST-CRISIS MIGRATION MANAGEMENT"/>
    <s v="Enhancing Resilience in Border communities: Climate-Adapted Water Resource Management and Feeder Roads (DARIS WACAN)"/>
    <s v="Somalia"/>
    <n v="4500451487"/>
    <m/>
    <s v="Implementing Partner"/>
    <s v="IGAD CAEP"/>
    <s v="Somalia"/>
    <n v="1330543.22"/>
    <x v="0"/>
    <x v="13"/>
  </r>
  <r>
    <x v="6"/>
    <s v="DP.2883"/>
    <s v="MOVEMENT, EMERGENCY AND POST-CRISIS MIGRATION MANAGEMENT"/>
    <s v="Humanitarian Assistance to IDPs and Other Conflict-Affected People in Lebanon"/>
    <s v="Lebanon"/>
    <n v="4500454447"/>
    <m/>
    <s v="Implementing Partner"/>
    <s v="SHEILD"/>
    <s v="Lebanon"/>
    <n v="167000"/>
    <x v="0"/>
    <x v="0"/>
  </r>
  <r>
    <x v="6"/>
    <s v="DR.0072"/>
    <s v="MIGRATION AND DEVELOPMENT"/>
    <s v="Inclusive Mitigation and Preparedness in Action II (IMPACT II) The Federated States of Micronesia"/>
    <s v="Micronesia (FS)"/>
    <n v="4500433655"/>
    <m/>
    <s v="Implementing Partner"/>
    <s v="Lelu Farmers Association"/>
    <s v="Micronesia (FS)"/>
    <n v="32000"/>
    <x v="0"/>
    <x v="3"/>
  </r>
  <r>
    <x v="6"/>
    <s v="EP.0042"/>
    <s v="MOVEMENT, EMERGENCY AND POST-CRISIS MIGRATION MANAGEMENT"/>
    <s v="Strengthening Local Capacity of the Republic of Korea in Preparedness and Response to Natural and Man-Made Disasters"/>
    <s v="Korea (the Rep)"/>
    <n v="4500431885"/>
    <m/>
    <s v="Implementing Partner"/>
    <s v="THE PROMISE"/>
    <s v="Korea (the Rep)"/>
    <n v="50000"/>
    <x v="0"/>
    <x v="0"/>
  </r>
  <r>
    <x v="6"/>
    <s v="MP.0596"/>
    <s v="MIGRATION HEALTH"/>
    <s v="Asian Development Bank Support for Continuation of COVID-19 Health Response"/>
    <s v="Bangladesh"/>
    <n v="4500454345"/>
    <m/>
    <s v="Implementing Partner"/>
    <s v="International Centre for Diarrhoeal"/>
    <s v="Bangladesh"/>
    <n v="554672.96"/>
    <x v="0"/>
    <x v="10"/>
  </r>
  <r>
    <x v="6"/>
    <s v="SN.0183"/>
    <s v="MOVEMENT, EMERGENCY AND POST-CRISIS MIGRATION MANAGEMENT"/>
    <s v="Supply Chain Support to Humanitarian Partners Providing Assistance to Populations in Northwest Syria"/>
    <s v="Turkey"/>
    <n v="4500433481"/>
    <m/>
    <s v="Implementing Partner"/>
    <s v="Kudra for Social Development Soluti"/>
    <s v="Turkey"/>
    <n v="3500"/>
    <x v="0"/>
    <x v="3"/>
  </r>
  <r>
    <x v="6"/>
    <s v="SN.0217"/>
    <s v="MOVEMENT, EMERGENCY AND POST-CRISIS MIGRATION MANAGEMENT"/>
    <s v="Addressing the Immediate Humanitarian Needs of the Most Vulnerable Populations in Ukraine"/>
    <s v="Ukraine"/>
    <n v="4500430914"/>
    <m/>
    <s v="Implementing Partner"/>
    <s v="CF POSMISHKA UA"/>
    <s v="Ukraine"/>
    <n v="58131.83"/>
    <x v="0"/>
    <x v="0"/>
  </r>
  <r>
    <x v="6"/>
    <s v="SN.0237"/>
    <s v="MOVEMENT, EMERGENCY AND POST-CRISIS MIGRATION MANAGEMENT"/>
    <s v="Emergency Grant Aid in Response to the Flood Disaster in Ethiopia, Somalia, and Kenya"/>
    <s v="Somalia"/>
    <n v="4500433463"/>
    <m/>
    <s v="Implementing Partner"/>
    <s v="SOMALI VULNERABLE ACTORS"/>
    <s v="Somalia"/>
    <n v="31740"/>
    <x v="0"/>
    <x v="0"/>
  </r>
  <r>
    <x v="6"/>
    <s v="DP.2659"/>
    <s v="MOVEMENT, EMERGENCY AND POST-CRISIS MIGRATION MANAGEMENT"/>
    <s v="Provision of Humanitarian Coordination, Shelter and Settlements, Water, Sanitation and Hygiene (WASH), Multi-Purpose Cash Assistance (MPCA), Health and Protection Assistance for Crisis-Affected Populations in Ethiopia"/>
    <s v="Ethiopia"/>
    <n v="4500430528"/>
    <m/>
    <s v="Entity Grants"/>
    <s v="Vision for Ethiopia Association"/>
    <s v="Ethiopia"/>
    <n v="135127.5"/>
    <x v="0"/>
    <x v="0"/>
  </r>
  <r>
    <x v="6"/>
    <s v="DP.2659"/>
    <s v="MOVEMENT, EMERGENCY AND POST-CRISIS MIGRATION MANAGEMENT"/>
    <s v="Provision of Humanitarian Coordination, Shelter and Settlements, Water, Sanitation and Hygiene (WASH), Multi-Purpose Cash Assistance (MPCA), Health and Protection Assistance for Crisis-Affected Populations in Ethiopia"/>
    <s v="Ethiopia"/>
    <n v="4500440304"/>
    <m/>
    <s v="Entity Grants"/>
    <s v="Action for Integrated Sust Dev.Asso"/>
    <s v="Ethiopia"/>
    <n v="100094.45"/>
    <x v="0"/>
    <x v="0"/>
  </r>
  <r>
    <x v="6"/>
    <s v="DP.2659"/>
    <s v="MOVEMENT, EMERGENCY AND POST-CRISIS MIGRATION MANAGEMENT"/>
    <s v="Provision of Humanitarian Coordination, Shelter and Settlements, Water, Sanitation and Hygiene (WASH), Multi-Purpose Cash Assistance (MPCA), Health and Protection Assistance for Crisis-Affected Populations in Ethiopia"/>
    <s v="Ethiopia"/>
    <n v="4500441711"/>
    <m/>
    <s v="Entity Grants"/>
    <s v="Environmentalists Development Assoc"/>
    <s v="Ethiopia"/>
    <n v="113677"/>
    <x v="0"/>
    <x v="0"/>
  </r>
  <r>
    <x v="6"/>
    <s v="DP.2659"/>
    <s v="MOVEMENT, EMERGENCY AND POST-CRISIS MIGRATION MANAGEMENT"/>
    <s v="Provision of Humanitarian Coordination, Shelter and Settlements, Water, Sanitation and Hygiene (WASH), Multi-Purpose Cash Assistance (MPCA), Health and Protection Assistance for Crisis-Affected Populations in Ethiopia"/>
    <s v="Ethiopia"/>
    <n v="4500441713"/>
    <m/>
    <s v="Entity Grants"/>
    <s v="Development for Peace Organization"/>
    <s v="Ethiopia"/>
    <n v="538500"/>
    <x v="0"/>
    <x v="0"/>
  </r>
  <r>
    <x v="6"/>
    <s v="DP.2659"/>
    <s v="MOVEMENT, EMERGENCY AND POST-CRISIS MIGRATION MANAGEMENT"/>
    <s v="Provision of Humanitarian Coordination, Shelter and Settlements, Water, Sanitation and Hygiene (WASH), Multi-Purpose Cash Assistance (MPCA), Health and Protection Assistance for Crisis-Affected Populations in Ethiopia"/>
    <s v="Ethiopia"/>
    <n v="4500441716"/>
    <m/>
    <s v="Entity Grants"/>
    <s v="Dorcas Aid Ethiopia"/>
    <s v="Ethiopia"/>
    <n v="368993.67"/>
    <x v="0"/>
    <x v="1"/>
  </r>
  <r>
    <x v="6"/>
    <s v="DP.2659"/>
    <s v="MOVEMENT, EMERGENCY AND POST-CRISIS MIGRATION MANAGEMENT"/>
    <s v="Provision of Humanitarian Coordination, Shelter and Settlements, Water, Sanitation and Hygiene (WASH), Multi-Purpose Cash Assistance (MPCA), Health and Protection Assistance for Crisis-Affected Populations in Ethiopia"/>
    <s v="Ethiopia"/>
    <n v="4500444943"/>
    <m/>
    <s v="Entity Grants"/>
    <s v="ASDEPO"/>
    <s v="Ethiopia"/>
    <n v="152791.4"/>
    <x v="0"/>
    <x v="0"/>
  </r>
  <r>
    <x v="6"/>
    <s v="DP.2659"/>
    <s v="MOVEMENT, EMERGENCY AND POST-CRISIS MIGRATION MANAGEMENT"/>
    <s v="Provision of Humanitarian Coordination, Shelter and Settlements, Water, Sanitation and Hygiene (WASH), Multi-Purpose Cash Assistance (MPCA), Health and Protection Assistance for Crisis-Affected Populations in Ethiopia"/>
    <s v="Ethiopia"/>
    <n v="4500444963"/>
    <m/>
    <s v="Entity Grants"/>
    <s v="DanChurchAid"/>
    <s v="Ethiopia"/>
    <n v="271926.67"/>
    <x v="0"/>
    <x v="1"/>
  </r>
  <r>
    <x v="6"/>
    <s v="DP.2659"/>
    <s v="MOVEMENT, EMERGENCY AND POST-CRISIS MIGRATION MANAGEMENT"/>
    <s v="Provision of Humanitarian Coordination, Shelter and Settlements, Water, Sanitation and Hygiene (WASH), Multi-Purpose Cash Assistance (MPCA), Health and Protection Assistance for Crisis-Affected Populations in Ethiopia"/>
    <s v="Ethiopia"/>
    <n v="4500445308"/>
    <m/>
    <s v="Entity Grants"/>
    <s v="Community in Action Against Poverty"/>
    <s v="Ethiopia"/>
    <n v="193335.44"/>
    <x v="0"/>
    <x v="0"/>
  </r>
  <r>
    <x v="6"/>
    <s v="DP.2659"/>
    <s v="MOVEMENT, EMERGENCY AND POST-CRISIS MIGRATION MANAGEMENT"/>
    <s v="Provision of Humanitarian Coordination, Shelter and Settlements, Water, Sanitation and Hygiene (WASH), Multi-Purpose Cash Assistance (MPCA), Health and Protection Assistance for Crisis-Affected Populations in Ethiopia"/>
    <s v="Ethiopia"/>
    <n v="4500446963"/>
    <m/>
    <s v="Entity Grants"/>
    <s v="Gurmuu Development Association"/>
    <s v="Ethiopia"/>
    <n v="49654"/>
    <x v="0"/>
    <x v="0"/>
  </r>
  <r>
    <x v="6"/>
    <s v="DP.2659"/>
    <s v="MOVEMENT, EMERGENCY AND POST-CRISIS MIGRATION MANAGEMENT"/>
    <s v="Provision of Humanitarian Coordination, Shelter and Settlements, Water, Sanitation and Hygiene (WASH), Multi-Purpose Cash Assistance (MPCA), Health and Protection Assistance for Crisis-Affected Populations in Ethiopia"/>
    <s v="Ethiopia"/>
    <n v="4500447221"/>
    <m/>
    <s v="Entity Grants"/>
    <s v="Lutheran World Feder'n WS-Eth"/>
    <s v="Ethiopia"/>
    <n v="417503"/>
    <x v="0"/>
    <x v="1"/>
  </r>
  <r>
    <x v="6"/>
    <s v="DP.2863"/>
    <s v="MOVEMENT, EMERGENCY AND POST-CRISIS MIGRATION MANAGEMENT"/>
    <s v="Addressing the Urgent and Ongoing Humanitarian Needs of War-Affected Populations in Ukraine"/>
    <s v="Ukraine"/>
    <n v="4500449380"/>
    <m/>
    <s v="Entity Grants"/>
    <s v="SUMMIT OF FIRST LADIES AND GENTLEME"/>
    <s v="Ukraine"/>
    <n v="49620.72"/>
    <x v="0"/>
    <x v="9"/>
  </r>
  <r>
    <x v="7"/>
    <s v="CC.0075"/>
    <s v="MOVEMENT, EMERGENCY AND POST-CRISIS MIGRATION MANAGEMENT"/>
    <s v="Strengthening Accountability to Affected Populations for conflict-affected people in Mocímboa da Praia District of Cabo Delgado, Mozambique"/>
    <s v="Mozambique"/>
    <n v="4500422524"/>
    <m/>
    <s v="Implementing Partner"/>
    <s v="ASMOG Parque Nacional Das Quirimbas"/>
    <s v="Mozambique"/>
    <n v="120000"/>
    <x v="0"/>
    <x v="0"/>
  </r>
  <r>
    <x v="7"/>
    <s v="DP.1716"/>
    <s v="MOVEMENT, EMERGENCY AND POST-CRISIS MIGRATION MANAGEMENT"/>
    <s v="Strengthening the Humanitarian Response for Vulnerable People on the Move in Mexico"/>
    <s v="Mexico"/>
    <n v="4500424714"/>
    <m/>
    <s v="Implementing Partner"/>
    <s v="HOSPITALIDAD Y SOLIDARIDAD AC"/>
    <s v="Mexico"/>
    <n v="9994.1"/>
    <x v="0"/>
    <x v="0"/>
  </r>
  <r>
    <x v="7"/>
    <s v="DP.1716"/>
    <s v="MOVEMENT, EMERGENCY AND POST-CRISIS MIGRATION MANAGEMENT"/>
    <s v="Strengthening the Humanitarian Response for Vulnerable People on the Move in Mexico"/>
    <s v="Mexico"/>
    <n v="4500425163"/>
    <m/>
    <s v="Implementing Partner"/>
    <s v="DIALOGO INTERCULTURAL MEXICANO AC"/>
    <s v="Mexico"/>
    <n v="6553.66"/>
    <x v="0"/>
    <x v="0"/>
  </r>
  <r>
    <x v="7"/>
    <s v="DP.2437"/>
    <s v="MOVEMENT, EMERGENCY AND POST-CRISIS MIGRATION MANAGEMENT"/>
    <s v="Everyone Counts - Inclusive Data for Stability and Development"/>
    <s v="Ukraine"/>
    <n v="4500387996"/>
    <m/>
    <s v="Implementing Partner"/>
    <s v="BF PRAVO NA ZAKHYST"/>
    <s v="Ukraine"/>
    <n v="23040.45"/>
    <x v="0"/>
    <x v="0"/>
  </r>
  <r>
    <x v="7"/>
    <s v="DP.2469"/>
    <s v="MOVEMENT, EMERGENCY AND POST-CRISIS MIGRATION MANAGEMENT"/>
    <s v="Sanitation for All"/>
    <s v="Ethiopia"/>
    <n v="4500420023"/>
    <m/>
    <s v="Implementing Partner"/>
    <s v="Norwegian Church Aid"/>
    <s v="Ethiopia"/>
    <n v="51723"/>
    <x v="0"/>
    <x v="1"/>
  </r>
  <r>
    <x v="7"/>
    <s v="DP.2469"/>
    <s v="MOVEMENT, EMERGENCY AND POST-CRISIS MIGRATION MANAGEMENT"/>
    <s v="Sanitation for All"/>
    <s v="Ethiopia"/>
    <n v="4500420382"/>
    <m/>
    <s v="Implementing Partner"/>
    <s v="ThinkPlace Kenya Limited"/>
    <s v="Kenya"/>
    <n v="125170"/>
    <x v="0"/>
    <x v="10"/>
  </r>
  <r>
    <x v="7"/>
    <s v="DP.2469"/>
    <s v="MOVEMENT, EMERGENCY AND POST-CRISIS MIGRATION MANAGEMENT"/>
    <s v="Sanitation for All"/>
    <s v="Ethiopia"/>
    <n v="4500420402"/>
    <m/>
    <s v="Implementing Partner"/>
    <s v="FikatBengat Garment Trading Plc"/>
    <s v="Ethiopia"/>
    <n v="30019"/>
    <x v="0"/>
    <x v="14"/>
  </r>
  <r>
    <x v="7"/>
    <s v="DP.2470"/>
    <s v="MOVEMENT, EMERGENCY AND POST-CRISIS MIGRATION MANAGEMENT"/>
    <s v="IOM Flash Appeal for Ukraine and Neighbouring Countries 2022 - Norway"/>
    <s v="Moldova (Rep)"/>
    <n v="4500408744"/>
    <m/>
    <s v="Implementing Partner"/>
    <s v="RESONANCE"/>
    <s v="Moldova (Rep)"/>
    <n v="49552.94"/>
    <x v="0"/>
    <x v="0"/>
  </r>
  <r>
    <x v="7"/>
    <s v="DP.2470"/>
    <s v="MOVEMENT, EMERGENCY AND POST-CRISIS MIGRATION MANAGEMENT"/>
    <s v="IOM Flash Appeal for Ukraine and Neighbouring Countries 2022 - Norway"/>
    <s v="Ukraine"/>
    <n v="4500419717"/>
    <m/>
    <s v="Implementing Partner"/>
    <s v="ACTED UKRAINE"/>
    <s v="Ukraine"/>
    <n v="42827"/>
    <x v="0"/>
    <x v="1"/>
  </r>
  <r>
    <x v="7"/>
    <s v="DP.2470"/>
    <s v="MOVEMENT, EMERGENCY AND POST-CRISIS MIGRATION MANAGEMENT"/>
    <s v="IOM Flash Appeal for Ukraine and Neighbouring Countries 2022 - Norway"/>
    <s v="Ukraine"/>
    <n v="4500421002"/>
    <m/>
    <s v="Implementing Partner"/>
    <s v="ACTED UKRAINE"/>
    <s v="Ukraine"/>
    <n v="47692"/>
    <x v="0"/>
    <x v="1"/>
  </r>
  <r>
    <x v="7"/>
    <s v="DP.2545"/>
    <s v="MOVEMENT, EMERGENCY AND POST-CRISIS MIGRATION MANAGEMENT"/>
    <s v="Rapid Response Fund for Humanitarian Emergencies in Sudan"/>
    <s v="Sudan"/>
    <n v="4500415884"/>
    <m/>
    <s v="Implementing Partner"/>
    <s v="African Vision for Development Org"/>
    <s v="Sudan"/>
    <n v="106961"/>
    <x v="0"/>
    <x v="0"/>
  </r>
  <r>
    <x v="7"/>
    <s v="DP.2545"/>
    <s v="MOVEMENT, EMERGENCY AND POST-CRISIS MIGRATION MANAGEMENT"/>
    <s v="Rapid Response Fund for Humanitarian Emergencies in Sudan"/>
    <s v="Sudan"/>
    <n v="4500417795"/>
    <m/>
    <s v="Implementing Partner"/>
    <s v="LM International"/>
    <s v="Sudan"/>
    <n v="219206"/>
    <x v="0"/>
    <x v="1"/>
  </r>
  <r>
    <x v="7"/>
    <s v="DP.2545"/>
    <s v="MOVEMENT, EMERGENCY AND POST-CRISIS MIGRATION MANAGEMENT"/>
    <s v="Rapid Response Fund for Humanitarian Emergencies in Sudan"/>
    <s v="Sudan"/>
    <n v="4500418669"/>
    <m/>
    <s v="Implementing Partner"/>
    <s v="Alsalam Organization for Rehabilita"/>
    <s v="Sudan"/>
    <n v="179439"/>
    <x v="0"/>
    <x v="0"/>
  </r>
  <r>
    <x v="7"/>
    <s v="DP.2545"/>
    <s v="MOVEMENT, EMERGENCY AND POST-CRISIS MIGRATION MANAGEMENT"/>
    <s v="Rapid Response Fund for Humanitarian Emergencies in Sudan"/>
    <s v="Sudan"/>
    <n v="4500419664"/>
    <m/>
    <s v="Implementing Partner"/>
    <s v="Humanity for Development and Prospe"/>
    <s v="Sudan"/>
    <n v="289976"/>
    <x v="0"/>
    <x v="0"/>
  </r>
  <r>
    <x v="7"/>
    <s v="DP.2545"/>
    <s v="MOVEMENT, EMERGENCY AND POST-CRISIS MIGRATION MANAGEMENT"/>
    <s v="Rapid Response Fund for Humanitarian Emergencies in Sudan"/>
    <s v="Sudan"/>
    <n v="4500421242"/>
    <m/>
    <s v="Implementing Partner"/>
    <s v="SPACES for Peace and Development Or"/>
    <s v="Sudan"/>
    <n v="42614"/>
    <x v="0"/>
    <x v="0"/>
  </r>
  <r>
    <x v="7"/>
    <s v="DP.2545"/>
    <s v="MOVEMENT, EMERGENCY AND POST-CRISIS MIGRATION MANAGEMENT"/>
    <s v="Rapid Response Fund for Humanitarian Emergencies in Sudan"/>
    <s v="Sudan"/>
    <n v="4500426968"/>
    <m/>
    <s v="Implementing Partner"/>
    <s v="African Vision for Development Org"/>
    <s v="Sudan"/>
    <n v="242168"/>
    <x v="0"/>
    <x v="0"/>
  </r>
  <r>
    <x v="7"/>
    <s v="DP.2596"/>
    <s v="MOVEMENT, EMERGENCY AND POST-CRISIS MIGRATION MANAGEMENT"/>
    <s v="Promoting Thermophilic Anaerobic Digestion in Faecal Sludge Treatment to Contribute to the Prevention of Cholera Outbreaks in Bangladesh’s Rohingyas Refugee Camps"/>
    <s v="Bangladesh"/>
    <n v="4500425798"/>
    <m/>
    <s v="Implementing Partner"/>
    <s v="International Centre for Diarrhoeal"/>
    <s v="Bangladesh"/>
    <n v="39878.519999999997"/>
    <x v="0"/>
    <x v="10"/>
  </r>
  <r>
    <x v="7"/>
    <s v="DP.2604"/>
    <s v="MOVEMENT, EMERGENCY AND POST-CRISIS MIGRATION MANAGEMENT"/>
    <s v="Promoting Shelter Upgrade and Community Building in Bhasan Char and Cox's Bazar District"/>
    <s v="Bangladesh"/>
    <n v="4500416740"/>
    <m/>
    <s v="Implementing Partner"/>
    <s v="BNWLA"/>
    <s v="Bangladesh"/>
    <n v="30000.46"/>
    <x v="0"/>
    <x v="0"/>
  </r>
  <r>
    <x v="7"/>
    <s v="DP.2612"/>
    <s v="MOVEMENT, EMERGENCY AND POST-CRISIS MIGRATION MANAGEMENT"/>
    <s v="Enhancing Diasporas’ Operations and Coordination in Humanitarian Assistance for Increased Impact within a Framework for Diaspora Engagement in Humanitarian Assistance – Phase III"/>
    <s v="Sudan"/>
    <n v="4500410917"/>
    <m/>
    <s v="Implementing Partner"/>
    <s v="SHABAKA SOCIAL ENTERPRISE, C.I.C."/>
    <s v="United Kingdom"/>
    <n v="29659"/>
    <x v="0"/>
    <x v="0"/>
  </r>
  <r>
    <x v="7"/>
    <s v="DP.2614"/>
    <s v="MOVEMENT, EMERGENCY AND POST-CRISIS MIGRATION MANAGEMENT"/>
    <s v="Regional Refugee and Migrant Response Plan (RMRP) for the Venezuela Situation 2023"/>
    <s v="Argentina"/>
    <n v="4500381405"/>
    <m/>
    <s v="Implementing Partner"/>
    <s v="CRUZ ROJA ARGENTINA"/>
    <s v="Argentina"/>
    <n v="3537.51"/>
    <x v="0"/>
    <x v="4"/>
  </r>
  <r>
    <x v="7"/>
    <s v="DP.2614"/>
    <s v="MOVEMENT, EMERGENCY AND POST-CRISIS MIGRATION MANAGEMENT"/>
    <s v="Regional Refugee and Migrant Response Plan (RMRP) for the Venezuela Situation 2023"/>
    <s v="Dominican Rep."/>
    <n v="4500403098"/>
    <m/>
    <s v="Implementing Partner"/>
    <s v="Fundacion de Emigrantes y Refugiado"/>
    <s v="Dominican Rep."/>
    <n v="6290.17"/>
    <x v="0"/>
    <x v="0"/>
  </r>
  <r>
    <x v="7"/>
    <s v="DP.2614"/>
    <s v="MOVEMENT, EMERGENCY AND POST-CRISIS MIGRATION MANAGEMENT"/>
    <s v="Regional Refugee and Migrant Response Plan (RMRP) for the Venezuela Situation 2023"/>
    <s v="Dominican Rep."/>
    <n v="4500417182"/>
    <m/>
    <s v="Implementing Partner"/>
    <s v="Fundacion de Emigrantes y Refugiado"/>
    <s v="Dominican Rep."/>
    <n v="11725.03"/>
    <x v="0"/>
    <x v="0"/>
  </r>
  <r>
    <x v="7"/>
    <s v="DP.2614"/>
    <s v="MOVEMENT, EMERGENCY AND POST-CRISIS MIGRATION MANAGEMENT"/>
    <s v="Regional Refugee and Migrant Response Plan (RMRP) for the Venezuela Situation 2023"/>
    <s v="Peru"/>
    <n v="4500385683"/>
    <m/>
    <s v="Implementing Partner"/>
    <s v="Union Venezolana en Perú"/>
    <s v="Peru"/>
    <n v="4997.3"/>
    <x v="0"/>
    <x v="0"/>
  </r>
  <r>
    <x v="7"/>
    <s v="DP.2614"/>
    <s v="MOVEMENT, EMERGENCY AND POST-CRISIS MIGRATION MANAGEMENT"/>
    <s v="Regional Refugee and Migrant Response Plan (RMRP) for the Venezuela Situation 2023"/>
    <s v="Trinidad,Tobago"/>
    <n v="4500406180"/>
    <m/>
    <s v="Implementing Partner"/>
    <s v="Women Owned Media and Education Net"/>
    <s v="Trinidad,Tobago"/>
    <n v="11105.99"/>
    <x v="0"/>
    <x v="0"/>
  </r>
  <r>
    <x v="7"/>
    <s v="DP.2627"/>
    <s v="MOVEMENT, EMERGENCY AND POST-CRISIS MIGRATION MANAGEMENT"/>
    <s v="Improving the Living Conditions of Affected Populations (IDPS and returnees) in the Central African Republic through Multi-Sectoral Assistance"/>
    <s v="CAR"/>
    <n v="4500406481"/>
    <m/>
    <s v="Implementing Partner"/>
    <s v="AFRICAN RELIEF SERVICE 2"/>
    <s v="CAR"/>
    <n v="45569.760000000002"/>
    <x v="0"/>
    <x v="1"/>
  </r>
  <r>
    <x v="7"/>
    <s v="DP.2627"/>
    <s v="MOVEMENT, EMERGENCY AND POST-CRISIS MIGRATION MANAGEMENT"/>
    <s v="Improving the Living Conditions of Affected Populations (IDPS and returnees) in the Central African Republic through Multi-Sectoral Assistance"/>
    <s v="CAR"/>
    <n v="4500406501"/>
    <m/>
    <s v="Implementing Partner"/>
    <s v="FNOHD"/>
    <s v="CAR"/>
    <n v="17867.689999999999"/>
    <x v="0"/>
    <x v="0"/>
  </r>
  <r>
    <x v="7"/>
    <s v="DP.2627"/>
    <s v="MOVEMENT, EMERGENCY AND POST-CRISIS MIGRATION MANAGEMENT"/>
    <s v="Improving the Living Conditions of Affected Populations (IDPS and returnees) in the Central African Republic through Multi-Sectoral Assistance"/>
    <s v="CAR"/>
    <n v="4500406517"/>
    <m/>
    <s v="Implementing Partner"/>
    <s v="FNOHD"/>
    <s v="CAR"/>
    <n v="21686.28"/>
    <x v="0"/>
    <x v="0"/>
  </r>
  <r>
    <x v="7"/>
    <s v="DP.2627"/>
    <s v="MOVEMENT, EMERGENCY AND POST-CRISIS MIGRATION MANAGEMENT"/>
    <s v="Improving the Living Conditions of Affected Populations (IDPS and returnees) in the Central African Republic through Multi-Sectoral Assistance"/>
    <s v="CAR"/>
    <n v="4500408333"/>
    <m/>
    <s v="Implementing Partner"/>
    <s v="CADRE D'APPUI SPIRIT. AUT. LOCALES"/>
    <s v="CAR"/>
    <n v="38464.53"/>
    <x v="0"/>
    <x v="0"/>
  </r>
  <r>
    <x v="7"/>
    <s v="DP.2627"/>
    <s v="MOVEMENT, EMERGENCY AND POST-CRISIS MIGRATION MANAGEMENT"/>
    <s v="Improving the Living Conditions of Affected Populations (IDPS and returnees) in the Central African Republic through Multi-Sectoral Assistance"/>
    <s v="CAR"/>
    <n v="4500408380"/>
    <m/>
    <s v="Implementing Partner"/>
    <s v="Association des Femmes Evang. BOSSA"/>
    <s v="CAR"/>
    <n v="28038.87"/>
    <x v="0"/>
    <x v="0"/>
  </r>
  <r>
    <x v="7"/>
    <s v="DP.2627"/>
    <s v="MOVEMENT, EMERGENCY AND POST-CRISIS MIGRATION MANAGEMENT"/>
    <s v="Improving the Living Conditions of Affected Populations (IDPS and returnees) in the Central African Republic through Multi-Sectoral Assistance"/>
    <s v="CAR"/>
    <n v="4500408390"/>
    <m/>
    <s v="Implementing Partner"/>
    <s v="ONG NDA"/>
    <s v="CAR"/>
    <n v="18973.89"/>
    <x v="0"/>
    <x v="0"/>
  </r>
  <r>
    <x v="7"/>
    <s v="DP.2632"/>
    <s v="MOVEMENT, EMERGENCY AND POST-CRISIS MIGRATION MANAGEMENT"/>
    <s v="Life-Saving Assistance to Earthquake-Affected Households in Northwest Syria"/>
    <s v="Turkey"/>
    <n v="4500414016"/>
    <m/>
    <s v="Implementing Partner"/>
    <s v="MUZUN FOR HUMANITARIAN DEVELOPMENT"/>
    <s v="Turkey"/>
    <n v="51971.5"/>
    <x v="0"/>
    <x v="0"/>
  </r>
  <r>
    <x v="7"/>
    <s v="DP.2632"/>
    <s v="MOVEMENT, EMERGENCY AND POST-CRISIS MIGRATION MANAGEMENT"/>
    <s v="Life-Saving Assistance to Earthquake-Affected Households in Northwest Syria"/>
    <s v="Turkey"/>
    <n v="4500417820"/>
    <m/>
    <s v="Implementing Partner"/>
    <s v="SYRIA RELIEF"/>
    <s v="Turkey"/>
    <n v="32394.35"/>
    <x v="0"/>
    <x v="1"/>
  </r>
  <r>
    <x v="7"/>
    <s v="DP.2659"/>
    <s v="MOVEMENT, EMERGENCY AND POST-CRISIS MIGRATION MANAGEMENT"/>
    <s v="Provision of Humanitarian Coordination, Shelter and Settlements, Water, Sanitation and Hygiene (WASH), Multi-Purpose Cash Assistance (MPCA), Health and Protection Assistance for Crisis-Affected Populations in Ethiopia"/>
    <s v="Ethiopia"/>
    <n v="4500411900"/>
    <m/>
    <s v="Entity Grants"/>
    <s v="New Millennium Women Empowerment Or"/>
    <s v="Ethiopia"/>
    <n v="58806.61"/>
    <x v="0"/>
    <x v="0"/>
  </r>
  <r>
    <x v="7"/>
    <s v="DP.2669"/>
    <s v="MOVEMENT, EMERGENCY AND POST-CRISIS MIGRATION MANAGEMENT"/>
    <s v="Addressing Urgent Humanitarian Needs of Conflict-Affected Populations in Ukraine"/>
    <s v="Ukraine"/>
    <n v="4500384045"/>
    <m/>
    <s v="Implementing Partner"/>
    <s v="NGO Maysternya Dobra"/>
    <s v="Ukraine"/>
    <n v="117866.67"/>
    <x v="0"/>
    <x v="0"/>
  </r>
  <r>
    <x v="7"/>
    <s v="DP.2669"/>
    <s v="MOVEMENT, EMERGENCY AND POST-CRISIS MIGRATION MANAGEMENT"/>
    <s v="Addressing Urgent Humanitarian Needs of Conflict-Affected Populations in Ukraine"/>
    <s v="Ukraine"/>
    <n v="4500406562"/>
    <m/>
    <s v="Implementing Partner"/>
    <s v="CO CF IMPLEMENTATION OF IDEAS"/>
    <s v="Ukraine"/>
    <n v="128490.41"/>
    <x v="0"/>
    <x v="0"/>
  </r>
  <r>
    <x v="7"/>
    <s v="DP.2669"/>
    <s v="MOVEMENT, EMERGENCY AND POST-CRISIS MIGRATION MANAGEMENT"/>
    <s v="Addressing Urgent Humanitarian Needs of Conflict-Affected Populations in Ukraine"/>
    <s v="Ukraine"/>
    <n v="4500406599"/>
    <m/>
    <s v="Implementing Partner"/>
    <s v="NGO West Ukrainian Resource Center"/>
    <s v="Ukraine"/>
    <n v="84200.39"/>
    <x v="0"/>
    <x v="0"/>
  </r>
  <r>
    <x v="7"/>
    <s v="DP.2669"/>
    <s v="MOVEMENT, EMERGENCY AND POST-CRISIS MIGRATION MANAGEMENT"/>
    <s v="Addressing Urgent Humanitarian Needs of Conflict-Affected Populations in Ukraine"/>
    <s v="Ukraine"/>
    <n v="4500420524"/>
    <m/>
    <s v="Implementing Partner"/>
    <s v="CF POSMISHKA UA"/>
    <s v="Ukraine"/>
    <n v="89969.600000000006"/>
    <x v="0"/>
    <x v="0"/>
  </r>
  <r>
    <x v="7"/>
    <s v="DP.2669"/>
    <s v="MOVEMENT, EMERGENCY AND POST-CRISIS MIGRATION MANAGEMENT"/>
    <s v="Addressing Urgent Humanitarian Needs of Conflict-Affected Populations in Ukraine"/>
    <s v="Ukraine"/>
    <n v="4500421002"/>
    <m/>
    <s v="Implementing Partner"/>
    <s v="ACTED UKRAINE"/>
    <s v="Ukraine"/>
    <n v="47692"/>
    <x v="0"/>
    <x v="1"/>
  </r>
  <r>
    <x v="7"/>
    <s v="DP.2671"/>
    <s v="MOVEMENT, EMERGENCY AND POST-CRISIS MIGRATION MANAGEMENT"/>
    <s v="IOM's Earthquake Response in Türkiye"/>
    <s v="Turkey"/>
    <n v="4500413877"/>
    <m/>
    <s v="Implementing Partner"/>
    <s v="Genc Hayat Vakfi"/>
    <s v="Turkey"/>
    <n v="140000"/>
    <x v="0"/>
    <x v="0"/>
  </r>
  <r>
    <x v="7"/>
    <s v="DP.2671"/>
    <s v="MOVEMENT, EMERGENCY AND POST-CRISIS MIGRATION MANAGEMENT"/>
    <s v="IOM's Earthquake Response in Türkiye"/>
    <s v="Turkey"/>
    <n v="4500413886"/>
    <m/>
    <s v="Implementing Partner"/>
    <s v="HAYATA DESTEK DERNEGI"/>
    <s v="Turkey"/>
    <n v="140000"/>
    <x v="0"/>
    <x v="0"/>
  </r>
  <r>
    <x v="7"/>
    <s v="DP.2678"/>
    <s v="MOVEMENT, EMERGENCY AND POST-CRISIS MIGRATION MANAGEMENT"/>
    <s v="​​Humanitarian Response to People in Situations of Mobility, Transit, and Displacement in Honduras in the Context of Insecurity and Humanitarian Crises ​"/>
    <s v="Honduras"/>
    <n v="4500421106"/>
    <m/>
    <s v="Implementing Partner"/>
    <s v="FUNDACION ALIVIO DEL SUFRIMIENTO"/>
    <s v="Honduras"/>
    <n v="50355.96"/>
    <x v="0"/>
    <x v="0"/>
  </r>
  <r>
    <x v="7"/>
    <s v="DP.2681"/>
    <s v="MOVEMENT, EMERGENCY AND POST-CRISIS MIGRATION MANAGEMENT"/>
    <s v="Rapid Response Fund for Sudden Emergencies in Northeast Nigeria"/>
    <s v="Nigeria"/>
    <n v="4500417477"/>
    <m/>
    <s v="Implementing Partner"/>
    <s v="Novel Alliance for Development Aid"/>
    <s v="Nigeria"/>
    <n v="138985.57999999999"/>
    <x v="0"/>
    <x v="3"/>
  </r>
  <r>
    <x v="7"/>
    <s v="DP.2681"/>
    <s v="MOVEMENT, EMERGENCY AND POST-CRISIS MIGRATION MANAGEMENT"/>
    <s v="Rapid Response Fund for Sudden Emergencies in Northeast Nigeria"/>
    <s v="Nigeria"/>
    <n v="4500424432"/>
    <m/>
    <s v="Implementing Partner"/>
    <s v="CATHOLIC CARITAS FOUNDATION OF NIG"/>
    <s v="Nigeria"/>
    <n v="293005.51"/>
    <x v="0"/>
    <x v="6"/>
  </r>
  <r>
    <x v="7"/>
    <s v="DP.2681"/>
    <s v="MOVEMENT, EMERGENCY AND POST-CRISIS MIGRATION MANAGEMENT"/>
    <s v="Rapid Response Fund for Sudden Emergencies in Northeast Nigeria"/>
    <s v="Nigeria"/>
    <n v="4500426447"/>
    <m/>
    <s v="Implementing Partner"/>
    <s v="Peace restoration and Integral"/>
    <s v="Nigeria"/>
    <n v="115906.83"/>
    <x v="0"/>
    <x v="0"/>
  </r>
  <r>
    <x v="7"/>
    <s v="DP.2692"/>
    <s v="MOVEMENT, EMERGENCY AND POST-CRISIS MIGRATION MANAGEMENT"/>
    <s v="A Rapid Response Fund (RRF) program responding to Emergency Needs of Disaster affected population in South Sudan under the states of Greater Equatoria (Central, Western, Eastern), greater Upper Nile (Unity, Upper Nile and Jonglei), Greater Bahr el Gh"/>
    <s v="South Sudan"/>
    <n v="4500393814"/>
    <m/>
    <s v="Implementing Partner"/>
    <s v="YOUTH EMPOWERMENT AND DEVELOPMENT A"/>
    <s v="South Sudan"/>
    <n v="18500"/>
    <x v="0"/>
    <x v="0"/>
  </r>
  <r>
    <x v="7"/>
    <s v="DP.2692"/>
    <s v="MOVEMENT, EMERGENCY AND POST-CRISIS MIGRATION MANAGEMENT"/>
    <s v="A Rapid Response Fund (RRF) program responding to Emergency Needs of Disaster affected population in South Sudan under the states of Greater Equatoria (Central, Western, Eastern), greater Upper Nile (Unity, Upper Nile and Jonglei), Greater Bahr el Gh"/>
    <s v="South Sudan"/>
    <n v="4500409559"/>
    <m/>
    <s v="Implementing Partner"/>
    <s v="UNITED NETWORKS FOR HEALTH"/>
    <s v="South Sudan"/>
    <n v="150000"/>
    <x v="0"/>
    <x v="0"/>
  </r>
  <r>
    <x v="7"/>
    <s v="DP.2692"/>
    <s v="MOVEMENT, EMERGENCY AND POST-CRISIS MIGRATION MANAGEMENT"/>
    <s v="A Rapid Response Fund (RRF) program responding to Emergency Needs of Disaster affected population in South Sudan under the states of Greater Equatoria (Central, Western, Eastern), greater Upper Nile (Unity, Upper Nile and Jonglei), Greater Bahr el Gh"/>
    <s v="South Sudan"/>
    <n v="4500410412"/>
    <m/>
    <s v="Implementing Partner"/>
    <s v="CARE FOR CHILDREN AND OLD AGE"/>
    <s v="South Sudan"/>
    <n v="133569"/>
    <x v="0"/>
    <x v="0"/>
  </r>
  <r>
    <x v="7"/>
    <s v="DP.2692"/>
    <s v="MOVEMENT, EMERGENCY AND POST-CRISIS MIGRATION MANAGEMENT"/>
    <s v="A Rapid Response Fund (RRF) program responding to Emergency Needs of Disaster affected population in South Sudan under the states of Greater Equatoria (Central, Western, Eastern), greater Upper Nile (Unity, Upper Nile and Jonglei), Greater Bahr el Gh"/>
    <s v="South Sudan"/>
    <n v="4500412643"/>
    <m/>
    <s v="Implementing Partner"/>
    <s v="African Christian Ecumenical"/>
    <s v="South Sudan"/>
    <n v="215351"/>
    <x v="0"/>
    <x v="0"/>
  </r>
  <r>
    <x v="7"/>
    <s v="DP.2692"/>
    <s v="MOVEMENT, EMERGENCY AND POST-CRISIS MIGRATION MANAGEMENT"/>
    <s v="A Rapid Response Fund (RRF) program responding to Emergency Needs of Disaster affected population in South Sudan under the states of Greater Equatoria (Central, Western, Eastern), greater Upper Nile (Unity, Upper Nile and Jonglei), Greater Bahr el Gh"/>
    <s v="South Sudan"/>
    <n v="4500413963"/>
    <m/>
    <s v="Implementing Partner"/>
    <s v="Hold the Child"/>
    <s v="South Sudan"/>
    <n v="178730"/>
    <x v="0"/>
    <x v="0"/>
  </r>
  <r>
    <x v="7"/>
    <s v="DP.2692"/>
    <s v="MOVEMENT, EMERGENCY AND POST-CRISIS MIGRATION MANAGEMENT"/>
    <s v="A Rapid Response Fund (RRF) program responding to Emergency Needs of Disaster affected population in South Sudan under the states of Greater Equatoria (Central, Western, Eastern), greater Upper Nile (Unity, Upper Nile and Jonglei), Greater Bahr el Gh"/>
    <s v="South Sudan"/>
    <n v="4500423239"/>
    <m/>
    <s v="Implementing Partner"/>
    <s v="HOPE RESTORATION"/>
    <s v="South Sudan"/>
    <n v="118748"/>
    <x v="0"/>
    <x v="0"/>
  </r>
  <r>
    <x v="7"/>
    <s v="DP.2692"/>
    <s v="MOVEMENT, EMERGENCY AND POST-CRISIS MIGRATION MANAGEMENT"/>
    <s v="A Rapid Response Fund (RRF) program responding to Emergency Needs of Disaster affected population in South Sudan under the states of Greater Equatoria (Central, Western, Eastern), greater Upper Nile (Unity, Upper Nile and Jonglei), Greater Bahr el Gh"/>
    <s v="South Sudan"/>
    <n v="4500424452"/>
    <m/>
    <s v="Implementing Partner"/>
    <s v="THE RESCUE MISSION"/>
    <s v="South Sudan"/>
    <n v="97526"/>
    <x v="0"/>
    <x v="1"/>
  </r>
  <r>
    <x v="7"/>
    <s v="DP.2692"/>
    <s v="MOVEMENT, EMERGENCY AND POST-CRISIS MIGRATION MANAGEMENT"/>
    <s v="A Rapid Response Fund (RRF) program responding to Emergency Needs of Disaster affected population in South Sudan under the states of Greater Equatoria (Central, Western, Eastern), greater Upper Nile (Unity, Upper Nile and Jonglei), Greater Bahr el Gh"/>
    <s v="South Sudan"/>
    <n v="4500424457"/>
    <m/>
    <s v="Implementing Partner"/>
    <s v="RURAL DEVELOPMENT ACTION AID"/>
    <s v="South Sudan"/>
    <n v="204203"/>
    <x v="0"/>
    <x v="3"/>
  </r>
  <r>
    <x v="7"/>
    <s v="DP.2692"/>
    <s v="MOVEMENT, EMERGENCY AND POST-CRISIS MIGRATION MANAGEMENT"/>
    <s v="A Rapid Response Fund (RRF) program responding to Emergency Needs of Disaster affected population in South Sudan under the states of Greater Equatoria (Central, Western, Eastern), greater Upper Nile (Unity, Upper Nile and Jonglei), Greater Bahr el Gh"/>
    <s v="South Sudan"/>
    <n v="4500426794"/>
    <m/>
    <s v="Implementing Partner"/>
    <s v="COMMUNITY AID FOR RELIEF AND DEVELO"/>
    <s v="South Sudan"/>
    <n v="168647"/>
    <x v="0"/>
    <x v="0"/>
  </r>
  <r>
    <x v="7"/>
    <s v="DP.2692"/>
    <s v="MOVEMENT, EMERGENCY AND POST-CRISIS MIGRATION MANAGEMENT"/>
    <s v="A Rapid Response Fund (RRF) program responding to Emergency Needs of Disaster affected population in South Sudan under the states of Greater Equatoria (Central, Western, Eastern), greater Upper Nile (Unity, Upper Nile and Jonglei), Greater Bahr el Gh"/>
    <s v="South Sudan"/>
    <n v="4500426844"/>
    <m/>
    <s v="Implementing Partner"/>
    <s v="YOUTH EMPOWERMENT AND DEVELOPMENT A"/>
    <s v="South Sudan"/>
    <n v="148577"/>
    <x v="0"/>
    <x v="0"/>
  </r>
  <r>
    <x v="7"/>
    <s v="DP.2692"/>
    <s v="MOVEMENT, EMERGENCY AND POST-CRISIS MIGRATION MANAGEMENT"/>
    <s v="A Rapid Response Fund (RRF) program responding to Emergency Needs of Disaster affected population in South Sudan under the states of Greater Equatoria (Central, Western, Eastern), greater Upper Nile (Unity, Upper Nile and Jonglei), Greater Bahr el Gh"/>
    <s v="South Sudan"/>
    <n v="4500428785"/>
    <m/>
    <s v="Implementing Partner"/>
    <s v="HEALTH LINK SOUTH SUDAN"/>
    <s v="South Sudan"/>
    <n v="215406"/>
    <x v="0"/>
    <x v="0"/>
  </r>
  <r>
    <x v="7"/>
    <s v="DP.2692"/>
    <s v="MOVEMENT, EMERGENCY AND POST-CRISIS MIGRATION MANAGEMENT"/>
    <s v="A Rapid Response Fund (RRF) program responding to Emergency Needs of Disaster affected population in South Sudan under the states of Greater Equatoria (Central, Western, Eastern), greater Upper Nile (Unity, Upper Nile and Jonglei), Greater Bahr el Gh"/>
    <s v="South Sudan"/>
    <n v="4500429440"/>
    <m/>
    <s v="Implementing Partner"/>
    <s v="HEALTH ACTION AFRICA"/>
    <s v="South Sudan"/>
    <n v="144709"/>
    <x v="0"/>
    <x v="0"/>
  </r>
  <r>
    <x v="7"/>
    <s v="DP.2693"/>
    <s v="MOVEMENT, EMERGENCY AND POST-CRISIS MIGRATION MANAGEMENT"/>
    <s v="Provision Of Life-Saving Multi-Sectoral Assistance To Internally Displaced Persons and Host Communities in Yemen"/>
    <s v="Yemen"/>
    <n v="4500413002"/>
    <m/>
    <s v="Implementing Partner"/>
    <s v="Youth Creativity Organization for"/>
    <s v="Yemen"/>
    <n v="6480"/>
    <x v="0"/>
    <x v="0"/>
  </r>
  <r>
    <x v="7"/>
    <s v="DP.2701"/>
    <s v="MOVEMENT, EMERGENCY AND POST-CRISIS MIGRATION MANAGEMENT"/>
    <s v="2023 Ukraine Response to Support Refugees from Ukraine across Europe"/>
    <s v="Czechia"/>
    <n v="4500410765"/>
    <m/>
    <s v="Implementing Partner"/>
    <s v="The City of Sokolov"/>
    <s v="Czechia"/>
    <n v="2776.6"/>
    <x v="0"/>
    <x v="11"/>
  </r>
  <r>
    <x v="7"/>
    <s v="DP.2701"/>
    <s v="MOVEMENT, EMERGENCY AND POST-CRISIS MIGRATION MANAGEMENT"/>
    <s v="2023 Ukraine Response to Support Refugees from Ukraine across Europe"/>
    <s v="Czechia"/>
    <n v="4500420571"/>
    <m/>
    <s v="Implementing Partner"/>
    <s v="The Statutory City of Ostrava"/>
    <s v="Czechia"/>
    <n v="1095.5"/>
    <x v="0"/>
    <x v="11"/>
  </r>
  <r>
    <x v="7"/>
    <s v="DP.2701"/>
    <s v="MOVEMENT, EMERGENCY AND POST-CRISIS MIGRATION MANAGEMENT"/>
    <s v="2023 Ukraine Response to Support Refugees from Ukraine across Europe"/>
    <s v="Czechia"/>
    <n v="4500421289"/>
    <m/>
    <s v="Implementing Partner"/>
    <s v="Mesto Tachov"/>
    <s v="Czechia"/>
    <n v="5030.7"/>
    <x v="0"/>
    <x v="11"/>
  </r>
  <r>
    <x v="7"/>
    <s v="DP.2701"/>
    <s v="MOVEMENT, EMERGENCY AND POST-CRISIS MIGRATION MANAGEMENT"/>
    <s v="2023 Ukraine Response to Support Refugees from Ukraine across Europe"/>
    <s v="Hungary"/>
    <n v="4500384080"/>
    <m/>
    <s v="Implementing Partner"/>
    <s v="Menedek-Hungarian Association"/>
    <s v="Hungary"/>
    <n v="19882.23"/>
    <x v="0"/>
    <x v="0"/>
  </r>
  <r>
    <x v="7"/>
    <s v="DP.2701"/>
    <s v="MOVEMENT, EMERGENCY AND POST-CRISIS MIGRATION MANAGEMENT"/>
    <s v="2023 Ukraine Response to Support Refugees from Ukraine across Europe"/>
    <s v="Hungary"/>
    <n v="4500415007"/>
    <m/>
    <s v="Implementing Partner"/>
    <s v="Egyseg Ukran Egyesulet"/>
    <s v="Hungary"/>
    <n v="81846.460000000006"/>
    <x v="0"/>
    <x v="0"/>
  </r>
  <r>
    <x v="7"/>
    <s v="DP.2701"/>
    <s v="MOVEMENT, EMERGENCY AND POST-CRISIS MIGRATION MANAGEMENT"/>
    <s v="2023 Ukraine Response to Support Refugees from Ukraine across Europe"/>
    <s v="Hungary"/>
    <n v="4500424948"/>
    <m/>
    <s v="Implementing Partner"/>
    <s v="Ukran Hagyomanyok Haza Nonprofit"/>
    <s v="Hungary"/>
    <n v="69862.63"/>
    <x v="0"/>
    <x v="0"/>
  </r>
  <r>
    <x v="7"/>
    <s v="DP.2701"/>
    <s v="MOVEMENT, EMERGENCY AND POST-CRISIS MIGRATION MANAGEMENT"/>
    <s v="2023 Ukraine Response to Support Refugees from Ukraine across Europe"/>
    <s v="Moldova (Rep)"/>
    <n v="4500408744"/>
    <m/>
    <s v="Implementing Partner"/>
    <s v="RESONANCE"/>
    <s v="Moldova (Rep)"/>
    <n v="59501.5"/>
    <x v="0"/>
    <x v="0"/>
  </r>
  <r>
    <x v="7"/>
    <s v="DP.2701"/>
    <s v="MOVEMENT, EMERGENCY AND POST-CRISIS MIGRATION MANAGEMENT"/>
    <s v="2023 Ukraine Response to Support Refugees from Ukraine across Europe"/>
    <s v="Moldova (Rep)"/>
    <n v="4500408749"/>
    <m/>
    <s v="Implementing Partner"/>
    <s v="AO CNFACEM Centrul National de"/>
    <s v="Moldova (Rep)"/>
    <n v="67029.19"/>
    <x v="0"/>
    <x v="0"/>
  </r>
  <r>
    <x v="7"/>
    <s v="DP.2701"/>
    <s v="MOVEMENT, EMERGENCY AND POST-CRISIS MIGRATION MANAGEMENT"/>
    <s v="2023 Ukraine Response to Support Refugees from Ukraine across Europe"/>
    <s v="Moldova (Rep)"/>
    <n v="4500417054"/>
    <m/>
    <s v="Implementing Partner"/>
    <s v="Internews Network"/>
    <s v="USA"/>
    <n v="40000"/>
    <x v="0"/>
    <x v="1"/>
  </r>
  <r>
    <x v="7"/>
    <s v="DP.2701"/>
    <s v="MOVEMENT, EMERGENCY AND POST-CRISIS MIGRATION MANAGEMENT"/>
    <s v="2023 Ukraine Response to Support Refugees from Ukraine across Europe"/>
    <s v="Poland"/>
    <n v="4500382894"/>
    <m/>
    <s v="Implementing Partner"/>
    <s v="GERMANITAS"/>
    <s v="Poland"/>
    <n v="25570.66"/>
    <x v="0"/>
    <x v="0"/>
  </r>
  <r>
    <x v="7"/>
    <s v="DP.2701"/>
    <s v="MOVEMENT, EMERGENCY AND POST-CRISIS MIGRATION MANAGEMENT"/>
    <s v="2023 Ukraine Response to Support Refugees from Ukraine across Europe"/>
    <s v="Poland"/>
    <n v="4500393088"/>
    <m/>
    <s v="Implementing Partner"/>
    <s v="Fundacja Po Drugie"/>
    <s v="Poland"/>
    <n v="6225.1"/>
    <x v="0"/>
    <x v="0"/>
  </r>
  <r>
    <x v="7"/>
    <s v="DP.2701"/>
    <s v="MOVEMENT, EMERGENCY AND POST-CRISIS MIGRATION MANAGEMENT"/>
    <s v="2023 Ukraine Response to Support Refugees from Ukraine across Europe"/>
    <s v="Poland"/>
    <n v="4500400060"/>
    <m/>
    <s v="Implementing Partner"/>
    <s v="STOWARZYSZENIE WAGA"/>
    <s v="Poland"/>
    <n v="77321.61"/>
    <x v="0"/>
    <x v="0"/>
  </r>
  <r>
    <x v="7"/>
    <s v="DP.2701"/>
    <s v="MOVEMENT, EMERGENCY AND POST-CRISIS MIGRATION MANAGEMENT"/>
    <s v="2023 Ukraine Response to Support Refugees from Ukraine across Europe"/>
    <s v="Poland"/>
    <n v="4500411630"/>
    <m/>
    <s v="Implementing Partner"/>
    <s v="Fundacja To Proste"/>
    <s v="Poland"/>
    <n v="75290.720000000001"/>
    <x v="0"/>
    <x v="0"/>
  </r>
  <r>
    <x v="7"/>
    <s v="DP.2701"/>
    <s v="MOVEMENT, EMERGENCY AND POST-CRISIS MIGRATION MANAGEMENT"/>
    <s v="2023 Ukraine Response to Support Refugees from Ukraine across Europe"/>
    <s v="Poland"/>
    <n v="4500415509"/>
    <m/>
    <s v="Implementing Partner"/>
    <s v="La Strada Fundacja"/>
    <s v="Poland"/>
    <n v="23425.599999999999"/>
    <x v="0"/>
    <x v="0"/>
  </r>
  <r>
    <x v="7"/>
    <s v="DP.2701"/>
    <s v="MOVEMENT, EMERGENCY AND POST-CRISIS MIGRATION MANAGEMENT"/>
    <s v="2023 Ukraine Response to Support Refugees from Ukraine across Europe"/>
    <s v="Poland"/>
    <n v="4500416096"/>
    <m/>
    <s v="Implementing Partner"/>
    <s v="Fundacja Inna Przestrzen"/>
    <s v="Poland"/>
    <n v="22516.080000000002"/>
    <x v="0"/>
    <x v="0"/>
  </r>
  <r>
    <x v="7"/>
    <s v="DP.2701"/>
    <s v="MOVEMENT, EMERGENCY AND POST-CRISIS MIGRATION MANAGEMENT"/>
    <s v="2023 Ukraine Response to Support Refugees from Ukraine across Europe"/>
    <s v="Poland"/>
    <n v="4500416196"/>
    <m/>
    <s v="Implementing Partner"/>
    <s v="Fundacja EduNowa"/>
    <s v="Poland"/>
    <n v="24908.55"/>
    <x v="0"/>
    <x v="0"/>
  </r>
  <r>
    <x v="7"/>
    <s v="DP.2701"/>
    <s v="MOVEMENT, EMERGENCY AND POST-CRISIS MIGRATION MANAGEMENT"/>
    <s v="2023 Ukraine Response to Support Refugees from Ukraine across Europe"/>
    <s v="Poland"/>
    <n v="4500416474"/>
    <m/>
    <s v="Implementing Partner"/>
    <s v="Centralna Rada Romow w Polsce"/>
    <s v="Poland"/>
    <n v="53788.43"/>
    <x v="0"/>
    <x v="0"/>
  </r>
  <r>
    <x v="7"/>
    <s v="DP.2701"/>
    <s v="MOVEMENT, EMERGENCY AND POST-CRISIS MIGRATION MANAGEMENT"/>
    <s v="2023 Ukraine Response to Support Refugees from Ukraine across Europe"/>
    <s v="Romania"/>
    <n v="4500408584"/>
    <m/>
    <s v="Implementing Partner"/>
    <s v="Asociatia Suryam- Mures Hub"/>
    <s v="Romania"/>
    <n v="28745.48"/>
    <x v="0"/>
    <x v="3"/>
  </r>
  <r>
    <x v="7"/>
    <s v="DP.2701"/>
    <s v="MOVEMENT, EMERGENCY AND POST-CRISIS MIGRATION MANAGEMENT"/>
    <s v="2023 Ukraine Response to Support Refugees from Ukraine across Europe"/>
    <s v="Romania"/>
    <n v="4500408591"/>
    <m/>
    <s v="Implementing Partner"/>
    <s v="AIDROM"/>
    <s v="Romania"/>
    <n v="57848.55"/>
    <x v="0"/>
    <x v="0"/>
  </r>
  <r>
    <x v="7"/>
    <s v="DP.2701"/>
    <s v="MOVEMENT, EMERGENCY AND POST-CRISIS MIGRATION MANAGEMENT"/>
    <s v="2023 Ukraine Response to Support Refugees from Ukraine across Europe"/>
    <s v="Romania"/>
    <n v="4500411529"/>
    <m/>
    <s v="Implementing Partner"/>
    <s v="AsociatiaCentrulpentruResurseCivice"/>
    <s v="Romania"/>
    <n v="57703.199999999997"/>
    <x v="0"/>
    <x v="0"/>
  </r>
  <r>
    <x v="7"/>
    <s v="DP.2739"/>
    <s v="MOVEMENT, EMERGENCY AND POST-CRISIS MIGRATION MANAGEMENT"/>
    <s v="Ensuring the Delivery of Critical Humanitarian Assistance to Vulnerable Migrants in the Dominican Republic and The Bahamas."/>
    <s v="Dominican Rep."/>
    <n v="4500428121"/>
    <m/>
    <s v="Implementing Partner"/>
    <s v="Movimiento Socio Cultural-MOSCTHA"/>
    <s v="Dominican Rep."/>
    <n v="26096.83"/>
    <x v="0"/>
    <x v="0"/>
  </r>
  <r>
    <x v="7"/>
    <s v="DP.2748"/>
    <s v="MOVEMENT, EMERGENCY AND POST-CRISIS MIGRATION MANAGEMENT"/>
    <s v="Multi-Sectoral Humanitarian Assistance to Drought-Affected Displaced Communities in Marsabit and Isiolo in Kenya"/>
    <s v="Kenya"/>
    <n v="4500417064"/>
    <m/>
    <s v="Implementing Partner"/>
    <s v="ORG FOR SUSTAIN DEV AFRICA OSDA"/>
    <s v="Kenya"/>
    <n v="70947.34"/>
    <x v="0"/>
    <x v="3"/>
  </r>
  <r>
    <x v="7"/>
    <s v="DP.2751"/>
    <s v="MOVEMENT, EMERGENCY AND POST-CRISIS MIGRATION MANAGEMENT"/>
    <s v="Direct Humanitarian Assistance to Vulnerable Populations Affcted by Forced Displacement in Niger- PHASE VII"/>
    <s v="Niger"/>
    <n v="4500410514"/>
    <m/>
    <s v="Implementing Partner"/>
    <s v="ONG DEDI"/>
    <s v="Niger"/>
    <n v="215230.79"/>
    <x v="0"/>
    <x v="0"/>
  </r>
  <r>
    <x v="7"/>
    <s v="DP.2751"/>
    <s v="MOVEMENT, EMERGENCY AND POST-CRISIS MIGRATION MANAGEMENT"/>
    <s v="Direct Humanitarian Assistance to Vulnerable Populations Affcted by Forced Displacement in Niger- PHASE VII"/>
    <s v="Niger"/>
    <n v="4500411991"/>
    <m/>
    <s v="Implementing Partner"/>
    <s v="ONG ANTD"/>
    <s v="Niger"/>
    <n v="80694.350000000006"/>
    <x v="0"/>
    <x v="0"/>
  </r>
  <r>
    <x v="7"/>
    <s v="DP.2751"/>
    <s v="MOVEMENT, EMERGENCY AND POST-CRISIS MIGRATION MANAGEMENT"/>
    <s v="Direct Humanitarian Assistance to Vulnerable Populations Affcted by Forced Displacement in Niger- PHASE VII"/>
    <s v="Niger"/>
    <n v="4500422095"/>
    <m/>
    <s v="Implementing Partner"/>
    <s v="ONG VISION PLUS"/>
    <s v="Niger"/>
    <n v="48691.26"/>
    <x v="0"/>
    <x v="0"/>
  </r>
  <r>
    <x v="7"/>
    <s v="DP.2759"/>
    <s v="MOVEMENT, EMERGENCY AND POST-CRISIS MIGRATION MANAGEMENT"/>
    <s v="Support of IOM Activities in Pakistan Outlines in the 2023 Refugee Response Plan (RRP) for the Afghanistan Situation"/>
    <s v="Pakistan"/>
    <n v="4500406035"/>
    <m/>
    <s v="Implementing Partner"/>
    <s v="Precision Helath Consultants (PHC)"/>
    <s v="Pakistan"/>
    <n v="81139.199999999997"/>
    <x v="0"/>
    <x v="10"/>
  </r>
  <r>
    <x v="7"/>
    <s v="DP.2764"/>
    <s v="MOVEMENT, EMERGENCY AND POST-CRISIS MIGRATION MANAGEMENT"/>
    <s v="Strengthening Resilience of Afghan Nationals and Host Communities in Pakistan through Multi-sectoral Interventions"/>
    <s v="Pakistan"/>
    <n v="4500405982"/>
    <m/>
    <s v="Implementing Partner"/>
    <s v="Society for Empowering Human"/>
    <s v="Pakistan"/>
    <n v="233795.29"/>
    <x v="0"/>
    <x v="0"/>
  </r>
  <r>
    <x v="7"/>
    <s v="DP.2784"/>
    <s v="MOVEMENT, EMERGENCY AND POST-CRISIS MIGRATION MANAGEMENT"/>
    <s v="Addressing the Humanitarian and Protection Needs of Displaced Persons in Haiti through a Multisectoral Approach"/>
    <s v="Haiti"/>
    <n v="4500426657"/>
    <m/>
    <s v="Implementing Partner"/>
    <s v="ACTED Haiti"/>
    <s v="Haiti"/>
    <n v="102135"/>
    <x v="0"/>
    <x v="1"/>
  </r>
  <r>
    <x v="7"/>
    <s v="DP.2786"/>
    <s v="MOVEMENT, EMERGENCY AND POST-CRISIS MIGRATION MANAGEMENT"/>
    <s v="Emergency Assistance to Flood Affected Populations in Burundi"/>
    <s v="Burundi"/>
    <n v="4500411916"/>
    <m/>
    <s v="Implementing Partner"/>
    <s v="TERRA RENAISSANCE"/>
    <s v="Burundi"/>
    <n v="100000"/>
    <x v="0"/>
    <x v="1"/>
  </r>
  <r>
    <x v="7"/>
    <s v="DP.2786"/>
    <s v="MOVEMENT, EMERGENCY AND POST-CRISIS MIGRATION MANAGEMENT"/>
    <s v="Emergency Assistance to Flood Affected Populations in Burundi"/>
    <s v="Burundi"/>
    <n v="4500418071"/>
    <m/>
    <s v="Implementing Partner"/>
    <s v="CROIX ROUGE DU BURUNDI"/>
    <s v="Burundi"/>
    <n v="26247.08"/>
    <x v="0"/>
    <x v="4"/>
  </r>
  <r>
    <x v="7"/>
    <s v="DP.2790"/>
    <s v="MOVEMENT, EMERGENCY AND POST-CRISIS MIGRATION MANAGEMENT"/>
    <s v="Evidence-Based Protection Assistance for Populations Affected by Natural Hazards in Burundi"/>
    <s v="Burundi"/>
    <n v="4500418071"/>
    <m/>
    <s v="Implementing Partner"/>
    <s v="CROIX ROUGE DU BURUNDI"/>
    <s v="Burundi"/>
    <n v="11702.7"/>
    <x v="0"/>
    <x v="4"/>
  </r>
  <r>
    <x v="7"/>
    <s v="DP.2791"/>
    <s v="MOVEMENT, EMERGENCY AND POST-CRISIS MIGRATION MANAGEMENT"/>
    <s v="Saving Lives &amp; Building Resilience by Bridging the Gap between Humanitarian Assistance and Development in Bogotá and Santander, Colombia"/>
    <s v="Colombia"/>
    <n v="4500413625"/>
    <m/>
    <s v="Implementing Partner"/>
    <s v="PARROQUIA BEATO JUAN BAUTISTA SCALA"/>
    <s v="Colombia"/>
    <n v="84951"/>
    <x v="0"/>
    <x v="5"/>
  </r>
  <r>
    <x v="7"/>
    <s v="DP.2795"/>
    <s v="MOVEMENT, EMERGENCY AND POST-CRISIS MIGRATION MANAGEMENT"/>
    <s v="Provision of Integrated Multi-sectoral Humanitarian Assistance to Vulnerable Displaced Populations in South Sudan"/>
    <s v="South Sudan"/>
    <n v="4500406743"/>
    <m/>
    <s v="Implementing Partner"/>
    <s v="Narrative Hub"/>
    <s v="South Sudan"/>
    <n v="99000"/>
    <x v="0"/>
    <x v="0"/>
  </r>
  <r>
    <x v="7"/>
    <s v="DP.2795"/>
    <s v="MOVEMENT, EMERGENCY AND POST-CRISIS MIGRATION MANAGEMENT"/>
    <s v="Provision of Integrated Multi-sectoral Humanitarian Assistance to Vulnerable Displaced Populations in South Sudan"/>
    <s v="South Sudan"/>
    <n v="4500408606"/>
    <m/>
    <s v="Implementing Partner"/>
    <s v="COMMUNITY ENGAGEMENT NETWORK CEN"/>
    <s v="South Sudan"/>
    <n v="10000"/>
    <x v="0"/>
    <x v="0"/>
  </r>
  <r>
    <x v="7"/>
    <s v="DP.2805"/>
    <s v="MOVEMENT, EMERGENCY AND POST-CRISIS MIGRATION MANAGEMENT"/>
    <s v="Multisectoral Support to Respond to Needs of Refugees and Host Communities in the Republic of Moldova"/>
    <s v="Moldova (Rep)"/>
    <n v="4500417054"/>
    <m/>
    <s v="Implementing Partner"/>
    <s v="Internews Network"/>
    <s v="USA"/>
    <n v="2311"/>
    <x v="0"/>
    <x v="1"/>
  </r>
  <r>
    <x v="7"/>
    <s v="DP.2809"/>
    <s v="MOVEMENT, EMERGENCY AND POST-CRISIS MIGRATION MANAGEMENT"/>
    <s v="The Project for the Improvement of Camps for Displaced Persons from Myanmar and Host Communities in Cox’s Bazar District"/>
    <s v="Bangladesh"/>
    <n v="4500416736"/>
    <m/>
    <s v="Implementing Partner"/>
    <s v="NGO FORUM FOR PUBLIC HEALTH"/>
    <s v="Bangladesh"/>
    <n v="328201.26"/>
    <x v="0"/>
    <x v="0"/>
  </r>
  <r>
    <x v="7"/>
    <s v="DP.2809"/>
    <s v="MOVEMENT, EMERGENCY AND POST-CRISIS MIGRATION MANAGEMENT"/>
    <s v="The Project for the Improvement of Camps for Displaced Persons from Myanmar and Host Communities in Cox’s Bazar District"/>
    <s v="Bangladesh"/>
    <n v="4500428506"/>
    <m/>
    <s v="Implementing Partner"/>
    <s v="BNWLA"/>
    <s v="Bangladesh"/>
    <n v="28124.6"/>
    <x v="0"/>
    <x v="0"/>
  </r>
  <r>
    <x v="7"/>
    <s v="DP.2813"/>
    <s v="MOVEMENT, EMERGENCY AND POST-CRISIS MIGRATION MANAGEMENT"/>
    <s v="Supporting vulnerable refugees and host communities in Cox's Bazar, Bangladesh through improved access to Health, Protection, Shelter, Site Management &amp; Site Development services, and through enhanced disaster displacement management at national leve"/>
    <s v="Bangladesh"/>
    <n v="4500424190"/>
    <m/>
    <s v="Implementing Partner"/>
    <s v="YPSA"/>
    <s v="Bangladesh"/>
    <n v="24160.36"/>
    <x v="0"/>
    <x v="0"/>
  </r>
  <r>
    <x v="7"/>
    <s v="DP.2816"/>
    <s v="MOVEMENT, EMERGENCY AND POST-CRISIS MIGRATION MANAGEMENT"/>
    <s v="Bangladesh Appeal 2024 – Rohingya Humanitarian Crisis."/>
    <s v="Bangladesh"/>
    <n v="4500423758"/>
    <m/>
    <s v="Implementing Partner"/>
    <s v="ACTION CONTRE LA FAIM (ACF)"/>
    <s v="Bangladesh"/>
    <n v="33724.06"/>
    <x v="0"/>
    <x v="1"/>
  </r>
  <r>
    <x v="7"/>
    <s v="DP.2816"/>
    <s v="MOVEMENT, EMERGENCY AND POST-CRISIS MIGRATION MANAGEMENT"/>
    <s v="Bangladesh Appeal 2024 – Rohingya Humanitarian Crisis."/>
    <s v="Bangladesh"/>
    <n v="4500423765"/>
    <m/>
    <s v="Implementing Partner"/>
    <s v="BRAC"/>
    <s v="Bangladesh"/>
    <n v="146497.49"/>
    <x v="0"/>
    <x v="0"/>
  </r>
  <r>
    <x v="7"/>
    <s v="DP.2816"/>
    <s v="MOVEMENT, EMERGENCY AND POST-CRISIS MIGRATION MANAGEMENT"/>
    <s v="Bangladesh Appeal 2024 – Rohingya Humanitarian Crisis."/>
    <s v="Bangladesh"/>
    <n v="4500424189"/>
    <m/>
    <s v="Implementing Partner"/>
    <s v="DSK"/>
    <s v="Bangladesh"/>
    <n v="138361.53"/>
    <x v="0"/>
    <x v="0"/>
  </r>
  <r>
    <x v="7"/>
    <s v="DP.2820"/>
    <s v="MOVEMENT, EMERGENCY AND POST-CRISIS MIGRATION MANAGEMENT"/>
    <s v="Rohingya Response and National Resilience Programme (RRNRP)"/>
    <s v="Bangladesh"/>
    <n v="4500425691"/>
    <m/>
    <s v="Implementing Partner"/>
    <s v="NGO FORUM FOR PUBLIC HEALTH"/>
    <s v="Bangladesh"/>
    <n v="109065.92"/>
    <x v="0"/>
    <x v="0"/>
  </r>
  <r>
    <x v="7"/>
    <s v="DP.2820"/>
    <s v="MOVEMENT, EMERGENCY AND POST-CRISIS MIGRATION MANAGEMENT"/>
    <s v="Rohingya Response and National Resilience Programme (RRNRP)"/>
    <s v="Bangladesh"/>
    <n v="4500428536"/>
    <m/>
    <s v="Implementing Partner"/>
    <s v="NOWZUWAN"/>
    <s v="Bangladesh"/>
    <n v="60169.69"/>
    <x v="0"/>
    <x v="0"/>
  </r>
  <r>
    <x v="7"/>
    <s v="DP.2828"/>
    <s v="MOVEMENT, EMERGENCY AND POST-CRISIS MIGRATION MANAGEMENT"/>
    <s v="Regional Refugee and Migrant Response Plan (RMRP) for the Venezuela Situation 2024"/>
    <s v="Argentina"/>
    <n v="4500429534"/>
    <m/>
    <s v="Implementing Partner"/>
    <s v="FUNDACION COMISION CATOLICA ARG"/>
    <s v="Argentina"/>
    <n v="44746.73"/>
    <x v="0"/>
    <x v="0"/>
  </r>
  <r>
    <x v="7"/>
    <s v="DP.2828"/>
    <s v="MOVEMENT, EMERGENCY AND POST-CRISIS MIGRATION MANAGEMENT"/>
    <s v="Regional Refugee and Migrant Response Plan (RMRP) for the Venezuela Situation 2024"/>
    <s v="Chile"/>
    <n v="4500424722"/>
    <m/>
    <s v="Implementing Partner"/>
    <s v="International Labour Organization"/>
    <s v="Switzerland"/>
    <n v="50000"/>
    <x v="0"/>
    <x v="7"/>
  </r>
  <r>
    <x v="7"/>
    <s v="DR.0062"/>
    <s v="MIGRATION AND DEVELOPMENT"/>
    <s v="Strengthening National and Local Disaster Preparedness and Response Capacities in Border Areas and Transhumance Corridors in Hodh Ech Chargui Region of Mauritania."/>
    <s v="Mauritania"/>
    <n v="4500420963"/>
    <m/>
    <s v="Implementing Partner"/>
    <s v="Delegation Regional Elevage Nema"/>
    <s v="Mauritania"/>
    <n v="69478.36"/>
    <x v="0"/>
    <x v="11"/>
  </r>
  <r>
    <x v="7"/>
    <s v="DR.0071"/>
    <s v="MIGRATION AND DEVELOPMENT"/>
    <s v="Action and Support to Avert, Minimise and Address Displacement Related with the Adverse Impacts of Climate Change in Bangladesh"/>
    <s v="Bangladesh"/>
    <n v="4500423764"/>
    <m/>
    <s v="Implementing Partner"/>
    <s v="ICCCAD"/>
    <s v="Bangladesh"/>
    <n v="74657.539999999994"/>
    <x v="0"/>
    <x v="10"/>
  </r>
  <r>
    <x v="7"/>
    <s v="DX.0096"/>
    <s v="MOVEMENT, EMERGENCY AND POST-CRISIS MIGRATION MANAGEMENT"/>
    <s v="Supporting Conflict-Affected Populations in the Far North of Cameroon through Providing Reliable Displacement Figures/Trends and Timely Shelter/Settlements Support"/>
    <s v="Cameroon"/>
    <n v="4500429499"/>
    <m/>
    <s v="Implementing Partner"/>
    <s v="ASSOCIATION DES ANIMATEURS ET ENCAD"/>
    <s v="Cameroon"/>
    <n v="13217.94"/>
    <x v="0"/>
    <x v="0"/>
  </r>
  <r>
    <x v="7"/>
    <s v="DX.0097"/>
    <s v="MOVEMENT, EMERGENCY AND POST-CRISIS MIGRATION MANAGEMENT"/>
    <s v="Mobility Tracking and Multi-Sectoral Humanitarian Needs in Localities and Sites Affected by Displacement/Return in the Central African Republic (National Coverage)"/>
    <s v="CAR"/>
    <n v="4500406481"/>
    <m/>
    <s v="Implementing Partner"/>
    <s v="AFRICAN RELIEF SERVICE 2"/>
    <s v="CAR"/>
    <n v="19529.900000000001"/>
    <x v="0"/>
    <x v="1"/>
  </r>
  <r>
    <x v="7"/>
    <s v="DX.0097"/>
    <s v="MOVEMENT, EMERGENCY AND POST-CRISIS MIGRATION MANAGEMENT"/>
    <s v="Mobility Tracking and Multi-Sectoral Humanitarian Needs in Localities and Sites Affected by Displacement/Return in the Central African Republic (National Coverage)"/>
    <s v="CAR"/>
    <n v="4500406501"/>
    <m/>
    <s v="Implementing Partner"/>
    <s v="FNOHD"/>
    <s v="CAR"/>
    <n v="7657.58"/>
    <x v="0"/>
    <x v="0"/>
  </r>
  <r>
    <x v="7"/>
    <s v="DX.0097"/>
    <s v="MOVEMENT, EMERGENCY AND POST-CRISIS MIGRATION MANAGEMENT"/>
    <s v="Mobility Tracking and Multi-Sectoral Humanitarian Needs in Localities and Sites Affected by Displacement/Return in the Central African Republic (National Coverage)"/>
    <s v="CAR"/>
    <n v="4500406517"/>
    <m/>
    <s v="Implementing Partner"/>
    <s v="FNOHD"/>
    <s v="CAR"/>
    <n v="9294.1200000000008"/>
    <x v="0"/>
    <x v="0"/>
  </r>
  <r>
    <x v="7"/>
    <s v="DX.0097"/>
    <s v="MOVEMENT, EMERGENCY AND POST-CRISIS MIGRATION MANAGEMENT"/>
    <s v="Mobility Tracking and Multi-Sectoral Humanitarian Needs in Localities and Sites Affected by Displacement/Return in the Central African Republic (National Coverage)"/>
    <s v="CAR"/>
    <n v="4500408390"/>
    <m/>
    <s v="Implementing Partner"/>
    <s v="ONG NDA"/>
    <s v="CAR"/>
    <n v="8131.69"/>
    <x v="0"/>
    <x v="0"/>
  </r>
  <r>
    <x v="7"/>
    <s v="DX.0112"/>
    <s v="MOVEMENT, EMERGENCY AND POST-CRISIS MIGRATION MANAGEMENT"/>
    <s v="The International Organization for Migration Displacement Tracking Matrix"/>
    <s v="Venezuela (BR)"/>
    <n v="4500407696"/>
    <m/>
    <s v="Implementing Partner"/>
    <s v="FUNDACION PROYECTO MANIAPURE"/>
    <s v="Venezuela (BR)"/>
    <n v="7175.5"/>
    <x v="0"/>
    <x v="0"/>
  </r>
  <r>
    <x v="7"/>
    <s v="DX.0112"/>
    <s v="MOVEMENT, EMERGENCY AND POST-CRISIS MIGRATION MANAGEMENT"/>
    <s v="The International Organization for Migration Displacement Tracking Matrix"/>
    <s v="Venezuela (BR)"/>
    <n v="4500407975"/>
    <m/>
    <s v="Implementing Partner"/>
    <s v="ASOCIACION CIVIL ACCION ZULIANA"/>
    <s v="Venezuela (BR)"/>
    <n v="17564"/>
    <x v="0"/>
    <x v="0"/>
  </r>
  <r>
    <x v="7"/>
    <s v="DX.0112"/>
    <s v="MOVEMENT, EMERGENCY AND POST-CRISIS MIGRATION MANAGEMENT"/>
    <s v="The International Organization for Migration Displacement Tracking Matrix"/>
    <s v="Venezuela (BR)"/>
    <n v="4500414461"/>
    <m/>
    <s v="Implementing Partner"/>
    <s v="Cruz Roja Venezolana Secc Apure"/>
    <s v="Venezuela (BR)"/>
    <n v="2732"/>
    <x v="0"/>
    <x v="4"/>
  </r>
  <r>
    <x v="7"/>
    <s v="DX.0112"/>
    <s v="MOVEMENT, EMERGENCY AND POST-CRISIS MIGRATION MANAGEMENT"/>
    <s v="The International Organization for Migration Displacement Tracking Matrix"/>
    <s v="Venezuela (BR)"/>
    <n v="4500417896"/>
    <m/>
    <s v="Implementing Partner"/>
    <s v="Asociacion Civil Centro de Desarrol"/>
    <s v="Venezuela (BR)"/>
    <n v="4060"/>
    <x v="0"/>
    <x v="8"/>
  </r>
  <r>
    <x v="7"/>
    <s v="DX.0112"/>
    <s v="MOVEMENT, EMERGENCY AND POST-CRISIS MIGRATION MANAGEMENT"/>
    <s v="The International Organization for Migration Displacement Tracking Matrix"/>
    <s v="Venezuela (BR)"/>
    <n v="4500419042"/>
    <m/>
    <s v="Implementing Partner"/>
    <s v="ASOC C CARITAS DE VENEZUELA"/>
    <s v="Venezuela (BR)"/>
    <n v="46088"/>
    <x v="0"/>
    <x v="6"/>
  </r>
  <r>
    <x v="7"/>
    <s v="MP.0621"/>
    <s v="MIGRATION HEALTH"/>
    <s v="Humanitarian Response to Venezuelan Migrants and Refugees in Colombia, Ecuador, Peru and Venezuela – Phase IV"/>
    <s v="Ecuador"/>
    <n v="4500427423"/>
    <m/>
    <s v="Implementing Partner"/>
    <s v="ADRA- CORPORACION AGENCIA"/>
    <s v="Ecuador"/>
    <n v="201562.5"/>
    <x v="0"/>
    <x v="1"/>
  </r>
  <r>
    <x v="7"/>
    <s v="MP.0621"/>
    <s v="MIGRATION HEALTH"/>
    <s v="Humanitarian Response to Venezuelan Migrants and Refugees in Colombia, Ecuador, Peru and Venezuela – Phase IV"/>
    <s v="Peru"/>
    <n v="4500423410"/>
    <m/>
    <s v="Implementing Partner"/>
    <s v="ANGELES DEL CAMINO"/>
    <s v="Peru"/>
    <n v="56763.12"/>
    <x v="0"/>
    <x v="0"/>
  </r>
  <r>
    <x v="7"/>
    <s v="MP.0621"/>
    <s v="MIGRATION HEALTH"/>
    <s v="Humanitarian Response to Venezuelan Migrants and Refugees in Colombia, Ecuador, Peru and Venezuela – Phase IV"/>
    <s v="Venezuela (BR)"/>
    <n v="4500417931"/>
    <m/>
    <s v="Implementing Partner"/>
    <s v="ASOCIACION CIVIL OBSERVATORIO DE"/>
    <s v="Venezuela (BR)"/>
    <n v="85959.33"/>
    <x v="0"/>
    <x v="0"/>
  </r>
  <r>
    <x v="7"/>
    <s v="MP.0621"/>
    <s v="MIGRATION HEALTH"/>
    <s v="Humanitarian Response to Venezuelan Migrants and Refugees in Colombia, Ecuador, Peru and Venezuela – Phase IV"/>
    <s v="Venezuela (BR)"/>
    <n v="4500417935"/>
    <m/>
    <s v="Implementing Partner"/>
    <s v="ASOCIACION CIVIL ACCION ZULIANA"/>
    <s v="Venezuela (BR)"/>
    <n v="85959.33"/>
    <x v="0"/>
    <x v="0"/>
  </r>
  <r>
    <x v="7"/>
    <s v="SN.0208"/>
    <s v="MOVEMENT, EMERGENCY AND POST-CRISIS MIGRATION MANAGEMENT"/>
    <s v="Ensuring Protection and Life-Saving Assistance to Populations Affected by Gangs Violence in Haiti"/>
    <s v="Haiti"/>
    <n v="4500426657"/>
    <m/>
    <s v="Implementing Partner"/>
    <s v="ACTED Haiti"/>
    <s v="Haiti"/>
    <n v="37140"/>
    <x v="0"/>
    <x v="1"/>
  </r>
  <r>
    <x v="7"/>
    <s v="SN.0217"/>
    <s v="MOVEMENT, EMERGENCY AND POST-CRISIS MIGRATION MANAGEMENT"/>
    <s v="Addressing the Immediate Humanitarian Needs of the Most Vulnerable Populations in Ukraine"/>
    <s v="Ukraine"/>
    <n v="4500421002"/>
    <m/>
    <s v="Implementing Partner"/>
    <s v="ACTED UKRAINE"/>
    <s v="Ukraine"/>
    <n v="47692"/>
    <x v="0"/>
    <x v="1"/>
  </r>
  <r>
    <x v="7"/>
    <s v="SN.0235"/>
    <s v="MOVEMENT, EMERGENCY AND POST-CRISIS MIGRATION MANAGEMENT"/>
    <s v="Emergency Grant Aid in response to the flood disaster in Ethiopia, Somalia, and Kenya"/>
    <s v="Kenya"/>
    <n v="4500414034"/>
    <m/>
    <s v="Implementing Partner"/>
    <s v="KENYA RED CROSS SOCIETY"/>
    <s v="Kenya"/>
    <n v="122262.46"/>
    <x v="0"/>
    <x v="4"/>
  </r>
  <r>
    <x v="7"/>
    <s v="SN.0238"/>
    <s v="MOVEMENT, EMERGENCY AND POST-CRISIS MIGRATION MANAGEMENT"/>
    <s v="Emergency support through NFIs and shelter for IDPs affected by Cyclone Gamane in Northern Madagascar"/>
    <s v="Madagascar"/>
    <n v="4500425419"/>
    <m/>
    <s v="Implementing Partner"/>
    <s v="ASSOCIATION SOFIASIVE"/>
    <s v="Madagascar"/>
    <n v="51840.35"/>
    <x v="0"/>
    <x v="0"/>
  </r>
  <r>
    <x v="7"/>
    <s v="SN.0239"/>
    <s v="MOVEMENT, EMERGENCY AND POST-CRISIS MIGRATION MANAGEMENT"/>
    <s v="Joint Recovery Action Plan (JRAP) - Western Nepal Earthquake"/>
    <s v="Nepal"/>
    <n v="4500424789"/>
    <m/>
    <s v="Implementing Partner"/>
    <s v="Nepal Red Cross Society"/>
    <s v="Nepal"/>
    <n v="150000"/>
    <x v="0"/>
    <x v="4"/>
  </r>
  <r>
    <x v="7"/>
    <s v="SN.0239"/>
    <s v="MOVEMENT, EMERGENCY AND POST-CRISIS MIGRATION MANAGEMENT"/>
    <s v="Joint Recovery Action Plan (JRAP) - Western Nepal Earthquake"/>
    <s v="Nepal"/>
    <n v="4500425210"/>
    <m/>
    <s v="Implementing Partner"/>
    <s v="Community Impact Nepal"/>
    <s v="Nepal"/>
    <n v="549976"/>
    <x v="0"/>
    <x v="0"/>
  </r>
  <r>
    <x v="7"/>
    <s v="SN.0239"/>
    <s v="MOVEMENT, EMERGENCY AND POST-CRISIS MIGRATION MANAGEMENT"/>
    <s v="Joint Recovery Action Plan (JRAP) - Western Nepal Earthquake"/>
    <s v="Nepal"/>
    <n v="4500425216"/>
    <m/>
    <s v="Implementing Partner"/>
    <s v="Catholic Relief Services"/>
    <s v="Nepal"/>
    <n v="298556"/>
    <x v="0"/>
    <x v="1"/>
  </r>
  <r>
    <x v="7"/>
    <s v="SN.0243"/>
    <s v="MOVEMENT, EMERGENCY AND POST-CRISIS MIGRATION MANAGEMENT"/>
    <s v="Emergency shelter and non-food item (NFI) assistance to flood-affected people in Kenya"/>
    <s v="Kenya"/>
    <n v="4500429439"/>
    <m/>
    <s v="Implementing Partner"/>
    <s v="WORLD VISION KENYA"/>
    <s v="Kenya"/>
    <n v="86258.64"/>
    <x v="0"/>
    <x v="1"/>
  </r>
  <r>
    <x v="8"/>
    <s v="DP.1716"/>
    <s v="MOVEMENT, EMERGENCY AND POST-CRISIS MIGRATION MANAGEMENT"/>
    <s v="Strengthening the Humanitarian Response for Vulnerable People on the Move in Mexico"/>
    <s v="Mexico"/>
    <n v="4500383875"/>
    <m/>
    <s v="Implementing Partner"/>
    <s v="EL COLEGIO DE LA FRONTERA NORTE AC"/>
    <s v="Mexico"/>
    <n v="15665.59"/>
    <x v="0"/>
    <x v="2"/>
  </r>
  <r>
    <x v="8"/>
    <s v="DP.2051"/>
    <s v="MOVEMENT, EMERGENCY AND POST-CRISIS MIGRATION MANAGEMENT"/>
    <s v="Individual Measure to Strengthen the Response Capacity to Manage Migration Flows in Bosnia and Herzegovina"/>
    <s v="Bosnia-Herz."/>
    <n v="4500380995"/>
    <m/>
    <s v="Implementing Partner"/>
    <s v="TPO Fondacija"/>
    <s v="Bosnia-Herz."/>
    <n v="45360.59"/>
    <x v="0"/>
    <x v="0"/>
  </r>
  <r>
    <x v="8"/>
    <s v="DP.2051"/>
    <s v="MOVEMENT, EMERGENCY AND POST-CRISIS MIGRATION MANAGEMENT"/>
    <s v="Individual Measure to Strengthen the Response Capacity to Manage Migration Flows in Bosnia and Herzegovina"/>
    <s v="Bosnia-Herz."/>
    <n v="4500381003"/>
    <m/>
    <s v="Implementing Partner"/>
    <s v="Inicijativa mladih za ljudska prava"/>
    <s v="Bosnia-Herz."/>
    <n v="29880.75"/>
    <x v="0"/>
    <x v="0"/>
  </r>
  <r>
    <x v="8"/>
    <s v="DP.2051"/>
    <s v="MOVEMENT, EMERGENCY AND POST-CRISIS MIGRATION MANAGEMENT"/>
    <s v="Individual Measure to Strengthen the Response Capacity to Manage Migration Flows in Bosnia and Herzegovina"/>
    <s v="Bosnia-Herz."/>
    <n v="4500381009"/>
    <m/>
    <s v="Implementing Partner"/>
    <s v="HU ISUSOVACKA SLUZBA ZA IZBJEGLICE"/>
    <s v="Bosnia-Herz."/>
    <n v="28392.959999999999"/>
    <x v="0"/>
    <x v="1"/>
  </r>
  <r>
    <x v="8"/>
    <s v="DP.2051"/>
    <s v="MOVEMENT, EMERGENCY AND POST-CRISIS MIGRATION MANAGEMENT"/>
    <s v="Individual Measure to Strengthen the Response Capacity to Manage Migration Flows in Bosnia and Herzegovina"/>
    <s v="Bosnia-Herz."/>
    <n v="4500381988"/>
    <m/>
    <s v="Implementing Partner"/>
    <s v="IPSIA BiH, Institut za mir, razvoj,"/>
    <s v="Bosnia-Herz."/>
    <n v="33739.06"/>
    <x v="0"/>
    <x v="1"/>
  </r>
  <r>
    <x v="8"/>
    <s v="DP.2051"/>
    <s v="MOVEMENT, EMERGENCY AND POST-CRISIS MIGRATION MANAGEMENT"/>
    <s v="Individual Measure to Strengthen the Response Capacity to Manage Migration Flows in Bosnia and Herzegovina"/>
    <s v="Bosnia-Herz."/>
    <n v="4500382015"/>
    <m/>
    <s v="Implementing Partner"/>
    <s v="Centar za odrzivi razvoj Bihac"/>
    <s v="Bosnia-Herz."/>
    <n v="32617.83"/>
    <x v="0"/>
    <x v="3"/>
  </r>
  <r>
    <x v="8"/>
    <s v="DP.2051"/>
    <s v="MOVEMENT, EMERGENCY AND POST-CRISIS MIGRATION MANAGEMENT"/>
    <s v="Individual Measure to Strengthen the Response Capacity to Manage Migration Flows in Bosnia and Herzegovina"/>
    <s v="Bosnia-Herz."/>
    <n v="4500382053"/>
    <m/>
    <s v="Implementing Partner"/>
    <s v="Udruzenje SCENA"/>
    <s v="Bosnia-Herz."/>
    <n v="44747.3"/>
    <x v="0"/>
    <x v="3"/>
  </r>
  <r>
    <x v="8"/>
    <s v="DP.2051"/>
    <s v="MOVEMENT, EMERGENCY AND POST-CRISIS MIGRATION MANAGEMENT"/>
    <s v="Individual Measure to Strengthen the Response Capacity to Manage Migration Flows in Bosnia and Herzegovina"/>
    <s v="Bosnia-Herz."/>
    <n v="4500388513"/>
    <m/>
    <s v="Implementing Partner"/>
    <s v="Udruzenje Vijece mladih Grada Cazin"/>
    <s v="Bosnia-Herz."/>
    <n v="25845.81"/>
    <x v="0"/>
    <x v="3"/>
  </r>
  <r>
    <x v="8"/>
    <s v="DP.2412"/>
    <s v="MOVEMENT, EMERGENCY AND POST-CRISIS MIGRATION MANAGEMENT"/>
    <s v="Multi-Sectoral Humanitarian Assistance for Displaced and Mobile Populations in Sudan"/>
    <s v="Sudan"/>
    <n v="4500382227"/>
    <m/>
    <s v="Implementing Partner"/>
    <s v="Sudanese Development Call Organizat"/>
    <s v="Sudan"/>
    <n v="150040"/>
    <x v="0"/>
    <x v="0"/>
  </r>
  <r>
    <x v="8"/>
    <s v="DP.2412"/>
    <s v="MOVEMENT, EMERGENCY AND POST-CRISIS MIGRATION MANAGEMENT"/>
    <s v="Multi-Sectoral Humanitarian Assistance for Displaced and Mobile Populations in Sudan"/>
    <s v="Sudan"/>
    <n v="4500382249"/>
    <m/>
    <s v="Implementing Partner"/>
    <s v="National Planning Organization"/>
    <s v="Sudan"/>
    <n v="150000"/>
    <x v="0"/>
    <x v="3"/>
  </r>
  <r>
    <x v="8"/>
    <s v="DP.2412"/>
    <s v="MOVEMENT, EMERGENCY AND POST-CRISIS MIGRATION MANAGEMENT"/>
    <s v="Multi-Sectoral Humanitarian Assistance for Displaced and Mobile Populations in Sudan"/>
    <s v="Sudan"/>
    <n v="4500396556"/>
    <m/>
    <s v="Implementing Partner"/>
    <s v="Durra for Social Development Organi"/>
    <s v="Sudan"/>
    <n v="19405"/>
    <x v="0"/>
    <x v="0"/>
  </r>
  <r>
    <x v="8"/>
    <s v="DP.2412"/>
    <s v="MOVEMENT, EMERGENCY AND POST-CRISIS MIGRATION MANAGEMENT"/>
    <s v="Multi-Sectoral Humanitarian Assistance for Displaced and Mobile Populations in Sudan"/>
    <s v="Sudan"/>
    <n v="4500404085"/>
    <m/>
    <s v="Implementing Partner"/>
    <s v="Dar for community development organ"/>
    <s v="Sudan"/>
    <n v="20089"/>
    <x v="0"/>
    <x v="0"/>
  </r>
  <r>
    <x v="8"/>
    <s v="DP.2470"/>
    <s v="MOVEMENT, EMERGENCY AND POST-CRISIS MIGRATION MANAGEMENT"/>
    <s v="IOM Flash Appeal for Ukraine and Neighbouring Countries 2022 - Norway"/>
    <s v="Moldova (Rep)"/>
    <n v="4500398913"/>
    <m/>
    <s v="Implementing Partner"/>
    <s v="AO INTERACTIUNE"/>
    <s v="Moldova (Rep)"/>
    <n v="8457.85"/>
    <x v="0"/>
    <x v="0"/>
  </r>
  <r>
    <x v="8"/>
    <s v="DP.2470"/>
    <s v="MOVEMENT, EMERGENCY AND POST-CRISIS MIGRATION MANAGEMENT"/>
    <s v="IOM Flash Appeal for Ukraine and Neighbouring Countries 2022 - Norway"/>
    <s v="Moldova (Rep)"/>
    <n v="4500403377"/>
    <m/>
    <s v="Implementing Partner"/>
    <s v="AO INTERACTIUNE"/>
    <s v="Moldova (Rep)"/>
    <n v="51419.34"/>
    <x v="0"/>
    <x v="0"/>
  </r>
  <r>
    <x v="8"/>
    <s v="DP.2470"/>
    <s v="MOVEMENT, EMERGENCY AND POST-CRISIS MIGRATION MANAGEMENT"/>
    <s v="IOM Flash Appeal for Ukraine and Neighbouring Countries 2022 - Norway"/>
    <s v="Ukraine"/>
    <n v="4500385918"/>
    <m/>
    <s v="Implementing Partner"/>
    <s v="MEDICAL TEAMS INTERNATIONAL"/>
    <s v="Ukraine"/>
    <n v="100000"/>
    <x v="0"/>
    <x v="1"/>
  </r>
  <r>
    <x v="8"/>
    <s v="DP.2506"/>
    <s v="MOVEMENT, EMERGENCY AND POST-CRISIS MIGRATION MANAGEMENT"/>
    <s v="Humanitarian Response in Cabo Delgado, Mozambique (Phase III)"/>
    <s v="Mozambique"/>
    <n v="4500392535"/>
    <m/>
    <s v="Implementing Partner"/>
    <s v="AYUDA EN ACCION FOUNDATION"/>
    <s v="Mozambique"/>
    <n v="123640"/>
    <x v="0"/>
    <x v="1"/>
  </r>
  <r>
    <x v="8"/>
    <s v="DP.2506"/>
    <s v="MOVEMENT, EMERGENCY AND POST-CRISIS MIGRATION MANAGEMENT"/>
    <s v="Humanitarian Response in Cabo Delgado, Mozambique (Phase III)"/>
    <s v="Mozambique"/>
    <n v="4500392880"/>
    <m/>
    <s v="Implementing Partner"/>
    <s v="OIKOS"/>
    <s v="Mozambique"/>
    <n v="16000"/>
    <x v="0"/>
    <x v="1"/>
  </r>
  <r>
    <x v="8"/>
    <s v="DP.2532"/>
    <s v="MOVEMENT, EMERGENCY AND POST-CRISIS MIGRATION MANAGEMENT"/>
    <s v="Strengthening the Humanitarian Health and Water Sanitation and Hygiene Response for the Most Vulnerable Populations in Northern Abyei"/>
    <s v="Sudan"/>
    <n v="4500390111"/>
    <m/>
    <s v="Implementing Partner"/>
    <s v="Hope and Friendship for Development"/>
    <s v="Sudan"/>
    <n v="17500"/>
    <x v="0"/>
    <x v="0"/>
  </r>
  <r>
    <x v="8"/>
    <s v="DP.2545"/>
    <s v="MOVEMENT, EMERGENCY AND POST-CRISIS MIGRATION MANAGEMENT"/>
    <s v="Rapid Response Fund for Humanitarian Emergencies in Sudan"/>
    <s v="Sudan"/>
    <n v="4500381521"/>
    <m/>
    <s v="Implementing Partner"/>
    <s v="Plan International sudan"/>
    <s v="Sudan"/>
    <n v="238075"/>
    <x v="0"/>
    <x v="1"/>
  </r>
  <r>
    <x v="8"/>
    <s v="DP.2545"/>
    <s v="MOVEMENT, EMERGENCY AND POST-CRISIS MIGRATION MANAGEMENT"/>
    <s v="Rapid Response Fund for Humanitarian Emergencies in Sudan"/>
    <s v="Sudan"/>
    <n v="4500384263"/>
    <m/>
    <s v="Implementing Partner"/>
    <s v="Sudanese Organization Relief-(SORR)"/>
    <s v="Sudan"/>
    <n v="349988"/>
    <x v="0"/>
    <x v="0"/>
  </r>
  <r>
    <x v="8"/>
    <s v="DP.2545"/>
    <s v="MOVEMENT, EMERGENCY AND POST-CRISIS MIGRATION MANAGEMENT"/>
    <s v="Rapid Response Fund for Humanitarian Emergencies in Sudan"/>
    <s v="Sudan"/>
    <n v="4500385515"/>
    <m/>
    <s v="Implementing Partner"/>
    <s v="Near East Foundation"/>
    <s v="USA"/>
    <n v="250000"/>
    <x v="0"/>
    <x v="1"/>
  </r>
  <r>
    <x v="8"/>
    <s v="DP.2545"/>
    <s v="MOVEMENT, EMERGENCY AND POST-CRISIS MIGRATION MANAGEMENT"/>
    <s v="Rapid Response Fund for Humanitarian Emergencies in Sudan"/>
    <s v="Sudan"/>
    <n v="4500386001"/>
    <m/>
    <s v="Implementing Partner"/>
    <s v="We Are All Values Organization"/>
    <s v="Sudan"/>
    <n v="125298"/>
    <x v="0"/>
    <x v="0"/>
  </r>
  <r>
    <x v="8"/>
    <s v="DP.2545"/>
    <s v="MOVEMENT, EMERGENCY AND POST-CRISIS MIGRATION MANAGEMENT"/>
    <s v="Rapid Response Fund for Humanitarian Emergencies in Sudan"/>
    <s v="Sudan"/>
    <n v="4500388637"/>
    <m/>
    <s v="Implementing Partner"/>
    <s v="Jasmar Human Security Organization"/>
    <s v="Sudan"/>
    <n v="279455"/>
    <x v="0"/>
    <x v="0"/>
  </r>
  <r>
    <x v="8"/>
    <s v="DP.2545"/>
    <s v="MOVEMENT, EMERGENCY AND POST-CRISIS MIGRATION MANAGEMENT"/>
    <s v="Rapid Response Fund for Humanitarian Emergencies in Sudan"/>
    <s v="Sudan"/>
    <n v="4500388640"/>
    <m/>
    <s v="Implementing Partner"/>
    <s v="United Peace Organization"/>
    <s v="Sudan"/>
    <n v="328460"/>
    <x v="0"/>
    <x v="0"/>
  </r>
  <r>
    <x v="8"/>
    <s v="DP.2545"/>
    <s v="MOVEMENT, EMERGENCY AND POST-CRISIS MIGRATION MANAGEMENT"/>
    <s v="Rapid Response Fund for Humanitarian Emergencies in Sudan"/>
    <s v="Sudan"/>
    <n v="4500390136"/>
    <m/>
    <s v="Implementing Partner"/>
    <s v="Humanity for Development and Prospe"/>
    <s v="Sudan"/>
    <n v="19988"/>
    <x v="0"/>
    <x v="0"/>
  </r>
  <r>
    <x v="8"/>
    <s v="DP.2545"/>
    <s v="MOVEMENT, EMERGENCY AND POST-CRISIS MIGRATION MANAGEMENT"/>
    <s v="Rapid Response Fund for Humanitarian Emergencies in Sudan"/>
    <s v="Sudan"/>
    <n v="4500395213"/>
    <m/>
    <s v="Implementing Partner"/>
    <s v="SUDANESE AMERICAN PHYSICIANS"/>
    <s v="U.S. Virgin Islands"/>
    <n v="243688"/>
    <x v="0"/>
    <x v="1"/>
  </r>
  <r>
    <x v="8"/>
    <s v="DP.2545"/>
    <s v="MOVEMENT, EMERGENCY AND POST-CRISIS MIGRATION MANAGEMENT"/>
    <s v="Rapid Response Fund for Humanitarian Emergencies in Sudan"/>
    <s v="Sudan"/>
    <n v="4500401797"/>
    <m/>
    <s v="Implementing Partner"/>
    <s v="CDF Child Development Foundation"/>
    <s v="Sudan"/>
    <n v="20000"/>
    <x v="0"/>
    <x v="0"/>
  </r>
  <r>
    <x v="8"/>
    <s v="DP.2545"/>
    <s v="MOVEMENT, EMERGENCY AND POST-CRISIS MIGRATION MANAGEMENT"/>
    <s v="Rapid Response Fund for Humanitarian Emergencies in Sudan"/>
    <s v="Sudan"/>
    <n v="4500402940"/>
    <m/>
    <s v="Implementing Partner"/>
    <s v="ALTWAKI DEVELOPMENT ORGANIZATION"/>
    <s v="Sudan"/>
    <n v="240647"/>
    <x v="0"/>
    <x v="0"/>
  </r>
  <r>
    <x v="8"/>
    <s v="DP.2557"/>
    <s v="MOVEMENT, EMERGENCY AND POST-CRISIS MIGRATION MANAGEMENT"/>
    <s v="Supporting Conflict Affected Communities in Cameroon’s Far-North and North-West, South-West Regions to Recover through Resilience Building and Reconciliation for the Humanitarian Development Peace Nexus"/>
    <s v="Cameroon"/>
    <n v="4500383869"/>
    <m/>
    <s v="Implementing Partner"/>
    <s v="ZOURIA  THEATRE"/>
    <s v="Cameroon"/>
    <n v="4834.62"/>
    <x v="0"/>
    <x v="0"/>
  </r>
  <r>
    <x v="8"/>
    <s v="DP.2557"/>
    <s v="MOVEMENT, EMERGENCY AND POST-CRISIS MIGRATION MANAGEMENT"/>
    <s v="Supporting Conflict Affected Communities in Cameroon’s Far-North and North-West, South-West Regions to Recover through Resilience Building and Reconciliation for the Humanitarian Development Peace Nexus"/>
    <s v="Cameroon"/>
    <n v="4500383870"/>
    <m/>
    <s v="Implementing Partner"/>
    <s v="ZOURIA  THEATRE"/>
    <s v="Cameroon"/>
    <n v="3385.59"/>
    <x v="0"/>
    <x v="0"/>
  </r>
  <r>
    <x v="8"/>
    <s v="DP.2557"/>
    <s v="MOVEMENT, EMERGENCY AND POST-CRISIS MIGRATION MANAGEMENT"/>
    <s v="Supporting Conflict Affected Communities in Cameroon’s Far-North and North-West, South-West Regions to Recover through Resilience Building and Reconciliation for the Humanitarian Development Peace Nexus"/>
    <s v="Cameroon"/>
    <n v="4500388112"/>
    <m/>
    <s v="Implementing Partner"/>
    <s v="IYEC"/>
    <s v="Cameroon"/>
    <n v="30416.94"/>
    <x v="0"/>
    <x v="3"/>
  </r>
  <r>
    <x v="8"/>
    <s v="DP.2557"/>
    <s v="MOVEMENT, EMERGENCY AND POST-CRISIS MIGRATION MANAGEMENT"/>
    <s v="Supporting Conflict Affected Communities in Cameroon’s Far-North and North-West, South-West Regions to Recover through Resilience Building and Reconciliation for the Humanitarian Development Peace Nexus"/>
    <s v="Cameroon"/>
    <n v="4500388114"/>
    <m/>
    <s v="Implementing Partner"/>
    <s v="CAGEAD"/>
    <s v="Cameroon"/>
    <n v="30416.91"/>
    <x v="0"/>
    <x v="0"/>
  </r>
  <r>
    <x v="8"/>
    <s v="DP.2565"/>
    <s v="MOVEMENT, EMERGENCY AND POST-CRISIS MIGRATION MANAGEMENT"/>
    <s v="Multi-Sectoral Support for Conflict Affected Populations, Specifically People Living with Disabilities, in East and Southern Ukraine"/>
    <s v="Ukraine"/>
    <n v="4500389252"/>
    <m/>
    <s v="Implementing Partner"/>
    <s v="CF SLAVIC HEART"/>
    <s v="Ukraine"/>
    <n v="5789.47"/>
    <x v="0"/>
    <x v="0"/>
  </r>
  <r>
    <x v="8"/>
    <s v="DP.2605"/>
    <s v="MOVEMENT, EMERGENCY AND POST-CRISIS MIGRATION MANAGEMENT"/>
    <s v="Strengthening the Humanitarian Response to Crisis-Affected Populations in Czechia"/>
    <s v="Czechia"/>
    <n v="4500383013"/>
    <m/>
    <s v="Implementing Partner"/>
    <s v="ADRA, o.p.s."/>
    <s v="Czechia"/>
    <n v="24840"/>
    <x v="0"/>
    <x v="1"/>
  </r>
  <r>
    <x v="8"/>
    <s v="DP.2612"/>
    <s v="MOVEMENT, EMERGENCY AND POST-CRISIS MIGRATION MANAGEMENT"/>
    <s v="Enhancing Diasporas’ Operations and Coordination in Humanitarian Assistance for Increased Impact within a Framework for Diaspora Engagement in Humanitarian Assistance – Phase III"/>
    <s v="USA"/>
    <n v="4500383061"/>
    <m/>
    <s v="Implementing Partner"/>
    <s v="THE ADDIS CLINIC INC"/>
    <s v="USA"/>
    <n v="19750"/>
    <x v="0"/>
    <x v="1"/>
  </r>
  <r>
    <x v="8"/>
    <s v="DP.2613"/>
    <s v="MOVEMENT, EMERGENCY AND POST-CRISIS MIGRATION MANAGEMENT"/>
    <s v="Regional Refugee and Migrant Response Plan (RMRP 2023 - 2024) for the Venezuelan situation in Colombia"/>
    <s v="Colombia"/>
    <n v="4500381729"/>
    <m/>
    <s v="Implementing Partner"/>
    <s v="ALDEAS INFANTILES SOS COLOMBIA"/>
    <s v="Colombia"/>
    <n v="58993.18"/>
    <x v="0"/>
    <x v="1"/>
  </r>
  <r>
    <x v="8"/>
    <s v="DP.2614"/>
    <s v="MOVEMENT, EMERGENCY AND POST-CRISIS MIGRATION MANAGEMENT"/>
    <s v="Regional Refugee and Migrant Response Plan (RMRP) for the Venezuela Situation 2023"/>
    <s v="Argentina"/>
    <n v="4500381405"/>
    <m/>
    <s v="Implementing Partner"/>
    <s v="CRUZ ROJA ARGENTINA"/>
    <s v="Argentina"/>
    <n v="16213.67"/>
    <x v="0"/>
    <x v="4"/>
  </r>
  <r>
    <x v="8"/>
    <s v="DP.2614"/>
    <s v="MOVEMENT, EMERGENCY AND POST-CRISIS MIGRATION MANAGEMENT"/>
    <s v="Regional Refugee and Migrant Response Plan (RMRP) for the Venezuela Situation 2023"/>
    <s v="Argentina"/>
    <n v="4500392827"/>
    <m/>
    <s v="Implementing Partner"/>
    <s v="INICIA EMPRENDER PARA EL FUTURO"/>
    <s v="Argentina"/>
    <n v="27902.87"/>
    <x v="0"/>
    <x v="0"/>
  </r>
  <r>
    <x v="8"/>
    <s v="DP.2614"/>
    <s v="MOVEMENT, EMERGENCY AND POST-CRISIS MIGRATION MANAGEMENT"/>
    <s v="Regional Refugee and Migrant Response Plan (RMRP) for the Venezuela Situation 2023"/>
    <s v="Argentina"/>
    <n v="4500394449"/>
    <m/>
    <s v="Implementing Partner"/>
    <s v="ASOENVEAR ASOCIACION DE ENFERMEROS"/>
    <s v="Argentina"/>
    <n v="4391.96"/>
    <x v="0"/>
    <x v="0"/>
  </r>
  <r>
    <x v="8"/>
    <s v="DP.2614"/>
    <s v="MOVEMENT, EMERGENCY AND POST-CRISIS MIGRATION MANAGEMENT"/>
    <s v="Regional Refugee and Migrant Response Plan (RMRP) for the Venezuela Situation 2023"/>
    <s v="Argentina"/>
    <n v="4500396604"/>
    <m/>
    <s v="Implementing Partner"/>
    <s v="ASOMEVENAR ASOCIACION CIVIL MEDICOS"/>
    <s v="Argentina"/>
    <n v="5343.97"/>
    <x v="0"/>
    <x v="0"/>
  </r>
  <r>
    <x v="8"/>
    <s v="DP.2614"/>
    <s v="MOVEMENT, EMERGENCY AND POST-CRISIS MIGRATION MANAGEMENT"/>
    <s v="Regional Refugee and Migrant Response Plan (RMRP) for the Venezuela Situation 2023"/>
    <s v="Argentina"/>
    <n v="4500402036"/>
    <m/>
    <s v="Implementing Partner"/>
    <s v="FUNDACION HUESPED"/>
    <s v="Argentina"/>
    <n v="12481.72"/>
    <x v="0"/>
    <x v="0"/>
  </r>
  <r>
    <x v="8"/>
    <s v="DP.2614"/>
    <s v="MOVEMENT, EMERGENCY AND POST-CRISIS MIGRATION MANAGEMENT"/>
    <s v="Regional Refugee and Migrant Response Plan (RMRP) for the Venezuela Situation 2023"/>
    <s v="Chile"/>
    <n v="4500383526"/>
    <m/>
    <s v="Implementing Partner"/>
    <s v="Fundacion Infocap Jovenes"/>
    <s v="Chile"/>
    <n v="142734.47"/>
    <x v="0"/>
    <x v="0"/>
  </r>
  <r>
    <x v="8"/>
    <s v="DP.2614"/>
    <s v="MOVEMENT, EMERGENCY AND POST-CRISIS MIGRATION MANAGEMENT"/>
    <s v="Regional Refugee and Migrant Response Plan (RMRP) for the Venezuela Situation 2023"/>
    <s v="Chile"/>
    <n v="4500383773"/>
    <m/>
    <s v="Implementing Partner"/>
    <s v="Fundacion Infocap Jovenes"/>
    <s v="Chile"/>
    <n v="61960.46"/>
    <x v="0"/>
    <x v="0"/>
  </r>
  <r>
    <x v="8"/>
    <s v="DP.2614"/>
    <s v="MOVEMENT, EMERGENCY AND POST-CRISIS MIGRATION MANAGEMENT"/>
    <s v="Regional Refugee and Migrant Response Plan (RMRP) for the Venezuela Situation 2023"/>
    <s v="Chile"/>
    <n v="4500391366"/>
    <m/>
    <s v="Implementing Partner"/>
    <s v="Fundacion Servicio Jesuita"/>
    <s v="Chile"/>
    <n v="25306.04"/>
    <x v="0"/>
    <x v="1"/>
  </r>
  <r>
    <x v="8"/>
    <s v="DP.2614"/>
    <s v="MOVEMENT, EMERGENCY AND POST-CRISIS MIGRATION MANAGEMENT"/>
    <s v="Regional Refugee and Migrant Response Plan (RMRP) for the Venezuela Situation 2023"/>
    <s v="Chile"/>
    <n v="4500395343"/>
    <m/>
    <s v="Implementing Partner"/>
    <s v="Instituto Catolico de Migrantes"/>
    <s v="Chile"/>
    <n v="68925.64"/>
    <x v="0"/>
    <x v="0"/>
  </r>
  <r>
    <x v="8"/>
    <s v="DP.2614"/>
    <s v="MOVEMENT, EMERGENCY AND POST-CRISIS MIGRATION MANAGEMENT"/>
    <s v="Regional Refugee and Migrant Response Plan (RMRP) for the Venezuela Situation 2023"/>
    <s v="Chile"/>
    <n v="4500398319"/>
    <m/>
    <s v="Implementing Partner"/>
    <s v="International Labour Organization"/>
    <s v="Switzerland"/>
    <n v="50000"/>
    <x v="0"/>
    <x v="7"/>
  </r>
  <r>
    <x v="8"/>
    <s v="DP.2614"/>
    <s v="MOVEMENT, EMERGENCY AND POST-CRISIS MIGRATION MANAGEMENT"/>
    <s v="Regional Refugee and Migrant Response Plan (RMRP) for the Venezuela Situation 2023"/>
    <s v="Dominican Rep."/>
    <n v="4500400651"/>
    <m/>
    <s v="Implementing Partner"/>
    <s v="CAMARA DE COMERCIO DOMINICO CADOVEN"/>
    <s v="Dominican Rep."/>
    <n v="86237.24"/>
    <x v="0"/>
    <x v="10"/>
  </r>
  <r>
    <x v="8"/>
    <s v="DP.2614"/>
    <s v="MOVEMENT, EMERGENCY AND POST-CRISIS MIGRATION MANAGEMENT"/>
    <s v="Regional Refugee and Migrant Response Plan (RMRP) for the Venezuela Situation 2023"/>
    <s v="Dominican Rep."/>
    <n v="4500402694"/>
    <m/>
    <s v="Implementing Partner"/>
    <s v="Fundacion Migrantes Venezolanos"/>
    <s v="Dominican Rep."/>
    <n v="4956.16"/>
    <x v="0"/>
    <x v="0"/>
  </r>
  <r>
    <x v="8"/>
    <s v="DP.2614"/>
    <s v="MOVEMENT, EMERGENCY AND POST-CRISIS MIGRATION MANAGEMENT"/>
    <s v="Regional Refugee and Migrant Response Plan (RMRP) for the Venezuela Situation 2023"/>
    <s v="Dominican Rep."/>
    <n v="4500403090"/>
    <m/>
    <s v="Implementing Partner"/>
    <s v="Asociacion de Venezolanos Santiago"/>
    <s v="Dominican Rep."/>
    <n v="6008.92"/>
    <x v="0"/>
    <x v="0"/>
  </r>
  <r>
    <x v="8"/>
    <s v="DP.2614"/>
    <s v="MOVEMENT, EMERGENCY AND POST-CRISIS MIGRATION MANAGEMENT"/>
    <s v="Regional Refugee and Migrant Response Plan (RMRP) for the Venezuela Situation 2023"/>
    <s v="Dominican Rep."/>
    <n v="4500403098"/>
    <m/>
    <s v="Implementing Partner"/>
    <s v="Fundacion de Emigrantes y Refugiado"/>
    <s v="Dominican Rep."/>
    <n v="20029.740000000002"/>
    <x v="0"/>
    <x v="0"/>
  </r>
  <r>
    <x v="8"/>
    <s v="DP.2614"/>
    <s v="MOVEMENT, EMERGENCY AND POST-CRISIS MIGRATION MANAGEMENT"/>
    <s v="Regional Refugee and Migrant Response Plan (RMRP) for the Venezuela Situation 2023"/>
    <s v="Peru"/>
    <n v="4500383485"/>
    <m/>
    <s v="Implementing Partner"/>
    <s v="Encuen.Servicio Jesuita de la Solid"/>
    <s v="Peru"/>
    <n v="28984.33"/>
    <x v="0"/>
    <x v="0"/>
  </r>
  <r>
    <x v="8"/>
    <s v="DP.2614"/>
    <s v="MOVEMENT, EMERGENCY AND POST-CRISIS MIGRATION MANAGEMENT"/>
    <s v="Regional Refugee and Migrant Response Plan (RMRP) for the Venezuela Situation 2023"/>
    <s v="Peru"/>
    <n v="4500384354"/>
    <m/>
    <s v="Implementing Partner"/>
    <s v="Superintendencia Nac. de Migracione"/>
    <s v="Peru"/>
    <n v="230037.82"/>
    <x v="0"/>
    <x v="9"/>
  </r>
  <r>
    <x v="8"/>
    <s v="DP.2614"/>
    <s v="MOVEMENT, EMERGENCY AND POST-CRISIS MIGRATION MANAGEMENT"/>
    <s v="Regional Refugee and Migrant Response Plan (RMRP) for the Venezuela Situation 2023"/>
    <s v="Peru"/>
    <n v="4500385683"/>
    <m/>
    <s v="Implementing Partner"/>
    <s v="Union Venezolana en Perú"/>
    <s v="Peru"/>
    <n v="19989.2"/>
    <x v="0"/>
    <x v="0"/>
  </r>
  <r>
    <x v="8"/>
    <s v="DP.2614"/>
    <s v="MOVEMENT, EMERGENCY AND POST-CRISIS MIGRATION MANAGEMENT"/>
    <s v="Regional Refugee and Migrant Response Plan (RMRP) for the Venezuela Situation 2023"/>
    <s v="Peru"/>
    <n v="4500386067"/>
    <m/>
    <s v="Implementing Partner"/>
    <s v="CENTRO DE DESARROLLO HUMANO"/>
    <s v="Peru"/>
    <n v="49432.31"/>
    <x v="0"/>
    <x v="0"/>
  </r>
  <r>
    <x v="8"/>
    <s v="DP.2614"/>
    <s v="MOVEMENT, EMERGENCY AND POST-CRISIS MIGRATION MANAGEMENT"/>
    <s v="Regional Refugee and Migrant Response Plan (RMRP) for the Venezuela Situation 2023"/>
    <s v="Peru"/>
    <n v="4500396597"/>
    <m/>
    <s v="Implementing Partner"/>
    <s v="Superintendencia Nac. de Migracione"/>
    <s v="Peru"/>
    <n v="62168.55"/>
    <x v="0"/>
    <x v="9"/>
  </r>
  <r>
    <x v="8"/>
    <s v="DP.2614"/>
    <s v="MOVEMENT, EMERGENCY AND POST-CRISIS MIGRATION MANAGEMENT"/>
    <s v="Regional Refugee and Migrant Response Plan (RMRP) for the Venezuela Situation 2023"/>
    <s v="Peru"/>
    <n v="4500397720"/>
    <m/>
    <s v="Implementing Partner"/>
    <s v="CESAL"/>
    <s v="Peru"/>
    <n v="25105.46"/>
    <x v="0"/>
    <x v="1"/>
  </r>
  <r>
    <x v="8"/>
    <s v="DP.2614"/>
    <s v="MOVEMENT, EMERGENCY AND POST-CRISIS MIGRATION MANAGEMENT"/>
    <s v="Regional Refugee and Migrant Response Plan (RMRP) for the Venezuela Situation 2023"/>
    <s v="Trinidad,Tobago"/>
    <n v="4500393030"/>
    <m/>
    <s v="Implementing Partner"/>
    <s v="Catholic Commission for Social"/>
    <s v="Trinidad,Tobago"/>
    <n v="40000"/>
    <x v="0"/>
    <x v="0"/>
  </r>
  <r>
    <x v="8"/>
    <s v="DP.2614"/>
    <s v="MOVEMENT, EMERGENCY AND POST-CRISIS MIGRATION MANAGEMENT"/>
    <s v="Regional Refugee and Migrant Response Plan (RMRP) for the Venezuela Situation 2023"/>
    <s v="Trinidad,Tobago"/>
    <n v="4500393415"/>
    <m/>
    <s v="Implementing Partner"/>
    <s v="Women Owned Media and Education Net"/>
    <s v="Trinidad,Tobago"/>
    <n v="25063.119999999999"/>
    <x v="0"/>
    <x v="0"/>
  </r>
  <r>
    <x v="8"/>
    <s v="DP.2614"/>
    <s v="MOVEMENT, EMERGENCY AND POST-CRISIS MIGRATION MANAGEMENT"/>
    <s v="Regional Refugee and Migrant Response Plan (RMRP) for the Venezuela Situation 2023"/>
    <s v="Trinidad,Tobago"/>
    <n v="4500394422"/>
    <m/>
    <s v="Implementing Partner"/>
    <s v="Amethyst School of Martial Arts and"/>
    <s v="Trinidad,Tobago"/>
    <n v="75189.37"/>
    <x v="0"/>
    <x v="3"/>
  </r>
  <r>
    <x v="8"/>
    <s v="DP.2614"/>
    <s v="MOVEMENT, EMERGENCY AND POST-CRISIS MIGRATION MANAGEMENT"/>
    <s v="Regional Refugee and Migrant Response Plan (RMRP) for the Venezuela Situation 2023"/>
    <s v="Trinidad,Tobago"/>
    <n v="4500398294"/>
    <m/>
    <s v="Implementing Partner"/>
    <s v="Chosen Hands"/>
    <s v="Trinidad,Tobago"/>
    <n v="4988.16"/>
    <x v="0"/>
    <x v="0"/>
  </r>
  <r>
    <x v="8"/>
    <s v="DP.2614"/>
    <s v="MOVEMENT, EMERGENCY AND POST-CRISIS MIGRATION MANAGEMENT"/>
    <s v="Regional Refugee and Migrant Response Plan (RMRP) for the Venezuela Situation 2023"/>
    <s v="Trinidad,Tobago"/>
    <n v="4500400115"/>
    <m/>
    <s v="Implementing Partner"/>
    <s v="The University of the West Indies"/>
    <s v="Trinidad,Tobago"/>
    <n v="9137.8799999999992"/>
    <x v="0"/>
    <x v="2"/>
  </r>
  <r>
    <x v="8"/>
    <s v="DP.2614"/>
    <s v="MOVEMENT, EMERGENCY AND POST-CRISIS MIGRATION MANAGEMENT"/>
    <s v="Regional Refugee and Migrant Response Plan (RMRP) for the Venezuela Situation 2023"/>
    <s v="Trinidad,Tobago"/>
    <n v="4500404598"/>
    <m/>
    <s v="Implementing Partner"/>
    <s v="Roxborough Police Youth Club"/>
    <s v="Trinidad,Tobago"/>
    <n v="24996.3"/>
    <x v="0"/>
    <x v="0"/>
  </r>
  <r>
    <x v="8"/>
    <s v="DP.2614"/>
    <s v="MOVEMENT, EMERGENCY AND POST-CRISIS MIGRATION MANAGEMENT"/>
    <s v="Regional Refugee and Migrant Response Plan (RMRP) for the Venezuela Situation 2023"/>
    <s v="Trinidad,Tobago"/>
    <n v="4500405012"/>
    <m/>
    <s v="Implementing Partner"/>
    <s v="LIVING WATER COMMUNITY"/>
    <s v="Trinidad,Tobago"/>
    <n v="24996.3"/>
    <x v="0"/>
    <x v="0"/>
  </r>
  <r>
    <x v="8"/>
    <s v="DP.2614"/>
    <s v="MOVEMENT, EMERGENCY AND POST-CRISIS MIGRATION MANAGEMENT"/>
    <s v="Regional Refugee and Migrant Response Plan (RMRP) for the Venezuela Situation 2023"/>
    <s v="Uruguay"/>
    <n v="4500394368"/>
    <m/>
    <s v="Implementing Partner"/>
    <s v="AGENCIA ADVENTISTA DE DESARROLLO Y"/>
    <s v="Uruguay"/>
    <n v="71079"/>
    <x v="0"/>
    <x v="1"/>
  </r>
  <r>
    <x v="8"/>
    <s v="DP.2627"/>
    <s v="MOVEMENT, EMERGENCY AND POST-CRISIS MIGRATION MANAGEMENT"/>
    <s v="Improving the Living Conditions of Affected Populations (IDPS and returnees) in the Central African Republic through Multi-Sectoral Assistance"/>
    <s v="CAR"/>
    <n v="4500405065"/>
    <m/>
    <s v="Implementing Partner"/>
    <s v="Association des Femmes Evang. BOSSA"/>
    <s v="CAR"/>
    <n v="35687.129999999997"/>
    <x v="0"/>
    <x v="0"/>
  </r>
  <r>
    <x v="8"/>
    <s v="DP.2627"/>
    <s v="MOVEMENT, EMERGENCY AND POST-CRISIS MIGRATION MANAGEMENT"/>
    <s v="Improving the Living Conditions of Affected Populations (IDPS and returnees) in the Central African Republic through Multi-Sectoral Assistance"/>
    <s v="CAR"/>
    <n v="4500405076"/>
    <m/>
    <s v="Implementing Partner"/>
    <s v="Association des Femmes Evang. BOSSA"/>
    <s v="CAR"/>
    <n v="24255.41"/>
    <x v="0"/>
    <x v="0"/>
  </r>
  <r>
    <x v="8"/>
    <s v="DP.2627"/>
    <s v="MOVEMENT, EMERGENCY AND POST-CRISIS MIGRATION MANAGEMENT"/>
    <s v="Improving the Living Conditions of Affected Populations (IDPS and returnees) in the Central African Republic through Multi-Sectoral Assistance"/>
    <s v="CAR"/>
    <n v="4500405208"/>
    <m/>
    <s v="Implementing Partner"/>
    <s v="COLLECTIF¨POUR LA PAIX EN CENTRAFRI"/>
    <s v="CAR"/>
    <n v="20919.240000000002"/>
    <x v="0"/>
    <x v="0"/>
  </r>
  <r>
    <x v="8"/>
    <s v="DP.2627"/>
    <s v="MOVEMENT, EMERGENCY AND POST-CRISIS MIGRATION MANAGEMENT"/>
    <s v="Improving the Living Conditions of Affected Populations (IDPS and returnees) in the Central African Republic through Multi-Sectoral Assistance"/>
    <s v="CAR"/>
    <n v="4500405213"/>
    <m/>
    <s v="Implementing Partner"/>
    <s v="JUPEDEC"/>
    <s v="CAR"/>
    <n v="8896.7199999999993"/>
    <x v="0"/>
    <x v="0"/>
  </r>
  <r>
    <x v="8"/>
    <s v="DP.2627"/>
    <s v="MOVEMENT, EMERGENCY AND POST-CRISIS MIGRATION MANAGEMENT"/>
    <s v="Improving the Living Conditions of Affected Populations (IDPS and returnees) in the Central African Republic through Multi-Sectoral Assistance"/>
    <s v="CAR"/>
    <n v="4500405228"/>
    <m/>
    <s v="Implementing Partner"/>
    <s v="COLLECTIF¨POUR LA PAIX EN CENTRAFRI"/>
    <s v="CAR"/>
    <n v="33404.35"/>
    <x v="0"/>
    <x v="0"/>
  </r>
  <r>
    <x v="8"/>
    <s v="DP.2627"/>
    <s v="MOVEMENT, EMERGENCY AND POST-CRISIS MIGRATION MANAGEMENT"/>
    <s v="Improving the Living Conditions of Affected Populations (IDPS and returnees) in the Central African Republic through Multi-Sectoral Assistance"/>
    <s v="CAR"/>
    <n v="4500405236"/>
    <m/>
    <s v="Implementing Partner"/>
    <s v="ASSOCIATION LE SAMARITAIN"/>
    <s v="CAR"/>
    <n v="21858.27"/>
    <x v="0"/>
    <x v="0"/>
  </r>
  <r>
    <x v="8"/>
    <s v="DP.2627"/>
    <s v="MOVEMENT, EMERGENCY AND POST-CRISIS MIGRATION MANAGEMENT"/>
    <s v="Improving the Living Conditions of Affected Populations (IDPS and returnees) in the Central African Republic through Multi-Sectoral Assistance"/>
    <s v="CAR"/>
    <n v="4500405297"/>
    <m/>
    <s v="Implementing Partner"/>
    <s v="ONG ESPERANCE"/>
    <s v="CAR"/>
    <n v="20586.259999999998"/>
    <x v="0"/>
    <x v="0"/>
  </r>
  <r>
    <x v="8"/>
    <s v="DP.2627"/>
    <s v="MOVEMENT, EMERGENCY AND POST-CRISIS MIGRATION MANAGEMENT"/>
    <s v="Improving the Living Conditions of Affected Populations (IDPS and returnees) in the Central African Republic through Multi-Sectoral Assistance"/>
    <s v="CAR"/>
    <n v="4500405305"/>
    <m/>
    <s v="Implementing Partner"/>
    <s v="ONG VISION ET DEVELOPPEMENT"/>
    <s v="CAR"/>
    <n v="8563.59"/>
    <x v="0"/>
    <x v="0"/>
  </r>
  <r>
    <x v="8"/>
    <s v="DP.2638"/>
    <s v="MOVEMENT, EMERGENCY AND POST-CRISIS MIGRATION MANAGEMENT"/>
    <s v="Humanitarian Assistance to Displaced Populations in Lac Province, Chad"/>
    <s v="Chad"/>
    <n v="4500398574"/>
    <m/>
    <s v="Implementing Partner"/>
    <s v="INSEED"/>
    <s v="Chad"/>
    <n v="165845.38"/>
    <x v="0"/>
    <x v="9"/>
  </r>
  <r>
    <x v="8"/>
    <s v="DP.2638"/>
    <s v="MOVEMENT, EMERGENCY AND POST-CRISIS MIGRATION MANAGEMENT"/>
    <s v="Humanitarian Assistance to Displaced Populations in Lac Province, Chad"/>
    <s v="Chad"/>
    <n v="4500405110"/>
    <m/>
    <s v="Implementing Partner"/>
    <s v=" CROIX ROUGE DU TCHAD"/>
    <s v="Chad"/>
    <n v="58038.83"/>
    <x v="0"/>
    <x v="4"/>
  </r>
  <r>
    <x v="8"/>
    <s v="DP.2639"/>
    <s v="MOVEMENT, EMERGENCY AND POST-CRISIS MIGRATION MANAGEMENT"/>
    <s v="Bangladesh Appeal 2023 – Rohingya Humanitarian Crisis"/>
    <s v="Bangladesh"/>
    <n v="4500384412"/>
    <m/>
    <s v="Implementing Partner"/>
    <s v="Danish Refugee Council(DRC)"/>
    <s v="Denmark"/>
    <n v="281254.06"/>
    <x v="0"/>
    <x v="1"/>
  </r>
  <r>
    <x v="8"/>
    <s v="DP.2639"/>
    <s v="MOVEMENT, EMERGENCY AND POST-CRISIS MIGRATION MANAGEMENT"/>
    <s v="Bangladesh Appeal 2023 – Rohingya Humanitarian Crisis"/>
    <s v="Bangladesh"/>
    <n v="4500384416"/>
    <m/>
    <s v="Implementing Partner"/>
    <s v="NGO FORUM FOR PUBLIC HEALTH"/>
    <s v="Bangladesh"/>
    <n v="109427.95"/>
    <x v="0"/>
    <x v="0"/>
  </r>
  <r>
    <x v="8"/>
    <s v="DP.2639"/>
    <s v="MOVEMENT, EMERGENCY AND POST-CRISIS MIGRATION MANAGEMENT"/>
    <s v="Bangladesh Appeal 2023 – Rohingya Humanitarian Crisis"/>
    <s v="Bangladesh"/>
    <n v="4500384427"/>
    <m/>
    <s v="Implementing Partner"/>
    <s v="NGO FORUM FOR PUBLIC HEALTH"/>
    <s v="Bangladesh"/>
    <n v="124480.5"/>
    <x v="0"/>
    <x v="0"/>
  </r>
  <r>
    <x v="8"/>
    <s v="DP.2639"/>
    <s v="MOVEMENT, EMERGENCY AND POST-CRISIS MIGRATION MANAGEMENT"/>
    <s v="Bangladesh Appeal 2023 – Rohingya Humanitarian Crisis"/>
    <s v="Bangladesh"/>
    <n v="4500386613"/>
    <m/>
    <s v="Implementing Partner"/>
    <s v="CARE BANGLADESH"/>
    <s v="Bangladesh"/>
    <n v="272991.5"/>
    <x v="0"/>
    <x v="1"/>
  </r>
  <r>
    <x v="8"/>
    <s v="DP.2639"/>
    <s v="MOVEMENT, EMERGENCY AND POST-CRISIS MIGRATION MANAGEMENT"/>
    <s v="Bangladesh Appeal 2023 – Rohingya Humanitarian Crisis"/>
    <s v="Bangladesh"/>
    <n v="4500386619"/>
    <m/>
    <s v="Implementing Partner"/>
    <s v="BRAC"/>
    <s v="Bangladesh"/>
    <n v="71470.44"/>
    <x v="0"/>
    <x v="0"/>
  </r>
  <r>
    <x v="8"/>
    <s v="DP.2639"/>
    <s v="MOVEMENT, EMERGENCY AND POST-CRISIS MIGRATION MANAGEMENT"/>
    <s v="Bangladesh Appeal 2023 – Rohingya Humanitarian Crisis"/>
    <s v="Bangladesh"/>
    <n v="4500387391"/>
    <m/>
    <s v="Implementing Partner"/>
    <s v="DSK"/>
    <s v="Bangladesh"/>
    <n v="56203.98"/>
    <x v="0"/>
    <x v="0"/>
  </r>
  <r>
    <x v="8"/>
    <s v="DP.2639"/>
    <s v="MOVEMENT, EMERGENCY AND POST-CRISIS MIGRATION MANAGEMENT"/>
    <s v="Bangladesh Appeal 2023 – Rohingya Humanitarian Crisis"/>
    <s v="Bangladesh"/>
    <n v="4500388042"/>
    <m/>
    <s v="Implementing Partner"/>
    <s v="ACTION CONTRE LA FAIM (ACF)"/>
    <s v="Bangladesh"/>
    <n v="109155.83"/>
    <x v="0"/>
    <x v="1"/>
  </r>
  <r>
    <x v="8"/>
    <s v="DP.2639"/>
    <s v="MOVEMENT, EMERGENCY AND POST-CRISIS MIGRATION MANAGEMENT"/>
    <s v="Bangladesh Appeal 2023 – Rohingya Humanitarian Crisis"/>
    <s v="Bangladesh"/>
    <n v="4500389426"/>
    <m/>
    <s v="Implementing Partner"/>
    <s v="NOWZUWAN"/>
    <s v="Bangladesh"/>
    <n v="104140.29"/>
    <x v="0"/>
    <x v="0"/>
  </r>
  <r>
    <x v="8"/>
    <s v="DP.2639"/>
    <s v="MOVEMENT, EMERGENCY AND POST-CRISIS MIGRATION MANAGEMENT"/>
    <s v="Bangladesh Appeal 2023 – Rohingya Humanitarian Crisis"/>
    <s v="Bangladesh"/>
    <n v="4500398170"/>
    <m/>
    <s v="Implementing Partner"/>
    <s v="YPSA"/>
    <s v="Bangladesh"/>
    <n v="30068.5"/>
    <x v="0"/>
    <x v="0"/>
  </r>
  <r>
    <x v="8"/>
    <s v="DP.2642"/>
    <s v="MOVEMENT, EMERGENCY AND POST-CRISIS MIGRATION MANAGEMENT"/>
    <s v="Emergency Assistance for Displaced People in the Lake Province"/>
    <s v="Chad"/>
    <n v="4500398574"/>
    <m/>
    <s v="Implementing Partner"/>
    <s v="INSEED"/>
    <s v="Chad"/>
    <n v="36405.07"/>
    <x v="0"/>
    <x v="9"/>
  </r>
  <r>
    <x v="8"/>
    <s v="DP.2662"/>
    <s v="MOVEMENT, EMERGENCY AND POST-CRISIS MIGRATION MANAGEMENT"/>
    <s v="Emergency Multisectoral Assistance for the Most Vulnerable Households in Northwest Syria (NWS) and Provision of SSAFE Programming"/>
    <s v="Turkey"/>
    <n v="4500384024"/>
    <m/>
    <s v="Implementing Partner"/>
    <s v="ULUSLARARASI INSANI YARDIMLASMA DER"/>
    <s v="Turkey"/>
    <n v="2707559.12"/>
    <x v="0"/>
    <x v="0"/>
  </r>
  <r>
    <x v="8"/>
    <s v="DP.2662"/>
    <s v="MOVEMENT, EMERGENCY AND POST-CRISIS MIGRATION MANAGEMENT"/>
    <s v="Emergency Multisectoral Assistance for the Most Vulnerable Households in Northwest Syria (NWS) and Provision of SSAFE Programming"/>
    <s v="Turkey"/>
    <n v="4500388327"/>
    <m/>
    <s v="Implementing Partner"/>
    <s v="ULUSLARARASI INSANI YARDIMLASMA DER"/>
    <s v="Turkey"/>
    <n v="1341180.01"/>
    <x v="0"/>
    <x v="0"/>
  </r>
  <r>
    <x v="8"/>
    <s v="DP.2669"/>
    <s v="MOVEMENT, EMERGENCY AND POST-CRISIS MIGRATION MANAGEMENT"/>
    <s v="Addressing Urgent Humanitarian Needs of Conflict-Affected Populations in Ukraine"/>
    <s v="Ukraine"/>
    <n v="4500380871"/>
    <m/>
    <s v="Implementing Partner"/>
    <s v="CF POSMISHKA UA"/>
    <s v="Ukraine"/>
    <n v="118690.59"/>
    <x v="0"/>
    <x v="0"/>
  </r>
  <r>
    <x v="8"/>
    <s v="DP.2669"/>
    <s v="MOVEMENT, EMERGENCY AND POST-CRISIS MIGRATION MANAGEMENT"/>
    <s v="Addressing Urgent Humanitarian Needs of Conflict-Affected Populations in Ukraine"/>
    <s v="Ukraine"/>
    <n v="4500382064"/>
    <m/>
    <s v="Implementing Partner"/>
    <s v="NGO UKRAINSKA ASOTSIATSIIA TSENTRIV"/>
    <s v="Ukraine"/>
    <n v="32292.48"/>
    <x v="0"/>
    <x v="0"/>
  </r>
  <r>
    <x v="8"/>
    <s v="DP.2669"/>
    <s v="MOVEMENT, EMERGENCY AND POST-CRISIS MIGRATION MANAGEMENT"/>
    <s v="Addressing Urgent Humanitarian Needs of Conflict-Affected Populations in Ukraine"/>
    <s v="Ukraine"/>
    <n v="4500389252"/>
    <m/>
    <s v="Implementing Partner"/>
    <s v="CF SLAVIC HEART"/>
    <s v="Ukraine"/>
    <n v="25052.37"/>
    <x v="0"/>
    <x v="0"/>
  </r>
  <r>
    <x v="8"/>
    <s v="DP.2669"/>
    <s v="MOVEMENT, EMERGENCY AND POST-CRISIS MIGRATION MANAGEMENT"/>
    <s v="Addressing Urgent Humanitarian Needs of Conflict-Affected Populations in Ukraine"/>
    <s v="Ukraine"/>
    <n v="4500390017"/>
    <m/>
    <s v="Implementing Partner"/>
    <s v="NGO AHALAR CENTER"/>
    <s v="Ukraine"/>
    <n v="5729.05"/>
    <x v="0"/>
    <x v="0"/>
  </r>
  <r>
    <x v="8"/>
    <s v="DP.2671"/>
    <s v="MOVEMENT, EMERGENCY AND POST-CRISIS MIGRATION MANAGEMENT"/>
    <s v="IOM's Earthquake Response in Türkiye"/>
    <s v="Turkey"/>
    <n v="4500396834"/>
    <m/>
    <s v="Implementing Partner"/>
    <s v="ACTED"/>
    <s v="Turkey"/>
    <n v="150000"/>
    <x v="0"/>
    <x v="1"/>
  </r>
  <r>
    <x v="8"/>
    <s v="DP.2671"/>
    <s v="MOVEMENT, EMERGENCY AND POST-CRISIS MIGRATION MANAGEMENT"/>
    <s v="IOM's Earthquake Response in Türkiye"/>
    <s v="Turkey"/>
    <n v="4500396842"/>
    <m/>
    <s v="Implementing Partner"/>
    <s v="Genc Hayat Vakfi"/>
    <s v="Turkey"/>
    <n v="150000"/>
    <x v="0"/>
    <x v="0"/>
  </r>
  <r>
    <x v="8"/>
    <s v="DP.2671"/>
    <s v="MOVEMENT, EMERGENCY AND POST-CRISIS MIGRATION MANAGEMENT"/>
    <s v="IOM's Earthquake Response in Türkiye"/>
    <s v="Turkey"/>
    <n v="4500396847"/>
    <m/>
    <s v="Implementing Partner"/>
    <s v="HAYATA DESTEK DERNEGI"/>
    <s v="Turkey"/>
    <n v="150000"/>
    <x v="0"/>
    <x v="0"/>
  </r>
  <r>
    <x v="8"/>
    <s v="DP.2671"/>
    <s v="MOVEMENT, EMERGENCY AND POST-CRISIS MIGRATION MANAGEMENT"/>
    <s v="IOM's Earthquake Response in Türkiye"/>
    <s v="Turkey"/>
    <n v="4500400098"/>
    <m/>
    <s v="Implementing Partner"/>
    <s v="Sened Dernegi"/>
    <s v="Turkey"/>
    <n v="131216.20000000001"/>
    <x v="0"/>
    <x v="0"/>
  </r>
  <r>
    <x v="8"/>
    <s v="DP.2678"/>
    <s v="MOVEMENT, EMERGENCY AND POST-CRISIS MIGRATION MANAGEMENT"/>
    <s v="​​Humanitarian Response to People in Situations of Mobility, Transit, and Displacement in Honduras in the Context of Insecurity and Humanitarian Crises ​"/>
    <s v="Honduras"/>
    <n v="4500402257"/>
    <m/>
    <s v="Implementing Partner"/>
    <s v="CARITAS DE HONDURAS"/>
    <s v="Honduras"/>
    <n v="99963.33"/>
    <x v="0"/>
    <x v="6"/>
  </r>
  <r>
    <x v="8"/>
    <s v="DP.2681"/>
    <s v="MOVEMENT, EMERGENCY AND POST-CRISIS MIGRATION MANAGEMENT"/>
    <s v="Rapid Response Fund for Sudden Emergencies in Northeast Nigeria"/>
    <s v="Nigeria"/>
    <n v="4500380771"/>
    <m/>
    <s v="Implementing Partner"/>
    <s v="CIVIL SOCIETY FOR POVERTY ERADICATI"/>
    <s v="Nigeria"/>
    <n v="141237.76000000001"/>
    <x v="0"/>
    <x v="2"/>
  </r>
  <r>
    <x v="8"/>
    <s v="DP.2681"/>
    <s v="MOVEMENT, EMERGENCY AND POST-CRISIS MIGRATION MANAGEMENT"/>
    <s v="Rapid Response Fund for Sudden Emergencies in Northeast Nigeria"/>
    <s v="Nigeria"/>
    <n v="4500381637"/>
    <m/>
    <s v="Implementing Partner"/>
    <s v="HOPE AND RURAL AID FOUNDATION"/>
    <s v="Nigeria"/>
    <n v="145337.04"/>
    <x v="0"/>
    <x v="0"/>
  </r>
  <r>
    <x v="8"/>
    <s v="DP.2681"/>
    <s v="MOVEMENT, EMERGENCY AND POST-CRISIS MIGRATION MANAGEMENT"/>
    <s v="Rapid Response Fund for Sudden Emergencies in Northeast Nigeria"/>
    <s v="Nigeria"/>
    <n v="4500394335"/>
    <m/>
    <s v="Implementing Partner"/>
    <s v="Initiative for Justice Development"/>
    <s v="Nigeria"/>
    <n v="207676.91"/>
    <x v="0"/>
    <x v="3"/>
  </r>
  <r>
    <x v="8"/>
    <s v="DP.2681"/>
    <s v="MOVEMENT, EMERGENCY AND POST-CRISIS MIGRATION MANAGEMENT"/>
    <s v="Rapid Response Fund for Sudden Emergencies in Northeast Nigeria"/>
    <s v="Nigeria"/>
    <n v="4500403675"/>
    <m/>
    <s v="Implementing Partner"/>
    <s v="NKAFAMIYA RESCUE MISSION"/>
    <s v="Nigeria"/>
    <n v="50111.89"/>
    <x v="0"/>
    <x v="0"/>
  </r>
  <r>
    <x v="8"/>
    <s v="DP.2681"/>
    <s v="MOVEMENT, EMERGENCY AND POST-CRISIS MIGRATION MANAGEMENT"/>
    <s v="Rapid Response Fund for Sudden Emergencies in Northeast Nigeria"/>
    <s v="Nigeria"/>
    <n v="4500404153"/>
    <m/>
    <s v="Implementing Partner"/>
    <s v="SMILING HEARTS INITIATIVES INTERNAT"/>
    <s v="Nigeria"/>
    <n v="36929.39"/>
    <x v="0"/>
    <x v="0"/>
  </r>
  <r>
    <x v="8"/>
    <s v="DP.2684"/>
    <s v="MOVEMENT, EMERGENCY AND POST-CRISIS MIGRATION MANAGEMENT"/>
    <s v="Multisectoral Emergency Response to Internally Displaced Persons and Host Communities in Northern Mozambique - Phase III"/>
    <s v="Mozambique"/>
    <n v="4500392535"/>
    <m/>
    <s v="Implementing Partner"/>
    <s v="AYUDA EN ACCION FOUNDATION"/>
    <s v="Mozambique"/>
    <n v="19880"/>
    <x v="0"/>
    <x v="1"/>
  </r>
  <r>
    <x v="8"/>
    <s v="DP.2690"/>
    <s v="MOVEMENT, EMERGENCY AND POST-CRISIS MIGRATION MANAGEMENT"/>
    <s v="​​PRM Voluntary Contribution to the Sudan Emergency Regional Refugee Response Plan (3RP) 2023​"/>
    <s v="CAR"/>
    <n v="4500392462"/>
    <m/>
    <s v="Implementing Partner"/>
    <s v="ONG VISION ET DEVELOPPEMENT"/>
    <s v="CAR"/>
    <n v="8911.4500000000007"/>
    <x v="0"/>
    <x v="0"/>
  </r>
  <r>
    <x v="8"/>
    <s v="DP.2692"/>
    <s v="MOVEMENT, EMERGENCY AND POST-CRISIS MIGRATION MANAGEMENT"/>
    <s v="A Rapid Response Fund (RRF) program responding to Emergency Needs of Disaster affected population in South Sudan under the states of Greater Equatoria (Central, Western, Eastern), greater Upper Nile (Unity, Upper Nile and Jonglei), Greater Bahr el Gh"/>
    <s v="South Sudan"/>
    <n v="4500384565"/>
    <m/>
    <s v="Implementing Partner"/>
    <s v="UNIVERSAL NETWORK FOR KNOWLEDGE"/>
    <s v="South Sudan"/>
    <n v="102397"/>
    <x v="0"/>
    <x v="0"/>
  </r>
  <r>
    <x v="8"/>
    <s v="DP.2692"/>
    <s v="MOVEMENT, EMERGENCY AND POST-CRISIS MIGRATION MANAGEMENT"/>
    <s v="A Rapid Response Fund (RRF) program responding to Emergency Needs of Disaster affected population in South Sudan under the states of Greater Equatoria (Central, Western, Eastern), greater Upper Nile (Unity, Upper Nile and Jonglei), Greater Bahr el Gh"/>
    <s v="South Sudan"/>
    <n v="4500385787"/>
    <m/>
    <s v="Implementing Partner"/>
    <s v="HEALTHCARE FOUNDATION ORGANIZATION"/>
    <s v="South Sudan"/>
    <n v="170237"/>
    <x v="0"/>
    <x v="3"/>
  </r>
  <r>
    <x v="8"/>
    <s v="DP.2692"/>
    <s v="MOVEMENT, EMERGENCY AND POST-CRISIS MIGRATION MANAGEMENT"/>
    <s v="A Rapid Response Fund (RRF) program responding to Emergency Needs of Disaster affected population in South Sudan under the states of Greater Equatoria (Central, Western, Eastern), greater Upper Nile (Unity, Upper Nile and Jonglei), Greater Bahr el Gh"/>
    <s v="South Sudan"/>
    <n v="4500386355"/>
    <m/>
    <s v="Implementing Partner"/>
    <s v="Women Agency for Res.and Transform."/>
    <s v="South Sudan"/>
    <n v="95762"/>
    <x v="0"/>
    <x v="0"/>
  </r>
  <r>
    <x v="8"/>
    <s v="DP.2692"/>
    <s v="MOVEMENT, EMERGENCY AND POST-CRISIS MIGRATION MANAGEMENT"/>
    <s v="A Rapid Response Fund (RRF) program responding to Emergency Needs of Disaster affected population in South Sudan under the states of Greater Equatoria (Central, Western, Eastern), greater Upper Nile (Unity, Upper Nile and Jonglei), Greater Bahr el Gh"/>
    <s v="South Sudan"/>
    <n v="4500386363"/>
    <m/>
    <s v="Implementing Partner"/>
    <s v="HEALTH ACTION AFRICA"/>
    <s v="South Sudan"/>
    <n v="132228"/>
    <x v="0"/>
    <x v="0"/>
  </r>
  <r>
    <x v="8"/>
    <s v="DP.2692"/>
    <s v="MOVEMENT, EMERGENCY AND POST-CRISIS MIGRATION MANAGEMENT"/>
    <s v="A Rapid Response Fund (RRF) program responding to Emergency Needs of Disaster affected population in South Sudan under the states of Greater Equatoria (Central, Western, Eastern), greater Upper Nile (Unity, Upper Nile and Jonglei), Greater Bahr el Gh"/>
    <s v="South Sudan"/>
    <n v="4500388302"/>
    <m/>
    <s v="Implementing Partner"/>
    <s v="Lukluk Community Association For"/>
    <s v="South Sudan"/>
    <n v="89194"/>
    <x v="0"/>
    <x v="0"/>
  </r>
  <r>
    <x v="8"/>
    <s v="DP.2692"/>
    <s v="MOVEMENT, EMERGENCY AND POST-CRISIS MIGRATION MANAGEMENT"/>
    <s v="A Rapid Response Fund (RRF) program responding to Emergency Needs of Disaster affected population in South Sudan under the states of Greater Equatoria (Central, Western, Eastern), greater Upper Nile (Unity, Upper Nile and Jonglei), Greater Bahr el Gh"/>
    <s v="South Sudan"/>
    <n v="4500393814"/>
    <m/>
    <s v="Implementing Partner"/>
    <s v="YOUTH EMPOWERMENT AND DEVELOPMENT A"/>
    <s v="South Sudan"/>
    <n v="148265"/>
    <x v="0"/>
    <x v="0"/>
  </r>
  <r>
    <x v="8"/>
    <s v="DP.2692"/>
    <s v="MOVEMENT, EMERGENCY AND POST-CRISIS MIGRATION MANAGEMENT"/>
    <s v="A Rapid Response Fund (RRF) program responding to Emergency Needs of Disaster affected population in South Sudan under the states of Greater Equatoria (Central, Western, Eastern), greater Upper Nile (Unity, Upper Nile and Jonglei), Greater Bahr el Gh"/>
    <s v="South Sudan"/>
    <n v="4500394097"/>
    <m/>
    <s v="Implementing Partner"/>
    <s v="GRASSROOTS EMPOWERMENT AND"/>
    <s v="South Sudan"/>
    <n v="148627"/>
    <x v="0"/>
    <x v="0"/>
  </r>
  <r>
    <x v="8"/>
    <s v="DP.2692"/>
    <s v="MOVEMENT, EMERGENCY AND POST-CRISIS MIGRATION MANAGEMENT"/>
    <s v="A Rapid Response Fund (RRF) program responding to Emergency Needs of Disaster affected population in South Sudan under the states of Greater Equatoria (Central, Western, Eastern), greater Upper Nile (Unity, Upper Nile and Jonglei), Greater Bahr el Gh"/>
    <s v="South Sudan"/>
    <n v="4500394098"/>
    <m/>
    <s v="Implementing Partner"/>
    <s v="ALLIANCE FOR COMMUNITY DEVELOPMENT"/>
    <s v="South Sudan"/>
    <n v="166988"/>
    <x v="0"/>
    <x v="0"/>
  </r>
  <r>
    <x v="8"/>
    <s v="DP.2692"/>
    <s v="MOVEMENT, EMERGENCY AND POST-CRISIS MIGRATION MANAGEMENT"/>
    <s v="A Rapid Response Fund (RRF) program responding to Emergency Needs of Disaster affected population in South Sudan under the states of Greater Equatoria (Central, Western, Eastern), greater Upper Nile (Unity, Upper Nile and Jonglei), Greater Bahr el Gh"/>
    <s v="South Sudan"/>
    <n v="4500394100"/>
    <m/>
    <s v="Implementing Partner"/>
    <s v="STOP POVERTY COMMUNAL INITIATIVE (S"/>
    <s v="South Sudan"/>
    <n v="100000"/>
    <x v="0"/>
    <x v="0"/>
  </r>
  <r>
    <x v="8"/>
    <s v="DP.2692"/>
    <s v="MOVEMENT, EMERGENCY AND POST-CRISIS MIGRATION MANAGEMENT"/>
    <s v="A Rapid Response Fund (RRF) program responding to Emergency Needs of Disaster affected population in South Sudan under the states of Greater Equatoria (Central, Western, Eastern), greater Upper Nile (Unity, Upper Nile and Jonglei), Greater Bahr el Gh"/>
    <s v="South Sudan"/>
    <n v="4500400347"/>
    <m/>
    <s v="Implementing Partner"/>
    <s v="HUMANE-AID FOR COMMUNITY"/>
    <s v="South Sudan"/>
    <n v="100000"/>
    <x v="0"/>
    <x v="0"/>
  </r>
  <r>
    <x v="8"/>
    <s v="DP.2692"/>
    <s v="MOVEMENT, EMERGENCY AND POST-CRISIS MIGRATION MANAGEMENT"/>
    <s v="A Rapid Response Fund (RRF) program responding to Emergency Needs of Disaster affected population in South Sudan under the states of Greater Equatoria (Central, Western, Eastern), greater Upper Nile (Unity, Upper Nile and Jonglei), Greater Bahr el Gh"/>
    <s v="South Sudan"/>
    <n v="4500400356"/>
    <m/>
    <s v="Implementing Partner"/>
    <s v="SMILE AGAIN AFRICA DEVELOPMENT ORG"/>
    <s v="South Sudan"/>
    <n v="98681"/>
    <x v="0"/>
    <x v="0"/>
  </r>
  <r>
    <x v="8"/>
    <s v="DP.2692"/>
    <s v="MOVEMENT, EMERGENCY AND POST-CRISIS MIGRATION MANAGEMENT"/>
    <s v="A Rapid Response Fund (RRF) program responding to Emergency Needs of Disaster affected population in South Sudan under the states of Greater Equatoria (Central, Western, Eastern), greater Upper Nile (Unity, Upper Nile and Jonglei), Greater Bahr el Gh"/>
    <s v="South Sudan"/>
    <n v="4500400360"/>
    <m/>
    <s v="Implementing Partner"/>
    <s v="African Relief and Devt Foundation"/>
    <s v="South Sudan"/>
    <n v="253171"/>
    <x v="0"/>
    <x v="0"/>
  </r>
  <r>
    <x v="8"/>
    <s v="DP.2692"/>
    <s v="MOVEMENT, EMERGENCY AND POST-CRISIS MIGRATION MANAGEMENT"/>
    <s v="A Rapid Response Fund (RRF) program responding to Emergency Needs of Disaster affected population in South Sudan under the states of Greater Equatoria (Central, Western, Eastern), greater Upper Nile (Unity, Upper Nile and Jonglei), Greater Bahr el Gh"/>
    <s v="South Sudan"/>
    <n v="4500405573"/>
    <m/>
    <s v="Implementing Partner"/>
    <s v="AFRICA DEVELOPMENT AID"/>
    <s v="South Sudan"/>
    <n v="175373"/>
    <x v="0"/>
    <x v="0"/>
  </r>
  <r>
    <x v="8"/>
    <s v="DP.2693"/>
    <s v="MOVEMENT, EMERGENCY AND POST-CRISIS MIGRATION MANAGEMENT"/>
    <s v="Provision Of Life-Saving Multi-Sectoral Assistance To Internally Displaced Persons and Host Communities in Yemen"/>
    <s v="Yemen"/>
    <n v="4500387302"/>
    <m/>
    <s v="Implementing Partner"/>
    <s v="Youth Creativity Organization for"/>
    <s v="Yemen"/>
    <n v="6480"/>
    <x v="0"/>
    <x v="0"/>
  </r>
  <r>
    <x v="8"/>
    <s v="DP.2701"/>
    <s v="MOVEMENT, EMERGENCY AND POST-CRISIS MIGRATION MANAGEMENT"/>
    <s v="2023 Ukraine Response to Support Refugees from Ukraine across Europe"/>
    <s v="Czechia"/>
    <n v="4500382678"/>
    <m/>
    <s v="Implementing Partner"/>
    <s v="Tatrhy z.s."/>
    <s v="Czechia"/>
    <n v="25000"/>
    <x v="0"/>
    <x v="0"/>
  </r>
  <r>
    <x v="8"/>
    <s v="DP.2701"/>
    <s v="MOVEMENT, EMERGENCY AND POST-CRISIS MIGRATION MANAGEMENT"/>
    <s v="2023 Ukraine Response to Support Refugees from Ukraine across Europe"/>
    <s v="Czechia"/>
    <n v="4500382681"/>
    <m/>
    <s v="Implementing Partner"/>
    <s v="KHK Karlovarskeho kraje"/>
    <s v="Czechia"/>
    <n v="38900"/>
    <x v="0"/>
    <x v="10"/>
  </r>
  <r>
    <x v="8"/>
    <s v="DP.2701"/>
    <s v="MOVEMENT, EMERGENCY AND POST-CRISIS MIGRATION MANAGEMENT"/>
    <s v="2023 Ukraine Response to Support Refugees from Ukraine across Europe"/>
    <s v="Czechia"/>
    <n v="4500384070"/>
    <m/>
    <s v="Implementing Partner"/>
    <s v="Kalyna"/>
    <s v="Czechia"/>
    <n v="45000"/>
    <x v="0"/>
    <x v="0"/>
  </r>
  <r>
    <x v="8"/>
    <s v="DP.2701"/>
    <s v="MOVEMENT, EMERGENCY AND POST-CRISIS MIGRATION MANAGEMENT"/>
    <s v="2023 Ukraine Response to Support Refugees from Ukraine across Europe"/>
    <s v="Czechia"/>
    <n v="4500386470"/>
    <m/>
    <s v="Implementing Partner"/>
    <s v="Palacky University Olomouc"/>
    <s v="Czechia"/>
    <n v="30000"/>
    <x v="0"/>
    <x v="2"/>
  </r>
  <r>
    <x v="8"/>
    <s v="DP.2701"/>
    <s v="MOVEMENT, EMERGENCY AND POST-CRISIS MIGRATION MANAGEMENT"/>
    <s v="2023 Ukraine Response to Support Refugees from Ukraine across Europe"/>
    <s v="Czechia"/>
    <n v="4500386481"/>
    <m/>
    <s v="Implementing Partner"/>
    <s v="Krajska hospodarska komora KH kraje"/>
    <s v="Czechia"/>
    <n v="30000"/>
    <x v="0"/>
    <x v="10"/>
  </r>
  <r>
    <x v="8"/>
    <s v="DP.2701"/>
    <s v="MOVEMENT, EMERGENCY AND POST-CRISIS MIGRATION MANAGEMENT"/>
    <s v="2023 Ukraine Response to Support Refugees from Ukraine across Europe"/>
    <s v="Czechia"/>
    <n v="4500387545"/>
    <m/>
    <s v="Implementing Partner"/>
    <s v="NS MAS CR, z.s."/>
    <s v="Czechia"/>
    <n v="40000"/>
    <x v="0"/>
    <x v="0"/>
  </r>
  <r>
    <x v="8"/>
    <s v="DP.2701"/>
    <s v="MOVEMENT, EMERGENCY AND POST-CRISIS MIGRATION MANAGEMENT"/>
    <s v="2023 Ukraine Response to Support Refugees from Ukraine across Europe"/>
    <s v="Czechia"/>
    <n v="4500388432"/>
    <m/>
    <s v="Implementing Partner"/>
    <s v="Ceska asociace streetwork, z.s."/>
    <s v="Czechia"/>
    <n v="22000"/>
    <x v="0"/>
    <x v="0"/>
  </r>
  <r>
    <x v="8"/>
    <s v="DP.2701"/>
    <s v="MOVEMENT, EMERGENCY AND POST-CRISIS MIGRATION MANAGEMENT"/>
    <s v="2023 Ukraine Response to Support Refugees from Ukraine across Europe"/>
    <s v="Czechia"/>
    <n v="4500389641"/>
    <m/>
    <s v="Implementing Partner"/>
    <s v="Romodrom o.p.s."/>
    <s v="Czechia"/>
    <n v="100000"/>
    <x v="0"/>
    <x v="0"/>
  </r>
  <r>
    <x v="8"/>
    <s v="DP.2701"/>
    <s v="MOVEMENT, EMERGENCY AND POST-CRISIS MIGRATION MANAGEMENT"/>
    <s v="2023 Ukraine Response to Support Refugees from Ukraine across Europe"/>
    <s v="Czechia"/>
    <n v="4500389663"/>
    <m/>
    <s v="Implementing Partner"/>
    <s v="Ukrajinska iniciativa"/>
    <s v="Czechia"/>
    <n v="30000"/>
    <x v="0"/>
    <x v="0"/>
  </r>
  <r>
    <x v="8"/>
    <s v="DP.2701"/>
    <s v="MOVEMENT, EMERGENCY AND POST-CRISIS MIGRATION MANAGEMENT"/>
    <s v="2023 Ukraine Response to Support Refugees from Ukraine across Europe"/>
    <s v="Czechia"/>
    <n v="4500389670"/>
    <m/>
    <s v="Implementing Partner"/>
    <s v="Ukrajinska iniciativa"/>
    <s v="Czechia"/>
    <n v="25000"/>
    <x v="0"/>
    <x v="0"/>
  </r>
  <r>
    <x v="8"/>
    <s v="DP.2701"/>
    <s v="MOVEMENT, EMERGENCY AND POST-CRISIS MIGRATION MANAGEMENT"/>
    <s v="2023 Ukraine Response to Support Refugees from Ukraine across Europe"/>
    <s v="Czechia"/>
    <n v="4500390672"/>
    <m/>
    <s v="Implementing Partner"/>
    <s v="CeHuPo - Centrum humanitarni pomoci"/>
    <s v="Czechia"/>
    <n v="14338"/>
    <x v="0"/>
    <x v="0"/>
  </r>
  <r>
    <x v="8"/>
    <s v="DP.2701"/>
    <s v="MOVEMENT, EMERGENCY AND POST-CRISIS MIGRATION MANAGEMENT"/>
    <s v="2023 Ukraine Response to Support Refugees from Ukraine across Europe"/>
    <s v="Czechia"/>
    <n v="4500391155"/>
    <m/>
    <s v="Implementing Partner"/>
    <s v="proFem o.p.s."/>
    <s v="Czechia"/>
    <n v="32000"/>
    <x v="0"/>
    <x v="0"/>
  </r>
  <r>
    <x v="8"/>
    <s v="DP.2701"/>
    <s v="MOVEMENT, EMERGENCY AND POST-CRISIS MIGRATION MANAGEMENT"/>
    <s v="2023 Ukraine Response to Support Refugees from Ukraine across Europe"/>
    <s v="Czechia"/>
    <n v="4500393730"/>
    <m/>
    <s v="Implementing Partner"/>
    <s v="Ponton z.s."/>
    <s v="Czechia"/>
    <n v="11529"/>
    <x v="0"/>
    <x v="3"/>
  </r>
  <r>
    <x v="8"/>
    <s v="DP.2701"/>
    <s v="MOVEMENT, EMERGENCY AND POST-CRISIS MIGRATION MANAGEMENT"/>
    <s v="2023 Ukraine Response to Support Refugees from Ukraine across Europe"/>
    <s v="Czechia"/>
    <n v="4500396012"/>
    <m/>
    <s v="Implementing Partner"/>
    <s v="Mesto Valasske Mezirici"/>
    <s v="Czechia"/>
    <n v="3716.67"/>
    <x v="0"/>
    <x v="11"/>
  </r>
  <r>
    <x v="8"/>
    <s v="DP.2701"/>
    <s v="MOVEMENT, EMERGENCY AND POST-CRISIS MIGRATION MANAGEMENT"/>
    <s v="2023 Ukraine Response to Support Refugees from Ukraine across Europe"/>
    <s v="Czechia"/>
    <n v="4500396018"/>
    <m/>
    <s v="Implementing Partner"/>
    <s v="Statutarni mesto Chomutov"/>
    <s v="Czechia"/>
    <n v="5728.03"/>
    <x v="0"/>
    <x v="11"/>
  </r>
  <r>
    <x v="8"/>
    <s v="DP.2701"/>
    <s v="MOVEMENT, EMERGENCY AND POST-CRISIS MIGRATION MANAGEMENT"/>
    <s v="2023 Ukraine Response to Support Refugees from Ukraine across Europe"/>
    <s v="Czechia"/>
    <n v="4500396030"/>
    <m/>
    <s v="Implementing Partner"/>
    <s v="The Statutory City of Pardubice"/>
    <s v="Czechia"/>
    <n v="3716.67"/>
    <x v="0"/>
    <x v="11"/>
  </r>
  <r>
    <x v="8"/>
    <s v="DP.2701"/>
    <s v="MOVEMENT, EMERGENCY AND POST-CRISIS MIGRATION MANAGEMENT"/>
    <s v="2023 Ukraine Response to Support Refugees from Ukraine across Europe"/>
    <s v="Czechia"/>
    <n v="4500396784"/>
    <m/>
    <s v="Implementing Partner"/>
    <s v="Ceske priority, z.u."/>
    <s v="Czechia"/>
    <n v="110000"/>
    <x v="0"/>
    <x v="2"/>
  </r>
  <r>
    <x v="8"/>
    <s v="DP.2701"/>
    <s v="MOVEMENT, EMERGENCY AND POST-CRISIS MIGRATION MANAGEMENT"/>
    <s v="2023 Ukraine Response to Support Refugees from Ukraine across Europe"/>
    <s v="Czechia"/>
    <n v="4500397282"/>
    <m/>
    <s v="Implementing Partner"/>
    <s v="The Statutory City of Ostrava"/>
    <s v="Czechia"/>
    <n v="3627.83"/>
    <x v="0"/>
    <x v="11"/>
  </r>
  <r>
    <x v="8"/>
    <s v="DP.2701"/>
    <s v="MOVEMENT, EMERGENCY AND POST-CRISIS MIGRATION MANAGEMENT"/>
    <s v="2023 Ukraine Response to Support Refugees from Ukraine across Europe"/>
    <s v="Czechia"/>
    <n v="4500398491"/>
    <m/>
    <s v="Implementing Partner"/>
    <s v="Consortium of Migrants Assisting Or"/>
    <s v="Czechia"/>
    <n v="15665"/>
    <x v="0"/>
    <x v="0"/>
  </r>
  <r>
    <x v="8"/>
    <s v="DP.2701"/>
    <s v="MOVEMENT, EMERGENCY AND POST-CRISIS MIGRATION MANAGEMENT"/>
    <s v="2023 Ukraine Response to Support Refugees from Ukraine across Europe"/>
    <s v="Czechia"/>
    <n v="4500403749"/>
    <m/>
    <s v="Implementing Partner"/>
    <s v="ADRA, o.p.s."/>
    <s v="Czechia"/>
    <n v="100000"/>
    <x v="0"/>
    <x v="1"/>
  </r>
  <r>
    <x v="8"/>
    <s v="DP.2701"/>
    <s v="MOVEMENT, EMERGENCY AND POST-CRISIS MIGRATION MANAGEMENT"/>
    <s v="2023 Ukraine Response to Support Refugees from Ukraine across Europe"/>
    <s v="Moldova (Rep)"/>
    <n v="4500388371"/>
    <m/>
    <s v="Implementing Partner"/>
    <s v="AO ADRA MOLDOVA"/>
    <s v="Moldova (Rep)"/>
    <n v="157851.14000000001"/>
    <x v="0"/>
    <x v="1"/>
  </r>
  <r>
    <x v="8"/>
    <s v="DP.2701"/>
    <s v="MOVEMENT, EMERGENCY AND POST-CRISIS MIGRATION MANAGEMENT"/>
    <s v="2023 Ukraine Response to Support Refugees from Ukraine across Europe"/>
    <s v="Moldova (Rep)"/>
    <n v="4500398878"/>
    <m/>
    <s v="Implementing Partner"/>
    <s v="AO BIAZ GUL"/>
    <s v="Moldova (Rep)"/>
    <n v="50155.06"/>
    <x v="0"/>
    <x v="3"/>
  </r>
  <r>
    <x v="8"/>
    <s v="DP.2701"/>
    <s v="MOVEMENT, EMERGENCY AND POST-CRISIS MIGRATION MANAGEMENT"/>
    <s v="2023 Ukraine Response to Support Refugees from Ukraine across Europe"/>
    <s v="Moldova (Rep)"/>
    <n v="4500398880"/>
    <m/>
    <s v="Implementing Partner"/>
    <s v="AO PAS CU PAS REGIUNEA SUD"/>
    <s v="Moldova (Rep)"/>
    <n v="49337.47"/>
    <x v="0"/>
    <x v="0"/>
  </r>
  <r>
    <x v="8"/>
    <s v="DP.2701"/>
    <s v="MOVEMENT, EMERGENCY AND POST-CRISIS MIGRATION MANAGEMENT"/>
    <s v="2023 Ukraine Response to Support Refugees from Ukraine across Europe"/>
    <s v="Moldova (Rep)"/>
    <n v="4500402139"/>
    <m/>
    <s v="Implementing Partner"/>
    <s v="BAZOVYJJ CENTR REABILITACII OSORC"/>
    <s v="Moldova (Rep)"/>
    <n v="59457.29"/>
    <x v="0"/>
    <x v="0"/>
  </r>
  <r>
    <x v="8"/>
    <s v="DP.2701"/>
    <s v="MOVEMENT, EMERGENCY AND POST-CRISIS MIGRATION MANAGEMENT"/>
    <s v="2023 Ukraine Response to Support Refugees from Ukraine across Europe"/>
    <s v="Moldova (Rep)"/>
    <n v="4500402418"/>
    <m/>
    <s v="Implementing Partner"/>
    <s v="NGO JENSKIE INITSIATIVY"/>
    <s v="Moldova (Rep)"/>
    <n v="50641.11"/>
    <x v="0"/>
    <x v="0"/>
  </r>
  <r>
    <x v="8"/>
    <s v="DP.2701"/>
    <s v="MOVEMENT, EMERGENCY AND POST-CRISIS MIGRATION MANAGEMENT"/>
    <s v="2023 Ukraine Response to Support Refugees from Ukraine across Europe"/>
    <s v="Moldova (Rep)"/>
    <n v="4500402967"/>
    <m/>
    <s v="Implementing Partner"/>
    <s v="AO INTERACTIUNE"/>
    <s v="Moldova (Rep)"/>
    <n v="54667.61"/>
    <x v="0"/>
    <x v="0"/>
  </r>
  <r>
    <x v="8"/>
    <s v="DP.2701"/>
    <s v="MOVEMENT, EMERGENCY AND POST-CRISIS MIGRATION MANAGEMENT"/>
    <s v="2023 Ukraine Response to Support Refugees from Ukraine across Europe"/>
    <s v="Poland"/>
    <n v="4500382894"/>
    <m/>
    <s v="Implementing Partner"/>
    <s v="GERMANITAS"/>
    <s v="Poland"/>
    <n v="133341.88"/>
    <x v="0"/>
    <x v="0"/>
  </r>
  <r>
    <x v="8"/>
    <s v="DP.2701"/>
    <s v="MOVEMENT, EMERGENCY AND POST-CRISIS MIGRATION MANAGEMENT"/>
    <s v="2023 Ukraine Response to Support Refugees from Ukraine across Europe"/>
    <s v="Poland"/>
    <n v="4500391273"/>
    <m/>
    <s v="Implementing Partner"/>
    <s v="STOWARZYSZENIE WAGA"/>
    <s v="Poland"/>
    <n v="76059.27"/>
    <x v="0"/>
    <x v="0"/>
  </r>
  <r>
    <x v="8"/>
    <s v="DP.2701"/>
    <s v="MOVEMENT, EMERGENCY AND POST-CRISIS MIGRATION MANAGEMENT"/>
    <s v="2023 Ukraine Response to Support Refugees from Ukraine across Europe"/>
    <s v="Poland"/>
    <n v="4500393088"/>
    <m/>
    <s v="Implementing Partner"/>
    <s v="Fundacja Po Drugie"/>
    <s v="Poland"/>
    <n v="49800.800000000003"/>
    <x v="0"/>
    <x v="0"/>
  </r>
  <r>
    <x v="8"/>
    <s v="DP.2701"/>
    <s v="MOVEMENT, EMERGENCY AND POST-CRISIS MIGRATION MANAGEMENT"/>
    <s v="2023 Ukraine Response to Support Refugees from Ukraine across Europe"/>
    <s v="Poland"/>
    <n v="4500399404"/>
    <m/>
    <s v="Implementing Partner"/>
    <s v="GERMANITAS"/>
    <s v="Poland"/>
    <n v="5271.08"/>
    <x v="0"/>
    <x v="0"/>
  </r>
  <r>
    <x v="8"/>
    <s v="DP.2701"/>
    <s v="MOVEMENT, EMERGENCY AND POST-CRISIS MIGRATION MANAGEMENT"/>
    <s v="2023 Ukraine Response to Support Refugees from Ukraine across Europe"/>
    <s v="Poland"/>
    <n v="4500400060"/>
    <m/>
    <s v="Implementing Partner"/>
    <s v="STOWARZYSZENIE WAGA"/>
    <s v="Poland"/>
    <n v="85912.9"/>
    <x v="0"/>
    <x v="0"/>
  </r>
  <r>
    <x v="8"/>
    <s v="DP.2701"/>
    <s v="MOVEMENT, EMERGENCY AND POST-CRISIS MIGRATION MANAGEMENT"/>
    <s v="2023 Ukraine Response to Support Refugees from Ukraine across Europe"/>
    <s v="Romania"/>
    <n v="4500390253"/>
    <m/>
    <s v="Implementing Partner"/>
    <s v="ASSOC"/>
    <s v="Romania"/>
    <n v="40196.519999999997"/>
    <x v="0"/>
    <x v="0"/>
  </r>
  <r>
    <x v="8"/>
    <s v="DP.2702"/>
    <s v="MOVEMENT, EMERGENCY AND POST-CRISIS MIGRATION MANAGEMENT"/>
    <s v="Supporting Vulnerable Refugees and Local Communities in Cox’s Bazar, Bangladesh, through Improved Access to Health, Protection, Shelter, Site Management and Site Development, Water, Sanitation and Hygiene (WASH) Services"/>
    <s v="Bangladesh"/>
    <n v="4500402625"/>
    <m/>
    <s v="Implementing Partner"/>
    <s v="BNWLA"/>
    <s v="Bangladesh"/>
    <n v="15086.51"/>
    <x v="0"/>
    <x v="0"/>
  </r>
  <r>
    <x v="8"/>
    <s v="DP.2706"/>
    <s v="MOVEMENT, EMERGENCY AND POST-CRISIS MIGRATION MANAGEMENT"/>
    <s v="Multisectoral Emergency Response to Conflict and Climate Shock Affected Internally Displaced Populations and Communities in Northern Mozambique – Phase III"/>
    <s v="Mozambique"/>
    <n v="4500392535"/>
    <m/>
    <s v="Implementing Partner"/>
    <s v="AYUDA EN ACCION FOUNDATION"/>
    <s v="Mozambique"/>
    <n v="208080"/>
    <x v="0"/>
    <x v="1"/>
  </r>
  <r>
    <x v="8"/>
    <s v="DP.2706"/>
    <s v="MOVEMENT, EMERGENCY AND POST-CRISIS MIGRATION MANAGEMENT"/>
    <s v="Multisectoral Emergency Response to Conflict and Climate Shock Affected Internally Displaced Populations and Communities in Northern Mozambique – Phase III"/>
    <s v="Mozambique"/>
    <n v="4500392880"/>
    <m/>
    <s v="Implementing Partner"/>
    <s v="OIKOS"/>
    <s v="Mozambique"/>
    <n v="321662.21999999997"/>
    <x v="0"/>
    <x v="1"/>
  </r>
  <r>
    <x v="8"/>
    <s v="DP.2720"/>
    <s v="MOVEMENT, EMERGENCY AND POST-CRISIS MIGRATION MANAGEMENT"/>
    <s v="Provision of Shelter Services and Non-food Items to Vulnerable Ethiopian Returnee"/>
    <s v="Ethiopia"/>
    <n v="4500383379"/>
    <m/>
    <s v="Implementing Partner"/>
    <s v="Agar Ethiopia Charitable Society"/>
    <s v="Ethiopia"/>
    <n v="80188.05"/>
    <x v="0"/>
    <x v="0"/>
  </r>
  <r>
    <x v="8"/>
    <s v="DP.2729"/>
    <s v="MOVEMENT, EMERGENCY AND POST-CRISIS MIGRATION MANAGEMENT"/>
    <s v="IOM - Ukraine Kakhovka dam - 2023"/>
    <s v="Ukraine"/>
    <n v="4500380871"/>
    <m/>
    <s v="Implementing Partner"/>
    <s v="CF POSMISHKA UA"/>
    <s v="Ukraine"/>
    <n v="19486.509999999998"/>
    <x v="0"/>
    <x v="0"/>
  </r>
  <r>
    <x v="8"/>
    <s v="DP.2729"/>
    <s v="MOVEMENT, EMERGENCY AND POST-CRISIS MIGRATION MANAGEMENT"/>
    <s v="IOM - Ukraine Kakhovka dam - 2023"/>
    <s v="Ukraine"/>
    <n v="4500382064"/>
    <m/>
    <s v="Implementing Partner"/>
    <s v="NGO UKRAINSKA ASOTSIATSIIA TSENTRIV"/>
    <s v="Ukraine"/>
    <n v="21528.32"/>
    <x v="0"/>
    <x v="0"/>
  </r>
  <r>
    <x v="8"/>
    <s v="DP.2731"/>
    <s v="MOVEMENT, EMERGENCY AND POST-CRISIS MIGRATION MANAGEMENT"/>
    <s v="Providing Integrated Humanitarian Assistance to Displaced Populations in Iraq"/>
    <s v="Iraq"/>
    <n v="4500397007"/>
    <m/>
    <s v="Implementing Partner"/>
    <s v="BETTER WORLD ORGANIZATION"/>
    <s v="Iraq"/>
    <n v="30000"/>
    <x v="0"/>
    <x v="3"/>
  </r>
  <r>
    <x v="8"/>
    <s v="DP.2735"/>
    <s v="MOVEMENT, EMERGENCY AND POST-CRISIS MIGRATION MANAGEMENT"/>
    <s v="IOM Ukraine Crisis Response Plan 2023"/>
    <s v="Ukraine"/>
    <n v="4500384045"/>
    <m/>
    <s v="Implementing Partner"/>
    <s v="NGO Maysternya Dobra"/>
    <s v="Ukraine"/>
    <n v="132375.20000000001"/>
    <x v="0"/>
    <x v="0"/>
  </r>
  <r>
    <x v="8"/>
    <s v="DP.2735"/>
    <s v="MOVEMENT, EMERGENCY AND POST-CRISIS MIGRATION MANAGEMENT"/>
    <s v="IOM Ukraine Crisis Response Plan 2023"/>
    <s v="Ukraine"/>
    <n v="4500385918"/>
    <m/>
    <s v="Implementing Partner"/>
    <s v="MEDICAL TEAMS INTERNATIONAL"/>
    <s v="Ukraine"/>
    <n v="299974.53999999998"/>
    <x v="0"/>
    <x v="1"/>
  </r>
  <r>
    <x v="8"/>
    <s v="DP.2735"/>
    <s v="MOVEMENT, EMERGENCY AND POST-CRISIS MIGRATION MANAGEMENT"/>
    <s v="IOM Ukraine Crisis Response Plan 2023"/>
    <s v="Ukraine"/>
    <n v="4500387921"/>
    <m/>
    <s v="Implementing Partner"/>
    <s v="THE POLISH HUMANITARIAN ACTION FUND"/>
    <s v="Ukraine"/>
    <n v="87035.96"/>
    <x v="0"/>
    <x v="1"/>
  </r>
  <r>
    <x v="8"/>
    <s v="DP.2735"/>
    <s v="MOVEMENT, EMERGENCY AND POST-CRISIS MIGRATION MANAGEMENT"/>
    <s v="IOM Ukraine Crisis Response Plan 2023"/>
    <s v="Ukraine"/>
    <n v="4500387996"/>
    <m/>
    <s v="Implementing Partner"/>
    <s v="BF PRAVO NA ZAKHYST"/>
    <s v="Ukraine"/>
    <n v="69121.33"/>
    <x v="0"/>
    <x v="0"/>
  </r>
  <r>
    <x v="8"/>
    <s v="DP.2735"/>
    <s v="MOVEMENT, EMERGENCY AND POST-CRISIS MIGRATION MANAGEMENT"/>
    <s v="IOM Ukraine Crisis Response Plan 2023"/>
    <s v="Ukraine"/>
    <n v="4500389252"/>
    <m/>
    <s v="Implementing Partner"/>
    <s v="CF SLAVIC HEART"/>
    <s v="Ukraine"/>
    <n v="63727.37"/>
    <x v="0"/>
    <x v="0"/>
  </r>
  <r>
    <x v="8"/>
    <s v="DP.2735"/>
    <s v="MOVEMENT, EMERGENCY AND POST-CRISIS MIGRATION MANAGEMENT"/>
    <s v="IOM Ukraine Crisis Response Plan 2023"/>
    <s v="Ukraine"/>
    <n v="4500390017"/>
    <m/>
    <s v="Implementing Partner"/>
    <s v="NGO AHALAR CENTER"/>
    <s v="Ukraine"/>
    <n v="51561.55"/>
    <x v="0"/>
    <x v="0"/>
  </r>
  <r>
    <x v="8"/>
    <s v="DP.2748"/>
    <s v="MOVEMENT, EMERGENCY AND POST-CRISIS MIGRATION MANAGEMENT"/>
    <s v="Multi-Sectoral Humanitarian Assistance to Drought-Affected Displaced Communities in Marsabit and Isiolo in Kenya"/>
    <s v="Kenya"/>
    <n v="4500398460"/>
    <m/>
    <s v="Implementing Partner"/>
    <s v="STRATEGIES FOR NORTHERN DEVELOPMENT"/>
    <s v="Kenya"/>
    <n v="131999.99"/>
    <x v="0"/>
    <x v="3"/>
  </r>
  <r>
    <x v="8"/>
    <s v="DP.2750"/>
    <s v="MOVEMENT, EMERGENCY AND POST-CRISIS MIGRATION MANAGEMENT"/>
    <s v="Support to Vulnerable Malian Refugees and Selected Host and IDP Communities through Protection and Shelter Activities in the Nord and Sahel Regions – Phase V"/>
    <s v="Burkina Faso"/>
    <n v="4500386845"/>
    <m/>
    <s v="Implementing Partner"/>
    <s v="CROIX ROUGE BURKINABE"/>
    <s v="Burkina Faso"/>
    <n v="102000"/>
    <x v="0"/>
    <x v="4"/>
  </r>
  <r>
    <x v="8"/>
    <s v="DP.2750"/>
    <s v="MOVEMENT, EMERGENCY AND POST-CRISIS MIGRATION MANAGEMENT"/>
    <s v="Support to Vulnerable Malian Refugees and Selected Host and IDP Communities through Protection and Shelter Activities in the Nord and Sahel Regions – Phase V"/>
    <s v="Burkina Faso"/>
    <n v="4500386850"/>
    <m/>
    <s v="Implementing Partner"/>
    <s v="ASSOCIATION EVEIL CLUB DE DJIBO"/>
    <s v="Burkina Faso"/>
    <n v="100000"/>
    <x v="0"/>
    <x v="0"/>
  </r>
  <r>
    <x v="8"/>
    <s v="DP.2786"/>
    <s v="MOVEMENT, EMERGENCY AND POST-CRISIS MIGRATION MANAGEMENT"/>
    <s v="Emergency Assistance to Flood Affected Populations in Burundi"/>
    <s v="Burundi"/>
    <n v="4500398162"/>
    <m/>
    <s v="Implementing Partner"/>
    <s v="CROIX ROUGE DU BURUNDI"/>
    <s v="Burundi"/>
    <n v="28716.28"/>
    <x v="0"/>
    <x v="4"/>
  </r>
  <r>
    <x v="8"/>
    <s v="DP.2790"/>
    <s v="MOVEMENT, EMERGENCY AND POST-CRISIS MIGRATION MANAGEMENT"/>
    <s v="Evidence-Based Protection Assistance for Populations Affected by Natural Hazards in Burundi"/>
    <s v="Burundi"/>
    <n v="4500398162"/>
    <m/>
    <s v="Implementing Partner"/>
    <s v="CROIX ROUGE DU BURUNDI"/>
    <s v="Burundi"/>
    <n v="7179.06"/>
    <x v="0"/>
    <x v="4"/>
  </r>
  <r>
    <x v="8"/>
    <s v="DP.2805"/>
    <s v="MOVEMENT, EMERGENCY AND POST-CRISIS MIGRATION MANAGEMENT"/>
    <m/>
    <s v="Moldova (Rep)"/>
    <n v="4500398913"/>
    <m/>
    <s v="Implementing Partner"/>
    <s v="AO INTERACTIUNE"/>
    <s v="Moldova (Rep)"/>
    <n v="21339.279999999999"/>
    <x v="0"/>
    <x v="0"/>
  </r>
  <r>
    <x v="8"/>
    <s v="DR.0060"/>
    <s v="MIGRATION AND DEVELOPMENT"/>
    <s v="The Bor Flood Mitigation Project"/>
    <s v="South Sudan"/>
    <n v="4500404921"/>
    <m/>
    <s v="Implementing Partner"/>
    <s v="TITI FOUNDATION"/>
    <s v="South Sudan"/>
    <n v="225000"/>
    <x v="0"/>
    <x v="1"/>
  </r>
  <r>
    <x v="8"/>
    <s v="DR.0062"/>
    <s v="MIGRATION AND DEVELOPMENT"/>
    <s v="Strengthening National and Local Disaster Preparedness and Response Capacities in Border Areas and Transhumance Corridors in Hodh Ech Chargui Region of Mauritania."/>
    <s v="Mauritania"/>
    <n v="4500397599"/>
    <m/>
    <s v="Implementing Partner"/>
    <s v="Delegation Environnement"/>
    <s v="Mauritania"/>
    <n v="38934.949999999997"/>
    <x v="0"/>
    <x v="9"/>
  </r>
  <r>
    <x v="8"/>
    <s v="DR.0062"/>
    <s v="MIGRATION AND DEVELOPMENT"/>
    <s v="Strengthening National and Local Disaster Preparedness and Response Capacities in Border Areas and Transhumance Corridors in Hodh Ech Chargui Region of Mauritania."/>
    <s v="Mauritania"/>
    <n v="4500400581"/>
    <m/>
    <s v="Implementing Partner"/>
    <s v="Delegation Regional Elevage Nema"/>
    <s v="Mauritania"/>
    <n v="90477.26"/>
    <x v="0"/>
    <x v="11"/>
  </r>
  <r>
    <x v="8"/>
    <s v="DR.0065"/>
    <s v="MIGRATION AND DEVELOPMENT"/>
    <s v="Restoring the Environment and Strengthening Resilience of Rohingya Refugees and Host Communities in Cox’s Bazar"/>
    <s v="Bangladesh"/>
    <n v="4500387255"/>
    <m/>
    <s v="Implementing Partner"/>
    <s v="Society for Health Extension &amp;Dev.("/>
    <s v="Bangladesh"/>
    <n v="200402.38"/>
    <x v="0"/>
    <x v="3"/>
  </r>
  <r>
    <x v="8"/>
    <s v="DR.0065"/>
    <s v="MIGRATION AND DEVELOPMENT"/>
    <s v="Restoring the Environment and Strengthening Resilience of Rohingya Refugees and Host Communities in Cox’s Bazar"/>
    <s v="Bangladesh"/>
    <n v="4500387258"/>
    <m/>
    <s v="Implementing Partner"/>
    <s v="DSK"/>
    <s v="Bangladesh"/>
    <n v="174772.27"/>
    <x v="0"/>
    <x v="0"/>
  </r>
  <r>
    <x v="8"/>
    <s v="DR.0071"/>
    <s v="MIGRATION AND DEVELOPMENT"/>
    <s v="Action and Support to Avert, Minimise and Address Displacement Related with the Adverse Impacts of Climate Change in Bangladesh"/>
    <s v="Bangladesh"/>
    <n v="4500381097"/>
    <m/>
    <s v="Implementing Partner"/>
    <s v="Refugee &amp; Migratory Movements Resea"/>
    <s v="Bangladesh"/>
    <n v="75684.92"/>
    <x v="0"/>
    <x v="0"/>
  </r>
  <r>
    <x v="8"/>
    <s v="DX.0097"/>
    <s v="MOVEMENT, EMERGENCY AND POST-CRISIS MIGRATION MANAGEMENT"/>
    <s v="Mobility Tracking and Multi-Sectoral Humanitarian Needs in Localities and Sites Affected by Displacement/Return in the Central African Republic (National Coverage)"/>
    <s v="CAR"/>
    <n v="4500394108"/>
    <m/>
    <s v="Implementing Partner"/>
    <s v="COLLECTIF¨POUR LA PAIX EN CENTRAFRI"/>
    <s v="CAR"/>
    <n v="694.58"/>
    <x v="0"/>
    <x v="0"/>
  </r>
  <r>
    <x v="8"/>
    <s v="DX.0097"/>
    <s v="MOVEMENT, EMERGENCY AND POST-CRISIS MIGRATION MANAGEMENT"/>
    <s v="Mobility Tracking and Multi-Sectoral Humanitarian Needs in Localities and Sites Affected by Displacement/Return in the Central African Republic (National Coverage)"/>
    <s v="CAR"/>
    <n v="4500398142"/>
    <m/>
    <s v="Implementing Partner"/>
    <s v="Association des Femmes Evang. BOSSA"/>
    <s v="CAR"/>
    <n v="4636.09"/>
    <x v="0"/>
    <x v="0"/>
  </r>
  <r>
    <x v="8"/>
    <s v="DX.0097"/>
    <s v="MOVEMENT, EMERGENCY AND POST-CRISIS MIGRATION MANAGEMENT"/>
    <s v="Mobility Tracking and Multi-Sectoral Humanitarian Needs in Localities and Sites Affected by Displacement/Return in the Central African Republic (National Coverage)"/>
    <s v="CAR"/>
    <n v="4500405076"/>
    <m/>
    <s v="Implementing Partner"/>
    <s v="Association des Femmes Evang. BOSSA"/>
    <s v="CAR"/>
    <n v="10395.18"/>
    <x v="0"/>
    <x v="0"/>
  </r>
  <r>
    <x v="8"/>
    <s v="DX.0097"/>
    <s v="MOVEMENT, EMERGENCY AND POST-CRISIS MIGRATION MANAGEMENT"/>
    <s v="Mobility Tracking and Multi-Sectoral Humanitarian Needs in Localities and Sites Affected by Displacement/Return in the Central African Republic (National Coverage)"/>
    <s v="CAR"/>
    <n v="4500405208"/>
    <m/>
    <s v="Implementing Partner"/>
    <s v="COLLECTIF¨POUR LA PAIX EN CENTRAFRI"/>
    <s v="CAR"/>
    <n v="8965.39"/>
    <x v="0"/>
    <x v="0"/>
  </r>
  <r>
    <x v="8"/>
    <s v="DX.0097"/>
    <s v="MOVEMENT, EMERGENCY AND POST-CRISIS MIGRATION MANAGEMENT"/>
    <s v="Mobility Tracking and Multi-Sectoral Humanitarian Needs in Localities and Sites Affected by Displacement/Return in the Central African Republic (National Coverage)"/>
    <s v="CAR"/>
    <n v="4500405213"/>
    <m/>
    <s v="Implementing Partner"/>
    <s v="JUPEDEC"/>
    <s v="CAR"/>
    <n v="3812.88"/>
    <x v="0"/>
    <x v="0"/>
  </r>
  <r>
    <x v="8"/>
    <s v="DX.0097"/>
    <s v="MOVEMENT, EMERGENCY AND POST-CRISIS MIGRATION MANAGEMENT"/>
    <s v="Mobility Tracking and Multi-Sectoral Humanitarian Needs in Localities and Sites Affected by Displacement/Return in the Central African Republic (National Coverage)"/>
    <s v="CAR"/>
    <n v="4500405228"/>
    <m/>
    <s v="Implementing Partner"/>
    <s v="COLLECTIF¨POUR LA PAIX EN CENTRAFRI"/>
    <s v="CAR"/>
    <n v="14316.15"/>
    <x v="0"/>
    <x v="0"/>
  </r>
  <r>
    <x v="8"/>
    <s v="DX.0097"/>
    <s v="MOVEMENT, EMERGENCY AND POST-CRISIS MIGRATION MANAGEMENT"/>
    <s v="Mobility Tracking and Multi-Sectoral Humanitarian Needs in Localities and Sites Affected by Displacement/Return in the Central African Republic (National Coverage)"/>
    <s v="CAR"/>
    <n v="4500405297"/>
    <m/>
    <s v="Implementing Partner"/>
    <s v="ONG ESPERANCE"/>
    <s v="CAR"/>
    <n v="8822.68"/>
    <x v="0"/>
    <x v="0"/>
  </r>
  <r>
    <x v="8"/>
    <s v="DX.0130"/>
    <s v="MOVEMENT, EMERGENCY AND POST-CRISIS MIGRATION MANAGEMENT"/>
    <s v="Addressing Climate Migration Root Causes in KRI"/>
    <s v="Iraq"/>
    <n v="4500383605"/>
    <m/>
    <s v="Implementing Partner"/>
    <s v="Peace Paradigms Company"/>
    <s v="Iraq"/>
    <n v="29993.01"/>
    <x v="0"/>
    <x v="10"/>
  </r>
  <r>
    <x v="8"/>
    <s v="EP.0036"/>
    <s v="MOVEMENT, EMERGENCY AND POST-CRISIS MIGRATION MANAGEMENT"/>
    <s v="Enhancing Disaster Risk Management (DRM) in Libya"/>
    <s v="Libya"/>
    <n v="4500392894"/>
    <m/>
    <s v="Implementing Partner"/>
    <s v="We world GVC"/>
    <s v="Tunisia"/>
    <n v="150000"/>
    <x v="0"/>
    <x v="1"/>
  </r>
  <r>
    <x v="8"/>
    <s v="MP.0523"/>
    <s v="MIGRATION HEALTH"/>
    <s v="Health and Gender Support Project for Cox's Bazar District"/>
    <s v="Bangladesh"/>
    <n v="4500385299"/>
    <m/>
    <s v="Implementing Partner"/>
    <s v="BANGLA-GERMAN SAMPREETI"/>
    <s v="Bangladesh"/>
    <n v="132438.35"/>
    <x v="0"/>
    <x v="0"/>
  </r>
  <r>
    <x v="8"/>
    <s v="MP.0523"/>
    <s v="MIGRATION HEALTH"/>
    <s v="Health and Gender Support Project for Cox's Bazar District"/>
    <s v="Bangladesh"/>
    <n v="4500386611"/>
    <m/>
    <s v="Implementing Partner"/>
    <s v="RESEARCH TRAINING &amp; MANAGEMENT INT"/>
    <s v="Bangladesh"/>
    <n v="182298.42"/>
    <x v="0"/>
    <x v="0"/>
  </r>
  <r>
    <x v="8"/>
    <s v="MP.0523"/>
    <s v="MIGRATION HEALTH"/>
    <s v="Health and Gender Support Project for Cox's Bazar District"/>
    <s v="Bangladesh"/>
    <n v="4500390090"/>
    <m/>
    <s v="Implementing Partner"/>
    <s v="MUKTI Cox's Bazar"/>
    <s v="Bangladesh"/>
    <n v="215069.19"/>
    <x v="0"/>
    <x v="3"/>
  </r>
  <r>
    <x v="8"/>
    <s v="MP.0621"/>
    <s v="MIGRATION HEALTH"/>
    <s v="Humanitarian Response to Venezuelan Migrants and Refugees in Colombia, Ecuador, Peru and Venezuela – Phase IV"/>
    <s v="Ecuador"/>
    <n v="4500399703"/>
    <m/>
    <s v="Implementing Partner"/>
    <s v="Coopi-Cooperazione Internazionale"/>
    <s v="Ecuador"/>
    <n v="113893.9"/>
    <x v="0"/>
    <x v="1"/>
  </r>
  <r>
    <x v="8"/>
    <s v="MP.0621"/>
    <s v="MIGRATION HEALTH"/>
    <s v="Humanitarian Response to Venezuelan Migrants and Refugees in Colombia, Ecuador, Peru and Venezuela – Phase IV"/>
    <s v="Panama"/>
    <n v="4500401028"/>
    <m/>
    <s v="Implementing Partner"/>
    <s v="Scalabrini International Migration"/>
    <s v="USA"/>
    <n v="11000"/>
    <x v="0"/>
    <x v="1"/>
  </r>
  <r>
    <x v="8"/>
    <s v="SN.0183"/>
    <s v="MOVEMENT, EMERGENCY AND POST-CRISIS MIGRATION MANAGEMENT"/>
    <s v="Supply Chain Support to Humanitarian Partners Providing Assistance to Populations in Northwest Syria"/>
    <s v="Turkey"/>
    <n v="4500388310"/>
    <m/>
    <s v="Implementing Partner"/>
    <s v="MUZUN FOR HUMANITARIAN DEVELOPMENT"/>
    <s v="Turkey"/>
    <n v="86922.02"/>
    <x v="0"/>
    <x v="0"/>
  </r>
  <r>
    <x v="8"/>
    <s v="SN.0183"/>
    <s v="MOVEMENT, EMERGENCY AND POST-CRISIS MIGRATION MANAGEMENT"/>
    <s v="Supply Chain Support to Humanitarian Partners Providing Assistance to Populations in Northwest Syria"/>
    <s v="Turkey"/>
    <n v="4500396792"/>
    <m/>
    <s v="Implementing Partner"/>
    <s v="SYRIA RELIEF"/>
    <s v="Turkey"/>
    <n v="35007.57"/>
    <x v="0"/>
    <x v="1"/>
  </r>
  <r>
    <x v="8"/>
    <s v="SN.0213"/>
    <s v="MOVEMENT, EMERGENCY AND POST-CRISIS MIGRATION MANAGEMENT"/>
    <s v="Lifesaving Assistance to Earthquake Affected Populations in Northwest Syria (NWS)"/>
    <s v="Turkey"/>
    <n v="4500384231"/>
    <m/>
    <s v="Implementing Partner"/>
    <s v="SDI (Social Development Internation"/>
    <s v="Turkey"/>
    <n v="2227779.14"/>
    <x v="0"/>
    <x v="0"/>
  </r>
  <r>
    <x v="8"/>
    <s v="SN.0217"/>
    <s v="MOVEMENT, EMERGENCY AND POST-CRISIS MIGRATION MANAGEMENT"/>
    <s v="Addressing the Immediate Humanitarian Needs of the Most Vulnerable Populations in Ukraine"/>
    <s v="Ukraine"/>
    <n v="4500380871"/>
    <m/>
    <s v="Implementing Partner"/>
    <s v="CF POSMISHKA UA"/>
    <s v="Ukraine"/>
    <n v="38973.03"/>
    <x v="0"/>
    <x v="0"/>
  </r>
  <r>
    <x v="8"/>
    <s v="SN.0217"/>
    <s v="MOVEMENT, EMERGENCY AND POST-CRISIS MIGRATION MANAGEMENT"/>
    <s v="Addressing the Immediate Humanitarian Needs of the Most Vulnerable Populations in Ukraine"/>
    <s v="Ukraine"/>
    <n v="4500382064"/>
    <m/>
    <s v="Implementing Partner"/>
    <s v="NGO UKRAINSKA ASOTSIATSIIA TSENTRIV"/>
    <s v="Ukraine"/>
    <n v="53820.800000000003"/>
    <x v="0"/>
    <x v="0"/>
  </r>
  <r>
    <x v="8"/>
    <s v="SN.0217"/>
    <s v="MOVEMENT, EMERGENCY AND POST-CRISIS MIGRATION MANAGEMENT"/>
    <s v="Addressing the Immediate Humanitarian Needs of the Most Vulnerable Populations in Ukraine"/>
    <s v="Ukraine"/>
    <n v="4500393259"/>
    <m/>
    <s v="Implementing Partner"/>
    <s v="VSEUKRAINSKA ASOTSIATSIA  GROMAD"/>
    <s v="Ukraine"/>
    <n v="68034.210000000006"/>
    <x v="0"/>
    <x v="0"/>
  </r>
  <r>
    <x v="8"/>
    <s v="SN.0226"/>
    <s v="MOVEMENT, EMERGENCY AND POST-CRISIS MIGRATION MANAGEMENT"/>
    <s v="Emergency Response to Cyclone-Affected Populations in Vanuatu with Lifesaving Shelter and Non-Food Items (ES/NFI)"/>
    <s v="Vanuatu"/>
    <n v="4500392008"/>
    <m/>
    <s v="Implementing Partner"/>
    <s v="ADRA Vanuatu"/>
    <s v="Vanuatu"/>
    <n v="288000"/>
    <x v="0"/>
    <x v="1"/>
  </r>
  <r>
    <x v="8"/>
    <s v="DP.2051"/>
    <s v="MOVEMENT, EMERGENCY AND POST-CRISIS MIGRATION MANAGEMENT"/>
    <s v="Individual Measure to Strengthen the Response Capacity to Manage Migration Flows in Bosnia and Herzegovina"/>
    <s v="Bosnia-Herz."/>
    <n v="4500397151"/>
    <m/>
    <s v="Entity Grants"/>
    <s v="Udruzenje RESPEKT"/>
    <s v="Bosnia-Herz."/>
    <n v="27734.13"/>
    <x v="0"/>
    <x v="3"/>
  </r>
  <r>
    <x v="8"/>
    <s v="DP.2573"/>
    <s v="MOVEMENT, EMERGENCY AND POST-CRISIS MIGRATION MANAGEMENT"/>
    <s v="​​Addressing the Needs of Vulnerable Migrants within the Humanitarian, Development and Peace Nexus in Thailand"/>
    <s v="Thailand"/>
    <n v="4500393575"/>
    <m/>
    <s v="Entity Grants"/>
    <s v="Dreamlopments Foundation"/>
    <s v="Thailand"/>
    <n v="69421.67"/>
    <x v="0"/>
    <x v="0"/>
  </r>
  <r>
    <x v="8"/>
    <s v="DP.2659"/>
    <s v="MOVEMENT, EMERGENCY AND POST-CRISIS MIGRATION MANAGEMENT"/>
    <s v="Provision of Humanitarian Coordination, Shelter and Settlements, Water, Sanitation and Hygiene (WASH), Multi-Purpose Cash Assistance (MPCA), Health and Protection Assistance for Crisis-Affected Populations in Ethiopia"/>
    <s v="Ethiopia"/>
    <n v="4500381896"/>
    <m/>
    <s v="Entity Grants"/>
    <s v="Gurmuu Development Association"/>
    <s v="Ethiopia"/>
    <n v="71849.25"/>
    <x v="0"/>
    <x v="0"/>
  </r>
  <r>
    <x v="8"/>
    <s v="DP.2659"/>
    <s v="MOVEMENT, EMERGENCY AND POST-CRISIS MIGRATION MANAGEMENT"/>
    <s v="Provision of Humanitarian Coordination, Shelter and Settlements, Water, Sanitation and Hygiene (WASH), Multi-Purpose Cash Assistance (MPCA), Health and Protection Assistance for Crisis-Affected Populations in Ethiopia"/>
    <s v="Ethiopia"/>
    <n v="4500384240"/>
    <m/>
    <s v="Entity Grants"/>
    <s v="Action for Integrated Sust Dev.Asso"/>
    <s v="Ethiopia"/>
    <n v="88111.97"/>
    <x v="0"/>
    <x v="0"/>
  </r>
  <r>
    <x v="8"/>
    <s v="DP.2659"/>
    <s v="MOVEMENT, EMERGENCY AND POST-CRISIS MIGRATION MANAGEMENT"/>
    <s v="Provision of Humanitarian Coordination, Shelter and Settlements, Water, Sanitation and Hygiene (WASH), Multi-Purpose Cash Assistance (MPCA), Health and Protection Assistance for Crisis-Affected Populations in Ethiopia"/>
    <s v="Ethiopia"/>
    <n v="4500405372"/>
    <m/>
    <s v="Entity Grants"/>
    <s v="Development for Peace Organization"/>
    <s v="Ethiopia"/>
    <n v="117642.37"/>
    <x v="0"/>
    <x v="0"/>
  </r>
  <r>
    <x v="8"/>
    <s v="DP.2659"/>
    <s v="MOVEMENT, EMERGENCY AND POST-CRISIS MIGRATION MANAGEMENT"/>
    <s v="Provision of Humanitarian Coordination, Shelter and Settlements, Water, Sanitation and Hygiene (WASH), Multi-Purpose Cash Assistance (MPCA), Health and Protection Assistance for Crisis-Affected Populations in Ethiopia"/>
    <s v="Ethiopia"/>
    <n v="4500405386"/>
    <m/>
    <s v="Entity Grants"/>
    <s v="Kelem Ethiopia"/>
    <s v="Ethiopia"/>
    <n v="95698.27"/>
    <x v="0"/>
    <x v="0"/>
  </r>
  <r>
    <x v="8"/>
    <s v="DP.2659"/>
    <s v="MOVEMENT, EMERGENCY AND POST-CRISIS MIGRATION MANAGEMENT"/>
    <s v="Provision of Humanitarian Coordination, Shelter and Settlements, Water, Sanitation and Hygiene (WASH), Multi-Purpose Cash Assistance (MPCA), Health and Protection Assistance for Crisis-Affected Populations in Ethiopia"/>
    <s v="Ethiopia"/>
    <n v="4500405403"/>
    <m/>
    <s v="Entity Grants"/>
    <s v="MCMDO"/>
    <s v="Ethiopia"/>
    <n v="122119.02"/>
    <x v="0"/>
    <x v="0"/>
  </r>
  <r>
    <x v="8"/>
    <s v="DP.2659"/>
    <s v="MOVEMENT, EMERGENCY AND POST-CRISIS MIGRATION MANAGEMENT"/>
    <s v="Provision of Humanitarian Coordination, Shelter and Settlements, Water, Sanitation and Hygiene (WASH), Multi-Purpose Cash Assistance (MPCA), Health and Protection Assistance for Crisis-Affected Populations in Ethiopia"/>
    <s v="Ethiopia"/>
    <n v="4500405428"/>
    <m/>
    <s v="Entity Grants"/>
    <s v="Environmentalists Development Assoc"/>
    <s v="Ethiopia"/>
    <n v="98670"/>
    <x v="0"/>
    <x v="0"/>
  </r>
  <r>
    <x v="8"/>
    <s v="DP.2659"/>
    <s v="MOVEMENT, EMERGENCY AND POST-CRISIS MIGRATION MANAGEMENT"/>
    <s v="Provision of Humanitarian Coordination, Shelter and Settlements, Water, Sanitation and Hygiene (WASH), Multi-Purpose Cash Assistance (MPCA), Health and Protection Assistance for Crisis-Affected Populations in Ethiopia"/>
    <s v="Ethiopia"/>
    <n v="4500405434"/>
    <m/>
    <s v="Entity Grants"/>
    <s v="Positive Action for Development"/>
    <s v="Ethiopia"/>
    <n v="134144.6"/>
    <x v="0"/>
    <x v="0"/>
  </r>
  <r>
    <x v="8"/>
    <s v="DP.2681"/>
    <s v="MOVEMENT, EMERGENCY AND POST-CRISIS MIGRATION MANAGEMENT"/>
    <s v="Rapid Response Fund for Sudden Emergencies in Northeast Nigeria"/>
    <s v="Nigeria"/>
    <n v="4500390760"/>
    <m/>
    <s v="Entity Grants"/>
    <s v="CARE AID SUPPORT INITIATIVE"/>
    <s v="Nigeria"/>
    <n v="37989.5"/>
    <x v="0"/>
    <x v="0"/>
  </r>
  <r>
    <x v="8"/>
    <s v="DP.2781"/>
    <s v="MOVEMENT, EMERGENCY AND POST-CRISIS MIGRATION MANAGEMENT"/>
    <s v="Emergency Lifesaving Assistance to Flood Affected Population in Ethiopia through Cash and Shelter/Non-food Items Assistance"/>
    <s v="Ethiopia"/>
    <n v="4500387850"/>
    <m/>
    <s v="Entity Grants"/>
    <s v="Women and pastoralist youth dev org"/>
    <s v="Ethiopia"/>
    <n v="59993.88"/>
    <x v="0"/>
    <x v="0"/>
  </r>
  <r>
    <x v="8"/>
    <s v="DP.2781"/>
    <s v="MOVEMENT, EMERGENCY AND POST-CRISIS MIGRATION MANAGEMENT"/>
    <s v="Emergency Lifesaving Assistance to Flood Affected Population in Ethiopia through Cash and Shelter/Non-food Items Assistance"/>
    <s v="Ethiopia"/>
    <n v="4500387859"/>
    <m/>
    <s v="Entity Grants"/>
    <s v="Pastoralist in action dev.t Org"/>
    <s v="Ethiopia"/>
    <n v="60000"/>
    <x v="0"/>
    <x v="0"/>
  </r>
  <r>
    <x v="8"/>
    <s v="DP.2781"/>
    <s v="MOVEMENT, EMERGENCY AND POST-CRISIS MIGRATION MANAGEMENT"/>
    <s v="Emergency Lifesaving Assistance to Flood Affected Population in Ethiopia through Cash and Shelter/Non-food Items Assistance"/>
    <s v="Ethiopia"/>
    <n v="4500389675"/>
    <m/>
    <s v="Entity Grants"/>
    <s v="Community in Action Against Poverty"/>
    <s v="Ethiopia"/>
    <n v="76000"/>
    <x v="0"/>
    <x v="0"/>
  </r>
  <r>
    <x v="8"/>
    <s v="DP.2781"/>
    <s v="MOVEMENT, EMERGENCY AND POST-CRISIS MIGRATION MANAGEMENT"/>
    <s v="Emergency Lifesaving Assistance to Flood Affected Population in Ethiopia through Cash and Shelter/Non-food Items Assistance"/>
    <s v="Ethiopia"/>
    <n v="4500392099"/>
    <m/>
    <s v="Entity Grants"/>
    <s v="Agro Pastoral Initiative for Dev.t"/>
    <s v="Ethiopia"/>
    <n v="187883.5"/>
    <x v="0"/>
    <x v="0"/>
  </r>
  <r>
    <x v="8"/>
    <s v="DP.2781"/>
    <s v="MOVEMENT, EMERGENCY AND POST-CRISIS MIGRATION MANAGEMENT"/>
    <s v="Emergency Lifesaving Assistance to Flood Affected Population in Ethiopia through Cash and Shelter/Non-food Items Assistance"/>
    <s v="Ethiopia"/>
    <n v="4500392121"/>
    <m/>
    <s v="Entity Grants"/>
    <s v="Partnership for Pastoralist Devt As"/>
    <s v="Ethiopia"/>
    <n v="195379.5"/>
    <x v="0"/>
    <x v="0"/>
  </r>
  <r>
    <x v="8"/>
    <s v="SN.0234"/>
    <s v="MOVEMENT, EMERGENCY AND POST-CRISIS MIGRATION MANAGEMENT"/>
    <s v="Emergency Grant Aid in response to the flood disaster in Ethiopia, Somalia, and Kenya"/>
    <s v="Ethiopia"/>
    <n v="4500387850"/>
    <m/>
    <s v="Entity Grants"/>
    <s v="Women and pastoralist youth dev org"/>
    <s v="Ethiopia"/>
    <n v="14000"/>
    <x v="0"/>
    <x v="0"/>
  </r>
  <r>
    <x v="8"/>
    <s v="SN.0234"/>
    <s v="MOVEMENT, EMERGENCY AND POST-CRISIS MIGRATION MANAGEMENT"/>
    <s v="Emergency Grant Aid in response to the flood disaster in Ethiopia, Somalia, and Kenya"/>
    <s v="Ethiopia"/>
    <n v="4500387859"/>
    <m/>
    <s v="Entity Grants"/>
    <s v="Pastoralist in action dev.t Org"/>
    <s v="Ethiopia"/>
    <n v="14000"/>
    <x v="0"/>
    <x v="0"/>
  </r>
  <r>
    <x v="8"/>
    <s v="SN.0234"/>
    <s v="MOVEMENT, EMERGENCY AND POST-CRISIS MIGRATION MANAGEMENT"/>
    <s v="Emergency Grant Aid in response to the flood disaster in Ethiopia, Somalia, and Kenya"/>
    <s v="Ethiopia"/>
    <n v="4500405380"/>
    <m/>
    <s v="Entity Grants"/>
    <s v="Development for Peace Organization"/>
    <s v="Ethiopia"/>
    <n v="75245"/>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92EA0D-4BB5-43C4-ACB0-428129C1CE3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13">
    <pivotField showAll="0">
      <items count="10">
        <item x="0"/>
        <item x="4"/>
        <item x="3"/>
        <item x="2"/>
        <item x="1"/>
        <item x="8"/>
        <item x="7"/>
        <item x="6"/>
        <item x="5"/>
        <item t="default"/>
      </items>
    </pivotField>
    <pivotField showAll="0"/>
    <pivotField showAll="0"/>
    <pivotField showAll="0"/>
    <pivotField showAll="0"/>
    <pivotField showAll="0"/>
    <pivotField showAll="0"/>
    <pivotField showAll="0"/>
    <pivotField showAll="0"/>
    <pivotField showAll="0"/>
    <pivotField dataField="1" showAll="0"/>
    <pivotField showAll="0">
      <items count="2">
        <item x="0"/>
        <item t="default"/>
      </items>
    </pivotField>
    <pivotField axis="axisRow" showAll="0">
      <items count="16">
        <item x="11"/>
        <item x="9"/>
        <item x="13"/>
        <item x="7"/>
        <item x="1"/>
        <item x="6"/>
        <item x="3"/>
        <item x="0"/>
        <item x="12"/>
        <item x="5"/>
        <item x="2"/>
        <item x="10"/>
        <item x="14"/>
        <item x="4"/>
        <item x="8"/>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Sum of Value of PO/Contract per Project (USD)" fld="10"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7D7FB-1604-49B5-ACCA-DA617580916A}">
  <dimension ref="A1:A10"/>
  <sheetViews>
    <sheetView workbookViewId="0"/>
  </sheetViews>
  <sheetFormatPr defaultRowHeight="15" x14ac:dyDescent="0.25"/>
  <sheetData>
    <row r="1" spans="1:1" x14ac:dyDescent="0.25">
      <c r="A1" s="3" t="s">
        <v>6406</v>
      </c>
    </row>
    <row r="2" spans="1:1" x14ac:dyDescent="0.25">
      <c r="A2" t="s">
        <v>6397</v>
      </c>
    </row>
    <row r="3" spans="1:1" x14ac:dyDescent="0.25">
      <c r="A3" t="s">
        <v>6398</v>
      </c>
    </row>
    <row r="4" spans="1:1" x14ac:dyDescent="0.25">
      <c r="A4" t="s">
        <v>6399</v>
      </c>
    </row>
    <row r="5" spans="1:1" x14ac:dyDescent="0.25">
      <c r="A5" t="s">
        <v>6400</v>
      </c>
    </row>
    <row r="6" spans="1:1" x14ac:dyDescent="0.25">
      <c r="A6" t="s">
        <v>6401</v>
      </c>
    </row>
    <row r="7" spans="1:1" x14ac:dyDescent="0.25">
      <c r="A7" t="s">
        <v>6402</v>
      </c>
    </row>
    <row r="8" spans="1:1" x14ac:dyDescent="0.25">
      <c r="A8" t="s">
        <v>6403</v>
      </c>
    </row>
    <row r="9" spans="1:1" x14ac:dyDescent="0.25">
      <c r="A9" t="s">
        <v>6404</v>
      </c>
    </row>
    <row r="10" spans="1:1" x14ac:dyDescent="0.25">
      <c r="A10" t="s">
        <v>6405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8D867-130B-45BD-B140-CA639E1A50F8}">
  <dimension ref="A1:I1006"/>
  <sheetViews>
    <sheetView tabSelected="1" topLeftCell="A430" workbookViewId="0">
      <selection activeCell="B472" sqref="B472"/>
    </sheetView>
  </sheetViews>
  <sheetFormatPr defaultRowHeight="15" x14ac:dyDescent="0.25"/>
  <cols>
    <col min="1" max="1" width="41.42578125" customWidth="1"/>
    <col min="2" max="2" width="33.28515625" bestFit="1" customWidth="1"/>
    <col min="12" max="12" width="9.140625" customWidth="1"/>
  </cols>
  <sheetData>
    <row r="1" spans="1:9" x14ac:dyDescent="0.25">
      <c r="A1" t="s">
        <v>6411</v>
      </c>
      <c r="B1" t="s">
        <v>6412</v>
      </c>
      <c r="C1" t="s">
        <v>6432</v>
      </c>
      <c r="I1" t="s">
        <v>6413</v>
      </c>
    </row>
    <row r="2" spans="1:9" x14ac:dyDescent="0.25">
      <c r="A2" t="s">
        <v>73</v>
      </c>
      <c r="B2" t="s">
        <v>72</v>
      </c>
      <c r="C2" t="s">
        <v>6419</v>
      </c>
      <c r="I2" t="s">
        <v>6430</v>
      </c>
    </row>
    <row r="3" spans="1:9" x14ac:dyDescent="0.25">
      <c r="A3" t="s">
        <v>160</v>
      </c>
      <c r="B3" t="s">
        <v>72</v>
      </c>
      <c r="C3" t="s">
        <v>6419</v>
      </c>
      <c r="I3" t="s">
        <v>6415</v>
      </c>
    </row>
    <row r="4" spans="1:9" x14ac:dyDescent="0.25">
      <c r="A4" t="s">
        <v>179</v>
      </c>
      <c r="B4" t="s">
        <v>72</v>
      </c>
      <c r="C4" t="s">
        <v>6419</v>
      </c>
      <c r="I4" t="s">
        <v>6420</v>
      </c>
    </row>
    <row r="5" spans="1:9" x14ac:dyDescent="0.25">
      <c r="A5" t="s">
        <v>4552</v>
      </c>
      <c r="B5" t="s">
        <v>72</v>
      </c>
      <c r="C5" t="s">
        <v>6417</v>
      </c>
      <c r="I5" t="s">
        <v>6427</v>
      </c>
    </row>
    <row r="6" spans="1:9" x14ac:dyDescent="0.25">
      <c r="A6" t="s">
        <v>4550</v>
      </c>
      <c r="B6" t="s">
        <v>72</v>
      </c>
      <c r="C6" t="s">
        <v>6417</v>
      </c>
      <c r="I6" t="s">
        <v>6419</v>
      </c>
    </row>
    <row r="7" spans="1:9" x14ac:dyDescent="0.25">
      <c r="A7" t="s">
        <v>863</v>
      </c>
      <c r="B7" t="s">
        <v>197</v>
      </c>
      <c r="C7" t="s">
        <v>6417</v>
      </c>
      <c r="I7" t="s">
        <v>6421</v>
      </c>
    </row>
    <row r="8" spans="1:9" x14ac:dyDescent="0.25">
      <c r="A8" t="s">
        <v>3466</v>
      </c>
      <c r="B8" t="s">
        <v>197</v>
      </c>
      <c r="C8" t="s">
        <v>6417</v>
      </c>
      <c r="I8" t="s">
        <v>6418</v>
      </c>
    </row>
    <row r="9" spans="1:9" x14ac:dyDescent="0.25">
      <c r="A9" t="s">
        <v>2389</v>
      </c>
      <c r="B9" t="s">
        <v>197</v>
      </c>
      <c r="C9" t="s">
        <v>6417</v>
      </c>
      <c r="I9" t="s">
        <v>6417</v>
      </c>
    </row>
    <row r="10" spans="1:9" x14ac:dyDescent="0.25">
      <c r="A10" t="s">
        <v>1711</v>
      </c>
      <c r="B10" t="s">
        <v>197</v>
      </c>
      <c r="C10" t="s">
        <v>6417</v>
      </c>
      <c r="I10" t="s">
        <v>6426</v>
      </c>
    </row>
    <row r="11" spans="1:9" x14ac:dyDescent="0.25">
      <c r="A11" t="s">
        <v>1712</v>
      </c>
      <c r="B11" t="s">
        <v>197</v>
      </c>
      <c r="C11" t="s">
        <v>6417</v>
      </c>
      <c r="I11" t="s">
        <v>6425</v>
      </c>
    </row>
    <row r="12" spans="1:9" x14ac:dyDescent="0.25">
      <c r="A12" t="s">
        <v>1277</v>
      </c>
      <c r="B12" t="s">
        <v>197</v>
      </c>
      <c r="C12" t="s">
        <v>6429</v>
      </c>
      <c r="I12" t="s">
        <v>6414</v>
      </c>
    </row>
    <row r="13" spans="1:9" x14ac:dyDescent="0.25">
      <c r="A13" t="s">
        <v>862</v>
      </c>
      <c r="B13" t="s">
        <v>197</v>
      </c>
      <c r="C13" t="s">
        <v>6417</v>
      </c>
      <c r="I13" t="s">
        <v>6422</v>
      </c>
    </row>
    <row r="14" spans="1:9" x14ac:dyDescent="0.25">
      <c r="A14" t="s">
        <v>5029</v>
      </c>
      <c r="B14" t="s">
        <v>197</v>
      </c>
      <c r="C14" t="s">
        <v>6417</v>
      </c>
      <c r="I14" t="s">
        <v>6416</v>
      </c>
    </row>
    <row r="15" spans="1:9" x14ac:dyDescent="0.25">
      <c r="A15" t="s">
        <v>1373</v>
      </c>
      <c r="B15" t="s">
        <v>197</v>
      </c>
      <c r="C15" t="s">
        <v>6417</v>
      </c>
      <c r="I15" t="s">
        <v>6431</v>
      </c>
    </row>
    <row r="16" spans="1:9" x14ac:dyDescent="0.25">
      <c r="A16" t="s">
        <v>1713</v>
      </c>
      <c r="B16" t="s">
        <v>197</v>
      </c>
      <c r="C16" t="s">
        <v>6417</v>
      </c>
      <c r="I16" t="s">
        <v>6424</v>
      </c>
    </row>
    <row r="17" spans="1:9" x14ac:dyDescent="0.25">
      <c r="A17" t="s">
        <v>861</v>
      </c>
      <c r="B17" t="s">
        <v>197</v>
      </c>
      <c r="C17" t="s">
        <v>6417</v>
      </c>
      <c r="I17" t="s">
        <v>6423</v>
      </c>
    </row>
    <row r="18" spans="1:9" x14ac:dyDescent="0.25">
      <c r="A18" t="s">
        <v>2394</v>
      </c>
      <c r="B18" t="s">
        <v>197</v>
      </c>
      <c r="C18" t="s">
        <v>6417</v>
      </c>
      <c r="I18" t="s">
        <v>6428</v>
      </c>
    </row>
    <row r="19" spans="1:9" x14ac:dyDescent="0.25">
      <c r="A19" t="s">
        <v>198</v>
      </c>
      <c r="B19" t="s">
        <v>197</v>
      </c>
      <c r="C19" t="s">
        <v>6417</v>
      </c>
      <c r="I19" t="s">
        <v>6429</v>
      </c>
    </row>
    <row r="20" spans="1:9" x14ac:dyDescent="0.25">
      <c r="A20" t="s">
        <v>860</v>
      </c>
      <c r="B20" t="s">
        <v>197</v>
      </c>
      <c r="C20" t="s">
        <v>6417</v>
      </c>
    </row>
    <row r="21" spans="1:9" x14ac:dyDescent="0.25">
      <c r="A21" t="s">
        <v>200</v>
      </c>
      <c r="B21" t="s">
        <v>199</v>
      </c>
      <c r="C21" t="s">
        <v>6417</v>
      </c>
    </row>
    <row r="22" spans="1:9" x14ac:dyDescent="0.25">
      <c r="A22" t="s">
        <v>3686</v>
      </c>
      <c r="B22" t="s">
        <v>3687</v>
      </c>
      <c r="C22" t="s">
        <v>6419</v>
      </c>
    </row>
    <row r="23" spans="1:9" x14ac:dyDescent="0.25">
      <c r="A23" t="s">
        <v>4673</v>
      </c>
      <c r="B23" t="s">
        <v>175</v>
      </c>
      <c r="C23" t="s">
        <v>6419</v>
      </c>
    </row>
    <row r="24" spans="1:9" x14ac:dyDescent="0.25">
      <c r="A24" t="s">
        <v>232</v>
      </c>
      <c r="B24" t="s">
        <v>175</v>
      </c>
      <c r="C24" t="s">
        <v>6419</v>
      </c>
    </row>
    <row r="25" spans="1:9" x14ac:dyDescent="0.25">
      <c r="A25" t="s">
        <v>1831</v>
      </c>
      <c r="B25" t="s">
        <v>175</v>
      </c>
      <c r="C25" t="s">
        <v>6417</v>
      </c>
    </row>
    <row r="26" spans="1:9" x14ac:dyDescent="0.25">
      <c r="A26" t="s">
        <v>185</v>
      </c>
      <c r="B26" t="s">
        <v>175</v>
      </c>
      <c r="C26" t="s">
        <v>6417</v>
      </c>
    </row>
    <row r="27" spans="1:9" x14ac:dyDescent="0.25">
      <c r="A27" t="s">
        <v>685</v>
      </c>
      <c r="B27" t="s">
        <v>175</v>
      </c>
      <c r="C27" t="s">
        <v>6417</v>
      </c>
    </row>
    <row r="28" spans="1:9" x14ac:dyDescent="0.25">
      <c r="A28" t="s">
        <v>887</v>
      </c>
      <c r="B28" t="s">
        <v>175</v>
      </c>
      <c r="C28" t="s">
        <v>6419</v>
      </c>
    </row>
    <row r="29" spans="1:9" x14ac:dyDescent="0.25">
      <c r="A29" t="s">
        <v>4611</v>
      </c>
      <c r="B29" t="s">
        <v>175</v>
      </c>
      <c r="C29" t="s">
        <v>6434</v>
      </c>
    </row>
    <row r="30" spans="1:9" x14ac:dyDescent="0.25">
      <c r="A30" t="s">
        <v>4658</v>
      </c>
      <c r="B30" t="s">
        <v>175</v>
      </c>
      <c r="C30" t="s">
        <v>6435</v>
      </c>
    </row>
    <row r="31" spans="1:9" x14ac:dyDescent="0.25">
      <c r="A31" t="s">
        <v>187</v>
      </c>
      <c r="B31" t="s">
        <v>175</v>
      </c>
      <c r="C31" t="s">
        <v>6417</v>
      </c>
    </row>
    <row r="32" spans="1:9" x14ac:dyDescent="0.25">
      <c r="A32" t="s">
        <v>5246</v>
      </c>
      <c r="B32" t="s">
        <v>175</v>
      </c>
      <c r="C32" t="s">
        <v>6427</v>
      </c>
    </row>
    <row r="33" spans="1:3" x14ac:dyDescent="0.25">
      <c r="A33" t="s">
        <v>341</v>
      </c>
      <c r="B33" t="s">
        <v>175</v>
      </c>
      <c r="C33" t="s">
        <v>6417</v>
      </c>
    </row>
    <row r="34" spans="1:3" x14ac:dyDescent="0.25">
      <c r="A34" t="s">
        <v>856</v>
      </c>
      <c r="B34" t="s">
        <v>175</v>
      </c>
      <c r="C34" t="s">
        <v>6417</v>
      </c>
    </row>
    <row r="35" spans="1:3" x14ac:dyDescent="0.25">
      <c r="A35" t="s">
        <v>1383</v>
      </c>
      <c r="B35" t="s">
        <v>175</v>
      </c>
      <c r="C35" t="s">
        <v>6423</v>
      </c>
    </row>
    <row r="36" spans="1:3" x14ac:dyDescent="0.25">
      <c r="A36" t="s">
        <v>1004</v>
      </c>
      <c r="B36" t="s">
        <v>175</v>
      </c>
      <c r="C36" t="s">
        <v>6423</v>
      </c>
    </row>
    <row r="37" spans="1:3" x14ac:dyDescent="0.25">
      <c r="A37" t="s">
        <v>1833</v>
      </c>
      <c r="B37" t="s">
        <v>175</v>
      </c>
      <c r="C37" t="s">
        <v>6418</v>
      </c>
    </row>
    <row r="38" spans="1:3" x14ac:dyDescent="0.25">
      <c r="A38" t="s">
        <v>176</v>
      </c>
      <c r="B38" t="s">
        <v>175</v>
      </c>
      <c r="C38" t="s">
        <v>6417</v>
      </c>
    </row>
    <row r="39" spans="1:3" x14ac:dyDescent="0.25">
      <c r="A39" t="s">
        <v>3416</v>
      </c>
      <c r="B39" t="s">
        <v>175</v>
      </c>
      <c r="C39" t="s">
        <v>6419</v>
      </c>
    </row>
    <row r="40" spans="1:3" x14ac:dyDescent="0.25">
      <c r="A40" t="s">
        <v>186</v>
      </c>
      <c r="B40" t="s">
        <v>175</v>
      </c>
      <c r="C40" t="s">
        <v>6417</v>
      </c>
    </row>
    <row r="41" spans="1:3" x14ac:dyDescent="0.25">
      <c r="A41" t="s">
        <v>1996</v>
      </c>
      <c r="B41" t="s">
        <v>175</v>
      </c>
      <c r="C41" t="s">
        <v>6423</v>
      </c>
    </row>
    <row r="42" spans="1:3" x14ac:dyDescent="0.25">
      <c r="A42" t="s">
        <v>182</v>
      </c>
      <c r="B42" t="s">
        <v>175</v>
      </c>
      <c r="C42" t="s">
        <v>6418</v>
      </c>
    </row>
    <row r="43" spans="1:3" x14ac:dyDescent="0.25">
      <c r="A43" t="s">
        <v>233</v>
      </c>
      <c r="B43" t="s">
        <v>175</v>
      </c>
      <c r="C43" t="s">
        <v>6417</v>
      </c>
    </row>
    <row r="44" spans="1:3" x14ac:dyDescent="0.25">
      <c r="A44" t="s">
        <v>682</v>
      </c>
      <c r="B44" t="s">
        <v>175</v>
      </c>
      <c r="C44" t="s">
        <v>6417</v>
      </c>
    </row>
    <row r="45" spans="1:3" x14ac:dyDescent="0.25">
      <c r="A45" t="s">
        <v>1832</v>
      </c>
      <c r="B45" t="s">
        <v>175</v>
      </c>
      <c r="C45" t="s">
        <v>6417</v>
      </c>
    </row>
    <row r="46" spans="1:3" x14ac:dyDescent="0.25">
      <c r="A46" t="s">
        <v>2974</v>
      </c>
      <c r="B46" t="s">
        <v>175</v>
      </c>
      <c r="C46" t="s">
        <v>6417</v>
      </c>
    </row>
    <row r="47" spans="1:3" x14ac:dyDescent="0.25">
      <c r="A47" t="s">
        <v>390</v>
      </c>
      <c r="B47" t="s">
        <v>175</v>
      </c>
      <c r="C47" t="s">
        <v>6418</v>
      </c>
    </row>
    <row r="48" spans="1:3" x14ac:dyDescent="0.25">
      <c r="A48" t="s">
        <v>4568</v>
      </c>
      <c r="B48" t="s">
        <v>175</v>
      </c>
      <c r="C48" t="s">
        <v>6427</v>
      </c>
    </row>
    <row r="49" spans="1:3" x14ac:dyDescent="0.25">
      <c r="A49" t="s">
        <v>342</v>
      </c>
      <c r="B49" t="s">
        <v>175</v>
      </c>
      <c r="C49" t="s">
        <v>6417</v>
      </c>
    </row>
    <row r="50" spans="1:3" x14ac:dyDescent="0.25">
      <c r="A50" t="s">
        <v>4677</v>
      </c>
      <c r="B50" t="s">
        <v>175</v>
      </c>
      <c r="C50" t="s">
        <v>6419</v>
      </c>
    </row>
    <row r="51" spans="1:3" x14ac:dyDescent="0.25">
      <c r="A51" t="s">
        <v>1993</v>
      </c>
      <c r="B51" t="s">
        <v>175</v>
      </c>
      <c r="C51" t="s">
        <v>6427</v>
      </c>
    </row>
    <row r="52" spans="1:3" x14ac:dyDescent="0.25">
      <c r="A52" t="s">
        <v>395</v>
      </c>
      <c r="B52" t="s">
        <v>175</v>
      </c>
      <c r="C52" t="s">
        <v>6417</v>
      </c>
    </row>
    <row r="53" spans="1:3" x14ac:dyDescent="0.25">
      <c r="A53" t="s">
        <v>3400</v>
      </c>
      <c r="B53" t="s">
        <v>3396</v>
      </c>
      <c r="C53" t="s">
        <v>6429</v>
      </c>
    </row>
    <row r="54" spans="1:3" x14ac:dyDescent="0.25">
      <c r="A54" t="s">
        <v>3402</v>
      </c>
      <c r="B54" t="s">
        <v>3396</v>
      </c>
      <c r="C54" t="s">
        <v>6417</v>
      </c>
    </row>
    <row r="55" spans="1:3" x14ac:dyDescent="0.25">
      <c r="A55" t="s">
        <v>3833</v>
      </c>
      <c r="B55" t="s">
        <v>3396</v>
      </c>
      <c r="C55" t="s">
        <v>6417</v>
      </c>
    </row>
    <row r="56" spans="1:3" x14ac:dyDescent="0.25">
      <c r="A56" t="s">
        <v>345</v>
      </c>
      <c r="B56" t="s">
        <v>346</v>
      </c>
      <c r="C56" t="s">
        <v>6417</v>
      </c>
    </row>
    <row r="57" spans="1:3" x14ac:dyDescent="0.25">
      <c r="A57" t="s">
        <v>866</v>
      </c>
      <c r="B57" t="s">
        <v>4826</v>
      </c>
      <c r="C57" t="s">
        <v>6434</v>
      </c>
    </row>
    <row r="58" spans="1:3" x14ac:dyDescent="0.25">
      <c r="A58" t="s">
        <v>2127</v>
      </c>
      <c r="B58" t="s">
        <v>4826</v>
      </c>
      <c r="C58" t="s">
        <v>6417</v>
      </c>
    </row>
    <row r="59" spans="1:3" x14ac:dyDescent="0.25">
      <c r="A59" t="s">
        <v>867</v>
      </c>
      <c r="B59" t="s">
        <v>4826</v>
      </c>
      <c r="C59" t="s">
        <v>6417</v>
      </c>
    </row>
    <row r="60" spans="1:3" x14ac:dyDescent="0.25">
      <c r="A60" t="s">
        <v>865</v>
      </c>
      <c r="B60" t="s">
        <v>4826</v>
      </c>
      <c r="C60" t="s">
        <v>6434</v>
      </c>
    </row>
    <row r="61" spans="1:3" x14ac:dyDescent="0.25">
      <c r="A61" t="s">
        <v>2398</v>
      </c>
      <c r="B61" t="s">
        <v>864</v>
      </c>
      <c r="C61" t="s">
        <v>6434</v>
      </c>
    </row>
    <row r="62" spans="1:3" x14ac:dyDescent="0.25">
      <c r="A62" t="s">
        <v>866</v>
      </c>
      <c r="B62" t="s">
        <v>864</v>
      </c>
      <c r="C62" t="s">
        <v>6434</v>
      </c>
    </row>
    <row r="63" spans="1:3" x14ac:dyDescent="0.25">
      <c r="A63" t="s">
        <v>867</v>
      </c>
      <c r="B63" t="s">
        <v>864</v>
      </c>
      <c r="C63" t="s">
        <v>6417</v>
      </c>
    </row>
    <row r="64" spans="1:3" x14ac:dyDescent="0.25">
      <c r="A64" t="s">
        <v>865</v>
      </c>
      <c r="B64" t="s">
        <v>864</v>
      </c>
      <c r="C64" t="s">
        <v>6434</v>
      </c>
    </row>
    <row r="65" spans="1:3" x14ac:dyDescent="0.25">
      <c r="A65" t="s">
        <v>69</v>
      </c>
      <c r="B65" t="s">
        <v>68</v>
      </c>
      <c r="C65" t="s">
        <v>6429</v>
      </c>
    </row>
    <row r="66" spans="1:3" x14ac:dyDescent="0.25">
      <c r="A66" t="s">
        <v>317</v>
      </c>
      <c r="B66" t="s">
        <v>68</v>
      </c>
      <c r="C66" t="s">
        <v>6415</v>
      </c>
    </row>
    <row r="67" spans="1:3" x14ac:dyDescent="0.25">
      <c r="A67" t="s">
        <v>2303</v>
      </c>
      <c r="B67" t="s">
        <v>4407</v>
      </c>
      <c r="C67" t="s">
        <v>6429</v>
      </c>
    </row>
    <row r="68" spans="1:3" x14ac:dyDescent="0.25">
      <c r="A68" t="s">
        <v>3906</v>
      </c>
      <c r="B68" t="s">
        <v>4407</v>
      </c>
      <c r="C68" t="s">
        <v>6419</v>
      </c>
    </row>
    <row r="69" spans="1:3" x14ac:dyDescent="0.25">
      <c r="A69" t="s">
        <v>2301</v>
      </c>
      <c r="B69" t="s">
        <v>4407</v>
      </c>
      <c r="C69" t="s">
        <v>6429</v>
      </c>
    </row>
    <row r="70" spans="1:3" x14ac:dyDescent="0.25">
      <c r="A70" t="s">
        <v>4415</v>
      </c>
      <c r="B70" t="s">
        <v>4407</v>
      </c>
      <c r="C70" t="s">
        <v>6418</v>
      </c>
    </row>
    <row r="71" spans="1:3" x14ac:dyDescent="0.25">
      <c r="A71" t="s">
        <v>4423</v>
      </c>
      <c r="B71" t="s">
        <v>4407</v>
      </c>
      <c r="C71" t="s">
        <v>6417</v>
      </c>
    </row>
    <row r="72" spans="1:3" x14ac:dyDescent="0.25">
      <c r="A72" t="s">
        <v>1688</v>
      </c>
      <c r="B72" t="s">
        <v>1166</v>
      </c>
      <c r="C72" t="s">
        <v>6418</v>
      </c>
    </row>
    <row r="73" spans="1:3" x14ac:dyDescent="0.25">
      <c r="A73" t="s">
        <v>2303</v>
      </c>
      <c r="B73" t="s">
        <v>1166</v>
      </c>
      <c r="C73" t="s">
        <v>6429</v>
      </c>
    </row>
    <row r="74" spans="1:3" x14ac:dyDescent="0.25">
      <c r="A74" t="s">
        <v>2305</v>
      </c>
      <c r="B74" t="s">
        <v>1166</v>
      </c>
      <c r="C74" t="s">
        <v>6419</v>
      </c>
    </row>
    <row r="75" spans="1:3" x14ac:dyDescent="0.25">
      <c r="A75" t="s">
        <v>1686</v>
      </c>
      <c r="B75" t="s">
        <v>1166</v>
      </c>
      <c r="C75" t="s">
        <v>6419</v>
      </c>
    </row>
    <row r="76" spans="1:3" x14ac:dyDescent="0.25">
      <c r="A76" t="s">
        <v>1685</v>
      </c>
      <c r="B76" t="s">
        <v>1166</v>
      </c>
      <c r="C76" t="s">
        <v>6417</v>
      </c>
    </row>
    <row r="77" spans="1:3" x14ac:dyDescent="0.25">
      <c r="A77" t="s">
        <v>1687</v>
      </c>
      <c r="B77" t="s">
        <v>1166</v>
      </c>
      <c r="C77" t="s">
        <v>6419</v>
      </c>
    </row>
    <row r="78" spans="1:3" x14ac:dyDescent="0.25">
      <c r="A78" t="s">
        <v>2307</v>
      </c>
      <c r="B78" t="s">
        <v>1166</v>
      </c>
      <c r="C78" t="s">
        <v>6415</v>
      </c>
    </row>
    <row r="79" spans="1:3" x14ac:dyDescent="0.25">
      <c r="A79" t="s">
        <v>2301</v>
      </c>
      <c r="B79" t="s">
        <v>1166</v>
      </c>
      <c r="C79" t="s">
        <v>6429</v>
      </c>
    </row>
    <row r="80" spans="1:3" x14ac:dyDescent="0.25">
      <c r="A80" t="s">
        <v>3404</v>
      </c>
      <c r="B80" t="s">
        <v>1166</v>
      </c>
      <c r="C80" t="s">
        <v>6429</v>
      </c>
    </row>
    <row r="81" spans="1:3" x14ac:dyDescent="0.25">
      <c r="A81" t="s">
        <v>2848</v>
      </c>
      <c r="B81" t="s">
        <v>1166</v>
      </c>
      <c r="C81" t="s">
        <v>6415</v>
      </c>
    </row>
    <row r="82" spans="1:3" x14ac:dyDescent="0.25">
      <c r="A82" t="s">
        <v>1684</v>
      </c>
      <c r="B82" t="s">
        <v>1166</v>
      </c>
      <c r="C82" t="s">
        <v>6417</v>
      </c>
    </row>
    <row r="83" spans="1:3" x14ac:dyDescent="0.25">
      <c r="A83" t="s">
        <v>1894</v>
      </c>
      <c r="B83" t="s">
        <v>1166</v>
      </c>
      <c r="C83" t="s">
        <v>6418</v>
      </c>
    </row>
    <row r="84" spans="1:3" x14ac:dyDescent="0.25">
      <c r="A84" t="s">
        <v>1689</v>
      </c>
      <c r="B84" t="s">
        <v>1166</v>
      </c>
      <c r="C84" t="s">
        <v>6418</v>
      </c>
    </row>
    <row r="85" spans="1:3" x14ac:dyDescent="0.25">
      <c r="A85" t="s">
        <v>1945</v>
      </c>
      <c r="B85" t="s">
        <v>1166</v>
      </c>
      <c r="C85" t="s">
        <v>6417</v>
      </c>
    </row>
    <row r="86" spans="1:3" x14ac:dyDescent="0.25">
      <c r="A86" t="s">
        <v>1690</v>
      </c>
      <c r="B86" t="s">
        <v>1166</v>
      </c>
      <c r="C86" t="s">
        <v>6418</v>
      </c>
    </row>
    <row r="87" spans="1:3" x14ac:dyDescent="0.25">
      <c r="A87" t="s">
        <v>3408</v>
      </c>
      <c r="B87" t="s">
        <v>1166</v>
      </c>
      <c r="C87" t="s">
        <v>6427</v>
      </c>
    </row>
    <row r="88" spans="1:3" x14ac:dyDescent="0.25">
      <c r="A88" t="s">
        <v>1837</v>
      </c>
      <c r="B88" t="s">
        <v>1166</v>
      </c>
      <c r="C88" t="s">
        <v>6427</v>
      </c>
    </row>
    <row r="89" spans="1:3" x14ac:dyDescent="0.25">
      <c r="A89" t="s">
        <v>771</v>
      </c>
      <c r="B89" t="s">
        <v>1166</v>
      </c>
      <c r="C89" t="s">
        <v>6427</v>
      </c>
    </row>
    <row r="90" spans="1:3" x14ac:dyDescent="0.25">
      <c r="A90" t="s">
        <v>2872</v>
      </c>
      <c r="B90" t="s">
        <v>1607</v>
      </c>
      <c r="C90" t="s">
        <v>6429</v>
      </c>
    </row>
    <row r="91" spans="1:3" x14ac:dyDescent="0.25">
      <c r="A91" t="s">
        <v>5040</v>
      </c>
      <c r="B91" t="s">
        <v>1278</v>
      </c>
      <c r="C91" t="s">
        <v>6418</v>
      </c>
    </row>
    <row r="92" spans="1:3" x14ac:dyDescent="0.25">
      <c r="A92" t="s">
        <v>1461</v>
      </c>
      <c r="B92" t="s">
        <v>1278</v>
      </c>
      <c r="C92" t="s">
        <v>6417</v>
      </c>
    </row>
    <row r="93" spans="1:3" x14ac:dyDescent="0.25">
      <c r="A93" t="s">
        <v>1775</v>
      </c>
      <c r="B93" t="s">
        <v>493</v>
      </c>
      <c r="C93" t="s">
        <v>6417</v>
      </c>
    </row>
    <row r="94" spans="1:3" x14ac:dyDescent="0.25">
      <c r="A94" t="s">
        <v>1234</v>
      </c>
      <c r="B94" t="s">
        <v>493</v>
      </c>
      <c r="C94" t="s">
        <v>6429</v>
      </c>
    </row>
    <row r="95" spans="1:3" x14ac:dyDescent="0.25">
      <c r="A95" t="s">
        <v>6340</v>
      </c>
      <c r="B95" t="s">
        <v>493</v>
      </c>
      <c r="C95" t="s">
        <v>6417</v>
      </c>
    </row>
    <row r="96" spans="1:3" x14ac:dyDescent="0.25">
      <c r="A96" t="s">
        <v>1362</v>
      </c>
      <c r="B96" t="s">
        <v>253</v>
      </c>
      <c r="C96" t="s">
        <v>6429</v>
      </c>
    </row>
    <row r="97" spans="1:3" x14ac:dyDescent="0.25">
      <c r="A97" t="s">
        <v>3023</v>
      </c>
      <c r="B97" t="s">
        <v>253</v>
      </c>
      <c r="C97" t="s">
        <v>6415</v>
      </c>
    </row>
    <row r="98" spans="1:3" x14ac:dyDescent="0.25">
      <c r="A98" t="s">
        <v>1361</v>
      </c>
      <c r="B98" t="s">
        <v>253</v>
      </c>
      <c r="C98" t="s">
        <v>6419</v>
      </c>
    </row>
    <row r="99" spans="1:3" x14ac:dyDescent="0.25">
      <c r="A99" t="s">
        <v>254</v>
      </c>
      <c r="B99" t="s">
        <v>253</v>
      </c>
      <c r="C99" t="s">
        <v>6427</v>
      </c>
    </row>
    <row r="100" spans="1:3" x14ac:dyDescent="0.25">
      <c r="A100" t="s">
        <v>771</v>
      </c>
      <c r="B100" t="s">
        <v>1453</v>
      </c>
      <c r="C100" t="s">
        <v>6427</v>
      </c>
    </row>
    <row r="101" spans="1:3" x14ac:dyDescent="0.25">
      <c r="A101" t="s">
        <v>5762</v>
      </c>
      <c r="B101" t="s">
        <v>1453</v>
      </c>
      <c r="C101" t="s">
        <v>6427</v>
      </c>
    </row>
    <row r="102" spans="1:3" x14ac:dyDescent="0.25">
      <c r="A102" t="s">
        <v>5765</v>
      </c>
      <c r="B102" t="s">
        <v>1453</v>
      </c>
      <c r="C102" t="s">
        <v>6427</v>
      </c>
    </row>
    <row r="103" spans="1:3" x14ac:dyDescent="0.25">
      <c r="A103" t="s">
        <v>4937</v>
      </c>
      <c r="B103" t="s">
        <v>257</v>
      </c>
      <c r="C103" t="s">
        <v>6418</v>
      </c>
    </row>
    <row r="104" spans="1:3" x14ac:dyDescent="0.25">
      <c r="A104" t="s">
        <v>1671</v>
      </c>
      <c r="B104" t="s">
        <v>257</v>
      </c>
      <c r="C104" t="s">
        <v>6417</v>
      </c>
    </row>
    <row r="105" spans="1:3" x14ac:dyDescent="0.25">
      <c r="A105" t="s">
        <v>1414</v>
      </c>
      <c r="B105" t="s">
        <v>257</v>
      </c>
      <c r="C105" t="s">
        <v>6417</v>
      </c>
    </row>
    <row r="106" spans="1:3" x14ac:dyDescent="0.25">
      <c r="A106" t="s">
        <v>2338</v>
      </c>
      <c r="B106" t="s">
        <v>257</v>
      </c>
      <c r="C106" t="s">
        <v>6417</v>
      </c>
    </row>
    <row r="107" spans="1:3" x14ac:dyDescent="0.25">
      <c r="A107" t="s">
        <v>258</v>
      </c>
      <c r="B107" t="s">
        <v>257</v>
      </c>
      <c r="C107" t="s">
        <v>6417</v>
      </c>
    </row>
    <row r="108" spans="1:3" x14ac:dyDescent="0.25">
      <c r="A108" t="s">
        <v>424</v>
      </c>
      <c r="B108" t="s">
        <v>257</v>
      </c>
      <c r="C108" t="s">
        <v>6417</v>
      </c>
    </row>
    <row r="109" spans="1:3" x14ac:dyDescent="0.25">
      <c r="A109" t="s">
        <v>1931</v>
      </c>
      <c r="B109" t="s">
        <v>257</v>
      </c>
      <c r="C109" t="s">
        <v>6423</v>
      </c>
    </row>
    <row r="110" spans="1:3" x14ac:dyDescent="0.25">
      <c r="A110" t="s">
        <v>422</v>
      </c>
      <c r="B110" t="s">
        <v>257</v>
      </c>
      <c r="C110" t="s">
        <v>6434</v>
      </c>
    </row>
    <row r="111" spans="1:3" x14ac:dyDescent="0.25">
      <c r="A111" t="s">
        <v>1413</v>
      </c>
      <c r="B111" t="s">
        <v>257</v>
      </c>
      <c r="C111" t="s">
        <v>6417</v>
      </c>
    </row>
    <row r="112" spans="1:3" x14ac:dyDescent="0.25">
      <c r="A112" t="s">
        <v>3625</v>
      </c>
      <c r="B112" t="s">
        <v>257</v>
      </c>
      <c r="C112" t="s">
        <v>6417</v>
      </c>
    </row>
    <row r="113" spans="1:3" x14ac:dyDescent="0.25">
      <c r="A113" t="s">
        <v>423</v>
      </c>
      <c r="B113" t="s">
        <v>257</v>
      </c>
      <c r="C113" t="s">
        <v>6418</v>
      </c>
    </row>
    <row r="114" spans="1:3" x14ac:dyDescent="0.25">
      <c r="A114" t="s">
        <v>3446</v>
      </c>
      <c r="B114" t="s">
        <v>257</v>
      </c>
      <c r="C114" t="s">
        <v>6418</v>
      </c>
    </row>
    <row r="115" spans="1:3" x14ac:dyDescent="0.25">
      <c r="A115" t="s">
        <v>421</v>
      </c>
      <c r="B115" t="s">
        <v>257</v>
      </c>
      <c r="C115" t="s">
        <v>6417</v>
      </c>
    </row>
    <row r="116" spans="1:3" x14ac:dyDescent="0.25">
      <c r="A116" t="s">
        <v>1672</v>
      </c>
      <c r="B116" t="s">
        <v>257</v>
      </c>
      <c r="C116" t="s">
        <v>6418</v>
      </c>
    </row>
    <row r="117" spans="1:3" x14ac:dyDescent="0.25">
      <c r="A117" t="s">
        <v>2864</v>
      </c>
      <c r="B117" t="s">
        <v>257</v>
      </c>
      <c r="C117" t="s">
        <v>6427</v>
      </c>
    </row>
    <row r="118" spans="1:3" x14ac:dyDescent="0.25">
      <c r="A118" t="s">
        <v>1704</v>
      </c>
      <c r="B118" t="s">
        <v>257</v>
      </c>
      <c r="C118" t="s">
        <v>6417</v>
      </c>
    </row>
    <row r="119" spans="1:3" x14ac:dyDescent="0.25">
      <c r="A119" t="s">
        <v>120</v>
      </c>
      <c r="B119" t="s">
        <v>814</v>
      </c>
      <c r="C119" t="s">
        <v>6419</v>
      </c>
    </row>
    <row r="120" spans="1:3" x14ac:dyDescent="0.25">
      <c r="A120" t="s">
        <v>112</v>
      </c>
      <c r="B120" t="s">
        <v>814</v>
      </c>
      <c r="C120" t="s">
        <v>6417</v>
      </c>
    </row>
    <row r="121" spans="1:3" x14ac:dyDescent="0.25">
      <c r="A121" t="s">
        <v>2735</v>
      </c>
      <c r="B121" t="s">
        <v>814</v>
      </c>
      <c r="C121" t="s">
        <v>6417</v>
      </c>
    </row>
    <row r="122" spans="1:3" x14ac:dyDescent="0.25">
      <c r="A122" t="s">
        <v>114</v>
      </c>
      <c r="B122" t="s">
        <v>814</v>
      </c>
      <c r="C122" t="s">
        <v>6417</v>
      </c>
    </row>
    <row r="123" spans="1:3" x14ac:dyDescent="0.25">
      <c r="A123" t="s">
        <v>117</v>
      </c>
      <c r="B123" t="s">
        <v>814</v>
      </c>
      <c r="C123" t="s">
        <v>6417</v>
      </c>
    </row>
    <row r="124" spans="1:3" x14ac:dyDescent="0.25">
      <c r="A124" t="s">
        <v>115</v>
      </c>
      <c r="B124" t="s">
        <v>814</v>
      </c>
      <c r="C124" t="s">
        <v>6417</v>
      </c>
    </row>
    <row r="125" spans="1:3" x14ac:dyDescent="0.25">
      <c r="A125" t="s">
        <v>116</v>
      </c>
      <c r="B125" t="s">
        <v>814</v>
      </c>
      <c r="C125" t="s">
        <v>6417</v>
      </c>
    </row>
    <row r="126" spans="1:3" x14ac:dyDescent="0.25">
      <c r="A126" t="s">
        <v>119</v>
      </c>
      <c r="B126" t="s">
        <v>814</v>
      </c>
      <c r="C126" t="s">
        <v>6417</v>
      </c>
    </row>
    <row r="127" spans="1:3" x14ac:dyDescent="0.25">
      <c r="A127" t="s">
        <v>118</v>
      </c>
      <c r="B127" t="s">
        <v>814</v>
      </c>
      <c r="C127" t="s">
        <v>6417</v>
      </c>
    </row>
    <row r="128" spans="1:3" x14ac:dyDescent="0.25">
      <c r="A128" t="s">
        <v>113</v>
      </c>
      <c r="B128" t="s">
        <v>814</v>
      </c>
      <c r="C128" t="s">
        <v>6417</v>
      </c>
    </row>
    <row r="129" spans="1:3" x14ac:dyDescent="0.25">
      <c r="A129" t="s">
        <v>1721</v>
      </c>
      <c r="B129" t="s">
        <v>814</v>
      </c>
      <c r="C129" t="s">
        <v>6417</v>
      </c>
    </row>
    <row r="130" spans="1:3" x14ac:dyDescent="0.25">
      <c r="A130" t="s">
        <v>120</v>
      </c>
      <c r="B130" t="s">
        <v>3842</v>
      </c>
      <c r="C130" t="s">
        <v>6419</v>
      </c>
    </row>
    <row r="131" spans="1:3" x14ac:dyDescent="0.25">
      <c r="A131" t="s">
        <v>5273</v>
      </c>
      <c r="B131" t="s">
        <v>3842</v>
      </c>
      <c r="C131" t="s">
        <v>6417</v>
      </c>
    </row>
    <row r="132" spans="1:3" x14ac:dyDescent="0.25">
      <c r="A132" t="s">
        <v>112</v>
      </c>
      <c r="B132" t="s">
        <v>3842</v>
      </c>
      <c r="C132" t="s">
        <v>6417</v>
      </c>
    </row>
    <row r="133" spans="1:3" x14ac:dyDescent="0.25">
      <c r="A133" t="s">
        <v>114</v>
      </c>
      <c r="B133" t="s">
        <v>3842</v>
      </c>
      <c r="C133" t="s">
        <v>6417</v>
      </c>
    </row>
    <row r="134" spans="1:3" x14ac:dyDescent="0.25">
      <c r="A134" t="s">
        <v>117</v>
      </c>
      <c r="B134" t="s">
        <v>3842</v>
      </c>
      <c r="C134" t="s">
        <v>6417</v>
      </c>
    </row>
    <row r="135" spans="1:3" x14ac:dyDescent="0.25">
      <c r="A135" t="s">
        <v>3910</v>
      </c>
      <c r="B135" t="s">
        <v>3842</v>
      </c>
      <c r="C135" t="s">
        <v>6417</v>
      </c>
    </row>
    <row r="136" spans="1:3" x14ac:dyDescent="0.25">
      <c r="A136" t="s">
        <v>115</v>
      </c>
      <c r="B136" t="s">
        <v>3842</v>
      </c>
      <c r="C136" t="s">
        <v>6417</v>
      </c>
    </row>
    <row r="137" spans="1:3" x14ac:dyDescent="0.25">
      <c r="A137" t="s">
        <v>116</v>
      </c>
      <c r="B137" t="s">
        <v>3842</v>
      </c>
      <c r="C137" t="s">
        <v>6417</v>
      </c>
    </row>
    <row r="138" spans="1:3" x14ac:dyDescent="0.25">
      <c r="A138" t="s">
        <v>119</v>
      </c>
      <c r="B138" t="s">
        <v>3842</v>
      </c>
      <c r="C138" t="s">
        <v>6417</v>
      </c>
    </row>
    <row r="139" spans="1:3" x14ac:dyDescent="0.25">
      <c r="A139" t="s">
        <v>118</v>
      </c>
      <c r="B139" t="s">
        <v>3842</v>
      </c>
      <c r="C139" t="s">
        <v>6417</v>
      </c>
    </row>
    <row r="140" spans="1:3" x14ac:dyDescent="0.25">
      <c r="A140" t="s">
        <v>113</v>
      </c>
      <c r="B140" t="s">
        <v>3842</v>
      </c>
      <c r="C140" t="s">
        <v>6417</v>
      </c>
    </row>
    <row r="141" spans="1:3" x14ac:dyDescent="0.25">
      <c r="A141" t="s">
        <v>1721</v>
      </c>
      <c r="B141" t="s">
        <v>3842</v>
      </c>
      <c r="C141" t="s">
        <v>6417</v>
      </c>
    </row>
    <row r="142" spans="1:3" x14ac:dyDescent="0.25">
      <c r="A142" t="s">
        <v>3913</v>
      </c>
      <c r="B142" t="s">
        <v>3842</v>
      </c>
      <c r="C142" t="s">
        <v>6417</v>
      </c>
    </row>
    <row r="143" spans="1:3" x14ac:dyDescent="0.25">
      <c r="A143" t="s">
        <v>120</v>
      </c>
      <c r="B143" t="s">
        <v>109</v>
      </c>
      <c r="C143" t="s">
        <v>6419</v>
      </c>
    </row>
    <row r="144" spans="1:3" x14ac:dyDescent="0.25">
      <c r="A144" t="s">
        <v>112</v>
      </c>
      <c r="B144" t="s">
        <v>109</v>
      </c>
      <c r="C144" t="s">
        <v>6417</v>
      </c>
    </row>
    <row r="145" spans="1:3" x14ac:dyDescent="0.25">
      <c r="A145" t="s">
        <v>114</v>
      </c>
      <c r="B145" t="s">
        <v>109</v>
      </c>
      <c r="C145" t="s">
        <v>6417</v>
      </c>
    </row>
    <row r="146" spans="1:3" x14ac:dyDescent="0.25">
      <c r="A146" t="s">
        <v>117</v>
      </c>
      <c r="B146" t="s">
        <v>109</v>
      </c>
      <c r="C146" t="s">
        <v>6417</v>
      </c>
    </row>
    <row r="147" spans="1:3" x14ac:dyDescent="0.25">
      <c r="A147" t="s">
        <v>115</v>
      </c>
      <c r="B147" t="s">
        <v>109</v>
      </c>
      <c r="C147" t="s">
        <v>6417</v>
      </c>
    </row>
    <row r="148" spans="1:3" x14ac:dyDescent="0.25">
      <c r="A148" t="s">
        <v>116</v>
      </c>
      <c r="B148" t="s">
        <v>109</v>
      </c>
      <c r="C148" t="s">
        <v>6417</v>
      </c>
    </row>
    <row r="149" spans="1:3" x14ac:dyDescent="0.25">
      <c r="A149" t="s">
        <v>119</v>
      </c>
      <c r="B149" t="s">
        <v>109</v>
      </c>
      <c r="C149" t="s">
        <v>6417</v>
      </c>
    </row>
    <row r="150" spans="1:3" x14ac:dyDescent="0.25">
      <c r="A150" t="s">
        <v>118</v>
      </c>
      <c r="B150" t="s">
        <v>109</v>
      </c>
      <c r="C150" t="s">
        <v>6417</v>
      </c>
    </row>
    <row r="151" spans="1:3" x14ac:dyDescent="0.25">
      <c r="A151" t="s">
        <v>113</v>
      </c>
      <c r="B151" t="s">
        <v>109</v>
      </c>
      <c r="C151" t="s">
        <v>6417</v>
      </c>
    </row>
    <row r="152" spans="1:3" x14ac:dyDescent="0.25">
      <c r="A152" t="s">
        <v>110</v>
      </c>
      <c r="B152" t="s">
        <v>109</v>
      </c>
      <c r="C152" t="s">
        <v>6419</v>
      </c>
    </row>
    <row r="153" spans="1:3" x14ac:dyDescent="0.25">
      <c r="A153" t="s">
        <v>111</v>
      </c>
      <c r="B153" t="s">
        <v>109</v>
      </c>
      <c r="C153" t="s">
        <v>6417</v>
      </c>
    </row>
    <row r="154" spans="1:3" x14ac:dyDescent="0.25">
      <c r="A154" t="s">
        <v>1723</v>
      </c>
      <c r="B154" t="s">
        <v>330</v>
      </c>
      <c r="C154" t="s">
        <v>6429</v>
      </c>
    </row>
    <row r="155" spans="1:3" x14ac:dyDescent="0.25">
      <c r="A155" t="s">
        <v>2689</v>
      </c>
      <c r="B155" t="s">
        <v>330</v>
      </c>
      <c r="C155" t="s">
        <v>6417</v>
      </c>
    </row>
    <row r="156" spans="1:3" x14ac:dyDescent="0.25">
      <c r="A156" t="s">
        <v>331</v>
      </c>
      <c r="B156" t="s">
        <v>330</v>
      </c>
      <c r="C156" t="s">
        <v>6419</v>
      </c>
    </row>
    <row r="157" spans="1:3" x14ac:dyDescent="0.25">
      <c r="A157" t="s">
        <v>855</v>
      </c>
      <c r="B157" t="s">
        <v>330</v>
      </c>
      <c r="C157" t="s">
        <v>6417</v>
      </c>
    </row>
    <row r="158" spans="1:3" x14ac:dyDescent="0.25">
      <c r="A158" t="s">
        <v>332</v>
      </c>
      <c r="B158" t="s">
        <v>330</v>
      </c>
      <c r="C158" t="s">
        <v>6417</v>
      </c>
    </row>
    <row r="159" spans="1:3" x14ac:dyDescent="0.25">
      <c r="A159" t="s">
        <v>360</v>
      </c>
      <c r="B159" t="s">
        <v>330</v>
      </c>
      <c r="C159" t="s">
        <v>6429</v>
      </c>
    </row>
    <row r="160" spans="1:3" x14ac:dyDescent="0.25">
      <c r="A160" t="s">
        <v>1722</v>
      </c>
      <c r="B160" t="s">
        <v>330</v>
      </c>
      <c r="C160" t="s">
        <v>6415</v>
      </c>
    </row>
    <row r="161" spans="1:3" x14ac:dyDescent="0.25">
      <c r="A161" t="s">
        <v>5043</v>
      </c>
      <c r="B161" t="s">
        <v>201</v>
      </c>
      <c r="C161" t="s">
        <v>6417</v>
      </c>
    </row>
    <row r="162" spans="1:3" x14ac:dyDescent="0.25">
      <c r="A162" t="s">
        <v>203</v>
      </c>
      <c r="B162" t="s">
        <v>201</v>
      </c>
      <c r="C162" t="s">
        <v>6417</v>
      </c>
    </row>
    <row r="163" spans="1:3" x14ac:dyDescent="0.25">
      <c r="A163" t="s">
        <v>1714</v>
      </c>
      <c r="B163" t="s">
        <v>201</v>
      </c>
      <c r="C163" t="s">
        <v>6419</v>
      </c>
    </row>
    <row r="164" spans="1:3" x14ac:dyDescent="0.25">
      <c r="A164" t="s">
        <v>202</v>
      </c>
      <c r="B164" t="s">
        <v>201</v>
      </c>
      <c r="C164" t="s">
        <v>6417</v>
      </c>
    </row>
    <row r="165" spans="1:3" x14ac:dyDescent="0.25">
      <c r="A165" t="s">
        <v>5046</v>
      </c>
      <c r="B165" t="s">
        <v>201</v>
      </c>
      <c r="C165" t="s">
        <v>6417</v>
      </c>
    </row>
    <row r="166" spans="1:3" x14ac:dyDescent="0.25">
      <c r="A166" t="s">
        <v>204</v>
      </c>
      <c r="B166" t="s">
        <v>201</v>
      </c>
      <c r="C166" t="s">
        <v>6437</v>
      </c>
    </row>
    <row r="167" spans="1:3" x14ac:dyDescent="0.25">
      <c r="A167" t="s">
        <v>4493</v>
      </c>
      <c r="B167" t="s">
        <v>261</v>
      </c>
      <c r="C167" t="s">
        <v>6419</v>
      </c>
    </row>
    <row r="168" spans="1:3" x14ac:dyDescent="0.25">
      <c r="A168" t="s">
        <v>897</v>
      </c>
      <c r="B168" t="s">
        <v>261</v>
      </c>
      <c r="C168" t="s">
        <v>6419</v>
      </c>
    </row>
    <row r="169" spans="1:3" x14ac:dyDescent="0.25">
      <c r="A169" t="s">
        <v>2980</v>
      </c>
      <c r="B169" t="s">
        <v>261</v>
      </c>
      <c r="C169" t="s">
        <v>6418</v>
      </c>
    </row>
    <row r="170" spans="1:3" x14ac:dyDescent="0.25">
      <c r="A170" t="s">
        <v>4488</v>
      </c>
      <c r="B170" t="s">
        <v>261</v>
      </c>
      <c r="C170" t="s">
        <v>6417</v>
      </c>
    </row>
    <row r="171" spans="1:3" x14ac:dyDescent="0.25">
      <c r="A171" t="s">
        <v>379</v>
      </c>
      <c r="B171" t="s">
        <v>261</v>
      </c>
      <c r="C171" t="s">
        <v>6419</v>
      </c>
    </row>
    <row r="172" spans="1:3" x14ac:dyDescent="0.25">
      <c r="A172" t="s">
        <v>3129</v>
      </c>
      <c r="B172" t="s">
        <v>261</v>
      </c>
      <c r="C172" t="s">
        <v>6439</v>
      </c>
    </row>
    <row r="173" spans="1:3" x14ac:dyDescent="0.25">
      <c r="A173" t="s">
        <v>4523</v>
      </c>
      <c r="B173" t="s">
        <v>261</v>
      </c>
      <c r="C173" t="s">
        <v>6419</v>
      </c>
    </row>
    <row r="174" spans="1:3" x14ac:dyDescent="0.25">
      <c r="A174" t="s">
        <v>2529</v>
      </c>
      <c r="B174" t="s">
        <v>261</v>
      </c>
      <c r="C174" t="s">
        <v>6419</v>
      </c>
    </row>
    <row r="175" spans="1:3" x14ac:dyDescent="0.25">
      <c r="A175" t="s">
        <v>2384</v>
      </c>
      <c r="B175" t="s">
        <v>261</v>
      </c>
      <c r="C175" t="s">
        <v>6417</v>
      </c>
    </row>
    <row r="176" spans="1:3" x14ac:dyDescent="0.25">
      <c r="A176" t="s">
        <v>2984</v>
      </c>
      <c r="B176" t="s">
        <v>261</v>
      </c>
      <c r="C176" t="s">
        <v>6417</v>
      </c>
    </row>
    <row r="177" spans="1:3" x14ac:dyDescent="0.25">
      <c r="A177" t="s">
        <v>4472</v>
      </c>
      <c r="B177" t="s">
        <v>261</v>
      </c>
      <c r="C177" t="s">
        <v>6417</v>
      </c>
    </row>
    <row r="178" spans="1:3" x14ac:dyDescent="0.25">
      <c r="A178" t="s">
        <v>4470</v>
      </c>
      <c r="B178" t="s">
        <v>261</v>
      </c>
      <c r="C178" t="s">
        <v>6418</v>
      </c>
    </row>
    <row r="179" spans="1:3" x14ac:dyDescent="0.25">
      <c r="A179" t="s">
        <v>4491</v>
      </c>
      <c r="B179" t="s">
        <v>261</v>
      </c>
      <c r="C179" t="s">
        <v>6417</v>
      </c>
    </row>
    <row r="180" spans="1:3" x14ac:dyDescent="0.25">
      <c r="A180" t="s">
        <v>262</v>
      </c>
      <c r="B180" t="s">
        <v>261</v>
      </c>
      <c r="C180" t="s">
        <v>6429</v>
      </c>
    </row>
    <row r="181" spans="1:3" x14ac:dyDescent="0.25">
      <c r="A181" t="s">
        <v>4525</v>
      </c>
      <c r="B181" t="s">
        <v>261</v>
      </c>
      <c r="C181" t="s">
        <v>6419</v>
      </c>
    </row>
    <row r="182" spans="1:3" x14ac:dyDescent="0.25">
      <c r="A182" t="s">
        <v>4481</v>
      </c>
      <c r="B182" t="s">
        <v>261</v>
      </c>
      <c r="C182" t="s">
        <v>6417</v>
      </c>
    </row>
    <row r="183" spans="1:3" x14ac:dyDescent="0.25">
      <c r="A183" t="s">
        <v>4477</v>
      </c>
      <c r="B183" t="s">
        <v>261</v>
      </c>
      <c r="C183" t="s">
        <v>6418</v>
      </c>
    </row>
    <row r="184" spans="1:3" x14ac:dyDescent="0.25">
      <c r="A184" t="s">
        <v>3127</v>
      </c>
      <c r="B184" t="s">
        <v>261</v>
      </c>
      <c r="C184" t="s">
        <v>6419</v>
      </c>
    </row>
    <row r="185" spans="1:3" x14ac:dyDescent="0.25">
      <c r="A185" t="s">
        <v>2986</v>
      </c>
      <c r="B185" t="s">
        <v>261</v>
      </c>
      <c r="C185" t="s">
        <v>6417</v>
      </c>
    </row>
    <row r="186" spans="1:3" x14ac:dyDescent="0.25">
      <c r="A186" t="s">
        <v>4830</v>
      </c>
      <c r="B186" t="s">
        <v>261</v>
      </c>
      <c r="C186" t="s">
        <v>6434</v>
      </c>
    </row>
    <row r="187" spans="1:3" x14ac:dyDescent="0.25">
      <c r="A187" t="s">
        <v>3997</v>
      </c>
      <c r="B187" t="s">
        <v>261</v>
      </c>
      <c r="C187" t="s">
        <v>6417</v>
      </c>
    </row>
    <row r="188" spans="1:3" x14ac:dyDescent="0.25">
      <c r="A188" t="s">
        <v>835</v>
      </c>
      <c r="B188" t="s">
        <v>261</v>
      </c>
      <c r="C188" t="s">
        <v>6438</v>
      </c>
    </row>
    <row r="189" spans="1:3" x14ac:dyDescent="0.25">
      <c r="A189" t="s">
        <v>4514</v>
      </c>
      <c r="B189" t="s">
        <v>261</v>
      </c>
      <c r="C189" t="s">
        <v>6419</v>
      </c>
    </row>
    <row r="190" spans="1:3" x14ac:dyDescent="0.25">
      <c r="A190" t="s">
        <v>4474</v>
      </c>
      <c r="B190" t="s">
        <v>261</v>
      </c>
      <c r="C190" t="s">
        <v>6438</v>
      </c>
    </row>
    <row r="191" spans="1:3" x14ac:dyDescent="0.25">
      <c r="A191" t="s">
        <v>4483</v>
      </c>
      <c r="B191" t="s">
        <v>261</v>
      </c>
      <c r="C191" t="s">
        <v>6438</v>
      </c>
    </row>
    <row r="192" spans="1:3" x14ac:dyDescent="0.25">
      <c r="A192" t="s">
        <v>263</v>
      </c>
      <c r="B192" t="s">
        <v>261</v>
      </c>
      <c r="C192" t="s">
        <v>6438</v>
      </c>
    </row>
    <row r="193" spans="1:3" x14ac:dyDescent="0.25">
      <c r="A193" t="s">
        <v>2769</v>
      </c>
      <c r="B193" t="s">
        <v>261</v>
      </c>
      <c r="C193" t="s">
        <v>6438</v>
      </c>
    </row>
    <row r="194" spans="1:3" x14ac:dyDescent="0.25">
      <c r="A194" t="s">
        <v>754</v>
      </c>
      <c r="B194" t="s">
        <v>261</v>
      </c>
      <c r="C194" t="s">
        <v>6438</v>
      </c>
    </row>
    <row r="195" spans="1:3" x14ac:dyDescent="0.25">
      <c r="A195" t="s">
        <v>3998</v>
      </c>
      <c r="B195" t="s">
        <v>261</v>
      </c>
      <c r="C195" t="s">
        <v>6438</v>
      </c>
    </row>
    <row r="196" spans="1:3" x14ac:dyDescent="0.25">
      <c r="A196" t="s">
        <v>2981</v>
      </c>
      <c r="B196" t="s">
        <v>261</v>
      </c>
      <c r="C196" t="s">
        <v>6429</v>
      </c>
    </row>
    <row r="197" spans="1:3" x14ac:dyDescent="0.25">
      <c r="A197" t="s">
        <v>264</v>
      </c>
      <c r="B197" t="s">
        <v>261</v>
      </c>
      <c r="C197" t="s">
        <v>6419</v>
      </c>
    </row>
    <row r="198" spans="1:3" x14ac:dyDescent="0.25">
      <c r="A198" t="s">
        <v>6376</v>
      </c>
      <c r="B198" t="s">
        <v>940</v>
      </c>
      <c r="C198" t="s">
        <v>6417</v>
      </c>
    </row>
    <row r="199" spans="1:3" x14ac:dyDescent="0.25">
      <c r="A199" t="s">
        <v>2201</v>
      </c>
      <c r="B199" t="s">
        <v>940</v>
      </c>
      <c r="C199" t="s">
        <v>6417</v>
      </c>
    </row>
    <row r="200" spans="1:3" x14ac:dyDescent="0.25">
      <c r="A200" t="s">
        <v>338</v>
      </c>
      <c r="B200" t="s">
        <v>940</v>
      </c>
      <c r="C200" t="s">
        <v>6417</v>
      </c>
    </row>
    <row r="201" spans="1:3" x14ac:dyDescent="0.25">
      <c r="A201" t="s">
        <v>6307</v>
      </c>
      <c r="B201" t="s">
        <v>940</v>
      </c>
      <c r="C201" t="s">
        <v>6419</v>
      </c>
    </row>
    <row r="202" spans="1:3" x14ac:dyDescent="0.25">
      <c r="A202" t="s">
        <v>5777</v>
      </c>
      <c r="B202" t="s">
        <v>940</v>
      </c>
      <c r="C202" t="s">
        <v>6429</v>
      </c>
    </row>
    <row r="203" spans="1:3" x14ac:dyDescent="0.25">
      <c r="A203" t="s">
        <v>1999</v>
      </c>
      <c r="B203" t="s">
        <v>940</v>
      </c>
      <c r="C203" t="s">
        <v>6417</v>
      </c>
    </row>
    <row r="204" spans="1:3" x14ac:dyDescent="0.25">
      <c r="A204" t="s">
        <v>1259</v>
      </c>
      <c r="B204" t="s">
        <v>940</v>
      </c>
      <c r="C204" t="s">
        <v>6417</v>
      </c>
    </row>
    <row r="205" spans="1:3" x14ac:dyDescent="0.25">
      <c r="A205" t="s">
        <v>1260</v>
      </c>
      <c r="B205" t="s">
        <v>940</v>
      </c>
      <c r="C205" t="s">
        <v>6417</v>
      </c>
    </row>
    <row r="206" spans="1:3" x14ac:dyDescent="0.25">
      <c r="A206" t="s">
        <v>4743</v>
      </c>
      <c r="B206" t="s">
        <v>940</v>
      </c>
      <c r="C206" t="s">
        <v>6417</v>
      </c>
    </row>
    <row r="207" spans="1:3" x14ac:dyDescent="0.25">
      <c r="A207" t="s">
        <v>2518</v>
      </c>
      <c r="B207" t="s">
        <v>449</v>
      </c>
      <c r="C207" t="s">
        <v>6417</v>
      </c>
    </row>
    <row r="208" spans="1:3" x14ac:dyDescent="0.25">
      <c r="A208" t="s">
        <v>1880</v>
      </c>
      <c r="B208" t="s">
        <v>449</v>
      </c>
      <c r="C208" t="s">
        <v>6419</v>
      </c>
    </row>
    <row r="209" spans="1:3" x14ac:dyDescent="0.25">
      <c r="A209" t="s">
        <v>450</v>
      </c>
      <c r="B209" t="s">
        <v>449</v>
      </c>
      <c r="C209" t="s">
        <v>6427</v>
      </c>
    </row>
    <row r="210" spans="1:3" x14ac:dyDescent="0.25">
      <c r="A210" t="s">
        <v>451</v>
      </c>
      <c r="B210" t="s">
        <v>449</v>
      </c>
      <c r="C210" t="s">
        <v>6427</v>
      </c>
    </row>
    <row r="211" spans="1:3" x14ac:dyDescent="0.25">
      <c r="A211" t="s">
        <v>452</v>
      </c>
      <c r="B211" t="s">
        <v>449</v>
      </c>
      <c r="C211" t="s">
        <v>6427</v>
      </c>
    </row>
    <row r="212" spans="1:3" x14ac:dyDescent="0.25">
      <c r="A212" t="s">
        <v>1710</v>
      </c>
      <c r="B212" t="s">
        <v>289</v>
      </c>
      <c r="C212" t="s">
        <v>6419</v>
      </c>
    </row>
    <row r="213" spans="1:3" x14ac:dyDescent="0.25">
      <c r="A213" t="s">
        <v>3561</v>
      </c>
      <c r="B213" t="s">
        <v>289</v>
      </c>
      <c r="C213" t="s">
        <v>6417</v>
      </c>
    </row>
    <row r="214" spans="1:3" x14ac:dyDescent="0.25">
      <c r="A214" t="s">
        <v>3483</v>
      </c>
      <c r="B214" t="s">
        <v>289</v>
      </c>
      <c r="C214" t="s">
        <v>6423</v>
      </c>
    </row>
    <row r="215" spans="1:3" x14ac:dyDescent="0.25">
      <c r="A215" t="s">
        <v>3565</v>
      </c>
      <c r="B215" t="s">
        <v>289</v>
      </c>
      <c r="C215" t="s">
        <v>6418</v>
      </c>
    </row>
    <row r="216" spans="1:3" x14ac:dyDescent="0.25">
      <c r="A216" t="s">
        <v>1984</v>
      </c>
      <c r="B216" t="s">
        <v>289</v>
      </c>
      <c r="C216" t="s">
        <v>6417</v>
      </c>
    </row>
    <row r="217" spans="1:3" x14ac:dyDescent="0.25">
      <c r="A217" t="s">
        <v>1752</v>
      </c>
      <c r="B217" t="s">
        <v>289</v>
      </c>
      <c r="C217" t="s">
        <v>6417</v>
      </c>
    </row>
    <row r="218" spans="1:3" x14ac:dyDescent="0.25">
      <c r="A218" t="s">
        <v>292</v>
      </c>
      <c r="B218" t="s">
        <v>289</v>
      </c>
      <c r="C218" t="s">
        <v>6418</v>
      </c>
    </row>
    <row r="219" spans="1:3" x14ac:dyDescent="0.25">
      <c r="A219" t="s">
        <v>295</v>
      </c>
      <c r="B219" t="s">
        <v>289</v>
      </c>
      <c r="C219" t="s">
        <v>6417</v>
      </c>
    </row>
    <row r="220" spans="1:3" x14ac:dyDescent="0.25">
      <c r="A220" t="s">
        <v>1751</v>
      </c>
      <c r="B220" t="s">
        <v>289</v>
      </c>
      <c r="C220" t="s">
        <v>6417</v>
      </c>
    </row>
    <row r="221" spans="1:3" x14ac:dyDescent="0.25">
      <c r="A221" t="s">
        <v>2011</v>
      </c>
      <c r="B221" t="s">
        <v>289</v>
      </c>
      <c r="C221" t="s">
        <v>6417</v>
      </c>
    </row>
    <row r="222" spans="1:3" x14ac:dyDescent="0.25">
      <c r="A222" t="s">
        <v>301</v>
      </c>
      <c r="B222" t="s">
        <v>289</v>
      </c>
      <c r="C222" t="s">
        <v>6437</v>
      </c>
    </row>
    <row r="223" spans="1:3" x14ac:dyDescent="0.25">
      <c r="A223" t="s">
        <v>1758</v>
      </c>
      <c r="B223" t="s">
        <v>289</v>
      </c>
      <c r="C223" t="s">
        <v>6417</v>
      </c>
    </row>
    <row r="224" spans="1:3" x14ac:dyDescent="0.25">
      <c r="A224" t="s">
        <v>373</v>
      </c>
      <c r="B224" t="s">
        <v>289</v>
      </c>
      <c r="C224" t="s">
        <v>6419</v>
      </c>
    </row>
    <row r="225" spans="1:3" x14ac:dyDescent="0.25">
      <c r="A225" t="s">
        <v>371</v>
      </c>
      <c r="B225" t="s">
        <v>289</v>
      </c>
      <c r="C225" t="s">
        <v>6419</v>
      </c>
    </row>
    <row r="226" spans="1:3" x14ac:dyDescent="0.25">
      <c r="A226" t="s">
        <v>294</v>
      </c>
      <c r="B226" t="s">
        <v>289</v>
      </c>
      <c r="C226" t="s">
        <v>6417</v>
      </c>
    </row>
    <row r="227" spans="1:3" x14ac:dyDescent="0.25">
      <c r="A227" t="s">
        <v>299</v>
      </c>
      <c r="B227" t="s">
        <v>289</v>
      </c>
      <c r="C227" t="s">
        <v>6417</v>
      </c>
    </row>
    <row r="228" spans="1:3" x14ac:dyDescent="0.25">
      <c r="A228" t="s">
        <v>297</v>
      </c>
      <c r="B228" t="s">
        <v>289</v>
      </c>
      <c r="C228" t="s">
        <v>6417</v>
      </c>
    </row>
    <row r="229" spans="1:3" x14ac:dyDescent="0.25">
      <c r="A229" t="s">
        <v>1748</v>
      </c>
      <c r="B229" t="s">
        <v>289</v>
      </c>
      <c r="C229" t="s">
        <v>6423</v>
      </c>
    </row>
    <row r="230" spans="1:3" x14ac:dyDescent="0.25">
      <c r="A230" t="s">
        <v>3480</v>
      </c>
      <c r="B230" t="s">
        <v>289</v>
      </c>
      <c r="C230" t="s">
        <v>6417</v>
      </c>
    </row>
    <row r="231" spans="1:3" x14ac:dyDescent="0.25">
      <c r="A231" t="s">
        <v>1749</v>
      </c>
      <c r="B231" t="s">
        <v>289</v>
      </c>
      <c r="C231" t="s">
        <v>6423</v>
      </c>
    </row>
    <row r="232" spans="1:3" x14ac:dyDescent="0.25">
      <c r="A232" t="s">
        <v>298</v>
      </c>
      <c r="B232" t="s">
        <v>289</v>
      </c>
      <c r="C232" t="s">
        <v>6417</v>
      </c>
    </row>
    <row r="233" spans="1:3" x14ac:dyDescent="0.25">
      <c r="A233" t="s">
        <v>2884</v>
      </c>
      <c r="B233" t="s">
        <v>289</v>
      </c>
      <c r="C233" t="s">
        <v>6417</v>
      </c>
    </row>
    <row r="234" spans="1:3" x14ac:dyDescent="0.25">
      <c r="A234" t="s">
        <v>3618</v>
      </c>
      <c r="B234" t="s">
        <v>289</v>
      </c>
      <c r="C234" t="s">
        <v>6417</v>
      </c>
    </row>
    <row r="235" spans="1:3" x14ac:dyDescent="0.25">
      <c r="A235" t="s">
        <v>3564</v>
      </c>
      <c r="B235" t="s">
        <v>289</v>
      </c>
      <c r="C235" t="s">
        <v>6418</v>
      </c>
    </row>
    <row r="236" spans="1:3" x14ac:dyDescent="0.25">
      <c r="A236" t="s">
        <v>1322</v>
      </c>
      <c r="B236" t="s">
        <v>289</v>
      </c>
      <c r="C236" t="s">
        <v>6430</v>
      </c>
    </row>
    <row r="237" spans="1:3" x14ac:dyDescent="0.25">
      <c r="A237" t="s">
        <v>1755</v>
      </c>
      <c r="B237" t="s">
        <v>289</v>
      </c>
      <c r="C237" t="s">
        <v>6430</v>
      </c>
    </row>
    <row r="238" spans="1:3" x14ac:dyDescent="0.25">
      <c r="A238" t="s">
        <v>291</v>
      </c>
      <c r="B238" t="s">
        <v>289</v>
      </c>
      <c r="C238" t="s">
        <v>6417</v>
      </c>
    </row>
    <row r="239" spans="1:3" x14ac:dyDescent="0.25">
      <c r="A239" t="s">
        <v>1985</v>
      </c>
      <c r="B239" t="s">
        <v>289</v>
      </c>
      <c r="C239" t="s">
        <v>6417</v>
      </c>
    </row>
    <row r="240" spans="1:3" x14ac:dyDescent="0.25">
      <c r="A240" t="s">
        <v>1750</v>
      </c>
      <c r="B240" t="s">
        <v>289</v>
      </c>
      <c r="C240" t="s">
        <v>6417</v>
      </c>
    </row>
    <row r="241" spans="1:3" x14ac:dyDescent="0.25">
      <c r="A241" t="s">
        <v>902</v>
      </c>
      <c r="B241" t="s">
        <v>289</v>
      </c>
      <c r="C241" t="s">
        <v>6417</v>
      </c>
    </row>
    <row r="242" spans="1:3" x14ac:dyDescent="0.25">
      <c r="A242" t="s">
        <v>302</v>
      </c>
      <c r="B242" t="s">
        <v>289</v>
      </c>
      <c r="C242" t="s">
        <v>6437</v>
      </c>
    </row>
    <row r="243" spans="1:3" x14ac:dyDescent="0.25">
      <c r="A243" t="s">
        <v>1754</v>
      </c>
      <c r="B243" t="s">
        <v>289</v>
      </c>
      <c r="C243" t="s">
        <v>6418</v>
      </c>
    </row>
    <row r="244" spans="1:3" x14ac:dyDescent="0.25">
      <c r="A244" t="s">
        <v>1753</v>
      </c>
      <c r="B244" t="s">
        <v>289</v>
      </c>
      <c r="C244" t="s">
        <v>6417</v>
      </c>
    </row>
    <row r="245" spans="1:3" x14ac:dyDescent="0.25">
      <c r="A245" t="s">
        <v>372</v>
      </c>
      <c r="B245" t="s">
        <v>289</v>
      </c>
      <c r="C245" t="s">
        <v>6417</v>
      </c>
    </row>
    <row r="246" spans="1:3" x14ac:dyDescent="0.25">
      <c r="A246" t="s">
        <v>2036</v>
      </c>
      <c r="B246" t="s">
        <v>289</v>
      </c>
      <c r="C246" t="s">
        <v>6417</v>
      </c>
    </row>
    <row r="247" spans="1:3" x14ac:dyDescent="0.25">
      <c r="A247" t="s">
        <v>1756</v>
      </c>
      <c r="B247" t="s">
        <v>289</v>
      </c>
      <c r="C247" t="s">
        <v>6430</v>
      </c>
    </row>
    <row r="248" spans="1:3" x14ac:dyDescent="0.25">
      <c r="A248" t="s">
        <v>300</v>
      </c>
      <c r="B248" t="s">
        <v>289</v>
      </c>
      <c r="C248" t="s">
        <v>6417</v>
      </c>
    </row>
    <row r="249" spans="1:3" x14ac:dyDescent="0.25">
      <c r="A249" t="s">
        <v>1320</v>
      </c>
      <c r="B249" t="s">
        <v>289</v>
      </c>
      <c r="C249" t="s">
        <v>6430</v>
      </c>
    </row>
    <row r="250" spans="1:3" x14ac:dyDescent="0.25">
      <c r="A250" t="s">
        <v>1321</v>
      </c>
      <c r="B250" t="s">
        <v>289</v>
      </c>
      <c r="C250" t="s">
        <v>6430</v>
      </c>
    </row>
    <row r="251" spans="1:3" x14ac:dyDescent="0.25">
      <c r="A251" t="s">
        <v>1757</v>
      </c>
      <c r="B251" t="s">
        <v>289</v>
      </c>
      <c r="C251" t="s">
        <v>6430</v>
      </c>
    </row>
    <row r="252" spans="1:3" x14ac:dyDescent="0.25">
      <c r="A252" t="s">
        <v>290</v>
      </c>
      <c r="B252" t="s">
        <v>289</v>
      </c>
      <c r="C252" t="s">
        <v>6417</v>
      </c>
    </row>
    <row r="253" spans="1:3" x14ac:dyDescent="0.25">
      <c r="A253" t="s">
        <v>296</v>
      </c>
      <c r="B253" t="s">
        <v>289</v>
      </c>
      <c r="C253" t="s">
        <v>6417</v>
      </c>
    </row>
    <row r="254" spans="1:3" x14ac:dyDescent="0.25">
      <c r="A254" t="s">
        <v>293</v>
      </c>
      <c r="B254" t="s">
        <v>289</v>
      </c>
      <c r="C254" t="s">
        <v>6417</v>
      </c>
    </row>
    <row r="255" spans="1:3" x14ac:dyDescent="0.25">
      <c r="A255" t="s">
        <v>338</v>
      </c>
      <c r="B255" t="s">
        <v>193</v>
      </c>
      <c r="C255" t="s">
        <v>6417</v>
      </c>
    </row>
    <row r="256" spans="1:3" x14ac:dyDescent="0.25">
      <c r="A256" t="s">
        <v>194</v>
      </c>
      <c r="B256" t="s">
        <v>193</v>
      </c>
      <c r="C256" t="s">
        <v>6417</v>
      </c>
    </row>
    <row r="257" spans="1:3" x14ac:dyDescent="0.25">
      <c r="A257" t="s">
        <v>156</v>
      </c>
      <c r="B257" t="s">
        <v>184</v>
      </c>
      <c r="C257" t="s">
        <v>6419</v>
      </c>
    </row>
    <row r="258" spans="1:3" x14ac:dyDescent="0.25">
      <c r="A258" t="s">
        <v>183</v>
      </c>
      <c r="B258" t="s">
        <v>184</v>
      </c>
      <c r="C258" t="s">
        <v>6419</v>
      </c>
    </row>
    <row r="259" spans="1:3" x14ac:dyDescent="0.25">
      <c r="A259" t="s">
        <v>836</v>
      </c>
      <c r="B259" t="s">
        <v>163</v>
      </c>
      <c r="C259" t="s">
        <v>6434</v>
      </c>
    </row>
    <row r="260" spans="1:3" x14ac:dyDescent="0.25">
      <c r="A260" t="s">
        <v>164</v>
      </c>
      <c r="B260" t="s">
        <v>163</v>
      </c>
      <c r="C260" t="s">
        <v>6429</v>
      </c>
    </row>
    <row r="261" spans="1:3" x14ac:dyDescent="0.25">
      <c r="A261" t="s">
        <v>868</v>
      </c>
      <c r="B261" t="s">
        <v>831</v>
      </c>
      <c r="C261" t="s">
        <v>6417</v>
      </c>
    </row>
    <row r="262" spans="1:3" x14ac:dyDescent="0.25">
      <c r="A262" t="s">
        <v>1715</v>
      </c>
      <c r="B262" t="s">
        <v>831</v>
      </c>
      <c r="C262" t="s">
        <v>6423</v>
      </c>
    </row>
    <row r="263" spans="1:3" x14ac:dyDescent="0.25">
      <c r="A263" t="s">
        <v>870</v>
      </c>
      <c r="B263" t="s">
        <v>831</v>
      </c>
      <c r="C263" t="s">
        <v>6417</v>
      </c>
    </row>
    <row r="264" spans="1:3" x14ac:dyDescent="0.25">
      <c r="A264" t="s">
        <v>1716</v>
      </c>
      <c r="B264" t="s">
        <v>831</v>
      </c>
      <c r="C264" t="s">
        <v>6417</v>
      </c>
    </row>
    <row r="265" spans="1:3" x14ac:dyDescent="0.25">
      <c r="A265" t="s">
        <v>351</v>
      </c>
      <c r="B265" t="s">
        <v>831</v>
      </c>
      <c r="C265" t="s">
        <v>6417</v>
      </c>
    </row>
    <row r="266" spans="1:3" x14ac:dyDescent="0.25">
      <c r="A266" t="s">
        <v>868</v>
      </c>
      <c r="B266" t="s">
        <v>350</v>
      </c>
      <c r="C266" t="s">
        <v>6417</v>
      </c>
    </row>
    <row r="267" spans="1:3" x14ac:dyDescent="0.25">
      <c r="A267" t="s">
        <v>4723</v>
      </c>
      <c r="B267" t="s">
        <v>350</v>
      </c>
      <c r="C267" t="s">
        <v>6417</v>
      </c>
    </row>
    <row r="268" spans="1:3" x14ac:dyDescent="0.25">
      <c r="A268" t="s">
        <v>870</v>
      </c>
      <c r="B268" t="s">
        <v>350</v>
      </c>
      <c r="C268" t="s">
        <v>6417</v>
      </c>
    </row>
    <row r="269" spans="1:3" x14ac:dyDescent="0.25">
      <c r="A269" t="s">
        <v>5052</v>
      </c>
      <c r="B269" t="s">
        <v>350</v>
      </c>
      <c r="C269" t="s">
        <v>6419</v>
      </c>
    </row>
    <row r="270" spans="1:3" x14ac:dyDescent="0.25">
      <c r="A270" t="s">
        <v>351</v>
      </c>
      <c r="B270" t="s">
        <v>350</v>
      </c>
      <c r="C270" t="s">
        <v>6417</v>
      </c>
    </row>
    <row r="271" spans="1:3" x14ac:dyDescent="0.25">
      <c r="A271" t="s">
        <v>869</v>
      </c>
      <c r="B271" t="s">
        <v>205</v>
      </c>
      <c r="C271" t="s">
        <v>6419</v>
      </c>
    </row>
    <row r="272" spans="1:3" x14ac:dyDescent="0.25">
      <c r="A272" t="s">
        <v>1519</v>
      </c>
      <c r="B272" t="s">
        <v>205</v>
      </c>
      <c r="C272" t="s">
        <v>6419</v>
      </c>
    </row>
    <row r="273" spans="1:3" x14ac:dyDescent="0.25">
      <c r="A273" t="s">
        <v>5058</v>
      </c>
      <c r="B273" t="s">
        <v>205</v>
      </c>
      <c r="C273" t="s">
        <v>6417</v>
      </c>
    </row>
    <row r="274" spans="1:3" x14ac:dyDescent="0.25">
      <c r="A274" t="s">
        <v>5054</v>
      </c>
      <c r="B274" t="s">
        <v>205</v>
      </c>
      <c r="C274" t="s">
        <v>6419</v>
      </c>
    </row>
    <row r="275" spans="1:3" x14ac:dyDescent="0.25">
      <c r="A275" t="s">
        <v>208</v>
      </c>
      <c r="B275" t="s">
        <v>205</v>
      </c>
      <c r="C275" t="s">
        <v>6417</v>
      </c>
    </row>
    <row r="276" spans="1:3" x14ac:dyDescent="0.25">
      <c r="A276" t="s">
        <v>5090</v>
      </c>
      <c r="B276" t="s">
        <v>205</v>
      </c>
      <c r="C276" t="s">
        <v>6417</v>
      </c>
    </row>
    <row r="277" spans="1:3" x14ac:dyDescent="0.25">
      <c r="A277" t="s">
        <v>2407</v>
      </c>
      <c r="B277" t="s">
        <v>205</v>
      </c>
      <c r="C277" t="s">
        <v>6419</v>
      </c>
    </row>
    <row r="278" spans="1:3" x14ac:dyDescent="0.25">
      <c r="A278" t="s">
        <v>3472</v>
      </c>
      <c r="B278" t="s">
        <v>205</v>
      </c>
      <c r="C278" t="s">
        <v>6419</v>
      </c>
    </row>
    <row r="279" spans="1:3" x14ac:dyDescent="0.25">
      <c r="A279" t="s">
        <v>5083</v>
      </c>
      <c r="B279" t="s">
        <v>205</v>
      </c>
      <c r="C279" t="s">
        <v>6419</v>
      </c>
    </row>
    <row r="280" spans="1:3" x14ac:dyDescent="0.25">
      <c r="A280" t="s">
        <v>209</v>
      </c>
      <c r="B280" t="s">
        <v>205</v>
      </c>
      <c r="C280" t="s">
        <v>6419</v>
      </c>
    </row>
    <row r="281" spans="1:3" x14ac:dyDescent="0.25">
      <c r="A281" t="s">
        <v>5085</v>
      </c>
      <c r="B281" t="s">
        <v>205</v>
      </c>
      <c r="C281" t="s">
        <v>6417</v>
      </c>
    </row>
    <row r="282" spans="1:3" x14ac:dyDescent="0.25">
      <c r="A282" t="s">
        <v>2990</v>
      </c>
      <c r="B282" t="s">
        <v>205</v>
      </c>
      <c r="C282" t="s">
        <v>6417</v>
      </c>
    </row>
    <row r="283" spans="1:3" x14ac:dyDescent="0.25">
      <c r="A283" t="s">
        <v>873</v>
      </c>
      <c r="B283" t="s">
        <v>205</v>
      </c>
      <c r="C283" t="s">
        <v>6417</v>
      </c>
    </row>
    <row r="284" spans="1:3" x14ac:dyDescent="0.25">
      <c r="A284" t="s">
        <v>5093</v>
      </c>
      <c r="B284" t="s">
        <v>205</v>
      </c>
      <c r="C284" t="s">
        <v>6429</v>
      </c>
    </row>
    <row r="285" spans="1:3" x14ac:dyDescent="0.25">
      <c r="A285" t="s">
        <v>879</v>
      </c>
      <c r="B285" t="s">
        <v>205</v>
      </c>
      <c r="C285" t="s">
        <v>6415</v>
      </c>
    </row>
    <row r="286" spans="1:3" x14ac:dyDescent="0.25">
      <c r="A286" t="s">
        <v>878</v>
      </c>
      <c r="B286" t="s">
        <v>205</v>
      </c>
      <c r="C286" t="s">
        <v>6417</v>
      </c>
    </row>
    <row r="287" spans="1:3" x14ac:dyDescent="0.25">
      <c r="A287" t="s">
        <v>874</v>
      </c>
      <c r="B287" t="s">
        <v>205</v>
      </c>
      <c r="C287" t="s">
        <v>6417</v>
      </c>
    </row>
    <row r="288" spans="1:3" x14ac:dyDescent="0.25">
      <c r="A288" t="s">
        <v>875</v>
      </c>
      <c r="B288" t="s">
        <v>205</v>
      </c>
      <c r="C288" t="s">
        <v>6417</v>
      </c>
    </row>
    <row r="289" spans="1:3" x14ac:dyDescent="0.25">
      <c r="A289" t="s">
        <v>5076</v>
      </c>
      <c r="B289" t="s">
        <v>205</v>
      </c>
      <c r="C289" t="s">
        <v>6419</v>
      </c>
    </row>
    <row r="290" spans="1:3" x14ac:dyDescent="0.25">
      <c r="A290" t="s">
        <v>5074</v>
      </c>
      <c r="B290" t="s">
        <v>205</v>
      </c>
      <c r="C290" t="s">
        <v>6417</v>
      </c>
    </row>
    <row r="291" spans="1:3" x14ac:dyDescent="0.25">
      <c r="A291" t="s">
        <v>1986</v>
      </c>
      <c r="B291" t="s">
        <v>205</v>
      </c>
      <c r="C291" t="s">
        <v>6417</v>
      </c>
    </row>
    <row r="292" spans="1:3" x14ac:dyDescent="0.25">
      <c r="A292" t="s">
        <v>5060</v>
      </c>
      <c r="B292" t="s">
        <v>205</v>
      </c>
      <c r="C292" t="s">
        <v>6417</v>
      </c>
    </row>
    <row r="293" spans="1:3" x14ac:dyDescent="0.25">
      <c r="A293" t="s">
        <v>207</v>
      </c>
      <c r="B293" t="s">
        <v>205</v>
      </c>
      <c r="C293" t="s">
        <v>6417</v>
      </c>
    </row>
    <row r="294" spans="1:3" x14ac:dyDescent="0.25">
      <c r="A294" t="s">
        <v>871</v>
      </c>
      <c r="B294" t="s">
        <v>205</v>
      </c>
      <c r="C294" t="s">
        <v>6417</v>
      </c>
    </row>
    <row r="295" spans="1:3" x14ac:dyDescent="0.25">
      <c r="A295" t="s">
        <v>2998</v>
      </c>
      <c r="B295" t="s">
        <v>205</v>
      </c>
      <c r="C295" t="s">
        <v>6417</v>
      </c>
    </row>
    <row r="296" spans="1:3" x14ac:dyDescent="0.25">
      <c r="A296" t="s">
        <v>877</v>
      </c>
      <c r="B296" t="s">
        <v>205</v>
      </c>
      <c r="C296" t="s">
        <v>6417</v>
      </c>
    </row>
    <row r="297" spans="1:3" x14ac:dyDescent="0.25">
      <c r="A297" t="s">
        <v>5099</v>
      </c>
      <c r="B297" t="s">
        <v>205</v>
      </c>
      <c r="C297" t="s">
        <v>6415</v>
      </c>
    </row>
    <row r="298" spans="1:3" x14ac:dyDescent="0.25">
      <c r="A298" t="s">
        <v>872</v>
      </c>
      <c r="B298" t="s">
        <v>205</v>
      </c>
      <c r="C298" t="s">
        <v>6417</v>
      </c>
    </row>
    <row r="299" spans="1:3" x14ac:dyDescent="0.25">
      <c r="A299" t="s">
        <v>2996</v>
      </c>
      <c r="B299" t="s">
        <v>205</v>
      </c>
      <c r="C299" t="s">
        <v>6417</v>
      </c>
    </row>
    <row r="300" spans="1:3" x14ac:dyDescent="0.25">
      <c r="A300" t="s">
        <v>876</v>
      </c>
      <c r="B300" t="s">
        <v>205</v>
      </c>
      <c r="C300" t="s">
        <v>6435</v>
      </c>
    </row>
    <row r="301" spans="1:3" x14ac:dyDescent="0.25">
      <c r="A301" t="s">
        <v>5067</v>
      </c>
      <c r="B301" t="s">
        <v>205</v>
      </c>
      <c r="C301" t="s">
        <v>6417</v>
      </c>
    </row>
    <row r="302" spans="1:3" x14ac:dyDescent="0.25">
      <c r="A302" t="s">
        <v>2143</v>
      </c>
      <c r="B302" t="s">
        <v>205</v>
      </c>
      <c r="C302" t="s">
        <v>6419</v>
      </c>
    </row>
    <row r="303" spans="1:3" x14ac:dyDescent="0.25">
      <c r="A303" t="s">
        <v>206</v>
      </c>
      <c r="B303" t="s">
        <v>205</v>
      </c>
      <c r="C303" t="s">
        <v>6419</v>
      </c>
    </row>
    <row r="304" spans="1:3" x14ac:dyDescent="0.25">
      <c r="A304" t="s">
        <v>5095</v>
      </c>
      <c r="B304" t="s">
        <v>205</v>
      </c>
      <c r="C304" t="s">
        <v>6437</v>
      </c>
    </row>
    <row r="305" spans="1:3" x14ac:dyDescent="0.25">
      <c r="A305" t="s">
        <v>5071</v>
      </c>
      <c r="B305" t="s">
        <v>205</v>
      </c>
      <c r="C305" t="s">
        <v>6434</v>
      </c>
    </row>
    <row r="306" spans="1:3" x14ac:dyDescent="0.25">
      <c r="A306" t="s">
        <v>5081</v>
      </c>
      <c r="B306" t="s">
        <v>205</v>
      </c>
      <c r="C306" t="s">
        <v>6419</v>
      </c>
    </row>
    <row r="307" spans="1:3" x14ac:dyDescent="0.25">
      <c r="A307" t="s">
        <v>5064</v>
      </c>
      <c r="B307" t="s">
        <v>205</v>
      </c>
      <c r="C307" t="s">
        <v>6419</v>
      </c>
    </row>
    <row r="308" spans="1:3" x14ac:dyDescent="0.25">
      <c r="A308" t="s">
        <v>2403</v>
      </c>
      <c r="B308" t="s">
        <v>205</v>
      </c>
      <c r="C308" t="s">
        <v>6429</v>
      </c>
    </row>
    <row r="309" spans="1:3" x14ac:dyDescent="0.25">
      <c r="A309" t="s">
        <v>1123</v>
      </c>
      <c r="B309" t="s">
        <v>534</v>
      </c>
      <c r="C309" t="s">
        <v>6434</v>
      </c>
    </row>
    <row r="310" spans="1:3" x14ac:dyDescent="0.25">
      <c r="A310" t="s">
        <v>2013</v>
      </c>
      <c r="B310" t="s">
        <v>534</v>
      </c>
      <c r="C310" t="s">
        <v>6435</v>
      </c>
    </row>
    <row r="311" spans="1:3" x14ac:dyDescent="0.25">
      <c r="A311" t="s">
        <v>2014</v>
      </c>
      <c r="B311" t="s">
        <v>534</v>
      </c>
      <c r="C311" t="s">
        <v>6419</v>
      </c>
    </row>
    <row r="312" spans="1:3" x14ac:dyDescent="0.25">
      <c r="A312" t="s">
        <v>845</v>
      </c>
      <c r="B312" t="s">
        <v>534</v>
      </c>
      <c r="C312" t="s">
        <v>6427</v>
      </c>
    </row>
    <row r="313" spans="1:3" x14ac:dyDescent="0.25">
      <c r="A313" t="s">
        <v>1993</v>
      </c>
      <c r="B313" t="s">
        <v>534</v>
      </c>
      <c r="C313" t="s">
        <v>6427</v>
      </c>
    </row>
    <row r="314" spans="1:3" x14ac:dyDescent="0.25">
      <c r="A314" t="s">
        <v>5708</v>
      </c>
      <c r="B314" t="s">
        <v>534</v>
      </c>
      <c r="C314" t="s">
        <v>6427</v>
      </c>
    </row>
    <row r="315" spans="1:3" x14ac:dyDescent="0.25">
      <c r="A315" t="s">
        <v>5710</v>
      </c>
      <c r="B315" t="s">
        <v>534</v>
      </c>
      <c r="C315" t="s">
        <v>6427</v>
      </c>
    </row>
    <row r="316" spans="1:3" x14ac:dyDescent="0.25">
      <c r="A316" t="s">
        <v>1155</v>
      </c>
      <c r="B316" t="s">
        <v>717</v>
      </c>
      <c r="C316" t="s">
        <v>6417</v>
      </c>
    </row>
    <row r="317" spans="1:3" x14ac:dyDescent="0.25">
      <c r="A317" t="s">
        <v>2459</v>
      </c>
      <c r="B317" t="s">
        <v>717</v>
      </c>
      <c r="C317" t="s">
        <v>6417</v>
      </c>
    </row>
    <row r="318" spans="1:3" x14ac:dyDescent="0.25">
      <c r="A318" t="s">
        <v>726</v>
      </c>
      <c r="B318" t="s">
        <v>717</v>
      </c>
      <c r="C318" t="s">
        <v>6417</v>
      </c>
    </row>
    <row r="319" spans="1:3" x14ac:dyDescent="0.25">
      <c r="A319" t="s">
        <v>2444</v>
      </c>
      <c r="B319" t="s">
        <v>717</v>
      </c>
      <c r="C319" t="s">
        <v>6417</v>
      </c>
    </row>
    <row r="320" spans="1:3" x14ac:dyDescent="0.25">
      <c r="A320" t="s">
        <v>1910</v>
      </c>
      <c r="B320" t="s">
        <v>717</v>
      </c>
      <c r="C320" t="s">
        <v>6417</v>
      </c>
    </row>
    <row r="321" spans="1:3" x14ac:dyDescent="0.25">
      <c r="A321" t="s">
        <v>1767</v>
      </c>
      <c r="B321" t="s">
        <v>717</v>
      </c>
      <c r="C321" t="s">
        <v>6417</v>
      </c>
    </row>
    <row r="322" spans="1:3" x14ac:dyDescent="0.25">
      <c r="A322" t="s">
        <v>4757</v>
      </c>
      <c r="B322" t="s">
        <v>717</v>
      </c>
      <c r="C322" t="s">
        <v>6419</v>
      </c>
    </row>
    <row r="323" spans="1:3" x14ac:dyDescent="0.25">
      <c r="A323" t="s">
        <v>1898</v>
      </c>
      <c r="B323" t="s">
        <v>717</v>
      </c>
      <c r="C323" t="s">
        <v>6417</v>
      </c>
    </row>
    <row r="324" spans="1:3" x14ac:dyDescent="0.25">
      <c r="A324" t="s">
        <v>4774</v>
      </c>
      <c r="B324" t="s">
        <v>717</v>
      </c>
      <c r="C324" t="s">
        <v>6417</v>
      </c>
    </row>
    <row r="325" spans="1:3" x14ac:dyDescent="0.25">
      <c r="A325" t="s">
        <v>1158</v>
      </c>
      <c r="B325" t="s">
        <v>717</v>
      </c>
      <c r="C325" t="s">
        <v>6417</v>
      </c>
    </row>
    <row r="326" spans="1:3" x14ac:dyDescent="0.25">
      <c r="A326" t="s">
        <v>3233</v>
      </c>
      <c r="B326" t="s">
        <v>717</v>
      </c>
      <c r="C326" t="s">
        <v>6419</v>
      </c>
    </row>
    <row r="327" spans="1:3" x14ac:dyDescent="0.25">
      <c r="A327" t="s">
        <v>2903</v>
      </c>
      <c r="B327" t="s">
        <v>717</v>
      </c>
      <c r="C327" t="s">
        <v>6417</v>
      </c>
    </row>
    <row r="328" spans="1:3" x14ac:dyDescent="0.25">
      <c r="A328" t="s">
        <v>3900</v>
      </c>
      <c r="B328" t="s">
        <v>717</v>
      </c>
      <c r="C328" t="s">
        <v>6419</v>
      </c>
    </row>
    <row r="329" spans="1:3" x14ac:dyDescent="0.25">
      <c r="A329" t="s">
        <v>4772</v>
      </c>
      <c r="B329" t="s">
        <v>717</v>
      </c>
      <c r="C329" t="s">
        <v>6434</v>
      </c>
    </row>
    <row r="330" spans="1:3" x14ac:dyDescent="0.25">
      <c r="A330" t="s">
        <v>4760</v>
      </c>
      <c r="B330" t="s">
        <v>717</v>
      </c>
      <c r="C330" t="s">
        <v>6419</v>
      </c>
    </row>
    <row r="331" spans="1:3" x14ac:dyDescent="0.25">
      <c r="A331" t="s">
        <v>1160</v>
      </c>
      <c r="B331" t="s">
        <v>717</v>
      </c>
      <c r="C331" t="s">
        <v>6417</v>
      </c>
    </row>
    <row r="332" spans="1:3" x14ac:dyDescent="0.25">
      <c r="A332" t="s">
        <v>4770</v>
      </c>
      <c r="B332" t="s">
        <v>717</v>
      </c>
      <c r="C332" t="s">
        <v>6419</v>
      </c>
    </row>
    <row r="333" spans="1:3" x14ac:dyDescent="0.25">
      <c r="A333" t="s">
        <v>1159</v>
      </c>
      <c r="B333" t="s">
        <v>717</v>
      </c>
      <c r="C333" t="s">
        <v>6419</v>
      </c>
    </row>
    <row r="334" spans="1:3" x14ac:dyDescent="0.25">
      <c r="A334" t="s">
        <v>3906</v>
      </c>
      <c r="B334" t="s">
        <v>717</v>
      </c>
      <c r="C334" t="s">
        <v>6419</v>
      </c>
    </row>
    <row r="335" spans="1:3" x14ac:dyDescent="0.25">
      <c r="A335" t="s">
        <v>728</v>
      </c>
      <c r="B335" t="s">
        <v>717</v>
      </c>
      <c r="C335" t="s">
        <v>6417</v>
      </c>
    </row>
    <row r="336" spans="1:3" x14ac:dyDescent="0.25">
      <c r="A336" t="s">
        <v>1157</v>
      </c>
      <c r="B336" t="s">
        <v>717</v>
      </c>
      <c r="C336" t="s">
        <v>6419</v>
      </c>
    </row>
    <row r="337" spans="1:3" x14ac:dyDescent="0.25">
      <c r="A337" t="s">
        <v>2868</v>
      </c>
      <c r="B337" t="s">
        <v>717</v>
      </c>
      <c r="C337" t="s">
        <v>6419</v>
      </c>
    </row>
    <row r="338" spans="1:3" x14ac:dyDescent="0.25">
      <c r="A338" t="s">
        <v>1156</v>
      </c>
      <c r="B338" t="s">
        <v>717</v>
      </c>
      <c r="C338" t="s">
        <v>6417</v>
      </c>
    </row>
    <row r="339" spans="1:3" x14ac:dyDescent="0.25">
      <c r="A339" t="s">
        <v>3235</v>
      </c>
      <c r="B339" t="s">
        <v>717</v>
      </c>
      <c r="C339" t="s">
        <v>6438</v>
      </c>
    </row>
    <row r="340" spans="1:3" x14ac:dyDescent="0.25">
      <c r="A340" t="s">
        <v>4968</v>
      </c>
      <c r="B340" t="s">
        <v>717</v>
      </c>
      <c r="C340" t="s">
        <v>6417</v>
      </c>
    </row>
    <row r="341" spans="1:3" x14ac:dyDescent="0.25">
      <c r="A341" t="s">
        <v>5701</v>
      </c>
      <c r="B341" t="s">
        <v>717</v>
      </c>
      <c r="C341" t="s">
        <v>6417</v>
      </c>
    </row>
    <row r="342" spans="1:3" x14ac:dyDescent="0.25">
      <c r="A342" t="s">
        <v>1253</v>
      </c>
      <c r="B342" t="s">
        <v>717</v>
      </c>
      <c r="C342" t="s">
        <v>6436</v>
      </c>
    </row>
    <row r="343" spans="1:3" x14ac:dyDescent="0.25">
      <c r="A343" t="s">
        <v>1161</v>
      </c>
      <c r="B343" t="s">
        <v>717</v>
      </c>
      <c r="C343" t="s">
        <v>6417</v>
      </c>
    </row>
    <row r="344" spans="1:3" x14ac:dyDescent="0.25">
      <c r="A344" t="s">
        <v>2796</v>
      </c>
      <c r="B344" t="s">
        <v>717</v>
      </c>
      <c r="C344" t="s">
        <v>6418</v>
      </c>
    </row>
    <row r="345" spans="1:3" x14ac:dyDescent="0.25">
      <c r="A345" t="s">
        <v>724</v>
      </c>
      <c r="B345" t="s">
        <v>717</v>
      </c>
      <c r="C345" t="s">
        <v>6417</v>
      </c>
    </row>
    <row r="346" spans="1:3" x14ac:dyDescent="0.25">
      <c r="A346" t="s">
        <v>1162</v>
      </c>
      <c r="B346" t="s">
        <v>717</v>
      </c>
      <c r="C346" t="s">
        <v>6419</v>
      </c>
    </row>
    <row r="347" spans="1:3" x14ac:dyDescent="0.25">
      <c r="A347" t="s">
        <v>1895</v>
      </c>
      <c r="B347" t="s">
        <v>717</v>
      </c>
      <c r="C347" t="s">
        <v>6417</v>
      </c>
    </row>
    <row r="348" spans="1:3" x14ac:dyDescent="0.25">
      <c r="A348" t="s">
        <v>2364</v>
      </c>
      <c r="B348" t="s">
        <v>717</v>
      </c>
      <c r="C348" t="s">
        <v>6417</v>
      </c>
    </row>
    <row r="349" spans="1:3" x14ac:dyDescent="0.25">
      <c r="A349" t="s">
        <v>3420</v>
      </c>
      <c r="B349" t="s">
        <v>717</v>
      </c>
      <c r="C349" t="s">
        <v>6417</v>
      </c>
    </row>
    <row r="350" spans="1:3" x14ac:dyDescent="0.25">
      <c r="A350" t="s">
        <v>1283</v>
      </c>
      <c r="B350" t="s">
        <v>717</v>
      </c>
      <c r="C350" t="s">
        <v>6417</v>
      </c>
    </row>
    <row r="351" spans="1:3" x14ac:dyDescent="0.25">
      <c r="A351" t="s">
        <v>1251</v>
      </c>
      <c r="B351" t="s">
        <v>717</v>
      </c>
      <c r="C351" t="s">
        <v>6419</v>
      </c>
    </row>
    <row r="352" spans="1:3" x14ac:dyDescent="0.25">
      <c r="A352" t="s">
        <v>4763</v>
      </c>
      <c r="B352" t="s">
        <v>717</v>
      </c>
      <c r="C352" t="s">
        <v>6417</v>
      </c>
    </row>
    <row r="353" spans="1:3" x14ac:dyDescent="0.25">
      <c r="A353" t="s">
        <v>4651</v>
      </c>
      <c r="B353" t="s">
        <v>717</v>
      </c>
      <c r="C353" t="s">
        <v>6417</v>
      </c>
    </row>
    <row r="354" spans="1:3" x14ac:dyDescent="0.25">
      <c r="A354" t="s">
        <v>1912</v>
      </c>
      <c r="B354" t="s">
        <v>717</v>
      </c>
      <c r="C354" t="s">
        <v>6417</v>
      </c>
    </row>
    <row r="355" spans="1:3" x14ac:dyDescent="0.25">
      <c r="A355" t="s">
        <v>725</v>
      </c>
      <c r="B355" t="s">
        <v>717</v>
      </c>
      <c r="C355" t="s">
        <v>6417</v>
      </c>
    </row>
    <row r="356" spans="1:3" x14ac:dyDescent="0.25">
      <c r="A356" t="s">
        <v>1897</v>
      </c>
      <c r="B356" t="s">
        <v>717</v>
      </c>
      <c r="C356" t="s">
        <v>6417</v>
      </c>
    </row>
    <row r="357" spans="1:3" x14ac:dyDescent="0.25">
      <c r="A357" t="s">
        <v>4039</v>
      </c>
      <c r="B357" t="s">
        <v>717</v>
      </c>
      <c r="C357" t="s">
        <v>6419</v>
      </c>
    </row>
    <row r="358" spans="1:3" x14ac:dyDescent="0.25">
      <c r="A358" t="s">
        <v>720</v>
      </c>
      <c r="B358" t="s">
        <v>717</v>
      </c>
      <c r="C358" t="s">
        <v>6417</v>
      </c>
    </row>
    <row r="359" spans="1:3" x14ac:dyDescent="0.25">
      <c r="A359" t="s">
        <v>2441</v>
      </c>
      <c r="B359" t="s">
        <v>717</v>
      </c>
      <c r="C359" t="s">
        <v>6417</v>
      </c>
    </row>
    <row r="360" spans="1:3" x14ac:dyDescent="0.25">
      <c r="A360" t="s">
        <v>4766</v>
      </c>
      <c r="B360" t="s">
        <v>717</v>
      </c>
      <c r="C360" t="s">
        <v>6419</v>
      </c>
    </row>
    <row r="361" spans="1:3" x14ac:dyDescent="0.25">
      <c r="A361" t="s">
        <v>1907</v>
      </c>
      <c r="B361" t="s">
        <v>717</v>
      </c>
      <c r="C361" t="s">
        <v>6418</v>
      </c>
    </row>
    <row r="362" spans="1:3" x14ac:dyDescent="0.25">
      <c r="A362" t="s">
        <v>1154</v>
      </c>
      <c r="B362" t="s">
        <v>717</v>
      </c>
      <c r="C362" t="s">
        <v>6417</v>
      </c>
    </row>
    <row r="363" spans="1:3" x14ac:dyDescent="0.25">
      <c r="A363" t="s">
        <v>3422</v>
      </c>
      <c r="B363" t="s">
        <v>717</v>
      </c>
      <c r="C363" t="s">
        <v>6417</v>
      </c>
    </row>
    <row r="364" spans="1:3" x14ac:dyDescent="0.25">
      <c r="A364" t="s">
        <v>1896</v>
      </c>
      <c r="B364" t="s">
        <v>717</v>
      </c>
      <c r="C364" t="s">
        <v>6417</v>
      </c>
    </row>
    <row r="365" spans="1:3" x14ac:dyDescent="0.25">
      <c r="A365" t="s">
        <v>727</v>
      </c>
      <c r="B365" t="s">
        <v>717</v>
      </c>
      <c r="C365" t="s">
        <v>6419</v>
      </c>
    </row>
    <row r="366" spans="1:3" x14ac:dyDescent="0.25">
      <c r="A366" t="s">
        <v>5738</v>
      </c>
      <c r="B366" t="s">
        <v>985</v>
      </c>
      <c r="C366" t="s">
        <v>6417</v>
      </c>
    </row>
    <row r="367" spans="1:3" x14ac:dyDescent="0.25">
      <c r="A367" t="s">
        <v>4592</v>
      </c>
      <c r="B367" t="s">
        <v>985</v>
      </c>
      <c r="C367" t="s">
        <v>6419</v>
      </c>
    </row>
    <row r="368" spans="1:3" x14ac:dyDescent="0.25">
      <c r="A368" t="s">
        <v>3878</v>
      </c>
      <c r="B368" t="s">
        <v>1126</v>
      </c>
      <c r="C368" t="s">
        <v>6419</v>
      </c>
    </row>
    <row r="369" spans="1:3" x14ac:dyDescent="0.25">
      <c r="A369" t="s">
        <v>5142</v>
      </c>
      <c r="B369" t="s">
        <v>1126</v>
      </c>
      <c r="C369" t="s">
        <v>6417</v>
      </c>
    </row>
    <row r="370" spans="1:3" x14ac:dyDescent="0.25">
      <c r="A370" t="s">
        <v>5140</v>
      </c>
      <c r="B370" t="s">
        <v>1126</v>
      </c>
      <c r="C370" t="s">
        <v>6417</v>
      </c>
    </row>
    <row r="371" spans="1:3" x14ac:dyDescent="0.25">
      <c r="A371" t="s">
        <v>5144</v>
      </c>
      <c r="B371" t="s">
        <v>1126</v>
      </c>
      <c r="C371" t="s">
        <v>6417</v>
      </c>
    </row>
    <row r="372" spans="1:3" x14ac:dyDescent="0.25">
      <c r="A372" t="s">
        <v>1095</v>
      </c>
      <c r="B372" t="s">
        <v>649</v>
      </c>
      <c r="C372" t="s">
        <v>6417</v>
      </c>
    </row>
    <row r="373" spans="1:3" x14ac:dyDescent="0.25">
      <c r="A373" t="s">
        <v>156</v>
      </c>
      <c r="B373" t="s">
        <v>649</v>
      </c>
      <c r="C373" t="s">
        <v>6419</v>
      </c>
    </row>
    <row r="374" spans="1:3" x14ac:dyDescent="0.25">
      <c r="A374" t="s">
        <v>3876</v>
      </c>
      <c r="B374" t="s">
        <v>649</v>
      </c>
      <c r="C374" t="s">
        <v>6417</v>
      </c>
    </row>
    <row r="375" spans="1:3" x14ac:dyDescent="0.25">
      <c r="A375" t="s">
        <v>3873</v>
      </c>
      <c r="B375" t="s">
        <v>649</v>
      </c>
      <c r="C375" t="s">
        <v>6419</v>
      </c>
    </row>
    <row r="376" spans="1:3" x14ac:dyDescent="0.25">
      <c r="A376" t="s">
        <v>1597</v>
      </c>
      <c r="B376" t="s">
        <v>649</v>
      </c>
      <c r="C376" t="s">
        <v>6417</v>
      </c>
    </row>
    <row r="377" spans="1:3" x14ac:dyDescent="0.25">
      <c r="A377" t="s">
        <v>2408</v>
      </c>
      <c r="B377" t="s">
        <v>1987</v>
      </c>
      <c r="C377" t="s">
        <v>6417</v>
      </c>
    </row>
    <row r="378" spans="1:3" x14ac:dyDescent="0.25">
      <c r="A378" t="s">
        <v>1988</v>
      </c>
      <c r="B378" t="s">
        <v>1987</v>
      </c>
      <c r="C378" t="s">
        <v>6417</v>
      </c>
    </row>
    <row r="379" spans="1:3" x14ac:dyDescent="0.25">
      <c r="A379" t="s">
        <v>1358</v>
      </c>
      <c r="B379" t="s">
        <v>159</v>
      </c>
      <c r="C379" t="s">
        <v>6419</v>
      </c>
    </row>
    <row r="380" spans="1:3" x14ac:dyDescent="0.25">
      <c r="A380" t="s">
        <v>3887</v>
      </c>
      <c r="B380" t="s">
        <v>159</v>
      </c>
      <c r="C380" t="s">
        <v>6417</v>
      </c>
    </row>
    <row r="381" spans="1:3" x14ac:dyDescent="0.25">
      <c r="A381" t="s">
        <v>699</v>
      </c>
      <c r="B381" t="s">
        <v>159</v>
      </c>
      <c r="C381" t="s">
        <v>6417</v>
      </c>
    </row>
    <row r="382" spans="1:3" x14ac:dyDescent="0.25">
      <c r="A382" t="s">
        <v>2875</v>
      </c>
      <c r="B382" t="s">
        <v>159</v>
      </c>
      <c r="C382" t="s">
        <v>6417</v>
      </c>
    </row>
    <row r="383" spans="1:3" x14ac:dyDescent="0.25">
      <c r="A383" t="s">
        <v>2160</v>
      </c>
      <c r="B383" t="s">
        <v>159</v>
      </c>
      <c r="C383" t="s">
        <v>6417</v>
      </c>
    </row>
    <row r="384" spans="1:3" x14ac:dyDescent="0.25">
      <c r="A384" t="s">
        <v>3889</v>
      </c>
      <c r="B384" t="s">
        <v>159</v>
      </c>
      <c r="C384" t="s">
        <v>6417</v>
      </c>
    </row>
    <row r="385" spans="1:3" x14ac:dyDescent="0.25">
      <c r="A385" t="s">
        <v>3891</v>
      </c>
      <c r="B385" t="s">
        <v>159</v>
      </c>
      <c r="C385" t="s">
        <v>6417</v>
      </c>
    </row>
    <row r="386" spans="1:3" x14ac:dyDescent="0.25">
      <c r="A386" t="s">
        <v>250</v>
      </c>
      <c r="B386" t="s">
        <v>159</v>
      </c>
      <c r="C386" t="s">
        <v>6419</v>
      </c>
    </row>
    <row r="387" spans="1:3" x14ac:dyDescent="0.25">
      <c r="A387" t="s">
        <v>3885</v>
      </c>
      <c r="B387" t="s">
        <v>159</v>
      </c>
      <c r="C387" t="s">
        <v>6417</v>
      </c>
    </row>
    <row r="388" spans="1:3" x14ac:dyDescent="0.25">
      <c r="A388" t="s">
        <v>1968</v>
      </c>
      <c r="B388" t="s">
        <v>159</v>
      </c>
      <c r="C388" t="s">
        <v>6419</v>
      </c>
    </row>
    <row r="389" spans="1:3" x14ac:dyDescent="0.25">
      <c r="A389" t="s">
        <v>240</v>
      </c>
      <c r="B389" t="s">
        <v>239</v>
      </c>
      <c r="C389" t="s">
        <v>6419</v>
      </c>
    </row>
    <row r="390" spans="1:3" x14ac:dyDescent="0.25">
      <c r="A390" t="s">
        <v>889</v>
      </c>
      <c r="B390" t="s">
        <v>239</v>
      </c>
      <c r="C390" t="s">
        <v>6434</v>
      </c>
    </row>
    <row r="391" spans="1:3" x14ac:dyDescent="0.25">
      <c r="A391" t="s">
        <v>2005</v>
      </c>
      <c r="B391" t="s">
        <v>239</v>
      </c>
      <c r="C391" t="s">
        <v>6429</v>
      </c>
    </row>
    <row r="392" spans="1:3" x14ac:dyDescent="0.25">
      <c r="A392" t="s">
        <v>888</v>
      </c>
      <c r="B392" t="s">
        <v>239</v>
      </c>
      <c r="C392" t="s">
        <v>6417</v>
      </c>
    </row>
    <row r="393" spans="1:3" x14ac:dyDescent="0.25">
      <c r="A393" t="s">
        <v>869</v>
      </c>
      <c r="B393" t="s">
        <v>303</v>
      </c>
      <c r="C393" t="s">
        <v>6419</v>
      </c>
    </row>
    <row r="394" spans="1:3" x14ac:dyDescent="0.25">
      <c r="A394" t="s">
        <v>5147</v>
      </c>
      <c r="B394" t="s">
        <v>303</v>
      </c>
      <c r="C394" t="s">
        <v>6417</v>
      </c>
    </row>
    <row r="395" spans="1:3" x14ac:dyDescent="0.25">
      <c r="A395" t="s">
        <v>1323</v>
      </c>
      <c r="B395" t="s">
        <v>303</v>
      </c>
      <c r="C395" t="s">
        <v>6417</v>
      </c>
    </row>
    <row r="396" spans="1:3" x14ac:dyDescent="0.25">
      <c r="A396" t="s">
        <v>2967</v>
      </c>
      <c r="B396" t="s">
        <v>303</v>
      </c>
      <c r="C396" t="s">
        <v>6417</v>
      </c>
    </row>
    <row r="397" spans="1:3" x14ac:dyDescent="0.25">
      <c r="A397" t="s">
        <v>4973</v>
      </c>
      <c r="B397" t="s">
        <v>303</v>
      </c>
      <c r="C397" t="s">
        <v>6417</v>
      </c>
    </row>
    <row r="398" spans="1:3" x14ac:dyDescent="0.25">
      <c r="A398" t="s">
        <v>1956</v>
      </c>
      <c r="B398" t="s">
        <v>303</v>
      </c>
      <c r="C398" t="s">
        <v>6417</v>
      </c>
    </row>
    <row r="399" spans="1:3" x14ac:dyDescent="0.25">
      <c r="A399" t="s">
        <v>374</v>
      </c>
      <c r="B399" t="s">
        <v>303</v>
      </c>
      <c r="C399" t="s">
        <v>6417</v>
      </c>
    </row>
    <row r="400" spans="1:3" x14ac:dyDescent="0.25">
      <c r="A400" t="s">
        <v>5201</v>
      </c>
      <c r="B400" t="s">
        <v>303</v>
      </c>
      <c r="C400" t="s">
        <v>6417</v>
      </c>
    </row>
    <row r="401" spans="1:3" x14ac:dyDescent="0.25">
      <c r="A401" t="s">
        <v>4975</v>
      </c>
      <c r="B401" t="s">
        <v>303</v>
      </c>
      <c r="C401" t="s">
        <v>6417</v>
      </c>
    </row>
    <row r="402" spans="1:3" x14ac:dyDescent="0.25">
      <c r="A402" t="s">
        <v>4977</v>
      </c>
      <c r="B402" t="s">
        <v>303</v>
      </c>
      <c r="C402" t="s">
        <v>6417</v>
      </c>
    </row>
    <row r="403" spans="1:3" x14ac:dyDescent="0.25">
      <c r="A403" t="s">
        <v>5194</v>
      </c>
      <c r="B403" t="s">
        <v>303</v>
      </c>
      <c r="C403" t="s">
        <v>6417</v>
      </c>
    </row>
    <row r="404" spans="1:3" x14ac:dyDescent="0.25">
      <c r="A404" t="s">
        <v>820</v>
      </c>
      <c r="B404" t="s">
        <v>303</v>
      </c>
      <c r="C404" t="s">
        <v>6419</v>
      </c>
    </row>
    <row r="405" spans="1:3" x14ac:dyDescent="0.25">
      <c r="A405" t="s">
        <v>1324</v>
      </c>
      <c r="B405" t="s">
        <v>303</v>
      </c>
      <c r="C405" t="s">
        <v>6417</v>
      </c>
    </row>
    <row r="406" spans="1:3" x14ac:dyDescent="0.25">
      <c r="A406" t="s">
        <v>304</v>
      </c>
      <c r="B406" t="s">
        <v>303</v>
      </c>
      <c r="C406" t="s">
        <v>6417</v>
      </c>
    </row>
    <row r="407" spans="1:3" x14ac:dyDescent="0.25">
      <c r="A407" t="s">
        <v>4836</v>
      </c>
      <c r="B407" t="s">
        <v>1355</v>
      </c>
      <c r="C407" t="s">
        <v>6417</v>
      </c>
    </row>
    <row r="408" spans="1:3" x14ac:dyDescent="0.25">
      <c r="A408" t="s">
        <v>4838</v>
      </c>
      <c r="B408" t="s">
        <v>1355</v>
      </c>
      <c r="C408" t="s">
        <v>6417</v>
      </c>
    </row>
    <row r="409" spans="1:3" x14ac:dyDescent="0.25">
      <c r="A409" t="s">
        <v>1768</v>
      </c>
      <c r="B409" t="s">
        <v>128</v>
      </c>
      <c r="C409" t="s">
        <v>6418</v>
      </c>
    </row>
    <row r="410" spans="1:3" x14ac:dyDescent="0.25">
      <c r="A410" t="s">
        <v>4783</v>
      </c>
      <c r="B410" t="s">
        <v>128</v>
      </c>
      <c r="C410" t="s">
        <v>6417</v>
      </c>
    </row>
    <row r="411" spans="1:3" x14ac:dyDescent="0.25">
      <c r="A411" t="s">
        <v>1783</v>
      </c>
      <c r="B411" t="s">
        <v>128</v>
      </c>
      <c r="C411" t="s">
        <v>6423</v>
      </c>
    </row>
    <row r="412" spans="1:3" x14ac:dyDescent="0.25">
      <c r="A412" t="s">
        <v>3510</v>
      </c>
      <c r="B412" t="s">
        <v>128</v>
      </c>
      <c r="C412" t="s">
        <v>6417</v>
      </c>
    </row>
    <row r="413" spans="1:3" x14ac:dyDescent="0.25">
      <c r="A413" t="s">
        <v>129</v>
      </c>
      <c r="B413" t="s">
        <v>128</v>
      </c>
      <c r="C413" t="s">
        <v>6417</v>
      </c>
    </row>
    <row r="414" spans="1:3" x14ac:dyDescent="0.25">
      <c r="A414" t="s">
        <v>2000</v>
      </c>
      <c r="B414" t="s">
        <v>128</v>
      </c>
      <c r="C414" t="s">
        <v>6417</v>
      </c>
    </row>
    <row r="415" spans="1:3" x14ac:dyDescent="0.25">
      <c r="A415" t="s">
        <v>2373</v>
      </c>
      <c r="B415" t="s">
        <v>128</v>
      </c>
      <c r="C415" t="s">
        <v>6417</v>
      </c>
    </row>
    <row r="416" spans="1:3" x14ac:dyDescent="0.25">
      <c r="A416" t="s">
        <v>436</v>
      </c>
      <c r="B416" t="s">
        <v>128</v>
      </c>
      <c r="C416" t="s">
        <v>6417</v>
      </c>
    </row>
    <row r="417" spans="1:3" x14ac:dyDescent="0.25">
      <c r="A417" t="s">
        <v>2971</v>
      </c>
      <c r="B417" t="s">
        <v>996</v>
      </c>
      <c r="C417" t="s">
        <v>6419</v>
      </c>
    </row>
    <row r="418" spans="1:3" x14ac:dyDescent="0.25">
      <c r="A418" t="s">
        <v>5748</v>
      </c>
      <c r="B418" t="s">
        <v>402</v>
      </c>
      <c r="C418" t="s">
        <v>6417</v>
      </c>
    </row>
    <row r="419" spans="1:3" x14ac:dyDescent="0.25">
      <c r="A419" t="s">
        <v>3435</v>
      </c>
      <c r="B419" t="s">
        <v>402</v>
      </c>
      <c r="C419" t="s">
        <v>6419</v>
      </c>
    </row>
    <row r="420" spans="1:3" x14ac:dyDescent="0.25">
      <c r="A420" t="s">
        <v>3450</v>
      </c>
      <c r="B420" t="s">
        <v>402</v>
      </c>
      <c r="C420" t="s">
        <v>6419</v>
      </c>
    </row>
    <row r="421" spans="1:3" x14ac:dyDescent="0.25">
      <c r="A421" t="s">
        <v>2121</v>
      </c>
      <c r="B421" t="s">
        <v>402</v>
      </c>
      <c r="C421" t="s">
        <v>6419</v>
      </c>
    </row>
    <row r="422" spans="1:3" x14ac:dyDescent="0.25">
      <c r="A422" t="s">
        <v>1983</v>
      </c>
      <c r="B422" t="s">
        <v>545</v>
      </c>
      <c r="C422" t="s">
        <v>6419</v>
      </c>
    </row>
    <row r="423" spans="1:3" x14ac:dyDescent="0.25">
      <c r="A423" t="s">
        <v>5712</v>
      </c>
      <c r="B423" t="s">
        <v>545</v>
      </c>
      <c r="C423" t="s">
        <v>6417</v>
      </c>
    </row>
    <row r="424" spans="1:3" x14ac:dyDescent="0.25">
      <c r="A424" t="s">
        <v>2376</v>
      </c>
      <c r="B424" t="s">
        <v>545</v>
      </c>
      <c r="C424" t="s">
        <v>6419</v>
      </c>
    </row>
    <row r="425" spans="1:3" x14ac:dyDescent="0.25">
      <c r="A425" t="s">
        <v>1943</v>
      </c>
      <c r="B425" t="s">
        <v>474</v>
      </c>
      <c r="C425" t="s">
        <v>6417</v>
      </c>
    </row>
    <row r="426" spans="1:3" x14ac:dyDescent="0.25">
      <c r="A426" t="s">
        <v>1944</v>
      </c>
      <c r="B426" t="s">
        <v>474</v>
      </c>
      <c r="C426" t="s">
        <v>6435</v>
      </c>
    </row>
    <row r="427" spans="1:3" x14ac:dyDescent="0.25">
      <c r="A427" t="s">
        <v>2358</v>
      </c>
      <c r="B427" t="s">
        <v>155</v>
      </c>
      <c r="C427" t="s">
        <v>6419</v>
      </c>
    </row>
    <row r="428" spans="1:3" x14ac:dyDescent="0.25">
      <c r="A428" t="s">
        <v>2032</v>
      </c>
      <c r="B428" t="s">
        <v>155</v>
      </c>
      <c r="C428" t="s">
        <v>6417</v>
      </c>
    </row>
    <row r="429" spans="1:3" x14ac:dyDescent="0.25">
      <c r="A429" t="s">
        <v>156</v>
      </c>
      <c r="B429" t="s">
        <v>155</v>
      </c>
      <c r="C429" t="s">
        <v>6419</v>
      </c>
    </row>
    <row r="430" spans="1:3" x14ac:dyDescent="0.25">
      <c r="A430" t="s">
        <v>1543</v>
      </c>
      <c r="B430" t="s">
        <v>155</v>
      </c>
      <c r="C430" t="s">
        <v>6429</v>
      </c>
    </row>
    <row r="431" spans="1:3" x14ac:dyDescent="0.25">
      <c r="A431" t="s">
        <v>1972</v>
      </c>
      <c r="B431" t="s">
        <v>155</v>
      </c>
      <c r="C431" t="s">
        <v>6418</v>
      </c>
    </row>
    <row r="432" spans="1:3" x14ac:dyDescent="0.25">
      <c r="A432" t="s">
        <v>335</v>
      </c>
      <c r="B432" t="s">
        <v>155</v>
      </c>
      <c r="C432" t="s">
        <v>6418</v>
      </c>
    </row>
    <row r="433" spans="1:3" x14ac:dyDescent="0.25">
      <c r="A433" t="s">
        <v>2956</v>
      </c>
      <c r="B433" t="s">
        <v>155</v>
      </c>
      <c r="C433" t="s">
        <v>6418</v>
      </c>
    </row>
    <row r="434" spans="1:3" x14ac:dyDescent="0.25">
      <c r="A434" t="s">
        <v>2033</v>
      </c>
      <c r="B434" t="s">
        <v>155</v>
      </c>
      <c r="C434" t="s">
        <v>6418</v>
      </c>
    </row>
    <row r="435" spans="1:3" x14ac:dyDescent="0.25">
      <c r="A435" t="s">
        <v>1772</v>
      </c>
      <c r="B435" t="s">
        <v>155</v>
      </c>
      <c r="C435" t="s">
        <v>6418</v>
      </c>
    </row>
    <row r="436" spans="1:3" x14ac:dyDescent="0.25">
      <c r="A436" t="s">
        <v>2034</v>
      </c>
      <c r="B436" t="s">
        <v>155</v>
      </c>
      <c r="C436" t="s">
        <v>6418</v>
      </c>
    </row>
    <row r="437" spans="1:3" x14ac:dyDescent="0.25">
      <c r="A437" t="s">
        <v>1252</v>
      </c>
      <c r="B437" t="s">
        <v>155</v>
      </c>
      <c r="C437" t="s">
        <v>6423</v>
      </c>
    </row>
    <row r="438" spans="1:3" x14ac:dyDescent="0.25">
      <c r="A438" t="s">
        <v>5224</v>
      </c>
      <c r="B438" t="s">
        <v>155</v>
      </c>
      <c r="C438" t="s">
        <v>6427</v>
      </c>
    </row>
    <row r="439" spans="1:3" x14ac:dyDescent="0.25">
      <c r="A439" t="s">
        <v>2035</v>
      </c>
      <c r="B439" t="s">
        <v>155</v>
      </c>
      <c r="C439" t="s">
        <v>6417</v>
      </c>
    </row>
    <row r="440" spans="1:3" x14ac:dyDescent="0.25">
      <c r="A440" t="s">
        <v>1973</v>
      </c>
      <c r="B440" t="s">
        <v>155</v>
      </c>
      <c r="C440" t="s">
        <v>6418</v>
      </c>
    </row>
    <row r="441" spans="1:3" x14ac:dyDescent="0.25">
      <c r="A441" t="s">
        <v>828</v>
      </c>
      <c r="B441" t="s">
        <v>155</v>
      </c>
      <c r="C441" t="s">
        <v>6427</v>
      </c>
    </row>
    <row r="442" spans="1:3" x14ac:dyDescent="0.25">
      <c r="A442" t="s">
        <v>1656</v>
      </c>
      <c r="B442" t="s">
        <v>155</v>
      </c>
      <c r="C442" t="s">
        <v>6419</v>
      </c>
    </row>
    <row r="443" spans="1:3" x14ac:dyDescent="0.25">
      <c r="A443" t="s">
        <v>937</v>
      </c>
      <c r="B443" t="s">
        <v>936</v>
      </c>
      <c r="C443" t="s">
        <v>6417</v>
      </c>
    </row>
    <row r="444" spans="1:3" x14ac:dyDescent="0.25">
      <c r="A444" t="s">
        <v>1854</v>
      </c>
      <c r="B444" t="s">
        <v>504</v>
      </c>
      <c r="C444" t="s">
        <v>6417</v>
      </c>
    </row>
    <row r="445" spans="1:3" x14ac:dyDescent="0.25">
      <c r="A445" t="s">
        <v>1855</v>
      </c>
      <c r="B445" t="s">
        <v>504</v>
      </c>
      <c r="C445" t="s">
        <v>6417</v>
      </c>
    </row>
    <row r="446" spans="1:3" x14ac:dyDescent="0.25">
      <c r="A446" t="s">
        <v>73</v>
      </c>
      <c r="B446" t="s">
        <v>45</v>
      </c>
      <c r="C446" t="s">
        <v>6419</v>
      </c>
    </row>
    <row r="447" spans="1:3" x14ac:dyDescent="0.25">
      <c r="A447" t="s">
        <v>653</v>
      </c>
      <c r="B447" t="s">
        <v>45</v>
      </c>
      <c r="C447" t="s">
        <v>6417</v>
      </c>
    </row>
    <row r="448" spans="1:3" x14ac:dyDescent="0.25">
      <c r="A448" t="s">
        <v>4841</v>
      </c>
      <c r="B448" t="s">
        <v>45</v>
      </c>
      <c r="C448" t="s">
        <v>6418</v>
      </c>
    </row>
    <row r="449" spans="1:3" x14ac:dyDescent="0.25">
      <c r="A449" t="s">
        <v>327</v>
      </c>
      <c r="B449" t="s">
        <v>45</v>
      </c>
      <c r="C449" t="s">
        <v>6434</v>
      </c>
    </row>
    <row r="450" spans="1:3" x14ac:dyDescent="0.25">
      <c r="A450" t="s">
        <v>658</v>
      </c>
      <c r="B450" t="s">
        <v>45</v>
      </c>
      <c r="C450" t="s">
        <v>6418</v>
      </c>
    </row>
    <row r="451" spans="1:3" x14ac:dyDescent="0.25">
      <c r="A451" t="s">
        <v>363</v>
      </c>
      <c r="B451" t="s">
        <v>45</v>
      </c>
      <c r="C451" t="s">
        <v>6419</v>
      </c>
    </row>
    <row r="452" spans="1:3" x14ac:dyDescent="0.25">
      <c r="A452" t="s">
        <v>3736</v>
      </c>
      <c r="B452" t="s">
        <v>45</v>
      </c>
      <c r="C452" t="s">
        <v>6417</v>
      </c>
    </row>
    <row r="453" spans="1:3" x14ac:dyDescent="0.25">
      <c r="A453" t="s">
        <v>1109</v>
      </c>
      <c r="B453" t="s">
        <v>45</v>
      </c>
      <c r="C453" t="s">
        <v>6417</v>
      </c>
    </row>
    <row r="454" spans="1:3" x14ac:dyDescent="0.25">
      <c r="A454" t="s">
        <v>667</v>
      </c>
      <c r="B454" t="s">
        <v>45</v>
      </c>
      <c r="C454" t="s">
        <v>6417</v>
      </c>
    </row>
    <row r="455" spans="1:3" x14ac:dyDescent="0.25">
      <c r="A455" t="s">
        <v>541</v>
      </c>
      <c r="B455" t="s">
        <v>45</v>
      </c>
      <c r="C455" t="s">
        <v>6417</v>
      </c>
    </row>
    <row r="456" spans="1:3" x14ac:dyDescent="0.25">
      <c r="A456" t="s">
        <v>668</v>
      </c>
      <c r="B456" t="s">
        <v>45</v>
      </c>
      <c r="C456" t="s">
        <v>6417</v>
      </c>
    </row>
    <row r="457" spans="1:3" x14ac:dyDescent="0.25">
      <c r="A457" t="s">
        <v>5714</v>
      </c>
      <c r="B457" t="s">
        <v>45</v>
      </c>
      <c r="C457" t="s">
        <v>6427</v>
      </c>
    </row>
    <row r="458" spans="1:3" x14ac:dyDescent="0.25">
      <c r="A458" t="s">
        <v>794</v>
      </c>
      <c r="B458" t="s">
        <v>793</v>
      </c>
      <c r="C458" t="s">
        <v>6417</v>
      </c>
    </row>
    <row r="459" spans="1:3" x14ac:dyDescent="0.25">
      <c r="A459" t="s">
        <v>796</v>
      </c>
      <c r="B459" t="s">
        <v>793</v>
      </c>
      <c r="C459" t="s">
        <v>6417</v>
      </c>
    </row>
    <row r="460" spans="1:3" x14ac:dyDescent="0.25">
      <c r="A460" t="s">
        <v>795</v>
      </c>
      <c r="B460" t="s">
        <v>793</v>
      </c>
      <c r="C460" t="s">
        <v>6417</v>
      </c>
    </row>
    <row r="461" spans="1:3" x14ac:dyDescent="0.25">
      <c r="A461" t="s">
        <v>1837</v>
      </c>
      <c r="B461" t="s">
        <v>793</v>
      </c>
      <c r="C461" t="s">
        <v>6427</v>
      </c>
    </row>
    <row r="462" spans="1:3" x14ac:dyDescent="0.25">
      <c r="A462" t="s">
        <v>1993</v>
      </c>
      <c r="B462" t="s">
        <v>793</v>
      </c>
      <c r="C462" t="s">
        <v>6427</v>
      </c>
    </row>
    <row r="463" spans="1:3" x14ac:dyDescent="0.25">
      <c r="A463" t="s">
        <v>2437</v>
      </c>
      <c r="B463" t="s">
        <v>1554</v>
      </c>
      <c r="C463" t="s">
        <v>6417</v>
      </c>
    </row>
    <row r="464" spans="1:3" x14ac:dyDescent="0.25">
      <c r="A464" t="s">
        <v>1647</v>
      </c>
      <c r="B464" t="s">
        <v>1554</v>
      </c>
      <c r="C464" t="s">
        <v>6417</v>
      </c>
    </row>
    <row r="465" spans="1:3" x14ac:dyDescent="0.25">
      <c r="A465" t="s">
        <v>2435</v>
      </c>
      <c r="B465" t="s">
        <v>1554</v>
      </c>
      <c r="C465" t="s">
        <v>6429</v>
      </c>
    </row>
    <row r="466" spans="1:3" x14ac:dyDescent="0.25">
      <c r="A466" t="s">
        <v>6364</v>
      </c>
      <c r="B466" t="s">
        <v>1554</v>
      </c>
      <c r="C466" t="s">
        <v>6419</v>
      </c>
    </row>
    <row r="467" spans="1:3" x14ac:dyDescent="0.25">
      <c r="A467" t="s">
        <v>2436</v>
      </c>
      <c r="B467" t="s">
        <v>1554</v>
      </c>
      <c r="C467" t="s">
        <v>6419</v>
      </c>
    </row>
    <row r="468" spans="1:3" x14ac:dyDescent="0.25">
      <c r="A468" t="s">
        <v>2424</v>
      </c>
      <c r="B468" t="s">
        <v>992</v>
      </c>
      <c r="C468" t="s">
        <v>6419</v>
      </c>
    </row>
    <row r="469" spans="1:3" x14ac:dyDescent="0.25">
      <c r="A469" t="s">
        <v>2423</v>
      </c>
      <c r="B469" t="s">
        <v>992</v>
      </c>
      <c r="C469" t="s">
        <v>6429</v>
      </c>
    </row>
    <row r="470" spans="1:3" x14ac:dyDescent="0.25">
      <c r="A470" t="s">
        <v>228</v>
      </c>
      <c r="B470" t="s">
        <v>226</v>
      </c>
      <c r="C470" t="s">
        <v>6417</v>
      </c>
    </row>
    <row r="471" spans="1:3" x14ac:dyDescent="0.25">
      <c r="A471" t="s">
        <v>227</v>
      </c>
      <c r="B471" t="s">
        <v>226</v>
      </c>
      <c r="C471" t="s">
        <v>6417</v>
      </c>
    </row>
    <row r="472" spans="1:3" x14ac:dyDescent="0.25">
      <c r="A472" t="s">
        <v>3298</v>
      </c>
      <c r="B472" t="s">
        <v>226</v>
      </c>
      <c r="C472" t="s">
        <v>6429</v>
      </c>
    </row>
    <row r="473" spans="1:3" x14ac:dyDescent="0.25">
      <c r="A473" t="s">
        <v>842</v>
      </c>
      <c r="B473" t="s">
        <v>226</v>
      </c>
      <c r="C473" t="s">
        <v>6417</v>
      </c>
    </row>
    <row r="474" spans="1:3" x14ac:dyDescent="0.25">
      <c r="A474" t="s">
        <v>229</v>
      </c>
      <c r="B474" t="s">
        <v>226</v>
      </c>
      <c r="C474" t="s">
        <v>6417</v>
      </c>
    </row>
    <row r="475" spans="1:3" x14ac:dyDescent="0.25">
      <c r="A475" t="s">
        <v>841</v>
      </c>
      <c r="B475" t="s">
        <v>226</v>
      </c>
      <c r="C475" t="s">
        <v>6417</v>
      </c>
    </row>
    <row r="476" spans="1:3" x14ac:dyDescent="0.25">
      <c r="A476" t="s">
        <v>3296</v>
      </c>
      <c r="B476" t="s">
        <v>226</v>
      </c>
      <c r="C476" t="s">
        <v>6417</v>
      </c>
    </row>
    <row r="477" spans="1:3" x14ac:dyDescent="0.25">
      <c r="A477" t="s">
        <v>5308</v>
      </c>
      <c r="B477" t="s">
        <v>5309</v>
      </c>
      <c r="C477" t="s">
        <v>6434</v>
      </c>
    </row>
    <row r="478" spans="1:3" x14ac:dyDescent="0.25">
      <c r="A478" t="s">
        <v>1777</v>
      </c>
      <c r="B478" t="s">
        <v>500</v>
      </c>
      <c r="C478" t="s">
        <v>6415</v>
      </c>
    </row>
    <row r="479" spans="1:3" x14ac:dyDescent="0.25">
      <c r="A479" t="s">
        <v>779</v>
      </c>
      <c r="B479" t="s">
        <v>500</v>
      </c>
      <c r="C479" t="s">
        <v>6430</v>
      </c>
    </row>
    <row r="480" spans="1:3" x14ac:dyDescent="0.25">
      <c r="A480" t="s">
        <v>6277</v>
      </c>
      <c r="B480" t="s">
        <v>561</v>
      </c>
      <c r="C480" t="s">
        <v>6418</v>
      </c>
    </row>
    <row r="481" spans="1:3" x14ac:dyDescent="0.25">
      <c r="A481" t="s">
        <v>2840</v>
      </c>
      <c r="B481" t="s">
        <v>561</v>
      </c>
      <c r="C481" t="s">
        <v>6427</v>
      </c>
    </row>
    <row r="482" spans="1:3" x14ac:dyDescent="0.25">
      <c r="A482" t="s">
        <v>5104</v>
      </c>
      <c r="B482" t="s">
        <v>561</v>
      </c>
      <c r="C482" t="s">
        <v>6417</v>
      </c>
    </row>
    <row r="483" spans="1:3" x14ac:dyDescent="0.25">
      <c r="A483" t="s">
        <v>5102</v>
      </c>
      <c r="B483" t="s">
        <v>561</v>
      </c>
      <c r="C483" t="s">
        <v>6417</v>
      </c>
    </row>
    <row r="484" spans="1:3" x14ac:dyDescent="0.25">
      <c r="A484" t="s">
        <v>1241</v>
      </c>
      <c r="B484" t="s">
        <v>561</v>
      </c>
      <c r="C484" t="s">
        <v>6417</v>
      </c>
    </row>
    <row r="485" spans="1:3" x14ac:dyDescent="0.25">
      <c r="A485" t="s">
        <v>4554</v>
      </c>
      <c r="B485" t="s">
        <v>561</v>
      </c>
      <c r="C485" t="s">
        <v>6437</v>
      </c>
    </row>
    <row r="486" spans="1:3" x14ac:dyDescent="0.25">
      <c r="A486" t="s">
        <v>1683</v>
      </c>
      <c r="B486" t="s">
        <v>561</v>
      </c>
      <c r="C486" t="s">
        <v>6437</v>
      </c>
    </row>
    <row r="487" spans="1:3" x14ac:dyDescent="0.25">
      <c r="A487" t="s">
        <v>1240</v>
      </c>
      <c r="B487" t="s">
        <v>561</v>
      </c>
      <c r="C487" t="s">
        <v>6417</v>
      </c>
    </row>
    <row r="488" spans="1:3" x14ac:dyDescent="0.25">
      <c r="A488" t="s">
        <v>925</v>
      </c>
      <c r="B488" t="s">
        <v>924</v>
      </c>
      <c r="C488" t="s">
        <v>6418</v>
      </c>
    </row>
    <row r="489" spans="1:3" x14ac:dyDescent="0.25">
      <c r="A489" t="s">
        <v>236</v>
      </c>
      <c r="B489" t="s">
        <v>903</v>
      </c>
      <c r="C489" t="s">
        <v>6419</v>
      </c>
    </row>
    <row r="490" spans="1:3" x14ac:dyDescent="0.25">
      <c r="A490" t="s">
        <v>77</v>
      </c>
      <c r="B490" t="s">
        <v>903</v>
      </c>
      <c r="C490" t="s">
        <v>6417</v>
      </c>
    </row>
    <row r="491" spans="1:3" x14ac:dyDescent="0.25">
      <c r="A491" t="s">
        <v>1759</v>
      </c>
      <c r="B491" t="s">
        <v>903</v>
      </c>
      <c r="C491" t="s">
        <v>6418</v>
      </c>
    </row>
    <row r="492" spans="1:3" x14ac:dyDescent="0.25">
      <c r="A492" t="s">
        <v>950</v>
      </c>
      <c r="B492" t="s">
        <v>903</v>
      </c>
      <c r="C492" t="s">
        <v>6417</v>
      </c>
    </row>
    <row r="493" spans="1:3" x14ac:dyDescent="0.25">
      <c r="A493" t="s">
        <v>80</v>
      </c>
      <c r="B493" t="s">
        <v>903</v>
      </c>
      <c r="C493" t="s">
        <v>6417</v>
      </c>
    </row>
    <row r="494" spans="1:3" x14ac:dyDescent="0.25">
      <c r="A494" t="s">
        <v>1760</v>
      </c>
      <c r="B494" t="s">
        <v>903</v>
      </c>
      <c r="C494" t="s">
        <v>6417</v>
      </c>
    </row>
    <row r="495" spans="1:3" x14ac:dyDescent="0.25">
      <c r="A495" t="s">
        <v>2324</v>
      </c>
      <c r="B495" t="s">
        <v>903</v>
      </c>
      <c r="C495" t="s">
        <v>6417</v>
      </c>
    </row>
    <row r="496" spans="1:3" x14ac:dyDescent="0.25">
      <c r="A496" t="s">
        <v>79</v>
      </c>
      <c r="B496" t="s">
        <v>903</v>
      </c>
      <c r="C496" t="s">
        <v>6417</v>
      </c>
    </row>
    <row r="497" spans="1:3" x14ac:dyDescent="0.25">
      <c r="A497" t="s">
        <v>1761</v>
      </c>
      <c r="B497" t="s">
        <v>903</v>
      </c>
      <c r="C497" t="s">
        <v>6417</v>
      </c>
    </row>
    <row r="498" spans="1:3" x14ac:dyDescent="0.25">
      <c r="A498" t="s">
        <v>314</v>
      </c>
      <c r="B498" t="s">
        <v>903</v>
      </c>
      <c r="C498" t="s">
        <v>6417</v>
      </c>
    </row>
    <row r="499" spans="1:3" x14ac:dyDescent="0.25">
      <c r="A499" t="s">
        <v>2163</v>
      </c>
      <c r="B499" t="s">
        <v>83</v>
      </c>
      <c r="C499" t="s">
        <v>6417</v>
      </c>
    </row>
    <row r="500" spans="1:3" x14ac:dyDescent="0.25">
      <c r="A500" t="s">
        <v>1173</v>
      </c>
      <c r="B500" t="s">
        <v>83</v>
      </c>
      <c r="C500" t="s">
        <v>6417</v>
      </c>
    </row>
    <row r="501" spans="1:3" x14ac:dyDescent="0.25">
      <c r="A501" t="s">
        <v>85</v>
      </c>
      <c r="B501" t="s">
        <v>83</v>
      </c>
      <c r="C501" t="s">
        <v>6419</v>
      </c>
    </row>
    <row r="502" spans="1:3" x14ac:dyDescent="0.25">
      <c r="A502" t="s">
        <v>2851</v>
      </c>
      <c r="B502" t="s">
        <v>83</v>
      </c>
      <c r="C502" t="s">
        <v>6419</v>
      </c>
    </row>
    <row r="503" spans="1:3" x14ac:dyDescent="0.25">
      <c r="A503" t="s">
        <v>86</v>
      </c>
      <c r="B503" t="s">
        <v>83</v>
      </c>
      <c r="C503" t="s">
        <v>6419</v>
      </c>
    </row>
    <row r="504" spans="1:3" x14ac:dyDescent="0.25">
      <c r="A504" t="s">
        <v>84</v>
      </c>
      <c r="B504" t="s">
        <v>83</v>
      </c>
      <c r="C504" t="s">
        <v>6417</v>
      </c>
    </row>
    <row r="505" spans="1:3" x14ac:dyDescent="0.25">
      <c r="A505" t="s">
        <v>1968</v>
      </c>
      <c r="B505" t="s">
        <v>83</v>
      </c>
      <c r="C505" t="s">
        <v>6419</v>
      </c>
    </row>
    <row r="506" spans="1:3" x14ac:dyDescent="0.25">
      <c r="A506" t="s">
        <v>5726</v>
      </c>
      <c r="B506" t="s">
        <v>518</v>
      </c>
      <c r="C506" t="s">
        <v>6418</v>
      </c>
    </row>
    <row r="507" spans="1:3" x14ac:dyDescent="0.25">
      <c r="A507" t="s">
        <v>5722</v>
      </c>
      <c r="B507" t="s">
        <v>518</v>
      </c>
      <c r="C507" t="s">
        <v>6417</v>
      </c>
    </row>
    <row r="508" spans="1:3" x14ac:dyDescent="0.25">
      <c r="A508" t="s">
        <v>5728</v>
      </c>
      <c r="B508" t="s">
        <v>518</v>
      </c>
      <c r="C508" t="s">
        <v>6418</v>
      </c>
    </row>
    <row r="509" spans="1:3" x14ac:dyDescent="0.25">
      <c r="A509" t="s">
        <v>4039</v>
      </c>
      <c r="B509" t="s">
        <v>518</v>
      </c>
      <c r="C509" t="s">
        <v>6419</v>
      </c>
    </row>
    <row r="510" spans="1:3" x14ac:dyDescent="0.25">
      <c r="A510" t="s">
        <v>5724</v>
      </c>
      <c r="B510" t="s">
        <v>518</v>
      </c>
      <c r="C510" t="s">
        <v>6418</v>
      </c>
    </row>
    <row r="511" spans="1:3" x14ac:dyDescent="0.25">
      <c r="A511" t="s">
        <v>1653</v>
      </c>
      <c r="B511" t="s">
        <v>1650</v>
      </c>
      <c r="C511" t="s">
        <v>6419</v>
      </c>
    </row>
    <row r="512" spans="1:3" x14ac:dyDescent="0.25">
      <c r="A512" t="s">
        <v>1950</v>
      </c>
      <c r="B512" t="s">
        <v>1650</v>
      </c>
      <c r="C512" t="s">
        <v>6419</v>
      </c>
    </row>
    <row r="513" spans="1:3" x14ac:dyDescent="0.25">
      <c r="A513" t="s">
        <v>1652</v>
      </c>
      <c r="B513" t="s">
        <v>1650</v>
      </c>
      <c r="C513" t="s">
        <v>6417</v>
      </c>
    </row>
    <row r="514" spans="1:3" x14ac:dyDescent="0.25">
      <c r="A514" t="s">
        <v>1651</v>
      </c>
      <c r="B514" t="s">
        <v>1650</v>
      </c>
      <c r="C514" t="s">
        <v>6429</v>
      </c>
    </row>
    <row r="515" spans="1:3" x14ac:dyDescent="0.25">
      <c r="A515" t="s">
        <v>5237</v>
      </c>
      <c r="B515" t="s">
        <v>1650</v>
      </c>
      <c r="C515" t="s">
        <v>6417</v>
      </c>
    </row>
    <row r="516" spans="1:3" x14ac:dyDescent="0.25">
      <c r="A516" t="s">
        <v>2382</v>
      </c>
      <c r="B516" t="s">
        <v>581</v>
      </c>
      <c r="C516" t="s">
        <v>6419</v>
      </c>
    </row>
    <row r="517" spans="1:3" x14ac:dyDescent="0.25">
      <c r="A517" t="s">
        <v>2918</v>
      </c>
      <c r="B517" t="s">
        <v>2919</v>
      </c>
      <c r="C517" t="s">
        <v>6435</v>
      </c>
    </row>
    <row r="518" spans="1:3" x14ac:dyDescent="0.25">
      <c r="A518" t="s">
        <v>135</v>
      </c>
      <c r="B518" t="s">
        <v>20</v>
      </c>
      <c r="C518" t="s">
        <v>6417</v>
      </c>
    </row>
    <row r="519" spans="1:3" x14ac:dyDescent="0.25">
      <c r="A519" t="s">
        <v>171</v>
      </c>
      <c r="B519" t="s">
        <v>20</v>
      </c>
      <c r="C519" t="s">
        <v>6415</v>
      </c>
    </row>
    <row r="520" spans="1:3" x14ac:dyDescent="0.25">
      <c r="A520" t="s">
        <v>5216</v>
      </c>
      <c r="B520" t="s">
        <v>20</v>
      </c>
      <c r="C520" t="s">
        <v>6417</v>
      </c>
    </row>
    <row r="521" spans="1:3" x14ac:dyDescent="0.25">
      <c r="A521" t="s">
        <v>852</v>
      </c>
      <c r="B521" t="s">
        <v>20</v>
      </c>
      <c r="C521" t="s">
        <v>6417</v>
      </c>
    </row>
    <row r="522" spans="1:3" x14ac:dyDescent="0.25">
      <c r="A522" t="s">
        <v>172</v>
      </c>
      <c r="B522" t="s">
        <v>20</v>
      </c>
      <c r="C522" t="s">
        <v>6417</v>
      </c>
    </row>
    <row r="523" spans="1:3" x14ac:dyDescent="0.25">
      <c r="A523" t="s">
        <v>901</v>
      </c>
      <c r="B523" t="s">
        <v>20</v>
      </c>
      <c r="C523" t="s">
        <v>6417</v>
      </c>
    </row>
    <row r="524" spans="1:3" x14ac:dyDescent="0.25">
      <c r="A524" t="s">
        <v>2907</v>
      </c>
      <c r="B524" t="s">
        <v>20</v>
      </c>
      <c r="C524" t="s">
        <v>6417</v>
      </c>
    </row>
    <row r="525" spans="1:3" x14ac:dyDescent="0.25">
      <c r="A525" t="s">
        <v>133</v>
      </c>
      <c r="B525" t="s">
        <v>132</v>
      </c>
      <c r="C525" t="s">
        <v>6417</v>
      </c>
    </row>
    <row r="526" spans="1:3" x14ac:dyDescent="0.25">
      <c r="A526" t="s">
        <v>2006</v>
      </c>
      <c r="B526" t="s">
        <v>132</v>
      </c>
      <c r="C526" t="s">
        <v>6417</v>
      </c>
    </row>
    <row r="527" spans="1:3" x14ac:dyDescent="0.25">
      <c r="A527" t="s">
        <v>1300</v>
      </c>
      <c r="B527" t="s">
        <v>132</v>
      </c>
      <c r="C527" t="s">
        <v>6434</v>
      </c>
    </row>
    <row r="528" spans="1:3" x14ac:dyDescent="0.25">
      <c r="A528" t="s">
        <v>136</v>
      </c>
      <c r="B528" t="s">
        <v>132</v>
      </c>
      <c r="C528" t="s">
        <v>6417</v>
      </c>
    </row>
    <row r="529" spans="1:3" x14ac:dyDescent="0.25">
      <c r="A529" t="s">
        <v>3520</v>
      </c>
      <c r="B529" t="s">
        <v>132</v>
      </c>
      <c r="C529" t="s">
        <v>6437</v>
      </c>
    </row>
    <row r="530" spans="1:3" x14ac:dyDescent="0.25">
      <c r="A530" t="s">
        <v>1731</v>
      </c>
      <c r="B530" t="s">
        <v>132</v>
      </c>
      <c r="C530" t="s">
        <v>6437</v>
      </c>
    </row>
    <row r="531" spans="1:3" x14ac:dyDescent="0.25">
      <c r="A531" t="s">
        <v>142</v>
      </c>
      <c r="B531" t="s">
        <v>132</v>
      </c>
      <c r="C531" t="s">
        <v>6417</v>
      </c>
    </row>
    <row r="532" spans="1:3" x14ac:dyDescent="0.25">
      <c r="A532" t="s">
        <v>1909</v>
      </c>
      <c r="B532" t="s">
        <v>132</v>
      </c>
      <c r="C532" t="s">
        <v>6417</v>
      </c>
    </row>
    <row r="533" spans="1:3" x14ac:dyDescent="0.25">
      <c r="A533" t="s">
        <v>5288</v>
      </c>
      <c r="B533" t="s">
        <v>132</v>
      </c>
      <c r="C533" t="s">
        <v>6417</v>
      </c>
    </row>
    <row r="534" spans="1:3" x14ac:dyDescent="0.25">
      <c r="A534" t="s">
        <v>817</v>
      </c>
      <c r="B534" t="s">
        <v>132</v>
      </c>
      <c r="C534" t="s">
        <v>6417</v>
      </c>
    </row>
    <row r="535" spans="1:3" x14ac:dyDescent="0.25">
      <c r="A535" t="s">
        <v>137</v>
      </c>
      <c r="B535" t="s">
        <v>132</v>
      </c>
      <c r="C535" t="s">
        <v>6417</v>
      </c>
    </row>
    <row r="536" spans="1:3" x14ac:dyDescent="0.25">
      <c r="A536" t="s">
        <v>821</v>
      </c>
      <c r="B536" t="s">
        <v>132</v>
      </c>
      <c r="C536" t="s">
        <v>6418</v>
      </c>
    </row>
    <row r="537" spans="1:3" x14ac:dyDescent="0.25">
      <c r="A537" t="s">
        <v>2007</v>
      </c>
      <c r="B537" t="s">
        <v>132</v>
      </c>
      <c r="C537" t="s">
        <v>6417</v>
      </c>
    </row>
    <row r="538" spans="1:3" x14ac:dyDescent="0.25">
      <c r="A538" t="s">
        <v>1732</v>
      </c>
      <c r="B538" t="s">
        <v>132</v>
      </c>
      <c r="C538" t="s">
        <v>6417</v>
      </c>
    </row>
    <row r="539" spans="1:3" x14ac:dyDescent="0.25">
      <c r="A539" t="s">
        <v>143</v>
      </c>
      <c r="B539" t="s">
        <v>132</v>
      </c>
      <c r="C539" t="s">
        <v>6418</v>
      </c>
    </row>
    <row r="540" spans="1:3" x14ac:dyDescent="0.25">
      <c r="A540" t="s">
        <v>1733</v>
      </c>
      <c r="B540" t="s">
        <v>132</v>
      </c>
      <c r="C540" t="s">
        <v>6418</v>
      </c>
    </row>
    <row r="541" spans="1:3" x14ac:dyDescent="0.25">
      <c r="A541" t="s">
        <v>2008</v>
      </c>
      <c r="B541" t="s">
        <v>132</v>
      </c>
      <c r="C541" t="s">
        <v>6419</v>
      </c>
    </row>
    <row r="542" spans="1:3" x14ac:dyDescent="0.25">
      <c r="A542" t="s">
        <v>1734</v>
      </c>
      <c r="B542" t="s">
        <v>132</v>
      </c>
      <c r="C542" t="s">
        <v>6417</v>
      </c>
    </row>
    <row r="543" spans="1:3" x14ac:dyDescent="0.25">
      <c r="A543" t="s">
        <v>1299</v>
      </c>
      <c r="B543" t="s">
        <v>132</v>
      </c>
      <c r="C543" t="s">
        <v>6418</v>
      </c>
    </row>
    <row r="544" spans="1:3" x14ac:dyDescent="0.25">
      <c r="A544" t="s">
        <v>1301</v>
      </c>
      <c r="B544" t="s">
        <v>132</v>
      </c>
      <c r="C544" t="s">
        <v>6417</v>
      </c>
    </row>
    <row r="545" spans="1:3" x14ac:dyDescent="0.25">
      <c r="A545" t="s">
        <v>141</v>
      </c>
      <c r="B545" t="s">
        <v>132</v>
      </c>
      <c r="C545" t="s">
        <v>6418</v>
      </c>
    </row>
    <row r="546" spans="1:3" x14ac:dyDescent="0.25">
      <c r="A546" t="s">
        <v>140</v>
      </c>
      <c r="B546" t="s">
        <v>132</v>
      </c>
      <c r="C546" t="s">
        <v>6419</v>
      </c>
    </row>
    <row r="547" spans="1:3" x14ac:dyDescent="0.25">
      <c r="A547" t="s">
        <v>134</v>
      </c>
      <c r="B547" t="s">
        <v>132</v>
      </c>
      <c r="C547" t="s">
        <v>6418</v>
      </c>
    </row>
    <row r="548" spans="1:3" x14ac:dyDescent="0.25">
      <c r="A548" t="s">
        <v>819</v>
      </c>
      <c r="B548" t="s">
        <v>132</v>
      </c>
      <c r="C548" t="s">
        <v>6417</v>
      </c>
    </row>
    <row r="549" spans="1:3" x14ac:dyDescent="0.25">
      <c r="A549" t="s">
        <v>1735</v>
      </c>
      <c r="B549" t="s">
        <v>132</v>
      </c>
      <c r="C549" t="s">
        <v>6417</v>
      </c>
    </row>
    <row r="550" spans="1:3" x14ac:dyDescent="0.25">
      <c r="A550" t="s">
        <v>139</v>
      </c>
      <c r="B550" t="s">
        <v>132</v>
      </c>
      <c r="C550" t="s">
        <v>6419</v>
      </c>
    </row>
    <row r="551" spans="1:3" x14ac:dyDescent="0.25">
      <c r="A551" t="s">
        <v>820</v>
      </c>
      <c r="B551" t="s">
        <v>132</v>
      </c>
      <c r="C551" t="s">
        <v>6419</v>
      </c>
    </row>
    <row r="552" spans="1:3" x14ac:dyDescent="0.25">
      <c r="A552" t="s">
        <v>2864</v>
      </c>
      <c r="B552" t="s">
        <v>132</v>
      </c>
      <c r="C552" t="s">
        <v>6427</v>
      </c>
    </row>
    <row r="553" spans="1:3" x14ac:dyDescent="0.25">
      <c r="A553" t="s">
        <v>3895</v>
      </c>
      <c r="B553" t="s">
        <v>132</v>
      </c>
      <c r="C553" t="s">
        <v>6437</v>
      </c>
    </row>
    <row r="554" spans="1:3" x14ac:dyDescent="0.25">
      <c r="A554" t="s">
        <v>138</v>
      </c>
      <c r="B554" t="s">
        <v>132</v>
      </c>
      <c r="C554" t="s">
        <v>6418</v>
      </c>
    </row>
    <row r="555" spans="1:3" x14ac:dyDescent="0.25">
      <c r="A555" t="s">
        <v>818</v>
      </c>
      <c r="B555" t="s">
        <v>132</v>
      </c>
      <c r="C555" t="s">
        <v>6418</v>
      </c>
    </row>
    <row r="556" spans="1:3" x14ac:dyDescent="0.25">
      <c r="A556" t="s">
        <v>2001</v>
      </c>
      <c r="B556" t="s">
        <v>1354</v>
      </c>
      <c r="C556" t="s">
        <v>6419</v>
      </c>
    </row>
    <row r="557" spans="1:3" x14ac:dyDescent="0.25">
      <c r="A557" t="s">
        <v>2316</v>
      </c>
      <c r="B557" t="s">
        <v>150</v>
      </c>
      <c r="C557" t="s">
        <v>6418</v>
      </c>
    </row>
    <row r="558" spans="1:3" x14ac:dyDescent="0.25">
      <c r="A558" t="s">
        <v>4530</v>
      </c>
      <c r="B558" t="s">
        <v>150</v>
      </c>
      <c r="C558" t="s">
        <v>6417</v>
      </c>
    </row>
    <row r="559" spans="1:3" x14ac:dyDescent="0.25">
      <c r="A559" t="s">
        <v>4891</v>
      </c>
      <c r="B559" t="s">
        <v>150</v>
      </c>
      <c r="C559" t="s">
        <v>6419</v>
      </c>
    </row>
    <row r="560" spans="1:3" x14ac:dyDescent="0.25">
      <c r="A560" t="s">
        <v>2045</v>
      </c>
      <c r="B560" t="s">
        <v>150</v>
      </c>
      <c r="C560" t="s">
        <v>6417</v>
      </c>
    </row>
    <row r="561" spans="1:3" x14ac:dyDescent="0.25">
      <c r="A561" t="s">
        <v>4885</v>
      </c>
      <c r="B561" t="s">
        <v>150</v>
      </c>
      <c r="C561" t="s">
        <v>6417</v>
      </c>
    </row>
    <row r="562" spans="1:3" x14ac:dyDescent="0.25">
      <c r="A562" t="s">
        <v>384</v>
      </c>
      <c r="B562" t="s">
        <v>150</v>
      </c>
      <c r="C562" t="s">
        <v>6417</v>
      </c>
    </row>
    <row r="563" spans="1:3" x14ac:dyDescent="0.25">
      <c r="A563" t="s">
        <v>2046</v>
      </c>
      <c r="B563" t="s">
        <v>150</v>
      </c>
      <c r="C563" t="s">
        <v>6417</v>
      </c>
    </row>
    <row r="564" spans="1:3" x14ac:dyDescent="0.25">
      <c r="A564" t="s">
        <v>1981</v>
      </c>
      <c r="B564" t="s">
        <v>150</v>
      </c>
      <c r="C564" t="s">
        <v>6419</v>
      </c>
    </row>
    <row r="565" spans="1:3" x14ac:dyDescent="0.25">
      <c r="A565" t="s">
        <v>152</v>
      </c>
      <c r="B565" t="s">
        <v>150</v>
      </c>
      <c r="C565" t="s">
        <v>6419</v>
      </c>
    </row>
    <row r="566" spans="1:3" x14ac:dyDescent="0.25">
      <c r="A566" t="s">
        <v>2526</v>
      </c>
      <c r="B566" t="s">
        <v>150</v>
      </c>
      <c r="C566" t="s">
        <v>6417</v>
      </c>
    </row>
    <row r="567" spans="1:3" x14ac:dyDescent="0.25">
      <c r="A567" t="s">
        <v>1353</v>
      </c>
      <c r="B567" t="s">
        <v>150</v>
      </c>
      <c r="C567" t="s">
        <v>6423</v>
      </c>
    </row>
    <row r="568" spans="1:3" x14ac:dyDescent="0.25">
      <c r="A568" t="s">
        <v>1103</v>
      </c>
      <c r="B568" t="s">
        <v>150</v>
      </c>
      <c r="C568" t="s">
        <v>6417</v>
      </c>
    </row>
    <row r="569" spans="1:3" x14ac:dyDescent="0.25">
      <c r="A569" t="s">
        <v>832</v>
      </c>
      <c r="B569" t="s">
        <v>150</v>
      </c>
      <c r="C569" t="s">
        <v>6417</v>
      </c>
    </row>
    <row r="570" spans="1:3" x14ac:dyDescent="0.25">
      <c r="A570" t="s">
        <v>1982</v>
      </c>
      <c r="B570" t="s">
        <v>150</v>
      </c>
      <c r="C570" t="s">
        <v>6417</v>
      </c>
    </row>
    <row r="571" spans="1:3" x14ac:dyDescent="0.25">
      <c r="A571" t="s">
        <v>151</v>
      </c>
      <c r="B571" t="s">
        <v>150</v>
      </c>
      <c r="C571" t="s">
        <v>6417</v>
      </c>
    </row>
    <row r="572" spans="1:3" x14ac:dyDescent="0.25">
      <c r="A572" t="s">
        <v>4893</v>
      </c>
      <c r="B572" t="s">
        <v>150</v>
      </c>
      <c r="C572" t="s">
        <v>6417</v>
      </c>
    </row>
    <row r="573" spans="1:3" x14ac:dyDescent="0.25">
      <c r="A573" t="s">
        <v>1625</v>
      </c>
      <c r="B573" t="s">
        <v>676</v>
      </c>
      <c r="C573" t="s">
        <v>6417</v>
      </c>
    </row>
    <row r="574" spans="1:3" x14ac:dyDescent="0.25">
      <c r="A574" t="s">
        <v>882</v>
      </c>
      <c r="B574" t="s">
        <v>210</v>
      </c>
      <c r="C574" t="s">
        <v>6419</v>
      </c>
    </row>
    <row r="575" spans="1:3" x14ac:dyDescent="0.25">
      <c r="A575" t="s">
        <v>1989</v>
      </c>
      <c r="B575" t="s">
        <v>210</v>
      </c>
      <c r="C575" t="s">
        <v>6419</v>
      </c>
    </row>
    <row r="576" spans="1:3" x14ac:dyDescent="0.25">
      <c r="A576" t="s">
        <v>212</v>
      </c>
      <c r="B576" t="s">
        <v>210</v>
      </c>
      <c r="C576" t="s">
        <v>6417</v>
      </c>
    </row>
    <row r="577" spans="1:3" x14ac:dyDescent="0.25">
      <c r="A577" t="s">
        <v>214</v>
      </c>
      <c r="B577" t="s">
        <v>210</v>
      </c>
      <c r="C577" t="s">
        <v>6417</v>
      </c>
    </row>
    <row r="578" spans="1:3" x14ac:dyDescent="0.25">
      <c r="A578" t="s">
        <v>217</v>
      </c>
      <c r="B578" t="s">
        <v>210</v>
      </c>
      <c r="C578" t="s">
        <v>6434</v>
      </c>
    </row>
    <row r="579" spans="1:3" x14ac:dyDescent="0.25">
      <c r="A579" t="s">
        <v>880</v>
      </c>
      <c r="B579" t="s">
        <v>210</v>
      </c>
      <c r="C579" t="s">
        <v>6417</v>
      </c>
    </row>
    <row r="580" spans="1:3" x14ac:dyDescent="0.25">
      <c r="A580" t="s">
        <v>2413</v>
      </c>
      <c r="B580" t="s">
        <v>210</v>
      </c>
      <c r="C580" t="s">
        <v>6434</v>
      </c>
    </row>
    <row r="581" spans="1:3" x14ac:dyDescent="0.25">
      <c r="A581" t="s">
        <v>5116</v>
      </c>
      <c r="B581" t="s">
        <v>210</v>
      </c>
      <c r="C581" t="s">
        <v>6434</v>
      </c>
    </row>
    <row r="582" spans="1:3" x14ac:dyDescent="0.25">
      <c r="A582" t="s">
        <v>4851</v>
      </c>
      <c r="B582" t="s">
        <v>210</v>
      </c>
      <c r="C582" t="s">
        <v>6434</v>
      </c>
    </row>
    <row r="583" spans="1:3" x14ac:dyDescent="0.25">
      <c r="A583" t="s">
        <v>883</v>
      </c>
      <c r="B583" t="s">
        <v>210</v>
      </c>
      <c r="C583" t="s">
        <v>6417</v>
      </c>
    </row>
    <row r="584" spans="1:3" x14ac:dyDescent="0.25">
      <c r="A584" t="s">
        <v>216</v>
      </c>
      <c r="B584" t="s">
        <v>210</v>
      </c>
      <c r="C584" t="s">
        <v>6419</v>
      </c>
    </row>
    <row r="585" spans="1:3" x14ac:dyDescent="0.25">
      <c r="A585" t="s">
        <v>215</v>
      </c>
      <c r="B585" t="s">
        <v>210</v>
      </c>
      <c r="C585" t="s">
        <v>6417</v>
      </c>
    </row>
    <row r="586" spans="1:3" x14ac:dyDescent="0.25">
      <c r="A586" t="s">
        <v>363</v>
      </c>
      <c r="B586" t="s">
        <v>210</v>
      </c>
      <c r="C586" t="s">
        <v>6419</v>
      </c>
    </row>
    <row r="587" spans="1:3" x14ac:dyDescent="0.25">
      <c r="A587" t="s">
        <v>881</v>
      </c>
      <c r="B587" t="s">
        <v>210</v>
      </c>
      <c r="C587" t="s">
        <v>6419</v>
      </c>
    </row>
    <row r="588" spans="1:3" x14ac:dyDescent="0.25">
      <c r="A588" t="s">
        <v>3012</v>
      </c>
      <c r="B588" t="s">
        <v>210</v>
      </c>
      <c r="C588" t="s">
        <v>6419</v>
      </c>
    </row>
    <row r="589" spans="1:3" x14ac:dyDescent="0.25">
      <c r="A589" t="s">
        <v>211</v>
      </c>
      <c r="B589" t="s">
        <v>210</v>
      </c>
      <c r="C589" t="s">
        <v>6419</v>
      </c>
    </row>
    <row r="590" spans="1:3" x14ac:dyDescent="0.25">
      <c r="A590" t="s">
        <v>627</v>
      </c>
      <c r="B590" t="s">
        <v>210</v>
      </c>
      <c r="C590" t="s">
        <v>6417</v>
      </c>
    </row>
    <row r="591" spans="1:3" x14ac:dyDescent="0.25">
      <c r="A591" t="s">
        <v>2416</v>
      </c>
      <c r="B591" t="s">
        <v>210</v>
      </c>
      <c r="C591" t="s">
        <v>6419</v>
      </c>
    </row>
    <row r="592" spans="1:3" x14ac:dyDescent="0.25">
      <c r="A592" t="s">
        <v>218</v>
      </c>
      <c r="B592" t="s">
        <v>210</v>
      </c>
      <c r="C592" t="s">
        <v>6419</v>
      </c>
    </row>
    <row r="593" spans="1:3" x14ac:dyDescent="0.25">
      <c r="A593" t="s">
        <v>3014</v>
      </c>
      <c r="B593" t="s">
        <v>210</v>
      </c>
      <c r="C593" t="s">
        <v>6419</v>
      </c>
    </row>
    <row r="594" spans="1:3" x14ac:dyDescent="0.25">
      <c r="A594" t="s">
        <v>4729</v>
      </c>
      <c r="B594" t="s">
        <v>210</v>
      </c>
      <c r="C594" t="s">
        <v>6429</v>
      </c>
    </row>
    <row r="595" spans="1:3" x14ac:dyDescent="0.25">
      <c r="A595" t="s">
        <v>5703</v>
      </c>
      <c r="B595" t="s">
        <v>210</v>
      </c>
      <c r="C595" t="s">
        <v>6419</v>
      </c>
    </row>
    <row r="596" spans="1:3" x14ac:dyDescent="0.25">
      <c r="A596" t="s">
        <v>213</v>
      </c>
      <c r="B596" t="s">
        <v>210</v>
      </c>
      <c r="C596" t="s">
        <v>6415</v>
      </c>
    </row>
    <row r="597" spans="1:3" x14ac:dyDescent="0.25">
      <c r="A597" t="s">
        <v>468</v>
      </c>
      <c r="B597" t="s">
        <v>210</v>
      </c>
      <c r="C597" t="s">
        <v>6417</v>
      </c>
    </row>
    <row r="598" spans="1:3" x14ac:dyDescent="0.25">
      <c r="A598" t="s">
        <v>884</v>
      </c>
      <c r="B598" t="s">
        <v>210</v>
      </c>
      <c r="C598" t="s">
        <v>6417</v>
      </c>
    </row>
    <row r="599" spans="1:3" x14ac:dyDescent="0.25">
      <c r="A599" t="s">
        <v>4538</v>
      </c>
      <c r="B599" t="s">
        <v>594</v>
      </c>
      <c r="C599" t="s">
        <v>6419</v>
      </c>
    </row>
    <row r="600" spans="1:3" x14ac:dyDescent="0.25">
      <c r="A600" t="s">
        <v>4536</v>
      </c>
      <c r="B600" t="s">
        <v>594</v>
      </c>
      <c r="C600" t="s">
        <v>6419</v>
      </c>
    </row>
    <row r="601" spans="1:3" x14ac:dyDescent="0.25">
      <c r="A601" t="s">
        <v>5250</v>
      </c>
      <c r="B601" t="s">
        <v>594</v>
      </c>
      <c r="C601" t="s">
        <v>6423</v>
      </c>
    </row>
    <row r="602" spans="1:3" x14ac:dyDescent="0.25">
      <c r="A602" t="s">
        <v>2037</v>
      </c>
      <c r="B602" t="s">
        <v>305</v>
      </c>
      <c r="C602" t="s">
        <v>6417</v>
      </c>
    </row>
    <row r="603" spans="1:3" x14ac:dyDescent="0.25">
      <c r="A603" t="s">
        <v>6351</v>
      </c>
      <c r="B603" t="s">
        <v>305</v>
      </c>
      <c r="C603" t="s">
        <v>6417</v>
      </c>
    </row>
    <row r="604" spans="1:3" x14ac:dyDescent="0.25">
      <c r="A604" t="s">
        <v>1329</v>
      </c>
      <c r="B604" t="s">
        <v>305</v>
      </c>
      <c r="C604" t="s">
        <v>6417</v>
      </c>
    </row>
    <row r="605" spans="1:3" x14ac:dyDescent="0.25">
      <c r="A605" t="s">
        <v>908</v>
      </c>
      <c r="B605" t="s">
        <v>305</v>
      </c>
      <c r="C605" t="s">
        <v>6417</v>
      </c>
    </row>
    <row r="606" spans="1:3" x14ac:dyDescent="0.25">
      <c r="A606" t="s">
        <v>905</v>
      </c>
      <c r="B606" t="s">
        <v>305</v>
      </c>
      <c r="C606" t="s">
        <v>6419</v>
      </c>
    </row>
    <row r="607" spans="1:3" x14ac:dyDescent="0.25">
      <c r="A607" t="s">
        <v>306</v>
      </c>
      <c r="B607" t="s">
        <v>305</v>
      </c>
      <c r="C607" t="s">
        <v>6417</v>
      </c>
    </row>
    <row r="608" spans="1:3" x14ac:dyDescent="0.25">
      <c r="A608" t="s">
        <v>1328</v>
      </c>
      <c r="B608" t="s">
        <v>305</v>
      </c>
      <c r="C608" t="s">
        <v>6417</v>
      </c>
    </row>
    <row r="609" spans="1:3" x14ac:dyDescent="0.25">
      <c r="A609" t="s">
        <v>307</v>
      </c>
      <c r="B609" t="s">
        <v>305</v>
      </c>
      <c r="C609" t="s">
        <v>6418</v>
      </c>
    </row>
    <row r="610" spans="1:3" x14ac:dyDescent="0.25">
      <c r="A610" t="s">
        <v>5151</v>
      </c>
      <c r="B610" t="s">
        <v>305</v>
      </c>
      <c r="C610" t="s">
        <v>6417</v>
      </c>
    </row>
    <row r="611" spans="1:3" x14ac:dyDescent="0.25">
      <c r="A611" t="s">
        <v>1326</v>
      </c>
      <c r="B611" t="s">
        <v>305</v>
      </c>
      <c r="C611" t="s">
        <v>6417</v>
      </c>
    </row>
    <row r="612" spans="1:3" x14ac:dyDescent="0.25">
      <c r="A612" t="s">
        <v>309</v>
      </c>
      <c r="B612" t="s">
        <v>305</v>
      </c>
      <c r="C612" t="s">
        <v>6417</v>
      </c>
    </row>
    <row r="613" spans="1:3" x14ac:dyDescent="0.25">
      <c r="A613" t="s">
        <v>907</v>
      </c>
      <c r="B613" t="s">
        <v>305</v>
      </c>
      <c r="C613" t="s">
        <v>6417</v>
      </c>
    </row>
    <row r="614" spans="1:3" x14ac:dyDescent="0.25">
      <c r="A614" t="s">
        <v>2480</v>
      </c>
      <c r="B614" t="s">
        <v>305</v>
      </c>
      <c r="C614" t="s">
        <v>6417</v>
      </c>
    </row>
    <row r="615" spans="1:3" x14ac:dyDescent="0.25">
      <c r="A615" t="s">
        <v>308</v>
      </c>
      <c r="B615" t="s">
        <v>305</v>
      </c>
      <c r="C615" t="s">
        <v>6417</v>
      </c>
    </row>
    <row r="616" spans="1:3" x14ac:dyDescent="0.25">
      <c r="A616" t="s">
        <v>904</v>
      </c>
      <c r="B616" t="s">
        <v>305</v>
      </c>
      <c r="C616" t="s">
        <v>6417</v>
      </c>
    </row>
    <row r="617" spans="1:3" x14ac:dyDescent="0.25">
      <c r="A617" t="s">
        <v>848</v>
      </c>
      <c r="B617" t="s">
        <v>305</v>
      </c>
      <c r="C617" t="s">
        <v>6417</v>
      </c>
    </row>
    <row r="618" spans="1:3" x14ac:dyDescent="0.25">
      <c r="A618" t="s">
        <v>1327</v>
      </c>
      <c r="B618" t="s">
        <v>305</v>
      </c>
      <c r="C618" t="s">
        <v>6417</v>
      </c>
    </row>
    <row r="619" spans="1:3" x14ac:dyDescent="0.25">
      <c r="A619" t="s">
        <v>2478</v>
      </c>
      <c r="B619" t="s">
        <v>305</v>
      </c>
      <c r="C619" t="s">
        <v>6417</v>
      </c>
    </row>
    <row r="620" spans="1:3" x14ac:dyDescent="0.25">
      <c r="A620" t="s">
        <v>906</v>
      </c>
      <c r="B620" t="s">
        <v>305</v>
      </c>
      <c r="C620" t="s">
        <v>6418</v>
      </c>
    </row>
    <row r="621" spans="1:3" x14ac:dyDescent="0.25">
      <c r="A621" t="s">
        <v>2475</v>
      </c>
      <c r="B621" t="s">
        <v>305</v>
      </c>
      <c r="C621" t="s">
        <v>6417</v>
      </c>
    </row>
    <row r="622" spans="1:3" x14ac:dyDescent="0.25">
      <c r="A622" t="s">
        <v>4979</v>
      </c>
      <c r="B622" t="s">
        <v>305</v>
      </c>
      <c r="C622" t="s">
        <v>6417</v>
      </c>
    </row>
    <row r="623" spans="1:3" x14ac:dyDescent="0.25">
      <c r="A623" t="s">
        <v>2038</v>
      </c>
      <c r="B623" t="s">
        <v>305</v>
      </c>
      <c r="C623" t="s">
        <v>6417</v>
      </c>
    </row>
    <row r="624" spans="1:3" x14ac:dyDescent="0.25">
      <c r="A624" t="s">
        <v>310</v>
      </c>
      <c r="B624" t="s">
        <v>305</v>
      </c>
      <c r="C624" t="s">
        <v>6417</v>
      </c>
    </row>
    <row r="625" spans="1:3" x14ac:dyDescent="0.25">
      <c r="A625" t="s">
        <v>3830</v>
      </c>
      <c r="B625" t="s">
        <v>305</v>
      </c>
      <c r="C625" t="s">
        <v>6417</v>
      </c>
    </row>
    <row r="626" spans="1:3" x14ac:dyDescent="0.25">
      <c r="A626" t="s">
        <v>4902</v>
      </c>
      <c r="B626" t="s">
        <v>1346</v>
      </c>
      <c r="C626" t="s">
        <v>6419</v>
      </c>
    </row>
    <row r="627" spans="1:3" x14ac:dyDescent="0.25">
      <c r="A627" t="s">
        <v>2041</v>
      </c>
      <c r="B627" t="s">
        <v>1346</v>
      </c>
      <c r="C627" t="s">
        <v>6429</v>
      </c>
    </row>
    <row r="628" spans="1:3" x14ac:dyDescent="0.25">
      <c r="A628" t="s">
        <v>236</v>
      </c>
      <c r="B628" t="s">
        <v>76</v>
      </c>
      <c r="C628" t="s">
        <v>6419</v>
      </c>
    </row>
    <row r="629" spans="1:3" x14ac:dyDescent="0.25">
      <c r="A629" t="s">
        <v>77</v>
      </c>
      <c r="B629" t="s">
        <v>76</v>
      </c>
      <c r="C629" t="s">
        <v>6417</v>
      </c>
    </row>
    <row r="630" spans="1:3" x14ac:dyDescent="0.25">
      <c r="A630" t="s">
        <v>312</v>
      </c>
      <c r="B630" t="s">
        <v>76</v>
      </c>
      <c r="C630" t="s">
        <v>6418</v>
      </c>
    </row>
    <row r="631" spans="1:3" x14ac:dyDescent="0.25">
      <c r="A631" t="s">
        <v>78</v>
      </c>
      <c r="B631" t="s">
        <v>76</v>
      </c>
      <c r="C631" t="s">
        <v>6417</v>
      </c>
    </row>
    <row r="632" spans="1:3" x14ac:dyDescent="0.25">
      <c r="A632" t="s">
        <v>313</v>
      </c>
      <c r="B632" t="s">
        <v>76</v>
      </c>
      <c r="C632" t="s">
        <v>6417</v>
      </c>
    </row>
    <row r="633" spans="1:3" x14ac:dyDescent="0.25">
      <c r="A633" t="s">
        <v>80</v>
      </c>
      <c r="B633" t="s">
        <v>76</v>
      </c>
      <c r="C633" t="s">
        <v>6417</v>
      </c>
    </row>
    <row r="634" spans="1:3" x14ac:dyDescent="0.25">
      <c r="A634" t="s">
        <v>311</v>
      </c>
      <c r="B634" t="s">
        <v>76</v>
      </c>
      <c r="C634" t="s">
        <v>6417</v>
      </c>
    </row>
    <row r="635" spans="1:3" x14ac:dyDescent="0.25">
      <c r="A635" t="s">
        <v>79</v>
      </c>
      <c r="B635" t="s">
        <v>76</v>
      </c>
      <c r="C635" t="s">
        <v>6417</v>
      </c>
    </row>
    <row r="636" spans="1:3" x14ac:dyDescent="0.25">
      <c r="A636" t="s">
        <v>314</v>
      </c>
      <c r="B636" t="s">
        <v>76</v>
      </c>
      <c r="C636" t="s">
        <v>6417</v>
      </c>
    </row>
    <row r="637" spans="1:3" x14ac:dyDescent="0.25">
      <c r="A637" t="s">
        <v>910</v>
      </c>
      <c r="B637" t="s">
        <v>909</v>
      </c>
      <c r="C637" t="s">
        <v>6417</v>
      </c>
    </row>
    <row r="638" spans="1:3" x14ac:dyDescent="0.25">
      <c r="A638" t="s">
        <v>1331</v>
      </c>
      <c r="B638" t="s">
        <v>909</v>
      </c>
      <c r="C638" t="s">
        <v>6417</v>
      </c>
    </row>
    <row r="639" spans="1:3" x14ac:dyDescent="0.25">
      <c r="A639" t="s">
        <v>4984</v>
      </c>
      <c r="B639" t="s">
        <v>909</v>
      </c>
      <c r="C639" t="s">
        <v>6417</v>
      </c>
    </row>
    <row r="640" spans="1:3" x14ac:dyDescent="0.25">
      <c r="A640" t="s">
        <v>3489</v>
      </c>
      <c r="B640" t="s">
        <v>909</v>
      </c>
      <c r="C640" t="s">
        <v>6418</v>
      </c>
    </row>
    <row r="641" spans="1:3" x14ac:dyDescent="0.25">
      <c r="A641" t="s">
        <v>3769</v>
      </c>
      <c r="B641" t="s">
        <v>909</v>
      </c>
      <c r="C641" t="s">
        <v>6417</v>
      </c>
    </row>
    <row r="642" spans="1:3" x14ac:dyDescent="0.25">
      <c r="A642" t="s">
        <v>1330</v>
      </c>
      <c r="B642" t="s">
        <v>909</v>
      </c>
      <c r="C642" t="s">
        <v>6418</v>
      </c>
    </row>
    <row r="643" spans="1:3" x14ac:dyDescent="0.25">
      <c r="A643" t="s">
        <v>1332</v>
      </c>
      <c r="B643" t="s">
        <v>909</v>
      </c>
      <c r="C643" t="s">
        <v>6417</v>
      </c>
    </row>
    <row r="644" spans="1:3" x14ac:dyDescent="0.25">
      <c r="A644" t="s">
        <v>1762</v>
      </c>
      <c r="B644" t="s">
        <v>909</v>
      </c>
      <c r="C644" t="s">
        <v>6417</v>
      </c>
    </row>
    <row r="645" spans="1:3" x14ac:dyDescent="0.25">
      <c r="A645" t="s">
        <v>2700</v>
      </c>
      <c r="B645" t="s">
        <v>909</v>
      </c>
      <c r="C645" t="s">
        <v>6417</v>
      </c>
    </row>
    <row r="646" spans="1:3" x14ac:dyDescent="0.25">
      <c r="A646" t="s">
        <v>2327</v>
      </c>
      <c r="B646" t="s">
        <v>909</v>
      </c>
      <c r="C646" t="s">
        <v>6418</v>
      </c>
    </row>
    <row r="647" spans="1:3" x14ac:dyDescent="0.25">
      <c r="A647" t="s">
        <v>912</v>
      </c>
      <c r="B647" t="s">
        <v>911</v>
      </c>
      <c r="C647" t="s">
        <v>6417</v>
      </c>
    </row>
    <row r="648" spans="1:3" x14ac:dyDescent="0.25">
      <c r="A648" t="s">
        <v>3491</v>
      </c>
      <c r="B648" t="s">
        <v>911</v>
      </c>
      <c r="C648" t="s">
        <v>6417</v>
      </c>
    </row>
    <row r="649" spans="1:3" x14ac:dyDescent="0.25">
      <c r="A649" t="s">
        <v>5160</v>
      </c>
      <c r="B649" t="s">
        <v>911</v>
      </c>
      <c r="C649" t="s">
        <v>6417</v>
      </c>
    </row>
    <row r="650" spans="1:3" x14ac:dyDescent="0.25">
      <c r="A650" t="s">
        <v>286</v>
      </c>
      <c r="B650" t="s">
        <v>146</v>
      </c>
      <c r="C650" t="s">
        <v>6417</v>
      </c>
    </row>
    <row r="651" spans="1:3" x14ac:dyDescent="0.25">
      <c r="A651" t="s">
        <v>439</v>
      </c>
      <c r="B651" t="s">
        <v>146</v>
      </c>
      <c r="C651" t="s">
        <v>6417</v>
      </c>
    </row>
    <row r="652" spans="1:3" x14ac:dyDescent="0.25">
      <c r="A652" t="s">
        <v>916</v>
      </c>
      <c r="B652" t="s">
        <v>146</v>
      </c>
      <c r="C652" t="s">
        <v>6420</v>
      </c>
    </row>
    <row r="653" spans="1:3" x14ac:dyDescent="0.25">
      <c r="A653" t="s">
        <v>898</v>
      </c>
      <c r="B653" t="s">
        <v>146</v>
      </c>
      <c r="C653" t="s">
        <v>6418</v>
      </c>
    </row>
    <row r="654" spans="1:3" x14ac:dyDescent="0.25">
      <c r="A654" t="s">
        <v>284</v>
      </c>
      <c r="B654" t="s">
        <v>146</v>
      </c>
      <c r="C654" t="s">
        <v>6417</v>
      </c>
    </row>
    <row r="655" spans="1:3" x14ac:dyDescent="0.25">
      <c r="A655" t="s">
        <v>285</v>
      </c>
      <c r="B655" t="s">
        <v>146</v>
      </c>
      <c r="C655" t="s">
        <v>6417</v>
      </c>
    </row>
    <row r="656" spans="1:3" x14ac:dyDescent="0.25">
      <c r="A656" t="s">
        <v>147</v>
      </c>
      <c r="B656" t="s">
        <v>146</v>
      </c>
      <c r="C656" t="s">
        <v>6417</v>
      </c>
    </row>
    <row r="657" spans="1:3" x14ac:dyDescent="0.25">
      <c r="A657" t="s">
        <v>1147</v>
      </c>
      <c r="B657" t="s">
        <v>146</v>
      </c>
      <c r="C657" t="s">
        <v>6417</v>
      </c>
    </row>
    <row r="658" spans="1:3" x14ac:dyDescent="0.25">
      <c r="A658" t="s">
        <v>4807</v>
      </c>
      <c r="B658" t="s">
        <v>1423</v>
      </c>
      <c r="C658" t="s">
        <v>6429</v>
      </c>
    </row>
    <row r="659" spans="1:3" x14ac:dyDescent="0.25">
      <c r="A659" t="s">
        <v>2015</v>
      </c>
      <c r="B659" t="s">
        <v>356</v>
      </c>
      <c r="C659" t="s">
        <v>6417</v>
      </c>
    </row>
    <row r="660" spans="1:3" x14ac:dyDescent="0.25">
      <c r="A660" t="s">
        <v>4582</v>
      </c>
      <c r="B660" t="s">
        <v>356</v>
      </c>
      <c r="C660" t="s">
        <v>6417</v>
      </c>
    </row>
    <row r="661" spans="1:3" x14ac:dyDescent="0.25">
      <c r="A661" t="s">
        <v>1747</v>
      </c>
      <c r="B661" t="s">
        <v>356</v>
      </c>
      <c r="C661" t="s">
        <v>6417</v>
      </c>
    </row>
    <row r="662" spans="1:3" x14ac:dyDescent="0.25">
      <c r="A662" t="s">
        <v>1308</v>
      </c>
      <c r="B662" t="s">
        <v>356</v>
      </c>
      <c r="C662" t="s">
        <v>6417</v>
      </c>
    </row>
    <row r="663" spans="1:3" x14ac:dyDescent="0.25">
      <c r="A663" t="s">
        <v>2016</v>
      </c>
      <c r="B663" t="s">
        <v>356</v>
      </c>
      <c r="C663" t="s">
        <v>6417</v>
      </c>
    </row>
    <row r="664" spans="1:3" x14ac:dyDescent="0.25">
      <c r="A664" t="s">
        <v>4923</v>
      </c>
      <c r="B664" t="s">
        <v>356</v>
      </c>
      <c r="C664" t="s">
        <v>6417</v>
      </c>
    </row>
    <row r="665" spans="1:3" x14ac:dyDescent="0.25">
      <c r="A665" t="s">
        <v>826</v>
      </c>
      <c r="B665" t="s">
        <v>356</v>
      </c>
      <c r="C665" t="s">
        <v>6417</v>
      </c>
    </row>
    <row r="666" spans="1:3" x14ac:dyDescent="0.25">
      <c r="A666" t="s">
        <v>1743</v>
      </c>
      <c r="B666" t="s">
        <v>356</v>
      </c>
      <c r="C666" t="s">
        <v>6417</v>
      </c>
    </row>
    <row r="667" spans="1:3" x14ac:dyDescent="0.25">
      <c r="A667" t="s">
        <v>357</v>
      </c>
      <c r="B667" t="s">
        <v>356</v>
      </c>
      <c r="C667" t="s">
        <v>6417</v>
      </c>
    </row>
    <row r="668" spans="1:3" x14ac:dyDescent="0.25">
      <c r="A668" t="s">
        <v>3536</v>
      </c>
      <c r="B668" t="s">
        <v>356</v>
      </c>
      <c r="C668" t="s">
        <v>6417</v>
      </c>
    </row>
    <row r="669" spans="1:3" x14ac:dyDescent="0.25">
      <c r="A669" t="s">
        <v>3524</v>
      </c>
      <c r="B669" t="s">
        <v>356</v>
      </c>
      <c r="C669" t="s">
        <v>6417</v>
      </c>
    </row>
    <row r="670" spans="1:3" x14ac:dyDescent="0.25">
      <c r="A670" t="s">
        <v>2017</v>
      </c>
      <c r="B670" t="s">
        <v>356</v>
      </c>
      <c r="C670" t="s">
        <v>6417</v>
      </c>
    </row>
    <row r="671" spans="1:3" x14ac:dyDescent="0.25">
      <c r="A671" t="s">
        <v>4925</v>
      </c>
      <c r="B671" t="s">
        <v>356</v>
      </c>
      <c r="C671" t="s">
        <v>6417</v>
      </c>
    </row>
    <row r="672" spans="1:3" x14ac:dyDescent="0.25">
      <c r="A672" t="s">
        <v>1313</v>
      </c>
      <c r="B672" t="s">
        <v>356</v>
      </c>
      <c r="C672" t="s">
        <v>6417</v>
      </c>
    </row>
    <row r="673" spans="1:3" x14ac:dyDescent="0.25">
      <c r="A673" t="s">
        <v>1368</v>
      </c>
      <c r="B673" t="s">
        <v>356</v>
      </c>
      <c r="C673" t="s">
        <v>6417</v>
      </c>
    </row>
    <row r="674" spans="1:3" x14ac:dyDescent="0.25">
      <c r="A674" t="s">
        <v>827</v>
      </c>
      <c r="B674" t="s">
        <v>356</v>
      </c>
      <c r="C674" t="s">
        <v>6417</v>
      </c>
    </row>
    <row r="675" spans="1:3" x14ac:dyDescent="0.25">
      <c r="A675" t="s">
        <v>5192</v>
      </c>
      <c r="B675" t="s">
        <v>356</v>
      </c>
      <c r="C675" t="s">
        <v>6419</v>
      </c>
    </row>
    <row r="676" spans="1:3" x14ac:dyDescent="0.25">
      <c r="A676" t="s">
        <v>387</v>
      </c>
      <c r="B676" t="s">
        <v>356</v>
      </c>
      <c r="C676" t="s">
        <v>6437</v>
      </c>
    </row>
    <row r="677" spans="1:3" x14ac:dyDescent="0.25">
      <c r="A677" t="s">
        <v>2018</v>
      </c>
      <c r="B677" t="s">
        <v>356</v>
      </c>
      <c r="C677" t="s">
        <v>6417</v>
      </c>
    </row>
    <row r="678" spans="1:3" x14ac:dyDescent="0.25">
      <c r="A678" t="s">
        <v>1742</v>
      </c>
      <c r="B678" t="s">
        <v>356</v>
      </c>
      <c r="C678" t="s">
        <v>6417</v>
      </c>
    </row>
    <row r="679" spans="1:3" x14ac:dyDescent="0.25">
      <c r="A679" t="s">
        <v>1315</v>
      </c>
      <c r="B679" t="s">
        <v>356</v>
      </c>
      <c r="C679" t="s">
        <v>6417</v>
      </c>
    </row>
    <row r="680" spans="1:3" x14ac:dyDescent="0.25">
      <c r="A680" t="s">
        <v>1314</v>
      </c>
      <c r="B680" t="s">
        <v>356</v>
      </c>
      <c r="C680" t="s">
        <v>6417</v>
      </c>
    </row>
    <row r="681" spans="1:3" x14ac:dyDescent="0.25">
      <c r="A681" t="s">
        <v>1739</v>
      </c>
      <c r="B681" t="s">
        <v>356</v>
      </c>
      <c r="C681" t="s">
        <v>6418</v>
      </c>
    </row>
    <row r="682" spans="1:3" x14ac:dyDescent="0.25">
      <c r="A682" t="s">
        <v>3532</v>
      </c>
      <c r="B682" t="s">
        <v>356</v>
      </c>
      <c r="C682" t="s">
        <v>6417</v>
      </c>
    </row>
    <row r="683" spans="1:3" x14ac:dyDescent="0.25">
      <c r="A683" t="s">
        <v>1309</v>
      </c>
      <c r="B683" t="s">
        <v>356</v>
      </c>
      <c r="C683" t="s">
        <v>6417</v>
      </c>
    </row>
    <row r="684" spans="1:3" x14ac:dyDescent="0.25">
      <c r="A684" t="s">
        <v>824</v>
      </c>
      <c r="B684" t="s">
        <v>356</v>
      </c>
      <c r="C684" t="s">
        <v>6417</v>
      </c>
    </row>
    <row r="685" spans="1:3" x14ac:dyDescent="0.25">
      <c r="A685" t="s">
        <v>1310</v>
      </c>
      <c r="B685" t="s">
        <v>356</v>
      </c>
      <c r="C685" t="s">
        <v>6417</v>
      </c>
    </row>
    <row r="686" spans="1:3" x14ac:dyDescent="0.25">
      <c r="A686" t="s">
        <v>1745</v>
      </c>
      <c r="B686" t="s">
        <v>356</v>
      </c>
      <c r="C686" t="s">
        <v>6417</v>
      </c>
    </row>
    <row r="687" spans="1:3" x14ac:dyDescent="0.25">
      <c r="A687" t="s">
        <v>2463</v>
      </c>
      <c r="B687" t="s">
        <v>356</v>
      </c>
      <c r="C687" t="s">
        <v>6417</v>
      </c>
    </row>
    <row r="688" spans="1:3" x14ac:dyDescent="0.25">
      <c r="A688" t="s">
        <v>3551</v>
      </c>
      <c r="B688" t="s">
        <v>356</v>
      </c>
      <c r="C688" t="s">
        <v>6419</v>
      </c>
    </row>
    <row r="689" spans="1:3" x14ac:dyDescent="0.25">
      <c r="A689" t="s">
        <v>3545</v>
      </c>
      <c r="B689" t="s">
        <v>356</v>
      </c>
      <c r="C689" t="s">
        <v>6417</v>
      </c>
    </row>
    <row r="690" spans="1:3" x14ac:dyDescent="0.25">
      <c r="A690" t="s">
        <v>1741</v>
      </c>
      <c r="B690" t="s">
        <v>356</v>
      </c>
      <c r="C690" t="s">
        <v>6417</v>
      </c>
    </row>
    <row r="691" spans="1:3" x14ac:dyDescent="0.25">
      <c r="A691" t="s">
        <v>2926</v>
      </c>
      <c r="B691" t="s">
        <v>356</v>
      </c>
      <c r="C691" t="s">
        <v>6417</v>
      </c>
    </row>
    <row r="692" spans="1:3" x14ac:dyDescent="0.25">
      <c r="A692" t="s">
        <v>3539</v>
      </c>
      <c r="B692" t="s">
        <v>356</v>
      </c>
      <c r="C692" t="s">
        <v>6417</v>
      </c>
    </row>
    <row r="693" spans="1:3" x14ac:dyDescent="0.25">
      <c r="A693" t="s">
        <v>3526</v>
      </c>
      <c r="B693" t="s">
        <v>356</v>
      </c>
      <c r="C693" t="s">
        <v>6417</v>
      </c>
    </row>
    <row r="694" spans="1:3" x14ac:dyDescent="0.25">
      <c r="A694" t="s">
        <v>1367</v>
      </c>
      <c r="B694" t="s">
        <v>356</v>
      </c>
      <c r="C694" t="s">
        <v>6417</v>
      </c>
    </row>
    <row r="695" spans="1:3" x14ac:dyDescent="0.25">
      <c r="A695" t="s">
        <v>2019</v>
      </c>
      <c r="B695" t="s">
        <v>356</v>
      </c>
      <c r="C695" t="s">
        <v>6417</v>
      </c>
    </row>
    <row r="696" spans="1:3" x14ac:dyDescent="0.25">
      <c r="A696" t="s">
        <v>3583</v>
      </c>
      <c r="B696" t="s">
        <v>356</v>
      </c>
      <c r="C696" t="s">
        <v>6419</v>
      </c>
    </row>
    <row r="697" spans="1:3" x14ac:dyDescent="0.25">
      <c r="A697" t="s">
        <v>2020</v>
      </c>
      <c r="B697" t="s">
        <v>356</v>
      </c>
      <c r="C697" t="s">
        <v>6417</v>
      </c>
    </row>
    <row r="698" spans="1:3" x14ac:dyDescent="0.25">
      <c r="A698" t="s">
        <v>3555</v>
      </c>
      <c r="B698" t="s">
        <v>356</v>
      </c>
      <c r="C698" t="s">
        <v>6419</v>
      </c>
    </row>
    <row r="699" spans="1:3" x14ac:dyDescent="0.25">
      <c r="A699" t="s">
        <v>2021</v>
      </c>
      <c r="B699" t="s">
        <v>356</v>
      </c>
      <c r="C699" t="s">
        <v>6417</v>
      </c>
    </row>
    <row r="700" spans="1:3" x14ac:dyDescent="0.25">
      <c r="A700" t="s">
        <v>2022</v>
      </c>
      <c r="B700" t="s">
        <v>356</v>
      </c>
      <c r="C700" t="s">
        <v>6418</v>
      </c>
    </row>
    <row r="701" spans="1:3" x14ac:dyDescent="0.25">
      <c r="A701" t="s">
        <v>3541</v>
      </c>
      <c r="B701" t="s">
        <v>356</v>
      </c>
      <c r="C701" t="s">
        <v>6417</v>
      </c>
    </row>
    <row r="702" spans="1:3" x14ac:dyDescent="0.25">
      <c r="A702" t="s">
        <v>2915</v>
      </c>
      <c r="B702" t="s">
        <v>356</v>
      </c>
      <c r="C702" t="s">
        <v>6417</v>
      </c>
    </row>
    <row r="703" spans="1:3" x14ac:dyDescent="0.25">
      <c r="A703" t="s">
        <v>1312</v>
      </c>
      <c r="B703" t="s">
        <v>356</v>
      </c>
      <c r="C703" t="s">
        <v>6418</v>
      </c>
    </row>
    <row r="704" spans="1:3" x14ac:dyDescent="0.25">
      <c r="A704" t="s">
        <v>2922</v>
      </c>
      <c r="B704" t="s">
        <v>356</v>
      </c>
      <c r="C704" t="s">
        <v>6417</v>
      </c>
    </row>
    <row r="705" spans="1:3" x14ac:dyDescent="0.25">
      <c r="A705" t="s">
        <v>2023</v>
      </c>
      <c r="B705" t="s">
        <v>356</v>
      </c>
      <c r="C705" t="s">
        <v>6417</v>
      </c>
    </row>
    <row r="706" spans="1:3" x14ac:dyDescent="0.25">
      <c r="A706" t="s">
        <v>1746</v>
      </c>
      <c r="B706" t="s">
        <v>356</v>
      </c>
      <c r="C706" t="s">
        <v>6417</v>
      </c>
    </row>
    <row r="707" spans="1:3" x14ac:dyDescent="0.25">
      <c r="A707" t="s">
        <v>2929</v>
      </c>
      <c r="B707" t="s">
        <v>356</v>
      </c>
      <c r="C707" t="s">
        <v>6417</v>
      </c>
    </row>
    <row r="708" spans="1:3" x14ac:dyDescent="0.25">
      <c r="A708" t="s">
        <v>3553</v>
      </c>
      <c r="B708" t="s">
        <v>356</v>
      </c>
      <c r="C708" t="s">
        <v>6417</v>
      </c>
    </row>
    <row r="709" spans="1:3" x14ac:dyDescent="0.25">
      <c r="A709" t="s">
        <v>1744</v>
      </c>
      <c r="B709" t="s">
        <v>356</v>
      </c>
      <c r="C709" t="s">
        <v>6417</v>
      </c>
    </row>
    <row r="710" spans="1:3" x14ac:dyDescent="0.25">
      <c r="A710" t="s">
        <v>1575</v>
      </c>
      <c r="B710" t="s">
        <v>356</v>
      </c>
      <c r="C710" t="s">
        <v>6417</v>
      </c>
    </row>
    <row r="711" spans="1:3" x14ac:dyDescent="0.25">
      <c r="A711" t="s">
        <v>2024</v>
      </c>
      <c r="B711" t="s">
        <v>356</v>
      </c>
      <c r="C711" t="s">
        <v>6417</v>
      </c>
    </row>
    <row r="712" spans="1:3" x14ac:dyDescent="0.25">
      <c r="A712" t="s">
        <v>1311</v>
      </c>
      <c r="B712" t="s">
        <v>356</v>
      </c>
      <c r="C712" t="s">
        <v>6419</v>
      </c>
    </row>
    <row r="713" spans="1:3" x14ac:dyDescent="0.25">
      <c r="A713" t="s">
        <v>1776</v>
      </c>
      <c r="B713" t="s">
        <v>356</v>
      </c>
      <c r="C713" t="s">
        <v>6419</v>
      </c>
    </row>
    <row r="714" spans="1:3" x14ac:dyDescent="0.25">
      <c r="A714" t="s">
        <v>3534</v>
      </c>
      <c r="B714" t="s">
        <v>356</v>
      </c>
      <c r="C714" t="s">
        <v>6417</v>
      </c>
    </row>
    <row r="715" spans="1:3" x14ac:dyDescent="0.25">
      <c r="A715" t="s">
        <v>2025</v>
      </c>
      <c r="B715" t="s">
        <v>356</v>
      </c>
      <c r="C715" t="s">
        <v>6417</v>
      </c>
    </row>
    <row r="716" spans="1:3" x14ac:dyDescent="0.25">
      <c r="A716" t="s">
        <v>1307</v>
      </c>
      <c r="B716" t="s">
        <v>356</v>
      </c>
      <c r="C716" t="s">
        <v>6417</v>
      </c>
    </row>
    <row r="717" spans="1:3" x14ac:dyDescent="0.25">
      <c r="A717" t="s">
        <v>1738</v>
      </c>
      <c r="B717" t="s">
        <v>356</v>
      </c>
      <c r="C717" t="s">
        <v>6417</v>
      </c>
    </row>
    <row r="718" spans="1:3" x14ac:dyDescent="0.25">
      <c r="A718" t="s">
        <v>825</v>
      </c>
      <c r="B718" t="s">
        <v>356</v>
      </c>
      <c r="C718" t="s">
        <v>6418</v>
      </c>
    </row>
    <row r="719" spans="1:3" x14ac:dyDescent="0.25">
      <c r="A719" t="s">
        <v>3556</v>
      </c>
      <c r="B719" t="s">
        <v>356</v>
      </c>
      <c r="C719" t="s">
        <v>6417</v>
      </c>
    </row>
    <row r="720" spans="1:3" x14ac:dyDescent="0.25">
      <c r="A720" t="s">
        <v>1740</v>
      </c>
      <c r="B720" t="s">
        <v>356</v>
      </c>
      <c r="C720" t="s">
        <v>6417</v>
      </c>
    </row>
    <row r="721" spans="1:3" x14ac:dyDescent="0.25">
      <c r="A721" t="s">
        <v>4920</v>
      </c>
      <c r="B721" t="s">
        <v>356</v>
      </c>
      <c r="C721" t="s">
        <v>6417</v>
      </c>
    </row>
    <row r="722" spans="1:3" x14ac:dyDescent="0.25">
      <c r="A722" t="s">
        <v>2026</v>
      </c>
      <c r="B722" t="s">
        <v>356</v>
      </c>
      <c r="C722" t="s">
        <v>6417</v>
      </c>
    </row>
    <row r="723" spans="1:3" x14ac:dyDescent="0.25">
      <c r="A723" t="s">
        <v>2027</v>
      </c>
      <c r="B723" t="s">
        <v>356</v>
      </c>
      <c r="C723" t="s">
        <v>6417</v>
      </c>
    </row>
    <row r="724" spans="1:3" x14ac:dyDescent="0.25">
      <c r="A724" t="s">
        <v>1306</v>
      </c>
      <c r="B724" t="s">
        <v>356</v>
      </c>
      <c r="C724" t="s">
        <v>6417</v>
      </c>
    </row>
    <row r="725" spans="1:3" x14ac:dyDescent="0.25">
      <c r="A725" t="s">
        <v>5205</v>
      </c>
      <c r="B725" t="s">
        <v>1494</v>
      </c>
      <c r="C725" t="s">
        <v>6437</v>
      </c>
    </row>
    <row r="726" spans="1:3" x14ac:dyDescent="0.25">
      <c r="A726" t="s">
        <v>2938</v>
      </c>
      <c r="B726" t="s">
        <v>32</v>
      </c>
      <c r="C726" t="s">
        <v>6418</v>
      </c>
    </row>
    <row r="727" spans="1:3" x14ac:dyDescent="0.25">
      <c r="A727" t="s">
        <v>4584</v>
      </c>
      <c r="B727" t="s">
        <v>32</v>
      </c>
      <c r="C727" t="s">
        <v>6419</v>
      </c>
    </row>
    <row r="728" spans="1:3" x14ac:dyDescent="0.25">
      <c r="A728" t="s">
        <v>1951</v>
      </c>
      <c r="B728" t="s">
        <v>32</v>
      </c>
      <c r="C728" t="s">
        <v>6417</v>
      </c>
    </row>
    <row r="729" spans="1:3" x14ac:dyDescent="0.25">
      <c r="A729" t="s">
        <v>799</v>
      </c>
      <c r="B729" t="s">
        <v>32</v>
      </c>
      <c r="C729" t="s">
        <v>6419</v>
      </c>
    </row>
    <row r="730" spans="1:3" x14ac:dyDescent="0.25">
      <c r="A730" t="s">
        <v>807</v>
      </c>
      <c r="B730" t="s">
        <v>32</v>
      </c>
      <c r="C730" t="s">
        <v>6417</v>
      </c>
    </row>
    <row r="731" spans="1:3" x14ac:dyDescent="0.25">
      <c r="A731" t="s">
        <v>2936</v>
      </c>
      <c r="B731" t="s">
        <v>32</v>
      </c>
      <c r="C731" t="s">
        <v>6417</v>
      </c>
    </row>
    <row r="732" spans="1:3" x14ac:dyDescent="0.25">
      <c r="A732" t="s">
        <v>98</v>
      </c>
      <c r="B732" t="s">
        <v>32</v>
      </c>
      <c r="C732" t="s">
        <v>6417</v>
      </c>
    </row>
    <row r="733" spans="1:3" x14ac:dyDescent="0.25">
      <c r="A733" t="s">
        <v>37</v>
      </c>
      <c r="B733" t="s">
        <v>32</v>
      </c>
      <c r="C733" t="s">
        <v>6417</v>
      </c>
    </row>
    <row r="734" spans="1:3" x14ac:dyDescent="0.25">
      <c r="A734" t="s">
        <v>1701</v>
      </c>
      <c r="B734" t="s">
        <v>32</v>
      </c>
      <c r="C734" t="s">
        <v>6417</v>
      </c>
    </row>
    <row r="735" spans="1:3" x14ac:dyDescent="0.25">
      <c r="A735" t="s">
        <v>1959</v>
      </c>
      <c r="B735" t="s">
        <v>32</v>
      </c>
      <c r="C735" t="s">
        <v>6417</v>
      </c>
    </row>
    <row r="736" spans="1:3" x14ac:dyDescent="0.25">
      <c r="A736" t="s">
        <v>97</v>
      </c>
      <c r="B736" t="s">
        <v>32</v>
      </c>
      <c r="C736" t="s">
        <v>6417</v>
      </c>
    </row>
    <row r="737" spans="1:3" x14ac:dyDescent="0.25">
      <c r="A737" t="s">
        <v>1960</v>
      </c>
      <c r="B737" t="s">
        <v>32</v>
      </c>
      <c r="C737" t="s">
        <v>6417</v>
      </c>
    </row>
    <row r="738" spans="1:3" x14ac:dyDescent="0.25">
      <c r="A738" t="s">
        <v>1700</v>
      </c>
      <c r="B738" t="s">
        <v>32</v>
      </c>
      <c r="C738" t="s">
        <v>6417</v>
      </c>
    </row>
    <row r="739" spans="1:3" x14ac:dyDescent="0.25">
      <c r="A739" t="s">
        <v>1692</v>
      </c>
      <c r="B739" t="s">
        <v>32</v>
      </c>
      <c r="C739" t="s">
        <v>6417</v>
      </c>
    </row>
    <row r="740" spans="1:3" x14ac:dyDescent="0.25">
      <c r="A740" t="s">
        <v>61</v>
      </c>
      <c r="B740" t="s">
        <v>32</v>
      </c>
      <c r="C740" t="s">
        <v>6418</v>
      </c>
    </row>
    <row r="741" spans="1:3" x14ac:dyDescent="0.25">
      <c r="A741" t="s">
        <v>4597</v>
      </c>
      <c r="B741" t="s">
        <v>32</v>
      </c>
      <c r="C741" t="s">
        <v>6417</v>
      </c>
    </row>
    <row r="742" spans="1:3" x14ac:dyDescent="0.25">
      <c r="A742" t="s">
        <v>805</v>
      </c>
      <c r="B742" t="s">
        <v>32</v>
      </c>
      <c r="C742" t="s">
        <v>6417</v>
      </c>
    </row>
    <row r="743" spans="1:3" x14ac:dyDescent="0.25">
      <c r="A743" t="s">
        <v>1691</v>
      </c>
      <c r="B743" t="s">
        <v>32</v>
      </c>
      <c r="C743" t="s">
        <v>6417</v>
      </c>
    </row>
    <row r="744" spans="1:3" x14ac:dyDescent="0.25">
      <c r="A744" t="s">
        <v>1953</v>
      </c>
      <c r="B744" t="s">
        <v>32</v>
      </c>
      <c r="C744" t="s">
        <v>6417</v>
      </c>
    </row>
    <row r="745" spans="1:3" x14ac:dyDescent="0.25">
      <c r="A745" t="s">
        <v>3557</v>
      </c>
      <c r="B745" t="s">
        <v>32</v>
      </c>
      <c r="C745" t="s">
        <v>6417</v>
      </c>
    </row>
    <row r="746" spans="1:3" x14ac:dyDescent="0.25">
      <c r="A746" t="s">
        <v>4881</v>
      </c>
      <c r="B746" t="s">
        <v>32</v>
      </c>
      <c r="C746" t="s">
        <v>6417</v>
      </c>
    </row>
    <row r="747" spans="1:3" x14ac:dyDescent="0.25">
      <c r="A747" t="s">
        <v>803</v>
      </c>
      <c r="B747" t="s">
        <v>32</v>
      </c>
      <c r="C747" t="s">
        <v>6435</v>
      </c>
    </row>
    <row r="748" spans="1:3" x14ac:dyDescent="0.25">
      <c r="A748" t="s">
        <v>33</v>
      </c>
      <c r="B748" t="s">
        <v>32</v>
      </c>
      <c r="C748" t="s">
        <v>6417</v>
      </c>
    </row>
    <row r="749" spans="1:3" x14ac:dyDescent="0.25">
      <c r="A749" t="s">
        <v>800</v>
      </c>
      <c r="B749" t="s">
        <v>32</v>
      </c>
      <c r="C749" t="s">
        <v>6419</v>
      </c>
    </row>
    <row r="750" spans="1:3" x14ac:dyDescent="0.25">
      <c r="A750" t="s">
        <v>1261</v>
      </c>
      <c r="B750" t="s">
        <v>32</v>
      </c>
      <c r="C750" t="s">
        <v>6417</v>
      </c>
    </row>
    <row r="751" spans="1:3" x14ac:dyDescent="0.25">
      <c r="A751" t="s">
        <v>4587</v>
      </c>
      <c r="B751" t="s">
        <v>32</v>
      </c>
      <c r="C751" t="s">
        <v>6419</v>
      </c>
    </row>
    <row r="752" spans="1:3" x14ac:dyDescent="0.25">
      <c r="A752" t="s">
        <v>3573</v>
      </c>
      <c r="B752" t="s">
        <v>32</v>
      </c>
      <c r="C752" t="s">
        <v>6419</v>
      </c>
    </row>
    <row r="753" spans="1:3" x14ac:dyDescent="0.25">
      <c r="A753" t="s">
        <v>105</v>
      </c>
      <c r="B753" t="s">
        <v>32</v>
      </c>
      <c r="C753" t="s">
        <v>6417</v>
      </c>
    </row>
    <row r="754" spans="1:3" x14ac:dyDescent="0.25">
      <c r="A754" t="s">
        <v>804</v>
      </c>
      <c r="B754" t="s">
        <v>32</v>
      </c>
      <c r="C754" t="s">
        <v>6419</v>
      </c>
    </row>
    <row r="755" spans="1:3" x14ac:dyDescent="0.25">
      <c r="A755" t="s">
        <v>101</v>
      </c>
      <c r="B755" t="s">
        <v>32</v>
      </c>
      <c r="C755" t="s">
        <v>6419</v>
      </c>
    </row>
    <row r="756" spans="1:3" x14ac:dyDescent="0.25">
      <c r="A756" t="s">
        <v>1693</v>
      </c>
      <c r="B756" t="s">
        <v>32</v>
      </c>
      <c r="C756" t="s">
        <v>6419</v>
      </c>
    </row>
    <row r="757" spans="1:3" x14ac:dyDescent="0.25">
      <c r="A757" t="s">
        <v>810</v>
      </c>
      <c r="B757" t="s">
        <v>32</v>
      </c>
      <c r="C757" t="s">
        <v>6419</v>
      </c>
    </row>
    <row r="758" spans="1:3" x14ac:dyDescent="0.25">
      <c r="A758" t="s">
        <v>1961</v>
      </c>
      <c r="B758" t="s">
        <v>32</v>
      </c>
      <c r="C758" t="s">
        <v>6419</v>
      </c>
    </row>
    <row r="759" spans="1:3" x14ac:dyDescent="0.25">
      <c r="A759" t="s">
        <v>89</v>
      </c>
      <c r="B759" t="s">
        <v>32</v>
      </c>
      <c r="C759" t="s">
        <v>6417</v>
      </c>
    </row>
    <row r="760" spans="1:3" x14ac:dyDescent="0.25">
      <c r="A760" t="s">
        <v>104</v>
      </c>
      <c r="B760" t="s">
        <v>32</v>
      </c>
      <c r="C760" t="s">
        <v>6418</v>
      </c>
    </row>
    <row r="761" spans="1:3" x14ac:dyDescent="0.25">
      <c r="A761" t="s">
        <v>3439</v>
      </c>
      <c r="B761" t="s">
        <v>32</v>
      </c>
      <c r="C761" t="s">
        <v>6417</v>
      </c>
    </row>
    <row r="762" spans="1:3" x14ac:dyDescent="0.25">
      <c r="A762" t="s">
        <v>5230</v>
      </c>
      <c r="B762" t="s">
        <v>32</v>
      </c>
      <c r="C762" t="s">
        <v>6419</v>
      </c>
    </row>
    <row r="763" spans="1:3" x14ac:dyDescent="0.25">
      <c r="A763" t="s">
        <v>809</v>
      </c>
      <c r="B763" t="s">
        <v>32</v>
      </c>
      <c r="C763" t="s">
        <v>6417</v>
      </c>
    </row>
    <row r="764" spans="1:3" x14ac:dyDescent="0.25">
      <c r="A764" t="s">
        <v>801</v>
      </c>
      <c r="B764" t="s">
        <v>32</v>
      </c>
      <c r="C764" t="s">
        <v>6417</v>
      </c>
    </row>
    <row r="765" spans="1:3" x14ac:dyDescent="0.25">
      <c r="A765" t="s">
        <v>4594</v>
      </c>
      <c r="B765" t="s">
        <v>32</v>
      </c>
      <c r="C765" t="s">
        <v>6417</v>
      </c>
    </row>
    <row r="766" spans="1:3" x14ac:dyDescent="0.25">
      <c r="A766" t="s">
        <v>1696</v>
      </c>
      <c r="B766" t="s">
        <v>32</v>
      </c>
      <c r="C766" t="s">
        <v>6419</v>
      </c>
    </row>
    <row r="767" spans="1:3" x14ac:dyDescent="0.25">
      <c r="A767" t="s">
        <v>5231</v>
      </c>
      <c r="B767" t="s">
        <v>32</v>
      </c>
      <c r="C767" t="s">
        <v>6419</v>
      </c>
    </row>
    <row r="768" spans="1:3" x14ac:dyDescent="0.25">
      <c r="A768" t="s">
        <v>103</v>
      </c>
      <c r="B768" t="s">
        <v>32</v>
      </c>
      <c r="C768" t="s">
        <v>6417</v>
      </c>
    </row>
    <row r="769" spans="1:3" x14ac:dyDescent="0.25">
      <c r="A769" t="s">
        <v>92</v>
      </c>
      <c r="B769" t="s">
        <v>32</v>
      </c>
      <c r="C769" t="s">
        <v>6417</v>
      </c>
    </row>
    <row r="770" spans="1:3" x14ac:dyDescent="0.25">
      <c r="A770" t="s">
        <v>808</v>
      </c>
      <c r="B770" t="s">
        <v>32</v>
      </c>
      <c r="C770" t="s">
        <v>6417</v>
      </c>
    </row>
    <row r="771" spans="1:3" x14ac:dyDescent="0.25">
      <c r="A771" t="s">
        <v>802</v>
      </c>
      <c r="B771" t="s">
        <v>32</v>
      </c>
      <c r="C771" t="s">
        <v>6417</v>
      </c>
    </row>
    <row r="772" spans="1:3" x14ac:dyDescent="0.25">
      <c r="A772" t="s">
        <v>102</v>
      </c>
      <c r="B772" t="s">
        <v>32</v>
      </c>
      <c r="C772" t="s">
        <v>6417</v>
      </c>
    </row>
    <row r="773" spans="1:3" x14ac:dyDescent="0.25">
      <c r="A773" t="s">
        <v>4590</v>
      </c>
      <c r="B773" t="s">
        <v>32</v>
      </c>
      <c r="C773" t="s">
        <v>6417</v>
      </c>
    </row>
    <row r="774" spans="1:3" x14ac:dyDescent="0.25">
      <c r="A774" t="s">
        <v>2331</v>
      </c>
      <c r="B774" t="s">
        <v>32</v>
      </c>
      <c r="C774" t="s">
        <v>6434</v>
      </c>
    </row>
    <row r="775" spans="1:3" x14ac:dyDescent="0.25">
      <c r="A775" t="s">
        <v>99</v>
      </c>
      <c r="B775" t="s">
        <v>32</v>
      </c>
      <c r="C775" t="s">
        <v>6417</v>
      </c>
    </row>
    <row r="776" spans="1:3" x14ac:dyDescent="0.25">
      <c r="A776" t="s">
        <v>100</v>
      </c>
      <c r="B776" t="s">
        <v>32</v>
      </c>
      <c r="C776" t="s">
        <v>6418</v>
      </c>
    </row>
    <row r="777" spans="1:3" x14ac:dyDescent="0.25">
      <c r="A777" t="s">
        <v>1954</v>
      </c>
      <c r="B777" t="s">
        <v>32</v>
      </c>
      <c r="C777" t="s">
        <v>6417</v>
      </c>
    </row>
    <row r="778" spans="1:3" x14ac:dyDescent="0.25">
      <c r="A778" t="s">
        <v>577</v>
      </c>
      <c r="B778" t="s">
        <v>32</v>
      </c>
      <c r="C778" t="s">
        <v>6417</v>
      </c>
    </row>
    <row r="779" spans="1:3" x14ac:dyDescent="0.25">
      <c r="A779" t="s">
        <v>93</v>
      </c>
      <c r="B779" t="s">
        <v>32</v>
      </c>
      <c r="C779" t="s">
        <v>6417</v>
      </c>
    </row>
    <row r="780" spans="1:3" x14ac:dyDescent="0.25">
      <c r="A780" t="s">
        <v>2314</v>
      </c>
      <c r="B780" t="s">
        <v>32</v>
      </c>
      <c r="C780" t="s">
        <v>6429</v>
      </c>
    </row>
    <row r="781" spans="1:3" x14ac:dyDescent="0.25">
      <c r="A781" t="s">
        <v>806</v>
      </c>
      <c r="B781" t="s">
        <v>32</v>
      </c>
      <c r="C781" t="s">
        <v>6417</v>
      </c>
    </row>
    <row r="782" spans="1:3" x14ac:dyDescent="0.25">
      <c r="A782" t="s">
        <v>94</v>
      </c>
      <c r="B782" t="s">
        <v>32</v>
      </c>
      <c r="C782" t="s">
        <v>6417</v>
      </c>
    </row>
    <row r="783" spans="1:3" x14ac:dyDescent="0.25">
      <c r="A783" t="s">
        <v>1698</v>
      </c>
      <c r="B783" t="s">
        <v>32</v>
      </c>
      <c r="C783" t="s">
        <v>6417</v>
      </c>
    </row>
    <row r="784" spans="1:3" x14ac:dyDescent="0.25">
      <c r="A784" t="s">
        <v>106</v>
      </c>
      <c r="B784" t="s">
        <v>32</v>
      </c>
      <c r="C784" t="s">
        <v>6419</v>
      </c>
    </row>
    <row r="785" spans="1:3" x14ac:dyDescent="0.25">
      <c r="A785" t="s">
        <v>1036</v>
      </c>
      <c r="B785" t="s">
        <v>616</v>
      </c>
      <c r="C785" t="s">
        <v>6427</v>
      </c>
    </row>
    <row r="786" spans="1:3" x14ac:dyDescent="0.25">
      <c r="A786" t="s">
        <v>2452</v>
      </c>
      <c r="B786" t="s">
        <v>616</v>
      </c>
      <c r="C786" t="s">
        <v>6419</v>
      </c>
    </row>
    <row r="787" spans="1:3" x14ac:dyDescent="0.25">
      <c r="A787" t="s">
        <v>2002</v>
      </c>
      <c r="B787" t="s">
        <v>616</v>
      </c>
      <c r="C787" t="s">
        <v>6427</v>
      </c>
    </row>
    <row r="788" spans="1:3" x14ac:dyDescent="0.25">
      <c r="A788" t="s">
        <v>745</v>
      </c>
      <c r="B788" t="s">
        <v>477</v>
      </c>
      <c r="C788" t="s">
        <v>6417</v>
      </c>
    </row>
    <row r="789" spans="1:3" x14ac:dyDescent="0.25">
      <c r="A789" t="s">
        <v>611</v>
      </c>
      <c r="B789" t="s">
        <v>477</v>
      </c>
      <c r="C789" t="s">
        <v>6417</v>
      </c>
    </row>
    <row r="790" spans="1:3" x14ac:dyDescent="0.25">
      <c r="A790" t="s">
        <v>744</v>
      </c>
      <c r="B790" t="s">
        <v>477</v>
      </c>
      <c r="C790" t="s">
        <v>6417</v>
      </c>
    </row>
    <row r="791" spans="1:3" x14ac:dyDescent="0.25">
      <c r="A791" t="s">
        <v>3200</v>
      </c>
      <c r="B791" t="s">
        <v>477</v>
      </c>
      <c r="C791" t="s">
        <v>6417</v>
      </c>
    </row>
    <row r="792" spans="1:3" x14ac:dyDescent="0.25">
      <c r="A792" t="s">
        <v>1566</v>
      </c>
      <c r="B792" t="s">
        <v>477</v>
      </c>
      <c r="C792" t="s">
        <v>6417</v>
      </c>
    </row>
    <row r="793" spans="1:3" x14ac:dyDescent="0.25">
      <c r="A793" t="s">
        <v>612</v>
      </c>
      <c r="B793" t="s">
        <v>477</v>
      </c>
      <c r="C793" t="s">
        <v>6417</v>
      </c>
    </row>
    <row r="794" spans="1:3" x14ac:dyDescent="0.25">
      <c r="A794" t="s">
        <v>1567</v>
      </c>
      <c r="B794" t="s">
        <v>477</v>
      </c>
      <c r="C794" t="s">
        <v>6417</v>
      </c>
    </row>
    <row r="795" spans="1:3" x14ac:dyDescent="0.25">
      <c r="A795" t="s">
        <v>4899</v>
      </c>
      <c r="B795" t="s">
        <v>477</v>
      </c>
      <c r="C795" t="s">
        <v>6417</v>
      </c>
    </row>
    <row r="796" spans="1:3" x14ac:dyDescent="0.25">
      <c r="A796" t="s">
        <v>4887</v>
      </c>
      <c r="B796" t="s">
        <v>477</v>
      </c>
      <c r="C796" t="s">
        <v>6435</v>
      </c>
    </row>
    <row r="797" spans="1:3" x14ac:dyDescent="0.25">
      <c r="A797" t="s">
        <v>506</v>
      </c>
      <c r="B797" t="s">
        <v>477</v>
      </c>
      <c r="C797" t="s">
        <v>6417</v>
      </c>
    </row>
    <row r="798" spans="1:3" x14ac:dyDescent="0.25">
      <c r="A798" t="s">
        <v>521</v>
      </c>
      <c r="B798" t="s">
        <v>167</v>
      </c>
      <c r="C798" t="s">
        <v>6417</v>
      </c>
    </row>
    <row r="799" spans="1:3" x14ac:dyDescent="0.25">
      <c r="A799" t="s">
        <v>973</v>
      </c>
      <c r="B799" t="s">
        <v>167</v>
      </c>
      <c r="C799" t="s">
        <v>6419</v>
      </c>
    </row>
    <row r="800" spans="1:3" x14ac:dyDescent="0.25">
      <c r="A800" t="s">
        <v>168</v>
      </c>
      <c r="B800" t="s">
        <v>167</v>
      </c>
      <c r="C800" t="s">
        <v>6418</v>
      </c>
    </row>
    <row r="801" spans="1:3" x14ac:dyDescent="0.25">
      <c r="A801" t="s">
        <v>2354</v>
      </c>
      <c r="B801" t="s">
        <v>167</v>
      </c>
      <c r="C801" t="s">
        <v>6417</v>
      </c>
    </row>
    <row r="802" spans="1:3" x14ac:dyDescent="0.25">
      <c r="A802" t="s">
        <v>5730</v>
      </c>
      <c r="B802" t="s">
        <v>167</v>
      </c>
      <c r="C802" t="s">
        <v>6418</v>
      </c>
    </row>
    <row r="803" spans="1:3" x14ac:dyDescent="0.25">
      <c r="A803" t="s">
        <v>2356</v>
      </c>
      <c r="B803" t="s">
        <v>167</v>
      </c>
      <c r="C803" t="s">
        <v>6418</v>
      </c>
    </row>
    <row r="804" spans="1:3" x14ac:dyDescent="0.25">
      <c r="A804" t="s">
        <v>4855</v>
      </c>
      <c r="B804" t="s">
        <v>167</v>
      </c>
      <c r="C804" t="s">
        <v>6418</v>
      </c>
    </row>
    <row r="805" spans="1:3" x14ac:dyDescent="0.25">
      <c r="A805" t="s">
        <v>1969</v>
      </c>
      <c r="B805" t="s">
        <v>167</v>
      </c>
      <c r="C805" t="s">
        <v>6419</v>
      </c>
    </row>
    <row r="806" spans="1:3" x14ac:dyDescent="0.25">
      <c r="A806" t="s">
        <v>516</v>
      </c>
      <c r="B806" t="s">
        <v>167</v>
      </c>
      <c r="C806" t="s">
        <v>6419</v>
      </c>
    </row>
    <row r="807" spans="1:3" x14ac:dyDescent="0.25">
      <c r="A807" t="s">
        <v>3619</v>
      </c>
      <c r="B807" t="s">
        <v>1376</v>
      </c>
      <c r="C807" t="s">
        <v>6429</v>
      </c>
    </row>
    <row r="808" spans="1:3" x14ac:dyDescent="0.25">
      <c r="A808" t="s">
        <v>3826</v>
      </c>
      <c r="B808" t="s">
        <v>3824</v>
      </c>
      <c r="C808" t="s">
        <v>6417</v>
      </c>
    </row>
    <row r="809" spans="1:3" x14ac:dyDescent="0.25">
      <c r="A809" t="s">
        <v>1717</v>
      </c>
      <c r="B809" t="s">
        <v>3932</v>
      </c>
      <c r="C809" t="s">
        <v>6417</v>
      </c>
    </row>
    <row r="810" spans="1:3" x14ac:dyDescent="0.25">
      <c r="A810" t="s">
        <v>222</v>
      </c>
      <c r="B810" t="s">
        <v>3932</v>
      </c>
      <c r="C810" t="s">
        <v>6417</v>
      </c>
    </row>
    <row r="811" spans="1:3" x14ac:dyDescent="0.25">
      <c r="A811" t="s">
        <v>5129</v>
      </c>
      <c r="B811" t="s">
        <v>3932</v>
      </c>
      <c r="C811" t="s">
        <v>6417</v>
      </c>
    </row>
    <row r="812" spans="1:3" x14ac:dyDescent="0.25">
      <c r="A812" t="s">
        <v>5127</v>
      </c>
      <c r="B812" t="s">
        <v>3932</v>
      </c>
      <c r="C812" t="s">
        <v>6417</v>
      </c>
    </row>
    <row r="813" spans="1:3" x14ac:dyDescent="0.25">
      <c r="A813" t="s">
        <v>223</v>
      </c>
      <c r="B813" t="s">
        <v>219</v>
      </c>
      <c r="C813" t="s">
        <v>6417</v>
      </c>
    </row>
    <row r="814" spans="1:3" x14ac:dyDescent="0.25">
      <c r="A814" t="s">
        <v>221</v>
      </c>
      <c r="B814" t="s">
        <v>219</v>
      </c>
      <c r="C814" t="s">
        <v>6417</v>
      </c>
    </row>
    <row r="815" spans="1:3" x14ac:dyDescent="0.25">
      <c r="A815" t="s">
        <v>222</v>
      </c>
      <c r="B815" t="s">
        <v>219</v>
      </c>
      <c r="C815" t="s">
        <v>6417</v>
      </c>
    </row>
    <row r="816" spans="1:3" x14ac:dyDescent="0.25">
      <c r="A816" t="s">
        <v>220</v>
      </c>
      <c r="B816" t="s">
        <v>219</v>
      </c>
      <c r="C816" t="s">
        <v>6417</v>
      </c>
    </row>
    <row r="817" spans="1:3" x14ac:dyDescent="0.25">
      <c r="A817" t="s">
        <v>1049</v>
      </c>
      <c r="B817" t="s">
        <v>1048</v>
      </c>
      <c r="C817" t="s">
        <v>6418</v>
      </c>
    </row>
    <row r="818" spans="1:3" x14ac:dyDescent="0.25">
      <c r="A818" t="s">
        <v>1717</v>
      </c>
      <c r="B818" t="s">
        <v>1048</v>
      </c>
      <c r="C818" t="s">
        <v>6417</v>
      </c>
    </row>
    <row r="819" spans="1:3" x14ac:dyDescent="0.25">
      <c r="A819" t="s">
        <v>221</v>
      </c>
      <c r="B819" t="s">
        <v>1048</v>
      </c>
      <c r="C819" t="s">
        <v>6417</v>
      </c>
    </row>
    <row r="820" spans="1:3" x14ac:dyDescent="0.25">
      <c r="A820" t="s">
        <v>1720</v>
      </c>
      <c r="B820" t="s">
        <v>1048</v>
      </c>
      <c r="C820" t="s">
        <v>6417</v>
      </c>
    </row>
    <row r="821" spans="1:3" x14ac:dyDescent="0.25">
      <c r="A821" t="s">
        <v>1719</v>
      </c>
      <c r="B821" t="s">
        <v>1048</v>
      </c>
      <c r="C821" t="s">
        <v>6417</v>
      </c>
    </row>
    <row r="822" spans="1:3" x14ac:dyDescent="0.25">
      <c r="A822" t="s">
        <v>1718</v>
      </c>
      <c r="B822" t="s">
        <v>1048</v>
      </c>
      <c r="C822" t="s">
        <v>6437</v>
      </c>
    </row>
    <row r="823" spans="1:3" x14ac:dyDescent="0.25">
      <c r="A823" t="s">
        <v>220</v>
      </c>
      <c r="B823" t="s">
        <v>1048</v>
      </c>
      <c r="C823" t="s">
        <v>6417</v>
      </c>
    </row>
    <row r="824" spans="1:3" x14ac:dyDescent="0.25">
      <c r="A824" t="s">
        <v>4727</v>
      </c>
      <c r="B824" t="s">
        <v>798</v>
      </c>
      <c r="C824" t="s">
        <v>6435</v>
      </c>
    </row>
    <row r="825" spans="1:3" x14ac:dyDescent="0.25">
      <c r="A825" t="s">
        <v>1784</v>
      </c>
      <c r="B825" t="s">
        <v>798</v>
      </c>
      <c r="C825" t="s">
        <v>6419</v>
      </c>
    </row>
    <row r="826" spans="1:3" x14ac:dyDescent="0.25">
      <c r="A826" t="s">
        <v>797</v>
      </c>
      <c r="B826" t="s">
        <v>798</v>
      </c>
      <c r="C826" t="s">
        <v>6435</v>
      </c>
    </row>
    <row r="827" spans="1:3" x14ac:dyDescent="0.25">
      <c r="A827" t="s">
        <v>73</v>
      </c>
      <c r="B827" t="s">
        <v>123</v>
      </c>
      <c r="C827" t="s">
        <v>6419</v>
      </c>
    </row>
    <row r="828" spans="1:3" x14ac:dyDescent="0.25">
      <c r="A828" t="s">
        <v>2366</v>
      </c>
      <c r="B828" t="s">
        <v>123</v>
      </c>
      <c r="C828" t="s">
        <v>6417</v>
      </c>
    </row>
    <row r="829" spans="1:3" x14ac:dyDescent="0.25">
      <c r="A829" t="s">
        <v>1976</v>
      </c>
      <c r="B829" t="s">
        <v>123</v>
      </c>
      <c r="C829" t="s">
        <v>6417</v>
      </c>
    </row>
    <row r="830" spans="1:3" x14ac:dyDescent="0.25">
      <c r="A830" t="s">
        <v>4707</v>
      </c>
      <c r="B830" t="s">
        <v>123</v>
      </c>
      <c r="C830" t="s">
        <v>6417</v>
      </c>
    </row>
    <row r="831" spans="1:3" x14ac:dyDescent="0.25">
      <c r="A831" t="s">
        <v>2961</v>
      </c>
      <c r="B831" t="s">
        <v>123</v>
      </c>
      <c r="C831" t="s">
        <v>6435</v>
      </c>
    </row>
    <row r="832" spans="1:3" x14ac:dyDescent="0.25">
      <c r="A832" t="s">
        <v>431</v>
      </c>
      <c r="B832" t="s">
        <v>123</v>
      </c>
      <c r="C832" t="s">
        <v>6419</v>
      </c>
    </row>
    <row r="833" spans="1:3" x14ac:dyDescent="0.25">
      <c r="A833" t="s">
        <v>433</v>
      </c>
      <c r="B833" t="s">
        <v>123</v>
      </c>
      <c r="C833" t="s">
        <v>6419</v>
      </c>
    </row>
    <row r="834" spans="1:3" x14ac:dyDescent="0.25">
      <c r="A834" t="s">
        <v>1295</v>
      </c>
      <c r="B834" t="s">
        <v>123</v>
      </c>
      <c r="C834" t="s">
        <v>6417</v>
      </c>
    </row>
    <row r="835" spans="1:3" x14ac:dyDescent="0.25">
      <c r="A835" t="s">
        <v>5697</v>
      </c>
      <c r="B835" t="s">
        <v>123</v>
      </c>
      <c r="C835" t="s">
        <v>6419</v>
      </c>
    </row>
    <row r="836" spans="1:3" x14ac:dyDescent="0.25">
      <c r="A836" t="s">
        <v>1296</v>
      </c>
      <c r="B836" t="s">
        <v>123</v>
      </c>
      <c r="C836" t="s">
        <v>6417</v>
      </c>
    </row>
    <row r="837" spans="1:3" x14ac:dyDescent="0.25">
      <c r="A837" t="s">
        <v>4703</v>
      </c>
      <c r="B837" t="s">
        <v>123</v>
      </c>
      <c r="C837" t="s">
        <v>6417</v>
      </c>
    </row>
    <row r="838" spans="1:3" x14ac:dyDescent="0.25">
      <c r="A838" t="s">
        <v>2449</v>
      </c>
      <c r="B838" t="s">
        <v>123</v>
      </c>
      <c r="C838" t="s">
        <v>6418</v>
      </c>
    </row>
    <row r="839" spans="1:3" x14ac:dyDescent="0.25">
      <c r="A839" t="s">
        <v>367</v>
      </c>
      <c r="B839" t="s">
        <v>123</v>
      </c>
      <c r="C839" t="s">
        <v>6418</v>
      </c>
    </row>
    <row r="840" spans="1:3" x14ac:dyDescent="0.25">
      <c r="A840" t="s">
        <v>1977</v>
      </c>
      <c r="B840" t="s">
        <v>123</v>
      </c>
      <c r="C840" t="s">
        <v>6419</v>
      </c>
    </row>
    <row r="841" spans="1:3" x14ac:dyDescent="0.25">
      <c r="A841" t="s">
        <v>124</v>
      </c>
      <c r="B841" t="s">
        <v>123</v>
      </c>
      <c r="C841" t="s">
        <v>6417</v>
      </c>
    </row>
    <row r="842" spans="1:3" x14ac:dyDescent="0.25">
      <c r="A842" t="s">
        <v>2744</v>
      </c>
      <c r="B842" t="s">
        <v>123</v>
      </c>
      <c r="C842" t="s">
        <v>6417</v>
      </c>
    </row>
    <row r="843" spans="1:3" x14ac:dyDescent="0.25">
      <c r="A843" t="s">
        <v>1886</v>
      </c>
      <c r="B843" t="s">
        <v>123</v>
      </c>
      <c r="C843" t="s">
        <v>6417</v>
      </c>
    </row>
    <row r="844" spans="1:3" x14ac:dyDescent="0.25">
      <c r="A844" t="s">
        <v>1730</v>
      </c>
      <c r="B844" t="s">
        <v>123</v>
      </c>
      <c r="C844" t="s">
        <v>6417</v>
      </c>
    </row>
    <row r="845" spans="1:3" x14ac:dyDescent="0.25">
      <c r="A845" t="s">
        <v>813</v>
      </c>
      <c r="B845" t="s">
        <v>123</v>
      </c>
      <c r="C845" t="s">
        <v>6417</v>
      </c>
    </row>
    <row r="846" spans="1:3" x14ac:dyDescent="0.25">
      <c r="A846" t="s">
        <v>1280</v>
      </c>
      <c r="B846" t="s">
        <v>123</v>
      </c>
      <c r="C846" t="s">
        <v>6419</v>
      </c>
    </row>
    <row r="847" spans="1:3" x14ac:dyDescent="0.25">
      <c r="A847" t="s">
        <v>1978</v>
      </c>
      <c r="B847" t="s">
        <v>123</v>
      </c>
      <c r="C847" t="s">
        <v>6419</v>
      </c>
    </row>
    <row r="848" spans="1:3" x14ac:dyDescent="0.25">
      <c r="A848" t="s">
        <v>1979</v>
      </c>
      <c r="B848" t="s">
        <v>123</v>
      </c>
      <c r="C848" t="s">
        <v>6417</v>
      </c>
    </row>
    <row r="849" spans="1:3" x14ac:dyDescent="0.25">
      <c r="A849" t="s">
        <v>1980</v>
      </c>
      <c r="B849" t="s">
        <v>123</v>
      </c>
      <c r="C849" t="s">
        <v>6417</v>
      </c>
    </row>
    <row r="850" spans="1:3" x14ac:dyDescent="0.25">
      <c r="A850" t="s">
        <v>366</v>
      </c>
      <c r="B850" t="s">
        <v>123</v>
      </c>
      <c r="C850" t="s">
        <v>6417</v>
      </c>
    </row>
    <row r="851" spans="1:3" x14ac:dyDescent="0.25">
      <c r="A851" t="s">
        <v>368</v>
      </c>
      <c r="B851" t="s">
        <v>123</v>
      </c>
      <c r="C851" t="s">
        <v>6417</v>
      </c>
    </row>
    <row r="852" spans="1:3" x14ac:dyDescent="0.25">
      <c r="A852" t="s">
        <v>3300</v>
      </c>
      <c r="B852" t="s">
        <v>123</v>
      </c>
      <c r="C852" t="s">
        <v>6417</v>
      </c>
    </row>
    <row r="853" spans="1:3" x14ac:dyDescent="0.25">
      <c r="A853" t="s">
        <v>2365</v>
      </c>
      <c r="B853" t="s">
        <v>123</v>
      </c>
      <c r="C853" t="s">
        <v>6417</v>
      </c>
    </row>
    <row r="854" spans="1:3" x14ac:dyDescent="0.25">
      <c r="A854" t="s">
        <v>90</v>
      </c>
      <c r="B854" t="s">
        <v>1699</v>
      </c>
      <c r="C854" t="s">
        <v>6419</v>
      </c>
    </row>
    <row r="855" spans="1:3" x14ac:dyDescent="0.25">
      <c r="A855" t="s">
        <v>4600</v>
      </c>
      <c r="B855" t="s">
        <v>486</v>
      </c>
      <c r="C855" t="s">
        <v>6418</v>
      </c>
    </row>
    <row r="856" spans="1:3" x14ac:dyDescent="0.25">
      <c r="A856" t="s">
        <v>5242</v>
      </c>
      <c r="B856" t="s">
        <v>486</v>
      </c>
      <c r="C856" t="s">
        <v>6429</v>
      </c>
    </row>
    <row r="857" spans="1:3" x14ac:dyDescent="0.25">
      <c r="A857" t="s">
        <v>1254</v>
      </c>
      <c r="B857" t="s">
        <v>54</v>
      </c>
      <c r="C857" t="s">
        <v>6419</v>
      </c>
    </row>
    <row r="858" spans="1:3" x14ac:dyDescent="0.25">
      <c r="A858" t="s">
        <v>3567</v>
      </c>
      <c r="B858" t="s">
        <v>54</v>
      </c>
      <c r="C858" t="s">
        <v>6419</v>
      </c>
    </row>
    <row r="859" spans="1:3" x14ac:dyDescent="0.25">
      <c r="A859" t="s">
        <v>698</v>
      </c>
      <c r="B859" t="s">
        <v>54</v>
      </c>
      <c r="C859" t="s">
        <v>6419</v>
      </c>
    </row>
    <row r="860" spans="1:3" x14ac:dyDescent="0.25">
      <c r="A860" t="s">
        <v>271</v>
      </c>
      <c r="B860" t="s">
        <v>54</v>
      </c>
      <c r="C860" t="s">
        <v>6417</v>
      </c>
    </row>
    <row r="861" spans="1:3" x14ac:dyDescent="0.25">
      <c r="A861" t="s">
        <v>1248</v>
      </c>
      <c r="B861" t="s">
        <v>54</v>
      </c>
      <c r="C861" t="s">
        <v>6417</v>
      </c>
    </row>
    <row r="862" spans="1:3" x14ac:dyDescent="0.25">
      <c r="A862" t="s">
        <v>4958</v>
      </c>
      <c r="B862" t="s">
        <v>54</v>
      </c>
      <c r="C862" t="s">
        <v>6417</v>
      </c>
    </row>
    <row r="863" spans="1:3" x14ac:dyDescent="0.25">
      <c r="A863" t="s">
        <v>790</v>
      </c>
      <c r="B863" t="s">
        <v>54</v>
      </c>
      <c r="C863" t="s">
        <v>6417</v>
      </c>
    </row>
    <row r="864" spans="1:3" x14ac:dyDescent="0.25">
      <c r="A864" t="s">
        <v>3253</v>
      </c>
      <c r="B864" t="s">
        <v>54</v>
      </c>
      <c r="C864" t="s">
        <v>6417</v>
      </c>
    </row>
    <row r="865" spans="1:3" x14ac:dyDescent="0.25">
      <c r="A865" t="s">
        <v>57</v>
      </c>
      <c r="B865" t="s">
        <v>54</v>
      </c>
      <c r="C865" t="s">
        <v>6417</v>
      </c>
    </row>
    <row r="866" spans="1:3" x14ac:dyDescent="0.25">
      <c r="A866" t="s">
        <v>3800</v>
      </c>
      <c r="B866" t="s">
        <v>54</v>
      </c>
      <c r="C866" t="s">
        <v>6417</v>
      </c>
    </row>
    <row r="867" spans="1:3" x14ac:dyDescent="0.25">
      <c r="A867" t="s">
        <v>2042</v>
      </c>
      <c r="B867" t="s">
        <v>54</v>
      </c>
      <c r="C867" t="s">
        <v>6417</v>
      </c>
    </row>
    <row r="868" spans="1:3" x14ac:dyDescent="0.25">
      <c r="A868" t="s">
        <v>277</v>
      </c>
      <c r="B868" t="s">
        <v>54</v>
      </c>
      <c r="C868" t="s">
        <v>6417</v>
      </c>
    </row>
    <row r="869" spans="1:3" x14ac:dyDescent="0.25">
      <c r="A869" t="s">
        <v>1707</v>
      </c>
      <c r="B869" t="s">
        <v>54</v>
      </c>
      <c r="C869" t="s">
        <v>6417</v>
      </c>
    </row>
    <row r="870" spans="1:3" x14ac:dyDescent="0.25">
      <c r="A870" t="s">
        <v>2003</v>
      </c>
      <c r="B870" t="s">
        <v>54</v>
      </c>
      <c r="C870" t="s">
        <v>6417</v>
      </c>
    </row>
    <row r="871" spans="1:3" x14ac:dyDescent="0.25">
      <c r="A871" t="s">
        <v>5330</v>
      </c>
      <c r="B871" t="s">
        <v>54</v>
      </c>
      <c r="C871" t="s">
        <v>6434</v>
      </c>
    </row>
    <row r="872" spans="1:3" x14ac:dyDescent="0.25">
      <c r="A872" t="s">
        <v>4948</v>
      </c>
      <c r="B872" t="s">
        <v>54</v>
      </c>
      <c r="C872" t="s">
        <v>6417</v>
      </c>
    </row>
    <row r="873" spans="1:3" x14ac:dyDescent="0.25">
      <c r="A873" t="s">
        <v>280</v>
      </c>
      <c r="B873" t="s">
        <v>54</v>
      </c>
      <c r="C873" t="s">
        <v>6417</v>
      </c>
    </row>
    <row r="874" spans="1:3" x14ac:dyDescent="0.25">
      <c r="A874" t="s">
        <v>272</v>
      </c>
      <c r="B874" t="s">
        <v>54</v>
      </c>
      <c r="C874" t="s">
        <v>6417</v>
      </c>
    </row>
    <row r="875" spans="1:3" x14ac:dyDescent="0.25">
      <c r="A875" t="s">
        <v>2004</v>
      </c>
      <c r="B875" t="s">
        <v>54</v>
      </c>
      <c r="C875" t="s">
        <v>6417</v>
      </c>
    </row>
    <row r="876" spans="1:3" x14ac:dyDescent="0.25">
      <c r="A876" t="s">
        <v>1291</v>
      </c>
      <c r="B876" t="s">
        <v>54</v>
      </c>
      <c r="C876" t="s">
        <v>6417</v>
      </c>
    </row>
    <row r="877" spans="1:3" x14ac:dyDescent="0.25">
      <c r="A877" t="s">
        <v>281</v>
      </c>
      <c r="B877" t="s">
        <v>54</v>
      </c>
      <c r="C877" t="s">
        <v>6419</v>
      </c>
    </row>
    <row r="878" spans="1:3" x14ac:dyDescent="0.25">
      <c r="A878" t="s">
        <v>55</v>
      </c>
      <c r="B878" t="s">
        <v>54</v>
      </c>
      <c r="C878" t="s">
        <v>6417</v>
      </c>
    </row>
    <row r="879" spans="1:3" x14ac:dyDescent="0.25">
      <c r="A879" t="s">
        <v>6358</v>
      </c>
      <c r="B879" t="s">
        <v>54</v>
      </c>
      <c r="C879" t="s">
        <v>6417</v>
      </c>
    </row>
    <row r="880" spans="1:3" x14ac:dyDescent="0.25">
      <c r="A880" t="s">
        <v>267</v>
      </c>
      <c r="B880" t="s">
        <v>54</v>
      </c>
      <c r="C880" t="s">
        <v>6417</v>
      </c>
    </row>
    <row r="881" spans="1:3" x14ac:dyDescent="0.25">
      <c r="A881" t="s">
        <v>3495</v>
      </c>
      <c r="B881" t="s">
        <v>54</v>
      </c>
      <c r="C881" t="s">
        <v>6417</v>
      </c>
    </row>
    <row r="882" spans="1:3" x14ac:dyDescent="0.25">
      <c r="A882" t="s">
        <v>859</v>
      </c>
      <c r="B882" t="s">
        <v>54</v>
      </c>
      <c r="C882" t="s">
        <v>6417</v>
      </c>
    </row>
    <row r="883" spans="1:3" x14ac:dyDescent="0.25">
      <c r="A883" t="s">
        <v>2269</v>
      </c>
      <c r="B883" t="s">
        <v>54</v>
      </c>
      <c r="C883" t="s">
        <v>6417</v>
      </c>
    </row>
    <row r="884" spans="1:3" x14ac:dyDescent="0.25">
      <c r="A884" t="s">
        <v>3790</v>
      </c>
      <c r="B884" t="s">
        <v>54</v>
      </c>
      <c r="C884" t="s">
        <v>6417</v>
      </c>
    </row>
    <row r="885" spans="1:3" x14ac:dyDescent="0.25">
      <c r="A885" t="s">
        <v>268</v>
      </c>
      <c r="B885" t="s">
        <v>54</v>
      </c>
      <c r="C885" t="s">
        <v>6434</v>
      </c>
    </row>
    <row r="886" spans="1:3" x14ac:dyDescent="0.25">
      <c r="A886" t="s">
        <v>5007</v>
      </c>
      <c r="B886" t="s">
        <v>54</v>
      </c>
      <c r="C886" t="s">
        <v>6417</v>
      </c>
    </row>
    <row r="887" spans="1:3" x14ac:dyDescent="0.25">
      <c r="A887" t="s">
        <v>5010</v>
      </c>
      <c r="B887" t="s">
        <v>54</v>
      </c>
      <c r="C887" t="s">
        <v>6417</v>
      </c>
    </row>
    <row r="888" spans="1:3" x14ac:dyDescent="0.25">
      <c r="A888" t="s">
        <v>5179</v>
      </c>
      <c r="B888" t="s">
        <v>54</v>
      </c>
      <c r="C888" t="s">
        <v>6417</v>
      </c>
    </row>
    <row r="889" spans="1:3" x14ac:dyDescent="0.25">
      <c r="A889" t="s">
        <v>1693</v>
      </c>
      <c r="B889" t="s">
        <v>54</v>
      </c>
      <c r="C889" t="s">
        <v>6419</v>
      </c>
    </row>
    <row r="890" spans="1:3" x14ac:dyDescent="0.25">
      <c r="A890" t="s">
        <v>3579</v>
      </c>
      <c r="B890" t="s">
        <v>54</v>
      </c>
      <c r="C890" t="s">
        <v>6419</v>
      </c>
    </row>
    <row r="891" spans="1:3" x14ac:dyDescent="0.25">
      <c r="A891" t="s">
        <v>58</v>
      </c>
      <c r="B891" t="s">
        <v>54</v>
      </c>
      <c r="C891" t="s">
        <v>6417</v>
      </c>
    </row>
    <row r="892" spans="1:3" x14ac:dyDescent="0.25">
      <c r="A892" t="s">
        <v>1729</v>
      </c>
      <c r="B892" t="s">
        <v>54</v>
      </c>
      <c r="C892" t="s">
        <v>6417</v>
      </c>
    </row>
    <row r="893" spans="1:3" x14ac:dyDescent="0.25">
      <c r="A893" t="s">
        <v>56</v>
      </c>
      <c r="B893" t="s">
        <v>54</v>
      </c>
      <c r="C893" t="s">
        <v>6417</v>
      </c>
    </row>
    <row r="894" spans="1:3" x14ac:dyDescent="0.25">
      <c r="A894" t="s">
        <v>278</v>
      </c>
      <c r="B894" t="s">
        <v>54</v>
      </c>
      <c r="C894" t="s">
        <v>6434</v>
      </c>
    </row>
    <row r="895" spans="1:3" x14ac:dyDescent="0.25">
      <c r="A895" t="s">
        <v>3393</v>
      </c>
      <c r="B895" t="s">
        <v>54</v>
      </c>
      <c r="C895" t="s">
        <v>6417</v>
      </c>
    </row>
    <row r="896" spans="1:3" x14ac:dyDescent="0.25">
      <c r="A896" t="s">
        <v>5138</v>
      </c>
      <c r="B896" t="s">
        <v>54</v>
      </c>
      <c r="C896" t="s">
        <v>6417</v>
      </c>
    </row>
    <row r="897" spans="1:3" x14ac:dyDescent="0.25">
      <c r="A897" t="s">
        <v>2893</v>
      </c>
      <c r="B897" t="s">
        <v>54</v>
      </c>
      <c r="C897" t="s">
        <v>6417</v>
      </c>
    </row>
    <row r="898" spans="1:3" x14ac:dyDescent="0.25">
      <c r="A898" t="s">
        <v>5315</v>
      </c>
      <c r="B898" t="s">
        <v>54</v>
      </c>
      <c r="C898" t="s">
        <v>6417</v>
      </c>
    </row>
    <row r="899" spans="1:3" x14ac:dyDescent="0.25">
      <c r="A899" t="s">
        <v>273</v>
      </c>
      <c r="B899" t="s">
        <v>54</v>
      </c>
      <c r="C899" t="s">
        <v>6417</v>
      </c>
    </row>
    <row r="900" spans="1:3" x14ac:dyDescent="0.25">
      <c r="A900" t="s">
        <v>1858</v>
      </c>
      <c r="B900" t="s">
        <v>54</v>
      </c>
      <c r="C900" t="s">
        <v>6417</v>
      </c>
    </row>
    <row r="901" spans="1:3" x14ac:dyDescent="0.25">
      <c r="A901" t="s">
        <v>275</v>
      </c>
      <c r="B901" t="s">
        <v>54</v>
      </c>
      <c r="C901" t="s">
        <v>6417</v>
      </c>
    </row>
    <row r="902" spans="1:3" x14ac:dyDescent="0.25">
      <c r="A902" t="s">
        <v>1290</v>
      </c>
      <c r="B902" t="s">
        <v>54</v>
      </c>
      <c r="C902" t="s">
        <v>6417</v>
      </c>
    </row>
    <row r="903" spans="1:3" x14ac:dyDescent="0.25">
      <c r="A903" t="s">
        <v>4944</v>
      </c>
      <c r="B903" t="s">
        <v>54</v>
      </c>
      <c r="C903" t="s">
        <v>6417</v>
      </c>
    </row>
    <row r="904" spans="1:3" x14ac:dyDescent="0.25">
      <c r="A904" t="s">
        <v>3590</v>
      </c>
      <c r="B904" t="s">
        <v>54</v>
      </c>
      <c r="C904" t="s">
        <v>6417</v>
      </c>
    </row>
    <row r="905" spans="1:3" x14ac:dyDescent="0.25">
      <c r="A905" t="s">
        <v>2899</v>
      </c>
      <c r="B905" t="s">
        <v>54</v>
      </c>
      <c r="C905" t="s">
        <v>6417</v>
      </c>
    </row>
    <row r="906" spans="1:3" x14ac:dyDescent="0.25">
      <c r="A906" t="s">
        <v>789</v>
      </c>
      <c r="B906" t="s">
        <v>54</v>
      </c>
      <c r="C906" t="s">
        <v>6417</v>
      </c>
    </row>
    <row r="907" spans="1:3" x14ac:dyDescent="0.25">
      <c r="A907" t="s">
        <v>269</v>
      </c>
      <c r="B907" t="s">
        <v>54</v>
      </c>
      <c r="C907" t="s">
        <v>6417</v>
      </c>
    </row>
    <row r="908" spans="1:3" x14ac:dyDescent="0.25">
      <c r="A908" t="s">
        <v>3497</v>
      </c>
      <c r="B908" t="s">
        <v>54</v>
      </c>
      <c r="C908" t="s">
        <v>6417</v>
      </c>
    </row>
    <row r="909" spans="1:3" x14ac:dyDescent="0.25">
      <c r="A909" t="s">
        <v>276</v>
      </c>
      <c r="B909" t="s">
        <v>54</v>
      </c>
      <c r="C909" t="s">
        <v>6417</v>
      </c>
    </row>
    <row r="910" spans="1:3" x14ac:dyDescent="0.25">
      <c r="A910" t="s">
        <v>1955</v>
      </c>
      <c r="B910" t="s">
        <v>54</v>
      </c>
      <c r="C910" t="s">
        <v>6417</v>
      </c>
    </row>
    <row r="911" spans="1:3" x14ac:dyDescent="0.25">
      <c r="A911" t="s">
        <v>274</v>
      </c>
      <c r="B911" t="s">
        <v>54</v>
      </c>
      <c r="C911" t="s">
        <v>6417</v>
      </c>
    </row>
    <row r="912" spans="1:3" x14ac:dyDescent="0.25">
      <c r="A912" t="s">
        <v>2878</v>
      </c>
      <c r="B912" t="s">
        <v>54</v>
      </c>
      <c r="C912" t="s">
        <v>6417</v>
      </c>
    </row>
    <row r="913" spans="1:3" x14ac:dyDescent="0.25">
      <c r="A913" t="s">
        <v>3257</v>
      </c>
      <c r="B913" t="s">
        <v>54</v>
      </c>
      <c r="C913" t="s">
        <v>6417</v>
      </c>
    </row>
    <row r="914" spans="1:3" x14ac:dyDescent="0.25">
      <c r="A914" t="s">
        <v>270</v>
      </c>
      <c r="B914" t="s">
        <v>54</v>
      </c>
      <c r="C914" t="s">
        <v>6417</v>
      </c>
    </row>
    <row r="915" spans="1:3" x14ac:dyDescent="0.25">
      <c r="A915" t="s">
        <v>5334</v>
      </c>
      <c r="B915" t="s">
        <v>54</v>
      </c>
      <c r="C915" t="s">
        <v>6417</v>
      </c>
    </row>
    <row r="916" spans="1:3" x14ac:dyDescent="0.25">
      <c r="A916" t="s">
        <v>1728</v>
      </c>
      <c r="B916" t="s">
        <v>54</v>
      </c>
      <c r="C916" t="s">
        <v>6417</v>
      </c>
    </row>
    <row r="917" spans="1:3" x14ac:dyDescent="0.25">
      <c r="A917" t="s">
        <v>3261</v>
      </c>
      <c r="B917" t="s">
        <v>54</v>
      </c>
      <c r="C917" t="s">
        <v>6417</v>
      </c>
    </row>
    <row r="918" spans="1:3" x14ac:dyDescent="0.25">
      <c r="A918" t="s">
        <v>3251</v>
      </c>
      <c r="B918" t="s">
        <v>54</v>
      </c>
      <c r="C918" t="s">
        <v>6417</v>
      </c>
    </row>
    <row r="919" spans="1:3" x14ac:dyDescent="0.25">
      <c r="A919" t="s">
        <v>1292</v>
      </c>
      <c r="B919" t="s">
        <v>54</v>
      </c>
      <c r="C919" t="s">
        <v>6417</v>
      </c>
    </row>
    <row r="920" spans="1:3" x14ac:dyDescent="0.25">
      <c r="A920" t="s">
        <v>5181</v>
      </c>
      <c r="B920" t="s">
        <v>54</v>
      </c>
      <c r="C920" t="s">
        <v>6417</v>
      </c>
    </row>
    <row r="921" spans="1:3" x14ac:dyDescent="0.25">
      <c r="A921" t="s">
        <v>5321</v>
      </c>
      <c r="B921" t="s">
        <v>54</v>
      </c>
      <c r="C921" t="s">
        <v>6417</v>
      </c>
    </row>
    <row r="922" spans="1:3" x14ac:dyDescent="0.25">
      <c r="A922" t="s">
        <v>3499</v>
      </c>
      <c r="B922" t="s">
        <v>54</v>
      </c>
      <c r="C922" t="s">
        <v>6417</v>
      </c>
    </row>
    <row r="923" spans="1:3" x14ac:dyDescent="0.25">
      <c r="A923" t="s">
        <v>4942</v>
      </c>
      <c r="B923" t="s">
        <v>54</v>
      </c>
      <c r="C923" t="s">
        <v>6435</v>
      </c>
    </row>
    <row r="924" spans="1:3" x14ac:dyDescent="0.25">
      <c r="A924" t="s">
        <v>5323</v>
      </c>
      <c r="B924" t="s">
        <v>54</v>
      </c>
      <c r="C924" t="s">
        <v>6435</v>
      </c>
    </row>
    <row r="925" spans="1:3" x14ac:dyDescent="0.25">
      <c r="A925" t="s">
        <v>4961</v>
      </c>
      <c r="B925" t="s">
        <v>54</v>
      </c>
      <c r="C925" t="s">
        <v>6417</v>
      </c>
    </row>
    <row r="926" spans="1:3" x14ac:dyDescent="0.25">
      <c r="A926" t="s">
        <v>5005</v>
      </c>
      <c r="B926" t="s">
        <v>54</v>
      </c>
      <c r="C926" t="s">
        <v>6418</v>
      </c>
    </row>
    <row r="927" spans="1:3" x14ac:dyDescent="0.25">
      <c r="A927" t="s">
        <v>1163</v>
      </c>
      <c r="B927" t="s">
        <v>54</v>
      </c>
      <c r="C927" t="s">
        <v>6415</v>
      </c>
    </row>
    <row r="928" spans="1:3" x14ac:dyDescent="0.25">
      <c r="A928" t="s">
        <v>1771</v>
      </c>
      <c r="B928" t="s">
        <v>54</v>
      </c>
      <c r="C928" t="s">
        <v>6419</v>
      </c>
    </row>
    <row r="929" spans="1:3" x14ac:dyDescent="0.25">
      <c r="A929" t="s">
        <v>2012</v>
      </c>
      <c r="B929" t="s">
        <v>54</v>
      </c>
      <c r="C929" t="s">
        <v>6429</v>
      </c>
    </row>
    <row r="930" spans="1:3" x14ac:dyDescent="0.25">
      <c r="A930" t="s">
        <v>2845</v>
      </c>
      <c r="B930" t="s">
        <v>54</v>
      </c>
      <c r="C930" t="s">
        <v>6419</v>
      </c>
    </row>
    <row r="931" spans="1:3" x14ac:dyDescent="0.25">
      <c r="A931" t="s">
        <v>5328</v>
      </c>
      <c r="B931" t="s">
        <v>54</v>
      </c>
      <c r="C931" t="s">
        <v>6418</v>
      </c>
    </row>
    <row r="932" spans="1:3" x14ac:dyDescent="0.25">
      <c r="A932" t="s">
        <v>1406</v>
      </c>
      <c r="B932" t="s">
        <v>54</v>
      </c>
      <c r="C932" t="s">
        <v>6417</v>
      </c>
    </row>
    <row r="933" spans="1:3" x14ac:dyDescent="0.25">
      <c r="A933" t="s">
        <v>418</v>
      </c>
      <c r="B933" t="s">
        <v>54</v>
      </c>
      <c r="C933" t="s">
        <v>6417</v>
      </c>
    </row>
    <row r="934" spans="1:3" x14ac:dyDescent="0.25">
      <c r="A934" t="s">
        <v>279</v>
      </c>
      <c r="B934" t="s">
        <v>54</v>
      </c>
      <c r="C934" t="s">
        <v>6417</v>
      </c>
    </row>
    <row r="935" spans="1:3" x14ac:dyDescent="0.25">
      <c r="A935" t="s">
        <v>4946</v>
      </c>
      <c r="B935" t="s">
        <v>54</v>
      </c>
      <c r="C935" t="s">
        <v>6417</v>
      </c>
    </row>
    <row r="936" spans="1:3" x14ac:dyDescent="0.25">
      <c r="A936" t="s">
        <v>4626</v>
      </c>
      <c r="B936" t="s">
        <v>972</v>
      </c>
      <c r="C936" t="s">
        <v>6419</v>
      </c>
    </row>
    <row r="937" spans="1:3" x14ac:dyDescent="0.25">
      <c r="A937" t="s">
        <v>3503</v>
      </c>
      <c r="B937" t="s">
        <v>972</v>
      </c>
      <c r="C937" t="s">
        <v>6419</v>
      </c>
    </row>
    <row r="938" spans="1:3" x14ac:dyDescent="0.25">
      <c r="A938" t="s">
        <v>1272</v>
      </c>
      <c r="B938" t="s">
        <v>972</v>
      </c>
      <c r="C938" t="s">
        <v>6417</v>
      </c>
    </row>
    <row r="939" spans="1:3" x14ac:dyDescent="0.25">
      <c r="A939" t="s">
        <v>2043</v>
      </c>
      <c r="B939" t="s">
        <v>972</v>
      </c>
      <c r="C939" t="s">
        <v>6435</v>
      </c>
    </row>
    <row r="940" spans="1:3" x14ac:dyDescent="0.25">
      <c r="A940" t="s">
        <v>1405</v>
      </c>
      <c r="B940" t="s">
        <v>972</v>
      </c>
      <c r="C940" t="s">
        <v>6419</v>
      </c>
    </row>
    <row r="941" spans="1:3" x14ac:dyDescent="0.25">
      <c r="A941" t="s">
        <v>95</v>
      </c>
      <c r="B941" t="s">
        <v>96</v>
      </c>
      <c r="C941" t="s">
        <v>6419</v>
      </c>
    </row>
    <row r="942" spans="1:3" x14ac:dyDescent="0.25">
      <c r="A942" t="s">
        <v>347</v>
      </c>
      <c r="B942" t="s">
        <v>96</v>
      </c>
      <c r="C942" t="s">
        <v>6419</v>
      </c>
    </row>
    <row r="943" spans="1:3" x14ac:dyDescent="0.25">
      <c r="A943" t="s">
        <v>90</v>
      </c>
      <c r="B943" t="s">
        <v>91</v>
      </c>
      <c r="C943" t="s">
        <v>6419</v>
      </c>
    </row>
    <row r="944" spans="1:3" x14ac:dyDescent="0.25">
      <c r="A944" t="s">
        <v>886</v>
      </c>
      <c r="B944" t="s">
        <v>885</v>
      </c>
      <c r="C944" t="s">
        <v>6419</v>
      </c>
    </row>
    <row r="945" spans="1:3" x14ac:dyDescent="0.25">
      <c r="A945" t="s">
        <v>3476</v>
      </c>
      <c r="B945" t="s">
        <v>885</v>
      </c>
      <c r="C945" t="s">
        <v>6417</v>
      </c>
    </row>
    <row r="946" spans="1:3" x14ac:dyDescent="0.25">
      <c r="A946" t="s">
        <v>4711</v>
      </c>
      <c r="B946" t="s">
        <v>751</v>
      </c>
      <c r="C946" t="s">
        <v>6419</v>
      </c>
    </row>
    <row r="947" spans="1:3" x14ac:dyDescent="0.25">
      <c r="A947" t="s">
        <v>4536</v>
      </c>
      <c r="B947" t="s">
        <v>751</v>
      </c>
      <c r="C947" t="s">
        <v>6419</v>
      </c>
    </row>
    <row r="948" spans="1:3" x14ac:dyDescent="0.25">
      <c r="A948" t="s">
        <v>5012</v>
      </c>
      <c r="B948" t="s">
        <v>751</v>
      </c>
      <c r="C948" t="s">
        <v>6435</v>
      </c>
    </row>
    <row r="949" spans="1:3" x14ac:dyDescent="0.25">
      <c r="A949" t="s">
        <v>5750</v>
      </c>
      <c r="B949" t="s">
        <v>751</v>
      </c>
      <c r="C949" t="s">
        <v>6417</v>
      </c>
    </row>
    <row r="950" spans="1:3" x14ac:dyDescent="0.25">
      <c r="A950" t="s">
        <v>4663</v>
      </c>
      <c r="B950" t="s">
        <v>751</v>
      </c>
      <c r="C950" t="s">
        <v>6419</v>
      </c>
    </row>
    <row r="951" spans="1:3" x14ac:dyDescent="0.25">
      <c r="A951" t="s">
        <v>6302</v>
      </c>
      <c r="B951" t="s">
        <v>751</v>
      </c>
      <c r="C951" t="s">
        <v>6419</v>
      </c>
    </row>
    <row r="952" spans="1:3" x14ac:dyDescent="0.25">
      <c r="A952" t="s">
        <v>2474</v>
      </c>
      <c r="B952" t="s">
        <v>751</v>
      </c>
      <c r="C952" t="s">
        <v>6419</v>
      </c>
    </row>
    <row r="953" spans="1:3" x14ac:dyDescent="0.25">
      <c r="A953" t="s">
        <v>4750</v>
      </c>
      <c r="B953" t="s">
        <v>751</v>
      </c>
      <c r="C953" t="s">
        <v>6419</v>
      </c>
    </row>
    <row r="954" spans="1:3" x14ac:dyDescent="0.25">
      <c r="A954" t="s">
        <v>1325</v>
      </c>
      <c r="B954" t="s">
        <v>751</v>
      </c>
      <c r="C954" t="s">
        <v>6419</v>
      </c>
    </row>
    <row r="955" spans="1:3" x14ac:dyDescent="0.25">
      <c r="A955" t="s">
        <v>2376</v>
      </c>
      <c r="B955" t="s">
        <v>751</v>
      </c>
      <c r="C955" t="s">
        <v>6419</v>
      </c>
    </row>
    <row r="956" spans="1:3" x14ac:dyDescent="0.25">
      <c r="A956" t="s">
        <v>4752</v>
      </c>
      <c r="B956" t="s">
        <v>751</v>
      </c>
      <c r="C956" t="s">
        <v>6417</v>
      </c>
    </row>
    <row r="957" spans="1:3" x14ac:dyDescent="0.25">
      <c r="A957" t="s">
        <v>1697</v>
      </c>
      <c r="B957" t="s">
        <v>751</v>
      </c>
      <c r="C957" t="s">
        <v>6419</v>
      </c>
    </row>
    <row r="958" spans="1:3" x14ac:dyDescent="0.25">
      <c r="A958" t="s">
        <v>1834</v>
      </c>
      <c r="B958" t="s">
        <v>751</v>
      </c>
      <c r="C958" t="s">
        <v>6419</v>
      </c>
    </row>
    <row r="959" spans="1:3" x14ac:dyDescent="0.25">
      <c r="A959" t="s">
        <v>5744</v>
      </c>
      <c r="B959" t="s">
        <v>751</v>
      </c>
      <c r="C959" t="s">
        <v>6417</v>
      </c>
    </row>
    <row r="960" spans="1:3" x14ac:dyDescent="0.25">
      <c r="A960" t="s">
        <v>5742</v>
      </c>
      <c r="B960" t="s">
        <v>751</v>
      </c>
      <c r="C960" t="s">
        <v>6417</v>
      </c>
    </row>
    <row r="961" spans="1:3" x14ac:dyDescent="0.25">
      <c r="A961" t="s">
        <v>347</v>
      </c>
      <c r="B961" t="s">
        <v>751</v>
      </c>
      <c r="C961" t="s">
        <v>6419</v>
      </c>
    </row>
    <row r="962" spans="1:3" x14ac:dyDescent="0.25">
      <c r="A962" t="s">
        <v>5746</v>
      </c>
      <c r="B962" t="s">
        <v>751</v>
      </c>
      <c r="C962" t="s">
        <v>6417</v>
      </c>
    </row>
    <row r="963" spans="1:3" x14ac:dyDescent="0.25">
      <c r="A963" t="s">
        <v>771</v>
      </c>
      <c r="B963" t="s">
        <v>751</v>
      </c>
      <c r="C963" t="s">
        <v>6427</v>
      </c>
    </row>
    <row r="964" spans="1:3" x14ac:dyDescent="0.25">
      <c r="A964" t="s">
        <v>1889</v>
      </c>
      <c r="B964" t="s">
        <v>1485</v>
      </c>
      <c r="C964" t="s">
        <v>6419</v>
      </c>
    </row>
    <row r="965" spans="1:3" x14ac:dyDescent="0.25">
      <c r="A965" t="s">
        <v>1088</v>
      </c>
      <c r="B965" t="s">
        <v>4686</v>
      </c>
      <c r="C965" t="s">
        <v>6434</v>
      </c>
    </row>
    <row r="966" spans="1:3" x14ac:dyDescent="0.25">
      <c r="A966" t="s">
        <v>891</v>
      </c>
      <c r="B966" t="s">
        <v>4686</v>
      </c>
      <c r="C966" t="s">
        <v>6434</v>
      </c>
    </row>
    <row r="967" spans="1:3" x14ac:dyDescent="0.25">
      <c r="A967" t="s">
        <v>4685</v>
      </c>
      <c r="B967" t="s">
        <v>4686</v>
      </c>
      <c r="C967" t="s">
        <v>6419</v>
      </c>
    </row>
    <row r="968" spans="1:3" x14ac:dyDescent="0.25">
      <c r="A968" t="s">
        <v>4800</v>
      </c>
      <c r="B968" t="s">
        <v>4686</v>
      </c>
      <c r="C968" t="s">
        <v>6429</v>
      </c>
    </row>
    <row r="969" spans="1:3" x14ac:dyDescent="0.25">
      <c r="A969" t="s">
        <v>4812</v>
      </c>
      <c r="B969" t="s">
        <v>4686</v>
      </c>
      <c r="C969" t="s">
        <v>6429</v>
      </c>
    </row>
    <row r="970" spans="1:3" x14ac:dyDescent="0.25">
      <c r="A970" t="s">
        <v>245</v>
      </c>
      <c r="B970" t="s">
        <v>4686</v>
      </c>
      <c r="C970" t="s">
        <v>6429</v>
      </c>
    </row>
    <row r="971" spans="1:3" x14ac:dyDescent="0.25">
      <c r="A971" t="s">
        <v>247</v>
      </c>
      <c r="B971" t="s">
        <v>4686</v>
      </c>
      <c r="C971" t="s">
        <v>6438</v>
      </c>
    </row>
    <row r="972" spans="1:3" x14ac:dyDescent="0.25">
      <c r="A972" t="s">
        <v>5754</v>
      </c>
      <c r="B972" t="s">
        <v>4686</v>
      </c>
      <c r="C972" t="s">
        <v>6438</v>
      </c>
    </row>
    <row r="973" spans="1:3" x14ac:dyDescent="0.25">
      <c r="A973" t="s">
        <v>246</v>
      </c>
      <c r="B973" t="s">
        <v>243</v>
      </c>
      <c r="C973" t="s">
        <v>6417</v>
      </c>
    </row>
    <row r="974" spans="1:3" x14ac:dyDescent="0.25">
      <c r="A974" t="s">
        <v>244</v>
      </c>
      <c r="B974" t="s">
        <v>243</v>
      </c>
      <c r="C974" t="s">
        <v>6429</v>
      </c>
    </row>
    <row r="975" spans="1:3" x14ac:dyDescent="0.25">
      <c r="A975" t="s">
        <v>245</v>
      </c>
      <c r="B975" t="s">
        <v>243</v>
      </c>
      <c r="C975" t="s">
        <v>6429</v>
      </c>
    </row>
    <row r="976" spans="1:3" x14ac:dyDescent="0.25">
      <c r="A976" t="s">
        <v>247</v>
      </c>
      <c r="B976" t="s">
        <v>243</v>
      </c>
      <c r="C976" t="s">
        <v>6438</v>
      </c>
    </row>
    <row r="977" spans="1:3" x14ac:dyDescent="0.25">
      <c r="A977" t="s">
        <v>538</v>
      </c>
      <c r="B977" t="s">
        <v>243</v>
      </c>
      <c r="C977" t="s">
        <v>6417</v>
      </c>
    </row>
    <row r="978" spans="1:3" x14ac:dyDescent="0.25">
      <c r="A978" t="s">
        <v>1088</v>
      </c>
      <c r="B978" t="s">
        <v>890</v>
      </c>
      <c r="C978" t="s">
        <v>6434</v>
      </c>
    </row>
    <row r="979" spans="1:3" x14ac:dyDescent="0.25">
      <c r="A979" t="s">
        <v>2582</v>
      </c>
      <c r="B979" t="s">
        <v>890</v>
      </c>
      <c r="C979" t="s">
        <v>6417</v>
      </c>
    </row>
    <row r="980" spans="1:3" x14ac:dyDescent="0.25">
      <c r="A980" t="s">
        <v>891</v>
      </c>
      <c r="B980" t="s">
        <v>890</v>
      </c>
      <c r="C980" t="s">
        <v>6434</v>
      </c>
    </row>
    <row r="981" spans="1:3" x14ac:dyDescent="0.25">
      <c r="A981" t="s">
        <v>1419</v>
      </c>
      <c r="B981" t="s">
        <v>890</v>
      </c>
      <c r="C981" t="s">
        <v>6417</v>
      </c>
    </row>
    <row r="982" spans="1:3" x14ac:dyDescent="0.25">
      <c r="A982" t="s">
        <v>1421</v>
      </c>
      <c r="B982" t="s">
        <v>890</v>
      </c>
      <c r="C982" t="s">
        <v>6435</v>
      </c>
    </row>
    <row r="983" spans="1:3" x14ac:dyDescent="0.25">
      <c r="A983" t="s">
        <v>246</v>
      </c>
      <c r="B983" t="s">
        <v>890</v>
      </c>
      <c r="C983" t="s">
        <v>6417</v>
      </c>
    </row>
    <row r="984" spans="1:3" x14ac:dyDescent="0.25">
      <c r="A984" t="s">
        <v>244</v>
      </c>
      <c r="B984" t="s">
        <v>890</v>
      </c>
      <c r="C984" t="s">
        <v>6429</v>
      </c>
    </row>
    <row r="985" spans="1:3" x14ac:dyDescent="0.25">
      <c r="A985" t="s">
        <v>1420</v>
      </c>
      <c r="B985" t="s">
        <v>890</v>
      </c>
      <c r="C985" t="s">
        <v>6429</v>
      </c>
    </row>
    <row r="986" spans="1:3" x14ac:dyDescent="0.25">
      <c r="A986" t="s">
        <v>245</v>
      </c>
      <c r="B986" t="s">
        <v>890</v>
      </c>
      <c r="C986" t="s">
        <v>6429</v>
      </c>
    </row>
    <row r="987" spans="1:3" x14ac:dyDescent="0.25">
      <c r="A987" t="s">
        <v>893</v>
      </c>
      <c r="B987" t="s">
        <v>890</v>
      </c>
      <c r="C987" t="s">
        <v>6438</v>
      </c>
    </row>
    <row r="988" spans="1:3" x14ac:dyDescent="0.25">
      <c r="A988" t="s">
        <v>247</v>
      </c>
      <c r="B988" t="s">
        <v>890</v>
      </c>
      <c r="C988" t="s">
        <v>6438</v>
      </c>
    </row>
    <row r="989" spans="1:3" x14ac:dyDescent="0.25">
      <c r="A989" t="s">
        <v>3134</v>
      </c>
      <c r="B989" t="s">
        <v>890</v>
      </c>
      <c r="C989" t="s">
        <v>6435</v>
      </c>
    </row>
    <row r="990" spans="1:3" x14ac:dyDescent="0.25">
      <c r="A990" t="s">
        <v>892</v>
      </c>
      <c r="B990" t="s">
        <v>890</v>
      </c>
      <c r="C990" t="s">
        <v>6417</v>
      </c>
    </row>
    <row r="991" spans="1:3" x14ac:dyDescent="0.25">
      <c r="A991" t="s">
        <v>894</v>
      </c>
      <c r="B991" t="s">
        <v>890</v>
      </c>
      <c r="C991" t="s">
        <v>6419</v>
      </c>
    </row>
    <row r="992" spans="1:3" x14ac:dyDescent="0.25">
      <c r="A992" t="s">
        <v>5758</v>
      </c>
      <c r="B992" t="s">
        <v>523</v>
      </c>
      <c r="C992" t="s">
        <v>6415</v>
      </c>
    </row>
    <row r="993" spans="1:3" x14ac:dyDescent="0.25">
      <c r="A993" t="s">
        <v>156</v>
      </c>
      <c r="B993" t="s">
        <v>320</v>
      </c>
      <c r="C993" t="s">
        <v>6419</v>
      </c>
    </row>
    <row r="994" spans="1:3" x14ac:dyDescent="0.25">
      <c r="A994" t="s">
        <v>321</v>
      </c>
      <c r="B994" t="s">
        <v>320</v>
      </c>
      <c r="C994" t="s">
        <v>6419</v>
      </c>
    </row>
    <row r="995" spans="1:3" x14ac:dyDescent="0.25">
      <c r="A995" t="s">
        <v>4747</v>
      </c>
      <c r="B995" t="s">
        <v>320</v>
      </c>
      <c r="C995" t="s">
        <v>6417</v>
      </c>
    </row>
    <row r="996" spans="1:3" x14ac:dyDescent="0.25">
      <c r="A996" t="s">
        <v>3286</v>
      </c>
      <c r="B996" t="s">
        <v>320</v>
      </c>
      <c r="C996" t="s">
        <v>6417</v>
      </c>
    </row>
    <row r="997" spans="1:3" x14ac:dyDescent="0.25">
      <c r="A997" t="s">
        <v>2432</v>
      </c>
      <c r="B997" t="s">
        <v>320</v>
      </c>
      <c r="C997" t="s">
        <v>6419</v>
      </c>
    </row>
    <row r="998" spans="1:3" x14ac:dyDescent="0.25">
      <c r="A998" t="s">
        <v>2484</v>
      </c>
      <c r="B998" t="s">
        <v>320</v>
      </c>
      <c r="C998" t="s">
        <v>6419</v>
      </c>
    </row>
    <row r="999" spans="1:3" x14ac:dyDescent="0.25">
      <c r="A999" t="s">
        <v>322</v>
      </c>
      <c r="B999" t="s">
        <v>320</v>
      </c>
      <c r="C999" t="s">
        <v>6419</v>
      </c>
    </row>
    <row r="1000" spans="1:3" x14ac:dyDescent="0.25">
      <c r="A1000" t="s">
        <v>6298</v>
      </c>
      <c r="B1000" t="s">
        <v>320</v>
      </c>
      <c r="C1000" t="s">
        <v>6417</v>
      </c>
    </row>
    <row r="1001" spans="1:3" x14ac:dyDescent="0.25">
      <c r="A1001" t="s">
        <v>2465</v>
      </c>
      <c r="B1001" t="s">
        <v>320</v>
      </c>
      <c r="C1001" t="s">
        <v>6417</v>
      </c>
    </row>
    <row r="1002" spans="1:3" x14ac:dyDescent="0.25">
      <c r="A1002" t="s">
        <v>6334</v>
      </c>
      <c r="B1002" t="s">
        <v>320</v>
      </c>
      <c r="C1002" t="s">
        <v>6417</v>
      </c>
    </row>
    <row r="1003" spans="1:3" x14ac:dyDescent="0.25">
      <c r="A1003" t="s">
        <v>3787</v>
      </c>
      <c r="B1003" t="s">
        <v>320</v>
      </c>
      <c r="C1003" t="s">
        <v>6417</v>
      </c>
    </row>
    <row r="1004" spans="1:3" x14ac:dyDescent="0.25">
      <c r="A1004" t="s">
        <v>851</v>
      </c>
      <c r="B1004" t="s">
        <v>320</v>
      </c>
      <c r="C1004" t="s">
        <v>6417</v>
      </c>
    </row>
    <row r="1005" spans="1:3" x14ac:dyDescent="0.25">
      <c r="A1005" t="s">
        <v>5740</v>
      </c>
      <c r="B1005" t="s">
        <v>49</v>
      </c>
      <c r="C1005" t="s">
        <v>6417</v>
      </c>
    </row>
    <row r="1006" spans="1:3" x14ac:dyDescent="0.25">
      <c r="C1006" t="s">
        <v>6433</v>
      </c>
    </row>
  </sheetData>
  <autoFilter ref="A1:C1006" xr:uid="{78E8D867-130B-45BD-B140-CA639E1A50F8}"/>
  <sortState xmlns:xlrd2="http://schemas.microsoft.com/office/spreadsheetml/2017/richdata2" ref="I2:I20">
    <sortCondition ref="I2:I20"/>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884C2-5CE0-4756-8B71-A5477680A353}">
  <dimension ref="A1:S1747"/>
  <sheetViews>
    <sheetView topLeftCell="A1615" zoomScale="85" zoomScaleNormal="85" workbookViewId="0">
      <selection activeCell="C1639" sqref="C1639"/>
    </sheetView>
  </sheetViews>
  <sheetFormatPr defaultRowHeight="15" x14ac:dyDescent="0.25"/>
  <cols>
    <col min="1" max="1" width="5.28515625" bestFit="1" customWidth="1"/>
  </cols>
  <sheetData>
    <row r="1" spans="1:19" x14ac:dyDescent="0.25">
      <c r="A1" t="s">
        <v>3869</v>
      </c>
      <c r="B1" t="s">
        <v>0</v>
      </c>
      <c r="C1" t="s">
        <v>2</v>
      </c>
      <c r="D1" t="s">
        <v>1</v>
      </c>
      <c r="E1" t="s">
        <v>3</v>
      </c>
      <c r="F1" t="s">
        <v>2752</v>
      </c>
      <c r="G1" t="s">
        <v>2172</v>
      </c>
      <c r="H1" t="s">
        <v>2753</v>
      </c>
      <c r="I1" t="s">
        <v>746</v>
      </c>
      <c r="J1" t="s">
        <v>747</v>
      </c>
      <c r="K1" t="s">
        <v>3803</v>
      </c>
      <c r="L1" t="s">
        <v>3804</v>
      </c>
      <c r="M1" t="s">
        <v>6407</v>
      </c>
    </row>
    <row r="2" spans="1:19" x14ac:dyDescent="0.25">
      <c r="A2">
        <v>2022</v>
      </c>
      <c r="B2" t="s">
        <v>1178</v>
      </c>
      <c r="C2" t="s">
        <v>1179</v>
      </c>
      <c r="D2" t="s">
        <v>9</v>
      </c>
      <c r="E2" t="s">
        <v>54</v>
      </c>
      <c r="F2">
        <v>4500239100</v>
      </c>
      <c r="G2" t="s">
        <v>3805</v>
      </c>
      <c r="H2" t="s">
        <v>3806</v>
      </c>
      <c r="I2" t="s">
        <v>3807</v>
      </c>
      <c r="J2" t="s">
        <v>54</v>
      </c>
      <c r="K2" s="2">
        <v>40568</v>
      </c>
      <c r="L2" s="2">
        <v>40568</v>
      </c>
      <c r="M2" t="str">
        <f>IFERROR(IF(VLOOKUP(LEFT(B2,2),'Humanitarian codes'!$A$2:$A$10,1,FALSE)=LEFT(B2,2),"Yes","Error"),"No")</f>
        <v>No</v>
      </c>
    </row>
    <row r="3" spans="1:19" x14ac:dyDescent="0.25">
      <c r="A3">
        <v>2022</v>
      </c>
      <c r="B3" t="s">
        <v>1178</v>
      </c>
      <c r="C3" t="s">
        <v>1179</v>
      </c>
      <c r="D3" t="s">
        <v>9</v>
      </c>
      <c r="E3" t="s">
        <v>54</v>
      </c>
      <c r="F3">
        <v>4500239488</v>
      </c>
      <c r="G3" t="s">
        <v>3808</v>
      </c>
      <c r="H3" t="s">
        <v>3806</v>
      </c>
      <c r="I3" t="s">
        <v>3809</v>
      </c>
      <c r="J3" t="s">
        <v>54</v>
      </c>
      <c r="K3" s="2">
        <v>40568</v>
      </c>
      <c r="L3" s="2">
        <v>40568</v>
      </c>
      <c r="M3" t="str">
        <f>IFERROR(IF(VLOOKUP(LEFT(B3,2),'Humanitarian codes'!$A$2:$A$10,1,FALSE)=LEFT(B3,2),"Yes","Error"),"No")</f>
        <v>No</v>
      </c>
      <c r="S3" t="s">
        <v>3803</v>
      </c>
    </row>
    <row r="4" spans="1:19" x14ac:dyDescent="0.25">
      <c r="A4">
        <v>2022</v>
      </c>
      <c r="B4" t="s">
        <v>1178</v>
      </c>
      <c r="C4" t="s">
        <v>1179</v>
      </c>
      <c r="D4" t="s">
        <v>9</v>
      </c>
      <c r="E4" t="s">
        <v>54</v>
      </c>
      <c r="F4">
        <v>4500240362</v>
      </c>
      <c r="G4" t="s">
        <v>3810</v>
      </c>
      <c r="H4" t="s">
        <v>3806</v>
      </c>
      <c r="I4" t="s">
        <v>3811</v>
      </c>
      <c r="J4" t="s">
        <v>54</v>
      </c>
      <c r="K4" s="2">
        <v>40568</v>
      </c>
      <c r="L4" s="2">
        <v>40568</v>
      </c>
      <c r="M4" t="str">
        <f>IFERROR(IF(VLOOKUP(LEFT(B4,2),'Humanitarian codes'!$A$2:$A$10,1,FALSE)=LEFT(B4,2),"Yes","Error"),"No")</f>
        <v>No</v>
      </c>
      <c r="S4" t="s">
        <v>3804</v>
      </c>
    </row>
    <row r="5" spans="1:19" x14ac:dyDescent="0.25">
      <c r="A5">
        <v>2022</v>
      </c>
      <c r="B5" t="s">
        <v>1178</v>
      </c>
      <c r="C5" t="s">
        <v>1179</v>
      </c>
      <c r="D5" t="s">
        <v>9</v>
      </c>
      <c r="E5" t="s">
        <v>54</v>
      </c>
      <c r="F5">
        <v>4500241579</v>
      </c>
      <c r="G5" t="s">
        <v>3812</v>
      </c>
      <c r="H5" t="s">
        <v>3806</v>
      </c>
      <c r="I5" t="s">
        <v>3813</v>
      </c>
      <c r="J5" t="s">
        <v>54</v>
      </c>
      <c r="K5" s="2">
        <v>40568</v>
      </c>
      <c r="L5" s="2">
        <v>40568</v>
      </c>
      <c r="M5" t="str">
        <f>IFERROR(IF(VLOOKUP(LEFT(B5,2),'Humanitarian codes'!$A$2:$A$10,1,FALSE)=LEFT(B5,2),"Yes","Error"),"No")</f>
        <v>No</v>
      </c>
    </row>
    <row r="6" spans="1:19" x14ac:dyDescent="0.25">
      <c r="A6">
        <v>2022</v>
      </c>
      <c r="B6" t="s">
        <v>1178</v>
      </c>
      <c r="C6" t="s">
        <v>1179</v>
      </c>
      <c r="D6" t="s">
        <v>9</v>
      </c>
      <c r="E6" t="s">
        <v>54</v>
      </c>
      <c r="F6">
        <v>4500242845</v>
      </c>
      <c r="G6" t="s">
        <v>3814</v>
      </c>
      <c r="H6" t="s">
        <v>3806</v>
      </c>
      <c r="I6" t="s">
        <v>3815</v>
      </c>
      <c r="J6" t="s">
        <v>54</v>
      </c>
      <c r="K6" s="2">
        <v>40568</v>
      </c>
      <c r="L6" s="2">
        <v>40568</v>
      </c>
      <c r="M6" t="str">
        <f>IFERROR(IF(VLOOKUP(LEFT(B6,2),'Humanitarian codes'!$A$2:$A$10,1,FALSE)=LEFT(B6,2),"Yes","Error"),"No")</f>
        <v>No</v>
      </c>
      <c r="S6" t="s">
        <v>6409</v>
      </c>
    </row>
    <row r="7" spans="1:19" x14ac:dyDescent="0.25">
      <c r="A7">
        <v>2022</v>
      </c>
      <c r="B7" t="s">
        <v>1178</v>
      </c>
      <c r="C7" t="s">
        <v>1179</v>
      </c>
      <c r="D7" t="s">
        <v>9</v>
      </c>
      <c r="E7" t="s">
        <v>54</v>
      </c>
      <c r="F7">
        <v>4500243287</v>
      </c>
      <c r="G7" t="s">
        <v>3816</v>
      </c>
      <c r="H7" t="s">
        <v>3806</v>
      </c>
      <c r="I7" t="s">
        <v>3817</v>
      </c>
      <c r="J7" t="s">
        <v>54</v>
      </c>
      <c r="K7" s="2">
        <v>40080</v>
      </c>
      <c r="L7" s="2">
        <v>40080</v>
      </c>
      <c r="M7" t="str">
        <f>IFERROR(IF(VLOOKUP(LEFT(B7,2),'Humanitarian codes'!$A$2:$A$10,1,FALSE)=LEFT(B7,2),"Yes","Error"),"No")</f>
        <v>No</v>
      </c>
      <c r="S7" t="s">
        <v>6410</v>
      </c>
    </row>
    <row r="8" spans="1:19" x14ac:dyDescent="0.25">
      <c r="A8">
        <v>2022</v>
      </c>
      <c r="B8" t="s">
        <v>1178</v>
      </c>
      <c r="C8" t="s">
        <v>1179</v>
      </c>
      <c r="D8" t="s">
        <v>9</v>
      </c>
      <c r="E8" t="s">
        <v>54</v>
      </c>
      <c r="F8">
        <v>4500270675</v>
      </c>
      <c r="G8" t="s">
        <v>3818</v>
      </c>
      <c r="H8" t="s">
        <v>3806</v>
      </c>
      <c r="I8" t="s">
        <v>3819</v>
      </c>
      <c r="J8" t="s">
        <v>54</v>
      </c>
      <c r="K8" s="2">
        <v>41365</v>
      </c>
      <c r="L8" s="2">
        <v>41365</v>
      </c>
      <c r="M8" t="str">
        <f>IFERROR(IF(VLOOKUP(LEFT(B8,2),'Humanitarian codes'!$A$2:$A$10,1,FALSE)=LEFT(B8,2),"Yes","Error"),"No")</f>
        <v>No</v>
      </c>
    </row>
    <row r="9" spans="1:19" x14ac:dyDescent="0.25">
      <c r="A9">
        <v>2022</v>
      </c>
      <c r="B9" t="s">
        <v>70</v>
      </c>
      <c r="C9" t="s">
        <v>71</v>
      </c>
      <c r="D9" t="s">
        <v>30</v>
      </c>
      <c r="E9" t="s">
        <v>477</v>
      </c>
      <c r="F9">
        <v>4500243699</v>
      </c>
      <c r="G9" t="s">
        <v>3820</v>
      </c>
      <c r="H9" t="s">
        <v>3806</v>
      </c>
      <c r="I9" t="s">
        <v>744</v>
      </c>
      <c r="J9" t="s">
        <v>477</v>
      </c>
      <c r="K9" s="2">
        <v>51278</v>
      </c>
      <c r="L9" s="2">
        <v>51278</v>
      </c>
      <c r="M9" t="str">
        <f>IFERROR(IF(VLOOKUP(LEFT(B9,2),'Humanitarian codes'!$A$2:$A$10,1,FALSE)=LEFT(B9,2),"Yes","Error"),"No")</f>
        <v>Yes</v>
      </c>
    </row>
    <row r="10" spans="1:19" x14ac:dyDescent="0.25">
      <c r="A10">
        <v>2022</v>
      </c>
      <c r="B10" t="s">
        <v>70</v>
      </c>
      <c r="C10" t="s">
        <v>71</v>
      </c>
      <c r="D10" t="s">
        <v>30</v>
      </c>
      <c r="E10" t="s">
        <v>477</v>
      </c>
      <c r="F10">
        <v>4500243703</v>
      </c>
      <c r="G10" t="s">
        <v>3821</v>
      </c>
      <c r="H10" t="s">
        <v>3806</v>
      </c>
      <c r="I10" t="s">
        <v>506</v>
      </c>
      <c r="J10" t="s">
        <v>477</v>
      </c>
      <c r="K10" s="2">
        <v>26577</v>
      </c>
      <c r="L10" s="2">
        <v>26577</v>
      </c>
      <c r="M10" t="str">
        <f>IFERROR(IF(VLOOKUP(LEFT(B10,2),'Humanitarian codes'!$A$2:$A$10,1,FALSE)=LEFT(B10,2),"Yes","Error"),"No")</f>
        <v>Yes</v>
      </c>
    </row>
    <row r="11" spans="1:19" x14ac:dyDescent="0.25">
      <c r="A11">
        <v>2022</v>
      </c>
      <c r="B11" t="s">
        <v>3822</v>
      </c>
      <c r="C11" t="s">
        <v>3823</v>
      </c>
      <c r="D11" t="s">
        <v>30</v>
      </c>
      <c r="E11" t="s">
        <v>3824</v>
      </c>
      <c r="F11">
        <v>4500197484</v>
      </c>
      <c r="G11" t="s">
        <v>3825</v>
      </c>
      <c r="H11" t="s">
        <v>3806</v>
      </c>
      <c r="I11" t="s">
        <v>3826</v>
      </c>
      <c r="J11" t="s">
        <v>3824</v>
      </c>
      <c r="K11" s="2">
        <v>200000</v>
      </c>
      <c r="L11" s="2">
        <v>200000</v>
      </c>
      <c r="M11" t="str">
        <f>IFERROR(IF(VLOOKUP(LEFT(B11,2),'Humanitarian codes'!$A$2:$A$10,1,FALSE)=LEFT(B11,2),"Yes","Error"),"No")</f>
        <v>Yes</v>
      </c>
    </row>
    <row r="12" spans="1:19" x14ac:dyDescent="0.25">
      <c r="A12">
        <v>2022</v>
      </c>
      <c r="B12" t="s">
        <v>3827</v>
      </c>
      <c r="C12" t="s">
        <v>3828</v>
      </c>
      <c r="D12" t="s">
        <v>30</v>
      </c>
      <c r="E12" t="s">
        <v>305</v>
      </c>
      <c r="F12">
        <v>4500220613</v>
      </c>
      <c r="G12" t="s">
        <v>3829</v>
      </c>
      <c r="H12" t="s">
        <v>3806</v>
      </c>
      <c r="I12" t="s">
        <v>3830</v>
      </c>
      <c r="J12" t="s">
        <v>305</v>
      </c>
      <c r="K12" s="2">
        <v>110733</v>
      </c>
      <c r="L12" s="2">
        <v>510787</v>
      </c>
      <c r="M12" t="str">
        <f>IFERROR(IF(VLOOKUP(LEFT(B12,2),'Humanitarian codes'!$A$2:$A$10,1,FALSE)=LEFT(B12,2),"Yes","Error"),"No")</f>
        <v>Yes</v>
      </c>
    </row>
    <row r="13" spans="1:19" x14ac:dyDescent="0.25">
      <c r="A13">
        <v>2022</v>
      </c>
      <c r="B13" t="s">
        <v>3827</v>
      </c>
      <c r="C13" t="s">
        <v>3828</v>
      </c>
      <c r="D13" t="s">
        <v>30</v>
      </c>
      <c r="E13" t="s">
        <v>305</v>
      </c>
      <c r="F13">
        <v>4500220641</v>
      </c>
      <c r="G13" t="s">
        <v>3831</v>
      </c>
      <c r="H13" t="s">
        <v>3806</v>
      </c>
      <c r="I13" t="s">
        <v>1329</v>
      </c>
      <c r="J13" t="s">
        <v>305</v>
      </c>
      <c r="K13" s="2">
        <v>165127</v>
      </c>
      <c r="L13" s="2">
        <v>165127</v>
      </c>
      <c r="M13" t="str">
        <f>IFERROR(IF(VLOOKUP(LEFT(B13,2),'Humanitarian codes'!$A$2:$A$10,1,FALSE)=LEFT(B13,2),"Yes","Error"),"No")</f>
        <v>Yes</v>
      </c>
    </row>
    <row r="14" spans="1:19" x14ac:dyDescent="0.25">
      <c r="A14">
        <v>2022</v>
      </c>
      <c r="B14" t="s">
        <v>3328</v>
      </c>
      <c r="C14" t="s">
        <v>3329</v>
      </c>
      <c r="D14" t="s">
        <v>30</v>
      </c>
      <c r="E14" t="s">
        <v>3396</v>
      </c>
      <c r="F14">
        <v>4500267537</v>
      </c>
      <c r="G14" t="s">
        <v>3832</v>
      </c>
      <c r="H14" t="s">
        <v>3806</v>
      </c>
      <c r="I14" t="s">
        <v>3833</v>
      </c>
      <c r="J14" t="s">
        <v>3396</v>
      </c>
      <c r="K14" s="2">
        <v>12111</v>
      </c>
      <c r="L14" s="2">
        <v>141085</v>
      </c>
      <c r="M14" t="str">
        <f>IFERROR(IF(VLOOKUP(LEFT(B14,2),'Humanitarian codes'!$A$2:$A$10,1,FALSE)=LEFT(B14,2),"Yes","Error"),"No")</f>
        <v>Yes</v>
      </c>
    </row>
    <row r="15" spans="1:19" x14ac:dyDescent="0.25">
      <c r="A15">
        <v>2022</v>
      </c>
      <c r="B15" t="s">
        <v>3328</v>
      </c>
      <c r="C15" t="s">
        <v>3329</v>
      </c>
      <c r="D15" t="s">
        <v>30</v>
      </c>
      <c r="E15" t="s">
        <v>305</v>
      </c>
      <c r="F15">
        <v>4500220613</v>
      </c>
      <c r="G15" t="s">
        <v>3829</v>
      </c>
      <c r="H15" t="s">
        <v>3806</v>
      </c>
      <c r="I15" t="s">
        <v>3830</v>
      </c>
      <c r="J15" t="s">
        <v>305</v>
      </c>
      <c r="K15" s="2">
        <v>380051</v>
      </c>
      <c r="L15" s="2">
        <v>510787</v>
      </c>
      <c r="M15" t="str">
        <f>IFERROR(IF(VLOOKUP(LEFT(B15,2),'Humanitarian codes'!$A$2:$A$10,1,FALSE)=LEFT(B15,2),"Yes","Error"),"No")</f>
        <v>Yes</v>
      </c>
    </row>
    <row r="16" spans="1:19" x14ac:dyDescent="0.25">
      <c r="A16">
        <v>2022</v>
      </c>
      <c r="B16" t="s">
        <v>74</v>
      </c>
      <c r="C16" t="s">
        <v>75</v>
      </c>
      <c r="D16" t="s">
        <v>30</v>
      </c>
      <c r="E16" t="s">
        <v>305</v>
      </c>
      <c r="F16">
        <v>4500220613</v>
      </c>
      <c r="G16" t="s">
        <v>3829</v>
      </c>
      <c r="H16" t="s">
        <v>3806</v>
      </c>
      <c r="I16" t="s">
        <v>3830</v>
      </c>
      <c r="J16" t="s">
        <v>305</v>
      </c>
      <c r="K16" s="2">
        <v>20003</v>
      </c>
      <c r="L16" s="2">
        <v>510787</v>
      </c>
      <c r="M16" t="str">
        <f>IFERROR(IF(VLOOKUP(LEFT(B16,2),'Humanitarian codes'!$A$2:$A$10,1,FALSE)=LEFT(B16,2),"Yes","Error"),"No")</f>
        <v>Yes</v>
      </c>
    </row>
    <row r="17" spans="1:13" x14ac:dyDescent="0.25">
      <c r="A17">
        <v>2022</v>
      </c>
      <c r="B17" t="s">
        <v>2056</v>
      </c>
      <c r="C17" t="s">
        <v>2057</v>
      </c>
      <c r="D17" t="s">
        <v>30</v>
      </c>
      <c r="E17" t="s">
        <v>261</v>
      </c>
      <c r="F17">
        <v>4500224170</v>
      </c>
      <c r="G17" t="s">
        <v>3834</v>
      </c>
      <c r="H17" t="s">
        <v>3806</v>
      </c>
      <c r="I17" t="s">
        <v>3835</v>
      </c>
      <c r="J17" t="s">
        <v>261</v>
      </c>
      <c r="K17" s="2">
        <v>85268</v>
      </c>
      <c r="L17" s="2">
        <v>103526</v>
      </c>
      <c r="M17" t="str">
        <f>IFERROR(IF(VLOOKUP(LEFT(B17,2),'Humanitarian codes'!$A$2:$A$10,1,FALSE)=LEFT(B17,2),"Yes","Error"),"No")</f>
        <v>No</v>
      </c>
    </row>
    <row r="18" spans="1:13" x14ac:dyDescent="0.25">
      <c r="A18">
        <v>2022</v>
      </c>
      <c r="B18" t="s">
        <v>3836</v>
      </c>
      <c r="C18" t="s">
        <v>3837</v>
      </c>
      <c r="D18" t="s">
        <v>30</v>
      </c>
      <c r="E18" t="s">
        <v>261</v>
      </c>
      <c r="F18">
        <v>4500205288</v>
      </c>
      <c r="G18" t="s">
        <v>3838</v>
      </c>
      <c r="H18" t="s">
        <v>3806</v>
      </c>
      <c r="I18" t="s">
        <v>3839</v>
      </c>
      <c r="J18" t="s">
        <v>261</v>
      </c>
      <c r="K18" s="2">
        <v>56639</v>
      </c>
      <c r="L18" s="2">
        <v>56639</v>
      </c>
      <c r="M18" t="str">
        <f>IFERROR(IF(VLOOKUP(LEFT(B18,2),'Humanitarian codes'!$A$2:$A$10,1,FALSE)=LEFT(B18,2),"Yes","Error"),"No")</f>
        <v>No</v>
      </c>
    </row>
    <row r="19" spans="1:13" x14ac:dyDescent="0.25">
      <c r="A19">
        <v>2022</v>
      </c>
      <c r="B19" t="s">
        <v>3836</v>
      </c>
      <c r="C19" t="s">
        <v>3837</v>
      </c>
      <c r="D19" t="s">
        <v>30</v>
      </c>
      <c r="E19" t="s">
        <v>261</v>
      </c>
      <c r="F19">
        <v>4500224170</v>
      </c>
      <c r="G19" t="s">
        <v>3834</v>
      </c>
      <c r="H19" t="s">
        <v>3806</v>
      </c>
      <c r="I19" t="s">
        <v>3835</v>
      </c>
      <c r="J19" t="s">
        <v>261</v>
      </c>
      <c r="K19" s="2">
        <v>18258</v>
      </c>
      <c r="L19" s="2">
        <v>103526</v>
      </c>
      <c r="M19" t="str">
        <f>IFERROR(IF(VLOOKUP(LEFT(B19,2),'Humanitarian codes'!$A$2:$A$10,1,FALSE)=LEFT(B19,2),"Yes","Error"),"No")</f>
        <v>No</v>
      </c>
    </row>
    <row r="20" spans="1:13" x14ac:dyDescent="0.25">
      <c r="A20">
        <v>2022</v>
      </c>
      <c r="B20" t="s">
        <v>3637</v>
      </c>
      <c r="C20" t="s">
        <v>3638</v>
      </c>
      <c r="D20" t="s">
        <v>30</v>
      </c>
      <c r="E20" t="s">
        <v>814</v>
      </c>
      <c r="F20">
        <v>4500208527</v>
      </c>
      <c r="G20" t="s">
        <v>3840</v>
      </c>
      <c r="H20" t="s">
        <v>3806</v>
      </c>
      <c r="I20" t="s">
        <v>3841</v>
      </c>
      <c r="J20" t="s">
        <v>3842</v>
      </c>
      <c r="K20" s="2">
        <v>42880</v>
      </c>
      <c r="L20" s="2">
        <v>42880</v>
      </c>
      <c r="M20" t="str">
        <f>IFERROR(IF(VLOOKUP(LEFT(B20,2),'Humanitarian codes'!$A$2:$A$10,1,FALSE)=LEFT(B20,2),"Yes","Error"),"No")</f>
        <v>No</v>
      </c>
    </row>
    <row r="21" spans="1:13" x14ac:dyDescent="0.25">
      <c r="A21">
        <v>2022</v>
      </c>
      <c r="B21" t="s">
        <v>3843</v>
      </c>
      <c r="C21" t="s">
        <v>3844</v>
      </c>
      <c r="D21" t="s">
        <v>543</v>
      </c>
      <c r="E21" t="s">
        <v>226</v>
      </c>
      <c r="F21">
        <v>4500199799</v>
      </c>
      <c r="G21" t="s">
        <v>3845</v>
      </c>
      <c r="H21" t="s">
        <v>3806</v>
      </c>
      <c r="I21" t="s">
        <v>3846</v>
      </c>
      <c r="J21" t="s">
        <v>226</v>
      </c>
      <c r="K21" s="2">
        <v>57062</v>
      </c>
      <c r="L21" s="2">
        <v>57062</v>
      </c>
      <c r="M21" t="str">
        <f>IFERROR(IF(VLOOKUP(LEFT(B21,2),'Humanitarian codes'!$A$2:$A$10,1,FALSE)=LEFT(B21,2),"Yes","Error"),"No")</f>
        <v>No</v>
      </c>
    </row>
    <row r="22" spans="1:13" x14ac:dyDescent="0.25">
      <c r="A22">
        <v>2022</v>
      </c>
      <c r="B22" t="s">
        <v>3843</v>
      </c>
      <c r="C22" t="s">
        <v>3844</v>
      </c>
      <c r="D22" t="s">
        <v>543</v>
      </c>
      <c r="E22" t="s">
        <v>226</v>
      </c>
      <c r="F22">
        <v>4500199807</v>
      </c>
      <c r="G22" t="s">
        <v>3847</v>
      </c>
      <c r="H22" t="s">
        <v>3806</v>
      </c>
      <c r="I22" t="s">
        <v>3848</v>
      </c>
      <c r="J22" t="s">
        <v>226</v>
      </c>
      <c r="K22" s="2">
        <v>70714</v>
      </c>
      <c r="L22" s="2">
        <v>70714</v>
      </c>
      <c r="M22" t="str">
        <f>IFERROR(IF(VLOOKUP(LEFT(B22,2),'Humanitarian codes'!$A$2:$A$10,1,FALSE)=LEFT(B22,2),"Yes","Error"),"No")</f>
        <v>No</v>
      </c>
    </row>
    <row r="23" spans="1:13" x14ac:dyDescent="0.25">
      <c r="A23">
        <v>2022</v>
      </c>
      <c r="B23" t="s">
        <v>3849</v>
      </c>
      <c r="C23" t="s">
        <v>3850</v>
      </c>
      <c r="D23" t="s">
        <v>466</v>
      </c>
      <c r="E23" t="s">
        <v>798</v>
      </c>
      <c r="F23">
        <v>4500210877</v>
      </c>
      <c r="G23" t="s">
        <v>3851</v>
      </c>
      <c r="H23" t="s">
        <v>3806</v>
      </c>
      <c r="I23" t="s">
        <v>3852</v>
      </c>
      <c r="J23" t="s">
        <v>798</v>
      </c>
      <c r="K23" s="2">
        <v>17118</v>
      </c>
      <c r="L23" s="2">
        <v>17118</v>
      </c>
      <c r="M23" t="str">
        <f>IFERROR(IF(VLOOKUP(LEFT(B23,2),'Humanitarian codes'!$A$2:$A$10,1,FALSE)=LEFT(B23,2),"Yes","Error"),"No")</f>
        <v>No</v>
      </c>
    </row>
    <row r="24" spans="1:13" x14ac:dyDescent="0.25">
      <c r="A24">
        <v>2022</v>
      </c>
      <c r="B24" t="s">
        <v>3706</v>
      </c>
      <c r="C24" t="s">
        <v>3707</v>
      </c>
      <c r="D24" t="s">
        <v>30</v>
      </c>
      <c r="E24" t="s">
        <v>261</v>
      </c>
      <c r="F24">
        <v>4500266698</v>
      </c>
      <c r="G24" t="s">
        <v>3853</v>
      </c>
      <c r="H24" t="s">
        <v>3806</v>
      </c>
      <c r="I24" t="s">
        <v>3854</v>
      </c>
      <c r="J24" t="s">
        <v>261</v>
      </c>
      <c r="K24" s="2">
        <v>39073</v>
      </c>
      <c r="L24" s="2">
        <v>39073</v>
      </c>
      <c r="M24" t="str">
        <f>IFERROR(IF(VLOOKUP(LEFT(B24,2),'Humanitarian codes'!$A$2:$A$10,1,FALSE)=LEFT(B24,2),"Yes","Error"),"No")</f>
        <v>No</v>
      </c>
    </row>
    <row r="25" spans="1:13" x14ac:dyDescent="0.25">
      <c r="A25">
        <v>2022</v>
      </c>
      <c r="B25" t="s">
        <v>3706</v>
      </c>
      <c r="C25" t="s">
        <v>3707</v>
      </c>
      <c r="D25" t="s">
        <v>30</v>
      </c>
      <c r="E25" t="s">
        <v>261</v>
      </c>
      <c r="F25">
        <v>4500269297</v>
      </c>
      <c r="G25" t="s">
        <v>3855</v>
      </c>
      <c r="H25" t="s">
        <v>3806</v>
      </c>
      <c r="I25" t="s">
        <v>3856</v>
      </c>
      <c r="J25" t="s">
        <v>261</v>
      </c>
      <c r="K25" s="2">
        <v>66221</v>
      </c>
      <c r="L25" s="2">
        <v>66221</v>
      </c>
      <c r="M25" t="str">
        <f>IFERROR(IF(VLOOKUP(LEFT(B25,2),'Humanitarian codes'!$A$2:$A$10,1,FALSE)=LEFT(B25,2),"Yes","Error"),"No")</f>
        <v>No</v>
      </c>
    </row>
    <row r="26" spans="1:13" x14ac:dyDescent="0.25">
      <c r="A26">
        <v>2022</v>
      </c>
      <c r="B26" t="s">
        <v>3706</v>
      </c>
      <c r="C26" t="s">
        <v>3707</v>
      </c>
      <c r="D26" t="s">
        <v>30</v>
      </c>
      <c r="E26" t="s">
        <v>261</v>
      </c>
      <c r="F26">
        <v>4500273054</v>
      </c>
      <c r="G26" t="s">
        <v>3857</v>
      </c>
      <c r="H26" t="s">
        <v>3806</v>
      </c>
      <c r="I26" t="s">
        <v>3858</v>
      </c>
      <c r="J26" t="s">
        <v>261</v>
      </c>
      <c r="K26" s="2">
        <v>70781</v>
      </c>
      <c r="L26" s="2">
        <v>70781</v>
      </c>
      <c r="M26" t="str">
        <f>IFERROR(IF(VLOOKUP(LEFT(B26,2),'Humanitarian codes'!$A$2:$A$10,1,FALSE)=LEFT(B26,2),"Yes","Error"),"No")</f>
        <v>No</v>
      </c>
    </row>
    <row r="27" spans="1:13" x14ac:dyDescent="0.25">
      <c r="A27">
        <v>2022</v>
      </c>
      <c r="B27" t="s">
        <v>2118</v>
      </c>
      <c r="C27" t="s">
        <v>2119</v>
      </c>
      <c r="D27" t="s">
        <v>30</v>
      </c>
      <c r="E27" t="s">
        <v>128</v>
      </c>
      <c r="F27">
        <v>4500267300</v>
      </c>
      <c r="G27" t="s">
        <v>3859</v>
      </c>
      <c r="H27" t="s">
        <v>3806</v>
      </c>
      <c r="I27" t="s">
        <v>3860</v>
      </c>
      <c r="J27" t="s">
        <v>128</v>
      </c>
      <c r="K27" s="2">
        <v>40000</v>
      </c>
      <c r="L27" s="2">
        <v>40000</v>
      </c>
      <c r="M27" t="str">
        <f>IFERROR(IF(VLOOKUP(LEFT(B27,2),'Humanitarian codes'!$A$2:$A$10,1,FALSE)=LEFT(B27,2),"Yes","Error"),"No")</f>
        <v>No</v>
      </c>
    </row>
    <row r="28" spans="1:13" x14ac:dyDescent="0.25">
      <c r="A28">
        <v>2022</v>
      </c>
      <c r="B28" t="s">
        <v>3861</v>
      </c>
      <c r="C28" t="s">
        <v>3862</v>
      </c>
      <c r="D28" t="s">
        <v>543</v>
      </c>
      <c r="E28" t="s">
        <v>3396</v>
      </c>
      <c r="F28">
        <v>4500267537</v>
      </c>
      <c r="G28" t="s">
        <v>3832</v>
      </c>
      <c r="H28" t="s">
        <v>3806</v>
      </c>
      <c r="I28" t="s">
        <v>3833</v>
      </c>
      <c r="J28" t="s">
        <v>3396</v>
      </c>
      <c r="K28" s="2">
        <v>128974</v>
      </c>
      <c r="L28" s="2">
        <v>141085</v>
      </c>
      <c r="M28" t="str">
        <f>IFERROR(IF(VLOOKUP(LEFT(B28,2),'Humanitarian codes'!$A$2:$A$10,1,FALSE)=LEFT(B28,2),"Yes","Error"),"No")</f>
        <v>No</v>
      </c>
    </row>
    <row r="29" spans="1:13" x14ac:dyDescent="0.25">
      <c r="A29">
        <v>2022</v>
      </c>
      <c r="B29" t="s">
        <v>2132</v>
      </c>
      <c r="C29" t="s">
        <v>2133</v>
      </c>
      <c r="D29" t="s">
        <v>543</v>
      </c>
      <c r="E29" t="s">
        <v>798</v>
      </c>
      <c r="F29">
        <v>4500199500</v>
      </c>
      <c r="G29" t="s">
        <v>3863</v>
      </c>
      <c r="H29" t="s">
        <v>3806</v>
      </c>
      <c r="I29" t="s">
        <v>3864</v>
      </c>
      <c r="J29" t="s">
        <v>798</v>
      </c>
      <c r="K29" s="2">
        <v>40440</v>
      </c>
      <c r="L29" s="2">
        <v>40440</v>
      </c>
      <c r="M29" t="str">
        <f>IFERROR(IF(VLOOKUP(LEFT(B29,2),'Humanitarian codes'!$A$2:$A$10,1,FALSE)=LEFT(B29,2),"Yes","Error"),"No")</f>
        <v>No</v>
      </c>
    </row>
    <row r="30" spans="1:13" x14ac:dyDescent="0.25">
      <c r="A30">
        <v>2022</v>
      </c>
      <c r="B30" t="s">
        <v>3865</v>
      </c>
      <c r="C30" t="s">
        <v>3866</v>
      </c>
      <c r="D30" t="s">
        <v>30</v>
      </c>
      <c r="E30" t="s">
        <v>504</v>
      </c>
      <c r="F30">
        <v>4500266464</v>
      </c>
      <c r="G30" t="s">
        <v>3867</v>
      </c>
      <c r="H30" t="s">
        <v>3806</v>
      </c>
      <c r="I30" t="s">
        <v>1855</v>
      </c>
      <c r="J30" t="s">
        <v>504</v>
      </c>
      <c r="K30" s="2">
        <v>61075</v>
      </c>
      <c r="L30" s="2">
        <v>61075</v>
      </c>
      <c r="M30" t="str">
        <f>IFERROR(IF(VLOOKUP(LEFT(B30,2),'Humanitarian codes'!$A$2:$A$10,1,FALSE)=LEFT(B30,2),"Yes","Error"),"No")</f>
        <v>Yes</v>
      </c>
    </row>
    <row r="31" spans="1:13" x14ac:dyDescent="0.25">
      <c r="A31">
        <v>2022</v>
      </c>
      <c r="B31" t="s">
        <v>3865</v>
      </c>
      <c r="C31" t="s">
        <v>3866</v>
      </c>
      <c r="D31" t="s">
        <v>30</v>
      </c>
      <c r="E31" t="s">
        <v>504</v>
      </c>
      <c r="F31">
        <v>4500266466</v>
      </c>
      <c r="G31" t="s">
        <v>3868</v>
      </c>
      <c r="H31" t="s">
        <v>3806</v>
      </c>
      <c r="I31" t="s">
        <v>1854</v>
      </c>
      <c r="J31" t="s">
        <v>504</v>
      </c>
      <c r="K31" s="2">
        <v>54310</v>
      </c>
      <c r="L31" s="2">
        <v>54310</v>
      </c>
      <c r="M31" t="str">
        <f>IFERROR(IF(VLOOKUP(LEFT(B31,2),'Humanitarian codes'!$A$2:$A$10,1,FALSE)=LEFT(B31,2),"Yes","Error"),"No")</f>
        <v>Yes</v>
      </c>
    </row>
    <row r="32" spans="1:13" x14ac:dyDescent="0.25">
      <c r="A32">
        <v>2022</v>
      </c>
      <c r="B32" t="s">
        <v>1169</v>
      </c>
      <c r="C32" t="s">
        <v>1170</v>
      </c>
      <c r="D32" t="s">
        <v>30</v>
      </c>
      <c r="E32" t="s">
        <v>649</v>
      </c>
      <c r="F32">
        <v>4500188007</v>
      </c>
      <c r="G32" t="s">
        <v>3870</v>
      </c>
      <c r="H32" t="s">
        <v>3334</v>
      </c>
      <c r="I32" t="s">
        <v>156</v>
      </c>
      <c r="J32" t="s">
        <v>649</v>
      </c>
      <c r="K32" s="2">
        <v>4874288</v>
      </c>
      <c r="L32" s="2">
        <v>4874288</v>
      </c>
      <c r="M32" t="str">
        <f>IFERROR(IF(VLOOKUP(LEFT(B32,2),'Humanitarian codes'!$A$2:$A$10,1,FALSE)=LEFT(B32,2),"Yes","Error"),"No")</f>
        <v>Yes</v>
      </c>
    </row>
    <row r="33" spans="1:13" x14ac:dyDescent="0.25">
      <c r="A33">
        <v>2022</v>
      </c>
      <c r="B33" t="s">
        <v>1169</v>
      </c>
      <c r="C33" t="s">
        <v>1170</v>
      </c>
      <c r="D33" t="s">
        <v>30</v>
      </c>
      <c r="E33" t="s">
        <v>649</v>
      </c>
      <c r="F33">
        <v>4500190099</v>
      </c>
      <c r="G33" t="s">
        <v>3871</v>
      </c>
      <c r="H33" t="s">
        <v>3334</v>
      </c>
      <c r="I33" t="s">
        <v>1095</v>
      </c>
      <c r="J33" t="s">
        <v>649</v>
      </c>
      <c r="K33" s="2">
        <v>2118166</v>
      </c>
      <c r="L33" s="2">
        <v>2118166</v>
      </c>
      <c r="M33" t="str">
        <f>IFERROR(IF(VLOOKUP(LEFT(B33,2),'Humanitarian codes'!$A$2:$A$10,1,FALSE)=LEFT(B33,2),"Yes","Error"),"No")</f>
        <v>Yes</v>
      </c>
    </row>
    <row r="34" spans="1:13" x14ac:dyDescent="0.25">
      <c r="A34">
        <v>2022</v>
      </c>
      <c r="B34" t="s">
        <v>1169</v>
      </c>
      <c r="C34" t="s">
        <v>1170</v>
      </c>
      <c r="D34" t="s">
        <v>30</v>
      </c>
      <c r="E34" t="s">
        <v>649</v>
      </c>
      <c r="F34">
        <v>4500190777</v>
      </c>
      <c r="G34" t="s">
        <v>3872</v>
      </c>
      <c r="H34" t="s">
        <v>3334</v>
      </c>
      <c r="I34" t="s">
        <v>3873</v>
      </c>
      <c r="J34" t="s">
        <v>649</v>
      </c>
      <c r="K34" s="2">
        <v>534823</v>
      </c>
      <c r="L34" s="2">
        <v>534823</v>
      </c>
      <c r="M34" t="str">
        <f>IFERROR(IF(VLOOKUP(LEFT(B34,2),'Humanitarian codes'!$A$2:$A$10,1,FALSE)=LEFT(B34,2),"Yes","Error"),"No")</f>
        <v>Yes</v>
      </c>
    </row>
    <row r="35" spans="1:13" x14ac:dyDescent="0.25">
      <c r="A35">
        <v>2022</v>
      </c>
      <c r="B35" t="s">
        <v>1169</v>
      </c>
      <c r="C35" t="s">
        <v>1170</v>
      </c>
      <c r="D35" t="s">
        <v>30</v>
      </c>
      <c r="E35" t="s">
        <v>649</v>
      </c>
      <c r="F35">
        <v>4500202512</v>
      </c>
      <c r="G35" t="s">
        <v>3874</v>
      </c>
      <c r="H35" t="s">
        <v>3334</v>
      </c>
      <c r="I35" t="s">
        <v>1597</v>
      </c>
      <c r="J35" t="s">
        <v>649</v>
      </c>
      <c r="K35" s="2">
        <v>58364</v>
      </c>
      <c r="L35" s="2">
        <v>58364</v>
      </c>
      <c r="M35" t="str">
        <f>IFERROR(IF(VLOOKUP(LEFT(B35,2),'Humanitarian codes'!$A$2:$A$10,1,FALSE)=LEFT(B35,2),"Yes","Error"),"No")</f>
        <v>Yes</v>
      </c>
    </row>
    <row r="36" spans="1:13" x14ac:dyDescent="0.25">
      <c r="A36">
        <v>2022</v>
      </c>
      <c r="B36" t="s">
        <v>1169</v>
      </c>
      <c r="C36" t="s">
        <v>1170</v>
      </c>
      <c r="D36" t="s">
        <v>30</v>
      </c>
      <c r="E36" t="s">
        <v>649</v>
      </c>
      <c r="F36">
        <v>4500215145</v>
      </c>
      <c r="G36" t="s">
        <v>3875</v>
      </c>
      <c r="H36" t="s">
        <v>3334</v>
      </c>
      <c r="I36" t="s">
        <v>3876</v>
      </c>
      <c r="J36" t="s">
        <v>649</v>
      </c>
      <c r="K36" s="2">
        <v>932123</v>
      </c>
      <c r="L36" s="2">
        <v>932123</v>
      </c>
      <c r="M36" t="str">
        <f>IFERROR(IF(VLOOKUP(LEFT(B36,2),'Humanitarian codes'!$A$2:$A$10,1,FALSE)=LEFT(B36,2),"Yes","Error"),"No")</f>
        <v>Yes</v>
      </c>
    </row>
    <row r="37" spans="1:13" x14ac:dyDescent="0.25">
      <c r="A37">
        <v>2022</v>
      </c>
      <c r="B37" t="s">
        <v>1169</v>
      </c>
      <c r="C37" t="s">
        <v>1170</v>
      </c>
      <c r="D37" t="s">
        <v>30</v>
      </c>
      <c r="E37" t="s">
        <v>649</v>
      </c>
      <c r="F37">
        <v>4500225991</v>
      </c>
      <c r="G37" t="s">
        <v>3877</v>
      </c>
      <c r="H37" t="s">
        <v>3334</v>
      </c>
      <c r="I37" t="s">
        <v>3878</v>
      </c>
      <c r="J37" t="s">
        <v>1126</v>
      </c>
      <c r="K37" s="2">
        <v>1096435</v>
      </c>
      <c r="L37" s="2">
        <v>1096435</v>
      </c>
      <c r="M37" t="str">
        <f>IFERROR(IF(VLOOKUP(LEFT(B37,2),'Humanitarian codes'!$A$2:$A$10,1,FALSE)=LEFT(B37,2),"Yes","Error"),"No")</f>
        <v>Yes</v>
      </c>
    </row>
    <row r="38" spans="1:13" x14ac:dyDescent="0.25">
      <c r="A38">
        <v>2022</v>
      </c>
      <c r="B38" t="s">
        <v>3879</v>
      </c>
      <c r="C38" t="s">
        <v>3880</v>
      </c>
      <c r="D38" t="s">
        <v>30</v>
      </c>
      <c r="E38" t="s">
        <v>132</v>
      </c>
      <c r="F38">
        <v>4500271985</v>
      </c>
      <c r="G38" t="s">
        <v>3881</v>
      </c>
      <c r="H38" t="s">
        <v>3334</v>
      </c>
      <c r="I38" t="s">
        <v>1735</v>
      </c>
      <c r="J38" t="s">
        <v>132</v>
      </c>
      <c r="K38" s="2">
        <v>150000</v>
      </c>
      <c r="L38" s="2">
        <v>150000</v>
      </c>
      <c r="M38" t="str">
        <f>IFERROR(IF(VLOOKUP(LEFT(B38,2),'Humanitarian codes'!$A$2:$A$10,1,FALSE)=LEFT(B38,2),"Yes","Error"),"No")</f>
        <v>Yes</v>
      </c>
    </row>
    <row r="39" spans="1:13" x14ac:dyDescent="0.25">
      <c r="A39">
        <v>2022</v>
      </c>
      <c r="B39" t="s">
        <v>3882</v>
      </c>
      <c r="C39" t="s">
        <v>3883</v>
      </c>
      <c r="D39" t="s">
        <v>30</v>
      </c>
      <c r="E39" t="s">
        <v>159</v>
      </c>
      <c r="F39">
        <v>4500192758</v>
      </c>
      <c r="G39" t="s">
        <v>3884</v>
      </c>
      <c r="H39" t="s">
        <v>3334</v>
      </c>
      <c r="I39" t="s">
        <v>3885</v>
      </c>
      <c r="J39" t="s">
        <v>159</v>
      </c>
      <c r="K39" s="2">
        <v>10000</v>
      </c>
      <c r="L39" s="2">
        <v>10000</v>
      </c>
      <c r="M39" t="str">
        <f>IFERROR(IF(VLOOKUP(LEFT(B39,2),'Humanitarian codes'!$A$2:$A$10,1,FALSE)=LEFT(B39,2),"Yes","Error"),"No")</f>
        <v>Yes</v>
      </c>
    </row>
    <row r="40" spans="1:13" x14ac:dyDescent="0.25">
      <c r="A40">
        <v>2022</v>
      </c>
      <c r="B40" t="s">
        <v>3882</v>
      </c>
      <c r="C40" t="s">
        <v>3883</v>
      </c>
      <c r="D40" t="s">
        <v>30</v>
      </c>
      <c r="E40" t="s">
        <v>159</v>
      </c>
      <c r="F40">
        <v>4500193048</v>
      </c>
      <c r="G40" t="s">
        <v>3886</v>
      </c>
      <c r="H40" t="s">
        <v>3334</v>
      </c>
      <c r="I40" t="s">
        <v>3887</v>
      </c>
      <c r="J40" t="s">
        <v>159</v>
      </c>
      <c r="K40" s="2">
        <v>30000</v>
      </c>
      <c r="L40" s="2">
        <v>30000</v>
      </c>
      <c r="M40" t="str">
        <f>IFERROR(IF(VLOOKUP(LEFT(B40,2),'Humanitarian codes'!$A$2:$A$10,1,FALSE)=LEFT(B40,2),"Yes","Error"),"No")</f>
        <v>Yes</v>
      </c>
    </row>
    <row r="41" spans="1:13" x14ac:dyDescent="0.25">
      <c r="A41">
        <v>2022</v>
      </c>
      <c r="B41" t="s">
        <v>3882</v>
      </c>
      <c r="C41" t="s">
        <v>3883</v>
      </c>
      <c r="D41" t="s">
        <v>30</v>
      </c>
      <c r="E41" t="s">
        <v>159</v>
      </c>
      <c r="F41">
        <v>4500193381</v>
      </c>
      <c r="G41" t="s">
        <v>3886</v>
      </c>
      <c r="H41" t="s">
        <v>3334</v>
      </c>
      <c r="I41" t="s">
        <v>3887</v>
      </c>
      <c r="J41" t="s">
        <v>159</v>
      </c>
      <c r="K41" s="2">
        <v>50000</v>
      </c>
      <c r="L41" s="2">
        <v>50000</v>
      </c>
      <c r="M41" t="str">
        <f>IFERROR(IF(VLOOKUP(LEFT(B41,2),'Humanitarian codes'!$A$2:$A$10,1,FALSE)=LEFT(B41,2),"Yes","Error"),"No")</f>
        <v>Yes</v>
      </c>
    </row>
    <row r="42" spans="1:13" x14ac:dyDescent="0.25">
      <c r="A42">
        <v>2022</v>
      </c>
      <c r="B42" t="s">
        <v>3882</v>
      </c>
      <c r="C42" t="s">
        <v>3883</v>
      </c>
      <c r="D42" t="s">
        <v>30</v>
      </c>
      <c r="E42" t="s">
        <v>159</v>
      </c>
      <c r="F42">
        <v>4500193465</v>
      </c>
      <c r="G42" t="s">
        <v>3888</v>
      </c>
      <c r="H42" t="s">
        <v>3334</v>
      </c>
      <c r="I42" t="s">
        <v>3889</v>
      </c>
      <c r="J42" t="s">
        <v>159</v>
      </c>
      <c r="K42" s="2">
        <v>50000</v>
      </c>
      <c r="L42" s="2">
        <v>50000</v>
      </c>
      <c r="M42" t="str">
        <f>IFERROR(IF(VLOOKUP(LEFT(B42,2),'Humanitarian codes'!$A$2:$A$10,1,FALSE)=LEFT(B42,2),"Yes","Error"),"No")</f>
        <v>Yes</v>
      </c>
    </row>
    <row r="43" spans="1:13" x14ac:dyDescent="0.25">
      <c r="A43">
        <v>2022</v>
      </c>
      <c r="B43" t="s">
        <v>3882</v>
      </c>
      <c r="C43" t="s">
        <v>3883</v>
      </c>
      <c r="D43" t="s">
        <v>30</v>
      </c>
      <c r="E43" t="s">
        <v>159</v>
      </c>
      <c r="F43">
        <v>4500193466</v>
      </c>
      <c r="G43" t="s">
        <v>3890</v>
      </c>
      <c r="H43" t="s">
        <v>3334</v>
      </c>
      <c r="I43" t="s">
        <v>3891</v>
      </c>
      <c r="J43" t="s">
        <v>159</v>
      </c>
      <c r="K43" s="2">
        <v>30000</v>
      </c>
      <c r="L43" s="2">
        <v>30000</v>
      </c>
      <c r="M43" t="str">
        <f>IFERROR(IF(VLOOKUP(LEFT(B43,2),'Humanitarian codes'!$A$2:$A$10,1,FALSE)=LEFT(B43,2),"Yes","Error"),"No")</f>
        <v>Yes</v>
      </c>
    </row>
    <row r="44" spans="1:13" x14ac:dyDescent="0.25">
      <c r="A44">
        <v>2022</v>
      </c>
      <c r="B44" t="s">
        <v>3892</v>
      </c>
      <c r="C44" t="s">
        <v>3893</v>
      </c>
      <c r="D44" t="s">
        <v>30</v>
      </c>
      <c r="E44" t="s">
        <v>132</v>
      </c>
      <c r="F44">
        <v>4500247265</v>
      </c>
      <c r="G44" t="s">
        <v>3894</v>
      </c>
      <c r="H44" t="s">
        <v>3334</v>
      </c>
      <c r="I44" t="s">
        <v>3895</v>
      </c>
      <c r="J44" t="s">
        <v>132</v>
      </c>
      <c r="K44" s="2">
        <v>1098</v>
      </c>
      <c r="L44" s="2">
        <v>1098</v>
      </c>
      <c r="M44" t="str">
        <f>IFERROR(IF(VLOOKUP(LEFT(B44,2),'Humanitarian codes'!$A$2:$A$10,1,FALSE)=LEFT(B44,2),"Yes","Error"),"No")</f>
        <v>Yes</v>
      </c>
    </row>
    <row r="45" spans="1:13" x14ac:dyDescent="0.25">
      <c r="A45">
        <v>2022</v>
      </c>
      <c r="B45" t="s">
        <v>3896</v>
      </c>
      <c r="C45" t="s">
        <v>3897</v>
      </c>
      <c r="D45" t="s">
        <v>30</v>
      </c>
      <c r="E45" t="s">
        <v>717</v>
      </c>
      <c r="F45">
        <v>4500189328</v>
      </c>
      <c r="G45" t="s">
        <v>3898</v>
      </c>
      <c r="H45" t="s">
        <v>3334</v>
      </c>
      <c r="I45" t="s">
        <v>720</v>
      </c>
      <c r="J45" t="s">
        <v>717</v>
      </c>
      <c r="K45" s="2">
        <v>54072</v>
      </c>
      <c r="L45" s="2">
        <v>54072</v>
      </c>
      <c r="M45" t="str">
        <f>IFERROR(IF(VLOOKUP(LEFT(B45,2),'Humanitarian codes'!$A$2:$A$10,1,FALSE)=LEFT(B45,2),"Yes","Error"),"No")</f>
        <v>Yes</v>
      </c>
    </row>
    <row r="46" spans="1:13" x14ac:dyDescent="0.25">
      <c r="A46">
        <v>2022</v>
      </c>
      <c r="B46" t="s">
        <v>3896</v>
      </c>
      <c r="C46" t="s">
        <v>3897</v>
      </c>
      <c r="D46" t="s">
        <v>30</v>
      </c>
      <c r="E46" t="s">
        <v>717</v>
      </c>
      <c r="F46">
        <v>4500196034</v>
      </c>
      <c r="G46" t="s">
        <v>3899</v>
      </c>
      <c r="H46" t="s">
        <v>3334</v>
      </c>
      <c r="I46" t="s">
        <v>3900</v>
      </c>
      <c r="J46" t="s">
        <v>717</v>
      </c>
      <c r="K46" s="2">
        <v>299977</v>
      </c>
      <c r="L46" s="2">
        <v>351673</v>
      </c>
      <c r="M46" t="str">
        <f>IFERROR(IF(VLOOKUP(LEFT(B46,2),'Humanitarian codes'!$A$2:$A$10,1,FALSE)=LEFT(B46,2),"Yes","Error"),"No")</f>
        <v>Yes</v>
      </c>
    </row>
    <row r="47" spans="1:13" x14ac:dyDescent="0.25">
      <c r="A47">
        <v>2022</v>
      </c>
      <c r="B47" t="s">
        <v>3896</v>
      </c>
      <c r="C47" t="s">
        <v>3897</v>
      </c>
      <c r="D47" t="s">
        <v>30</v>
      </c>
      <c r="E47" t="s">
        <v>717</v>
      </c>
      <c r="F47">
        <v>4500199261</v>
      </c>
      <c r="G47" t="s">
        <v>3901</v>
      </c>
      <c r="H47" t="s">
        <v>3334</v>
      </c>
      <c r="I47" t="s">
        <v>2868</v>
      </c>
      <c r="J47" t="s">
        <v>717</v>
      </c>
      <c r="K47" s="2">
        <v>209207</v>
      </c>
      <c r="L47" s="2">
        <v>209207</v>
      </c>
      <c r="M47" t="str">
        <f>IFERROR(IF(VLOOKUP(LEFT(B47,2),'Humanitarian codes'!$A$2:$A$10,1,FALSE)=LEFT(B47,2),"Yes","Error"),"No")</f>
        <v>Yes</v>
      </c>
    </row>
    <row r="48" spans="1:13" x14ac:dyDescent="0.25">
      <c r="A48">
        <v>2022</v>
      </c>
      <c r="B48" t="s">
        <v>3896</v>
      </c>
      <c r="C48" t="s">
        <v>3897</v>
      </c>
      <c r="D48" t="s">
        <v>30</v>
      </c>
      <c r="E48" t="s">
        <v>717</v>
      </c>
      <c r="F48">
        <v>4500199284</v>
      </c>
      <c r="G48" t="s">
        <v>3902</v>
      </c>
      <c r="H48" t="s">
        <v>3334</v>
      </c>
      <c r="I48" t="s">
        <v>2459</v>
      </c>
      <c r="J48" t="s">
        <v>717</v>
      </c>
      <c r="K48" s="2">
        <v>100915</v>
      </c>
      <c r="L48" s="2">
        <v>100915</v>
      </c>
      <c r="M48" t="str">
        <f>IFERROR(IF(VLOOKUP(LEFT(B48,2),'Humanitarian codes'!$A$2:$A$10,1,FALSE)=LEFT(B48,2),"Yes","Error"),"No")</f>
        <v>Yes</v>
      </c>
    </row>
    <row r="49" spans="1:13" x14ac:dyDescent="0.25">
      <c r="A49">
        <v>2022</v>
      </c>
      <c r="B49" t="s">
        <v>3896</v>
      </c>
      <c r="C49" t="s">
        <v>3897</v>
      </c>
      <c r="D49" t="s">
        <v>30</v>
      </c>
      <c r="E49" t="s">
        <v>717</v>
      </c>
      <c r="F49">
        <v>4500206584</v>
      </c>
      <c r="G49" t="s">
        <v>3903</v>
      </c>
      <c r="H49" t="s">
        <v>3334</v>
      </c>
      <c r="I49" t="s">
        <v>728</v>
      </c>
      <c r="J49" t="s">
        <v>717</v>
      </c>
      <c r="K49" s="2">
        <v>40543</v>
      </c>
      <c r="L49" s="2">
        <v>213383</v>
      </c>
      <c r="M49" t="str">
        <f>IFERROR(IF(VLOOKUP(LEFT(B49,2),'Humanitarian codes'!$A$2:$A$10,1,FALSE)=LEFT(B49,2),"Yes","Error"),"No")</f>
        <v>Yes</v>
      </c>
    </row>
    <row r="50" spans="1:13" x14ac:dyDescent="0.25">
      <c r="A50">
        <v>2022</v>
      </c>
      <c r="B50" t="s">
        <v>3896</v>
      </c>
      <c r="C50" t="s">
        <v>3897</v>
      </c>
      <c r="D50" t="s">
        <v>30</v>
      </c>
      <c r="E50" t="s">
        <v>717</v>
      </c>
      <c r="F50">
        <v>4500220093</v>
      </c>
      <c r="G50" t="s">
        <v>3904</v>
      </c>
      <c r="H50" t="s">
        <v>3334</v>
      </c>
      <c r="I50" t="s">
        <v>1162</v>
      </c>
      <c r="J50" t="s">
        <v>717</v>
      </c>
      <c r="K50" s="2">
        <v>80088</v>
      </c>
      <c r="L50" s="2">
        <v>123593</v>
      </c>
      <c r="M50" t="str">
        <f>IFERROR(IF(VLOOKUP(LEFT(B50,2),'Humanitarian codes'!$A$2:$A$10,1,FALSE)=LEFT(B50,2),"Yes","Error"),"No")</f>
        <v>Yes</v>
      </c>
    </row>
    <row r="51" spans="1:13" x14ac:dyDescent="0.25">
      <c r="A51">
        <v>2022</v>
      </c>
      <c r="B51" t="s">
        <v>3896</v>
      </c>
      <c r="C51" t="s">
        <v>3897</v>
      </c>
      <c r="D51" t="s">
        <v>30</v>
      </c>
      <c r="E51" t="s">
        <v>717</v>
      </c>
      <c r="F51">
        <v>4500224034</v>
      </c>
      <c r="G51" t="s">
        <v>3905</v>
      </c>
      <c r="H51" t="s">
        <v>3334</v>
      </c>
      <c r="I51" t="s">
        <v>3906</v>
      </c>
      <c r="J51" t="s">
        <v>717</v>
      </c>
      <c r="K51" s="2">
        <v>14043</v>
      </c>
      <c r="L51" s="2">
        <v>298789</v>
      </c>
      <c r="M51" t="str">
        <f>IFERROR(IF(VLOOKUP(LEFT(B51,2),'Humanitarian codes'!$A$2:$A$10,1,FALSE)=LEFT(B51,2),"Yes","Error"),"No")</f>
        <v>Yes</v>
      </c>
    </row>
    <row r="52" spans="1:13" x14ac:dyDescent="0.25">
      <c r="A52">
        <v>2022</v>
      </c>
      <c r="B52" t="s">
        <v>3907</v>
      </c>
      <c r="C52" t="s">
        <v>3908</v>
      </c>
      <c r="D52" t="s">
        <v>30</v>
      </c>
      <c r="E52" t="s">
        <v>814</v>
      </c>
      <c r="F52">
        <v>4500214238</v>
      </c>
      <c r="G52" t="s">
        <v>3909</v>
      </c>
      <c r="H52" t="s">
        <v>3334</v>
      </c>
      <c r="I52" t="s">
        <v>3910</v>
      </c>
      <c r="J52" t="s">
        <v>3842</v>
      </c>
      <c r="K52" s="2">
        <v>54450</v>
      </c>
      <c r="L52" s="2">
        <v>54450</v>
      </c>
      <c r="M52" t="str">
        <f>IFERROR(IF(VLOOKUP(LEFT(B52,2),'Humanitarian codes'!$A$2:$A$10,1,FALSE)=LEFT(B52,2),"Yes","Error"),"No")</f>
        <v>Yes</v>
      </c>
    </row>
    <row r="53" spans="1:13" x14ac:dyDescent="0.25">
      <c r="A53">
        <v>2022</v>
      </c>
      <c r="B53" t="s">
        <v>3907</v>
      </c>
      <c r="C53" t="s">
        <v>3908</v>
      </c>
      <c r="D53" t="s">
        <v>30</v>
      </c>
      <c r="E53" t="s">
        <v>814</v>
      </c>
      <c r="F53">
        <v>4500216358</v>
      </c>
      <c r="G53" t="s">
        <v>3911</v>
      </c>
      <c r="H53" t="s">
        <v>3334</v>
      </c>
      <c r="I53" t="s">
        <v>112</v>
      </c>
      <c r="J53" t="s">
        <v>3842</v>
      </c>
      <c r="K53" s="2">
        <v>4004</v>
      </c>
      <c r="L53" s="2">
        <v>17395</v>
      </c>
      <c r="M53" t="str">
        <f>IFERROR(IF(VLOOKUP(LEFT(B53,2),'Humanitarian codes'!$A$2:$A$10,1,FALSE)=LEFT(B53,2),"Yes","Error"),"No")</f>
        <v>Yes</v>
      </c>
    </row>
    <row r="54" spans="1:13" x14ac:dyDescent="0.25">
      <c r="A54">
        <v>2022</v>
      </c>
      <c r="B54" t="s">
        <v>3907</v>
      </c>
      <c r="C54" t="s">
        <v>3908</v>
      </c>
      <c r="D54" t="s">
        <v>30</v>
      </c>
      <c r="E54" t="s">
        <v>814</v>
      </c>
      <c r="F54">
        <v>4500236298</v>
      </c>
      <c r="G54" t="s">
        <v>3912</v>
      </c>
      <c r="H54" t="s">
        <v>3334</v>
      </c>
      <c r="I54" t="s">
        <v>3913</v>
      </c>
      <c r="J54" t="s">
        <v>3842</v>
      </c>
      <c r="K54" s="2">
        <v>23088</v>
      </c>
      <c r="L54" s="2">
        <v>23088</v>
      </c>
      <c r="M54" t="str">
        <f>IFERROR(IF(VLOOKUP(LEFT(B54,2),'Humanitarian codes'!$A$2:$A$10,1,FALSE)=LEFT(B54,2),"Yes","Error"),"No")</f>
        <v>Yes</v>
      </c>
    </row>
    <row r="55" spans="1:13" x14ac:dyDescent="0.25">
      <c r="A55">
        <v>2022</v>
      </c>
      <c r="B55" t="s">
        <v>3907</v>
      </c>
      <c r="C55" t="s">
        <v>3908</v>
      </c>
      <c r="D55" t="s">
        <v>30</v>
      </c>
      <c r="E55" t="s">
        <v>814</v>
      </c>
      <c r="F55">
        <v>4500255122</v>
      </c>
      <c r="G55" t="s">
        <v>3914</v>
      </c>
      <c r="H55" t="s">
        <v>3334</v>
      </c>
      <c r="I55" t="s">
        <v>115</v>
      </c>
      <c r="J55" t="s">
        <v>3842</v>
      </c>
      <c r="K55" s="2">
        <v>5513</v>
      </c>
      <c r="L55" s="2">
        <v>5513</v>
      </c>
      <c r="M55" t="str">
        <f>IFERROR(IF(VLOOKUP(LEFT(B55,2),'Humanitarian codes'!$A$2:$A$10,1,FALSE)=LEFT(B55,2),"Yes","Error"),"No")</f>
        <v>Yes</v>
      </c>
    </row>
    <row r="56" spans="1:13" x14ac:dyDescent="0.25">
      <c r="A56">
        <v>2022</v>
      </c>
      <c r="B56" t="s">
        <v>3907</v>
      </c>
      <c r="C56" t="s">
        <v>3908</v>
      </c>
      <c r="D56" t="s">
        <v>30</v>
      </c>
      <c r="E56" t="s">
        <v>814</v>
      </c>
      <c r="F56">
        <v>4500257402</v>
      </c>
      <c r="G56" t="s">
        <v>3915</v>
      </c>
      <c r="H56" t="s">
        <v>3334</v>
      </c>
      <c r="I56" t="s">
        <v>115</v>
      </c>
      <c r="J56" t="s">
        <v>3842</v>
      </c>
      <c r="K56" s="2">
        <v>6979</v>
      </c>
      <c r="L56" s="2">
        <v>18715</v>
      </c>
      <c r="M56" t="str">
        <f>IFERROR(IF(VLOOKUP(LEFT(B56,2),'Humanitarian codes'!$A$2:$A$10,1,FALSE)=LEFT(B56,2),"Yes","Error"),"No")</f>
        <v>Yes</v>
      </c>
    </row>
    <row r="57" spans="1:13" x14ac:dyDescent="0.25">
      <c r="A57">
        <v>2022</v>
      </c>
      <c r="B57" t="s">
        <v>3916</v>
      </c>
      <c r="C57" t="s">
        <v>3917</v>
      </c>
      <c r="D57" t="s">
        <v>30</v>
      </c>
      <c r="E57" t="s">
        <v>717</v>
      </c>
      <c r="F57">
        <v>4500224030</v>
      </c>
      <c r="G57" t="s">
        <v>3918</v>
      </c>
      <c r="H57" t="s">
        <v>3334</v>
      </c>
      <c r="I57" t="s">
        <v>720</v>
      </c>
      <c r="J57" t="s">
        <v>717</v>
      </c>
      <c r="K57" s="2">
        <v>482001</v>
      </c>
      <c r="L57" s="2">
        <v>482001</v>
      </c>
      <c r="M57" t="str">
        <f>IFERROR(IF(VLOOKUP(LEFT(B57,2),'Humanitarian codes'!$A$2:$A$10,1,FALSE)=LEFT(B57,2),"Yes","Error"),"No")</f>
        <v>Yes</v>
      </c>
    </row>
    <row r="58" spans="1:13" x14ac:dyDescent="0.25">
      <c r="A58">
        <v>2022</v>
      </c>
      <c r="B58" t="s">
        <v>3332</v>
      </c>
      <c r="C58" t="s">
        <v>3333</v>
      </c>
      <c r="D58" t="s">
        <v>9</v>
      </c>
      <c r="E58" t="s">
        <v>25</v>
      </c>
      <c r="F58">
        <v>4500217527</v>
      </c>
      <c r="G58" t="s">
        <v>3919</v>
      </c>
      <c r="H58" t="s">
        <v>3334</v>
      </c>
      <c r="I58" t="s">
        <v>3920</v>
      </c>
      <c r="J58" t="s">
        <v>25</v>
      </c>
      <c r="K58" s="2">
        <v>54766</v>
      </c>
      <c r="L58" s="2">
        <v>54766</v>
      </c>
      <c r="M58" t="str">
        <f>IFERROR(IF(VLOOKUP(LEFT(B58,2),'Humanitarian codes'!$A$2:$A$10,1,FALSE)=LEFT(B58,2),"Yes","Error"),"No")</f>
        <v>No</v>
      </c>
    </row>
    <row r="59" spans="1:13" x14ac:dyDescent="0.25">
      <c r="A59">
        <v>2022</v>
      </c>
      <c r="B59" t="s">
        <v>3332</v>
      </c>
      <c r="C59" t="s">
        <v>3333</v>
      </c>
      <c r="D59" t="s">
        <v>9</v>
      </c>
      <c r="E59" t="s">
        <v>25</v>
      </c>
      <c r="F59">
        <v>4500222019</v>
      </c>
      <c r="G59" t="s">
        <v>3921</v>
      </c>
      <c r="H59" t="s">
        <v>3334</v>
      </c>
      <c r="I59" t="s">
        <v>26</v>
      </c>
      <c r="J59" t="s">
        <v>25</v>
      </c>
      <c r="K59" s="2">
        <v>92168</v>
      </c>
      <c r="L59" s="2">
        <v>92168</v>
      </c>
      <c r="M59" t="str">
        <f>IFERROR(IF(VLOOKUP(LEFT(B59,2),'Humanitarian codes'!$A$2:$A$10,1,FALSE)=LEFT(B59,2),"Yes","Error"),"No")</f>
        <v>No</v>
      </c>
    </row>
    <row r="60" spans="1:13" x14ac:dyDescent="0.25">
      <c r="A60">
        <v>2022</v>
      </c>
      <c r="B60" t="s">
        <v>3332</v>
      </c>
      <c r="C60" t="s">
        <v>3333</v>
      </c>
      <c r="D60" t="s">
        <v>9</v>
      </c>
      <c r="E60" t="s">
        <v>25</v>
      </c>
      <c r="F60">
        <v>4500265044</v>
      </c>
      <c r="G60" t="s">
        <v>3922</v>
      </c>
      <c r="H60" t="s">
        <v>3334</v>
      </c>
      <c r="I60" t="s">
        <v>3923</v>
      </c>
      <c r="J60" t="s">
        <v>25</v>
      </c>
      <c r="K60" s="2">
        <v>89148</v>
      </c>
      <c r="L60" s="2">
        <v>89148</v>
      </c>
      <c r="M60" t="str">
        <f>IFERROR(IF(VLOOKUP(LEFT(B60,2),'Humanitarian codes'!$A$2:$A$10,1,FALSE)=LEFT(B60,2),"Yes","Error"),"No")</f>
        <v>No</v>
      </c>
    </row>
    <row r="61" spans="1:13" x14ac:dyDescent="0.25">
      <c r="A61">
        <v>2022</v>
      </c>
      <c r="B61" t="s">
        <v>3332</v>
      </c>
      <c r="C61" t="s">
        <v>3333</v>
      </c>
      <c r="D61" t="s">
        <v>9</v>
      </c>
      <c r="E61" t="s">
        <v>25</v>
      </c>
      <c r="F61">
        <v>4500265129</v>
      </c>
      <c r="G61" t="s">
        <v>3922</v>
      </c>
      <c r="H61" t="s">
        <v>3334</v>
      </c>
      <c r="I61" t="s">
        <v>28</v>
      </c>
      <c r="J61" t="s">
        <v>25</v>
      </c>
      <c r="K61" s="2">
        <v>345873</v>
      </c>
      <c r="L61" s="2">
        <v>345873</v>
      </c>
      <c r="M61" t="str">
        <f>IFERROR(IF(VLOOKUP(LEFT(B61,2),'Humanitarian codes'!$A$2:$A$10,1,FALSE)=LEFT(B61,2),"Yes","Error"),"No")</f>
        <v>No</v>
      </c>
    </row>
    <row r="62" spans="1:13" x14ac:dyDescent="0.25">
      <c r="A62">
        <v>2022</v>
      </c>
      <c r="B62" t="s">
        <v>3332</v>
      </c>
      <c r="C62" t="s">
        <v>3333</v>
      </c>
      <c r="D62" t="s">
        <v>9</v>
      </c>
      <c r="E62" t="s">
        <v>25</v>
      </c>
      <c r="F62">
        <v>4500266829</v>
      </c>
      <c r="G62" t="s">
        <v>3922</v>
      </c>
      <c r="H62" t="s">
        <v>3334</v>
      </c>
      <c r="I62" t="s">
        <v>3924</v>
      </c>
      <c r="J62" t="s">
        <v>25</v>
      </c>
      <c r="K62" s="2">
        <v>257979</v>
      </c>
      <c r="L62" s="2">
        <v>257979</v>
      </c>
      <c r="M62" t="str">
        <f>IFERROR(IF(VLOOKUP(LEFT(B62,2),'Humanitarian codes'!$A$2:$A$10,1,FALSE)=LEFT(B62,2),"Yes","Error"),"No")</f>
        <v>No</v>
      </c>
    </row>
    <row r="63" spans="1:13" x14ac:dyDescent="0.25">
      <c r="A63">
        <v>2022</v>
      </c>
      <c r="B63" t="s">
        <v>3332</v>
      </c>
      <c r="C63" t="s">
        <v>3333</v>
      </c>
      <c r="D63" t="s">
        <v>9</v>
      </c>
      <c r="E63" t="s">
        <v>25</v>
      </c>
      <c r="F63">
        <v>4500270407</v>
      </c>
      <c r="G63" t="s">
        <v>3922</v>
      </c>
      <c r="H63" t="s">
        <v>3334</v>
      </c>
      <c r="I63" t="s">
        <v>34</v>
      </c>
      <c r="J63" t="s">
        <v>25</v>
      </c>
      <c r="K63" s="2">
        <v>266727</v>
      </c>
      <c r="L63" s="2">
        <v>266727</v>
      </c>
      <c r="M63" t="str">
        <f>IFERROR(IF(VLOOKUP(LEFT(B63,2),'Humanitarian codes'!$A$2:$A$10,1,FALSE)=LEFT(B63,2),"Yes","Error"),"No")</f>
        <v>No</v>
      </c>
    </row>
    <row r="64" spans="1:13" x14ac:dyDescent="0.25">
      <c r="A64">
        <v>2022</v>
      </c>
      <c r="B64" t="s">
        <v>3332</v>
      </c>
      <c r="C64" t="s">
        <v>3333</v>
      </c>
      <c r="D64" t="s">
        <v>9</v>
      </c>
      <c r="E64" t="s">
        <v>25</v>
      </c>
      <c r="F64">
        <v>4500270458</v>
      </c>
      <c r="G64" t="s">
        <v>3922</v>
      </c>
      <c r="H64" t="s">
        <v>3334</v>
      </c>
      <c r="I64" t="s">
        <v>27</v>
      </c>
      <c r="J64" t="s">
        <v>25</v>
      </c>
      <c r="K64" s="2">
        <v>339988</v>
      </c>
      <c r="L64" s="2">
        <v>339988</v>
      </c>
      <c r="M64" t="str">
        <f>IFERROR(IF(VLOOKUP(LEFT(B64,2),'Humanitarian codes'!$A$2:$A$10,1,FALSE)=LEFT(B64,2),"Yes","Error"),"No")</f>
        <v>No</v>
      </c>
    </row>
    <row r="65" spans="1:13" x14ac:dyDescent="0.25">
      <c r="A65">
        <v>2022</v>
      </c>
      <c r="B65" t="s">
        <v>3332</v>
      </c>
      <c r="C65" t="s">
        <v>3333</v>
      </c>
      <c r="D65" t="s">
        <v>9</v>
      </c>
      <c r="E65" t="s">
        <v>25</v>
      </c>
      <c r="F65">
        <v>4500272448</v>
      </c>
      <c r="G65" t="s">
        <v>3922</v>
      </c>
      <c r="H65" t="s">
        <v>3334</v>
      </c>
      <c r="I65" t="s">
        <v>3925</v>
      </c>
      <c r="J65" t="s">
        <v>25</v>
      </c>
      <c r="K65" s="2">
        <v>332609</v>
      </c>
      <c r="L65" s="2">
        <v>332609</v>
      </c>
      <c r="M65" t="str">
        <f>IFERROR(IF(VLOOKUP(LEFT(B65,2),'Humanitarian codes'!$A$2:$A$10,1,FALSE)=LEFT(B65,2),"Yes","Error"),"No")</f>
        <v>No</v>
      </c>
    </row>
    <row r="66" spans="1:13" x14ac:dyDescent="0.25">
      <c r="A66">
        <v>2022</v>
      </c>
      <c r="B66" t="s">
        <v>3332</v>
      </c>
      <c r="C66" t="s">
        <v>3333</v>
      </c>
      <c r="D66" t="s">
        <v>9</v>
      </c>
      <c r="E66" t="s">
        <v>25</v>
      </c>
      <c r="F66">
        <v>4500273725</v>
      </c>
      <c r="G66" t="s">
        <v>3922</v>
      </c>
      <c r="H66" t="s">
        <v>3334</v>
      </c>
      <c r="I66" t="s">
        <v>3926</v>
      </c>
      <c r="J66" t="s">
        <v>25</v>
      </c>
      <c r="K66" s="2">
        <v>247456</v>
      </c>
      <c r="L66" s="2">
        <v>247456</v>
      </c>
      <c r="M66" t="str">
        <f>IFERROR(IF(VLOOKUP(LEFT(B66,2),'Humanitarian codes'!$A$2:$A$10,1,FALSE)=LEFT(B66,2),"Yes","Error"),"No")</f>
        <v>No</v>
      </c>
    </row>
    <row r="67" spans="1:13" x14ac:dyDescent="0.25">
      <c r="A67">
        <v>2022</v>
      </c>
      <c r="B67" t="s">
        <v>2207</v>
      </c>
      <c r="C67" t="s">
        <v>2208</v>
      </c>
      <c r="D67" t="s">
        <v>9</v>
      </c>
      <c r="E67" t="s">
        <v>676</v>
      </c>
      <c r="F67">
        <v>4500188686</v>
      </c>
      <c r="G67" t="s">
        <v>3927</v>
      </c>
      <c r="H67" t="s">
        <v>3334</v>
      </c>
      <c r="I67" t="s">
        <v>1118</v>
      </c>
      <c r="J67" t="s">
        <v>676</v>
      </c>
      <c r="K67" s="2">
        <v>55857</v>
      </c>
      <c r="L67" s="2">
        <v>121860</v>
      </c>
      <c r="M67" t="str">
        <f>IFERROR(IF(VLOOKUP(LEFT(B67,2),'Humanitarian codes'!$A$2:$A$10,1,FALSE)=LEFT(B67,2),"Yes","Error"),"No")</f>
        <v>No</v>
      </c>
    </row>
    <row r="68" spans="1:13" x14ac:dyDescent="0.25">
      <c r="A68">
        <v>2022</v>
      </c>
      <c r="B68" t="s">
        <v>2207</v>
      </c>
      <c r="C68" t="s">
        <v>2208</v>
      </c>
      <c r="D68" t="s">
        <v>9</v>
      </c>
      <c r="E68" t="s">
        <v>676</v>
      </c>
      <c r="F68">
        <v>4500273098</v>
      </c>
      <c r="G68" t="s">
        <v>3928</v>
      </c>
      <c r="H68" t="s">
        <v>3334</v>
      </c>
      <c r="I68" t="s">
        <v>3929</v>
      </c>
      <c r="J68" t="s">
        <v>676</v>
      </c>
      <c r="K68" s="2">
        <v>81820</v>
      </c>
      <c r="L68" s="2">
        <v>81820</v>
      </c>
      <c r="M68" t="str">
        <f>IFERROR(IF(VLOOKUP(LEFT(B68,2),'Humanitarian codes'!$A$2:$A$10,1,FALSE)=LEFT(B68,2),"Yes","Error"),"No")</f>
        <v>No</v>
      </c>
    </row>
    <row r="69" spans="1:13" x14ac:dyDescent="0.25">
      <c r="A69">
        <v>2022</v>
      </c>
      <c r="B69" t="s">
        <v>2207</v>
      </c>
      <c r="C69" t="s">
        <v>2208</v>
      </c>
      <c r="D69" t="s">
        <v>9</v>
      </c>
      <c r="E69" t="s">
        <v>1048</v>
      </c>
      <c r="F69">
        <v>4500220444</v>
      </c>
      <c r="G69" t="s">
        <v>3930</v>
      </c>
      <c r="H69" t="s">
        <v>3334</v>
      </c>
      <c r="I69" t="s">
        <v>3931</v>
      </c>
      <c r="J69" t="s">
        <v>3932</v>
      </c>
      <c r="K69" s="2">
        <v>34015</v>
      </c>
      <c r="L69" s="2">
        <v>34015</v>
      </c>
      <c r="M69" t="str">
        <f>IFERROR(IF(VLOOKUP(LEFT(B69,2),'Humanitarian codes'!$A$2:$A$10,1,FALSE)=LEFT(B69,2),"Yes","Error"),"No")</f>
        <v>No</v>
      </c>
    </row>
    <row r="70" spans="1:13" x14ac:dyDescent="0.25">
      <c r="A70">
        <v>2022</v>
      </c>
      <c r="B70" t="s">
        <v>2207</v>
      </c>
      <c r="C70" t="s">
        <v>2208</v>
      </c>
      <c r="D70" t="s">
        <v>9</v>
      </c>
      <c r="E70" t="s">
        <v>1048</v>
      </c>
      <c r="F70">
        <v>4500230890</v>
      </c>
      <c r="G70" t="s">
        <v>3933</v>
      </c>
      <c r="H70" t="s">
        <v>3334</v>
      </c>
      <c r="I70" t="s">
        <v>3934</v>
      </c>
      <c r="J70" t="s">
        <v>3932</v>
      </c>
      <c r="K70" s="2">
        <v>16388</v>
      </c>
      <c r="L70" s="2">
        <v>16388</v>
      </c>
      <c r="M70" t="str">
        <f>IFERROR(IF(VLOOKUP(LEFT(B70,2),'Humanitarian codes'!$A$2:$A$10,1,FALSE)=LEFT(B70,2),"Yes","Error"),"No")</f>
        <v>No</v>
      </c>
    </row>
    <row r="71" spans="1:13" x14ac:dyDescent="0.25">
      <c r="A71">
        <v>2022</v>
      </c>
      <c r="B71" t="s">
        <v>2207</v>
      </c>
      <c r="C71" t="s">
        <v>2208</v>
      </c>
      <c r="D71" t="s">
        <v>9</v>
      </c>
      <c r="E71" t="s">
        <v>1048</v>
      </c>
      <c r="F71">
        <v>4500230905</v>
      </c>
      <c r="G71" t="s">
        <v>3935</v>
      </c>
      <c r="H71" t="s">
        <v>3334</v>
      </c>
      <c r="I71" t="s">
        <v>1049</v>
      </c>
      <c r="J71" t="s">
        <v>3932</v>
      </c>
      <c r="K71" s="2">
        <v>19864</v>
      </c>
      <c r="L71" s="2">
        <v>19864</v>
      </c>
      <c r="M71" t="str">
        <f>IFERROR(IF(VLOOKUP(LEFT(B71,2),'Humanitarian codes'!$A$2:$A$10,1,FALSE)=LEFT(B71,2),"Yes","Error"),"No")</f>
        <v>No</v>
      </c>
    </row>
    <row r="72" spans="1:13" x14ac:dyDescent="0.25">
      <c r="A72">
        <v>2022</v>
      </c>
      <c r="B72" t="s">
        <v>2207</v>
      </c>
      <c r="C72" t="s">
        <v>2208</v>
      </c>
      <c r="D72" t="s">
        <v>9</v>
      </c>
      <c r="E72" t="s">
        <v>1048</v>
      </c>
      <c r="F72">
        <v>4500231401</v>
      </c>
      <c r="G72" t="s">
        <v>3936</v>
      </c>
      <c r="H72" t="s">
        <v>3334</v>
      </c>
      <c r="I72" t="s">
        <v>3937</v>
      </c>
      <c r="J72" t="s">
        <v>3932</v>
      </c>
      <c r="K72" s="2">
        <v>22000</v>
      </c>
      <c r="L72" s="2">
        <v>22000</v>
      </c>
      <c r="M72" t="str">
        <f>IFERROR(IF(VLOOKUP(LEFT(B72,2),'Humanitarian codes'!$A$2:$A$10,1,FALSE)=LEFT(B72,2),"Yes","Error"),"No")</f>
        <v>No</v>
      </c>
    </row>
    <row r="73" spans="1:13" x14ac:dyDescent="0.25">
      <c r="A73">
        <v>2022</v>
      </c>
      <c r="B73" t="s">
        <v>2207</v>
      </c>
      <c r="C73" t="s">
        <v>2208</v>
      </c>
      <c r="D73" t="s">
        <v>9</v>
      </c>
      <c r="E73" t="s">
        <v>1048</v>
      </c>
      <c r="F73">
        <v>4500263059</v>
      </c>
      <c r="G73" t="s">
        <v>3938</v>
      </c>
      <c r="H73" t="s">
        <v>3334</v>
      </c>
      <c r="I73" t="s">
        <v>1049</v>
      </c>
      <c r="J73" t="s">
        <v>3932</v>
      </c>
      <c r="K73" s="2">
        <v>6018</v>
      </c>
      <c r="L73" s="2">
        <v>6018</v>
      </c>
      <c r="M73" t="str">
        <f>IFERROR(IF(VLOOKUP(LEFT(B73,2),'Humanitarian codes'!$A$2:$A$10,1,FALSE)=LEFT(B73,2),"Yes","Error"),"No")</f>
        <v>No</v>
      </c>
    </row>
    <row r="74" spans="1:13" x14ac:dyDescent="0.25">
      <c r="A74">
        <v>2022</v>
      </c>
      <c r="B74" t="s">
        <v>2219</v>
      </c>
      <c r="C74" t="s">
        <v>2220</v>
      </c>
      <c r="D74" t="s">
        <v>9</v>
      </c>
      <c r="E74" t="s">
        <v>20</v>
      </c>
      <c r="F74">
        <v>4500222542</v>
      </c>
      <c r="G74" t="s">
        <v>3939</v>
      </c>
      <c r="H74" t="s">
        <v>3334</v>
      </c>
      <c r="I74" t="s">
        <v>21</v>
      </c>
      <c r="J74" t="s">
        <v>20</v>
      </c>
      <c r="K74" s="2">
        <v>65535</v>
      </c>
      <c r="L74" s="2">
        <v>65535</v>
      </c>
      <c r="M74" t="str">
        <f>IFERROR(IF(VLOOKUP(LEFT(B74,2),'Humanitarian codes'!$A$2:$A$10,1,FALSE)=LEFT(B74,2),"Yes","Error"),"No")</f>
        <v>No</v>
      </c>
    </row>
    <row r="75" spans="1:13" x14ac:dyDescent="0.25">
      <c r="A75">
        <v>2022</v>
      </c>
      <c r="B75" t="s">
        <v>3940</v>
      </c>
      <c r="C75" t="s">
        <v>3941</v>
      </c>
      <c r="D75" t="s">
        <v>9</v>
      </c>
      <c r="E75" t="s">
        <v>1423</v>
      </c>
      <c r="F75">
        <v>4500180547</v>
      </c>
      <c r="G75" t="s">
        <v>3942</v>
      </c>
      <c r="H75" t="s">
        <v>3334</v>
      </c>
      <c r="I75" t="s">
        <v>3943</v>
      </c>
      <c r="J75" t="s">
        <v>1423</v>
      </c>
      <c r="K75" s="2">
        <v>45929</v>
      </c>
      <c r="L75" s="2">
        <v>45929</v>
      </c>
      <c r="M75" t="str">
        <f>IFERROR(IF(VLOOKUP(LEFT(B75,2),'Humanitarian codes'!$A$2:$A$10,1,FALSE)=LEFT(B75,2),"Yes","Error"),"No")</f>
        <v>No</v>
      </c>
    </row>
    <row r="76" spans="1:13" x14ac:dyDescent="0.25">
      <c r="A76">
        <v>2022</v>
      </c>
      <c r="B76" t="s">
        <v>8</v>
      </c>
      <c r="C76" t="s">
        <v>10</v>
      </c>
      <c r="D76" t="s">
        <v>9</v>
      </c>
      <c r="E76" t="s">
        <v>11</v>
      </c>
      <c r="F76">
        <v>4500199181</v>
      </c>
      <c r="G76" t="s">
        <v>3944</v>
      </c>
      <c r="H76" t="s">
        <v>3334</v>
      </c>
      <c r="I76" t="s">
        <v>1662</v>
      </c>
      <c r="J76" t="s">
        <v>11</v>
      </c>
      <c r="K76" s="2">
        <v>282528</v>
      </c>
      <c r="L76" s="2">
        <v>282528</v>
      </c>
      <c r="M76" t="str">
        <f>IFERROR(IF(VLOOKUP(LEFT(B76,2),'Humanitarian codes'!$A$2:$A$10,1,FALSE)=LEFT(B76,2),"Yes","Error"),"No")</f>
        <v>No</v>
      </c>
    </row>
    <row r="77" spans="1:13" x14ac:dyDescent="0.25">
      <c r="A77">
        <v>2022</v>
      </c>
      <c r="B77" t="s">
        <v>8</v>
      </c>
      <c r="C77" t="s">
        <v>10</v>
      </c>
      <c r="D77" t="s">
        <v>9</v>
      </c>
      <c r="E77" t="s">
        <v>11</v>
      </c>
      <c r="F77">
        <v>4500199185</v>
      </c>
      <c r="G77" t="s">
        <v>3938</v>
      </c>
      <c r="H77" t="s">
        <v>3334</v>
      </c>
      <c r="I77" t="s">
        <v>1660</v>
      </c>
      <c r="J77" t="s">
        <v>11</v>
      </c>
      <c r="K77" s="2">
        <v>505796</v>
      </c>
      <c r="L77" s="2">
        <v>505796</v>
      </c>
      <c r="M77" t="str">
        <f>IFERROR(IF(VLOOKUP(LEFT(B77,2),'Humanitarian codes'!$A$2:$A$10,1,FALSE)=LEFT(B77,2),"Yes","Error"),"No")</f>
        <v>No</v>
      </c>
    </row>
    <row r="78" spans="1:13" x14ac:dyDescent="0.25">
      <c r="A78">
        <v>2022</v>
      </c>
      <c r="B78" t="s">
        <v>8</v>
      </c>
      <c r="C78" t="s">
        <v>10</v>
      </c>
      <c r="D78" t="s">
        <v>9</v>
      </c>
      <c r="E78" t="s">
        <v>11</v>
      </c>
      <c r="F78">
        <v>4500199186</v>
      </c>
      <c r="G78" t="s">
        <v>3945</v>
      </c>
      <c r="H78" t="s">
        <v>3334</v>
      </c>
      <c r="I78" t="s">
        <v>1659</v>
      </c>
      <c r="J78" t="s">
        <v>11</v>
      </c>
      <c r="K78" s="2">
        <v>1039949</v>
      </c>
      <c r="L78" s="2">
        <v>1039949</v>
      </c>
      <c r="M78" t="str">
        <f>IFERROR(IF(VLOOKUP(LEFT(B78,2),'Humanitarian codes'!$A$2:$A$10,1,FALSE)=LEFT(B78,2),"Yes","Error"),"No")</f>
        <v>No</v>
      </c>
    </row>
    <row r="79" spans="1:13" x14ac:dyDescent="0.25">
      <c r="A79">
        <v>2022</v>
      </c>
      <c r="B79" t="s">
        <v>8</v>
      </c>
      <c r="C79" t="s">
        <v>10</v>
      </c>
      <c r="D79" t="s">
        <v>9</v>
      </c>
      <c r="E79" t="s">
        <v>11</v>
      </c>
      <c r="F79">
        <v>4500199193</v>
      </c>
      <c r="G79" t="s">
        <v>3946</v>
      </c>
      <c r="H79" t="s">
        <v>3334</v>
      </c>
      <c r="I79" t="s">
        <v>1176</v>
      </c>
      <c r="J79" t="s">
        <v>11</v>
      </c>
      <c r="K79" s="2">
        <v>261121</v>
      </c>
      <c r="L79" s="2">
        <v>261121</v>
      </c>
      <c r="M79" t="str">
        <f>IFERROR(IF(VLOOKUP(LEFT(B79,2),'Humanitarian codes'!$A$2:$A$10,1,FALSE)=LEFT(B79,2),"Yes","Error"),"No")</f>
        <v>No</v>
      </c>
    </row>
    <row r="80" spans="1:13" x14ac:dyDescent="0.25">
      <c r="A80">
        <v>2022</v>
      </c>
      <c r="B80" t="s">
        <v>8</v>
      </c>
      <c r="C80" t="s">
        <v>10</v>
      </c>
      <c r="D80" t="s">
        <v>9</v>
      </c>
      <c r="E80" t="s">
        <v>11</v>
      </c>
      <c r="F80">
        <v>4500199573</v>
      </c>
      <c r="G80" t="s">
        <v>3947</v>
      </c>
      <c r="H80" t="s">
        <v>3334</v>
      </c>
      <c r="I80" t="s">
        <v>1661</v>
      </c>
      <c r="J80" t="s">
        <v>11</v>
      </c>
      <c r="K80" s="2">
        <v>436317</v>
      </c>
      <c r="L80" s="2">
        <v>436317</v>
      </c>
      <c r="M80" t="str">
        <f>IFERROR(IF(VLOOKUP(LEFT(B80,2),'Humanitarian codes'!$A$2:$A$10,1,FALSE)=LEFT(B80,2),"Yes","Error"),"No")</f>
        <v>No</v>
      </c>
    </row>
    <row r="81" spans="1:13" x14ac:dyDescent="0.25">
      <c r="A81">
        <v>2022</v>
      </c>
      <c r="B81" t="s">
        <v>8</v>
      </c>
      <c r="C81" t="s">
        <v>10</v>
      </c>
      <c r="D81" t="s">
        <v>9</v>
      </c>
      <c r="E81" t="s">
        <v>11</v>
      </c>
      <c r="F81">
        <v>4500200810</v>
      </c>
      <c r="G81" t="s">
        <v>3948</v>
      </c>
      <c r="H81" t="s">
        <v>3334</v>
      </c>
      <c r="I81" t="s">
        <v>3949</v>
      </c>
      <c r="J81" t="s">
        <v>11</v>
      </c>
      <c r="K81" s="2">
        <v>675010</v>
      </c>
      <c r="L81" s="2">
        <v>675010</v>
      </c>
      <c r="M81" t="str">
        <f>IFERROR(IF(VLOOKUP(LEFT(B81,2),'Humanitarian codes'!$A$2:$A$10,1,FALSE)=LEFT(B81,2),"Yes","Error"),"No")</f>
        <v>No</v>
      </c>
    </row>
    <row r="82" spans="1:13" x14ac:dyDescent="0.25">
      <c r="A82">
        <v>2022</v>
      </c>
      <c r="B82" t="s">
        <v>8</v>
      </c>
      <c r="C82" t="s">
        <v>10</v>
      </c>
      <c r="D82" t="s">
        <v>9</v>
      </c>
      <c r="E82" t="s">
        <v>11</v>
      </c>
      <c r="F82">
        <v>4500200814</v>
      </c>
      <c r="G82" t="s">
        <v>3950</v>
      </c>
      <c r="H82" t="s">
        <v>3334</v>
      </c>
      <c r="I82" t="s">
        <v>3949</v>
      </c>
      <c r="J82" t="s">
        <v>11</v>
      </c>
      <c r="K82" s="2">
        <v>722196</v>
      </c>
      <c r="L82" s="2">
        <v>722196</v>
      </c>
      <c r="M82" t="str">
        <f>IFERROR(IF(VLOOKUP(LEFT(B82,2),'Humanitarian codes'!$A$2:$A$10,1,FALSE)=LEFT(B82,2),"Yes","Error"),"No")</f>
        <v>No</v>
      </c>
    </row>
    <row r="83" spans="1:13" x14ac:dyDescent="0.25">
      <c r="A83">
        <v>2022</v>
      </c>
      <c r="B83" t="s">
        <v>8</v>
      </c>
      <c r="C83" t="s">
        <v>10</v>
      </c>
      <c r="D83" t="s">
        <v>9</v>
      </c>
      <c r="E83" t="s">
        <v>11</v>
      </c>
      <c r="F83">
        <v>4500200815</v>
      </c>
      <c r="G83" t="s">
        <v>3951</v>
      </c>
      <c r="H83" t="s">
        <v>3334</v>
      </c>
      <c r="I83" t="s">
        <v>3952</v>
      </c>
      <c r="J83" t="s">
        <v>11</v>
      </c>
      <c r="K83" s="2">
        <v>685396</v>
      </c>
      <c r="L83" s="2">
        <v>685396</v>
      </c>
      <c r="M83" t="str">
        <f>IFERROR(IF(VLOOKUP(LEFT(B83,2),'Humanitarian codes'!$A$2:$A$10,1,FALSE)=LEFT(B83,2),"Yes","Error"),"No")</f>
        <v>No</v>
      </c>
    </row>
    <row r="84" spans="1:13" x14ac:dyDescent="0.25">
      <c r="A84">
        <v>2022</v>
      </c>
      <c r="B84" t="s">
        <v>8</v>
      </c>
      <c r="C84" t="s">
        <v>10</v>
      </c>
      <c r="D84" t="s">
        <v>9</v>
      </c>
      <c r="E84" t="s">
        <v>11</v>
      </c>
      <c r="F84">
        <v>4500202868</v>
      </c>
      <c r="G84" t="s">
        <v>3953</v>
      </c>
      <c r="H84" t="s">
        <v>3334</v>
      </c>
      <c r="I84" t="s">
        <v>3952</v>
      </c>
      <c r="J84" t="s">
        <v>11</v>
      </c>
      <c r="K84" s="2">
        <v>817790</v>
      </c>
      <c r="L84" s="2">
        <v>817790</v>
      </c>
      <c r="M84" t="str">
        <f>IFERROR(IF(VLOOKUP(LEFT(B84,2),'Humanitarian codes'!$A$2:$A$10,1,FALSE)=LEFT(B84,2),"Yes","Error"),"No")</f>
        <v>No</v>
      </c>
    </row>
    <row r="85" spans="1:13" x14ac:dyDescent="0.25">
      <c r="A85">
        <v>2022</v>
      </c>
      <c r="B85" t="s">
        <v>3954</v>
      </c>
      <c r="C85" t="s">
        <v>3955</v>
      </c>
      <c r="D85" t="s">
        <v>9</v>
      </c>
      <c r="E85" t="s">
        <v>16</v>
      </c>
      <c r="F85">
        <v>4500234059</v>
      </c>
      <c r="G85" t="s">
        <v>3956</v>
      </c>
      <c r="H85" t="s">
        <v>3334</v>
      </c>
      <c r="I85" t="s">
        <v>17</v>
      </c>
      <c r="J85" t="s">
        <v>16</v>
      </c>
      <c r="K85" s="2">
        <v>26409</v>
      </c>
      <c r="L85" s="2">
        <v>330117</v>
      </c>
      <c r="M85" t="str">
        <f>IFERROR(IF(VLOOKUP(LEFT(B85,2),'Humanitarian codes'!$A$2:$A$10,1,FALSE)=LEFT(B85,2),"Yes","Error"),"No")</f>
        <v>No</v>
      </c>
    </row>
    <row r="86" spans="1:13" x14ac:dyDescent="0.25">
      <c r="A86">
        <v>2022</v>
      </c>
      <c r="B86" t="s">
        <v>3954</v>
      </c>
      <c r="C86" t="s">
        <v>3955</v>
      </c>
      <c r="D86" t="s">
        <v>9</v>
      </c>
      <c r="E86" t="s">
        <v>16</v>
      </c>
      <c r="F86">
        <v>4500261849</v>
      </c>
      <c r="G86" t="s">
        <v>3957</v>
      </c>
      <c r="H86" t="s">
        <v>3334</v>
      </c>
      <c r="I86" t="s">
        <v>3958</v>
      </c>
      <c r="J86" t="s">
        <v>16</v>
      </c>
      <c r="K86" s="2">
        <v>19042</v>
      </c>
      <c r="L86" s="2">
        <v>211572</v>
      </c>
      <c r="M86" t="str">
        <f>IFERROR(IF(VLOOKUP(LEFT(B86,2),'Humanitarian codes'!$A$2:$A$10,1,FALSE)=LEFT(B86,2),"Yes","Error"),"No")</f>
        <v>No</v>
      </c>
    </row>
    <row r="87" spans="1:13" x14ac:dyDescent="0.25">
      <c r="A87">
        <v>2022</v>
      </c>
      <c r="B87" t="s">
        <v>1178</v>
      </c>
      <c r="C87" t="s">
        <v>1179</v>
      </c>
      <c r="D87" t="s">
        <v>9</v>
      </c>
      <c r="E87" t="s">
        <v>54</v>
      </c>
      <c r="F87">
        <v>4500228358</v>
      </c>
      <c r="G87" t="s">
        <v>3959</v>
      </c>
      <c r="H87" t="s">
        <v>3334</v>
      </c>
      <c r="I87" t="s">
        <v>3960</v>
      </c>
      <c r="J87" t="s">
        <v>54</v>
      </c>
      <c r="K87" s="2">
        <v>12027</v>
      </c>
      <c r="L87" s="2">
        <v>12027</v>
      </c>
      <c r="M87" t="str">
        <f>IFERROR(IF(VLOOKUP(LEFT(B87,2),'Humanitarian codes'!$A$2:$A$10,1,FALSE)=LEFT(B87,2),"Yes","Error"),"No")</f>
        <v>No</v>
      </c>
    </row>
    <row r="88" spans="1:13" x14ac:dyDescent="0.25">
      <c r="A88">
        <v>2022</v>
      </c>
      <c r="B88" t="s">
        <v>1178</v>
      </c>
      <c r="C88" t="s">
        <v>1179</v>
      </c>
      <c r="D88" t="s">
        <v>9</v>
      </c>
      <c r="E88" t="s">
        <v>54</v>
      </c>
      <c r="F88">
        <v>4500264533</v>
      </c>
      <c r="G88" t="s">
        <v>3961</v>
      </c>
      <c r="H88" t="s">
        <v>3334</v>
      </c>
      <c r="I88" t="s">
        <v>3962</v>
      </c>
      <c r="J88" t="s">
        <v>54</v>
      </c>
      <c r="K88" s="2">
        <v>2693</v>
      </c>
      <c r="L88" s="2">
        <v>2693</v>
      </c>
      <c r="M88" t="str">
        <f>IFERROR(IF(VLOOKUP(LEFT(B88,2),'Humanitarian codes'!$A$2:$A$10,1,FALSE)=LEFT(B88,2),"Yes","Error"),"No")</f>
        <v>No</v>
      </c>
    </row>
    <row r="89" spans="1:13" x14ac:dyDescent="0.25">
      <c r="A89">
        <v>2022</v>
      </c>
      <c r="B89" t="s">
        <v>1916</v>
      </c>
      <c r="C89" t="s">
        <v>1917</v>
      </c>
      <c r="D89" t="s">
        <v>9</v>
      </c>
      <c r="E89" t="s">
        <v>676</v>
      </c>
      <c r="F89">
        <v>4500213640</v>
      </c>
      <c r="G89" t="s">
        <v>3963</v>
      </c>
      <c r="H89" t="s">
        <v>3334</v>
      </c>
      <c r="I89" t="s">
        <v>3964</v>
      </c>
      <c r="J89" t="s">
        <v>676</v>
      </c>
      <c r="K89" s="2">
        <v>100000</v>
      </c>
      <c r="L89" s="2">
        <v>100000</v>
      </c>
      <c r="M89" t="str">
        <f>IFERROR(IF(VLOOKUP(LEFT(B89,2),'Humanitarian codes'!$A$2:$A$10,1,FALSE)=LEFT(B89,2),"Yes","Error"),"No")</f>
        <v>No</v>
      </c>
    </row>
    <row r="90" spans="1:13" x14ac:dyDescent="0.25">
      <c r="A90">
        <v>2022</v>
      </c>
      <c r="B90" t="s">
        <v>1916</v>
      </c>
      <c r="C90" t="s">
        <v>1917</v>
      </c>
      <c r="D90" t="s">
        <v>9</v>
      </c>
      <c r="E90" t="s">
        <v>676</v>
      </c>
      <c r="F90">
        <v>4500220872</v>
      </c>
      <c r="G90" t="s">
        <v>3965</v>
      </c>
      <c r="H90" t="s">
        <v>3334</v>
      </c>
      <c r="I90" t="s">
        <v>1625</v>
      </c>
      <c r="J90" t="s">
        <v>676</v>
      </c>
      <c r="K90" s="2">
        <v>15000</v>
      </c>
      <c r="L90" s="2">
        <v>204661</v>
      </c>
      <c r="M90" t="str">
        <f>IFERROR(IF(VLOOKUP(LEFT(B90,2),'Humanitarian codes'!$A$2:$A$10,1,FALSE)=LEFT(B90,2),"Yes","Error"),"No")</f>
        <v>No</v>
      </c>
    </row>
    <row r="91" spans="1:13" x14ac:dyDescent="0.25">
      <c r="A91">
        <v>2022</v>
      </c>
      <c r="B91" t="s">
        <v>1916</v>
      </c>
      <c r="C91" t="s">
        <v>1917</v>
      </c>
      <c r="D91" t="s">
        <v>9</v>
      </c>
      <c r="E91" t="s">
        <v>676</v>
      </c>
      <c r="F91">
        <v>4500236812</v>
      </c>
      <c r="G91" t="s">
        <v>3966</v>
      </c>
      <c r="H91" t="s">
        <v>3334</v>
      </c>
      <c r="I91" t="s">
        <v>3967</v>
      </c>
      <c r="J91" t="s">
        <v>676</v>
      </c>
      <c r="K91" s="2">
        <v>68733</v>
      </c>
      <c r="L91" s="2">
        <v>68733</v>
      </c>
      <c r="M91" t="str">
        <f>IFERROR(IF(VLOOKUP(LEFT(B91,2),'Humanitarian codes'!$A$2:$A$10,1,FALSE)=LEFT(B91,2),"Yes","Error"),"No")</f>
        <v>No</v>
      </c>
    </row>
    <row r="92" spans="1:13" x14ac:dyDescent="0.25">
      <c r="A92">
        <v>2022</v>
      </c>
      <c r="B92" t="s">
        <v>1916</v>
      </c>
      <c r="C92" t="s">
        <v>1917</v>
      </c>
      <c r="D92" t="s">
        <v>9</v>
      </c>
      <c r="E92" t="s">
        <v>676</v>
      </c>
      <c r="F92">
        <v>4500269730</v>
      </c>
      <c r="G92" t="s">
        <v>3968</v>
      </c>
      <c r="H92" t="s">
        <v>3334</v>
      </c>
      <c r="I92" t="s">
        <v>3969</v>
      </c>
      <c r="J92" t="s">
        <v>197</v>
      </c>
      <c r="K92" s="2">
        <v>14000</v>
      </c>
      <c r="L92" s="2">
        <v>14000</v>
      </c>
      <c r="M92" t="str">
        <f>IFERROR(IF(VLOOKUP(LEFT(B92,2),'Humanitarian codes'!$A$2:$A$10,1,FALSE)=LEFT(B92,2),"Yes","Error"),"No")</f>
        <v>No</v>
      </c>
    </row>
    <row r="93" spans="1:13" x14ac:dyDescent="0.25">
      <c r="A93">
        <v>2022</v>
      </c>
      <c r="B93" t="s">
        <v>3970</v>
      </c>
      <c r="C93" t="s">
        <v>3971</v>
      </c>
      <c r="D93" t="s">
        <v>9</v>
      </c>
      <c r="E93" t="s">
        <v>518</v>
      </c>
      <c r="F93">
        <v>4500189908</v>
      </c>
      <c r="G93" t="s">
        <v>3972</v>
      </c>
      <c r="H93" t="s">
        <v>3334</v>
      </c>
      <c r="I93" t="s">
        <v>3973</v>
      </c>
      <c r="J93" t="s">
        <v>518</v>
      </c>
      <c r="K93" s="2">
        <v>59097</v>
      </c>
      <c r="L93" s="2">
        <v>59098</v>
      </c>
      <c r="M93" t="str">
        <f>IFERROR(IF(VLOOKUP(LEFT(B93,2),'Humanitarian codes'!$A$2:$A$10,1,FALSE)=LEFT(B93,2),"Yes","Error"),"No")</f>
        <v>No</v>
      </c>
    </row>
    <row r="94" spans="1:13" x14ac:dyDescent="0.25">
      <c r="A94">
        <v>2022</v>
      </c>
      <c r="B94" t="s">
        <v>3970</v>
      </c>
      <c r="C94" t="s">
        <v>3971</v>
      </c>
      <c r="D94" t="s">
        <v>9</v>
      </c>
      <c r="E94" t="s">
        <v>518</v>
      </c>
      <c r="F94">
        <v>4500214181</v>
      </c>
      <c r="G94" t="s">
        <v>3974</v>
      </c>
      <c r="H94" t="s">
        <v>3334</v>
      </c>
      <c r="I94" t="s">
        <v>3975</v>
      </c>
      <c r="J94" t="s">
        <v>518</v>
      </c>
      <c r="K94" s="2">
        <v>32000</v>
      </c>
      <c r="L94" s="2">
        <v>32000</v>
      </c>
      <c r="M94" t="str">
        <f>IFERROR(IF(VLOOKUP(LEFT(B94,2),'Humanitarian codes'!$A$2:$A$10,1,FALSE)=LEFT(B94,2),"Yes","Error"),"No")</f>
        <v>No</v>
      </c>
    </row>
    <row r="95" spans="1:13" x14ac:dyDescent="0.25">
      <c r="A95">
        <v>2022</v>
      </c>
      <c r="B95" t="s">
        <v>3976</v>
      </c>
      <c r="C95" t="s">
        <v>3977</v>
      </c>
      <c r="D95" t="s">
        <v>30</v>
      </c>
      <c r="E95" t="s">
        <v>128</v>
      </c>
      <c r="F95">
        <v>4500185390</v>
      </c>
      <c r="G95" t="s">
        <v>3978</v>
      </c>
      <c r="H95" t="s">
        <v>3334</v>
      </c>
      <c r="I95" t="s">
        <v>3979</v>
      </c>
      <c r="J95" t="s">
        <v>616</v>
      </c>
      <c r="K95" s="2">
        <v>49582</v>
      </c>
      <c r="L95" s="2">
        <v>49582</v>
      </c>
      <c r="M95" t="str">
        <f>IFERROR(IF(VLOOKUP(LEFT(B95,2),'Humanitarian codes'!$A$2:$A$10,1,FALSE)=LEFT(B95,2),"Yes","Error"),"No")</f>
        <v>No</v>
      </c>
    </row>
    <row r="96" spans="1:13" x14ac:dyDescent="0.25">
      <c r="A96">
        <v>2022</v>
      </c>
      <c r="B96" t="s">
        <v>3976</v>
      </c>
      <c r="C96" t="s">
        <v>3977</v>
      </c>
      <c r="D96" t="s">
        <v>30</v>
      </c>
      <c r="E96" t="s">
        <v>128</v>
      </c>
      <c r="F96">
        <v>4500186034</v>
      </c>
      <c r="G96" t="s">
        <v>3980</v>
      </c>
      <c r="H96" t="s">
        <v>3334</v>
      </c>
      <c r="I96" t="s">
        <v>3981</v>
      </c>
      <c r="J96" t="s">
        <v>128</v>
      </c>
      <c r="K96" s="2">
        <v>31999</v>
      </c>
      <c r="L96" s="2">
        <v>35999</v>
      </c>
      <c r="M96" t="str">
        <f>IFERROR(IF(VLOOKUP(LEFT(B96,2),'Humanitarian codes'!$A$2:$A$10,1,FALSE)=LEFT(B96,2),"Yes","Error"),"No")</f>
        <v>No</v>
      </c>
    </row>
    <row r="97" spans="1:13" x14ac:dyDescent="0.25">
      <c r="A97">
        <v>2022</v>
      </c>
      <c r="B97" t="s">
        <v>3976</v>
      </c>
      <c r="C97" t="s">
        <v>3977</v>
      </c>
      <c r="D97" t="s">
        <v>30</v>
      </c>
      <c r="E97" t="s">
        <v>128</v>
      </c>
      <c r="F97">
        <v>4500191805</v>
      </c>
      <c r="G97" t="s">
        <v>3982</v>
      </c>
      <c r="H97" t="s">
        <v>3334</v>
      </c>
      <c r="I97" t="s">
        <v>2642</v>
      </c>
      <c r="J97" t="s">
        <v>581</v>
      </c>
      <c r="K97" s="2">
        <v>49863</v>
      </c>
      <c r="L97" s="2">
        <v>92340</v>
      </c>
      <c r="M97" t="str">
        <f>IFERROR(IF(VLOOKUP(LEFT(B97,2),'Humanitarian codes'!$A$2:$A$10,1,FALSE)=LEFT(B97,2),"Yes","Error"),"No")</f>
        <v>No</v>
      </c>
    </row>
    <row r="98" spans="1:13" x14ac:dyDescent="0.25">
      <c r="A98">
        <v>2022</v>
      </c>
      <c r="B98" t="s">
        <v>3983</v>
      </c>
      <c r="C98" t="s">
        <v>3984</v>
      </c>
      <c r="D98" t="s">
        <v>30</v>
      </c>
      <c r="E98" t="s">
        <v>32</v>
      </c>
      <c r="F98">
        <v>4500210492</v>
      </c>
      <c r="G98" t="s">
        <v>3985</v>
      </c>
      <c r="H98" t="s">
        <v>3334</v>
      </c>
      <c r="I98" t="s">
        <v>1700</v>
      </c>
      <c r="J98" t="s">
        <v>32</v>
      </c>
      <c r="K98" s="2">
        <v>118806</v>
      </c>
      <c r="L98" s="2">
        <v>118806</v>
      </c>
      <c r="M98" t="str">
        <f>IFERROR(IF(VLOOKUP(LEFT(B98,2),'Humanitarian codes'!$A$2:$A$10,1,FALSE)=LEFT(B98,2),"Yes","Error"),"No")</f>
        <v>No</v>
      </c>
    </row>
    <row r="99" spans="1:13" x14ac:dyDescent="0.25">
      <c r="A99">
        <v>2022</v>
      </c>
      <c r="B99" t="s">
        <v>3983</v>
      </c>
      <c r="C99" t="s">
        <v>3984</v>
      </c>
      <c r="D99" t="s">
        <v>30</v>
      </c>
      <c r="E99" t="s">
        <v>32</v>
      </c>
      <c r="F99">
        <v>4500210533</v>
      </c>
      <c r="G99" t="s">
        <v>3986</v>
      </c>
      <c r="H99" t="s">
        <v>3334</v>
      </c>
      <c r="I99" t="s">
        <v>1700</v>
      </c>
      <c r="J99" t="s">
        <v>32</v>
      </c>
      <c r="K99" s="2">
        <v>180357</v>
      </c>
      <c r="L99" s="2">
        <v>180357</v>
      </c>
      <c r="M99" t="str">
        <f>IFERROR(IF(VLOOKUP(LEFT(B99,2),'Humanitarian codes'!$A$2:$A$10,1,FALSE)=LEFT(B99,2),"Yes","Error"),"No")</f>
        <v>No</v>
      </c>
    </row>
    <row r="100" spans="1:13" x14ac:dyDescent="0.25">
      <c r="A100">
        <v>2022</v>
      </c>
      <c r="B100" t="s">
        <v>3987</v>
      </c>
      <c r="C100" t="s">
        <v>3988</v>
      </c>
      <c r="D100" t="s">
        <v>30</v>
      </c>
      <c r="E100" t="s">
        <v>20</v>
      </c>
      <c r="F100">
        <v>4500225990</v>
      </c>
      <c r="G100" t="s">
        <v>3989</v>
      </c>
      <c r="H100" t="s">
        <v>3334</v>
      </c>
      <c r="I100" t="s">
        <v>2233</v>
      </c>
      <c r="J100" t="s">
        <v>20</v>
      </c>
      <c r="K100" s="2">
        <v>35601</v>
      </c>
      <c r="L100" s="2">
        <v>35601</v>
      </c>
      <c r="M100" t="str">
        <f>IFERROR(IF(VLOOKUP(LEFT(B100,2),'Humanitarian codes'!$A$2:$A$10,1,FALSE)=LEFT(B100,2),"Yes","Error"),"No")</f>
        <v>No</v>
      </c>
    </row>
    <row r="101" spans="1:13" x14ac:dyDescent="0.25">
      <c r="A101">
        <v>2022</v>
      </c>
      <c r="B101" t="s">
        <v>3990</v>
      </c>
      <c r="C101" t="s">
        <v>3991</v>
      </c>
      <c r="D101" t="s">
        <v>30</v>
      </c>
      <c r="E101" t="s">
        <v>128</v>
      </c>
      <c r="F101">
        <v>4500194381</v>
      </c>
      <c r="G101" t="s">
        <v>3992</v>
      </c>
      <c r="H101" t="s">
        <v>3334</v>
      </c>
      <c r="I101" t="s">
        <v>3993</v>
      </c>
      <c r="J101" t="s">
        <v>128</v>
      </c>
      <c r="K101" s="2">
        <v>20000</v>
      </c>
      <c r="L101" s="2">
        <v>40200</v>
      </c>
      <c r="M101" t="str">
        <f>IFERROR(IF(VLOOKUP(LEFT(B101,2),'Humanitarian codes'!$A$2:$A$10,1,FALSE)=LEFT(B101,2),"Yes","Error"),"No")</f>
        <v>No</v>
      </c>
    </row>
    <row r="102" spans="1:13" x14ac:dyDescent="0.25">
      <c r="A102">
        <v>2022</v>
      </c>
      <c r="B102" t="s">
        <v>3994</v>
      </c>
      <c r="C102" t="s">
        <v>3995</v>
      </c>
      <c r="D102" t="s">
        <v>30</v>
      </c>
      <c r="E102" t="s">
        <v>261</v>
      </c>
      <c r="F102">
        <v>4500228395</v>
      </c>
      <c r="G102" t="s">
        <v>3996</v>
      </c>
      <c r="H102" t="s">
        <v>3334</v>
      </c>
      <c r="I102" t="s">
        <v>3997</v>
      </c>
      <c r="J102" t="s">
        <v>261</v>
      </c>
      <c r="K102" s="2">
        <v>76734</v>
      </c>
      <c r="L102" s="2">
        <v>76734</v>
      </c>
      <c r="M102" t="str">
        <f>IFERROR(IF(VLOOKUP(LEFT(B102,2),'Humanitarian codes'!$A$2:$A$10,1,FALSE)=LEFT(B102,2),"Yes","Error"),"No")</f>
        <v>No</v>
      </c>
    </row>
    <row r="103" spans="1:13" x14ac:dyDescent="0.25">
      <c r="A103">
        <v>2022</v>
      </c>
      <c r="B103" t="s">
        <v>3994</v>
      </c>
      <c r="C103" t="s">
        <v>3995</v>
      </c>
      <c r="D103" t="s">
        <v>30</v>
      </c>
      <c r="E103" t="s">
        <v>261</v>
      </c>
      <c r="F103">
        <v>4500228400</v>
      </c>
      <c r="G103" t="s">
        <v>3938</v>
      </c>
      <c r="H103" t="s">
        <v>3334</v>
      </c>
      <c r="I103" t="s">
        <v>3998</v>
      </c>
      <c r="J103" t="s">
        <v>261</v>
      </c>
      <c r="K103" s="2">
        <v>44270</v>
      </c>
      <c r="L103" s="2">
        <v>44270</v>
      </c>
      <c r="M103" t="str">
        <f>IFERROR(IF(VLOOKUP(LEFT(B103,2),'Humanitarian codes'!$A$2:$A$10,1,FALSE)=LEFT(B103,2),"Yes","Error"),"No")</f>
        <v>No</v>
      </c>
    </row>
    <row r="104" spans="1:13" x14ac:dyDescent="0.25">
      <c r="A104">
        <v>2022</v>
      </c>
      <c r="B104" t="s">
        <v>3994</v>
      </c>
      <c r="C104" t="s">
        <v>3995</v>
      </c>
      <c r="D104" t="s">
        <v>30</v>
      </c>
      <c r="E104" t="s">
        <v>261</v>
      </c>
      <c r="F104">
        <v>4500234106</v>
      </c>
      <c r="G104" t="s">
        <v>3999</v>
      </c>
      <c r="H104" t="s">
        <v>3334</v>
      </c>
      <c r="I104" t="s">
        <v>4000</v>
      </c>
      <c r="J104" t="s">
        <v>261</v>
      </c>
      <c r="K104" s="2">
        <v>29513</v>
      </c>
      <c r="L104" s="2">
        <v>29513</v>
      </c>
      <c r="M104" t="str">
        <f>IFERROR(IF(VLOOKUP(LEFT(B104,2),'Humanitarian codes'!$A$2:$A$10,1,FALSE)=LEFT(B104,2),"Yes","Error"),"No")</f>
        <v>No</v>
      </c>
    </row>
    <row r="105" spans="1:13" x14ac:dyDescent="0.25">
      <c r="A105">
        <v>2022</v>
      </c>
      <c r="B105" t="s">
        <v>4001</v>
      </c>
      <c r="C105" t="s">
        <v>4002</v>
      </c>
      <c r="D105" t="s">
        <v>30</v>
      </c>
      <c r="E105" t="s">
        <v>257</v>
      </c>
      <c r="F105">
        <v>4500219505</v>
      </c>
      <c r="G105" t="s">
        <v>3938</v>
      </c>
      <c r="H105" t="s">
        <v>3334</v>
      </c>
      <c r="I105" t="s">
        <v>4003</v>
      </c>
      <c r="J105" t="s">
        <v>257</v>
      </c>
      <c r="K105" s="2">
        <v>13783</v>
      </c>
      <c r="L105" s="2">
        <v>13783</v>
      </c>
      <c r="M105" t="str">
        <f>IFERROR(IF(VLOOKUP(LEFT(B105,2),'Humanitarian codes'!$A$2:$A$10,1,FALSE)=LEFT(B105,2),"Yes","Error"),"No")</f>
        <v>No</v>
      </c>
    </row>
    <row r="106" spans="1:13" x14ac:dyDescent="0.25">
      <c r="A106">
        <v>2022</v>
      </c>
      <c r="B106" t="s">
        <v>4001</v>
      </c>
      <c r="C106" t="s">
        <v>4002</v>
      </c>
      <c r="D106" t="s">
        <v>30</v>
      </c>
      <c r="E106" t="s">
        <v>257</v>
      </c>
      <c r="F106">
        <v>4500225963</v>
      </c>
      <c r="G106" t="s">
        <v>3938</v>
      </c>
      <c r="H106" t="s">
        <v>3334</v>
      </c>
      <c r="I106" t="s">
        <v>4004</v>
      </c>
      <c r="J106" t="s">
        <v>257</v>
      </c>
      <c r="K106" s="2">
        <v>16318</v>
      </c>
      <c r="L106" s="2">
        <v>16318</v>
      </c>
      <c r="M106" t="str">
        <f>IFERROR(IF(VLOOKUP(LEFT(B106,2),'Humanitarian codes'!$A$2:$A$10,1,FALSE)=LEFT(B106,2),"Yes","Error"),"No")</f>
        <v>No</v>
      </c>
    </row>
    <row r="107" spans="1:13" x14ac:dyDescent="0.25">
      <c r="A107">
        <v>2022</v>
      </c>
      <c r="B107" t="s">
        <v>4001</v>
      </c>
      <c r="C107" t="s">
        <v>4002</v>
      </c>
      <c r="D107" t="s">
        <v>30</v>
      </c>
      <c r="E107" t="s">
        <v>257</v>
      </c>
      <c r="F107">
        <v>4500225966</v>
      </c>
      <c r="G107" t="s">
        <v>3938</v>
      </c>
      <c r="H107" t="s">
        <v>3334</v>
      </c>
      <c r="I107" t="s">
        <v>4005</v>
      </c>
      <c r="J107" t="s">
        <v>257</v>
      </c>
      <c r="K107" s="2">
        <v>15433</v>
      </c>
      <c r="L107" s="2">
        <v>15433</v>
      </c>
      <c r="M107" t="str">
        <f>IFERROR(IF(VLOOKUP(LEFT(B107,2),'Humanitarian codes'!$A$2:$A$10,1,FALSE)=LEFT(B107,2),"Yes","Error"),"No")</f>
        <v>No</v>
      </c>
    </row>
    <row r="108" spans="1:13" x14ac:dyDescent="0.25">
      <c r="A108">
        <v>2022</v>
      </c>
      <c r="B108" t="s">
        <v>4006</v>
      </c>
      <c r="C108" t="s">
        <v>4007</v>
      </c>
      <c r="D108" t="s">
        <v>30</v>
      </c>
      <c r="E108" t="s">
        <v>814</v>
      </c>
      <c r="F108">
        <v>4500181388</v>
      </c>
      <c r="G108" t="s">
        <v>4008</v>
      </c>
      <c r="H108" t="s">
        <v>3334</v>
      </c>
      <c r="I108" t="s">
        <v>117</v>
      </c>
      <c r="J108" t="s">
        <v>3842</v>
      </c>
      <c r="K108" s="2">
        <v>22852</v>
      </c>
      <c r="L108" s="2">
        <v>38085</v>
      </c>
      <c r="M108" t="str">
        <f>IFERROR(IF(VLOOKUP(LEFT(B108,2),'Humanitarian codes'!$A$2:$A$10,1,FALSE)=LEFT(B108,2),"Yes","Error"),"No")</f>
        <v>No</v>
      </c>
    </row>
    <row r="109" spans="1:13" x14ac:dyDescent="0.25">
      <c r="A109">
        <v>2022</v>
      </c>
      <c r="B109" t="s">
        <v>4009</v>
      </c>
      <c r="C109" t="s">
        <v>4010</v>
      </c>
      <c r="D109" t="s">
        <v>30</v>
      </c>
      <c r="E109" t="s">
        <v>261</v>
      </c>
      <c r="F109">
        <v>4500180356</v>
      </c>
      <c r="G109" t="s">
        <v>4011</v>
      </c>
      <c r="H109" t="s">
        <v>3334</v>
      </c>
      <c r="I109" t="s">
        <v>4012</v>
      </c>
      <c r="J109" t="s">
        <v>261</v>
      </c>
      <c r="K109" s="2">
        <v>1521327</v>
      </c>
      <c r="L109" s="2">
        <v>1521327</v>
      </c>
      <c r="M109" t="str">
        <f>IFERROR(IF(VLOOKUP(LEFT(B109,2),'Humanitarian codes'!$A$2:$A$10,1,FALSE)=LEFT(B109,2),"Yes","Error"),"No")</f>
        <v>No</v>
      </c>
    </row>
    <row r="110" spans="1:13" x14ac:dyDescent="0.25">
      <c r="A110">
        <v>2022</v>
      </c>
      <c r="B110" t="s">
        <v>4013</v>
      </c>
      <c r="C110" t="s">
        <v>4014</v>
      </c>
      <c r="D110" t="s">
        <v>30</v>
      </c>
      <c r="E110" t="s">
        <v>330</v>
      </c>
      <c r="F110">
        <v>4500240735</v>
      </c>
      <c r="G110" t="s">
        <v>4015</v>
      </c>
      <c r="H110" t="s">
        <v>3334</v>
      </c>
      <c r="I110" t="s">
        <v>4016</v>
      </c>
      <c r="J110" t="s">
        <v>330</v>
      </c>
      <c r="K110" s="2">
        <v>84554</v>
      </c>
      <c r="L110" s="2">
        <v>84554</v>
      </c>
      <c r="M110" t="str">
        <f>IFERROR(IF(VLOOKUP(LEFT(B110,2),'Humanitarian codes'!$A$2:$A$10,1,FALSE)=LEFT(B110,2),"Yes","Error"),"No")</f>
        <v>No</v>
      </c>
    </row>
    <row r="111" spans="1:13" x14ac:dyDescent="0.25">
      <c r="A111">
        <v>2022</v>
      </c>
      <c r="B111" t="s">
        <v>4013</v>
      </c>
      <c r="C111" t="s">
        <v>4014</v>
      </c>
      <c r="D111" t="s">
        <v>30</v>
      </c>
      <c r="E111" t="s">
        <v>330</v>
      </c>
      <c r="F111">
        <v>4500255837</v>
      </c>
      <c r="G111" t="s">
        <v>4017</v>
      </c>
      <c r="H111" t="s">
        <v>3334</v>
      </c>
      <c r="I111" t="s">
        <v>1722</v>
      </c>
      <c r="J111" t="s">
        <v>330</v>
      </c>
      <c r="K111" s="2">
        <v>90673</v>
      </c>
      <c r="L111" s="2">
        <v>90673</v>
      </c>
      <c r="M111" t="str">
        <f>IFERROR(IF(VLOOKUP(LEFT(B111,2),'Humanitarian codes'!$A$2:$A$10,1,FALSE)=LEFT(B111,2),"Yes","Error"),"No")</f>
        <v>No</v>
      </c>
    </row>
    <row r="112" spans="1:13" x14ac:dyDescent="0.25">
      <c r="A112">
        <v>2022</v>
      </c>
      <c r="B112" t="s">
        <v>4018</v>
      </c>
      <c r="C112" t="s">
        <v>4019</v>
      </c>
      <c r="D112" t="s">
        <v>30</v>
      </c>
      <c r="E112" t="s">
        <v>940</v>
      </c>
      <c r="F112">
        <v>4500224729</v>
      </c>
      <c r="G112" t="s">
        <v>4020</v>
      </c>
      <c r="H112" t="s">
        <v>3334</v>
      </c>
      <c r="I112" t="s">
        <v>4021</v>
      </c>
      <c r="J112" t="s">
        <v>940</v>
      </c>
      <c r="K112" s="2">
        <v>24689</v>
      </c>
      <c r="L112" s="2">
        <v>24689</v>
      </c>
      <c r="M112" t="str">
        <f>IFERROR(IF(VLOOKUP(LEFT(B112,2),'Humanitarian codes'!$A$2:$A$10,1,FALSE)=LEFT(B112,2),"Yes","Error"),"No")</f>
        <v>No</v>
      </c>
    </row>
    <row r="113" spans="1:13" x14ac:dyDescent="0.25">
      <c r="A113">
        <v>2022</v>
      </c>
      <c r="B113" t="s">
        <v>4018</v>
      </c>
      <c r="C113" t="s">
        <v>4019</v>
      </c>
      <c r="D113" t="s">
        <v>30</v>
      </c>
      <c r="E113" t="s">
        <v>940</v>
      </c>
      <c r="F113">
        <v>4500224731</v>
      </c>
      <c r="G113" t="s">
        <v>4022</v>
      </c>
      <c r="H113" t="s">
        <v>3334</v>
      </c>
      <c r="I113" t="s">
        <v>1259</v>
      </c>
      <c r="J113" t="s">
        <v>940</v>
      </c>
      <c r="K113" s="2">
        <v>25683</v>
      </c>
      <c r="L113" s="2">
        <v>25683</v>
      </c>
      <c r="M113" t="str">
        <f>IFERROR(IF(VLOOKUP(LEFT(B113,2),'Humanitarian codes'!$A$2:$A$10,1,FALSE)=LEFT(B113,2),"Yes","Error"),"No")</f>
        <v>No</v>
      </c>
    </row>
    <row r="114" spans="1:13" x14ac:dyDescent="0.25">
      <c r="A114">
        <v>2022</v>
      </c>
      <c r="B114" t="s">
        <v>4018</v>
      </c>
      <c r="C114" t="s">
        <v>4019</v>
      </c>
      <c r="D114" t="s">
        <v>30</v>
      </c>
      <c r="E114" t="s">
        <v>940</v>
      </c>
      <c r="F114">
        <v>4500248121</v>
      </c>
      <c r="G114" t="s">
        <v>4023</v>
      </c>
      <c r="H114" t="s">
        <v>3334</v>
      </c>
      <c r="I114" t="s">
        <v>1259</v>
      </c>
      <c r="J114" t="s">
        <v>940</v>
      </c>
      <c r="K114" s="2">
        <v>14500</v>
      </c>
      <c r="L114" s="2">
        <v>14500</v>
      </c>
      <c r="M114" t="str">
        <f>IFERROR(IF(VLOOKUP(LEFT(B114,2),'Humanitarian codes'!$A$2:$A$10,1,FALSE)=LEFT(B114,2),"Yes","Error"),"No")</f>
        <v>No</v>
      </c>
    </row>
    <row r="115" spans="1:13" x14ac:dyDescent="0.25">
      <c r="A115">
        <v>2022</v>
      </c>
      <c r="B115" t="s">
        <v>4024</v>
      </c>
      <c r="C115" t="s">
        <v>4025</v>
      </c>
      <c r="D115" t="s">
        <v>30</v>
      </c>
      <c r="E115" t="s">
        <v>1508</v>
      </c>
      <c r="F115">
        <v>4500204266</v>
      </c>
      <c r="G115" t="s">
        <v>4026</v>
      </c>
      <c r="H115" t="s">
        <v>3334</v>
      </c>
      <c r="I115" t="s">
        <v>3673</v>
      </c>
      <c r="J115" t="s">
        <v>1508</v>
      </c>
      <c r="K115" s="2">
        <v>31161</v>
      </c>
      <c r="L115" s="2">
        <v>31161</v>
      </c>
      <c r="M115" t="str">
        <f>IFERROR(IF(VLOOKUP(LEFT(B115,2),'Humanitarian codes'!$A$2:$A$10,1,FALSE)=LEFT(B115,2),"Yes","Error"),"No")</f>
        <v>No</v>
      </c>
    </row>
    <row r="116" spans="1:13" x14ac:dyDescent="0.25">
      <c r="A116">
        <v>2022</v>
      </c>
      <c r="B116" t="s">
        <v>2226</v>
      </c>
      <c r="C116" t="s">
        <v>2227</v>
      </c>
      <c r="D116" t="s">
        <v>30</v>
      </c>
      <c r="E116" t="s">
        <v>20</v>
      </c>
      <c r="F116">
        <v>4500185892</v>
      </c>
      <c r="G116" t="s">
        <v>4027</v>
      </c>
      <c r="H116" t="s">
        <v>3334</v>
      </c>
      <c r="I116" t="s">
        <v>4028</v>
      </c>
      <c r="J116" t="s">
        <v>20</v>
      </c>
      <c r="K116" s="2">
        <v>47617</v>
      </c>
      <c r="L116" s="2">
        <v>47617</v>
      </c>
      <c r="M116" t="str">
        <f>IFERROR(IF(VLOOKUP(LEFT(B116,2),'Humanitarian codes'!$A$2:$A$10,1,FALSE)=LEFT(B116,2),"Yes","Error"),"No")</f>
        <v>No</v>
      </c>
    </row>
    <row r="117" spans="1:13" x14ac:dyDescent="0.25">
      <c r="A117">
        <v>2022</v>
      </c>
      <c r="B117" t="s">
        <v>4029</v>
      </c>
      <c r="C117" t="s">
        <v>4030</v>
      </c>
      <c r="D117" t="s">
        <v>30</v>
      </c>
      <c r="E117" t="s">
        <v>493</v>
      </c>
      <c r="F117">
        <v>4500194382</v>
      </c>
      <c r="G117" t="s">
        <v>4031</v>
      </c>
      <c r="H117" t="s">
        <v>3334</v>
      </c>
      <c r="I117" t="s">
        <v>4032</v>
      </c>
      <c r="J117" t="s">
        <v>493</v>
      </c>
      <c r="K117" s="2">
        <v>34261</v>
      </c>
      <c r="L117" s="2">
        <v>34261</v>
      </c>
      <c r="M117" t="str">
        <f>IFERROR(IF(VLOOKUP(LEFT(B117,2),'Humanitarian codes'!$A$2:$A$10,1,FALSE)=LEFT(B117,2),"Yes","Error"),"No")</f>
        <v>No</v>
      </c>
    </row>
    <row r="118" spans="1:13" x14ac:dyDescent="0.25">
      <c r="A118">
        <v>2022</v>
      </c>
      <c r="B118" t="s">
        <v>4033</v>
      </c>
      <c r="C118" t="s">
        <v>4034</v>
      </c>
      <c r="D118" t="s">
        <v>30</v>
      </c>
      <c r="E118" t="s">
        <v>20</v>
      </c>
      <c r="F118">
        <v>4500188828</v>
      </c>
      <c r="G118" t="s">
        <v>4035</v>
      </c>
      <c r="H118" t="s">
        <v>3334</v>
      </c>
      <c r="I118" t="s">
        <v>1580</v>
      </c>
      <c r="J118" t="s">
        <v>20</v>
      </c>
      <c r="K118" s="2">
        <v>218806</v>
      </c>
      <c r="L118" s="2">
        <v>218806</v>
      </c>
      <c r="M118" t="str">
        <f>IFERROR(IF(VLOOKUP(LEFT(B118,2),'Humanitarian codes'!$A$2:$A$10,1,FALSE)=LEFT(B118,2),"Yes","Error"),"No")</f>
        <v>No</v>
      </c>
    </row>
    <row r="119" spans="1:13" x14ac:dyDescent="0.25">
      <c r="A119">
        <v>2022</v>
      </c>
      <c r="B119" t="s">
        <v>4036</v>
      </c>
      <c r="C119" t="s">
        <v>4037</v>
      </c>
      <c r="D119" t="s">
        <v>30</v>
      </c>
      <c r="E119" t="s">
        <v>518</v>
      </c>
      <c r="F119">
        <v>4500192388</v>
      </c>
      <c r="G119" t="s">
        <v>4038</v>
      </c>
      <c r="H119" t="s">
        <v>3334</v>
      </c>
      <c r="I119" t="s">
        <v>4039</v>
      </c>
      <c r="J119" t="s">
        <v>518</v>
      </c>
      <c r="K119" s="2">
        <v>831552</v>
      </c>
      <c r="L119" s="2">
        <v>831552</v>
      </c>
      <c r="M119" t="str">
        <f>IFERROR(IF(VLOOKUP(LEFT(B119,2),'Humanitarian codes'!$A$2:$A$10,1,FALSE)=LEFT(B119,2),"Yes","Error"),"No")</f>
        <v>No</v>
      </c>
    </row>
    <row r="120" spans="1:13" x14ac:dyDescent="0.25">
      <c r="A120">
        <v>2022</v>
      </c>
      <c r="B120" t="s">
        <v>4040</v>
      </c>
      <c r="C120" t="s">
        <v>4041</v>
      </c>
      <c r="D120" t="s">
        <v>30</v>
      </c>
      <c r="E120" t="s">
        <v>814</v>
      </c>
      <c r="F120">
        <v>4500181388</v>
      </c>
      <c r="G120" t="s">
        <v>4008</v>
      </c>
      <c r="H120" t="s">
        <v>3334</v>
      </c>
      <c r="I120" t="s">
        <v>117</v>
      </c>
      <c r="J120" t="s">
        <v>3842</v>
      </c>
      <c r="K120" s="2">
        <v>15234</v>
      </c>
      <c r="L120" s="2">
        <v>38085</v>
      </c>
      <c r="M120" t="str">
        <f>IFERROR(IF(VLOOKUP(LEFT(B120,2),'Humanitarian codes'!$A$2:$A$10,1,FALSE)=LEFT(B120,2),"Yes","Error"),"No")</f>
        <v>No</v>
      </c>
    </row>
    <row r="121" spans="1:13" x14ac:dyDescent="0.25">
      <c r="A121">
        <v>2022</v>
      </c>
      <c r="B121" t="s">
        <v>4040</v>
      </c>
      <c r="C121" t="s">
        <v>4041</v>
      </c>
      <c r="D121" t="s">
        <v>30</v>
      </c>
      <c r="E121" t="s">
        <v>814</v>
      </c>
      <c r="F121">
        <v>4500258173</v>
      </c>
      <c r="G121" t="s">
        <v>4042</v>
      </c>
      <c r="H121" t="s">
        <v>3334</v>
      </c>
      <c r="I121" t="s">
        <v>4043</v>
      </c>
      <c r="J121" t="s">
        <v>3842</v>
      </c>
      <c r="K121" s="2">
        <v>1856</v>
      </c>
      <c r="L121" s="2">
        <v>1856</v>
      </c>
      <c r="M121" t="str">
        <f>IFERROR(IF(VLOOKUP(LEFT(B121,2),'Humanitarian codes'!$A$2:$A$10,1,FALSE)=LEFT(B121,2),"Yes","Error"),"No")</f>
        <v>No</v>
      </c>
    </row>
    <row r="122" spans="1:13" x14ac:dyDescent="0.25">
      <c r="A122">
        <v>2022</v>
      </c>
      <c r="B122" t="s">
        <v>4040</v>
      </c>
      <c r="C122" t="s">
        <v>4041</v>
      </c>
      <c r="D122" t="s">
        <v>30</v>
      </c>
      <c r="E122" t="s">
        <v>814</v>
      </c>
      <c r="F122">
        <v>4500258178</v>
      </c>
      <c r="G122" t="s">
        <v>4044</v>
      </c>
      <c r="H122" t="s">
        <v>3334</v>
      </c>
      <c r="I122" t="s">
        <v>4045</v>
      </c>
      <c r="J122" t="s">
        <v>3842</v>
      </c>
      <c r="K122" s="2">
        <v>1856</v>
      </c>
      <c r="L122" s="2">
        <v>1856</v>
      </c>
      <c r="M122" t="str">
        <f>IFERROR(IF(VLOOKUP(LEFT(B122,2),'Humanitarian codes'!$A$2:$A$10,1,FALSE)=LEFT(B122,2),"Yes","Error"),"No")</f>
        <v>No</v>
      </c>
    </row>
    <row r="123" spans="1:13" x14ac:dyDescent="0.25">
      <c r="A123">
        <v>2022</v>
      </c>
      <c r="B123" t="s">
        <v>3352</v>
      </c>
      <c r="C123" t="s">
        <v>3353</v>
      </c>
      <c r="D123" t="s">
        <v>30</v>
      </c>
      <c r="E123" t="s">
        <v>493</v>
      </c>
      <c r="F123">
        <v>4500212415</v>
      </c>
      <c r="G123" t="s">
        <v>3938</v>
      </c>
      <c r="H123" t="s">
        <v>3334</v>
      </c>
      <c r="I123" t="s">
        <v>4046</v>
      </c>
      <c r="J123" t="s">
        <v>493</v>
      </c>
      <c r="K123" s="2">
        <v>80998</v>
      </c>
      <c r="L123" s="2">
        <v>80998</v>
      </c>
      <c r="M123" t="str">
        <f>IFERROR(IF(VLOOKUP(LEFT(B123,2),'Humanitarian codes'!$A$2:$A$10,1,FALSE)=LEFT(B123,2),"Yes","Error"),"No")</f>
        <v>No</v>
      </c>
    </row>
    <row r="124" spans="1:13" x14ac:dyDescent="0.25">
      <c r="A124">
        <v>2022</v>
      </c>
      <c r="B124" t="s">
        <v>3352</v>
      </c>
      <c r="C124" t="s">
        <v>3353</v>
      </c>
      <c r="D124" t="s">
        <v>30</v>
      </c>
      <c r="E124" t="s">
        <v>493</v>
      </c>
      <c r="F124">
        <v>4500216514</v>
      </c>
      <c r="G124" t="s">
        <v>4047</v>
      </c>
      <c r="H124" t="s">
        <v>3334</v>
      </c>
      <c r="I124" t="s">
        <v>4048</v>
      </c>
      <c r="J124" t="s">
        <v>493</v>
      </c>
      <c r="K124" s="2">
        <v>206110</v>
      </c>
      <c r="L124" s="2">
        <v>206110</v>
      </c>
      <c r="M124" t="str">
        <f>IFERROR(IF(VLOOKUP(LEFT(B124,2),'Humanitarian codes'!$A$2:$A$10,1,FALSE)=LEFT(B124,2),"Yes","Error"),"No")</f>
        <v>No</v>
      </c>
    </row>
    <row r="125" spans="1:13" x14ac:dyDescent="0.25">
      <c r="A125">
        <v>2022</v>
      </c>
      <c r="B125" t="s">
        <v>3352</v>
      </c>
      <c r="C125" t="s">
        <v>3353</v>
      </c>
      <c r="D125" t="s">
        <v>30</v>
      </c>
      <c r="E125" t="s">
        <v>493</v>
      </c>
      <c r="F125">
        <v>4500256166</v>
      </c>
      <c r="G125" t="s">
        <v>4049</v>
      </c>
      <c r="H125" t="s">
        <v>3334</v>
      </c>
      <c r="I125" t="s">
        <v>4050</v>
      </c>
      <c r="J125" t="s">
        <v>493</v>
      </c>
      <c r="K125" s="2">
        <v>43441</v>
      </c>
      <c r="L125" s="2">
        <v>43441</v>
      </c>
      <c r="M125" t="str">
        <f>IFERROR(IF(VLOOKUP(LEFT(B125,2),'Humanitarian codes'!$A$2:$A$10,1,FALSE)=LEFT(B125,2),"Yes","Error"),"No")</f>
        <v>No</v>
      </c>
    </row>
    <row r="126" spans="1:13" x14ac:dyDescent="0.25">
      <c r="A126">
        <v>2022</v>
      </c>
      <c r="B126" t="s">
        <v>3352</v>
      </c>
      <c r="C126" t="s">
        <v>3353</v>
      </c>
      <c r="D126" t="s">
        <v>30</v>
      </c>
      <c r="E126" t="s">
        <v>493</v>
      </c>
      <c r="F126">
        <v>4500256267</v>
      </c>
      <c r="G126" t="s">
        <v>4051</v>
      </c>
      <c r="H126" t="s">
        <v>3334</v>
      </c>
      <c r="I126" t="s">
        <v>4052</v>
      </c>
      <c r="J126" t="s">
        <v>493</v>
      </c>
      <c r="K126" s="2">
        <v>87900</v>
      </c>
      <c r="L126" s="2">
        <v>87900</v>
      </c>
      <c r="M126" t="str">
        <f>IFERROR(IF(VLOOKUP(LEFT(B126,2),'Humanitarian codes'!$A$2:$A$10,1,FALSE)=LEFT(B126,2),"Yes","Error"),"No")</f>
        <v>No</v>
      </c>
    </row>
    <row r="127" spans="1:13" x14ac:dyDescent="0.25">
      <c r="A127">
        <v>2022</v>
      </c>
      <c r="B127" t="s">
        <v>3352</v>
      </c>
      <c r="C127" t="s">
        <v>3353</v>
      </c>
      <c r="D127" t="s">
        <v>30</v>
      </c>
      <c r="E127" t="s">
        <v>493</v>
      </c>
      <c r="F127">
        <v>4500257611</v>
      </c>
      <c r="G127" t="s">
        <v>4053</v>
      </c>
      <c r="H127" t="s">
        <v>3334</v>
      </c>
      <c r="I127" t="s">
        <v>1200</v>
      </c>
      <c r="J127" t="s">
        <v>493</v>
      </c>
      <c r="K127" s="2">
        <v>79440</v>
      </c>
      <c r="L127" s="2">
        <v>79440</v>
      </c>
      <c r="M127" t="str">
        <f>IFERROR(IF(VLOOKUP(LEFT(B127,2),'Humanitarian codes'!$A$2:$A$10,1,FALSE)=LEFT(B127,2),"Yes","Error"),"No")</f>
        <v>No</v>
      </c>
    </row>
    <row r="128" spans="1:13" x14ac:dyDescent="0.25">
      <c r="A128">
        <v>2022</v>
      </c>
      <c r="B128" t="s">
        <v>3352</v>
      </c>
      <c r="C128" t="s">
        <v>3353</v>
      </c>
      <c r="D128" t="s">
        <v>30</v>
      </c>
      <c r="E128" t="s">
        <v>493</v>
      </c>
      <c r="F128">
        <v>4500257640</v>
      </c>
      <c r="G128" t="s">
        <v>3938</v>
      </c>
      <c r="H128" t="s">
        <v>3334</v>
      </c>
      <c r="I128" t="s">
        <v>1198</v>
      </c>
      <c r="J128" t="s">
        <v>493</v>
      </c>
      <c r="K128" s="2">
        <v>87309</v>
      </c>
      <c r="L128" s="2">
        <v>87309</v>
      </c>
      <c r="M128" t="str">
        <f>IFERROR(IF(VLOOKUP(LEFT(B128,2),'Humanitarian codes'!$A$2:$A$10,1,FALSE)=LEFT(B128,2),"Yes","Error"),"No")</f>
        <v>No</v>
      </c>
    </row>
    <row r="129" spans="1:13" x14ac:dyDescent="0.25">
      <c r="A129">
        <v>2022</v>
      </c>
      <c r="B129" t="s">
        <v>3352</v>
      </c>
      <c r="C129" t="s">
        <v>3353</v>
      </c>
      <c r="D129" t="s">
        <v>30</v>
      </c>
      <c r="E129" t="s">
        <v>493</v>
      </c>
      <c r="F129">
        <v>4500257697</v>
      </c>
      <c r="G129" t="s">
        <v>3938</v>
      </c>
      <c r="H129" t="s">
        <v>3334</v>
      </c>
      <c r="I129" t="s">
        <v>4054</v>
      </c>
      <c r="J129" t="s">
        <v>493</v>
      </c>
      <c r="K129" s="2">
        <v>2227</v>
      </c>
      <c r="L129" s="2">
        <v>2227</v>
      </c>
      <c r="M129" t="str">
        <f>IFERROR(IF(VLOOKUP(LEFT(B129,2),'Humanitarian codes'!$A$2:$A$10,1,FALSE)=LEFT(B129,2),"Yes","Error"),"No")</f>
        <v>No</v>
      </c>
    </row>
    <row r="130" spans="1:13" x14ac:dyDescent="0.25">
      <c r="A130">
        <v>2022</v>
      </c>
      <c r="B130" t="s">
        <v>3352</v>
      </c>
      <c r="C130" t="s">
        <v>3353</v>
      </c>
      <c r="D130" t="s">
        <v>30</v>
      </c>
      <c r="E130" t="s">
        <v>493</v>
      </c>
      <c r="F130">
        <v>4500257711</v>
      </c>
      <c r="G130" t="s">
        <v>4055</v>
      </c>
      <c r="H130" t="s">
        <v>3334</v>
      </c>
      <c r="I130" t="s">
        <v>4056</v>
      </c>
      <c r="J130" t="s">
        <v>493</v>
      </c>
      <c r="K130" s="2">
        <v>2970</v>
      </c>
      <c r="L130" s="2">
        <v>2970</v>
      </c>
      <c r="M130" t="str">
        <f>IFERROR(IF(VLOOKUP(LEFT(B130,2),'Humanitarian codes'!$A$2:$A$10,1,FALSE)=LEFT(B130,2),"Yes","Error"),"No")</f>
        <v>No</v>
      </c>
    </row>
    <row r="131" spans="1:13" x14ac:dyDescent="0.25">
      <c r="A131">
        <v>2022</v>
      </c>
      <c r="B131" t="s">
        <v>3352</v>
      </c>
      <c r="C131" t="s">
        <v>3353</v>
      </c>
      <c r="D131" t="s">
        <v>30</v>
      </c>
      <c r="E131" t="s">
        <v>493</v>
      </c>
      <c r="F131">
        <v>4500257715</v>
      </c>
      <c r="G131" t="s">
        <v>4057</v>
      </c>
      <c r="H131" t="s">
        <v>3334</v>
      </c>
      <c r="I131" t="s">
        <v>4058</v>
      </c>
      <c r="J131" t="s">
        <v>493</v>
      </c>
      <c r="K131" s="2">
        <v>2227</v>
      </c>
      <c r="L131" s="2">
        <v>2227</v>
      </c>
      <c r="M131" t="str">
        <f>IFERROR(IF(VLOOKUP(LEFT(B131,2),'Humanitarian codes'!$A$2:$A$10,1,FALSE)=LEFT(B131,2),"Yes","Error"),"No")</f>
        <v>No</v>
      </c>
    </row>
    <row r="132" spans="1:13" x14ac:dyDescent="0.25">
      <c r="A132">
        <v>2022</v>
      </c>
      <c r="B132" t="s">
        <v>3352</v>
      </c>
      <c r="C132" t="s">
        <v>3353</v>
      </c>
      <c r="D132" t="s">
        <v>30</v>
      </c>
      <c r="E132" t="s">
        <v>493</v>
      </c>
      <c r="F132">
        <v>4500257737</v>
      </c>
      <c r="G132" t="s">
        <v>4059</v>
      </c>
      <c r="H132" t="s">
        <v>3334</v>
      </c>
      <c r="I132" t="s">
        <v>4060</v>
      </c>
      <c r="J132" t="s">
        <v>493</v>
      </c>
      <c r="K132" s="2">
        <v>1856</v>
      </c>
      <c r="L132" s="2">
        <v>1856</v>
      </c>
      <c r="M132" t="str">
        <f>IFERROR(IF(VLOOKUP(LEFT(B132,2),'Humanitarian codes'!$A$2:$A$10,1,FALSE)=LEFT(B132,2),"Yes","Error"),"No")</f>
        <v>No</v>
      </c>
    </row>
    <row r="133" spans="1:13" x14ac:dyDescent="0.25">
      <c r="A133">
        <v>2022</v>
      </c>
      <c r="B133" t="s">
        <v>3352</v>
      </c>
      <c r="C133" t="s">
        <v>3353</v>
      </c>
      <c r="D133" t="s">
        <v>30</v>
      </c>
      <c r="E133" t="s">
        <v>493</v>
      </c>
      <c r="F133">
        <v>4500261323</v>
      </c>
      <c r="G133" t="s">
        <v>4061</v>
      </c>
      <c r="H133" t="s">
        <v>3334</v>
      </c>
      <c r="I133" t="s">
        <v>4062</v>
      </c>
      <c r="J133" t="s">
        <v>493</v>
      </c>
      <c r="K133" s="2">
        <v>6080</v>
      </c>
      <c r="L133" s="2">
        <v>6080</v>
      </c>
      <c r="M133" t="str">
        <f>IFERROR(IF(VLOOKUP(LEFT(B133,2),'Humanitarian codes'!$A$2:$A$10,1,FALSE)=LEFT(B133,2),"Yes","Error"),"No")</f>
        <v>No</v>
      </c>
    </row>
    <row r="134" spans="1:13" x14ac:dyDescent="0.25">
      <c r="A134">
        <v>2022</v>
      </c>
      <c r="B134" t="s">
        <v>3352</v>
      </c>
      <c r="C134" t="s">
        <v>3353</v>
      </c>
      <c r="D134" t="s">
        <v>30</v>
      </c>
      <c r="E134" t="s">
        <v>20</v>
      </c>
      <c r="F134">
        <v>4500181634</v>
      </c>
      <c r="G134" t="s">
        <v>4063</v>
      </c>
      <c r="H134" t="s">
        <v>3334</v>
      </c>
      <c r="I134" t="s">
        <v>4064</v>
      </c>
      <c r="J134" t="s">
        <v>20</v>
      </c>
      <c r="K134" s="2">
        <v>28154</v>
      </c>
      <c r="L134" s="2">
        <v>28154</v>
      </c>
      <c r="M134" t="str">
        <f>IFERROR(IF(VLOOKUP(LEFT(B134,2),'Humanitarian codes'!$A$2:$A$10,1,FALSE)=LEFT(B134,2),"Yes","Error"),"No")</f>
        <v>No</v>
      </c>
    </row>
    <row r="135" spans="1:13" x14ac:dyDescent="0.25">
      <c r="A135">
        <v>2022</v>
      </c>
      <c r="B135" t="s">
        <v>3352</v>
      </c>
      <c r="C135" t="s">
        <v>3353</v>
      </c>
      <c r="D135" t="s">
        <v>30</v>
      </c>
      <c r="E135" t="s">
        <v>20</v>
      </c>
      <c r="F135">
        <v>4500183968</v>
      </c>
      <c r="G135" t="s">
        <v>4065</v>
      </c>
      <c r="H135" t="s">
        <v>3334</v>
      </c>
      <c r="I135" t="s">
        <v>4066</v>
      </c>
      <c r="J135" t="s">
        <v>20</v>
      </c>
      <c r="K135" s="2">
        <v>8992</v>
      </c>
      <c r="L135" s="2">
        <v>8992</v>
      </c>
      <c r="M135" t="str">
        <f>IFERROR(IF(VLOOKUP(LEFT(B135,2),'Humanitarian codes'!$A$2:$A$10,1,FALSE)=LEFT(B135,2),"Yes","Error"),"No")</f>
        <v>No</v>
      </c>
    </row>
    <row r="136" spans="1:13" x14ac:dyDescent="0.25">
      <c r="A136">
        <v>2022</v>
      </c>
      <c r="B136" t="s">
        <v>3352</v>
      </c>
      <c r="C136" t="s">
        <v>3353</v>
      </c>
      <c r="D136" t="s">
        <v>30</v>
      </c>
      <c r="E136" t="s">
        <v>20</v>
      </c>
      <c r="F136">
        <v>4500190052</v>
      </c>
      <c r="G136" t="s">
        <v>4067</v>
      </c>
      <c r="H136" t="s">
        <v>3334</v>
      </c>
      <c r="I136" t="s">
        <v>4068</v>
      </c>
      <c r="J136" t="s">
        <v>20</v>
      </c>
      <c r="K136" s="2">
        <v>5202</v>
      </c>
      <c r="L136" s="2">
        <v>5202</v>
      </c>
      <c r="M136" t="str">
        <f>IFERROR(IF(VLOOKUP(LEFT(B136,2),'Humanitarian codes'!$A$2:$A$10,1,FALSE)=LEFT(B136,2),"Yes","Error"),"No")</f>
        <v>No</v>
      </c>
    </row>
    <row r="137" spans="1:13" x14ac:dyDescent="0.25">
      <c r="A137">
        <v>2022</v>
      </c>
      <c r="B137" t="s">
        <v>3352</v>
      </c>
      <c r="C137" t="s">
        <v>3353</v>
      </c>
      <c r="D137" t="s">
        <v>30</v>
      </c>
      <c r="E137" t="s">
        <v>20</v>
      </c>
      <c r="F137">
        <v>4500190637</v>
      </c>
      <c r="G137" t="s">
        <v>4069</v>
      </c>
      <c r="H137" t="s">
        <v>3334</v>
      </c>
      <c r="I137" t="s">
        <v>1579</v>
      </c>
      <c r="J137" t="s">
        <v>20</v>
      </c>
      <c r="K137" s="2">
        <v>69775</v>
      </c>
      <c r="L137" s="2">
        <v>69775</v>
      </c>
      <c r="M137" t="str">
        <f>IFERROR(IF(VLOOKUP(LEFT(B137,2),'Humanitarian codes'!$A$2:$A$10,1,FALSE)=LEFT(B137,2),"Yes","Error"),"No")</f>
        <v>No</v>
      </c>
    </row>
    <row r="138" spans="1:13" x14ac:dyDescent="0.25">
      <c r="A138">
        <v>2022</v>
      </c>
      <c r="B138" t="s">
        <v>3352</v>
      </c>
      <c r="C138" t="s">
        <v>3353</v>
      </c>
      <c r="D138" t="s">
        <v>30</v>
      </c>
      <c r="E138" t="s">
        <v>20</v>
      </c>
      <c r="F138">
        <v>4500191001</v>
      </c>
      <c r="G138" t="s">
        <v>4070</v>
      </c>
      <c r="H138" t="s">
        <v>3334</v>
      </c>
      <c r="I138" t="s">
        <v>1581</v>
      </c>
      <c r="J138" t="s">
        <v>20</v>
      </c>
      <c r="K138" s="2">
        <v>92321</v>
      </c>
      <c r="L138" s="2">
        <v>92321</v>
      </c>
      <c r="M138" t="str">
        <f>IFERROR(IF(VLOOKUP(LEFT(B138,2),'Humanitarian codes'!$A$2:$A$10,1,FALSE)=LEFT(B138,2),"Yes","Error"),"No")</f>
        <v>No</v>
      </c>
    </row>
    <row r="139" spans="1:13" x14ac:dyDescent="0.25">
      <c r="A139">
        <v>2022</v>
      </c>
      <c r="B139" t="s">
        <v>3352</v>
      </c>
      <c r="C139" t="s">
        <v>3353</v>
      </c>
      <c r="D139" t="s">
        <v>30</v>
      </c>
      <c r="E139" t="s">
        <v>20</v>
      </c>
      <c r="F139">
        <v>4500191454</v>
      </c>
      <c r="G139" t="s">
        <v>4071</v>
      </c>
      <c r="H139" t="s">
        <v>3334</v>
      </c>
      <c r="I139" t="s">
        <v>4072</v>
      </c>
      <c r="J139" t="s">
        <v>20</v>
      </c>
      <c r="K139" s="2">
        <v>125155</v>
      </c>
      <c r="L139" s="2">
        <v>125155</v>
      </c>
      <c r="M139" t="str">
        <f>IFERROR(IF(VLOOKUP(LEFT(B139,2),'Humanitarian codes'!$A$2:$A$10,1,FALSE)=LEFT(B139,2),"Yes","Error"),"No")</f>
        <v>No</v>
      </c>
    </row>
    <row r="140" spans="1:13" x14ac:dyDescent="0.25">
      <c r="A140">
        <v>2022</v>
      </c>
      <c r="B140" t="s">
        <v>3352</v>
      </c>
      <c r="C140" t="s">
        <v>3353</v>
      </c>
      <c r="D140" t="s">
        <v>30</v>
      </c>
      <c r="E140" t="s">
        <v>20</v>
      </c>
      <c r="F140">
        <v>4500191459</v>
      </c>
      <c r="G140" t="s">
        <v>4073</v>
      </c>
      <c r="H140" t="s">
        <v>3334</v>
      </c>
      <c r="I140" t="s">
        <v>4074</v>
      </c>
      <c r="J140" t="s">
        <v>20</v>
      </c>
      <c r="K140" s="2">
        <v>65486</v>
      </c>
      <c r="L140" s="2">
        <v>65486</v>
      </c>
      <c r="M140" t="str">
        <f>IFERROR(IF(VLOOKUP(LEFT(B140,2),'Humanitarian codes'!$A$2:$A$10,1,FALSE)=LEFT(B140,2),"Yes","Error"),"No")</f>
        <v>No</v>
      </c>
    </row>
    <row r="141" spans="1:13" x14ac:dyDescent="0.25">
      <c r="A141">
        <v>2022</v>
      </c>
      <c r="B141" t="s">
        <v>3352</v>
      </c>
      <c r="C141" t="s">
        <v>3353</v>
      </c>
      <c r="D141" t="s">
        <v>30</v>
      </c>
      <c r="E141" t="s">
        <v>20</v>
      </c>
      <c r="F141">
        <v>4500191854</v>
      </c>
      <c r="G141" t="s">
        <v>4075</v>
      </c>
      <c r="H141" t="s">
        <v>3334</v>
      </c>
      <c r="I141" t="s">
        <v>4076</v>
      </c>
      <c r="J141" t="s">
        <v>20</v>
      </c>
      <c r="K141" s="2">
        <v>8979</v>
      </c>
      <c r="L141" s="2">
        <v>8979</v>
      </c>
      <c r="M141" t="str">
        <f>IFERROR(IF(VLOOKUP(LEFT(B141,2),'Humanitarian codes'!$A$2:$A$10,1,FALSE)=LEFT(B141,2),"Yes","Error"),"No")</f>
        <v>No</v>
      </c>
    </row>
    <row r="142" spans="1:13" x14ac:dyDescent="0.25">
      <c r="A142">
        <v>2022</v>
      </c>
      <c r="B142" t="s">
        <v>3352</v>
      </c>
      <c r="C142" t="s">
        <v>3353</v>
      </c>
      <c r="D142" t="s">
        <v>30</v>
      </c>
      <c r="E142" t="s">
        <v>20</v>
      </c>
      <c r="F142">
        <v>4500192645</v>
      </c>
      <c r="G142" t="s">
        <v>4077</v>
      </c>
      <c r="H142" t="s">
        <v>3334</v>
      </c>
      <c r="I142" t="s">
        <v>4078</v>
      </c>
      <c r="J142" t="s">
        <v>20</v>
      </c>
      <c r="K142" s="2">
        <v>7644</v>
      </c>
      <c r="L142" s="2">
        <v>7644</v>
      </c>
      <c r="M142" t="str">
        <f>IFERROR(IF(VLOOKUP(LEFT(B142,2),'Humanitarian codes'!$A$2:$A$10,1,FALSE)=LEFT(B142,2),"Yes","Error"),"No")</f>
        <v>No</v>
      </c>
    </row>
    <row r="143" spans="1:13" x14ac:dyDescent="0.25">
      <c r="A143">
        <v>2022</v>
      </c>
      <c r="B143" t="s">
        <v>3352</v>
      </c>
      <c r="C143" t="s">
        <v>3353</v>
      </c>
      <c r="D143" t="s">
        <v>30</v>
      </c>
      <c r="E143" t="s">
        <v>20</v>
      </c>
      <c r="F143">
        <v>4500197833</v>
      </c>
      <c r="G143" t="s">
        <v>4079</v>
      </c>
      <c r="H143" t="s">
        <v>3334</v>
      </c>
      <c r="I143" t="s">
        <v>3355</v>
      </c>
      <c r="J143" t="s">
        <v>20</v>
      </c>
      <c r="K143" s="2">
        <v>3997</v>
      </c>
      <c r="L143" s="2">
        <v>3997</v>
      </c>
      <c r="M143" t="str">
        <f>IFERROR(IF(VLOOKUP(LEFT(B143,2),'Humanitarian codes'!$A$2:$A$10,1,FALSE)=LEFT(B143,2),"Yes","Error"),"No")</f>
        <v>No</v>
      </c>
    </row>
    <row r="144" spans="1:13" x14ac:dyDescent="0.25">
      <c r="A144">
        <v>2022</v>
      </c>
      <c r="B144" t="s">
        <v>3352</v>
      </c>
      <c r="C144" t="s">
        <v>3353</v>
      </c>
      <c r="D144" t="s">
        <v>30</v>
      </c>
      <c r="E144" t="s">
        <v>20</v>
      </c>
      <c r="F144">
        <v>4500206985</v>
      </c>
      <c r="G144" t="s">
        <v>4080</v>
      </c>
      <c r="H144" t="s">
        <v>3334</v>
      </c>
      <c r="I144" t="s">
        <v>4081</v>
      </c>
      <c r="J144" t="s">
        <v>20</v>
      </c>
      <c r="K144" s="2">
        <v>8687</v>
      </c>
      <c r="L144" s="2">
        <v>8687</v>
      </c>
      <c r="M144" t="str">
        <f>IFERROR(IF(VLOOKUP(LEFT(B144,2),'Humanitarian codes'!$A$2:$A$10,1,FALSE)=LEFT(B144,2),"Yes","Error"),"No")</f>
        <v>No</v>
      </c>
    </row>
    <row r="145" spans="1:13" x14ac:dyDescent="0.25">
      <c r="A145">
        <v>2022</v>
      </c>
      <c r="B145" t="s">
        <v>3352</v>
      </c>
      <c r="C145" t="s">
        <v>3353</v>
      </c>
      <c r="D145" t="s">
        <v>30</v>
      </c>
      <c r="E145" t="s">
        <v>20</v>
      </c>
      <c r="F145">
        <v>4500207884</v>
      </c>
      <c r="G145" t="s">
        <v>4082</v>
      </c>
      <c r="H145" t="s">
        <v>3334</v>
      </c>
      <c r="I145" t="s">
        <v>4083</v>
      </c>
      <c r="J145" t="s">
        <v>20</v>
      </c>
      <c r="K145" s="2">
        <v>14239</v>
      </c>
      <c r="L145" s="2">
        <v>14239</v>
      </c>
      <c r="M145" t="str">
        <f>IFERROR(IF(VLOOKUP(LEFT(B145,2),'Humanitarian codes'!$A$2:$A$10,1,FALSE)=LEFT(B145,2),"Yes","Error"),"No")</f>
        <v>No</v>
      </c>
    </row>
    <row r="146" spans="1:13" x14ac:dyDescent="0.25">
      <c r="A146">
        <v>2022</v>
      </c>
      <c r="B146" t="s">
        <v>3352</v>
      </c>
      <c r="C146" t="s">
        <v>3353</v>
      </c>
      <c r="D146" t="s">
        <v>30</v>
      </c>
      <c r="E146" t="s">
        <v>20</v>
      </c>
      <c r="F146">
        <v>4500208592</v>
      </c>
      <c r="G146" t="s">
        <v>4084</v>
      </c>
      <c r="H146" t="s">
        <v>3334</v>
      </c>
      <c r="I146" t="s">
        <v>4085</v>
      </c>
      <c r="J146" t="s">
        <v>20</v>
      </c>
      <c r="K146" s="2">
        <v>4168</v>
      </c>
      <c r="L146" s="2">
        <v>4168</v>
      </c>
      <c r="M146" t="str">
        <f>IFERROR(IF(VLOOKUP(LEFT(B146,2),'Humanitarian codes'!$A$2:$A$10,1,FALSE)=LEFT(B146,2),"Yes","Error"),"No")</f>
        <v>No</v>
      </c>
    </row>
    <row r="147" spans="1:13" x14ac:dyDescent="0.25">
      <c r="A147">
        <v>2022</v>
      </c>
      <c r="B147" t="s">
        <v>3352</v>
      </c>
      <c r="C147" t="s">
        <v>3353</v>
      </c>
      <c r="D147" t="s">
        <v>30</v>
      </c>
      <c r="E147" t="s">
        <v>20</v>
      </c>
      <c r="F147">
        <v>4500211574</v>
      </c>
      <c r="G147" t="s">
        <v>4086</v>
      </c>
      <c r="H147" t="s">
        <v>3334</v>
      </c>
      <c r="I147" t="s">
        <v>4087</v>
      </c>
      <c r="J147" t="s">
        <v>20</v>
      </c>
      <c r="K147" s="2">
        <v>77732</v>
      </c>
      <c r="L147" s="2">
        <v>77732</v>
      </c>
      <c r="M147" t="str">
        <f>IFERROR(IF(VLOOKUP(LEFT(B147,2),'Humanitarian codes'!$A$2:$A$10,1,FALSE)=LEFT(B147,2),"Yes","Error"),"No")</f>
        <v>No</v>
      </c>
    </row>
    <row r="148" spans="1:13" x14ac:dyDescent="0.25">
      <c r="A148">
        <v>2022</v>
      </c>
      <c r="B148" t="s">
        <v>3352</v>
      </c>
      <c r="C148" t="s">
        <v>3353</v>
      </c>
      <c r="D148" t="s">
        <v>30</v>
      </c>
      <c r="E148" t="s">
        <v>20</v>
      </c>
      <c r="F148">
        <v>4500215892</v>
      </c>
      <c r="G148" t="s">
        <v>4088</v>
      </c>
      <c r="H148" t="s">
        <v>3334</v>
      </c>
      <c r="I148" t="s">
        <v>4081</v>
      </c>
      <c r="J148" t="s">
        <v>20</v>
      </c>
      <c r="K148" s="2">
        <v>3964</v>
      </c>
      <c r="L148" s="2">
        <v>3964</v>
      </c>
      <c r="M148" t="str">
        <f>IFERROR(IF(VLOOKUP(LEFT(B148,2),'Humanitarian codes'!$A$2:$A$10,1,FALSE)=LEFT(B148,2),"Yes","Error"),"No")</f>
        <v>No</v>
      </c>
    </row>
    <row r="149" spans="1:13" x14ac:dyDescent="0.25">
      <c r="A149">
        <v>2022</v>
      </c>
      <c r="B149" t="s">
        <v>3352</v>
      </c>
      <c r="C149" t="s">
        <v>3353</v>
      </c>
      <c r="D149" t="s">
        <v>30</v>
      </c>
      <c r="E149" t="s">
        <v>20</v>
      </c>
      <c r="F149">
        <v>4500222501</v>
      </c>
      <c r="G149" t="s">
        <v>4089</v>
      </c>
      <c r="H149" t="s">
        <v>3334</v>
      </c>
      <c r="I149" t="s">
        <v>4085</v>
      </c>
      <c r="J149" t="s">
        <v>20</v>
      </c>
      <c r="K149" s="2">
        <v>13870</v>
      </c>
      <c r="L149" s="2">
        <v>13870</v>
      </c>
      <c r="M149" t="str">
        <f>IFERROR(IF(VLOOKUP(LEFT(B149,2),'Humanitarian codes'!$A$2:$A$10,1,FALSE)=LEFT(B149,2),"Yes","Error"),"No")</f>
        <v>No</v>
      </c>
    </row>
    <row r="150" spans="1:13" x14ac:dyDescent="0.25">
      <c r="A150">
        <v>2022</v>
      </c>
      <c r="B150" t="s">
        <v>3352</v>
      </c>
      <c r="C150" t="s">
        <v>3353</v>
      </c>
      <c r="D150" t="s">
        <v>30</v>
      </c>
      <c r="E150" t="s">
        <v>20</v>
      </c>
      <c r="F150">
        <v>4500228942</v>
      </c>
      <c r="G150" t="s">
        <v>4090</v>
      </c>
      <c r="H150" t="s">
        <v>3334</v>
      </c>
      <c r="I150" t="s">
        <v>4087</v>
      </c>
      <c r="J150" t="s">
        <v>20</v>
      </c>
      <c r="K150" s="2">
        <v>8425</v>
      </c>
      <c r="L150" s="2">
        <v>8425</v>
      </c>
      <c r="M150" t="str">
        <f>IFERROR(IF(VLOOKUP(LEFT(B150,2),'Humanitarian codes'!$A$2:$A$10,1,FALSE)=LEFT(B150,2),"Yes","Error"),"No")</f>
        <v>No</v>
      </c>
    </row>
    <row r="151" spans="1:13" x14ac:dyDescent="0.25">
      <c r="A151">
        <v>2022</v>
      </c>
      <c r="B151" t="s">
        <v>3352</v>
      </c>
      <c r="C151" t="s">
        <v>3353</v>
      </c>
      <c r="D151" t="s">
        <v>30</v>
      </c>
      <c r="E151" t="s">
        <v>20</v>
      </c>
      <c r="F151">
        <v>4500233306</v>
      </c>
      <c r="G151" t="s">
        <v>4091</v>
      </c>
      <c r="H151" t="s">
        <v>3334</v>
      </c>
      <c r="I151" t="s">
        <v>4087</v>
      </c>
      <c r="J151" t="s">
        <v>20</v>
      </c>
      <c r="K151" s="2">
        <v>12401</v>
      </c>
      <c r="L151" s="2">
        <v>12401</v>
      </c>
      <c r="M151" t="str">
        <f>IFERROR(IF(VLOOKUP(LEFT(B151,2),'Humanitarian codes'!$A$2:$A$10,1,FALSE)=LEFT(B151,2),"Yes","Error"),"No")</f>
        <v>No</v>
      </c>
    </row>
    <row r="152" spans="1:13" x14ac:dyDescent="0.25">
      <c r="A152">
        <v>2022</v>
      </c>
      <c r="B152" t="s">
        <v>3352</v>
      </c>
      <c r="C152" t="s">
        <v>3353</v>
      </c>
      <c r="D152" t="s">
        <v>30</v>
      </c>
      <c r="E152" t="s">
        <v>20</v>
      </c>
      <c r="F152">
        <v>4500237670</v>
      </c>
      <c r="G152" t="s">
        <v>4092</v>
      </c>
      <c r="H152" t="s">
        <v>3334</v>
      </c>
      <c r="I152" t="s">
        <v>4093</v>
      </c>
      <c r="J152" t="s">
        <v>20</v>
      </c>
      <c r="K152" s="2">
        <v>2782</v>
      </c>
      <c r="L152" s="2">
        <v>2782</v>
      </c>
      <c r="M152" t="str">
        <f>IFERROR(IF(VLOOKUP(LEFT(B152,2),'Humanitarian codes'!$A$2:$A$10,1,FALSE)=LEFT(B152,2),"Yes","Error"),"No")</f>
        <v>No</v>
      </c>
    </row>
    <row r="153" spans="1:13" x14ac:dyDescent="0.25">
      <c r="A153">
        <v>2022</v>
      </c>
      <c r="B153" t="s">
        <v>3352</v>
      </c>
      <c r="C153" t="s">
        <v>3353</v>
      </c>
      <c r="D153" t="s">
        <v>30</v>
      </c>
      <c r="E153" t="s">
        <v>20</v>
      </c>
      <c r="F153">
        <v>4500237836</v>
      </c>
      <c r="G153" t="s">
        <v>4094</v>
      </c>
      <c r="H153" t="s">
        <v>3334</v>
      </c>
      <c r="I153" t="s">
        <v>4095</v>
      </c>
      <c r="J153" t="s">
        <v>20</v>
      </c>
      <c r="K153" s="2">
        <v>3284</v>
      </c>
      <c r="L153" s="2">
        <v>3284</v>
      </c>
      <c r="M153" t="str">
        <f>IFERROR(IF(VLOOKUP(LEFT(B153,2),'Humanitarian codes'!$A$2:$A$10,1,FALSE)=LEFT(B153,2),"Yes","Error"),"No")</f>
        <v>No</v>
      </c>
    </row>
    <row r="154" spans="1:13" x14ac:dyDescent="0.25">
      <c r="A154">
        <v>2022</v>
      </c>
      <c r="B154" t="s">
        <v>3352</v>
      </c>
      <c r="C154" t="s">
        <v>3353</v>
      </c>
      <c r="D154" t="s">
        <v>30</v>
      </c>
      <c r="E154" t="s">
        <v>20</v>
      </c>
      <c r="F154">
        <v>4500237849</v>
      </c>
      <c r="G154" t="s">
        <v>4096</v>
      </c>
      <c r="H154" t="s">
        <v>3334</v>
      </c>
      <c r="I154" t="s">
        <v>4097</v>
      </c>
      <c r="J154" t="s">
        <v>20</v>
      </c>
      <c r="K154" s="2">
        <v>1082</v>
      </c>
      <c r="L154" s="2">
        <v>1082</v>
      </c>
      <c r="M154" t="str">
        <f>IFERROR(IF(VLOOKUP(LEFT(B154,2),'Humanitarian codes'!$A$2:$A$10,1,FALSE)=LEFT(B154,2),"Yes","Error"),"No")</f>
        <v>No</v>
      </c>
    </row>
    <row r="155" spans="1:13" x14ac:dyDescent="0.25">
      <c r="A155">
        <v>2022</v>
      </c>
      <c r="B155" t="s">
        <v>3352</v>
      </c>
      <c r="C155" t="s">
        <v>3353</v>
      </c>
      <c r="D155" t="s">
        <v>30</v>
      </c>
      <c r="E155" t="s">
        <v>20</v>
      </c>
      <c r="F155">
        <v>4500237856</v>
      </c>
      <c r="G155" t="s">
        <v>4098</v>
      </c>
      <c r="H155" t="s">
        <v>3334</v>
      </c>
      <c r="I155" t="s">
        <v>4099</v>
      </c>
      <c r="J155" t="s">
        <v>20</v>
      </c>
      <c r="K155" s="2">
        <v>7727</v>
      </c>
      <c r="L155" s="2">
        <v>7727</v>
      </c>
      <c r="M155" t="str">
        <f>IFERROR(IF(VLOOKUP(LEFT(B155,2),'Humanitarian codes'!$A$2:$A$10,1,FALSE)=LEFT(B155,2),"Yes","Error"),"No")</f>
        <v>No</v>
      </c>
    </row>
    <row r="156" spans="1:13" x14ac:dyDescent="0.25">
      <c r="A156">
        <v>2022</v>
      </c>
      <c r="B156" t="s">
        <v>3352</v>
      </c>
      <c r="C156" t="s">
        <v>3353</v>
      </c>
      <c r="D156" t="s">
        <v>30</v>
      </c>
      <c r="E156" t="s">
        <v>20</v>
      </c>
      <c r="F156">
        <v>4500237865</v>
      </c>
      <c r="G156" t="s">
        <v>4100</v>
      </c>
      <c r="H156" t="s">
        <v>3334</v>
      </c>
      <c r="I156" t="s">
        <v>4101</v>
      </c>
      <c r="J156" t="s">
        <v>20</v>
      </c>
      <c r="K156" s="2">
        <v>4173</v>
      </c>
      <c r="L156" s="2">
        <v>4173</v>
      </c>
      <c r="M156" t="str">
        <f>IFERROR(IF(VLOOKUP(LEFT(B156,2),'Humanitarian codes'!$A$2:$A$10,1,FALSE)=LEFT(B156,2),"Yes","Error"),"No")</f>
        <v>No</v>
      </c>
    </row>
    <row r="157" spans="1:13" x14ac:dyDescent="0.25">
      <c r="A157">
        <v>2022</v>
      </c>
      <c r="B157" t="s">
        <v>3352</v>
      </c>
      <c r="C157" t="s">
        <v>3353</v>
      </c>
      <c r="D157" t="s">
        <v>30</v>
      </c>
      <c r="E157" t="s">
        <v>20</v>
      </c>
      <c r="F157">
        <v>4500237869</v>
      </c>
      <c r="G157" t="s">
        <v>4102</v>
      </c>
      <c r="H157" t="s">
        <v>3334</v>
      </c>
      <c r="I157" t="s">
        <v>4103</v>
      </c>
      <c r="J157" t="s">
        <v>20</v>
      </c>
      <c r="K157" s="2">
        <v>7727</v>
      </c>
      <c r="L157" s="2">
        <v>7727</v>
      </c>
      <c r="M157" t="str">
        <f>IFERROR(IF(VLOOKUP(LEFT(B157,2),'Humanitarian codes'!$A$2:$A$10,1,FALSE)=LEFT(B157,2),"Yes","Error"),"No")</f>
        <v>No</v>
      </c>
    </row>
    <row r="158" spans="1:13" x14ac:dyDescent="0.25">
      <c r="A158">
        <v>2022</v>
      </c>
      <c r="B158" t="s">
        <v>3352</v>
      </c>
      <c r="C158" t="s">
        <v>3353</v>
      </c>
      <c r="D158" t="s">
        <v>30</v>
      </c>
      <c r="E158" t="s">
        <v>20</v>
      </c>
      <c r="F158">
        <v>4500237872</v>
      </c>
      <c r="G158" t="s">
        <v>4104</v>
      </c>
      <c r="H158" t="s">
        <v>3334</v>
      </c>
      <c r="I158" t="s">
        <v>4105</v>
      </c>
      <c r="J158" t="s">
        <v>20</v>
      </c>
      <c r="K158" s="2">
        <v>6491</v>
      </c>
      <c r="L158" s="2">
        <v>6491</v>
      </c>
      <c r="M158" t="str">
        <f>IFERROR(IF(VLOOKUP(LEFT(B158,2),'Humanitarian codes'!$A$2:$A$10,1,FALSE)=LEFT(B158,2),"Yes","Error"),"No")</f>
        <v>No</v>
      </c>
    </row>
    <row r="159" spans="1:13" x14ac:dyDescent="0.25">
      <c r="A159">
        <v>2022</v>
      </c>
      <c r="B159" t="s">
        <v>3352</v>
      </c>
      <c r="C159" t="s">
        <v>3353</v>
      </c>
      <c r="D159" t="s">
        <v>30</v>
      </c>
      <c r="E159" t="s">
        <v>20</v>
      </c>
      <c r="F159">
        <v>4500237878</v>
      </c>
      <c r="G159" t="s">
        <v>4106</v>
      </c>
      <c r="H159" t="s">
        <v>3334</v>
      </c>
      <c r="I159" t="s">
        <v>4107</v>
      </c>
      <c r="J159" t="s">
        <v>20</v>
      </c>
      <c r="K159" s="2">
        <v>3863</v>
      </c>
      <c r="L159" s="2">
        <v>3863</v>
      </c>
      <c r="M159" t="str">
        <f>IFERROR(IF(VLOOKUP(LEFT(B159,2),'Humanitarian codes'!$A$2:$A$10,1,FALSE)=LEFT(B159,2),"Yes","Error"),"No")</f>
        <v>No</v>
      </c>
    </row>
    <row r="160" spans="1:13" x14ac:dyDescent="0.25">
      <c r="A160">
        <v>2022</v>
      </c>
      <c r="B160" t="s">
        <v>3352</v>
      </c>
      <c r="C160" t="s">
        <v>3353</v>
      </c>
      <c r="D160" t="s">
        <v>30</v>
      </c>
      <c r="E160" t="s">
        <v>20</v>
      </c>
      <c r="F160">
        <v>4500237882</v>
      </c>
      <c r="G160" t="s">
        <v>4108</v>
      </c>
      <c r="H160" t="s">
        <v>3334</v>
      </c>
      <c r="I160" t="s">
        <v>4109</v>
      </c>
      <c r="J160" t="s">
        <v>20</v>
      </c>
      <c r="K160" s="2">
        <v>4636</v>
      </c>
      <c r="L160" s="2">
        <v>4636</v>
      </c>
      <c r="M160" t="str">
        <f>IFERROR(IF(VLOOKUP(LEFT(B160,2),'Humanitarian codes'!$A$2:$A$10,1,FALSE)=LEFT(B160,2),"Yes","Error"),"No")</f>
        <v>No</v>
      </c>
    </row>
    <row r="161" spans="1:13" x14ac:dyDescent="0.25">
      <c r="A161">
        <v>2022</v>
      </c>
      <c r="B161" t="s">
        <v>3352</v>
      </c>
      <c r="C161" t="s">
        <v>3353</v>
      </c>
      <c r="D161" t="s">
        <v>30</v>
      </c>
      <c r="E161" t="s">
        <v>20</v>
      </c>
      <c r="F161">
        <v>4500237883</v>
      </c>
      <c r="G161" t="s">
        <v>4110</v>
      </c>
      <c r="H161" t="s">
        <v>3334</v>
      </c>
      <c r="I161" t="s">
        <v>4111</v>
      </c>
      <c r="J161" t="s">
        <v>20</v>
      </c>
      <c r="K161" s="2">
        <v>6182</v>
      </c>
      <c r="L161" s="2">
        <v>6182</v>
      </c>
      <c r="M161" t="str">
        <f>IFERROR(IF(VLOOKUP(LEFT(B161,2),'Humanitarian codes'!$A$2:$A$10,1,FALSE)=LEFT(B161,2),"Yes","Error"),"No")</f>
        <v>No</v>
      </c>
    </row>
    <row r="162" spans="1:13" x14ac:dyDescent="0.25">
      <c r="A162">
        <v>2022</v>
      </c>
      <c r="B162" t="s">
        <v>3352</v>
      </c>
      <c r="C162" t="s">
        <v>3353</v>
      </c>
      <c r="D162" t="s">
        <v>30</v>
      </c>
      <c r="E162" t="s">
        <v>20</v>
      </c>
      <c r="F162">
        <v>4500237889</v>
      </c>
      <c r="G162" t="s">
        <v>4112</v>
      </c>
      <c r="H162" t="s">
        <v>3334</v>
      </c>
      <c r="I162" t="s">
        <v>4113</v>
      </c>
      <c r="J162" t="s">
        <v>20</v>
      </c>
      <c r="K162" s="2">
        <v>3863</v>
      </c>
      <c r="L162" s="2">
        <v>3863</v>
      </c>
      <c r="M162" t="str">
        <f>IFERROR(IF(VLOOKUP(LEFT(B162,2),'Humanitarian codes'!$A$2:$A$10,1,FALSE)=LEFT(B162,2),"Yes","Error"),"No")</f>
        <v>No</v>
      </c>
    </row>
    <row r="163" spans="1:13" x14ac:dyDescent="0.25">
      <c r="A163">
        <v>2022</v>
      </c>
      <c r="B163" t="s">
        <v>3352</v>
      </c>
      <c r="C163" t="s">
        <v>3353</v>
      </c>
      <c r="D163" t="s">
        <v>30</v>
      </c>
      <c r="E163" t="s">
        <v>20</v>
      </c>
      <c r="F163">
        <v>4500237895</v>
      </c>
      <c r="G163" t="s">
        <v>4114</v>
      </c>
      <c r="H163" t="s">
        <v>3334</v>
      </c>
      <c r="I163" t="s">
        <v>4115</v>
      </c>
      <c r="J163" t="s">
        <v>20</v>
      </c>
      <c r="K163" s="2">
        <v>3230</v>
      </c>
      <c r="L163" s="2">
        <v>3230</v>
      </c>
      <c r="M163" t="str">
        <f>IFERROR(IF(VLOOKUP(LEFT(B163,2),'Humanitarian codes'!$A$2:$A$10,1,FALSE)=LEFT(B163,2),"Yes","Error"),"No")</f>
        <v>No</v>
      </c>
    </row>
    <row r="164" spans="1:13" x14ac:dyDescent="0.25">
      <c r="A164">
        <v>2022</v>
      </c>
      <c r="B164" t="s">
        <v>3352</v>
      </c>
      <c r="C164" t="s">
        <v>3353</v>
      </c>
      <c r="D164" t="s">
        <v>30</v>
      </c>
      <c r="E164" t="s">
        <v>20</v>
      </c>
      <c r="F164">
        <v>4500237905</v>
      </c>
      <c r="G164" t="s">
        <v>4116</v>
      </c>
      <c r="H164" t="s">
        <v>3334</v>
      </c>
      <c r="I164" t="s">
        <v>4117</v>
      </c>
      <c r="J164" t="s">
        <v>20</v>
      </c>
      <c r="K164" s="2">
        <v>1484</v>
      </c>
      <c r="L164" s="2">
        <v>1484</v>
      </c>
      <c r="M164" t="str">
        <f>IFERROR(IF(VLOOKUP(LEFT(B164,2),'Humanitarian codes'!$A$2:$A$10,1,FALSE)=LEFT(B164,2),"Yes","Error"),"No")</f>
        <v>No</v>
      </c>
    </row>
    <row r="165" spans="1:13" x14ac:dyDescent="0.25">
      <c r="A165">
        <v>2022</v>
      </c>
      <c r="B165" t="s">
        <v>3352</v>
      </c>
      <c r="C165" t="s">
        <v>3353</v>
      </c>
      <c r="D165" t="s">
        <v>30</v>
      </c>
      <c r="E165" t="s">
        <v>20</v>
      </c>
      <c r="F165">
        <v>4500237913</v>
      </c>
      <c r="G165" t="s">
        <v>4118</v>
      </c>
      <c r="H165" t="s">
        <v>3334</v>
      </c>
      <c r="I165" t="s">
        <v>4119</v>
      </c>
      <c r="J165" t="s">
        <v>20</v>
      </c>
      <c r="K165" s="2">
        <v>3091</v>
      </c>
      <c r="L165" s="2">
        <v>3091</v>
      </c>
      <c r="M165" t="str">
        <f>IFERROR(IF(VLOOKUP(LEFT(B165,2),'Humanitarian codes'!$A$2:$A$10,1,FALSE)=LEFT(B165,2),"Yes","Error"),"No")</f>
        <v>No</v>
      </c>
    </row>
    <row r="166" spans="1:13" x14ac:dyDescent="0.25">
      <c r="A166">
        <v>2022</v>
      </c>
      <c r="B166" t="s">
        <v>3352</v>
      </c>
      <c r="C166" t="s">
        <v>3353</v>
      </c>
      <c r="D166" t="s">
        <v>30</v>
      </c>
      <c r="E166" t="s">
        <v>20</v>
      </c>
      <c r="F166">
        <v>4500237923</v>
      </c>
      <c r="G166" t="s">
        <v>4120</v>
      </c>
      <c r="H166" t="s">
        <v>3334</v>
      </c>
      <c r="I166" t="s">
        <v>4121</v>
      </c>
      <c r="J166" t="s">
        <v>20</v>
      </c>
      <c r="K166" s="2">
        <v>1731</v>
      </c>
      <c r="L166" s="2">
        <v>1731</v>
      </c>
      <c r="M166" t="str">
        <f>IFERROR(IF(VLOOKUP(LEFT(B166,2),'Humanitarian codes'!$A$2:$A$10,1,FALSE)=LEFT(B166,2),"Yes","Error"),"No")</f>
        <v>No</v>
      </c>
    </row>
    <row r="167" spans="1:13" x14ac:dyDescent="0.25">
      <c r="A167">
        <v>2022</v>
      </c>
      <c r="B167" t="s">
        <v>3352</v>
      </c>
      <c r="C167" t="s">
        <v>3353</v>
      </c>
      <c r="D167" t="s">
        <v>30</v>
      </c>
      <c r="E167" t="s">
        <v>20</v>
      </c>
      <c r="F167">
        <v>4500237929</v>
      </c>
      <c r="G167" t="s">
        <v>4122</v>
      </c>
      <c r="H167" t="s">
        <v>3334</v>
      </c>
      <c r="I167" t="s">
        <v>4123</v>
      </c>
      <c r="J167" t="s">
        <v>20</v>
      </c>
      <c r="K167" s="2">
        <v>7418</v>
      </c>
      <c r="L167" s="2">
        <v>7418</v>
      </c>
      <c r="M167" t="str">
        <f>IFERROR(IF(VLOOKUP(LEFT(B167,2),'Humanitarian codes'!$A$2:$A$10,1,FALSE)=LEFT(B167,2),"Yes","Error"),"No")</f>
        <v>No</v>
      </c>
    </row>
    <row r="168" spans="1:13" x14ac:dyDescent="0.25">
      <c r="A168">
        <v>2022</v>
      </c>
      <c r="B168" t="s">
        <v>3352</v>
      </c>
      <c r="C168" t="s">
        <v>3353</v>
      </c>
      <c r="D168" t="s">
        <v>30</v>
      </c>
      <c r="E168" t="s">
        <v>20</v>
      </c>
      <c r="F168">
        <v>4500237935</v>
      </c>
      <c r="G168" t="s">
        <v>4124</v>
      </c>
      <c r="H168" t="s">
        <v>3334</v>
      </c>
      <c r="I168" t="s">
        <v>4125</v>
      </c>
      <c r="J168" t="s">
        <v>20</v>
      </c>
      <c r="K168" s="2">
        <v>2289</v>
      </c>
      <c r="L168" s="2">
        <v>2289</v>
      </c>
      <c r="M168" t="str">
        <f>IFERROR(IF(VLOOKUP(LEFT(B168,2),'Humanitarian codes'!$A$2:$A$10,1,FALSE)=LEFT(B168,2),"Yes","Error"),"No")</f>
        <v>No</v>
      </c>
    </row>
    <row r="169" spans="1:13" x14ac:dyDescent="0.25">
      <c r="A169">
        <v>2022</v>
      </c>
      <c r="B169" t="s">
        <v>3352</v>
      </c>
      <c r="C169" t="s">
        <v>3353</v>
      </c>
      <c r="D169" t="s">
        <v>30</v>
      </c>
      <c r="E169" t="s">
        <v>20</v>
      </c>
      <c r="F169">
        <v>4500237947</v>
      </c>
      <c r="G169" t="s">
        <v>4126</v>
      </c>
      <c r="H169" t="s">
        <v>3334</v>
      </c>
      <c r="I169" t="s">
        <v>4127</v>
      </c>
      <c r="J169" t="s">
        <v>20</v>
      </c>
      <c r="K169" s="2">
        <v>4590</v>
      </c>
      <c r="L169" s="2">
        <v>4590</v>
      </c>
      <c r="M169" t="str">
        <f>IFERROR(IF(VLOOKUP(LEFT(B169,2),'Humanitarian codes'!$A$2:$A$10,1,FALSE)=LEFT(B169,2),"Yes","Error"),"No")</f>
        <v>No</v>
      </c>
    </row>
    <row r="170" spans="1:13" x14ac:dyDescent="0.25">
      <c r="A170">
        <v>2022</v>
      </c>
      <c r="B170" t="s">
        <v>3352</v>
      </c>
      <c r="C170" t="s">
        <v>3353</v>
      </c>
      <c r="D170" t="s">
        <v>30</v>
      </c>
      <c r="E170" t="s">
        <v>20</v>
      </c>
      <c r="F170">
        <v>4500237961</v>
      </c>
      <c r="G170" t="s">
        <v>4128</v>
      </c>
      <c r="H170" t="s">
        <v>3334</v>
      </c>
      <c r="I170" t="s">
        <v>4129</v>
      </c>
      <c r="J170" t="s">
        <v>20</v>
      </c>
      <c r="K170" s="2">
        <v>7727</v>
      </c>
      <c r="L170" s="2">
        <v>7727</v>
      </c>
      <c r="M170" t="str">
        <f>IFERROR(IF(VLOOKUP(LEFT(B170,2),'Humanitarian codes'!$A$2:$A$10,1,FALSE)=LEFT(B170,2),"Yes","Error"),"No")</f>
        <v>No</v>
      </c>
    </row>
    <row r="171" spans="1:13" x14ac:dyDescent="0.25">
      <c r="A171">
        <v>2022</v>
      </c>
      <c r="B171" t="s">
        <v>3352</v>
      </c>
      <c r="C171" t="s">
        <v>3353</v>
      </c>
      <c r="D171" t="s">
        <v>30</v>
      </c>
      <c r="E171" t="s">
        <v>20</v>
      </c>
      <c r="F171">
        <v>4500238623</v>
      </c>
      <c r="G171" t="s">
        <v>4130</v>
      </c>
      <c r="H171" t="s">
        <v>3334</v>
      </c>
      <c r="I171" t="s">
        <v>4131</v>
      </c>
      <c r="J171" t="s">
        <v>20</v>
      </c>
      <c r="K171" s="2">
        <v>6182</v>
      </c>
      <c r="L171" s="2">
        <v>6182</v>
      </c>
      <c r="M171" t="str">
        <f>IFERROR(IF(VLOOKUP(LEFT(B171,2),'Humanitarian codes'!$A$2:$A$10,1,FALSE)=LEFT(B171,2),"Yes","Error"),"No")</f>
        <v>No</v>
      </c>
    </row>
    <row r="172" spans="1:13" x14ac:dyDescent="0.25">
      <c r="A172">
        <v>2022</v>
      </c>
      <c r="B172" t="s">
        <v>3352</v>
      </c>
      <c r="C172" t="s">
        <v>3353</v>
      </c>
      <c r="D172" t="s">
        <v>30</v>
      </c>
      <c r="E172" t="s">
        <v>20</v>
      </c>
      <c r="F172">
        <v>4500238632</v>
      </c>
      <c r="G172" t="s">
        <v>4132</v>
      </c>
      <c r="H172" t="s">
        <v>3334</v>
      </c>
      <c r="I172" t="s">
        <v>4133</v>
      </c>
      <c r="J172" t="s">
        <v>20</v>
      </c>
      <c r="K172" s="2">
        <v>3091</v>
      </c>
      <c r="L172" s="2">
        <v>3091</v>
      </c>
      <c r="M172" t="str">
        <f>IFERROR(IF(VLOOKUP(LEFT(B172,2),'Humanitarian codes'!$A$2:$A$10,1,FALSE)=LEFT(B172,2),"Yes","Error"),"No")</f>
        <v>No</v>
      </c>
    </row>
    <row r="173" spans="1:13" x14ac:dyDescent="0.25">
      <c r="A173">
        <v>2022</v>
      </c>
      <c r="B173" t="s">
        <v>3352</v>
      </c>
      <c r="C173" t="s">
        <v>3353</v>
      </c>
      <c r="D173" t="s">
        <v>30</v>
      </c>
      <c r="E173" t="s">
        <v>20</v>
      </c>
      <c r="F173">
        <v>4500238637</v>
      </c>
      <c r="G173" t="s">
        <v>4134</v>
      </c>
      <c r="H173" t="s">
        <v>3334</v>
      </c>
      <c r="I173" t="s">
        <v>4135</v>
      </c>
      <c r="J173" t="s">
        <v>20</v>
      </c>
      <c r="K173" s="2">
        <v>2921</v>
      </c>
      <c r="L173" s="2">
        <v>2921</v>
      </c>
      <c r="M173" t="str">
        <f>IFERROR(IF(VLOOKUP(LEFT(B173,2),'Humanitarian codes'!$A$2:$A$10,1,FALSE)=LEFT(B173,2),"Yes","Error"),"No")</f>
        <v>No</v>
      </c>
    </row>
    <row r="174" spans="1:13" x14ac:dyDescent="0.25">
      <c r="A174">
        <v>2022</v>
      </c>
      <c r="B174" t="s">
        <v>3352</v>
      </c>
      <c r="C174" t="s">
        <v>3353</v>
      </c>
      <c r="D174" t="s">
        <v>30</v>
      </c>
      <c r="E174" t="s">
        <v>20</v>
      </c>
      <c r="F174">
        <v>4500238649</v>
      </c>
      <c r="G174" t="s">
        <v>4136</v>
      </c>
      <c r="H174" t="s">
        <v>3334</v>
      </c>
      <c r="I174" t="s">
        <v>4137</v>
      </c>
      <c r="J174" t="s">
        <v>20</v>
      </c>
      <c r="K174" s="2">
        <v>5417</v>
      </c>
      <c r="L174" s="2">
        <v>5417</v>
      </c>
      <c r="M174" t="str">
        <f>IFERROR(IF(VLOOKUP(LEFT(B174,2),'Humanitarian codes'!$A$2:$A$10,1,FALSE)=LEFT(B174,2),"Yes","Error"),"No")</f>
        <v>No</v>
      </c>
    </row>
    <row r="175" spans="1:13" x14ac:dyDescent="0.25">
      <c r="A175">
        <v>2022</v>
      </c>
      <c r="B175" t="s">
        <v>3352</v>
      </c>
      <c r="C175" t="s">
        <v>3353</v>
      </c>
      <c r="D175" t="s">
        <v>30</v>
      </c>
      <c r="E175" t="s">
        <v>20</v>
      </c>
      <c r="F175">
        <v>4500238656</v>
      </c>
      <c r="G175" t="s">
        <v>4138</v>
      </c>
      <c r="H175" t="s">
        <v>3334</v>
      </c>
      <c r="I175" t="s">
        <v>4139</v>
      </c>
      <c r="J175" t="s">
        <v>20</v>
      </c>
      <c r="K175" s="2">
        <v>5022</v>
      </c>
      <c r="L175" s="2">
        <v>5022</v>
      </c>
      <c r="M175" t="str">
        <f>IFERROR(IF(VLOOKUP(LEFT(B175,2),'Humanitarian codes'!$A$2:$A$10,1,FALSE)=LEFT(B175,2),"Yes","Error"),"No")</f>
        <v>No</v>
      </c>
    </row>
    <row r="176" spans="1:13" x14ac:dyDescent="0.25">
      <c r="A176">
        <v>2022</v>
      </c>
      <c r="B176" t="s">
        <v>3352</v>
      </c>
      <c r="C176" t="s">
        <v>3353</v>
      </c>
      <c r="D176" t="s">
        <v>30</v>
      </c>
      <c r="E176" t="s">
        <v>20</v>
      </c>
      <c r="F176">
        <v>4500238665</v>
      </c>
      <c r="G176" t="s">
        <v>4140</v>
      </c>
      <c r="H176" t="s">
        <v>3334</v>
      </c>
      <c r="I176" t="s">
        <v>4141</v>
      </c>
      <c r="J176" t="s">
        <v>20</v>
      </c>
      <c r="K176" s="2">
        <v>3091</v>
      </c>
      <c r="L176" s="2">
        <v>3091</v>
      </c>
      <c r="M176" t="str">
        <f>IFERROR(IF(VLOOKUP(LEFT(B176,2),'Humanitarian codes'!$A$2:$A$10,1,FALSE)=LEFT(B176,2),"Yes","Error"),"No")</f>
        <v>No</v>
      </c>
    </row>
    <row r="177" spans="1:13" x14ac:dyDescent="0.25">
      <c r="A177">
        <v>2022</v>
      </c>
      <c r="B177" t="s">
        <v>3352</v>
      </c>
      <c r="C177" t="s">
        <v>3353</v>
      </c>
      <c r="D177" t="s">
        <v>30</v>
      </c>
      <c r="E177" t="s">
        <v>20</v>
      </c>
      <c r="F177">
        <v>4500238678</v>
      </c>
      <c r="G177" t="s">
        <v>4142</v>
      </c>
      <c r="H177" t="s">
        <v>3334</v>
      </c>
      <c r="I177" t="s">
        <v>4143</v>
      </c>
      <c r="J177" t="s">
        <v>20</v>
      </c>
      <c r="K177" s="2">
        <v>7611</v>
      </c>
      <c r="L177" s="2">
        <v>7611</v>
      </c>
      <c r="M177" t="str">
        <f>IFERROR(IF(VLOOKUP(LEFT(B177,2),'Humanitarian codes'!$A$2:$A$10,1,FALSE)=LEFT(B177,2),"Yes","Error"),"No")</f>
        <v>No</v>
      </c>
    </row>
    <row r="178" spans="1:13" x14ac:dyDescent="0.25">
      <c r="A178">
        <v>2022</v>
      </c>
      <c r="B178" t="s">
        <v>3352</v>
      </c>
      <c r="C178" t="s">
        <v>3353</v>
      </c>
      <c r="D178" t="s">
        <v>30</v>
      </c>
      <c r="E178" t="s">
        <v>20</v>
      </c>
      <c r="F178">
        <v>4500247666</v>
      </c>
      <c r="G178" t="s">
        <v>4144</v>
      </c>
      <c r="H178" t="s">
        <v>3334</v>
      </c>
      <c r="I178" t="s">
        <v>4145</v>
      </c>
      <c r="J178" t="s">
        <v>20</v>
      </c>
      <c r="K178" s="2">
        <v>9082</v>
      </c>
      <c r="L178" s="2">
        <v>9082</v>
      </c>
      <c r="M178" t="str">
        <f>IFERROR(IF(VLOOKUP(LEFT(B178,2),'Humanitarian codes'!$A$2:$A$10,1,FALSE)=LEFT(B178,2),"Yes","Error"),"No")</f>
        <v>No</v>
      </c>
    </row>
    <row r="179" spans="1:13" x14ac:dyDescent="0.25">
      <c r="A179">
        <v>2022</v>
      </c>
      <c r="B179" t="s">
        <v>3352</v>
      </c>
      <c r="C179" t="s">
        <v>3353</v>
      </c>
      <c r="D179" t="s">
        <v>30</v>
      </c>
      <c r="E179" t="s">
        <v>20</v>
      </c>
      <c r="F179">
        <v>4500248842</v>
      </c>
      <c r="G179" t="s">
        <v>4146</v>
      </c>
      <c r="H179" t="s">
        <v>3334</v>
      </c>
      <c r="I179" t="s">
        <v>3355</v>
      </c>
      <c r="J179" t="s">
        <v>20</v>
      </c>
      <c r="K179" s="2">
        <v>8516</v>
      </c>
      <c r="L179" s="2">
        <v>8516</v>
      </c>
      <c r="M179" t="str">
        <f>IFERROR(IF(VLOOKUP(LEFT(B179,2),'Humanitarian codes'!$A$2:$A$10,1,FALSE)=LEFT(B179,2),"Yes","Error"),"No")</f>
        <v>No</v>
      </c>
    </row>
    <row r="180" spans="1:13" x14ac:dyDescent="0.25">
      <c r="A180">
        <v>2022</v>
      </c>
      <c r="B180" t="s">
        <v>3352</v>
      </c>
      <c r="C180" t="s">
        <v>3353</v>
      </c>
      <c r="D180" t="s">
        <v>30</v>
      </c>
      <c r="E180" t="s">
        <v>20</v>
      </c>
      <c r="F180">
        <v>4500261983</v>
      </c>
      <c r="G180" t="s">
        <v>4147</v>
      </c>
      <c r="H180" t="s">
        <v>3334</v>
      </c>
      <c r="I180" t="s">
        <v>4148</v>
      </c>
      <c r="J180" t="s">
        <v>20</v>
      </c>
      <c r="K180" s="2">
        <v>3215</v>
      </c>
      <c r="L180" s="2">
        <v>3215</v>
      </c>
      <c r="M180" t="str">
        <f>IFERROR(IF(VLOOKUP(LEFT(B180,2),'Humanitarian codes'!$A$2:$A$10,1,FALSE)=LEFT(B180,2),"Yes","Error"),"No")</f>
        <v>No</v>
      </c>
    </row>
    <row r="181" spans="1:13" x14ac:dyDescent="0.25">
      <c r="A181">
        <v>2022</v>
      </c>
      <c r="B181" t="s">
        <v>3352</v>
      </c>
      <c r="C181" t="s">
        <v>3353</v>
      </c>
      <c r="D181" t="s">
        <v>30</v>
      </c>
      <c r="E181" t="s">
        <v>20</v>
      </c>
      <c r="F181">
        <v>4500263422</v>
      </c>
      <c r="G181" t="s">
        <v>4149</v>
      </c>
      <c r="H181" t="s">
        <v>3334</v>
      </c>
      <c r="I181" t="s">
        <v>4150</v>
      </c>
      <c r="J181" t="s">
        <v>20</v>
      </c>
      <c r="K181" s="2">
        <v>3943</v>
      </c>
      <c r="L181" s="2">
        <v>3943</v>
      </c>
      <c r="M181" t="str">
        <f>IFERROR(IF(VLOOKUP(LEFT(B181,2),'Humanitarian codes'!$A$2:$A$10,1,FALSE)=LEFT(B181,2),"Yes","Error"),"No")</f>
        <v>No</v>
      </c>
    </row>
    <row r="182" spans="1:13" x14ac:dyDescent="0.25">
      <c r="A182">
        <v>2022</v>
      </c>
      <c r="B182" t="s">
        <v>3352</v>
      </c>
      <c r="C182" t="s">
        <v>3353</v>
      </c>
      <c r="D182" t="s">
        <v>30</v>
      </c>
      <c r="E182" t="s">
        <v>20</v>
      </c>
      <c r="F182">
        <v>4500263423</v>
      </c>
      <c r="G182" t="s">
        <v>4151</v>
      </c>
      <c r="H182" t="s">
        <v>3334</v>
      </c>
      <c r="I182" t="s">
        <v>4152</v>
      </c>
      <c r="J182" t="s">
        <v>20</v>
      </c>
      <c r="K182" s="2">
        <v>7197</v>
      </c>
      <c r="L182" s="2">
        <v>7197</v>
      </c>
      <c r="M182" t="str">
        <f>IFERROR(IF(VLOOKUP(LEFT(B182,2),'Humanitarian codes'!$A$2:$A$10,1,FALSE)=LEFT(B182,2),"Yes","Error"),"No")</f>
        <v>No</v>
      </c>
    </row>
    <row r="183" spans="1:13" x14ac:dyDescent="0.25">
      <c r="A183">
        <v>2022</v>
      </c>
      <c r="B183" t="s">
        <v>3352</v>
      </c>
      <c r="C183" t="s">
        <v>3353</v>
      </c>
      <c r="D183" t="s">
        <v>30</v>
      </c>
      <c r="E183" t="s">
        <v>20</v>
      </c>
      <c r="F183">
        <v>4500263424</v>
      </c>
      <c r="G183" t="s">
        <v>4153</v>
      </c>
      <c r="H183" t="s">
        <v>3334</v>
      </c>
      <c r="I183" t="s">
        <v>4154</v>
      </c>
      <c r="J183" t="s">
        <v>20</v>
      </c>
      <c r="K183" s="2">
        <v>3199</v>
      </c>
      <c r="L183" s="2">
        <v>3199</v>
      </c>
      <c r="M183" t="str">
        <f>IFERROR(IF(VLOOKUP(LEFT(B183,2),'Humanitarian codes'!$A$2:$A$10,1,FALSE)=LEFT(B183,2),"Yes","Error"),"No")</f>
        <v>No</v>
      </c>
    </row>
    <row r="184" spans="1:13" x14ac:dyDescent="0.25">
      <c r="A184">
        <v>2022</v>
      </c>
      <c r="B184" t="s">
        <v>3352</v>
      </c>
      <c r="C184" t="s">
        <v>3353</v>
      </c>
      <c r="D184" t="s">
        <v>30</v>
      </c>
      <c r="E184" t="s">
        <v>20</v>
      </c>
      <c r="F184">
        <v>4500263429</v>
      </c>
      <c r="G184" t="s">
        <v>4155</v>
      </c>
      <c r="H184" t="s">
        <v>3334</v>
      </c>
      <c r="I184" t="s">
        <v>4156</v>
      </c>
      <c r="J184" t="s">
        <v>20</v>
      </c>
      <c r="K184" s="2">
        <v>4590</v>
      </c>
      <c r="L184" s="2">
        <v>4590</v>
      </c>
      <c r="M184" t="str">
        <f>IFERROR(IF(VLOOKUP(LEFT(B184,2),'Humanitarian codes'!$A$2:$A$10,1,FALSE)=LEFT(B184,2),"Yes","Error"),"No")</f>
        <v>No</v>
      </c>
    </row>
    <row r="185" spans="1:13" x14ac:dyDescent="0.25">
      <c r="A185">
        <v>2022</v>
      </c>
      <c r="B185" t="s">
        <v>3352</v>
      </c>
      <c r="C185" t="s">
        <v>3353</v>
      </c>
      <c r="D185" t="s">
        <v>30</v>
      </c>
      <c r="E185" t="s">
        <v>20</v>
      </c>
      <c r="F185">
        <v>4500263430</v>
      </c>
      <c r="G185" t="s">
        <v>4157</v>
      </c>
      <c r="H185" t="s">
        <v>3334</v>
      </c>
      <c r="I185" t="s">
        <v>4158</v>
      </c>
      <c r="J185" t="s">
        <v>20</v>
      </c>
      <c r="K185" s="2">
        <v>5046</v>
      </c>
      <c r="L185" s="2">
        <v>5046</v>
      </c>
      <c r="M185" t="str">
        <f>IFERROR(IF(VLOOKUP(LEFT(B185,2),'Humanitarian codes'!$A$2:$A$10,1,FALSE)=LEFT(B185,2),"Yes","Error"),"No")</f>
        <v>No</v>
      </c>
    </row>
    <row r="186" spans="1:13" x14ac:dyDescent="0.25">
      <c r="A186">
        <v>2022</v>
      </c>
      <c r="B186" t="s">
        <v>3352</v>
      </c>
      <c r="C186" t="s">
        <v>3353</v>
      </c>
      <c r="D186" t="s">
        <v>30</v>
      </c>
      <c r="E186" t="s">
        <v>20</v>
      </c>
      <c r="F186">
        <v>4500263431</v>
      </c>
      <c r="G186" t="s">
        <v>4159</v>
      </c>
      <c r="H186" t="s">
        <v>3334</v>
      </c>
      <c r="I186" t="s">
        <v>4160</v>
      </c>
      <c r="J186" t="s">
        <v>20</v>
      </c>
      <c r="K186" s="2">
        <v>3850</v>
      </c>
      <c r="L186" s="2">
        <v>3850</v>
      </c>
      <c r="M186" t="str">
        <f>IFERROR(IF(VLOOKUP(LEFT(B186,2),'Humanitarian codes'!$A$2:$A$10,1,FALSE)=LEFT(B186,2),"Yes","Error"),"No")</f>
        <v>No</v>
      </c>
    </row>
    <row r="187" spans="1:13" x14ac:dyDescent="0.25">
      <c r="A187">
        <v>2022</v>
      </c>
      <c r="B187" t="s">
        <v>3352</v>
      </c>
      <c r="C187" t="s">
        <v>3353</v>
      </c>
      <c r="D187" t="s">
        <v>30</v>
      </c>
      <c r="E187" t="s">
        <v>20</v>
      </c>
      <c r="F187">
        <v>4500263432</v>
      </c>
      <c r="G187" t="s">
        <v>4161</v>
      </c>
      <c r="H187" t="s">
        <v>3334</v>
      </c>
      <c r="I187" t="s">
        <v>4162</v>
      </c>
      <c r="J187" t="s">
        <v>20</v>
      </c>
      <c r="K187" s="2">
        <v>4132</v>
      </c>
      <c r="L187" s="2">
        <v>4132</v>
      </c>
      <c r="M187" t="str">
        <f>IFERROR(IF(VLOOKUP(LEFT(B187,2),'Humanitarian codes'!$A$2:$A$10,1,FALSE)=LEFT(B187,2),"Yes","Error"),"No")</f>
        <v>No</v>
      </c>
    </row>
    <row r="188" spans="1:13" x14ac:dyDescent="0.25">
      <c r="A188">
        <v>2022</v>
      </c>
      <c r="B188" t="s">
        <v>3352</v>
      </c>
      <c r="C188" t="s">
        <v>3353</v>
      </c>
      <c r="D188" t="s">
        <v>30</v>
      </c>
      <c r="E188" t="s">
        <v>20</v>
      </c>
      <c r="F188">
        <v>4500263433</v>
      </c>
      <c r="G188" t="s">
        <v>4163</v>
      </c>
      <c r="H188" t="s">
        <v>3334</v>
      </c>
      <c r="I188" t="s">
        <v>4164</v>
      </c>
      <c r="J188" t="s">
        <v>20</v>
      </c>
      <c r="K188" s="2">
        <v>3545</v>
      </c>
      <c r="L188" s="2">
        <v>3545</v>
      </c>
      <c r="M188" t="str">
        <f>IFERROR(IF(VLOOKUP(LEFT(B188,2),'Humanitarian codes'!$A$2:$A$10,1,FALSE)=LEFT(B188,2),"Yes","Error"),"No")</f>
        <v>No</v>
      </c>
    </row>
    <row r="189" spans="1:13" x14ac:dyDescent="0.25">
      <c r="A189">
        <v>2022</v>
      </c>
      <c r="B189" t="s">
        <v>3352</v>
      </c>
      <c r="C189" t="s">
        <v>3353</v>
      </c>
      <c r="D189" t="s">
        <v>30</v>
      </c>
      <c r="E189" t="s">
        <v>20</v>
      </c>
      <c r="F189">
        <v>4500263435</v>
      </c>
      <c r="G189" t="s">
        <v>4165</v>
      </c>
      <c r="H189" t="s">
        <v>3334</v>
      </c>
      <c r="I189" t="s">
        <v>4166</v>
      </c>
      <c r="J189" t="s">
        <v>20</v>
      </c>
      <c r="K189" s="2">
        <v>3541</v>
      </c>
      <c r="L189" s="2">
        <v>3541</v>
      </c>
      <c r="M189" t="str">
        <f>IFERROR(IF(VLOOKUP(LEFT(B189,2),'Humanitarian codes'!$A$2:$A$10,1,FALSE)=LEFT(B189,2),"Yes","Error"),"No")</f>
        <v>No</v>
      </c>
    </row>
    <row r="190" spans="1:13" x14ac:dyDescent="0.25">
      <c r="A190">
        <v>2022</v>
      </c>
      <c r="B190" t="s">
        <v>3352</v>
      </c>
      <c r="C190" t="s">
        <v>3353</v>
      </c>
      <c r="D190" t="s">
        <v>30</v>
      </c>
      <c r="E190" t="s">
        <v>20</v>
      </c>
      <c r="F190">
        <v>4500263437</v>
      </c>
      <c r="G190" t="s">
        <v>4167</v>
      </c>
      <c r="H190" t="s">
        <v>3334</v>
      </c>
      <c r="I190" t="s">
        <v>4168</v>
      </c>
      <c r="J190" t="s">
        <v>20</v>
      </c>
      <c r="K190" s="2">
        <v>3705</v>
      </c>
      <c r="L190" s="2">
        <v>3705</v>
      </c>
      <c r="M190" t="str">
        <f>IFERROR(IF(VLOOKUP(LEFT(B190,2),'Humanitarian codes'!$A$2:$A$10,1,FALSE)=LEFT(B190,2),"Yes","Error"),"No")</f>
        <v>No</v>
      </c>
    </row>
    <row r="191" spans="1:13" x14ac:dyDescent="0.25">
      <c r="A191">
        <v>2022</v>
      </c>
      <c r="B191" t="s">
        <v>3352</v>
      </c>
      <c r="C191" t="s">
        <v>3353</v>
      </c>
      <c r="D191" t="s">
        <v>30</v>
      </c>
      <c r="E191" t="s">
        <v>20</v>
      </c>
      <c r="F191">
        <v>4500263438</v>
      </c>
      <c r="G191" t="s">
        <v>4169</v>
      </c>
      <c r="H191" t="s">
        <v>3334</v>
      </c>
      <c r="I191" t="s">
        <v>4170</v>
      </c>
      <c r="J191" t="s">
        <v>20</v>
      </c>
      <c r="K191" s="2">
        <v>4937</v>
      </c>
      <c r="L191" s="2">
        <v>4937</v>
      </c>
      <c r="M191" t="str">
        <f>IFERROR(IF(VLOOKUP(LEFT(B191,2),'Humanitarian codes'!$A$2:$A$10,1,FALSE)=LEFT(B191,2),"Yes","Error"),"No")</f>
        <v>No</v>
      </c>
    </row>
    <row r="192" spans="1:13" x14ac:dyDescent="0.25">
      <c r="A192">
        <v>2022</v>
      </c>
      <c r="B192" t="s">
        <v>3352</v>
      </c>
      <c r="C192" t="s">
        <v>3353</v>
      </c>
      <c r="D192" t="s">
        <v>30</v>
      </c>
      <c r="E192" t="s">
        <v>20</v>
      </c>
      <c r="F192">
        <v>4500263440</v>
      </c>
      <c r="G192" t="s">
        <v>4171</v>
      </c>
      <c r="H192" t="s">
        <v>3334</v>
      </c>
      <c r="I192" t="s">
        <v>4172</v>
      </c>
      <c r="J192" t="s">
        <v>20</v>
      </c>
      <c r="K192" s="2">
        <v>5640</v>
      </c>
      <c r="L192" s="2">
        <v>5640</v>
      </c>
      <c r="M192" t="str">
        <f>IFERROR(IF(VLOOKUP(LEFT(B192,2),'Humanitarian codes'!$A$2:$A$10,1,FALSE)=LEFT(B192,2),"Yes","Error"),"No")</f>
        <v>No</v>
      </c>
    </row>
    <row r="193" spans="1:13" x14ac:dyDescent="0.25">
      <c r="A193">
        <v>2022</v>
      </c>
      <c r="B193" t="s">
        <v>3352</v>
      </c>
      <c r="C193" t="s">
        <v>3353</v>
      </c>
      <c r="D193" t="s">
        <v>30</v>
      </c>
      <c r="E193" t="s">
        <v>20</v>
      </c>
      <c r="F193">
        <v>4500263442</v>
      </c>
      <c r="G193" t="s">
        <v>4173</v>
      </c>
      <c r="H193" t="s">
        <v>3334</v>
      </c>
      <c r="I193" t="s">
        <v>4174</v>
      </c>
      <c r="J193" t="s">
        <v>20</v>
      </c>
      <c r="K193" s="2">
        <v>7577</v>
      </c>
      <c r="L193" s="2">
        <v>7577</v>
      </c>
      <c r="M193" t="str">
        <f>IFERROR(IF(VLOOKUP(LEFT(B193,2),'Humanitarian codes'!$A$2:$A$10,1,FALSE)=LEFT(B193,2),"Yes","Error"),"No")</f>
        <v>No</v>
      </c>
    </row>
    <row r="194" spans="1:13" x14ac:dyDescent="0.25">
      <c r="A194">
        <v>2022</v>
      </c>
      <c r="B194" t="s">
        <v>3352</v>
      </c>
      <c r="C194" t="s">
        <v>3353</v>
      </c>
      <c r="D194" t="s">
        <v>30</v>
      </c>
      <c r="E194" t="s">
        <v>20</v>
      </c>
      <c r="F194">
        <v>4500263443</v>
      </c>
      <c r="G194" t="s">
        <v>4175</v>
      </c>
      <c r="H194" t="s">
        <v>3334</v>
      </c>
      <c r="I194" t="s">
        <v>4176</v>
      </c>
      <c r="J194" t="s">
        <v>20</v>
      </c>
      <c r="K194" s="2">
        <v>4184</v>
      </c>
      <c r="L194" s="2">
        <v>4184</v>
      </c>
      <c r="M194" t="str">
        <f>IFERROR(IF(VLOOKUP(LEFT(B194,2),'Humanitarian codes'!$A$2:$A$10,1,FALSE)=LEFT(B194,2),"Yes","Error"),"No")</f>
        <v>No</v>
      </c>
    </row>
    <row r="195" spans="1:13" x14ac:dyDescent="0.25">
      <c r="A195">
        <v>2022</v>
      </c>
      <c r="B195" t="s">
        <v>3352</v>
      </c>
      <c r="C195" t="s">
        <v>3353</v>
      </c>
      <c r="D195" t="s">
        <v>30</v>
      </c>
      <c r="E195" t="s">
        <v>20</v>
      </c>
      <c r="F195">
        <v>4500263650</v>
      </c>
      <c r="G195" t="s">
        <v>4177</v>
      </c>
      <c r="H195" t="s">
        <v>3334</v>
      </c>
      <c r="I195" t="s">
        <v>4178</v>
      </c>
      <c r="J195" t="s">
        <v>20</v>
      </c>
      <c r="K195" s="2">
        <v>7580</v>
      </c>
      <c r="L195" s="2">
        <v>7580</v>
      </c>
      <c r="M195" t="str">
        <f>IFERROR(IF(VLOOKUP(LEFT(B195,2),'Humanitarian codes'!$A$2:$A$10,1,FALSE)=LEFT(B195,2),"Yes","Error"),"No")</f>
        <v>No</v>
      </c>
    </row>
    <row r="196" spans="1:13" x14ac:dyDescent="0.25">
      <c r="A196">
        <v>2022</v>
      </c>
      <c r="B196" t="s">
        <v>3352</v>
      </c>
      <c r="C196" t="s">
        <v>3353</v>
      </c>
      <c r="D196" t="s">
        <v>30</v>
      </c>
      <c r="E196" t="s">
        <v>20</v>
      </c>
      <c r="F196">
        <v>4500263668</v>
      </c>
      <c r="G196" t="s">
        <v>4179</v>
      </c>
      <c r="H196" t="s">
        <v>3334</v>
      </c>
      <c r="I196" t="s">
        <v>4180</v>
      </c>
      <c r="J196" t="s">
        <v>20</v>
      </c>
      <c r="K196" s="2">
        <v>7232</v>
      </c>
      <c r="L196" s="2">
        <v>7232</v>
      </c>
      <c r="M196" t="str">
        <f>IFERROR(IF(VLOOKUP(LEFT(B196,2),'Humanitarian codes'!$A$2:$A$10,1,FALSE)=LEFT(B196,2),"Yes","Error"),"No")</f>
        <v>No</v>
      </c>
    </row>
    <row r="197" spans="1:13" x14ac:dyDescent="0.25">
      <c r="A197">
        <v>2022</v>
      </c>
      <c r="B197" t="s">
        <v>3352</v>
      </c>
      <c r="C197" t="s">
        <v>3353</v>
      </c>
      <c r="D197" t="s">
        <v>30</v>
      </c>
      <c r="E197" t="s">
        <v>20</v>
      </c>
      <c r="F197">
        <v>4500263687</v>
      </c>
      <c r="G197" t="s">
        <v>4181</v>
      </c>
      <c r="H197" t="s">
        <v>3334</v>
      </c>
      <c r="I197" t="s">
        <v>4182</v>
      </c>
      <c r="J197" t="s">
        <v>20</v>
      </c>
      <c r="K197" s="2">
        <v>7232</v>
      </c>
      <c r="L197" s="2">
        <v>7232</v>
      </c>
      <c r="M197" t="str">
        <f>IFERROR(IF(VLOOKUP(LEFT(B197,2),'Humanitarian codes'!$A$2:$A$10,1,FALSE)=LEFT(B197,2),"Yes","Error"),"No")</f>
        <v>No</v>
      </c>
    </row>
    <row r="198" spans="1:13" x14ac:dyDescent="0.25">
      <c r="A198">
        <v>2022</v>
      </c>
      <c r="B198" t="s">
        <v>3352</v>
      </c>
      <c r="C198" t="s">
        <v>3353</v>
      </c>
      <c r="D198" t="s">
        <v>30</v>
      </c>
      <c r="E198" t="s">
        <v>20</v>
      </c>
      <c r="F198">
        <v>4500263729</v>
      </c>
      <c r="G198" t="s">
        <v>4183</v>
      </c>
      <c r="H198" t="s">
        <v>3334</v>
      </c>
      <c r="I198" t="s">
        <v>4184</v>
      </c>
      <c r="J198" t="s">
        <v>20</v>
      </c>
      <c r="K198" s="2">
        <v>7051</v>
      </c>
      <c r="L198" s="2">
        <v>7051</v>
      </c>
      <c r="M198" t="str">
        <f>IFERROR(IF(VLOOKUP(LEFT(B198,2),'Humanitarian codes'!$A$2:$A$10,1,FALSE)=LEFT(B198,2),"Yes","Error"),"No")</f>
        <v>No</v>
      </c>
    </row>
    <row r="199" spans="1:13" x14ac:dyDescent="0.25">
      <c r="A199">
        <v>2022</v>
      </c>
      <c r="B199" t="s">
        <v>3352</v>
      </c>
      <c r="C199" t="s">
        <v>3353</v>
      </c>
      <c r="D199" t="s">
        <v>30</v>
      </c>
      <c r="E199" t="s">
        <v>20</v>
      </c>
      <c r="F199">
        <v>4500263826</v>
      </c>
      <c r="G199" t="s">
        <v>4185</v>
      </c>
      <c r="H199" t="s">
        <v>3334</v>
      </c>
      <c r="I199" t="s">
        <v>4186</v>
      </c>
      <c r="J199" t="s">
        <v>20</v>
      </c>
      <c r="K199" s="2">
        <v>7482</v>
      </c>
      <c r="L199" s="2">
        <v>7482</v>
      </c>
      <c r="M199" t="str">
        <f>IFERROR(IF(VLOOKUP(LEFT(B199,2),'Humanitarian codes'!$A$2:$A$10,1,FALSE)=LEFT(B199,2),"Yes","Error"),"No")</f>
        <v>No</v>
      </c>
    </row>
    <row r="200" spans="1:13" x14ac:dyDescent="0.25">
      <c r="A200">
        <v>2022</v>
      </c>
      <c r="B200" t="s">
        <v>3352</v>
      </c>
      <c r="C200" t="s">
        <v>3353</v>
      </c>
      <c r="D200" t="s">
        <v>30</v>
      </c>
      <c r="E200" t="s">
        <v>20</v>
      </c>
      <c r="F200">
        <v>4500263848</v>
      </c>
      <c r="G200" t="s">
        <v>4187</v>
      </c>
      <c r="H200" t="s">
        <v>3334</v>
      </c>
      <c r="I200" t="s">
        <v>4188</v>
      </c>
      <c r="J200" t="s">
        <v>20</v>
      </c>
      <c r="K200" s="2">
        <v>7294</v>
      </c>
      <c r="L200" s="2">
        <v>7294</v>
      </c>
      <c r="M200" t="str">
        <f>IFERROR(IF(VLOOKUP(LEFT(B200,2),'Humanitarian codes'!$A$2:$A$10,1,FALSE)=LEFT(B200,2),"Yes","Error"),"No")</f>
        <v>No</v>
      </c>
    </row>
    <row r="201" spans="1:13" x14ac:dyDescent="0.25">
      <c r="A201">
        <v>2022</v>
      </c>
      <c r="B201" t="s">
        <v>3352</v>
      </c>
      <c r="C201" t="s">
        <v>3353</v>
      </c>
      <c r="D201" t="s">
        <v>30</v>
      </c>
      <c r="E201" t="s">
        <v>20</v>
      </c>
      <c r="F201">
        <v>4500263866</v>
      </c>
      <c r="G201" t="s">
        <v>4189</v>
      </c>
      <c r="H201" t="s">
        <v>3334</v>
      </c>
      <c r="I201" t="s">
        <v>4190</v>
      </c>
      <c r="J201" t="s">
        <v>20</v>
      </c>
      <c r="K201" s="2">
        <v>7113</v>
      </c>
      <c r="L201" s="2">
        <v>7113</v>
      </c>
      <c r="M201" t="str">
        <f>IFERROR(IF(VLOOKUP(LEFT(B201,2),'Humanitarian codes'!$A$2:$A$10,1,FALSE)=LEFT(B201,2),"Yes","Error"),"No")</f>
        <v>No</v>
      </c>
    </row>
    <row r="202" spans="1:13" x14ac:dyDescent="0.25">
      <c r="A202">
        <v>2022</v>
      </c>
      <c r="B202" t="s">
        <v>3352</v>
      </c>
      <c r="C202" t="s">
        <v>3353</v>
      </c>
      <c r="D202" t="s">
        <v>30</v>
      </c>
      <c r="E202" t="s">
        <v>20</v>
      </c>
      <c r="F202">
        <v>4500263867</v>
      </c>
      <c r="G202" t="s">
        <v>4191</v>
      </c>
      <c r="H202" t="s">
        <v>3334</v>
      </c>
      <c r="I202" t="s">
        <v>4192</v>
      </c>
      <c r="J202" t="s">
        <v>20</v>
      </c>
      <c r="K202" s="2">
        <v>6914</v>
      </c>
      <c r="L202" s="2">
        <v>6914</v>
      </c>
      <c r="M202" t="str">
        <f>IFERROR(IF(VLOOKUP(LEFT(B202,2),'Humanitarian codes'!$A$2:$A$10,1,FALSE)=LEFT(B202,2),"Yes","Error"),"No")</f>
        <v>No</v>
      </c>
    </row>
    <row r="203" spans="1:13" x14ac:dyDescent="0.25">
      <c r="A203">
        <v>2022</v>
      </c>
      <c r="B203" t="s">
        <v>3352</v>
      </c>
      <c r="C203" t="s">
        <v>3353</v>
      </c>
      <c r="D203" t="s">
        <v>30</v>
      </c>
      <c r="E203" t="s">
        <v>20</v>
      </c>
      <c r="F203">
        <v>4500263876</v>
      </c>
      <c r="G203" t="s">
        <v>4193</v>
      </c>
      <c r="H203" t="s">
        <v>3334</v>
      </c>
      <c r="I203" t="s">
        <v>4194</v>
      </c>
      <c r="J203" t="s">
        <v>20</v>
      </c>
      <c r="K203" s="2">
        <v>5966</v>
      </c>
      <c r="L203" s="2">
        <v>5966</v>
      </c>
      <c r="M203" t="str">
        <f>IFERROR(IF(VLOOKUP(LEFT(B203,2),'Humanitarian codes'!$A$2:$A$10,1,FALSE)=LEFT(B203,2),"Yes","Error"),"No")</f>
        <v>No</v>
      </c>
    </row>
    <row r="204" spans="1:13" x14ac:dyDescent="0.25">
      <c r="A204">
        <v>2022</v>
      </c>
      <c r="B204" t="s">
        <v>3352</v>
      </c>
      <c r="C204" t="s">
        <v>3353</v>
      </c>
      <c r="D204" t="s">
        <v>30</v>
      </c>
      <c r="E204" t="s">
        <v>20</v>
      </c>
      <c r="F204">
        <v>4500263880</v>
      </c>
      <c r="G204" t="s">
        <v>4195</v>
      </c>
      <c r="H204" t="s">
        <v>3334</v>
      </c>
      <c r="I204" t="s">
        <v>4196</v>
      </c>
      <c r="J204" t="s">
        <v>20</v>
      </c>
      <c r="K204" s="2">
        <v>7068</v>
      </c>
      <c r="L204" s="2">
        <v>7068</v>
      </c>
      <c r="M204" t="str">
        <f>IFERROR(IF(VLOOKUP(LEFT(B204,2),'Humanitarian codes'!$A$2:$A$10,1,FALSE)=LEFT(B204,2),"Yes","Error"),"No")</f>
        <v>No</v>
      </c>
    </row>
    <row r="205" spans="1:13" x14ac:dyDescent="0.25">
      <c r="A205">
        <v>2022</v>
      </c>
      <c r="B205" t="s">
        <v>3352</v>
      </c>
      <c r="C205" t="s">
        <v>3353</v>
      </c>
      <c r="D205" t="s">
        <v>30</v>
      </c>
      <c r="E205" t="s">
        <v>20</v>
      </c>
      <c r="F205">
        <v>4500263883</v>
      </c>
      <c r="G205" t="s">
        <v>4197</v>
      </c>
      <c r="H205" t="s">
        <v>3334</v>
      </c>
      <c r="I205" t="s">
        <v>4198</v>
      </c>
      <c r="J205" t="s">
        <v>20</v>
      </c>
      <c r="K205" s="2">
        <v>7233</v>
      </c>
      <c r="L205" s="2">
        <v>7233</v>
      </c>
      <c r="M205" t="str">
        <f>IFERROR(IF(VLOOKUP(LEFT(B205,2),'Humanitarian codes'!$A$2:$A$10,1,FALSE)=LEFT(B205,2),"Yes","Error"),"No")</f>
        <v>No</v>
      </c>
    </row>
    <row r="206" spans="1:13" x14ac:dyDescent="0.25">
      <c r="A206">
        <v>2022</v>
      </c>
      <c r="B206" t="s">
        <v>3352</v>
      </c>
      <c r="C206" t="s">
        <v>3353</v>
      </c>
      <c r="D206" t="s">
        <v>30</v>
      </c>
      <c r="E206" t="s">
        <v>20</v>
      </c>
      <c r="F206">
        <v>4500263922</v>
      </c>
      <c r="G206" t="s">
        <v>4199</v>
      </c>
      <c r="H206" t="s">
        <v>3334</v>
      </c>
      <c r="I206" t="s">
        <v>4200</v>
      </c>
      <c r="J206" t="s">
        <v>20</v>
      </c>
      <c r="K206" s="2">
        <v>5277</v>
      </c>
      <c r="L206" s="2">
        <v>5277</v>
      </c>
      <c r="M206" t="str">
        <f>IFERROR(IF(VLOOKUP(LEFT(B206,2),'Humanitarian codes'!$A$2:$A$10,1,FALSE)=LEFT(B206,2),"Yes","Error"),"No")</f>
        <v>No</v>
      </c>
    </row>
    <row r="207" spans="1:13" x14ac:dyDescent="0.25">
      <c r="A207">
        <v>2022</v>
      </c>
      <c r="B207" t="s">
        <v>3352</v>
      </c>
      <c r="C207" t="s">
        <v>3353</v>
      </c>
      <c r="D207" t="s">
        <v>30</v>
      </c>
      <c r="E207" t="s">
        <v>20</v>
      </c>
      <c r="F207">
        <v>4500264536</v>
      </c>
      <c r="G207" t="s">
        <v>4201</v>
      </c>
      <c r="H207" t="s">
        <v>3334</v>
      </c>
      <c r="I207" t="s">
        <v>4202</v>
      </c>
      <c r="J207" t="s">
        <v>20</v>
      </c>
      <c r="K207" s="2">
        <v>7363</v>
      </c>
      <c r="L207" s="2">
        <v>7363</v>
      </c>
      <c r="M207" t="str">
        <f>IFERROR(IF(VLOOKUP(LEFT(B207,2),'Humanitarian codes'!$A$2:$A$10,1,FALSE)=LEFT(B207,2),"Yes","Error"),"No")</f>
        <v>No</v>
      </c>
    </row>
    <row r="208" spans="1:13" x14ac:dyDescent="0.25">
      <c r="A208">
        <v>2022</v>
      </c>
      <c r="B208" t="s">
        <v>3352</v>
      </c>
      <c r="C208" t="s">
        <v>3353</v>
      </c>
      <c r="D208" t="s">
        <v>30</v>
      </c>
      <c r="E208" t="s">
        <v>20</v>
      </c>
      <c r="F208">
        <v>4500264559</v>
      </c>
      <c r="G208" t="s">
        <v>4203</v>
      </c>
      <c r="H208" t="s">
        <v>3334</v>
      </c>
      <c r="I208" t="s">
        <v>4204</v>
      </c>
      <c r="J208" t="s">
        <v>20</v>
      </c>
      <c r="K208" s="2">
        <v>7051</v>
      </c>
      <c r="L208" s="2">
        <v>7051</v>
      </c>
      <c r="M208" t="str">
        <f>IFERROR(IF(VLOOKUP(LEFT(B208,2),'Humanitarian codes'!$A$2:$A$10,1,FALSE)=LEFT(B208,2),"Yes","Error"),"No")</f>
        <v>No</v>
      </c>
    </row>
    <row r="209" spans="1:13" x14ac:dyDescent="0.25">
      <c r="A209">
        <v>2022</v>
      </c>
      <c r="B209" t="s">
        <v>3352</v>
      </c>
      <c r="C209" t="s">
        <v>3353</v>
      </c>
      <c r="D209" t="s">
        <v>30</v>
      </c>
      <c r="E209" t="s">
        <v>20</v>
      </c>
      <c r="F209">
        <v>4500264582</v>
      </c>
      <c r="G209" t="s">
        <v>4205</v>
      </c>
      <c r="H209" t="s">
        <v>3334</v>
      </c>
      <c r="I209" t="s">
        <v>4206</v>
      </c>
      <c r="J209" t="s">
        <v>20</v>
      </c>
      <c r="K209" s="2">
        <v>5664</v>
      </c>
      <c r="L209" s="2">
        <v>5664</v>
      </c>
      <c r="M209" t="str">
        <f>IFERROR(IF(VLOOKUP(LEFT(B209,2),'Humanitarian codes'!$A$2:$A$10,1,FALSE)=LEFT(B209,2),"Yes","Error"),"No")</f>
        <v>No</v>
      </c>
    </row>
    <row r="210" spans="1:13" x14ac:dyDescent="0.25">
      <c r="A210">
        <v>2022</v>
      </c>
      <c r="B210" t="s">
        <v>3352</v>
      </c>
      <c r="C210" t="s">
        <v>3353</v>
      </c>
      <c r="D210" t="s">
        <v>30</v>
      </c>
      <c r="E210" t="s">
        <v>20</v>
      </c>
      <c r="F210">
        <v>4500264648</v>
      </c>
      <c r="G210" t="s">
        <v>4207</v>
      </c>
      <c r="H210" t="s">
        <v>3334</v>
      </c>
      <c r="I210" t="s">
        <v>4208</v>
      </c>
      <c r="J210" t="s">
        <v>20</v>
      </c>
      <c r="K210" s="2">
        <v>7571</v>
      </c>
      <c r="L210" s="2">
        <v>7571</v>
      </c>
      <c r="M210" t="str">
        <f>IFERROR(IF(VLOOKUP(LEFT(B210,2),'Humanitarian codes'!$A$2:$A$10,1,FALSE)=LEFT(B210,2),"Yes","Error"),"No")</f>
        <v>No</v>
      </c>
    </row>
    <row r="211" spans="1:13" x14ac:dyDescent="0.25">
      <c r="A211">
        <v>2022</v>
      </c>
      <c r="B211" t="s">
        <v>3352</v>
      </c>
      <c r="C211" t="s">
        <v>3353</v>
      </c>
      <c r="D211" t="s">
        <v>30</v>
      </c>
      <c r="E211" t="s">
        <v>20</v>
      </c>
      <c r="F211">
        <v>4500264650</v>
      </c>
      <c r="G211" t="s">
        <v>4209</v>
      </c>
      <c r="H211" t="s">
        <v>3334</v>
      </c>
      <c r="I211" t="s">
        <v>4210</v>
      </c>
      <c r="J211" t="s">
        <v>20</v>
      </c>
      <c r="K211" s="2">
        <v>7525</v>
      </c>
      <c r="L211" s="2">
        <v>7525</v>
      </c>
      <c r="M211" t="str">
        <f>IFERROR(IF(VLOOKUP(LEFT(B211,2),'Humanitarian codes'!$A$2:$A$10,1,FALSE)=LEFT(B211,2),"Yes","Error"),"No")</f>
        <v>No</v>
      </c>
    </row>
    <row r="212" spans="1:13" x14ac:dyDescent="0.25">
      <c r="A212">
        <v>2022</v>
      </c>
      <c r="B212" t="s">
        <v>3352</v>
      </c>
      <c r="C212" t="s">
        <v>3353</v>
      </c>
      <c r="D212" t="s">
        <v>30</v>
      </c>
      <c r="E212" t="s">
        <v>20</v>
      </c>
      <c r="F212">
        <v>4500264653</v>
      </c>
      <c r="G212" t="s">
        <v>4211</v>
      </c>
      <c r="H212" t="s">
        <v>3334</v>
      </c>
      <c r="I212" t="s">
        <v>4212</v>
      </c>
      <c r="J212" t="s">
        <v>20</v>
      </c>
      <c r="K212" s="2">
        <v>7546</v>
      </c>
      <c r="L212" s="2">
        <v>7546</v>
      </c>
      <c r="M212" t="str">
        <f>IFERROR(IF(VLOOKUP(LEFT(B212,2),'Humanitarian codes'!$A$2:$A$10,1,FALSE)=LEFT(B212,2),"Yes","Error"),"No")</f>
        <v>No</v>
      </c>
    </row>
    <row r="213" spans="1:13" x14ac:dyDescent="0.25">
      <c r="A213">
        <v>2022</v>
      </c>
      <c r="B213" t="s">
        <v>3352</v>
      </c>
      <c r="C213" t="s">
        <v>3353</v>
      </c>
      <c r="D213" t="s">
        <v>30</v>
      </c>
      <c r="E213" t="s">
        <v>20</v>
      </c>
      <c r="F213">
        <v>4500264656</v>
      </c>
      <c r="G213" t="s">
        <v>4213</v>
      </c>
      <c r="H213" t="s">
        <v>3334</v>
      </c>
      <c r="I213" t="s">
        <v>4214</v>
      </c>
      <c r="J213" t="s">
        <v>20</v>
      </c>
      <c r="K213" s="2">
        <v>7326</v>
      </c>
      <c r="L213" s="2">
        <v>7326</v>
      </c>
      <c r="M213" t="str">
        <f>IFERROR(IF(VLOOKUP(LEFT(B213,2),'Humanitarian codes'!$A$2:$A$10,1,FALSE)=LEFT(B213,2),"Yes","Error"),"No")</f>
        <v>No</v>
      </c>
    </row>
    <row r="214" spans="1:13" x14ac:dyDescent="0.25">
      <c r="A214">
        <v>2022</v>
      </c>
      <c r="B214" t="s">
        <v>3352</v>
      </c>
      <c r="C214" t="s">
        <v>3353</v>
      </c>
      <c r="D214" t="s">
        <v>30</v>
      </c>
      <c r="E214" t="s">
        <v>20</v>
      </c>
      <c r="F214">
        <v>4500264659</v>
      </c>
      <c r="G214" t="s">
        <v>4215</v>
      </c>
      <c r="H214" t="s">
        <v>3334</v>
      </c>
      <c r="I214" t="s">
        <v>4216</v>
      </c>
      <c r="J214" t="s">
        <v>20</v>
      </c>
      <c r="K214" s="2">
        <v>7509</v>
      </c>
      <c r="L214" s="2">
        <v>7509</v>
      </c>
      <c r="M214" t="str">
        <f>IFERROR(IF(VLOOKUP(LEFT(B214,2),'Humanitarian codes'!$A$2:$A$10,1,FALSE)=LEFT(B214,2),"Yes","Error"),"No")</f>
        <v>No</v>
      </c>
    </row>
    <row r="215" spans="1:13" x14ac:dyDescent="0.25">
      <c r="A215">
        <v>2022</v>
      </c>
      <c r="B215" t="s">
        <v>3352</v>
      </c>
      <c r="C215" t="s">
        <v>3353</v>
      </c>
      <c r="D215" t="s">
        <v>30</v>
      </c>
      <c r="E215" t="s">
        <v>20</v>
      </c>
      <c r="F215">
        <v>4500264660</v>
      </c>
      <c r="G215" t="s">
        <v>4217</v>
      </c>
      <c r="H215" t="s">
        <v>3334</v>
      </c>
      <c r="I215" t="s">
        <v>4218</v>
      </c>
      <c r="J215" t="s">
        <v>20</v>
      </c>
      <c r="K215" s="2">
        <v>7323</v>
      </c>
      <c r="L215" s="2">
        <v>7323</v>
      </c>
      <c r="M215" t="str">
        <f>IFERROR(IF(VLOOKUP(LEFT(B215,2),'Humanitarian codes'!$A$2:$A$10,1,FALSE)=LEFT(B215,2),"Yes","Error"),"No")</f>
        <v>No</v>
      </c>
    </row>
    <row r="216" spans="1:13" x14ac:dyDescent="0.25">
      <c r="A216">
        <v>2022</v>
      </c>
      <c r="B216" t="s">
        <v>3352</v>
      </c>
      <c r="C216" t="s">
        <v>3353</v>
      </c>
      <c r="D216" t="s">
        <v>30</v>
      </c>
      <c r="E216" t="s">
        <v>20</v>
      </c>
      <c r="F216">
        <v>4500264661</v>
      </c>
      <c r="G216" t="s">
        <v>4219</v>
      </c>
      <c r="H216" t="s">
        <v>3334</v>
      </c>
      <c r="I216" t="s">
        <v>4220</v>
      </c>
      <c r="J216" t="s">
        <v>20</v>
      </c>
      <c r="K216" s="2">
        <v>7590</v>
      </c>
      <c r="L216" s="2">
        <v>7590</v>
      </c>
      <c r="M216" t="str">
        <f>IFERROR(IF(VLOOKUP(LEFT(B216,2),'Humanitarian codes'!$A$2:$A$10,1,FALSE)=LEFT(B216,2),"Yes","Error"),"No")</f>
        <v>No</v>
      </c>
    </row>
    <row r="217" spans="1:13" x14ac:dyDescent="0.25">
      <c r="A217">
        <v>2022</v>
      </c>
      <c r="B217" t="s">
        <v>3352</v>
      </c>
      <c r="C217" t="s">
        <v>3353</v>
      </c>
      <c r="D217" t="s">
        <v>30</v>
      </c>
      <c r="E217" t="s">
        <v>20</v>
      </c>
      <c r="F217">
        <v>4500264664</v>
      </c>
      <c r="G217" t="s">
        <v>4221</v>
      </c>
      <c r="H217" t="s">
        <v>3334</v>
      </c>
      <c r="I217" t="s">
        <v>4222</v>
      </c>
      <c r="J217" t="s">
        <v>20</v>
      </c>
      <c r="K217" s="2">
        <v>7600</v>
      </c>
      <c r="L217" s="2">
        <v>7600</v>
      </c>
      <c r="M217" t="str">
        <f>IFERROR(IF(VLOOKUP(LEFT(B217,2),'Humanitarian codes'!$A$2:$A$10,1,FALSE)=LEFT(B217,2),"Yes","Error"),"No")</f>
        <v>No</v>
      </c>
    </row>
    <row r="218" spans="1:13" x14ac:dyDescent="0.25">
      <c r="A218">
        <v>2022</v>
      </c>
      <c r="B218" t="s">
        <v>3352</v>
      </c>
      <c r="C218" t="s">
        <v>3353</v>
      </c>
      <c r="D218" t="s">
        <v>30</v>
      </c>
      <c r="E218" t="s">
        <v>20</v>
      </c>
      <c r="F218">
        <v>4500264894</v>
      </c>
      <c r="G218" t="s">
        <v>4223</v>
      </c>
      <c r="H218" t="s">
        <v>3334</v>
      </c>
      <c r="I218" t="s">
        <v>4224</v>
      </c>
      <c r="J218" t="s">
        <v>20</v>
      </c>
      <c r="K218" s="2">
        <v>7524</v>
      </c>
      <c r="L218" s="2">
        <v>7524</v>
      </c>
      <c r="M218" t="str">
        <f>IFERROR(IF(VLOOKUP(LEFT(B218,2),'Humanitarian codes'!$A$2:$A$10,1,FALSE)=LEFT(B218,2),"Yes","Error"),"No")</f>
        <v>No</v>
      </c>
    </row>
    <row r="219" spans="1:13" x14ac:dyDescent="0.25">
      <c r="A219">
        <v>2022</v>
      </c>
      <c r="B219" t="s">
        <v>3352</v>
      </c>
      <c r="C219" t="s">
        <v>3353</v>
      </c>
      <c r="D219" t="s">
        <v>30</v>
      </c>
      <c r="E219" t="s">
        <v>20</v>
      </c>
      <c r="F219">
        <v>4500264899</v>
      </c>
      <c r="G219" t="s">
        <v>4225</v>
      </c>
      <c r="H219" t="s">
        <v>3334</v>
      </c>
      <c r="I219" t="s">
        <v>4226</v>
      </c>
      <c r="J219" t="s">
        <v>20</v>
      </c>
      <c r="K219" s="2">
        <v>7434</v>
      </c>
      <c r="L219" s="2">
        <v>7434</v>
      </c>
      <c r="M219" t="str">
        <f>IFERROR(IF(VLOOKUP(LEFT(B219,2),'Humanitarian codes'!$A$2:$A$10,1,FALSE)=LEFT(B219,2),"Yes","Error"),"No")</f>
        <v>No</v>
      </c>
    </row>
    <row r="220" spans="1:13" x14ac:dyDescent="0.25">
      <c r="A220">
        <v>2022</v>
      </c>
      <c r="B220" t="s">
        <v>3352</v>
      </c>
      <c r="C220" t="s">
        <v>3353</v>
      </c>
      <c r="D220" t="s">
        <v>30</v>
      </c>
      <c r="E220" t="s">
        <v>20</v>
      </c>
      <c r="F220">
        <v>4500264903</v>
      </c>
      <c r="G220" t="s">
        <v>4227</v>
      </c>
      <c r="H220" t="s">
        <v>3334</v>
      </c>
      <c r="I220" t="s">
        <v>4228</v>
      </c>
      <c r="J220" t="s">
        <v>20</v>
      </c>
      <c r="K220" s="2">
        <v>7598</v>
      </c>
      <c r="L220" s="2">
        <v>7598</v>
      </c>
      <c r="M220" t="str">
        <f>IFERROR(IF(VLOOKUP(LEFT(B220,2),'Humanitarian codes'!$A$2:$A$10,1,FALSE)=LEFT(B220,2),"Yes","Error"),"No")</f>
        <v>No</v>
      </c>
    </row>
    <row r="221" spans="1:13" x14ac:dyDescent="0.25">
      <c r="A221">
        <v>2022</v>
      </c>
      <c r="B221" t="s">
        <v>3352</v>
      </c>
      <c r="C221" t="s">
        <v>3353</v>
      </c>
      <c r="D221" t="s">
        <v>30</v>
      </c>
      <c r="E221" t="s">
        <v>20</v>
      </c>
      <c r="F221">
        <v>4500264907</v>
      </c>
      <c r="G221" t="s">
        <v>4229</v>
      </c>
      <c r="H221" t="s">
        <v>3334</v>
      </c>
      <c r="I221" t="s">
        <v>4230</v>
      </c>
      <c r="J221" t="s">
        <v>20</v>
      </c>
      <c r="K221" s="2">
        <v>7264</v>
      </c>
      <c r="L221" s="2">
        <v>7264</v>
      </c>
      <c r="M221" t="str">
        <f>IFERROR(IF(VLOOKUP(LEFT(B221,2),'Humanitarian codes'!$A$2:$A$10,1,FALSE)=LEFT(B221,2),"Yes","Error"),"No")</f>
        <v>No</v>
      </c>
    </row>
    <row r="222" spans="1:13" x14ac:dyDescent="0.25">
      <c r="A222">
        <v>2022</v>
      </c>
      <c r="B222" t="s">
        <v>3352</v>
      </c>
      <c r="C222" t="s">
        <v>3353</v>
      </c>
      <c r="D222" t="s">
        <v>30</v>
      </c>
      <c r="E222" t="s">
        <v>20</v>
      </c>
      <c r="F222">
        <v>4500264913</v>
      </c>
      <c r="G222" t="s">
        <v>4231</v>
      </c>
      <c r="H222" t="s">
        <v>3334</v>
      </c>
      <c r="I222" t="s">
        <v>4232</v>
      </c>
      <c r="J222" t="s">
        <v>20</v>
      </c>
      <c r="K222" s="2">
        <v>7250</v>
      </c>
      <c r="L222" s="2">
        <v>7250</v>
      </c>
      <c r="M222" t="str">
        <f>IFERROR(IF(VLOOKUP(LEFT(B222,2),'Humanitarian codes'!$A$2:$A$10,1,FALSE)=LEFT(B222,2),"Yes","Error"),"No")</f>
        <v>No</v>
      </c>
    </row>
    <row r="223" spans="1:13" x14ac:dyDescent="0.25">
      <c r="A223">
        <v>2022</v>
      </c>
      <c r="B223" t="s">
        <v>3352</v>
      </c>
      <c r="C223" t="s">
        <v>3353</v>
      </c>
      <c r="D223" t="s">
        <v>30</v>
      </c>
      <c r="E223" t="s">
        <v>20</v>
      </c>
      <c r="F223">
        <v>4500264917</v>
      </c>
      <c r="G223" t="s">
        <v>4233</v>
      </c>
      <c r="H223" t="s">
        <v>3334</v>
      </c>
      <c r="I223" t="s">
        <v>4234</v>
      </c>
      <c r="J223" t="s">
        <v>20</v>
      </c>
      <c r="K223" s="2">
        <v>7438</v>
      </c>
      <c r="L223" s="2">
        <v>7438</v>
      </c>
      <c r="M223" t="str">
        <f>IFERROR(IF(VLOOKUP(LEFT(B223,2),'Humanitarian codes'!$A$2:$A$10,1,FALSE)=LEFT(B223,2),"Yes","Error"),"No")</f>
        <v>No</v>
      </c>
    </row>
    <row r="224" spans="1:13" x14ac:dyDescent="0.25">
      <c r="A224">
        <v>2022</v>
      </c>
      <c r="B224" t="s">
        <v>3352</v>
      </c>
      <c r="C224" t="s">
        <v>3353</v>
      </c>
      <c r="D224" t="s">
        <v>30</v>
      </c>
      <c r="E224" t="s">
        <v>20</v>
      </c>
      <c r="F224">
        <v>4500264922</v>
      </c>
      <c r="G224" t="s">
        <v>4235</v>
      </c>
      <c r="H224" t="s">
        <v>3334</v>
      </c>
      <c r="I224" t="s">
        <v>4236</v>
      </c>
      <c r="J224" t="s">
        <v>20</v>
      </c>
      <c r="K224" s="2">
        <v>7600</v>
      </c>
      <c r="L224" s="2">
        <v>7600</v>
      </c>
      <c r="M224" t="str">
        <f>IFERROR(IF(VLOOKUP(LEFT(B224,2),'Humanitarian codes'!$A$2:$A$10,1,FALSE)=LEFT(B224,2),"Yes","Error"),"No")</f>
        <v>No</v>
      </c>
    </row>
    <row r="225" spans="1:13" x14ac:dyDescent="0.25">
      <c r="A225">
        <v>2022</v>
      </c>
      <c r="B225" t="s">
        <v>3352</v>
      </c>
      <c r="C225" t="s">
        <v>3353</v>
      </c>
      <c r="D225" t="s">
        <v>30</v>
      </c>
      <c r="E225" t="s">
        <v>20</v>
      </c>
      <c r="F225">
        <v>4500264924</v>
      </c>
      <c r="G225" t="s">
        <v>4237</v>
      </c>
      <c r="H225" t="s">
        <v>3334</v>
      </c>
      <c r="I225" t="s">
        <v>4238</v>
      </c>
      <c r="J225" t="s">
        <v>20</v>
      </c>
      <c r="K225" s="2">
        <v>7490</v>
      </c>
      <c r="L225" s="2">
        <v>7490</v>
      </c>
      <c r="M225" t="str">
        <f>IFERROR(IF(VLOOKUP(LEFT(B225,2),'Humanitarian codes'!$A$2:$A$10,1,FALSE)=LEFT(B225,2),"Yes","Error"),"No")</f>
        <v>No</v>
      </c>
    </row>
    <row r="226" spans="1:13" x14ac:dyDescent="0.25">
      <c r="A226">
        <v>2022</v>
      </c>
      <c r="B226" t="s">
        <v>3352</v>
      </c>
      <c r="C226" t="s">
        <v>3353</v>
      </c>
      <c r="D226" t="s">
        <v>30</v>
      </c>
      <c r="E226" t="s">
        <v>20</v>
      </c>
      <c r="F226">
        <v>4500264926</v>
      </c>
      <c r="G226" t="s">
        <v>4239</v>
      </c>
      <c r="H226" t="s">
        <v>3334</v>
      </c>
      <c r="I226" t="s">
        <v>4240</v>
      </c>
      <c r="J226" t="s">
        <v>20</v>
      </c>
      <c r="K226" s="2">
        <v>7501</v>
      </c>
      <c r="L226" s="2">
        <v>7501</v>
      </c>
      <c r="M226" t="str">
        <f>IFERROR(IF(VLOOKUP(LEFT(B226,2),'Humanitarian codes'!$A$2:$A$10,1,FALSE)=LEFT(B226,2),"Yes","Error"),"No")</f>
        <v>No</v>
      </c>
    </row>
    <row r="227" spans="1:13" x14ac:dyDescent="0.25">
      <c r="A227">
        <v>2022</v>
      </c>
      <c r="B227" t="s">
        <v>3352</v>
      </c>
      <c r="C227" t="s">
        <v>3353</v>
      </c>
      <c r="D227" t="s">
        <v>30</v>
      </c>
      <c r="E227" t="s">
        <v>20</v>
      </c>
      <c r="F227">
        <v>4500264932</v>
      </c>
      <c r="G227" t="s">
        <v>4241</v>
      </c>
      <c r="H227" t="s">
        <v>3334</v>
      </c>
      <c r="I227" t="s">
        <v>4242</v>
      </c>
      <c r="J227" t="s">
        <v>20</v>
      </c>
      <c r="K227" s="2">
        <v>7326</v>
      </c>
      <c r="L227" s="2">
        <v>7326</v>
      </c>
      <c r="M227" t="str">
        <f>IFERROR(IF(VLOOKUP(LEFT(B227,2),'Humanitarian codes'!$A$2:$A$10,1,FALSE)=LEFT(B227,2),"Yes","Error"),"No")</f>
        <v>No</v>
      </c>
    </row>
    <row r="228" spans="1:13" x14ac:dyDescent="0.25">
      <c r="A228">
        <v>2022</v>
      </c>
      <c r="B228" t="s">
        <v>3352</v>
      </c>
      <c r="C228" t="s">
        <v>3353</v>
      </c>
      <c r="D228" t="s">
        <v>30</v>
      </c>
      <c r="E228" t="s">
        <v>20</v>
      </c>
      <c r="F228">
        <v>4500264933</v>
      </c>
      <c r="G228" t="s">
        <v>4243</v>
      </c>
      <c r="H228" t="s">
        <v>3334</v>
      </c>
      <c r="I228" t="s">
        <v>4244</v>
      </c>
      <c r="J228" t="s">
        <v>20</v>
      </c>
      <c r="K228" s="2">
        <v>7531</v>
      </c>
      <c r="L228" s="2">
        <v>7531</v>
      </c>
      <c r="M228" t="str">
        <f>IFERROR(IF(VLOOKUP(LEFT(B228,2),'Humanitarian codes'!$A$2:$A$10,1,FALSE)=LEFT(B228,2),"Yes","Error"),"No")</f>
        <v>No</v>
      </c>
    </row>
    <row r="229" spans="1:13" x14ac:dyDescent="0.25">
      <c r="A229">
        <v>2022</v>
      </c>
      <c r="B229" t="s">
        <v>3352</v>
      </c>
      <c r="C229" t="s">
        <v>3353</v>
      </c>
      <c r="D229" t="s">
        <v>30</v>
      </c>
      <c r="E229" t="s">
        <v>20</v>
      </c>
      <c r="F229">
        <v>4500264940</v>
      </c>
      <c r="G229" t="s">
        <v>4245</v>
      </c>
      <c r="H229" t="s">
        <v>3334</v>
      </c>
      <c r="I229" t="s">
        <v>4246</v>
      </c>
      <c r="J229" t="s">
        <v>20</v>
      </c>
      <c r="K229" s="2">
        <v>6938</v>
      </c>
      <c r="L229" s="2">
        <v>6938</v>
      </c>
      <c r="M229" t="str">
        <f>IFERROR(IF(VLOOKUP(LEFT(B229,2),'Humanitarian codes'!$A$2:$A$10,1,FALSE)=LEFT(B229,2),"Yes","Error"),"No")</f>
        <v>No</v>
      </c>
    </row>
    <row r="230" spans="1:13" x14ac:dyDescent="0.25">
      <c r="A230">
        <v>2022</v>
      </c>
      <c r="B230" t="s">
        <v>3352</v>
      </c>
      <c r="C230" t="s">
        <v>3353</v>
      </c>
      <c r="D230" t="s">
        <v>30</v>
      </c>
      <c r="E230" t="s">
        <v>20</v>
      </c>
      <c r="F230">
        <v>4500264942</v>
      </c>
      <c r="G230" t="s">
        <v>4247</v>
      </c>
      <c r="H230" t="s">
        <v>3334</v>
      </c>
      <c r="I230" t="s">
        <v>4248</v>
      </c>
      <c r="J230" t="s">
        <v>20</v>
      </c>
      <c r="K230" s="2">
        <v>6866</v>
      </c>
      <c r="L230" s="2">
        <v>6866</v>
      </c>
      <c r="M230" t="str">
        <f>IFERROR(IF(VLOOKUP(LEFT(B230,2),'Humanitarian codes'!$A$2:$A$10,1,FALSE)=LEFT(B230,2),"Yes","Error"),"No")</f>
        <v>No</v>
      </c>
    </row>
    <row r="231" spans="1:13" x14ac:dyDescent="0.25">
      <c r="A231">
        <v>2022</v>
      </c>
      <c r="B231" t="s">
        <v>3352</v>
      </c>
      <c r="C231" t="s">
        <v>3353</v>
      </c>
      <c r="D231" t="s">
        <v>30</v>
      </c>
      <c r="E231" t="s">
        <v>20</v>
      </c>
      <c r="F231">
        <v>4500270662</v>
      </c>
      <c r="G231" t="s">
        <v>4249</v>
      </c>
      <c r="H231" t="s">
        <v>3334</v>
      </c>
      <c r="I231" t="s">
        <v>4250</v>
      </c>
      <c r="J231" t="s">
        <v>20</v>
      </c>
      <c r="K231" s="2">
        <v>7650</v>
      </c>
      <c r="L231" s="2">
        <v>7650</v>
      </c>
      <c r="M231" t="str">
        <f>IFERROR(IF(VLOOKUP(LEFT(B231,2),'Humanitarian codes'!$A$2:$A$10,1,FALSE)=LEFT(B231,2),"Yes","Error"),"No")</f>
        <v>No</v>
      </c>
    </row>
    <row r="232" spans="1:13" x14ac:dyDescent="0.25">
      <c r="A232">
        <v>2022</v>
      </c>
      <c r="B232" t="s">
        <v>4251</v>
      </c>
      <c r="C232" t="s">
        <v>4252</v>
      </c>
      <c r="D232" t="s">
        <v>30</v>
      </c>
      <c r="E232" t="s">
        <v>20</v>
      </c>
      <c r="F232">
        <v>4500263879</v>
      </c>
      <c r="G232" t="s">
        <v>4253</v>
      </c>
      <c r="H232" t="s">
        <v>3334</v>
      </c>
      <c r="I232" t="s">
        <v>4254</v>
      </c>
      <c r="J232" t="s">
        <v>20</v>
      </c>
      <c r="K232" s="2">
        <v>11503</v>
      </c>
      <c r="L232" s="2">
        <v>11503</v>
      </c>
      <c r="M232" t="str">
        <f>IFERROR(IF(VLOOKUP(LEFT(B232,2),'Humanitarian codes'!$A$2:$A$10,1,FALSE)=LEFT(B232,2),"Yes","Error"),"No")</f>
        <v>No</v>
      </c>
    </row>
    <row r="233" spans="1:13" x14ac:dyDescent="0.25">
      <c r="A233">
        <v>2022</v>
      </c>
      <c r="B233" t="s">
        <v>4255</v>
      </c>
      <c r="C233" t="s">
        <v>4256</v>
      </c>
      <c r="D233" t="s">
        <v>30</v>
      </c>
      <c r="E233" t="s">
        <v>676</v>
      </c>
      <c r="F233">
        <v>4500188686</v>
      </c>
      <c r="G233" t="s">
        <v>3927</v>
      </c>
      <c r="H233" t="s">
        <v>3334</v>
      </c>
      <c r="I233" t="s">
        <v>1118</v>
      </c>
      <c r="J233" t="s">
        <v>676</v>
      </c>
      <c r="K233" s="2">
        <v>66003</v>
      </c>
      <c r="L233" s="2">
        <v>121860</v>
      </c>
      <c r="M233" t="str">
        <f>IFERROR(IF(VLOOKUP(LEFT(B233,2),'Humanitarian codes'!$A$2:$A$10,1,FALSE)=LEFT(B233,2),"Yes","Error"),"No")</f>
        <v>No</v>
      </c>
    </row>
    <row r="234" spans="1:13" x14ac:dyDescent="0.25">
      <c r="A234">
        <v>2022</v>
      </c>
      <c r="B234" t="s">
        <v>4257</v>
      </c>
      <c r="C234" t="s">
        <v>4258</v>
      </c>
      <c r="D234" t="s">
        <v>30</v>
      </c>
      <c r="E234" t="s">
        <v>128</v>
      </c>
      <c r="F234">
        <v>4500257098</v>
      </c>
      <c r="G234" t="s">
        <v>4259</v>
      </c>
      <c r="H234" t="s">
        <v>3334</v>
      </c>
      <c r="I234" t="s">
        <v>4260</v>
      </c>
      <c r="J234" t="s">
        <v>1126</v>
      </c>
      <c r="K234" s="2">
        <v>24002</v>
      </c>
      <c r="L234" s="2">
        <v>77605</v>
      </c>
      <c r="M234" t="str">
        <f>IFERROR(IF(VLOOKUP(LEFT(B234,2),'Humanitarian codes'!$A$2:$A$10,1,FALSE)=LEFT(B234,2),"Yes","Error"),"No")</f>
        <v>No</v>
      </c>
    </row>
    <row r="235" spans="1:13" x14ac:dyDescent="0.25">
      <c r="A235">
        <v>2022</v>
      </c>
      <c r="B235" t="s">
        <v>1919</v>
      </c>
      <c r="C235" t="s">
        <v>1920</v>
      </c>
      <c r="D235" t="s">
        <v>30</v>
      </c>
      <c r="E235" t="s">
        <v>128</v>
      </c>
      <c r="F235">
        <v>4500197769</v>
      </c>
      <c r="G235" t="s">
        <v>4261</v>
      </c>
      <c r="H235" t="s">
        <v>3334</v>
      </c>
      <c r="I235" t="s">
        <v>1921</v>
      </c>
      <c r="J235" t="s">
        <v>128</v>
      </c>
      <c r="K235" s="2">
        <v>995545</v>
      </c>
      <c r="L235" s="2">
        <v>995545</v>
      </c>
      <c r="M235" t="str">
        <f>IFERROR(IF(VLOOKUP(LEFT(B235,2),'Humanitarian codes'!$A$2:$A$10,1,FALSE)=LEFT(B235,2),"Yes","Error"),"No")</f>
        <v>No</v>
      </c>
    </row>
    <row r="236" spans="1:13" x14ac:dyDescent="0.25">
      <c r="A236">
        <v>2022</v>
      </c>
      <c r="B236" t="s">
        <v>4262</v>
      </c>
      <c r="C236" t="s">
        <v>4263</v>
      </c>
      <c r="D236" t="s">
        <v>30</v>
      </c>
      <c r="E236" t="s">
        <v>32</v>
      </c>
      <c r="F236">
        <v>4500185108</v>
      </c>
      <c r="G236" t="s">
        <v>4264</v>
      </c>
      <c r="H236" t="s">
        <v>3334</v>
      </c>
      <c r="I236" t="s">
        <v>4265</v>
      </c>
      <c r="J236" t="s">
        <v>32</v>
      </c>
      <c r="K236" s="2">
        <v>80790</v>
      </c>
      <c r="L236" s="2">
        <v>80790</v>
      </c>
      <c r="M236" t="str">
        <f>IFERROR(IF(VLOOKUP(LEFT(B236,2),'Humanitarian codes'!$A$2:$A$10,1,FALSE)=LEFT(B236,2),"Yes","Error"),"No")</f>
        <v>No</v>
      </c>
    </row>
    <row r="237" spans="1:13" x14ac:dyDescent="0.25">
      <c r="A237">
        <v>2022</v>
      </c>
      <c r="B237" t="s">
        <v>4262</v>
      </c>
      <c r="C237" t="s">
        <v>4263</v>
      </c>
      <c r="D237" t="s">
        <v>30</v>
      </c>
      <c r="E237" t="s">
        <v>32</v>
      </c>
      <c r="F237">
        <v>4500185120</v>
      </c>
      <c r="G237" t="s">
        <v>4266</v>
      </c>
      <c r="H237" t="s">
        <v>3334</v>
      </c>
      <c r="I237" t="s">
        <v>104</v>
      </c>
      <c r="J237" t="s">
        <v>32</v>
      </c>
      <c r="K237" s="2">
        <v>95010</v>
      </c>
      <c r="L237" s="2">
        <v>95010</v>
      </c>
      <c r="M237" t="str">
        <f>IFERROR(IF(VLOOKUP(LEFT(B237,2),'Humanitarian codes'!$A$2:$A$10,1,FALSE)=LEFT(B237,2),"Yes","Error"),"No")</f>
        <v>No</v>
      </c>
    </row>
    <row r="238" spans="1:13" x14ac:dyDescent="0.25">
      <c r="A238">
        <v>2022</v>
      </c>
      <c r="B238" t="s">
        <v>4262</v>
      </c>
      <c r="C238" t="s">
        <v>4263</v>
      </c>
      <c r="D238" t="s">
        <v>30</v>
      </c>
      <c r="E238" t="s">
        <v>32</v>
      </c>
      <c r="F238">
        <v>4500195495</v>
      </c>
      <c r="G238" t="s">
        <v>4267</v>
      </c>
      <c r="H238" t="s">
        <v>3334</v>
      </c>
      <c r="I238" t="s">
        <v>61</v>
      </c>
      <c r="J238" t="s">
        <v>32</v>
      </c>
      <c r="K238" s="2">
        <v>15200</v>
      </c>
      <c r="L238" s="2">
        <v>15200</v>
      </c>
      <c r="M238" t="str">
        <f>IFERROR(IF(VLOOKUP(LEFT(B238,2),'Humanitarian codes'!$A$2:$A$10,1,FALSE)=LEFT(B238,2),"Yes","Error"),"No")</f>
        <v>No</v>
      </c>
    </row>
    <row r="239" spans="1:13" x14ac:dyDescent="0.25">
      <c r="A239">
        <v>2022</v>
      </c>
      <c r="B239" t="s">
        <v>1186</v>
      </c>
      <c r="C239" t="s">
        <v>1187</v>
      </c>
      <c r="D239" t="s">
        <v>30</v>
      </c>
      <c r="E239" t="s">
        <v>261</v>
      </c>
      <c r="F239">
        <v>4500198648</v>
      </c>
      <c r="G239" t="s">
        <v>4268</v>
      </c>
      <c r="H239" t="s">
        <v>3334</v>
      </c>
      <c r="I239" t="s">
        <v>4269</v>
      </c>
      <c r="J239" t="s">
        <v>261</v>
      </c>
      <c r="K239" s="2">
        <v>23842</v>
      </c>
      <c r="L239" s="2">
        <v>23842</v>
      </c>
      <c r="M239" t="str">
        <f>IFERROR(IF(VLOOKUP(LEFT(B239,2),'Humanitarian codes'!$A$2:$A$10,1,FALSE)=LEFT(B239,2),"Yes","Error"),"No")</f>
        <v>No</v>
      </c>
    </row>
    <row r="240" spans="1:13" x14ac:dyDescent="0.25">
      <c r="A240">
        <v>2022</v>
      </c>
      <c r="B240" t="s">
        <v>1186</v>
      </c>
      <c r="C240" t="s">
        <v>1187</v>
      </c>
      <c r="D240" t="s">
        <v>30</v>
      </c>
      <c r="E240" t="s">
        <v>261</v>
      </c>
      <c r="F240">
        <v>4500205613</v>
      </c>
      <c r="G240" t="s">
        <v>4270</v>
      </c>
      <c r="H240" t="s">
        <v>3334</v>
      </c>
      <c r="I240" t="s">
        <v>2235</v>
      </c>
      <c r="J240" t="s">
        <v>261</v>
      </c>
      <c r="K240" s="2">
        <v>31125</v>
      </c>
      <c r="L240" s="2">
        <v>31125</v>
      </c>
      <c r="M240" t="str">
        <f>IFERROR(IF(VLOOKUP(LEFT(B240,2),'Humanitarian codes'!$A$2:$A$10,1,FALSE)=LEFT(B240,2),"Yes","Error"),"No")</f>
        <v>No</v>
      </c>
    </row>
    <row r="241" spans="1:13" x14ac:dyDescent="0.25">
      <c r="A241">
        <v>2022</v>
      </c>
      <c r="B241" t="s">
        <v>1186</v>
      </c>
      <c r="C241" t="s">
        <v>1187</v>
      </c>
      <c r="D241" t="s">
        <v>30</v>
      </c>
      <c r="E241" t="s">
        <v>261</v>
      </c>
      <c r="F241">
        <v>4500225706</v>
      </c>
      <c r="G241" t="s">
        <v>4271</v>
      </c>
      <c r="H241" t="s">
        <v>3334</v>
      </c>
      <c r="I241" t="s">
        <v>4272</v>
      </c>
      <c r="J241" t="s">
        <v>261</v>
      </c>
      <c r="K241" s="2">
        <v>284360</v>
      </c>
      <c r="L241" s="2">
        <v>284360</v>
      </c>
      <c r="M241" t="str">
        <f>IFERROR(IF(VLOOKUP(LEFT(B241,2),'Humanitarian codes'!$A$2:$A$10,1,FALSE)=LEFT(B241,2),"Yes","Error"),"No")</f>
        <v>No</v>
      </c>
    </row>
    <row r="242" spans="1:13" x14ac:dyDescent="0.25">
      <c r="A242">
        <v>2022</v>
      </c>
      <c r="B242" t="s">
        <v>1186</v>
      </c>
      <c r="C242" t="s">
        <v>1187</v>
      </c>
      <c r="D242" t="s">
        <v>30</v>
      </c>
      <c r="E242" t="s">
        <v>261</v>
      </c>
      <c r="F242">
        <v>4500261093</v>
      </c>
      <c r="G242" t="s">
        <v>4273</v>
      </c>
      <c r="H242" t="s">
        <v>3334</v>
      </c>
      <c r="I242" t="s">
        <v>3358</v>
      </c>
      <c r="J242" t="s">
        <v>261</v>
      </c>
      <c r="K242" s="2">
        <v>15527</v>
      </c>
      <c r="L242" s="2">
        <v>15527</v>
      </c>
      <c r="M242" t="str">
        <f>IFERROR(IF(VLOOKUP(LEFT(B242,2),'Humanitarian codes'!$A$2:$A$10,1,FALSE)=LEFT(B242,2),"Yes","Error"),"No")</f>
        <v>No</v>
      </c>
    </row>
    <row r="243" spans="1:13" x14ac:dyDescent="0.25">
      <c r="A243">
        <v>2022</v>
      </c>
      <c r="B243" t="s">
        <v>1186</v>
      </c>
      <c r="C243" t="s">
        <v>1187</v>
      </c>
      <c r="D243" t="s">
        <v>30</v>
      </c>
      <c r="E243" t="s">
        <v>261</v>
      </c>
      <c r="F243">
        <v>4500261129</v>
      </c>
      <c r="G243" t="s">
        <v>4274</v>
      </c>
      <c r="H243" t="s">
        <v>3334</v>
      </c>
      <c r="I243" t="s">
        <v>4275</v>
      </c>
      <c r="J243" t="s">
        <v>261</v>
      </c>
      <c r="K243" s="2">
        <v>11030</v>
      </c>
      <c r="L243" s="2">
        <v>11030</v>
      </c>
      <c r="M243" t="str">
        <f>IFERROR(IF(VLOOKUP(LEFT(B243,2),'Humanitarian codes'!$A$2:$A$10,1,FALSE)=LEFT(B243,2),"Yes","Error"),"No")</f>
        <v>No</v>
      </c>
    </row>
    <row r="244" spans="1:13" x14ac:dyDescent="0.25">
      <c r="A244">
        <v>2022</v>
      </c>
      <c r="B244" t="s">
        <v>1186</v>
      </c>
      <c r="C244" t="s">
        <v>1187</v>
      </c>
      <c r="D244" t="s">
        <v>30</v>
      </c>
      <c r="E244" t="s">
        <v>261</v>
      </c>
      <c r="F244">
        <v>4500263991</v>
      </c>
      <c r="G244" t="s">
        <v>4276</v>
      </c>
      <c r="H244" t="s">
        <v>3334</v>
      </c>
      <c r="I244" t="s">
        <v>4277</v>
      </c>
      <c r="J244" t="s">
        <v>261</v>
      </c>
      <c r="K244" s="2">
        <v>66415</v>
      </c>
      <c r="L244" s="2">
        <v>66415</v>
      </c>
      <c r="M244" t="str">
        <f>IFERROR(IF(VLOOKUP(LEFT(B244,2),'Humanitarian codes'!$A$2:$A$10,1,FALSE)=LEFT(B244,2),"Yes","Error"),"No")</f>
        <v>No</v>
      </c>
    </row>
    <row r="245" spans="1:13" x14ac:dyDescent="0.25">
      <c r="A245">
        <v>2022</v>
      </c>
      <c r="B245" t="s">
        <v>1186</v>
      </c>
      <c r="C245" t="s">
        <v>1187</v>
      </c>
      <c r="D245" t="s">
        <v>30</v>
      </c>
      <c r="E245" t="s">
        <v>261</v>
      </c>
      <c r="F245">
        <v>4500274739</v>
      </c>
      <c r="G245" t="s">
        <v>4278</v>
      </c>
      <c r="H245" t="s">
        <v>3334</v>
      </c>
      <c r="I245" t="s">
        <v>4277</v>
      </c>
      <c r="J245" t="s">
        <v>261</v>
      </c>
      <c r="K245" s="2">
        <v>69740</v>
      </c>
      <c r="L245" s="2">
        <v>69740</v>
      </c>
      <c r="M245" t="str">
        <f>IFERROR(IF(VLOOKUP(LEFT(B245,2),'Humanitarian codes'!$A$2:$A$10,1,FALSE)=LEFT(B245,2),"Yes","Error"),"No")</f>
        <v>No</v>
      </c>
    </row>
    <row r="246" spans="1:13" x14ac:dyDescent="0.25">
      <c r="A246">
        <v>2022</v>
      </c>
      <c r="B246" t="s">
        <v>4279</v>
      </c>
      <c r="C246" t="s">
        <v>4280</v>
      </c>
      <c r="D246" t="s">
        <v>30</v>
      </c>
      <c r="E246" t="s">
        <v>128</v>
      </c>
      <c r="F246">
        <v>4500185140</v>
      </c>
      <c r="G246" t="s">
        <v>4281</v>
      </c>
      <c r="H246" t="s">
        <v>3334</v>
      </c>
      <c r="I246" t="s">
        <v>4282</v>
      </c>
      <c r="J246" t="s">
        <v>128</v>
      </c>
      <c r="K246" s="2">
        <v>30000</v>
      </c>
      <c r="L246" s="2">
        <v>30000</v>
      </c>
      <c r="M246" t="str">
        <f>IFERROR(IF(VLOOKUP(LEFT(B246,2),'Humanitarian codes'!$A$2:$A$10,1,FALSE)=LEFT(B246,2),"Yes","Error"),"No")</f>
        <v>No</v>
      </c>
    </row>
    <row r="247" spans="1:13" x14ac:dyDescent="0.25">
      <c r="A247">
        <v>2022</v>
      </c>
      <c r="B247" t="s">
        <v>762</v>
      </c>
      <c r="C247" t="s">
        <v>763</v>
      </c>
      <c r="D247" t="s">
        <v>30</v>
      </c>
      <c r="E247" t="s">
        <v>663</v>
      </c>
      <c r="F247">
        <v>4500184850</v>
      </c>
      <c r="G247" t="s">
        <v>4283</v>
      </c>
      <c r="H247" t="s">
        <v>3334</v>
      </c>
      <c r="I247" t="s">
        <v>4284</v>
      </c>
      <c r="J247" t="s">
        <v>751</v>
      </c>
      <c r="K247" s="2">
        <v>41100</v>
      </c>
      <c r="L247" s="2">
        <v>41100</v>
      </c>
      <c r="M247" t="str">
        <f>IFERROR(IF(VLOOKUP(LEFT(B247,2),'Humanitarian codes'!$A$2:$A$10,1,FALSE)=LEFT(B247,2),"Yes","Error"),"No")</f>
        <v>No</v>
      </c>
    </row>
    <row r="248" spans="1:13" x14ac:dyDescent="0.25">
      <c r="A248">
        <v>2022</v>
      </c>
      <c r="B248" t="s">
        <v>762</v>
      </c>
      <c r="C248" t="s">
        <v>763</v>
      </c>
      <c r="D248" t="s">
        <v>30</v>
      </c>
      <c r="E248" t="s">
        <v>663</v>
      </c>
      <c r="F248">
        <v>4500187906</v>
      </c>
      <c r="G248" t="s">
        <v>4285</v>
      </c>
      <c r="H248" t="s">
        <v>3334</v>
      </c>
      <c r="I248" t="s">
        <v>4286</v>
      </c>
      <c r="J248" t="s">
        <v>663</v>
      </c>
      <c r="K248" s="2">
        <v>17248</v>
      </c>
      <c r="L248" s="2">
        <v>17248</v>
      </c>
      <c r="M248" t="str">
        <f>IFERROR(IF(VLOOKUP(LEFT(B248,2),'Humanitarian codes'!$A$2:$A$10,1,FALSE)=LEFT(B248,2),"Yes","Error"),"No")</f>
        <v>No</v>
      </c>
    </row>
    <row r="249" spans="1:13" x14ac:dyDescent="0.25">
      <c r="A249">
        <v>2022</v>
      </c>
      <c r="B249" t="s">
        <v>762</v>
      </c>
      <c r="C249" t="s">
        <v>763</v>
      </c>
      <c r="D249" t="s">
        <v>30</v>
      </c>
      <c r="E249" t="s">
        <v>663</v>
      </c>
      <c r="F249">
        <v>4500190664</v>
      </c>
      <c r="G249" t="s">
        <v>4287</v>
      </c>
      <c r="H249" t="s">
        <v>3334</v>
      </c>
      <c r="I249" t="s">
        <v>4288</v>
      </c>
      <c r="J249" t="s">
        <v>663</v>
      </c>
      <c r="K249" s="2">
        <v>25580</v>
      </c>
      <c r="L249" s="2">
        <v>25580</v>
      </c>
      <c r="M249" t="str">
        <f>IFERROR(IF(VLOOKUP(LEFT(B249,2),'Humanitarian codes'!$A$2:$A$10,1,FALSE)=LEFT(B249,2),"Yes","Error"),"No")</f>
        <v>No</v>
      </c>
    </row>
    <row r="250" spans="1:13" x14ac:dyDescent="0.25">
      <c r="A250">
        <v>2022</v>
      </c>
      <c r="B250" t="s">
        <v>762</v>
      </c>
      <c r="C250" t="s">
        <v>763</v>
      </c>
      <c r="D250" t="s">
        <v>30</v>
      </c>
      <c r="E250" t="s">
        <v>663</v>
      </c>
      <c r="F250">
        <v>4500196355</v>
      </c>
      <c r="G250" t="s">
        <v>4289</v>
      </c>
      <c r="H250" t="s">
        <v>3334</v>
      </c>
      <c r="I250" t="s">
        <v>4290</v>
      </c>
      <c r="J250" t="s">
        <v>663</v>
      </c>
      <c r="K250" s="2">
        <v>73396</v>
      </c>
      <c r="L250" s="2">
        <v>73396</v>
      </c>
      <c r="M250" t="str">
        <f>IFERROR(IF(VLOOKUP(LEFT(B250,2),'Humanitarian codes'!$A$2:$A$10,1,FALSE)=LEFT(B250,2),"Yes","Error"),"No")</f>
        <v>No</v>
      </c>
    </row>
    <row r="251" spans="1:13" x14ac:dyDescent="0.25">
      <c r="A251">
        <v>2022</v>
      </c>
      <c r="B251" t="s">
        <v>762</v>
      </c>
      <c r="C251" t="s">
        <v>763</v>
      </c>
      <c r="D251" t="s">
        <v>30</v>
      </c>
      <c r="E251" t="s">
        <v>663</v>
      </c>
      <c r="F251">
        <v>4500201842</v>
      </c>
      <c r="G251" t="s">
        <v>4291</v>
      </c>
      <c r="H251" t="s">
        <v>3334</v>
      </c>
      <c r="I251" t="s">
        <v>4292</v>
      </c>
      <c r="J251" t="s">
        <v>663</v>
      </c>
      <c r="K251" s="2">
        <v>32170</v>
      </c>
      <c r="L251" s="2">
        <v>32170</v>
      </c>
      <c r="M251" t="str">
        <f>IFERROR(IF(VLOOKUP(LEFT(B251,2),'Humanitarian codes'!$A$2:$A$10,1,FALSE)=LEFT(B251,2),"Yes","Error"),"No")</f>
        <v>No</v>
      </c>
    </row>
    <row r="252" spans="1:13" x14ac:dyDescent="0.25">
      <c r="A252">
        <v>2022</v>
      </c>
      <c r="B252" t="s">
        <v>762</v>
      </c>
      <c r="C252" t="s">
        <v>763</v>
      </c>
      <c r="D252" t="s">
        <v>30</v>
      </c>
      <c r="E252" t="s">
        <v>663</v>
      </c>
      <c r="F252">
        <v>4500202848</v>
      </c>
      <c r="G252" t="s">
        <v>4293</v>
      </c>
      <c r="H252" t="s">
        <v>3334</v>
      </c>
      <c r="I252" t="s">
        <v>4294</v>
      </c>
      <c r="J252" t="s">
        <v>663</v>
      </c>
      <c r="K252" s="2">
        <v>100095</v>
      </c>
      <c r="L252" s="2">
        <v>100095</v>
      </c>
      <c r="M252" t="str">
        <f>IFERROR(IF(VLOOKUP(LEFT(B252,2),'Humanitarian codes'!$A$2:$A$10,1,FALSE)=LEFT(B252,2),"Yes","Error"),"No")</f>
        <v>No</v>
      </c>
    </row>
    <row r="253" spans="1:13" x14ac:dyDescent="0.25">
      <c r="A253">
        <v>2022</v>
      </c>
      <c r="B253" t="s">
        <v>762</v>
      </c>
      <c r="C253" t="s">
        <v>763</v>
      </c>
      <c r="D253" t="s">
        <v>30</v>
      </c>
      <c r="E253" t="s">
        <v>663</v>
      </c>
      <c r="F253">
        <v>4500205965</v>
      </c>
      <c r="G253" t="s">
        <v>4295</v>
      </c>
      <c r="H253" t="s">
        <v>3334</v>
      </c>
      <c r="I253" t="s">
        <v>4296</v>
      </c>
      <c r="J253" t="s">
        <v>663</v>
      </c>
      <c r="K253" s="2">
        <v>100301</v>
      </c>
      <c r="L253" s="2">
        <v>100301</v>
      </c>
      <c r="M253" t="str">
        <f>IFERROR(IF(VLOOKUP(LEFT(B253,2),'Humanitarian codes'!$A$2:$A$10,1,FALSE)=LEFT(B253,2),"Yes","Error"),"No")</f>
        <v>No</v>
      </c>
    </row>
    <row r="254" spans="1:13" x14ac:dyDescent="0.25">
      <c r="A254">
        <v>2022</v>
      </c>
      <c r="B254" t="s">
        <v>762</v>
      </c>
      <c r="C254" t="s">
        <v>763</v>
      </c>
      <c r="D254" t="s">
        <v>30</v>
      </c>
      <c r="E254" t="s">
        <v>663</v>
      </c>
      <c r="F254">
        <v>4500209505</v>
      </c>
      <c r="G254" t="s">
        <v>4297</v>
      </c>
      <c r="H254" t="s">
        <v>3334</v>
      </c>
      <c r="I254" t="s">
        <v>4298</v>
      </c>
      <c r="J254" t="s">
        <v>663</v>
      </c>
      <c r="K254" s="2">
        <v>97758</v>
      </c>
      <c r="L254" s="2">
        <v>97758</v>
      </c>
      <c r="M254" t="str">
        <f>IFERROR(IF(VLOOKUP(LEFT(B254,2),'Humanitarian codes'!$A$2:$A$10,1,FALSE)=LEFT(B254,2),"Yes","Error"),"No")</f>
        <v>No</v>
      </c>
    </row>
    <row r="255" spans="1:13" x14ac:dyDescent="0.25">
      <c r="A255">
        <v>2022</v>
      </c>
      <c r="B255" t="s">
        <v>762</v>
      </c>
      <c r="C255" t="s">
        <v>763</v>
      </c>
      <c r="D255" t="s">
        <v>30</v>
      </c>
      <c r="E255" t="s">
        <v>663</v>
      </c>
      <c r="F255">
        <v>4500211746</v>
      </c>
      <c r="G255" t="s">
        <v>4299</v>
      </c>
      <c r="H255" t="s">
        <v>3334</v>
      </c>
      <c r="I255" t="s">
        <v>4300</v>
      </c>
      <c r="J255" t="s">
        <v>663</v>
      </c>
      <c r="K255" s="2">
        <v>98142</v>
      </c>
      <c r="L255" s="2">
        <v>98142</v>
      </c>
      <c r="M255" t="str">
        <f>IFERROR(IF(VLOOKUP(LEFT(B255,2),'Humanitarian codes'!$A$2:$A$10,1,FALSE)=LEFT(B255,2),"Yes","Error"),"No")</f>
        <v>No</v>
      </c>
    </row>
    <row r="256" spans="1:13" x14ac:dyDescent="0.25">
      <c r="A256">
        <v>2022</v>
      </c>
      <c r="B256" t="s">
        <v>762</v>
      </c>
      <c r="C256" t="s">
        <v>763</v>
      </c>
      <c r="D256" t="s">
        <v>30</v>
      </c>
      <c r="E256" t="s">
        <v>663</v>
      </c>
      <c r="F256">
        <v>4500211750</v>
      </c>
      <c r="G256" t="s">
        <v>4301</v>
      </c>
      <c r="H256" t="s">
        <v>3334</v>
      </c>
      <c r="I256" t="s">
        <v>4302</v>
      </c>
      <c r="J256" t="s">
        <v>663</v>
      </c>
      <c r="K256" s="2">
        <v>97972</v>
      </c>
      <c r="L256" s="2">
        <v>97972</v>
      </c>
      <c r="M256" t="str">
        <f>IFERROR(IF(VLOOKUP(LEFT(B256,2),'Humanitarian codes'!$A$2:$A$10,1,FALSE)=LEFT(B256,2),"Yes","Error"),"No")</f>
        <v>No</v>
      </c>
    </row>
    <row r="257" spans="1:13" x14ac:dyDescent="0.25">
      <c r="A257">
        <v>2022</v>
      </c>
      <c r="B257" t="s">
        <v>762</v>
      </c>
      <c r="C257" t="s">
        <v>763</v>
      </c>
      <c r="D257" t="s">
        <v>30</v>
      </c>
      <c r="E257" t="s">
        <v>663</v>
      </c>
      <c r="F257">
        <v>4500211762</v>
      </c>
      <c r="G257" t="s">
        <v>4303</v>
      </c>
      <c r="H257" t="s">
        <v>3334</v>
      </c>
      <c r="I257" t="s">
        <v>2720</v>
      </c>
      <c r="J257" t="s">
        <v>663</v>
      </c>
      <c r="K257" s="2">
        <v>44426</v>
      </c>
      <c r="L257" s="2">
        <v>44426</v>
      </c>
      <c r="M257" t="str">
        <f>IFERROR(IF(VLOOKUP(LEFT(B257,2),'Humanitarian codes'!$A$2:$A$10,1,FALSE)=LEFT(B257,2),"Yes","Error"),"No")</f>
        <v>No</v>
      </c>
    </row>
    <row r="258" spans="1:13" x14ac:dyDescent="0.25">
      <c r="A258">
        <v>2022</v>
      </c>
      <c r="B258" t="s">
        <v>762</v>
      </c>
      <c r="C258" t="s">
        <v>763</v>
      </c>
      <c r="D258" t="s">
        <v>30</v>
      </c>
      <c r="E258" t="s">
        <v>663</v>
      </c>
      <c r="F258">
        <v>4500212137</v>
      </c>
      <c r="G258" t="s">
        <v>4304</v>
      </c>
      <c r="H258" t="s">
        <v>3334</v>
      </c>
      <c r="I258" t="s">
        <v>4305</v>
      </c>
      <c r="J258" t="s">
        <v>663</v>
      </c>
      <c r="K258" s="2">
        <v>85374</v>
      </c>
      <c r="L258" s="2">
        <v>85374</v>
      </c>
      <c r="M258" t="str">
        <f>IFERROR(IF(VLOOKUP(LEFT(B258,2),'Humanitarian codes'!$A$2:$A$10,1,FALSE)=LEFT(B258,2),"Yes","Error"),"No")</f>
        <v>No</v>
      </c>
    </row>
    <row r="259" spans="1:13" x14ac:dyDescent="0.25">
      <c r="A259">
        <v>2022</v>
      </c>
      <c r="B259" t="s">
        <v>762</v>
      </c>
      <c r="C259" t="s">
        <v>763</v>
      </c>
      <c r="D259" t="s">
        <v>30</v>
      </c>
      <c r="E259" t="s">
        <v>663</v>
      </c>
      <c r="F259">
        <v>4500214088</v>
      </c>
      <c r="G259" t="s">
        <v>4306</v>
      </c>
      <c r="H259" t="s">
        <v>3334</v>
      </c>
      <c r="I259" t="s">
        <v>4307</v>
      </c>
      <c r="J259" t="s">
        <v>663</v>
      </c>
      <c r="K259" s="2">
        <v>100139</v>
      </c>
      <c r="L259" s="2">
        <v>100139</v>
      </c>
      <c r="M259" t="str">
        <f>IFERROR(IF(VLOOKUP(LEFT(B259,2),'Humanitarian codes'!$A$2:$A$10,1,FALSE)=LEFT(B259,2),"Yes","Error"),"No")</f>
        <v>No</v>
      </c>
    </row>
    <row r="260" spans="1:13" x14ac:dyDescent="0.25">
      <c r="A260">
        <v>2022</v>
      </c>
      <c r="B260" t="s">
        <v>762</v>
      </c>
      <c r="C260" t="s">
        <v>763</v>
      </c>
      <c r="D260" t="s">
        <v>30</v>
      </c>
      <c r="E260" t="s">
        <v>663</v>
      </c>
      <c r="F260">
        <v>4500214477</v>
      </c>
      <c r="G260" t="s">
        <v>4308</v>
      </c>
      <c r="H260" t="s">
        <v>3334</v>
      </c>
      <c r="I260" t="s">
        <v>4309</v>
      </c>
      <c r="J260" t="s">
        <v>663</v>
      </c>
      <c r="K260" s="2">
        <v>23835</v>
      </c>
      <c r="L260" s="2">
        <v>23835</v>
      </c>
      <c r="M260" t="str">
        <f>IFERROR(IF(VLOOKUP(LEFT(B260,2),'Humanitarian codes'!$A$2:$A$10,1,FALSE)=LEFT(B260,2),"Yes","Error"),"No")</f>
        <v>No</v>
      </c>
    </row>
    <row r="261" spans="1:13" x14ac:dyDescent="0.25">
      <c r="A261">
        <v>2022</v>
      </c>
      <c r="B261" t="s">
        <v>762</v>
      </c>
      <c r="C261" t="s">
        <v>763</v>
      </c>
      <c r="D261" t="s">
        <v>30</v>
      </c>
      <c r="E261" t="s">
        <v>663</v>
      </c>
      <c r="F261">
        <v>4500216898</v>
      </c>
      <c r="G261" t="s">
        <v>4310</v>
      </c>
      <c r="H261" t="s">
        <v>3334</v>
      </c>
      <c r="I261" t="s">
        <v>4311</v>
      </c>
      <c r="J261" t="s">
        <v>663</v>
      </c>
      <c r="K261" s="2">
        <v>90484</v>
      </c>
      <c r="L261" s="2">
        <v>90484</v>
      </c>
      <c r="M261" t="str">
        <f>IFERROR(IF(VLOOKUP(LEFT(B261,2),'Humanitarian codes'!$A$2:$A$10,1,FALSE)=LEFT(B261,2),"Yes","Error"),"No")</f>
        <v>No</v>
      </c>
    </row>
    <row r="262" spans="1:13" x14ac:dyDescent="0.25">
      <c r="A262">
        <v>2022</v>
      </c>
      <c r="B262" t="s">
        <v>762</v>
      </c>
      <c r="C262" t="s">
        <v>763</v>
      </c>
      <c r="D262" t="s">
        <v>30</v>
      </c>
      <c r="E262" t="s">
        <v>663</v>
      </c>
      <c r="F262">
        <v>4500218292</v>
      </c>
      <c r="G262" t="s">
        <v>4312</v>
      </c>
      <c r="H262" t="s">
        <v>3334</v>
      </c>
      <c r="I262" t="s">
        <v>4313</v>
      </c>
      <c r="J262" t="s">
        <v>663</v>
      </c>
      <c r="K262" s="2">
        <v>117892</v>
      </c>
      <c r="L262" s="2">
        <v>117892</v>
      </c>
      <c r="M262" t="str">
        <f>IFERROR(IF(VLOOKUP(LEFT(B262,2),'Humanitarian codes'!$A$2:$A$10,1,FALSE)=LEFT(B262,2),"Yes","Error"),"No")</f>
        <v>No</v>
      </c>
    </row>
    <row r="263" spans="1:13" x14ac:dyDescent="0.25">
      <c r="A263">
        <v>2022</v>
      </c>
      <c r="B263" t="s">
        <v>762</v>
      </c>
      <c r="C263" t="s">
        <v>763</v>
      </c>
      <c r="D263" t="s">
        <v>30</v>
      </c>
      <c r="E263" t="s">
        <v>663</v>
      </c>
      <c r="F263">
        <v>4500219600</v>
      </c>
      <c r="G263" t="s">
        <v>4314</v>
      </c>
      <c r="H263" t="s">
        <v>3334</v>
      </c>
      <c r="I263" t="s">
        <v>4315</v>
      </c>
      <c r="J263" t="s">
        <v>663</v>
      </c>
      <c r="K263" s="2">
        <v>259090</v>
      </c>
      <c r="L263" s="2">
        <v>259090</v>
      </c>
      <c r="M263" t="str">
        <f>IFERROR(IF(VLOOKUP(LEFT(B263,2),'Humanitarian codes'!$A$2:$A$10,1,FALSE)=LEFT(B263,2),"Yes","Error"),"No")</f>
        <v>No</v>
      </c>
    </row>
    <row r="264" spans="1:13" x14ac:dyDescent="0.25">
      <c r="A264">
        <v>2022</v>
      </c>
      <c r="B264" t="s">
        <v>762</v>
      </c>
      <c r="C264" t="s">
        <v>763</v>
      </c>
      <c r="D264" t="s">
        <v>30</v>
      </c>
      <c r="E264" t="s">
        <v>663</v>
      </c>
      <c r="F264">
        <v>4500225755</v>
      </c>
      <c r="G264" t="s">
        <v>4316</v>
      </c>
      <c r="H264" t="s">
        <v>3334</v>
      </c>
      <c r="I264" t="s">
        <v>4317</v>
      </c>
      <c r="J264" t="s">
        <v>663</v>
      </c>
      <c r="K264" s="2">
        <v>201384</v>
      </c>
      <c r="L264" s="2">
        <v>201384</v>
      </c>
      <c r="M264" t="str">
        <f>IFERROR(IF(VLOOKUP(LEFT(B264,2),'Humanitarian codes'!$A$2:$A$10,1,FALSE)=LEFT(B264,2),"Yes","Error"),"No")</f>
        <v>No</v>
      </c>
    </row>
    <row r="265" spans="1:13" x14ac:dyDescent="0.25">
      <c r="A265">
        <v>2022</v>
      </c>
      <c r="B265" t="s">
        <v>762</v>
      </c>
      <c r="C265" t="s">
        <v>763</v>
      </c>
      <c r="D265" t="s">
        <v>30</v>
      </c>
      <c r="E265" t="s">
        <v>663</v>
      </c>
      <c r="F265">
        <v>4500226494</v>
      </c>
      <c r="G265" t="s">
        <v>4318</v>
      </c>
      <c r="H265" t="s">
        <v>3334</v>
      </c>
      <c r="I265" t="s">
        <v>1923</v>
      </c>
      <c r="J265" t="s">
        <v>663</v>
      </c>
      <c r="K265" s="2">
        <v>215413</v>
      </c>
      <c r="L265" s="2">
        <v>215413</v>
      </c>
      <c r="M265" t="str">
        <f>IFERROR(IF(VLOOKUP(LEFT(B265,2),'Humanitarian codes'!$A$2:$A$10,1,FALSE)=LEFT(B265,2),"Yes","Error"),"No")</f>
        <v>No</v>
      </c>
    </row>
    <row r="266" spans="1:13" x14ac:dyDescent="0.25">
      <c r="A266">
        <v>2022</v>
      </c>
      <c r="B266" t="s">
        <v>762</v>
      </c>
      <c r="C266" t="s">
        <v>763</v>
      </c>
      <c r="D266" t="s">
        <v>30</v>
      </c>
      <c r="E266" t="s">
        <v>663</v>
      </c>
      <c r="F266">
        <v>4500226810</v>
      </c>
      <c r="G266" t="s">
        <v>4319</v>
      </c>
      <c r="H266" t="s">
        <v>3334</v>
      </c>
      <c r="I266" t="s">
        <v>4320</v>
      </c>
      <c r="J266" t="s">
        <v>663</v>
      </c>
      <c r="K266" s="2">
        <v>119426</v>
      </c>
      <c r="L266" s="2">
        <v>119426</v>
      </c>
      <c r="M266" t="str">
        <f>IFERROR(IF(VLOOKUP(LEFT(B266,2),'Humanitarian codes'!$A$2:$A$10,1,FALSE)=LEFT(B266,2),"Yes","Error"),"No")</f>
        <v>No</v>
      </c>
    </row>
    <row r="267" spans="1:13" x14ac:dyDescent="0.25">
      <c r="A267">
        <v>2022</v>
      </c>
      <c r="B267" t="s">
        <v>762</v>
      </c>
      <c r="C267" t="s">
        <v>763</v>
      </c>
      <c r="D267" t="s">
        <v>30</v>
      </c>
      <c r="E267" t="s">
        <v>663</v>
      </c>
      <c r="F267">
        <v>4500226864</v>
      </c>
      <c r="G267" t="s">
        <v>4321</v>
      </c>
      <c r="H267" t="s">
        <v>3334</v>
      </c>
      <c r="I267" t="s">
        <v>4322</v>
      </c>
      <c r="J267" t="s">
        <v>663</v>
      </c>
      <c r="K267" s="2">
        <v>201512</v>
      </c>
      <c r="L267" s="2">
        <v>201512</v>
      </c>
      <c r="M267" t="str">
        <f>IFERROR(IF(VLOOKUP(LEFT(B267,2),'Humanitarian codes'!$A$2:$A$10,1,FALSE)=LEFT(B267,2),"Yes","Error"),"No")</f>
        <v>No</v>
      </c>
    </row>
    <row r="268" spans="1:13" x14ac:dyDescent="0.25">
      <c r="A268">
        <v>2022</v>
      </c>
      <c r="B268" t="s">
        <v>762</v>
      </c>
      <c r="C268" t="s">
        <v>763</v>
      </c>
      <c r="D268" t="s">
        <v>30</v>
      </c>
      <c r="E268" t="s">
        <v>663</v>
      </c>
      <c r="F268">
        <v>4500228022</v>
      </c>
      <c r="G268" t="s">
        <v>4323</v>
      </c>
      <c r="H268" t="s">
        <v>3334</v>
      </c>
      <c r="I268" t="s">
        <v>2812</v>
      </c>
      <c r="J268" t="s">
        <v>663</v>
      </c>
      <c r="K268" s="2">
        <v>191249</v>
      </c>
      <c r="L268" s="2">
        <v>191249</v>
      </c>
      <c r="M268" t="str">
        <f>IFERROR(IF(VLOOKUP(LEFT(B268,2),'Humanitarian codes'!$A$2:$A$10,1,FALSE)=LEFT(B268,2),"Yes","Error"),"No")</f>
        <v>No</v>
      </c>
    </row>
    <row r="269" spans="1:13" x14ac:dyDescent="0.25">
      <c r="A269">
        <v>2022</v>
      </c>
      <c r="B269" t="s">
        <v>762</v>
      </c>
      <c r="C269" t="s">
        <v>763</v>
      </c>
      <c r="D269" t="s">
        <v>30</v>
      </c>
      <c r="E269" t="s">
        <v>663</v>
      </c>
      <c r="F269">
        <v>4500229088</v>
      </c>
      <c r="G269" t="s">
        <v>4324</v>
      </c>
      <c r="H269" t="s">
        <v>3334</v>
      </c>
      <c r="I269" t="s">
        <v>4325</v>
      </c>
      <c r="J269" t="s">
        <v>663</v>
      </c>
      <c r="K269" s="2">
        <v>135712</v>
      </c>
      <c r="L269" s="2">
        <v>135712</v>
      </c>
      <c r="M269" t="str">
        <f>IFERROR(IF(VLOOKUP(LEFT(B269,2),'Humanitarian codes'!$A$2:$A$10,1,FALSE)=LEFT(B269,2),"Yes","Error"),"No")</f>
        <v>No</v>
      </c>
    </row>
    <row r="270" spans="1:13" x14ac:dyDescent="0.25">
      <c r="A270">
        <v>2022</v>
      </c>
      <c r="B270" t="s">
        <v>762</v>
      </c>
      <c r="C270" t="s">
        <v>763</v>
      </c>
      <c r="D270" t="s">
        <v>30</v>
      </c>
      <c r="E270" t="s">
        <v>663</v>
      </c>
      <c r="F270">
        <v>4500229403</v>
      </c>
      <c r="G270" t="s">
        <v>4326</v>
      </c>
      <c r="H270" t="s">
        <v>3334</v>
      </c>
      <c r="I270" t="s">
        <v>4327</v>
      </c>
      <c r="J270" t="s">
        <v>663</v>
      </c>
      <c r="K270" s="2">
        <v>191100</v>
      </c>
      <c r="L270" s="2">
        <v>191100</v>
      </c>
      <c r="M270" t="str">
        <f>IFERROR(IF(VLOOKUP(LEFT(B270,2),'Humanitarian codes'!$A$2:$A$10,1,FALSE)=LEFT(B270,2),"Yes","Error"),"No")</f>
        <v>No</v>
      </c>
    </row>
    <row r="271" spans="1:13" x14ac:dyDescent="0.25">
      <c r="A271">
        <v>2022</v>
      </c>
      <c r="B271" t="s">
        <v>762</v>
      </c>
      <c r="C271" t="s">
        <v>763</v>
      </c>
      <c r="D271" t="s">
        <v>30</v>
      </c>
      <c r="E271" t="s">
        <v>663</v>
      </c>
      <c r="F271">
        <v>4500233507</v>
      </c>
      <c r="G271" t="s">
        <v>4328</v>
      </c>
      <c r="H271" t="s">
        <v>3334</v>
      </c>
      <c r="I271" t="s">
        <v>4329</v>
      </c>
      <c r="J271" t="s">
        <v>663</v>
      </c>
      <c r="K271" s="2">
        <v>298145</v>
      </c>
      <c r="L271" s="2">
        <v>298145</v>
      </c>
      <c r="M271" t="str">
        <f>IFERROR(IF(VLOOKUP(LEFT(B271,2),'Humanitarian codes'!$A$2:$A$10,1,FALSE)=LEFT(B271,2),"Yes","Error"),"No")</f>
        <v>No</v>
      </c>
    </row>
    <row r="272" spans="1:13" x14ac:dyDescent="0.25">
      <c r="A272">
        <v>2022</v>
      </c>
      <c r="B272" t="s">
        <v>762</v>
      </c>
      <c r="C272" t="s">
        <v>763</v>
      </c>
      <c r="D272" t="s">
        <v>30</v>
      </c>
      <c r="E272" t="s">
        <v>663</v>
      </c>
      <c r="F272">
        <v>4500234353</v>
      </c>
      <c r="G272" t="s">
        <v>4330</v>
      </c>
      <c r="H272" t="s">
        <v>3334</v>
      </c>
      <c r="I272" t="s">
        <v>4331</v>
      </c>
      <c r="J272" t="s">
        <v>663</v>
      </c>
      <c r="K272" s="2">
        <v>774443</v>
      </c>
      <c r="L272" s="2">
        <v>774443</v>
      </c>
      <c r="M272" t="str">
        <f>IFERROR(IF(VLOOKUP(LEFT(B272,2),'Humanitarian codes'!$A$2:$A$10,1,FALSE)=LEFT(B272,2),"Yes","Error"),"No")</f>
        <v>No</v>
      </c>
    </row>
    <row r="273" spans="1:13" x14ac:dyDescent="0.25">
      <c r="A273">
        <v>2022</v>
      </c>
      <c r="B273" t="s">
        <v>762</v>
      </c>
      <c r="C273" t="s">
        <v>763</v>
      </c>
      <c r="D273" t="s">
        <v>30</v>
      </c>
      <c r="E273" t="s">
        <v>663</v>
      </c>
      <c r="F273">
        <v>4500235078</v>
      </c>
      <c r="G273" t="s">
        <v>4332</v>
      </c>
      <c r="H273" t="s">
        <v>3334</v>
      </c>
      <c r="I273" t="s">
        <v>4333</v>
      </c>
      <c r="J273" t="s">
        <v>663</v>
      </c>
      <c r="K273" s="2">
        <v>209028</v>
      </c>
      <c r="L273" s="2">
        <v>209028</v>
      </c>
      <c r="M273" t="str">
        <f>IFERROR(IF(VLOOKUP(LEFT(B273,2),'Humanitarian codes'!$A$2:$A$10,1,FALSE)=LEFT(B273,2),"Yes","Error"),"No")</f>
        <v>No</v>
      </c>
    </row>
    <row r="274" spans="1:13" x14ac:dyDescent="0.25">
      <c r="A274">
        <v>2022</v>
      </c>
      <c r="B274" t="s">
        <v>762</v>
      </c>
      <c r="C274" t="s">
        <v>763</v>
      </c>
      <c r="D274" t="s">
        <v>30</v>
      </c>
      <c r="E274" t="s">
        <v>663</v>
      </c>
      <c r="F274">
        <v>4500235083</v>
      </c>
      <c r="G274" t="s">
        <v>4334</v>
      </c>
      <c r="H274" t="s">
        <v>3334</v>
      </c>
      <c r="I274" t="s">
        <v>4335</v>
      </c>
      <c r="J274" t="s">
        <v>663</v>
      </c>
      <c r="K274" s="2">
        <v>270803</v>
      </c>
      <c r="L274" s="2">
        <v>270803</v>
      </c>
      <c r="M274" t="str">
        <f>IFERROR(IF(VLOOKUP(LEFT(B274,2),'Humanitarian codes'!$A$2:$A$10,1,FALSE)=LEFT(B274,2),"Yes","Error"),"No")</f>
        <v>No</v>
      </c>
    </row>
    <row r="275" spans="1:13" x14ac:dyDescent="0.25">
      <c r="A275">
        <v>2022</v>
      </c>
      <c r="B275" t="s">
        <v>762</v>
      </c>
      <c r="C275" t="s">
        <v>763</v>
      </c>
      <c r="D275" t="s">
        <v>30</v>
      </c>
      <c r="E275" t="s">
        <v>663</v>
      </c>
      <c r="F275">
        <v>4500236425</v>
      </c>
      <c r="G275" t="s">
        <v>4336</v>
      </c>
      <c r="H275" t="s">
        <v>3334</v>
      </c>
      <c r="I275" t="s">
        <v>4337</v>
      </c>
      <c r="J275" t="s">
        <v>663</v>
      </c>
      <c r="K275" s="2">
        <v>255810</v>
      </c>
      <c r="L275" s="2">
        <v>255810</v>
      </c>
      <c r="M275" t="str">
        <f>IFERROR(IF(VLOOKUP(LEFT(B275,2),'Humanitarian codes'!$A$2:$A$10,1,FALSE)=LEFT(B275,2),"Yes","Error"),"No")</f>
        <v>No</v>
      </c>
    </row>
    <row r="276" spans="1:13" x14ac:dyDescent="0.25">
      <c r="A276">
        <v>2022</v>
      </c>
      <c r="B276" t="s">
        <v>762</v>
      </c>
      <c r="C276" t="s">
        <v>763</v>
      </c>
      <c r="D276" t="s">
        <v>30</v>
      </c>
      <c r="E276" t="s">
        <v>663</v>
      </c>
      <c r="F276">
        <v>4500236432</v>
      </c>
      <c r="G276" t="s">
        <v>4338</v>
      </c>
      <c r="H276" t="s">
        <v>3334</v>
      </c>
      <c r="I276" t="s">
        <v>4339</v>
      </c>
      <c r="J276" t="s">
        <v>663</v>
      </c>
      <c r="K276" s="2">
        <v>198389</v>
      </c>
      <c r="L276" s="2">
        <v>198389</v>
      </c>
      <c r="M276" t="str">
        <f>IFERROR(IF(VLOOKUP(LEFT(B276,2),'Humanitarian codes'!$A$2:$A$10,1,FALSE)=LEFT(B276,2),"Yes","Error"),"No")</f>
        <v>No</v>
      </c>
    </row>
    <row r="277" spans="1:13" x14ac:dyDescent="0.25">
      <c r="A277">
        <v>2022</v>
      </c>
      <c r="B277" t="s">
        <v>762</v>
      </c>
      <c r="C277" t="s">
        <v>763</v>
      </c>
      <c r="D277" t="s">
        <v>30</v>
      </c>
      <c r="E277" t="s">
        <v>663</v>
      </c>
      <c r="F277">
        <v>4500238482</v>
      </c>
      <c r="G277" t="s">
        <v>4340</v>
      </c>
      <c r="H277" t="s">
        <v>3334</v>
      </c>
      <c r="I277" t="s">
        <v>4341</v>
      </c>
      <c r="J277" t="s">
        <v>663</v>
      </c>
      <c r="K277" s="2">
        <v>299728</v>
      </c>
      <c r="L277" s="2">
        <v>299728</v>
      </c>
      <c r="M277" t="str">
        <f>IFERROR(IF(VLOOKUP(LEFT(B277,2),'Humanitarian codes'!$A$2:$A$10,1,FALSE)=LEFT(B277,2),"Yes","Error"),"No")</f>
        <v>No</v>
      </c>
    </row>
    <row r="278" spans="1:13" x14ac:dyDescent="0.25">
      <c r="A278">
        <v>2022</v>
      </c>
      <c r="B278" t="s">
        <v>762</v>
      </c>
      <c r="C278" t="s">
        <v>763</v>
      </c>
      <c r="D278" t="s">
        <v>30</v>
      </c>
      <c r="E278" t="s">
        <v>663</v>
      </c>
      <c r="F278">
        <v>4500239992</v>
      </c>
      <c r="G278" t="s">
        <v>4342</v>
      </c>
      <c r="H278" t="s">
        <v>3334</v>
      </c>
      <c r="I278" t="s">
        <v>4343</v>
      </c>
      <c r="J278" t="s">
        <v>663</v>
      </c>
      <c r="K278" s="2">
        <v>93974</v>
      </c>
      <c r="L278" s="2">
        <v>93974</v>
      </c>
      <c r="M278" t="str">
        <f>IFERROR(IF(VLOOKUP(LEFT(B278,2),'Humanitarian codes'!$A$2:$A$10,1,FALSE)=LEFT(B278,2),"Yes","Error"),"No")</f>
        <v>No</v>
      </c>
    </row>
    <row r="279" spans="1:13" x14ac:dyDescent="0.25">
      <c r="A279">
        <v>2022</v>
      </c>
      <c r="B279" t="s">
        <v>762</v>
      </c>
      <c r="C279" t="s">
        <v>763</v>
      </c>
      <c r="D279" t="s">
        <v>30</v>
      </c>
      <c r="E279" t="s">
        <v>663</v>
      </c>
      <c r="F279">
        <v>4500239993</v>
      </c>
      <c r="G279" t="s">
        <v>4344</v>
      </c>
      <c r="H279" t="s">
        <v>3334</v>
      </c>
      <c r="I279" t="s">
        <v>4345</v>
      </c>
      <c r="J279" t="s">
        <v>663</v>
      </c>
      <c r="K279" s="2">
        <v>287047</v>
      </c>
      <c r="L279" s="2">
        <v>287047</v>
      </c>
      <c r="M279" t="str">
        <f>IFERROR(IF(VLOOKUP(LEFT(B279,2),'Humanitarian codes'!$A$2:$A$10,1,FALSE)=LEFT(B279,2),"Yes","Error"),"No")</f>
        <v>No</v>
      </c>
    </row>
    <row r="280" spans="1:13" x14ac:dyDescent="0.25">
      <c r="A280">
        <v>2022</v>
      </c>
      <c r="B280" t="s">
        <v>762</v>
      </c>
      <c r="C280" t="s">
        <v>763</v>
      </c>
      <c r="D280" t="s">
        <v>30</v>
      </c>
      <c r="E280" t="s">
        <v>663</v>
      </c>
      <c r="F280">
        <v>4500239995</v>
      </c>
      <c r="G280" t="s">
        <v>4346</v>
      </c>
      <c r="H280" t="s">
        <v>3334</v>
      </c>
      <c r="I280" t="s">
        <v>4347</v>
      </c>
      <c r="J280" t="s">
        <v>663</v>
      </c>
      <c r="K280" s="2">
        <v>383741</v>
      </c>
      <c r="L280" s="2">
        <v>383741</v>
      </c>
      <c r="M280" t="str">
        <f>IFERROR(IF(VLOOKUP(LEFT(B280,2),'Humanitarian codes'!$A$2:$A$10,1,FALSE)=LEFT(B280,2),"Yes","Error"),"No")</f>
        <v>No</v>
      </c>
    </row>
    <row r="281" spans="1:13" x14ac:dyDescent="0.25">
      <c r="A281">
        <v>2022</v>
      </c>
      <c r="B281" t="s">
        <v>762</v>
      </c>
      <c r="C281" t="s">
        <v>763</v>
      </c>
      <c r="D281" t="s">
        <v>30</v>
      </c>
      <c r="E281" t="s">
        <v>663</v>
      </c>
      <c r="F281">
        <v>4500240492</v>
      </c>
      <c r="G281" t="s">
        <v>4348</v>
      </c>
      <c r="H281" t="s">
        <v>3334</v>
      </c>
      <c r="I281" t="s">
        <v>1549</v>
      </c>
      <c r="J281" t="s">
        <v>663</v>
      </c>
      <c r="K281" s="2">
        <v>399637</v>
      </c>
      <c r="L281" s="2">
        <v>399637</v>
      </c>
      <c r="M281" t="str">
        <f>IFERROR(IF(VLOOKUP(LEFT(B281,2),'Humanitarian codes'!$A$2:$A$10,1,FALSE)=LEFT(B281,2),"Yes","Error"),"No")</f>
        <v>No</v>
      </c>
    </row>
    <row r="282" spans="1:13" x14ac:dyDescent="0.25">
      <c r="A282">
        <v>2022</v>
      </c>
      <c r="B282" t="s">
        <v>762</v>
      </c>
      <c r="C282" t="s">
        <v>763</v>
      </c>
      <c r="D282" t="s">
        <v>30</v>
      </c>
      <c r="E282" t="s">
        <v>663</v>
      </c>
      <c r="F282">
        <v>4500240904</v>
      </c>
      <c r="G282" t="s">
        <v>4349</v>
      </c>
      <c r="H282" t="s">
        <v>3334</v>
      </c>
      <c r="I282" t="s">
        <v>4350</v>
      </c>
      <c r="J282" t="s">
        <v>663</v>
      </c>
      <c r="K282" s="2">
        <v>293285</v>
      </c>
      <c r="L282" s="2">
        <v>293285</v>
      </c>
      <c r="M282" t="str">
        <f>IFERROR(IF(VLOOKUP(LEFT(B282,2),'Humanitarian codes'!$A$2:$A$10,1,FALSE)=LEFT(B282,2),"Yes","Error"),"No")</f>
        <v>No</v>
      </c>
    </row>
    <row r="283" spans="1:13" x14ac:dyDescent="0.25">
      <c r="A283">
        <v>2022</v>
      </c>
      <c r="B283" t="s">
        <v>762</v>
      </c>
      <c r="C283" t="s">
        <v>763</v>
      </c>
      <c r="D283" t="s">
        <v>30</v>
      </c>
      <c r="E283" t="s">
        <v>663</v>
      </c>
      <c r="F283">
        <v>4500241298</v>
      </c>
      <c r="G283" t="s">
        <v>4351</v>
      </c>
      <c r="H283" t="s">
        <v>3334</v>
      </c>
      <c r="I283" t="s">
        <v>363</v>
      </c>
      <c r="J283" t="s">
        <v>663</v>
      </c>
      <c r="K283" s="2">
        <v>258636</v>
      </c>
      <c r="L283" s="2">
        <v>258636</v>
      </c>
      <c r="M283" t="str">
        <f>IFERROR(IF(VLOOKUP(LEFT(B283,2),'Humanitarian codes'!$A$2:$A$10,1,FALSE)=LEFT(B283,2),"Yes","Error"),"No")</f>
        <v>No</v>
      </c>
    </row>
    <row r="284" spans="1:13" x14ac:dyDescent="0.25">
      <c r="A284">
        <v>2022</v>
      </c>
      <c r="B284" t="s">
        <v>762</v>
      </c>
      <c r="C284" t="s">
        <v>763</v>
      </c>
      <c r="D284" t="s">
        <v>30</v>
      </c>
      <c r="E284" t="s">
        <v>663</v>
      </c>
      <c r="F284">
        <v>4500241300</v>
      </c>
      <c r="G284" t="s">
        <v>4352</v>
      </c>
      <c r="H284" t="s">
        <v>3334</v>
      </c>
      <c r="I284" t="s">
        <v>4353</v>
      </c>
      <c r="J284" t="s">
        <v>663</v>
      </c>
      <c r="K284" s="2">
        <v>349204</v>
      </c>
      <c r="L284" s="2">
        <v>349204</v>
      </c>
      <c r="M284" t="str">
        <f>IFERROR(IF(VLOOKUP(LEFT(B284,2),'Humanitarian codes'!$A$2:$A$10,1,FALSE)=LEFT(B284,2),"Yes","Error"),"No")</f>
        <v>No</v>
      </c>
    </row>
    <row r="285" spans="1:13" x14ac:dyDescent="0.25">
      <c r="A285">
        <v>2022</v>
      </c>
      <c r="B285" t="s">
        <v>762</v>
      </c>
      <c r="C285" t="s">
        <v>763</v>
      </c>
      <c r="D285" t="s">
        <v>30</v>
      </c>
      <c r="E285" t="s">
        <v>663</v>
      </c>
      <c r="F285">
        <v>4500241303</v>
      </c>
      <c r="G285" t="s">
        <v>4354</v>
      </c>
      <c r="H285" t="s">
        <v>3334</v>
      </c>
      <c r="I285" t="s">
        <v>4355</v>
      </c>
      <c r="J285" t="s">
        <v>751</v>
      </c>
      <c r="K285" s="2">
        <v>399988</v>
      </c>
      <c r="L285" s="2">
        <v>399988</v>
      </c>
      <c r="M285" t="str">
        <f>IFERROR(IF(VLOOKUP(LEFT(B285,2),'Humanitarian codes'!$A$2:$A$10,1,FALSE)=LEFT(B285,2),"Yes","Error"),"No")</f>
        <v>No</v>
      </c>
    </row>
    <row r="286" spans="1:13" x14ac:dyDescent="0.25">
      <c r="A286">
        <v>2022</v>
      </c>
      <c r="B286" t="s">
        <v>762</v>
      </c>
      <c r="C286" t="s">
        <v>763</v>
      </c>
      <c r="D286" t="s">
        <v>30</v>
      </c>
      <c r="E286" t="s">
        <v>663</v>
      </c>
      <c r="F286">
        <v>4500243345</v>
      </c>
      <c r="G286" t="s">
        <v>4356</v>
      </c>
      <c r="H286" t="s">
        <v>3334</v>
      </c>
      <c r="I286" t="s">
        <v>4357</v>
      </c>
      <c r="J286" t="s">
        <v>663</v>
      </c>
      <c r="K286" s="2">
        <v>289855</v>
      </c>
      <c r="L286" s="2">
        <v>289855</v>
      </c>
      <c r="M286" t="str">
        <f>IFERROR(IF(VLOOKUP(LEFT(B286,2),'Humanitarian codes'!$A$2:$A$10,1,FALSE)=LEFT(B286,2),"Yes","Error"),"No")</f>
        <v>No</v>
      </c>
    </row>
    <row r="287" spans="1:13" x14ac:dyDescent="0.25">
      <c r="A287">
        <v>2022</v>
      </c>
      <c r="B287" t="s">
        <v>762</v>
      </c>
      <c r="C287" t="s">
        <v>763</v>
      </c>
      <c r="D287" t="s">
        <v>30</v>
      </c>
      <c r="E287" t="s">
        <v>663</v>
      </c>
      <c r="F287">
        <v>4500243347</v>
      </c>
      <c r="G287" t="s">
        <v>4358</v>
      </c>
      <c r="H287" t="s">
        <v>3334</v>
      </c>
      <c r="I287" t="s">
        <v>4359</v>
      </c>
      <c r="J287" t="s">
        <v>663</v>
      </c>
      <c r="K287" s="2">
        <v>159430</v>
      </c>
      <c r="L287" s="2">
        <v>159430</v>
      </c>
      <c r="M287" t="str">
        <f>IFERROR(IF(VLOOKUP(LEFT(B287,2),'Humanitarian codes'!$A$2:$A$10,1,FALSE)=LEFT(B287,2),"Yes","Error"),"No")</f>
        <v>No</v>
      </c>
    </row>
    <row r="288" spans="1:13" x14ac:dyDescent="0.25">
      <c r="A288">
        <v>2022</v>
      </c>
      <c r="B288" t="s">
        <v>762</v>
      </c>
      <c r="C288" t="s">
        <v>763</v>
      </c>
      <c r="D288" t="s">
        <v>30</v>
      </c>
      <c r="E288" t="s">
        <v>663</v>
      </c>
      <c r="F288">
        <v>4500244314</v>
      </c>
      <c r="G288" t="s">
        <v>4360</v>
      </c>
      <c r="H288" t="s">
        <v>3334</v>
      </c>
      <c r="I288" t="s">
        <v>4361</v>
      </c>
      <c r="J288" t="s">
        <v>663</v>
      </c>
      <c r="K288" s="2">
        <v>171919</v>
      </c>
      <c r="L288" s="2">
        <v>171919</v>
      </c>
      <c r="M288" t="str">
        <f>IFERROR(IF(VLOOKUP(LEFT(B288,2),'Humanitarian codes'!$A$2:$A$10,1,FALSE)=LEFT(B288,2),"Yes","Error"),"No")</f>
        <v>No</v>
      </c>
    </row>
    <row r="289" spans="1:13" x14ac:dyDescent="0.25">
      <c r="A289">
        <v>2022</v>
      </c>
      <c r="B289" t="s">
        <v>762</v>
      </c>
      <c r="C289" t="s">
        <v>763</v>
      </c>
      <c r="D289" t="s">
        <v>30</v>
      </c>
      <c r="E289" t="s">
        <v>663</v>
      </c>
      <c r="F289">
        <v>4500244317</v>
      </c>
      <c r="G289" t="s">
        <v>4362</v>
      </c>
      <c r="H289" t="s">
        <v>3334</v>
      </c>
      <c r="I289" t="s">
        <v>4363</v>
      </c>
      <c r="J289" t="s">
        <v>663</v>
      </c>
      <c r="K289" s="2">
        <v>163276</v>
      </c>
      <c r="L289" s="2">
        <v>163276</v>
      </c>
      <c r="M289" t="str">
        <f>IFERROR(IF(VLOOKUP(LEFT(B289,2),'Humanitarian codes'!$A$2:$A$10,1,FALSE)=LEFT(B289,2),"Yes","Error"),"No")</f>
        <v>No</v>
      </c>
    </row>
    <row r="290" spans="1:13" x14ac:dyDescent="0.25">
      <c r="A290">
        <v>2022</v>
      </c>
      <c r="B290" t="s">
        <v>762</v>
      </c>
      <c r="C290" t="s">
        <v>763</v>
      </c>
      <c r="D290" t="s">
        <v>30</v>
      </c>
      <c r="E290" t="s">
        <v>663</v>
      </c>
      <c r="F290">
        <v>4500244325</v>
      </c>
      <c r="G290" t="s">
        <v>4364</v>
      </c>
      <c r="H290" t="s">
        <v>3334</v>
      </c>
      <c r="I290" t="s">
        <v>4365</v>
      </c>
      <c r="J290" t="s">
        <v>663</v>
      </c>
      <c r="K290" s="2">
        <v>158474</v>
      </c>
      <c r="L290" s="2">
        <v>158474</v>
      </c>
      <c r="M290" t="str">
        <f>IFERROR(IF(VLOOKUP(LEFT(B290,2),'Humanitarian codes'!$A$2:$A$10,1,FALSE)=LEFT(B290,2),"Yes","Error"),"No")</f>
        <v>No</v>
      </c>
    </row>
    <row r="291" spans="1:13" x14ac:dyDescent="0.25">
      <c r="A291">
        <v>2022</v>
      </c>
      <c r="B291" t="s">
        <v>762</v>
      </c>
      <c r="C291" t="s">
        <v>763</v>
      </c>
      <c r="D291" t="s">
        <v>30</v>
      </c>
      <c r="E291" t="s">
        <v>663</v>
      </c>
      <c r="F291">
        <v>4500248666</v>
      </c>
      <c r="G291" t="s">
        <v>4366</v>
      </c>
      <c r="H291" t="s">
        <v>3334</v>
      </c>
      <c r="I291" t="s">
        <v>4367</v>
      </c>
      <c r="J291" t="s">
        <v>663</v>
      </c>
      <c r="K291" s="2">
        <v>4563</v>
      </c>
      <c r="L291" s="2">
        <v>4563</v>
      </c>
      <c r="M291" t="str">
        <f>IFERROR(IF(VLOOKUP(LEFT(B291,2),'Humanitarian codes'!$A$2:$A$10,1,FALSE)=LEFT(B291,2),"Yes","Error"),"No")</f>
        <v>No</v>
      </c>
    </row>
    <row r="292" spans="1:13" x14ac:dyDescent="0.25">
      <c r="A292">
        <v>2022</v>
      </c>
      <c r="B292" t="s">
        <v>762</v>
      </c>
      <c r="C292" t="s">
        <v>763</v>
      </c>
      <c r="D292" t="s">
        <v>30</v>
      </c>
      <c r="E292" t="s">
        <v>663</v>
      </c>
      <c r="F292">
        <v>4500249750</v>
      </c>
      <c r="G292" t="s">
        <v>4368</v>
      </c>
      <c r="H292" t="s">
        <v>3334</v>
      </c>
      <c r="I292" t="s">
        <v>4369</v>
      </c>
      <c r="J292" t="s">
        <v>663</v>
      </c>
      <c r="K292" s="2">
        <v>104921</v>
      </c>
      <c r="L292" s="2">
        <v>104921</v>
      </c>
      <c r="M292" t="str">
        <f>IFERROR(IF(VLOOKUP(LEFT(B292,2),'Humanitarian codes'!$A$2:$A$10,1,FALSE)=LEFT(B292,2),"Yes","Error"),"No")</f>
        <v>No</v>
      </c>
    </row>
    <row r="293" spans="1:13" x14ac:dyDescent="0.25">
      <c r="A293">
        <v>2022</v>
      </c>
      <c r="B293" t="s">
        <v>762</v>
      </c>
      <c r="C293" t="s">
        <v>763</v>
      </c>
      <c r="D293" t="s">
        <v>30</v>
      </c>
      <c r="E293" t="s">
        <v>663</v>
      </c>
      <c r="F293">
        <v>4500275459</v>
      </c>
      <c r="G293" t="s">
        <v>4370</v>
      </c>
      <c r="H293" t="s">
        <v>3334</v>
      </c>
      <c r="I293" t="s">
        <v>4371</v>
      </c>
      <c r="J293" t="s">
        <v>663</v>
      </c>
      <c r="K293" s="2">
        <v>291877</v>
      </c>
      <c r="L293" s="2">
        <v>291877</v>
      </c>
      <c r="M293" t="str">
        <f>IFERROR(IF(VLOOKUP(LEFT(B293,2),'Humanitarian codes'!$A$2:$A$10,1,FALSE)=LEFT(B293,2),"Yes","Error"),"No")</f>
        <v>No</v>
      </c>
    </row>
    <row r="294" spans="1:13" x14ac:dyDescent="0.25">
      <c r="A294">
        <v>2022</v>
      </c>
      <c r="B294" t="s">
        <v>762</v>
      </c>
      <c r="C294" t="s">
        <v>763</v>
      </c>
      <c r="D294" t="s">
        <v>30</v>
      </c>
      <c r="E294" t="s">
        <v>663</v>
      </c>
      <c r="F294">
        <v>4500275461</v>
      </c>
      <c r="G294" t="s">
        <v>4372</v>
      </c>
      <c r="H294" t="s">
        <v>3334</v>
      </c>
      <c r="I294" t="s">
        <v>4373</v>
      </c>
      <c r="J294" t="s">
        <v>663</v>
      </c>
      <c r="K294" s="2">
        <v>299923</v>
      </c>
      <c r="L294" s="2">
        <v>299923</v>
      </c>
      <c r="M294" t="str">
        <f>IFERROR(IF(VLOOKUP(LEFT(B294,2),'Humanitarian codes'!$A$2:$A$10,1,FALSE)=LEFT(B294,2),"Yes","Error"),"No")</f>
        <v>No</v>
      </c>
    </row>
    <row r="295" spans="1:13" x14ac:dyDescent="0.25">
      <c r="A295">
        <v>2022</v>
      </c>
      <c r="B295" t="s">
        <v>4374</v>
      </c>
      <c r="C295" t="s">
        <v>4375</v>
      </c>
      <c r="D295" t="s">
        <v>30</v>
      </c>
      <c r="E295" t="s">
        <v>123</v>
      </c>
      <c r="F295">
        <v>4600628150</v>
      </c>
      <c r="G295" t="s">
        <v>4376</v>
      </c>
      <c r="H295" t="s">
        <v>3334</v>
      </c>
      <c r="I295" t="s">
        <v>2816</v>
      </c>
      <c r="J295" t="s">
        <v>123</v>
      </c>
      <c r="K295" s="2">
        <v>78365</v>
      </c>
      <c r="L295" s="2">
        <v>78365</v>
      </c>
      <c r="M295" t="str">
        <f>IFERROR(IF(VLOOKUP(LEFT(B295,2),'Humanitarian codes'!$A$2:$A$10,1,FALSE)=LEFT(B295,2),"Yes","Error"),"No")</f>
        <v>No</v>
      </c>
    </row>
    <row r="296" spans="1:13" x14ac:dyDescent="0.25">
      <c r="A296">
        <v>2022</v>
      </c>
      <c r="B296" t="s">
        <v>4374</v>
      </c>
      <c r="C296" t="s">
        <v>4375</v>
      </c>
      <c r="D296" t="s">
        <v>30</v>
      </c>
      <c r="E296" t="s">
        <v>123</v>
      </c>
      <c r="F296">
        <v>4600628201</v>
      </c>
      <c r="G296" t="s">
        <v>4377</v>
      </c>
      <c r="H296" t="s">
        <v>3334</v>
      </c>
      <c r="I296" t="s">
        <v>4378</v>
      </c>
      <c r="J296" t="s">
        <v>123</v>
      </c>
      <c r="K296" s="2">
        <v>47455</v>
      </c>
      <c r="L296" s="2">
        <v>47455</v>
      </c>
      <c r="M296" t="str">
        <f>IFERROR(IF(VLOOKUP(LEFT(B296,2),'Humanitarian codes'!$A$2:$A$10,1,FALSE)=LEFT(B296,2),"Yes","Error"),"No")</f>
        <v>No</v>
      </c>
    </row>
    <row r="297" spans="1:13" x14ac:dyDescent="0.25">
      <c r="A297">
        <v>2022</v>
      </c>
      <c r="B297" t="s">
        <v>4379</v>
      </c>
      <c r="C297" t="s">
        <v>3370</v>
      </c>
      <c r="D297" t="s">
        <v>30</v>
      </c>
      <c r="E297" t="s">
        <v>159</v>
      </c>
      <c r="F297">
        <v>4500222514</v>
      </c>
      <c r="G297" t="s">
        <v>4380</v>
      </c>
      <c r="H297" t="s">
        <v>3334</v>
      </c>
      <c r="I297" t="s">
        <v>4381</v>
      </c>
      <c r="J297" t="s">
        <v>159</v>
      </c>
      <c r="K297" s="2">
        <v>17500</v>
      </c>
      <c r="L297" s="2">
        <v>17500</v>
      </c>
      <c r="M297" t="str">
        <f>IFERROR(IF(VLOOKUP(LEFT(B297,2),'Humanitarian codes'!$A$2:$A$10,1,FALSE)=LEFT(B297,2),"Yes","Error"),"No")</f>
        <v>No</v>
      </c>
    </row>
    <row r="298" spans="1:13" x14ac:dyDescent="0.25">
      <c r="A298">
        <v>2022</v>
      </c>
      <c r="B298" t="s">
        <v>3369</v>
      </c>
      <c r="C298" t="s">
        <v>3370</v>
      </c>
      <c r="D298" t="s">
        <v>30</v>
      </c>
      <c r="E298" t="s">
        <v>831</v>
      </c>
      <c r="F298">
        <v>4500192980</v>
      </c>
      <c r="G298" t="s">
        <v>4382</v>
      </c>
      <c r="H298" t="s">
        <v>3334</v>
      </c>
      <c r="I298" t="s">
        <v>558</v>
      </c>
      <c r="J298" t="s">
        <v>350</v>
      </c>
      <c r="K298" s="2">
        <v>9154</v>
      </c>
      <c r="L298" s="2">
        <v>12205</v>
      </c>
      <c r="M298" t="str">
        <f>IFERROR(IF(VLOOKUP(LEFT(B298,2),'Humanitarian codes'!$A$2:$A$10,1,FALSE)=LEFT(B298,2),"Yes","Error"),"No")</f>
        <v>No</v>
      </c>
    </row>
    <row r="299" spans="1:13" x14ac:dyDescent="0.25">
      <c r="A299">
        <v>2022</v>
      </c>
      <c r="B299" t="s">
        <v>3369</v>
      </c>
      <c r="C299" t="s">
        <v>3370</v>
      </c>
      <c r="D299" t="s">
        <v>30</v>
      </c>
      <c r="E299" t="s">
        <v>831</v>
      </c>
      <c r="F299">
        <v>4500193070</v>
      </c>
      <c r="G299" t="s">
        <v>4382</v>
      </c>
      <c r="H299" t="s">
        <v>3334</v>
      </c>
      <c r="I299" t="s">
        <v>4383</v>
      </c>
      <c r="J299" t="s">
        <v>350</v>
      </c>
      <c r="K299" s="2">
        <v>19032</v>
      </c>
      <c r="L299" s="2">
        <v>25376</v>
      </c>
      <c r="M299" t="str">
        <f>IFERROR(IF(VLOOKUP(LEFT(B299,2),'Humanitarian codes'!$A$2:$A$10,1,FALSE)=LEFT(B299,2),"Yes","Error"),"No")</f>
        <v>No</v>
      </c>
    </row>
    <row r="300" spans="1:13" x14ac:dyDescent="0.25">
      <c r="A300">
        <v>2022</v>
      </c>
      <c r="B300" t="s">
        <v>3369</v>
      </c>
      <c r="C300" t="s">
        <v>3370</v>
      </c>
      <c r="D300" t="s">
        <v>30</v>
      </c>
      <c r="E300" t="s">
        <v>831</v>
      </c>
      <c r="F300">
        <v>4500193072</v>
      </c>
      <c r="G300" t="s">
        <v>4384</v>
      </c>
      <c r="H300" t="s">
        <v>3334</v>
      </c>
      <c r="I300" t="s">
        <v>554</v>
      </c>
      <c r="J300" t="s">
        <v>350</v>
      </c>
      <c r="K300" s="2">
        <v>14282</v>
      </c>
      <c r="L300" s="2">
        <v>19042</v>
      </c>
      <c r="M300" t="str">
        <f>IFERROR(IF(VLOOKUP(LEFT(B300,2),'Humanitarian codes'!$A$2:$A$10,1,FALSE)=LEFT(B300,2),"Yes","Error"),"No")</f>
        <v>No</v>
      </c>
    </row>
    <row r="301" spans="1:13" x14ac:dyDescent="0.25">
      <c r="A301">
        <v>2022</v>
      </c>
      <c r="B301" t="s">
        <v>3369</v>
      </c>
      <c r="C301" t="s">
        <v>3370</v>
      </c>
      <c r="D301" t="s">
        <v>30</v>
      </c>
      <c r="E301" t="s">
        <v>831</v>
      </c>
      <c r="F301">
        <v>4500193073</v>
      </c>
      <c r="G301" t="s">
        <v>4384</v>
      </c>
      <c r="H301" t="s">
        <v>3334</v>
      </c>
      <c r="I301" t="s">
        <v>556</v>
      </c>
      <c r="J301" t="s">
        <v>350</v>
      </c>
      <c r="K301" s="2">
        <v>19225</v>
      </c>
      <c r="L301" s="2">
        <v>25633</v>
      </c>
      <c r="M301" t="str">
        <f>IFERROR(IF(VLOOKUP(LEFT(B301,2),'Humanitarian codes'!$A$2:$A$10,1,FALSE)=LEFT(B301,2),"Yes","Error"),"No")</f>
        <v>No</v>
      </c>
    </row>
    <row r="302" spans="1:13" x14ac:dyDescent="0.25">
      <c r="A302">
        <v>2022</v>
      </c>
      <c r="B302" t="s">
        <v>3369</v>
      </c>
      <c r="C302" t="s">
        <v>3370</v>
      </c>
      <c r="D302" t="s">
        <v>30</v>
      </c>
      <c r="E302" t="s">
        <v>831</v>
      </c>
      <c r="F302">
        <v>4500193480</v>
      </c>
      <c r="G302" t="s">
        <v>4382</v>
      </c>
      <c r="H302" t="s">
        <v>3334</v>
      </c>
      <c r="I302" t="s">
        <v>557</v>
      </c>
      <c r="J302" t="s">
        <v>350</v>
      </c>
      <c r="K302" s="2">
        <v>8591</v>
      </c>
      <c r="L302" s="2">
        <v>11454</v>
      </c>
      <c r="M302" t="str">
        <f>IFERROR(IF(VLOOKUP(LEFT(B302,2),'Humanitarian codes'!$A$2:$A$10,1,FALSE)=LEFT(B302,2),"Yes","Error"),"No")</f>
        <v>No</v>
      </c>
    </row>
    <row r="303" spans="1:13" x14ac:dyDescent="0.25">
      <c r="A303">
        <v>2022</v>
      </c>
      <c r="B303" t="s">
        <v>29</v>
      </c>
      <c r="C303" t="s">
        <v>31</v>
      </c>
      <c r="D303" t="s">
        <v>30</v>
      </c>
      <c r="E303" t="s">
        <v>356</v>
      </c>
      <c r="F303">
        <v>4500214350</v>
      </c>
      <c r="G303" t="s">
        <v>4385</v>
      </c>
      <c r="H303" t="s">
        <v>3334</v>
      </c>
      <c r="I303" t="s">
        <v>2831</v>
      </c>
      <c r="J303" t="s">
        <v>356</v>
      </c>
      <c r="K303" s="2">
        <v>472096</v>
      </c>
      <c r="L303" s="2">
        <v>472096</v>
      </c>
      <c r="M303" t="str">
        <f>IFERROR(IF(VLOOKUP(LEFT(B303,2),'Humanitarian codes'!$A$2:$A$10,1,FALSE)=LEFT(B303,2),"Yes","Error"),"No")</f>
        <v>No</v>
      </c>
    </row>
    <row r="304" spans="1:13" x14ac:dyDescent="0.25">
      <c r="A304">
        <v>2022</v>
      </c>
      <c r="B304" t="s">
        <v>29</v>
      </c>
      <c r="C304" t="s">
        <v>31</v>
      </c>
      <c r="D304" t="s">
        <v>30</v>
      </c>
      <c r="E304" t="s">
        <v>356</v>
      </c>
      <c r="F304">
        <v>4500219752</v>
      </c>
      <c r="G304" t="s">
        <v>4386</v>
      </c>
      <c r="H304" t="s">
        <v>3334</v>
      </c>
      <c r="I304" t="s">
        <v>771</v>
      </c>
      <c r="J304" t="s">
        <v>184</v>
      </c>
      <c r="K304" s="2">
        <v>699829</v>
      </c>
      <c r="L304" s="2">
        <v>699829</v>
      </c>
      <c r="M304" t="str">
        <f>IFERROR(IF(VLOOKUP(LEFT(B304,2),'Humanitarian codes'!$A$2:$A$10,1,FALSE)=LEFT(B304,2),"Yes","Error"),"No")</f>
        <v>No</v>
      </c>
    </row>
    <row r="305" spans="1:13" x14ac:dyDescent="0.25">
      <c r="A305">
        <v>2022</v>
      </c>
      <c r="B305" t="s">
        <v>29</v>
      </c>
      <c r="C305" t="s">
        <v>31</v>
      </c>
      <c r="D305" t="s">
        <v>30</v>
      </c>
      <c r="E305" t="s">
        <v>356</v>
      </c>
      <c r="F305">
        <v>4500224687</v>
      </c>
      <c r="G305" t="s">
        <v>4387</v>
      </c>
      <c r="H305" t="s">
        <v>3334</v>
      </c>
      <c r="I305" t="s">
        <v>4388</v>
      </c>
      <c r="J305" t="s">
        <v>356</v>
      </c>
      <c r="K305" s="2">
        <v>1950688</v>
      </c>
      <c r="L305" s="2">
        <v>1950688</v>
      </c>
      <c r="M305" t="str">
        <f>IFERROR(IF(VLOOKUP(LEFT(B305,2),'Humanitarian codes'!$A$2:$A$10,1,FALSE)=LEFT(B305,2),"Yes","Error"),"No")</f>
        <v>No</v>
      </c>
    </row>
    <row r="306" spans="1:13" x14ac:dyDescent="0.25">
      <c r="A306">
        <v>2022</v>
      </c>
      <c r="B306" t="s">
        <v>4389</v>
      </c>
      <c r="C306" t="s">
        <v>4390</v>
      </c>
      <c r="D306" t="s">
        <v>30</v>
      </c>
      <c r="E306" t="s">
        <v>493</v>
      </c>
      <c r="F306">
        <v>4500267157</v>
      </c>
      <c r="G306" t="s">
        <v>4391</v>
      </c>
      <c r="H306" t="s">
        <v>3334</v>
      </c>
      <c r="I306" t="s">
        <v>1234</v>
      </c>
      <c r="J306" t="s">
        <v>493</v>
      </c>
      <c r="K306" s="2">
        <v>490000</v>
      </c>
      <c r="L306" s="2">
        <v>490000</v>
      </c>
      <c r="M306" t="str">
        <f>IFERROR(IF(VLOOKUP(LEFT(B306,2),'Humanitarian codes'!$A$2:$A$10,1,FALSE)=LEFT(B306,2),"Yes","Error"),"No")</f>
        <v>No</v>
      </c>
    </row>
    <row r="307" spans="1:13" x14ac:dyDescent="0.25">
      <c r="A307">
        <v>2022</v>
      </c>
      <c r="B307" t="s">
        <v>4389</v>
      </c>
      <c r="C307" t="s">
        <v>4390</v>
      </c>
      <c r="D307" t="s">
        <v>30</v>
      </c>
      <c r="E307" t="s">
        <v>493</v>
      </c>
      <c r="F307">
        <v>4500273403</v>
      </c>
      <c r="G307" t="s">
        <v>4392</v>
      </c>
      <c r="H307" t="s">
        <v>3334</v>
      </c>
      <c r="I307" t="s">
        <v>1233</v>
      </c>
      <c r="J307" t="s">
        <v>493</v>
      </c>
      <c r="K307" s="2">
        <v>495358</v>
      </c>
      <c r="L307" s="2">
        <v>495358</v>
      </c>
      <c r="M307" t="str">
        <f>IFERROR(IF(VLOOKUP(LEFT(B307,2),'Humanitarian codes'!$A$2:$A$10,1,FALSE)=LEFT(B307,2),"Yes","Error"),"No")</f>
        <v>No</v>
      </c>
    </row>
    <row r="308" spans="1:13" x14ac:dyDescent="0.25">
      <c r="A308">
        <v>2022</v>
      </c>
      <c r="B308" t="s">
        <v>4393</v>
      </c>
      <c r="C308" t="s">
        <v>4394</v>
      </c>
      <c r="D308" t="s">
        <v>30</v>
      </c>
      <c r="E308" t="s">
        <v>493</v>
      </c>
      <c r="F308">
        <v>4500188068</v>
      </c>
      <c r="G308" t="s">
        <v>4395</v>
      </c>
      <c r="H308" t="s">
        <v>3334</v>
      </c>
      <c r="I308" t="s">
        <v>1234</v>
      </c>
      <c r="J308" t="s">
        <v>493</v>
      </c>
      <c r="K308" s="2">
        <v>270000</v>
      </c>
      <c r="L308" s="2">
        <v>270000</v>
      </c>
      <c r="M308" t="str">
        <f>IFERROR(IF(VLOOKUP(LEFT(B308,2),'Humanitarian codes'!$A$2:$A$10,1,FALSE)=LEFT(B308,2),"Yes","Error"),"No")</f>
        <v>No</v>
      </c>
    </row>
    <row r="309" spans="1:13" x14ac:dyDescent="0.25">
      <c r="A309">
        <v>2022</v>
      </c>
      <c r="B309" t="s">
        <v>4393</v>
      </c>
      <c r="C309" t="s">
        <v>4394</v>
      </c>
      <c r="D309" t="s">
        <v>30</v>
      </c>
      <c r="E309" t="s">
        <v>493</v>
      </c>
      <c r="F309">
        <v>4500188095</v>
      </c>
      <c r="G309" t="s">
        <v>4396</v>
      </c>
      <c r="H309" t="s">
        <v>3334</v>
      </c>
      <c r="I309" t="s">
        <v>1233</v>
      </c>
      <c r="J309" t="s">
        <v>493</v>
      </c>
      <c r="K309" s="2">
        <v>272285</v>
      </c>
      <c r="L309" s="2">
        <v>272285</v>
      </c>
      <c r="M309" t="str">
        <f>IFERROR(IF(VLOOKUP(LEFT(B309,2),'Humanitarian codes'!$A$2:$A$10,1,FALSE)=LEFT(B309,2),"Yes","Error"),"No")</f>
        <v>No</v>
      </c>
    </row>
    <row r="310" spans="1:13" x14ac:dyDescent="0.25">
      <c r="A310">
        <v>2022</v>
      </c>
      <c r="B310" t="s">
        <v>4397</v>
      </c>
      <c r="C310" t="s">
        <v>4398</v>
      </c>
      <c r="D310" t="s">
        <v>30</v>
      </c>
      <c r="E310" t="s">
        <v>356</v>
      </c>
      <c r="F310">
        <v>4500193668</v>
      </c>
      <c r="G310" t="s">
        <v>4399</v>
      </c>
      <c r="H310" t="s">
        <v>3334</v>
      </c>
      <c r="I310" t="s">
        <v>1574</v>
      </c>
      <c r="J310" t="s">
        <v>356</v>
      </c>
      <c r="K310" s="2">
        <v>832599</v>
      </c>
      <c r="L310" s="2">
        <v>832599</v>
      </c>
      <c r="M310" t="str">
        <f>IFERROR(IF(VLOOKUP(LEFT(B310,2),'Humanitarian codes'!$A$2:$A$10,1,FALSE)=LEFT(B310,2),"Yes","Error"),"No")</f>
        <v>No</v>
      </c>
    </row>
    <row r="311" spans="1:13" x14ac:dyDescent="0.25">
      <c r="A311">
        <v>2022</v>
      </c>
      <c r="B311" t="s">
        <v>4397</v>
      </c>
      <c r="C311" t="s">
        <v>4398</v>
      </c>
      <c r="D311" t="s">
        <v>30</v>
      </c>
      <c r="E311" t="s">
        <v>356</v>
      </c>
      <c r="F311">
        <v>4500193678</v>
      </c>
      <c r="G311" t="s">
        <v>4400</v>
      </c>
      <c r="H311" t="s">
        <v>3334</v>
      </c>
      <c r="I311" t="s">
        <v>1682</v>
      </c>
      <c r="J311" t="s">
        <v>356</v>
      </c>
      <c r="K311" s="2">
        <v>857745</v>
      </c>
      <c r="L311" s="2">
        <v>857745</v>
      </c>
      <c r="M311" t="str">
        <f>IFERROR(IF(VLOOKUP(LEFT(B311,2),'Humanitarian codes'!$A$2:$A$10,1,FALSE)=LEFT(B311,2),"Yes","Error"),"No")</f>
        <v>No</v>
      </c>
    </row>
    <row r="312" spans="1:13" x14ac:dyDescent="0.25">
      <c r="A312">
        <v>2022</v>
      </c>
      <c r="B312" t="s">
        <v>4397</v>
      </c>
      <c r="C312" t="s">
        <v>4398</v>
      </c>
      <c r="D312" t="s">
        <v>30</v>
      </c>
      <c r="E312" t="s">
        <v>356</v>
      </c>
      <c r="F312">
        <v>4500193685</v>
      </c>
      <c r="G312" t="s">
        <v>4401</v>
      </c>
      <c r="H312" t="s">
        <v>3334</v>
      </c>
      <c r="I312" t="s">
        <v>1680</v>
      </c>
      <c r="J312" t="s">
        <v>356</v>
      </c>
      <c r="K312" s="2">
        <v>1722680</v>
      </c>
      <c r="L312" s="2">
        <v>1722680</v>
      </c>
      <c r="M312" t="str">
        <f>IFERROR(IF(VLOOKUP(LEFT(B312,2),'Humanitarian codes'!$A$2:$A$10,1,FALSE)=LEFT(B312,2),"Yes","Error"),"No")</f>
        <v>No</v>
      </c>
    </row>
    <row r="313" spans="1:13" x14ac:dyDescent="0.25">
      <c r="A313">
        <v>2022</v>
      </c>
      <c r="B313" t="s">
        <v>4397</v>
      </c>
      <c r="C313" t="s">
        <v>4398</v>
      </c>
      <c r="D313" t="s">
        <v>30</v>
      </c>
      <c r="E313" t="s">
        <v>356</v>
      </c>
      <c r="F313">
        <v>4500195153</v>
      </c>
      <c r="G313" t="s">
        <v>4402</v>
      </c>
      <c r="H313" t="s">
        <v>3334</v>
      </c>
      <c r="I313" t="s">
        <v>1681</v>
      </c>
      <c r="J313" t="s">
        <v>356</v>
      </c>
      <c r="K313" s="2">
        <v>1156239</v>
      </c>
      <c r="L313" s="2">
        <v>1156239</v>
      </c>
      <c r="M313" t="str">
        <f>IFERROR(IF(VLOOKUP(LEFT(B313,2),'Humanitarian codes'!$A$2:$A$10,1,FALSE)=LEFT(B313,2),"Yes","Error"),"No")</f>
        <v>No</v>
      </c>
    </row>
    <row r="314" spans="1:13" x14ac:dyDescent="0.25">
      <c r="A314">
        <v>2022</v>
      </c>
      <c r="B314" t="s">
        <v>4403</v>
      </c>
      <c r="C314" t="s">
        <v>4404</v>
      </c>
      <c r="D314" t="s">
        <v>30</v>
      </c>
      <c r="E314" t="s">
        <v>1166</v>
      </c>
      <c r="F314">
        <v>4500197595</v>
      </c>
      <c r="G314" t="s">
        <v>4405</v>
      </c>
      <c r="H314" t="s">
        <v>3334</v>
      </c>
      <c r="I314" t="s">
        <v>4406</v>
      </c>
      <c r="J314" t="s">
        <v>4407</v>
      </c>
      <c r="K314" s="2">
        <v>19477</v>
      </c>
      <c r="L314" s="2">
        <v>19477</v>
      </c>
      <c r="M314" t="str">
        <f>IFERROR(IF(VLOOKUP(LEFT(B314,2),'Humanitarian codes'!$A$2:$A$10,1,FALSE)=LEFT(B314,2),"Yes","Error"),"No")</f>
        <v>No</v>
      </c>
    </row>
    <row r="315" spans="1:13" x14ac:dyDescent="0.25">
      <c r="A315">
        <v>2022</v>
      </c>
      <c r="B315" t="s">
        <v>4403</v>
      </c>
      <c r="C315" t="s">
        <v>4404</v>
      </c>
      <c r="D315" t="s">
        <v>30</v>
      </c>
      <c r="E315" t="s">
        <v>1166</v>
      </c>
      <c r="F315">
        <v>4500198151</v>
      </c>
      <c r="G315" t="s">
        <v>4408</v>
      </c>
      <c r="H315" t="s">
        <v>3334</v>
      </c>
      <c r="I315" t="s">
        <v>1688</v>
      </c>
      <c r="J315" t="s">
        <v>4407</v>
      </c>
      <c r="K315" s="2">
        <v>14479</v>
      </c>
      <c r="L315" s="2">
        <v>14479</v>
      </c>
      <c r="M315" t="str">
        <f>IFERROR(IF(VLOOKUP(LEFT(B315,2),'Humanitarian codes'!$A$2:$A$10,1,FALSE)=LEFT(B315,2),"Yes","Error"),"No")</f>
        <v>No</v>
      </c>
    </row>
    <row r="316" spans="1:13" x14ac:dyDescent="0.25">
      <c r="A316">
        <v>2022</v>
      </c>
      <c r="B316" t="s">
        <v>4403</v>
      </c>
      <c r="C316" t="s">
        <v>4404</v>
      </c>
      <c r="D316" t="s">
        <v>30</v>
      </c>
      <c r="E316" t="s">
        <v>1166</v>
      </c>
      <c r="F316">
        <v>4500200387</v>
      </c>
      <c r="G316" t="s">
        <v>4409</v>
      </c>
      <c r="H316" t="s">
        <v>3334</v>
      </c>
      <c r="I316" t="s">
        <v>1689</v>
      </c>
      <c r="J316" t="s">
        <v>4407</v>
      </c>
      <c r="K316" s="2">
        <v>15419</v>
      </c>
      <c r="L316" s="2">
        <v>15419</v>
      </c>
      <c r="M316" t="str">
        <f>IFERROR(IF(VLOOKUP(LEFT(B316,2),'Humanitarian codes'!$A$2:$A$10,1,FALSE)=LEFT(B316,2),"Yes","Error"),"No")</f>
        <v>No</v>
      </c>
    </row>
    <row r="317" spans="1:13" x14ac:dyDescent="0.25">
      <c r="A317">
        <v>2022</v>
      </c>
      <c r="B317" t="s">
        <v>4403</v>
      </c>
      <c r="C317" t="s">
        <v>4404</v>
      </c>
      <c r="D317" t="s">
        <v>30</v>
      </c>
      <c r="E317" t="s">
        <v>1166</v>
      </c>
      <c r="F317">
        <v>4500202914</v>
      </c>
      <c r="G317" t="s">
        <v>4410</v>
      </c>
      <c r="H317" t="s">
        <v>3334</v>
      </c>
      <c r="I317" t="s">
        <v>4411</v>
      </c>
      <c r="J317" t="s">
        <v>4407</v>
      </c>
      <c r="K317" s="2">
        <v>16629</v>
      </c>
      <c r="L317" s="2">
        <v>16629</v>
      </c>
      <c r="M317" t="str">
        <f>IFERROR(IF(VLOOKUP(LEFT(B317,2),'Humanitarian codes'!$A$2:$A$10,1,FALSE)=LEFT(B317,2),"Yes","Error"),"No")</f>
        <v>No</v>
      </c>
    </row>
    <row r="318" spans="1:13" x14ac:dyDescent="0.25">
      <c r="A318">
        <v>2022</v>
      </c>
      <c r="B318" t="s">
        <v>4403</v>
      </c>
      <c r="C318" t="s">
        <v>4404</v>
      </c>
      <c r="D318" t="s">
        <v>30</v>
      </c>
      <c r="E318" t="s">
        <v>1166</v>
      </c>
      <c r="F318">
        <v>4500202978</v>
      </c>
      <c r="G318" t="s">
        <v>4412</v>
      </c>
      <c r="H318" t="s">
        <v>3334</v>
      </c>
      <c r="I318" t="s">
        <v>1945</v>
      </c>
      <c r="J318" t="s">
        <v>4407</v>
      </c>
      <c r="K318" s="2">
        <v>11593</v>
      </c>
      <c r="L318" s="2">
        <v>11593</v>
      </c>
      <c r="M318" t="str">
        <f>IFERROR(IF(VLOOKUP(LEFT(B318,2),'Humanitarian codes'!$A$2:$A$10,1,FALSE)=LEFT(B318,2),"Yes","Error"),"No")</f>
        <v>No</v>
      </c>
    </row>
    <row r="319" spans="1:13" x14ac:dyDescent="0.25">
      <c r="A319">
        <v>2022</v>
      </c>
      <c r="B319" t="s">
        <v>4403</v>
      </c>
      <c r="C319" t="s">
        <v>4404</v>
      </c>
      <c r="D319" t="s">
        <v>30</v>
      </c>
      <c r="E319" t="s">
        <v>1166</v>
      </c>
      <c r="F319">
        <v>4500209291</v>
      </c>
      <c r="G319" t="s">
        <v>4413</v>
      </c>
      <c r="H319" t="s">
        <v>3334</v>
      </c>
      <c r="I319" t="s">
        <v>1687</v>
      </c>
      <c r="J319" t="s">
        <v>4407</v>
      </c>
      <c r="K319" s="2">
        <v>17983</v>
      </c>
      <c r="L319" s="2">
        <v>17983</v>
      </c>
      <c r="M319" t="str">
        <f>IFERROR(IF(VLOOKUP(LEFT(B319,2),'Humanitarian codes'!$A$2:$A$10,1,FALSE)=LEFT(B319,2),"Yes","Error"),"No")</f>
        <v>No</v>
      </c>
    </row>
    <row r="320" spans="1:13" x14ac:dyDescent="0.25">
      <c r="A320">
        <v>2022</v>
      </c>
      <c r="B320" t="s">
        <v>4403</v>
      </c>
      <c r="C320" t="s">
        <v>4404</v>
      </c>
      <c r="D320" t="s">
        <v>30</v>
      </c>
      <c r="E320" t="s">
        <v>1166</v>
      </c>
      <c r="F320">
        <v>4500210690</v>
      </c>
      <c r="G320" t="s">
        <v>4414</v>
      </c>
      <c r="H320" t="s">
        <v>3334</v>
      </c>
      <c r="I320" t="s">
        <v>4415</v>
      </c>
      <c r="J320" t="s">
        <v>4407</v>
      </c>
      <c r="K320" s="2">
        <v>10724</v>
      </c>
      <c r="L320" s="2">
        <v>12772</v>
      </c>
      <c r="M320" t="str">
        <f>IFERROR(IF(VLOOKUP(LEFT(B320,2),'Humanitarian codes'!$A$2:$A$10,1,FALSE)=LEFT(B320,2),"Yes","Error"),"No")</f>
        <v>No</v>
      </c>
    </row>
    <row r="321" spans="1:13" x14ac:dyDescent="0.25">
      <c r="A321">
        <v>2022</v>
      </c>
      <c r="B321" t="s">
        <v>4403</v>
      </c>
      <c r="C321" t="s">
        <v>4404</v>
      </c>
      <c r="D321" t="s">
        <v>30</v>
      </c>
      <c r="E321" t="s">
        <v>1166</v>
      </c>
      <c r="F321">
        <v>4500214691</v>
      </c>
      <c r="G321" t="s">
        <v>4416</v>
      </c>
      <c r="H321" t="s">
        <v>3334</v>
      </c>
      <c r="I321" t="s">
        <v>4417</v>
      </c>
      <c r="J321" t="s">
        <v>4407</v>
      </c>
      <c r="K321" s="2">
        <v>1579</v>
      </c>
      <c r="L321" s="2">
        <v>1579</v>
      </c>
      <c r="M321" t="str">
        <f>IFERROR(IF(VLOOKUP(LEFT(B321,2),'Humanitarian codes'!$A$2:$A$10,1,FALSE)=LEFT(B321,2),"Yes","Error"),"No")</f>
        <v>No</v>
      </c>
    </row>
    <row r="322" spans="1:13" x14ac:dyDescent="0.25">
      <c r="A322">
        <v>2022</v>
      </c>
      <c r="B322" t="s">
        <v>4403</v>
      </c>
      <c r="C322" t="s">
        <v>4404</v>
      </c>
      <c r="D322" t="s">
        <v>30</v>
      </c>
      <c r="E322" t="s">
        <v>1166</v>
      </c>
      <c r="F322">
        <v>4500214814</v>
      </c>
      <c r="G322" t="s">
        <v>4418</v>
      </c>
      <c r="H322" t="s">
        <v>3334</v>
      </c>
      <c r="I322" t="s">
        <v>4419</v>
      </c>
      <c r="J322" t="s">
        <v>4407</v>
      </c>
      <c r="K322" s="2">
        <v>7450</v>
      </c>
      <c r="L322" s="2">
        <v>7450</v>
      </c>
      <c r="M322" t="str">
        <f>IFERROR(IF(VLOOKUP(LEFT(B322,2),'Humanitarian codes'!$A$2:$A$10,1,FALSE)=LEFT(B322,2),"Yes","Error"),"No")</f>
        <v>No</v>
      </c>
    </row>
    <row r="323" spans="1:13" x14ac:dyDescent="0.25">
      <c r="A323">
        <v>2022</v>
      </c>
      <c r="B323" t="s">
        <v>4403</v>
      </c>
      <c r="C323" t="s">
        <v>4404</v>
      </c>
      <c r="D323" t="s">
        <v>30</v>
      </c>
      <c r="E323" t="s">
        <v>1166</v>
      </c>
      <c r="F323">
        <v>4500239176</v>
      </c>
      <c r="G323" t="s">
        <v>4420</v>
      </c>
      <c r="H323" t="s">
        <v>3334</v>
      </c>
      <c r="I323" t="s">
        <v>4421</v>
      </c>
      <c r="J323" t="s">
        <v>4407</v>
      </c>
      <c r="K323" s="2">
        <v>5184</v>
      </c>
      <c r="L323" s="2">
        <v>5184</v>
      </c>
      <c r="M323" t="str">
        <f>IFERROR(IF(VLOOKUP(LEFT(B323,2),'Humanitarian codes'!$A$2:$A$10,1,FALSE)=LEFT(B323,2),"Yes","Error"),"No")</f>
        <v>No</v>
      </c>
    </row>
    <row r="324" spans="1:13" x14ac:dyDescent="0.25">
      <c r="A324">
        <v>2022</v>
      </c>
      <c r="B324" t="s">
        <v>4403</v>
      </c>
      <c r="C324" t="s">
        <v>4404</v>
      </c>
      <c r="D324" t="s">
        <v>30</v>
      </c>
      <c r="E324" t="s">
        <v>1166</v>
      </c>
      <c r="F324">
        <v>4500250484</v>
      </c>
      <c r="G324" t="s">
        <v>4422</v>
      </c>
      <c r="H324" t="s">
        <v>3334</v>
      </c>
      <c r="I324" t="s">
        <v>4423</v>
      </c>
      <c r="J324" t="s">
        <v>4407</v>
      </c>
      <c r="K324" s="2">
        <v>4357</v>
      </c>
      <c r="L324" s="2">
        <v>8710</v>
      </c>
      <c r="M324" t="str">
        <f>IFERROR(IF(VLOOKUP(LEFT(B324,2),'Humanitarian codes'!$A$2:$A$10,1,FALSE)=LEFT(B324,2),"Yes","Error"),"No")</f>
        <v>No</v>
      </c>
    </row>
    <row r="325" spans="1:13" x14ac:dyDescent="0.25">
      <c r="A325">
        <v>2022</v>
      </c>
      <c r="B325" t="s">
        <v>4424</v>
      </c>
      <c r="C325" t="s">
        <v>4425</v>
      </c>
      <c r="D325" t="s">
        <v>30</v>
      </c>
      <c r="E325" t="s">
        <v>261</v>
      </c>
      <c r="F325">
        <v>4500240754</v>
      </c>
      <c r="G325" t="s">
        <v>4426</v>
      </c>
      <c r="H325" t="s">
        <v>3334</v>
      </c>
      <c r="I325" t="s">
        <v>1030</v>
      </c>
      <c r="J325" t="s">
        <v>261</v>
      </c>
      <c r="K325" s="2">
        <v>127848</v>
      </c>
      <c r="L325" s="2">
        <v>127848</v>
      </c>
      <c r="M325" t="str">
        <f>IFERROR(IF(VLOOKUP(LEFT(B325,2),'Humanitarian codes'!$A$2:$A$10,1,FALSE)=LEFT(B325,2),"Yes","Error"),"No")</f>
        <v>No</v>
      </c>
    </row>
    <row r="326" spans="1:13" x14ac:dyDescent="0.25">
      <c r="A326">
        <v>2022</v>
      </c>
      <c r="B326" t="s">
        <v>3374</v>
      </c>
      <c r="C326" t="s">
        <v>3375</v>
      </c>
      <c r="D326" t="s">
        <v>30</v>
      </c>
      <c r="E326" t="s">
        <v>128</v>
      </c>
      <c r="F326">
        <v>4500237394</v>
      </c>
      <c r="G326" t="s">
        <v>4427</v>
      </c>
      <c r="H326" t="s">
        <v>3334</v>
      </c>
      <c r="I326" t="s">
        <v>4428</v>
      </c>
      <c r="J326" t="s">
        <v>128</v>
      </c>
      <c r="K326" s="2">
        <v>111520</v>
      </c>
      <c r="L326" s="2">
        <v>111520</v>
      </c>
      <c r="M326" t="str">
        <f>IFERROR(IF(VLOOKUP(LEFT(B326,2),'Humanitarian codes'!$A$2:$A$10,1,FALSE)=LEFT(B326,2),"Yes","Error"),"No")</f>
        <v>No</v>
      </c>
    </row>
    <row r="327" spans="1:13" x14ac:dyDescent="0.25">
      <c r="A327">
        <v>2022</v>
      </c>
      <c r="B327" t="s">
        <v>2813</v>
      </c>
      <c r="C327" t="s">
        <v>3378</v>
      </c>
      <c r="D327" t="s">
        <v>30</v>
      </c>
      <c r="E327" t="s">
        <v>123</v>
      </c>
      <c r="F327">
        <v>4500260392</v>
      </c>
      <c r="G327" t="s">
        <v>4429</v>
      </c>
      <c r="H327" t="s">
        <v>3334</v>
      </c>
      <c r="I327" t="s">
        <v>4430</v>
      </c>
      <c r="J327" t="s">
        <v>123</v>
      </c>
      <c r="K327" s="2">
        <v>49978</v>
      </c>
      <c r="L327" s="2">
        <v>49978</v>
      </c>
      <c r="M327" t="str">
        <f>IFERROR(IF(VLOOKUP(LEFT(B327,2),'Humanitarian codes'!$A$2:$A$10,1,FALSE)=LEFT(B327,2),"Yes","Error"),"No")</f>
        <v>No</v>
      </c>
    </row>
    <row r="328" spans="1:13" x14ac:dyDescent="0.25">
      <c r="A328">
        <v>2022</v>
      </c>
      <c r="B328" t="s">
        <v>2813</v>
      </c>
      <c r="C328" t="s">
        <v>3378</v>
      </c>
      <c r="D328" t="s">
        <v>30</v>
      </c>
      <c r="E328" t="s">
        <v>123</v>
      </c>
      <c r="F328">
        <v>4500261793</v>
      </c>
      <c r="G328" t="s">
        <v>4431</v>
      </c>
      <c r="H328" t="s">
        <v>3334</v>
      </c>
      <c r="I328" t="s">
        <v>4432</v>
      </c>
      <c r="J328" t="s">
        <v>123</v>
      </c>
      <c r="K328" s="2">
        <v>82888</v>
      </c>
      <c r="L328" s="2">
        <v>82888</v>
      </c>
      <c r="M328" t="str">
        <f>IFERROR(IF(VLOOKUP(LEFT(B328,2),'Humanitarian codes'!$A$2:$A$10,1,FALSE)=LEFT(B328,2),"Yes","Error"),"No")</f>
        <v>No</v>
      </c>
    </row>
    <row r="329" spans="1:13" x14ac:dyDescent="0.25">
      <c r="A329">
        <v>2022</v>
      </c>
      <c r="B329" t="s">
        <v>2813</v>
      </c>
      <c r="C329" t="s">
        <v>3378</v>
      </c>
      <c r="D329" t="s">
        <v>30</v>
      </c>
      <c r="E329" t="s">
        <v>123</v>
      </c>
      <c r="F329">
        <v>4600629234</v>
      </c>
      <c r="G329" t="s">
        <v>4433</v>
      </c>
      <c r="H329" t="s">
        <v>3334</v>
      </c>
      <c r="I329" t="s">
        <v>432</v>
      </c>
      <c r="J329" t="s">
        <v>123</v>
      </c>
      <c r="K329" s="2">
        <v>201720</v>
      </c>
      <c r="L329" s="2">
        <v>201720</v>
      </c>
      <c r="M329" t="str">
        <f>IFERROR(IF(VLOOKUP(LEFT(B329,2),'Humanitarian codes'!$A$2:$A$10,1,FALSE)=LEFT(B329,2),"Yes","Error"),"No")</f>
        <v>No</v>
      </c>
    </row>
    <row r="330" spans="1:13" x14ac:dyDescent="0.25">
      <c r="A330">
        <v>2022</v>
      </c>
      <c r="B330" t="s">
        <v>2813</v>
      </c>
      <c r="C330" t="s">
        <v>3378</v>
      </c>
      <c r="D330" t="s">
        <v>30</v>
      </c>
      <c r="E330" t="s">
        <v>123</v>
      </c>
      <c r="F330">
        <v>4600629262</v>
      </c>
      <c r="G330" t="s">
        <v>4434</v>
      </c>
      <c r="H330" t="s">
        <v>3334</v>
      </c>
      <c r="I330" t="s">
        <v>4435</v>
      </c>
      <c r="J330" t="s">
        <v>123</v>
      </c>
      <c r="K330" s="2">
        <v>20348</v>
      </c>
      <c r="L330" s="2">
        <v>20348</v>
      </c>
      <c r="M330" t="str">
        <f>IFERROR(IF(VLOOKUP(LEFT(B330,2),'Humanitarian codes'!$A$2:$A$10,1,FALSE)=LEFT(B330,2),"Yes","Error"),"No")</f>
        <v>No</v>
      </c>
    </row>
    <row r="331" spans="1:13" x14ac:dyDescent="0.25">
      <c r="A331">
        <v>2022</v>
      </c>
      <c r="B331" t="s">
        <v>4436</v>
      </c>
      <c r="C331" t="s">
        <v>4437</v>
      </c>
      <c r="D331" t="s">
        <v>30</v>
      </c>
      <c r="E331" t="s">
        <v>175</v>
      </c>
      <c r="F331">
        <v>4500262573</v>
      </c>
      <c r="G331" t="s">
        <v>4438</v>
      </c>
      <c r="H331" t="s">
        <v>3334</v>
      </c>
      <c r="I331" t="s">
        <v>390</v>
      </c>
      <c r="J331" t="s">
        <v>175</v>
      </c>
      <c r="K331" s="2">
        <v>577030</v>
      </c>
      <c r="L331" s="2">
        <v>577030</v>
      </c>
      <c r="M331" t="str">
        <f>IFERROR(IF(VLOOKUP(LEFT(B331,2),'Humanitarian codes'!$A$2:$A$10,1,FALSE)=LEFT(B331,2),"Yes","Error"),"No")</f>
        <v>No</v>
      </c>
    </row>
    <row r="332" spans="1:13" x14ac:dyDescent="0.25">
      <c r="A332">
        <v>2022</v>
      </c>
      <c r="B332" t="s">
        <v>4436</v>
      </c>
      <c r="C332" t="s">
        <v>4437</v>
      </c>
      <c r="D332" t="s">
        <v>30</v>
      </c>
      <c r="E332" t="s">
        <v>175</v>
      </c>
      <c r="F332">
        <v>4500264156</v>
      </c>
      <c r="G332" t="s">
        <v>4439</v>
      </c>
      <c r="H332" t="s">
        <v>3334</v>
      </c>
      <c r="I332" t="s">
        <v>182</v>
      </c>
      <c r="J332" t="s">
        <v>175</v>
      </c>
      <c r="K332" s="2">
        <v>587823</v>
      </c>
      <c r="L332" s="2">
        <v>587823</v>
      </c>
      <c r="M332" t="str">
        <f>IFERROR(IF(VLOOKUP(LEFT(B332,2),'Humanitarian codes'!$A$2:$A$10,1,FALSE)=LEFT(B332,2),"Yes","Error"),"No")</f>
        <v>No</v>
      </c>
    </row>
    <row r="333" spans="1:13" x14ac:dyDescent="0.25">
      <c r="A333">
        <v>2022</v>
      </c>
      <c r="B333" t="s">
        <v>3394</v>
      </c>
      <c r="C333" t="s">
        <v>3395</v>
      </c>
      <c r="D333" t="s">
        <v>543</v>
      </c>
      <c r="E333" t="s">
        <v>3396</v>
      </c>
      <c r="F333">
        <v>4500190136</v>
      </c>
      <c r="G333" t="s">
        <v>4440</v>
      </c>
      <c r="H333" t="s">
        <v>3334</v>
      </c>
      <c r="I333" t="s">
        <v>3400</v>
      </c>
      <c r="J333" t="s">
        <v>3396</v>
      </c>
      <c r="K333" s="2">
        <v>37271</v>
      </c>
      <c r="L333" s="2">
        <v>37271</v>
      </c>
      <c r="M333" t="str">
        <f>IFERROR(IF(VLOOKUP(LEFT(B333,2),'Humanitarian codes'!$A$2:$A$10,1,FALSE)=LEFT(B333,2),"Yes","Error"),"No")</f>
        <v>No</v>
      </c>
    </row>
    <row r="334" spans="1:13" x14ac:dyDescent="0.25">
      <c r="A334">
        <v>2022</v>
      </c>
      <c r="B334" t="s">
        <v>3394</v>
      </c>
      <c r="C334" t="s">
        <v>3395</v>
      </c>
      <c r="D334" t="s">
        <v>543</v>
      </c>
      <c r="E334" t="s">
        <v>3396</v>
      </c>
      <c r="F334">
        <v>4500227765</v>
      </c>
      <c r="G334" t="s">
        <v>4441</v>
      </c>
      <c r="H334" t="s">
        <v>3334</v>
      </c>
      <c r="I334" t="s">
        <v>3402</v>
      </c>
      <c r="J334" t="s">
        <v>3396</v>
      </c>
      <c r="K334" s="2">
        <v>9476</v>
      </c>
      <c r="L334" s="2">
        <v>22401</v>
      </c>
      <c r="M334" t="str">
        <f>IFERROR(IF(VLOOKUP(LEFT(B334,2),'Humanitarian codes'!$A$2:$A$10,1,FALSE)=LEFT(B334,2),"Yes","Error"),"No")</f>
        <v>No</v>
      </c>
    </row>
    <row r="335" spans="1:13" x14ac:dyDescent="0.25">
      <c r="A335">
        <v>2022</v>
      </c>
      <c r="B335" t="s">
        <v>3394</v>
      </c>
      <c r="C335" t="s">
        <v>3395</v>
      </c>
      <c r="D335" t="s">
        <v>543</v>
      </c>
      <c r="E335" t="s">
        <v>3396</v>
      </c>
      <c r="F335">
        <v>4500274058</v>
      </c>
      <c r="G335" t="s">
        <v>4442</v>
      </c>
      <c r="H335" t="s">
        <v>3334</v>
      </c>
      <c r="I335" t="s">
        <v>3402</v>
      </c>
      <c r="J335" t="s">
        <v>3396</v>
      </c>
      <c r="K335" s="2">
        <v>92366</v>
      </c>
      <c r="L335" s="2">
        <v>125015</v>
      </c>
      <c r="M335" t="str">
        <f>IFERROR(IF(VLOOKUP(LEFT(B335,2),'Humanitarian codes'!$A$2:$A$10,1,FALSE)=LEFT(B335,2),"Yes","Error"),"No")</f>
        <v>No</v>
      </c>
    </row>
    <row r="336" spans="1:13" x14ac:dyDescent="0.25">
      <c r="A336">
        <v>2022</v>
      </c>
      <c r="B336" t="s">
        <v>4443</v>
      </c>
      <c r="C336" t="s">
        <v>4444</v>
      </c>
      <c r="D336" t="s">
        <v>543</v>
      </c>
      <c r="E336" t="s">
        <v>1106</v>
      </c>
      <c r="F336">
        <v>4500236975</v>
      </c>
      <c r="G336" t="s">
        <v>4445</v>
      </c>
      <c r="H336" t="s">
        <v>3334</v>
      </c>
      <c r="I336" t="s">
        <v>1107</v>
      </c>
      <c r="J336" t="s">
        <v>4446</v>
      </c>
      <c r="K336" s="2">
        <v>54939</v>
      </c>
      <c r="L336" s="2">
        <v>54939</v>
      </c>
      <c r="M336" t="str">
        <f>IFERROR(IF(VLOOKUP(LEFT(B336,2),'Humanitarian codes'!$A$2:$A$10,1,FALSE)=LEFT(B336,2),"Yes","Error"),"No")</f>
        <v>No</v>
      </c>
    </row>
    <row r="337" spans="1:13" x14ac:dyDescent="0.25">
      <c r="A337">
        <v>2022</v>
      </c>
      <c r="B337" t="s">
        <v>4447</v>
      </c>
      <c r="C337" t="s">
        <v>4448</v>
      </c>
      <c r="D337" t="s">
        <v>543</v>
      </c>
      <c r="E337" t="s">
        <v>54</v>
      </c>
      <c r="F337">
        <v>4500200961</v>
      </c>
      <c r="G337" t="s">
        <v>4449</v>
      </c>
      <c r="H337" t="s">
        <v>3334</v>
      </c>
      <c r="I337" t="s">
        <v>2893</v>
      </c>
      <c r="J337" t="s">
        <v>54</v>
      </c>
      <c r="K337" s="2">
        <v>1800</v>
      </c>
      <c r="L337" s="2">
        <v>1800</v>
      </c>
      <c r="M337" t="str">
        <f>IFERROR(IF(VLOOKUP(LEFT(B337,2),'Humanitarian codes'!$A$2:$A$10,1,FALSE)=LEFT(B337,2),"Yes","Error"),"No")</f>
        <v>No</v>
      </c>
    </row>
    <row r="338" spans="1:13" x14ac:dyDescent="0.25">
      <c r="A338">
        <v>2022</v>
      </c>
      <c r="B338" t="s">
        <v>4447</v>
      </c>
      <c r="C338" t="s">
        <v>4448</v>
      </c>
      <c r="D338" t="s">
        <v>543</v>
      </c>
      <c r="E338" t="s">
        <v>54</v>
      </c>
      <c r="F338">
        <v>4500246770</v>
      </c>
      <c r="G338" t="s">
        <v>4450</v>
      </c>
      <c r="H338" t="s">
        <v>3334</v>
      </c>
      <c r="I338" t="s">
        <v>3261</v>
      </c>
      <c r="J338" t="s">
        <v>54</v>
      </c>
      <c r="K338" s="2">
        <v>71355</v>
      </c>
      <c r="L338" s="2">
        <v>118925</v>
      </c>
      <c r="M338" t="str">
        <f>IFERROR(IF(VLOOKUP(LEFT(B338,2),'Humanitarian codes'!$A$2:$A$10,1,FALSE)=LEFT(B338,2),"Yes","Error"),"No")</f>
        <v>No</v>
      </c>
    </row>
    <row r="339" spans="1:13" x14ac:dyDescent="0.25">
      <c r="A339">
        <v>2022</v>
      </c>
      <c r="B339" t="s">
        <v>4447</v>
      </c>
      <c r="C339" t="s">
        <v>4448</v>
      </c>
      <c r="D339" t="s">
        <v>543</v>
      </c>
      <c r="E339" t="s">
        <v>54</v>
      </c>
      <c r="F339">
        <v>4500247185</v>
      </c>
      <c r="G339" t="s">
        <v>4451</v>
      </c>
      <c r="H339" t="s">
        <v>3334</v>
      </c>
      <c r="I339" t="s">
        <v>789</v>
      </c>
      <c r="J339" t="s">
        <v>54</v>
      </c>
      <c r="K339" s="2">
        <v>109850</v>
      </c>
      <c r="L339" s="2">
        <v>132399</v>
      </c>
      <c r="M339" t="str">
        <f>IFERROR(IF(VLOOKUP(LEFT(B339,2),'Humanitarian codes'!$A$2:$A$10,1,FALSE)=LEFT(B339,2),"Yes","Error"),"No")</f>
        <v>No</v>
      </c>
    </row>
    <row r="340" spans="1:13" x14ac:dyDescent="0.25">
      <c r="A340">
        <v>2022</v>
      </c>
      <c r="B340" t="s">
        <v>4447</v>
      </c>
      <c r="C340" t="s">
        <v>4448</v>
      </c>
      <c r="D340" t="s">
        <v>543</v>
      </c>
      <c r="E340" t="s">
        <v>54</v>
      </c>
      <c r="F340">
        <v>4500247189</v>
      </c>
      <c r="G340" t="s">
        <v>4452</v>
      </c>
      <c r="H340" t="s">
        <v>3334</v>
      </c>
      <c r="I340" t="s">
        <v>3257</v>
      </c>
      <c r="J340" t="s">
        <v>54</v>
      </c>
      <c r="K340" s="2">
        <v>5681</v>
      </c>
      <c r="L340" s="2">
        <v>113622</v>
      </c>
      <c r="M340" t="str">
        <f>IFERROR(IF(VLOOKUP(LEFT(B340,2),'Humanitarian codes'!$A$2:$A$10,1,FALSE)=LEFT(B340,2),"Yes","Error"),"No")</f>
        <v>No</v>
      </c>
    </row>
    <row r="341" spans="1:13" x14ac:dyDescent="0.25">
      <c r="A341">
        <v>2022</v>
      </c>
      <c r="B341" t="s">
        <v>2294</v>
      </c>
      <c r="C341" t="s">
        <v>2295</v>
      </c>
      <c r="D341" t="s">
        <v>543</v>
      </c>
      <c r="E341" t="s">
        <v>163</v>
      </c>
      <c r="F341">
        <v>4500181405</v>
      </c>
      <c r="G341" t="s">
        <v>4453</v>
      </c>
      <c r="H341" t="s">
        <v>3334</v>
      </c>
      <c r="I341" t="s">
        <v>4454</v>
      </c>
      <c r="J341" t="s">
        <v>163</v>
      </c>
      <c r="K341" s="2">
        <v>151875</v>
      </c>
      <c r="L341" s="2">
        <v>151875</v>
      </c>
      <c r="M341" t="str">
        <f>IFERROR(IF(VLOOKUP(LEFT(B341,2),'Humanitarian codes'!$A$2:$A$10,1,FALSE)=LEFT(B341,2),"Yes","Error"),"No")</f>
        <v>No</v>
      </c>
    </row>
    <row r="342" spans="1:13" x14ac:dyDescent="0.25">
      <c r="A342">
        <v>2022</v>
      </c>
      <c r="B342" t="s">
        <v>2294</v>
      </c>
      <c r="C342" t="s">
        <v>2295</v>
      </c>
      <c r="D342" t="s">
        <v>543</v>
      </c>
      <c r="E342" t="s">
        <v>163</v>
      </c>
      <c r="F342">
        <v>4500181973</v>
      </c>
      <c r="G342" t="s">
        <v>4455</v>
      </c>
      <c r="H342" t="s">
        <v>3334</v>
      </c>
      <c r="I342" t="s">
        <v>836</v>
      </c>
      <c r="J342" t="s">
        <v>163</v>
      </c>
      <c r="K342" s="2">
        <v>40847</v>
      </c>
      <c r="L342" s="2">
        <v>40847</v>
      </c>
      <c r="M342" t="str">
        <f>IFERROR(IF(VLOOKUP(LEFT(B342,2),'Humanitarian codes'!$A$2:$A$10,1,FALSE)=LEFT(B342,2),"Yes","Error"),"No")</f>
        <v>No</v>
      </c>
    </row>
    <row r="343" spans="1:13" x14ac:dyDescent="0.25">
      <c r="A343">
        <v>2022</v>
      </c>
      <c r="B343" t="s">
        <v>2294</v>
      </c>
      <c r="C343" t="s">
        <v>2295</v>
      </c>
      <c r="D343" t="s">
        <v>543</v>
      </c>
      <c r="E343" t="s">
        <v>163</v>
      </c>
      <c r="F343">
        <v>4500232199</v>
      </c>
      <c r="G343" t="s">
        <v>4456</v>
      </c>
      <c r="H343" t="s">
        <v>3334</v>
      </c>
      <c r="I343" t="s">
        <v>2297</v>
      </c>
      <c r="J343" t="s">
        <v>163</v>
      </c>
      <c r="K343" s="2">
        <v>218152</v>
      </c>
      <c r="L343" s="2">
        <v>218152</v>
      </c>
      <c r="M343" t="str">
        <f>IFERROR(IF(VLOOKUP(LEFT(B343,2),'Humanitarian codes'!$A$2:$A$10,1,FALSE)=LEFT(B343,2),"Yes","Error"),"No")</f>
        <v>No</v>
      </c>
    </row>
    <row r="344" spans="1:13" x14ac:dyDescent="0.25">
      <c r="A344">
        <v>2022</v>
      </c>
      <c r="B344" t="s">
        <v>4457</v>
      </c>
      <c r="C344" t="s">
        <v>4458</v>
      </c>
      <c r="D344" t="s">
        <v>30</v>
      </c>
      <c r="E344" t="s">
        <v>261</v>
      </c>
      <c r="F344">
        <v>4500187160</v>
      </c>
      <c r="G344" t="s">
        <v>4459</v>
      </c>
      <c r="H344" t="s">
        <v>3334</v>
      </c>
      <c r="I344" t="s">
        <v>2980</v>
      </c>
      <c r="J344" t="s">
        <v>261</v>
      </c>
      <c r="K344" s="2">
        <v>20106</v>
      </c>
      <c r="L344" s="2">
        <v>31666</v>
      </c>
      <c r="M344" t="str">
        <f>IFERROR(IF(VLOOKUP(LEFT(B344,2),'Humanitarian codes'!$A$2:$A$10,1,FALSE)=LEFT(B344,2),"Yes","Error"),"No")</f>
        <v>Yes</v>
      </c>
    </row>
    <row r="345" spans="1:13" x14ac:dyDescent="0.25">
      <c r="A345">
        <v>2022</v>
      </c>
      <c r="B345" t="s">
        <v>4460</v>
      </c>
      <c r="C345" t="s">
        <v>4461</v>
      </c>
      <c r="D345" t="s">
        <v>30</v>
      </c>
      <c r="E345" t="s">
        <v>83</v>
      </c>
      <c r="F345">
        <v>4500184530</v>
      </c>
      <c r="G345" t="s">
        <v>4462</v>
      </c>
      <c r="H345" t="s">
        <v>3334</v>
      </c>
      <c r="I345" t="s">
        <v>86</v>
      </c>
      <c r="J345" t="s">
        <v>83</v>
      </c>
      <c r="K345" s="2">
        <v>121048</v>
      </c>
      <c r="L345" s="2">
        <v>305145</v>
      </c>
      <c r="M345" t="str">
        <f>IFERROR(IF(VLOOKUP(LEFT(B345,2),'Humanitarian codes'!$A$2:$A$10,1,FALSE)=LEFT(B345,2),"Yes","Error"),"No")</f>
        <v>Yes</v>
      </c>
    </row>
    <row r="346" spans="1:13" x14ac:dyDescent="0.25">
      <c r="A346">
        <v>2022</v>
      </c>
      <c r="B346" t="s">
        <v>4463</v>
      </c>
      <c r="C346" t="s">
        <v>4464</v>
      </c>
      <c r="D346" t="s">
        <v>30</v>
      </c>
      <c r="E346" t="s">
        <v>1166</v>
      </c>
      <c r="F346">
        <v>4500218603</v>
      </c>
      <c r="G346" t="s">
        <v>4465</v>
      </c>
      <c r="H346" t="s">
        <v>3334</v>
      </c>
      <c r="I346" t="s">
        <v>2301</v>
      </c>
      <c r="J346" t="s">
        <v>4407</v>
      </c>
      <c r="K346" s="2">
        <v>32229</v>
      </c>
      <c r="L346" s="2">
        <v>32229</v>
      </c>
      <c r="M346" t="str">
        <f>IFERROR(IF(VLOOKUP(LEFT(B346,2),'Humanitarian codes'!$A$2:$A$10,1,FALSE)=LEFT(B346,2),"Yes","Error"),"No")</f>
        <v>Yes</v>
      </c>
    </row>
    <row r="347" spans="1:13" x14ac:dyDescent="0.25">
      <c r="A347">
        <v>2022</v>
      </c>
      <c r="B347" t="s">
        <v>4463</v>
      </c>
      <c r="C347" t="s">
        <v>4464</v>
      </c>
      <c r="D347" t="s">
        <v>30</v>
      </c>
      <c r="E347" t="s">
        <v>1166</v>
      </c>
      <c r="F347">
        <v>4500246888</v>
      </c>
      <c r="G347" t="s">
        <v>4466</v>
      </c>
      <c r="H347" t="s">
        <v>3334</v>
      </c>
      <c r="I347" t="s">
        <v>2303</v>
      </c>
      <c r="J347" t="s">
        <v>4407</v>
      </c>
      <c r="K347" s="2">
        <v>8813</v>
      </c>
      <c r="L347" s="2">
        <v>8813</v>
      </c>
      <c r="M347" t="str">
        <f>IFERROR(IF(VLOOKUP(LEFT(B347,2),'Humanitarian codes'!$A$2:$A$10,1,FALSE)=LEFT(B347,2),"Yes","Error"),"No")</f>
        <v>Yes</v>
      </c>
    </row>
    <row r="348" spans="1:13" x14ac:dyDescent="0.25">
      <c r="A348">
        <v>2022</v>
      </c>
      <c r="B348" t="s">
        <v>4467</v>
      </c>
      <c r="C348" t="s">
        <v>4468</v>
      </c>
      <c r="D348" t="s">
        <v>30</v>
      </c>
      <c r="E348" t="s">
        <v>261</v>
      </c>
      <c r="F348">
        <v>4500180110</v>
      </c>
      <c r="G348" t="s">
        <v>3938</v>
      </c>
      <c r="H348" t="s">
        <v>3334</v>
      </c>
      <c r="I348" t="s">
        <v>835</v>
      </c>
      <c r="J348" t="s">
        <v>261</v>
      </c>
      <c r="K348" s="2">
        <v>158793</v>
      </c>
      <c r="L348" s="2">
        <v>158793</v>
      </c>
      <c r="M348" t="str">
        <f>IFERROR(IF(VLOOKUP(LEFT(B348,2),'Humanitarian codes'!$A$2:$A$10,1,FALSE)=LEFT(B348,2),"Yes","Error"),"No")</f>
        <v>Yes</v>
      </c>
    </row>
    <row r="349" spans="1:13" x14ac:dyDescent="0.25">
      <c r="A349">
        <v>2022</v>
      </c>
      <c r="B349" t="s">
        <v>4467</v>
      </c>
      <c r="C349" t="s">
        <v>4468</v>
      </c>
      <c r="D349" t="s">
        <v>30</v>
      </c>
      <c r="E349" t="s">
        <v>261</v>
      </c>
      <c r="F349">
        <v>4500180282</v>
      </c>
      <c r="G349" t="s">
        <v>3938</v>
      </c>
      <c r="H349" t="s">
        <v>3334</v>
      </c>
      <c r="I349" t="s">
        <v>262</v>
      </c>
      <c r="J349" t="s">
        <v>261</v>
      </c>
      <c r="K349" s="2">
        <v>179062</v>
      </c>
      <c r="L349" s="2">
        <v>179062</v>
      </c>
      <c r="M349" t="str">
        <f>IFERROR(IF(VLOOKUP(LEFT(B349,2),'Humanitarian codes'!$A$2:$A$10,1,FALSE)=LEFT(B349,2),"Yes","Error"),"No")</f>
        <v>Yes</v>
      </c>
    </row>
    <row r="350" spans="1:13" x14ac:dyDescent="0.25">
      <c r="A350">
        <v>2022</v>
      </c>
      <c r="B350" t="s">
        <v>4467</v>
      </c>
      <c r="C350" t="s">
        <v>4468</v>
      </c>
      <c r="D350" t="s">
        <v>30</v>
      </c>
      <c r="E350" t="s">
        <v>261</v>
      </c>
      <c r="F350">
        <v>4500180320</v>
      </c>
      <c r="G350" t="s">
        <v>4469</v>
      </c>
      <c r="H350" t="s">
        <v>3334</v>
      </c>
      <c r="I350" t="s">
        <v>4470</v>
      </c>
      <c r="J350" t="s">
        <v>261</v>
      </c>
      <c r="K350" s="2">
        <v>78736</v>
      </c>
      <c r="L350" s="2">
        <v>78736</v>
      </c>
      <c r="M350" t="str">
        <f>IFERROR(IF(VLOOKUP(LEFT(B350,2),'Humanitarian codes'!$A$2:$A$10,1,FALSE)=LEFT(B350,2),"Yes","Error"),"No")</f>
        <v>Yes</v>
      </c>
    </row>
    <row r="351" spans="1:13" x14ac:dyDescent="0.25">
      <c r="A351">
        <v>2022</v>
      </c>
      <c r="B351" t="s">
        <v>4467</v>
      </c>
      <c r="C351" t="s">
        <v>4468</v>
      </c>
      <c r="D351" t="s">
        <v>30</v>
      </c>
      <c r="E351" t="s">
        <v>261</v>
      </c>
      <c r="F351">
        <v>4500180333</v>
      </c>
      <c r="G351" t="s">
        <v>4471</v>
      </c>
      <c r="H351" t="s">
        <v>3334</v>
      </c>
      <c r="I351" t="s">
        <v>4472</v>
      </c>
      <c r="J351" t="s">
        <v>261</v>
      </c>
      <c r="K351" s="2">
        <v>149158</v>
      </c>
      <c r="L351" s="2">
        <v>149158</v>
      </c>
      <c r="M351" t="str">
        <f>IFERROR(IF(VLOOKUP(LEFT(B351,2),'Humanitarian codes'!$A$2:$A$10,1,FALSE)=LEFT(B351,2),"Yes","Error"),"No")</f>
        <v>Yes</v>
      </c>
    </row>
    <row r="352" spans="1:13" x14ac:dyDescent="0.25">
      <c r="A352">
        <v>2022</v>
      </c>
      <c r="B352" t="s">
        <v>4467</v>
      </c>
      <c r="C352" t="s">
        <v>4468</v>
      </c>
      <c r="D352" t="s">
        <v>30</v>
      </c>
      <c r="E352" t="s">
        <v>261</v>
      </c>
      <c r="F352">
        <v>4500180344</v>
      </c>
      <c r="G352" t="s">
        <v>4473</v>
      </c>
      <c r="H352" t="s">
        <v>3334</v>
      </c>
      <c r="I352" t="s">
        <v>4474</v>
      </c>
      <c r="J352" t="s">
        <v>261</v>
      </c>
      <c r="K352" s="2">
        <v>108860</v>
      </c>
      <c r="L352" s="2">
        <v>108860</v>
      </c>
      <c r="M352" t="str">
        <f>IFERROR(IF(VLOOKUP(LEFT(B352,2),'Humanitarian codes'!$A$2:$A$10,1,FALSE)=LEFT(B352,2),"Yes","Error"),"No")</f>
        <v>Yes</v>
      </c>
    </row>
    <row r="353" spans="1:13" x14ac:dyDescent="0.25">
      <c r="A353">
        <v>2022</v>
      </c>
      <c r="B353" t="s">
        <v>4467</v>
      </c>
      <c r="C353" t="s">
        <v>4468</v>
      </c>
      <c r="D353" t="s">
        <v>30</v>
      </c>
      <c r="E353" t="s">
        <v>261</v>
      </c>
      <c r="F353">
        <v>4500183432</v>
      </c>
      <c r="G353" t="s">
        <v>4475</v>
      </c>
      <c r="H353" t="s">
        <v>3334</v>
      </c>
      <c r="I353" t="s">
        <v>2769</v>
      </c>
      <c r="J353" t="s">
        <v>261</v>
      </c>
      <c r="K353" s="2">
        <v>102834</v>
      </c>
      <c r="L353" s="2">
        <v>102834</v>
      </c>
      <c r="M353" t="str">
        <f>IFERROR(IF(VLOOKUP(LEFT(B353,2),'Humanitarian codes'!$A$2:$A$10,1,FALSE)=LEFT(B353,2),"Yes","Error"),"No")</f>
        <v>Yes</v>
      </c>
    </row>
    <row r="354" spans="1:13" x14ac:dyDescent="0.25">
      <c r="A354">
        <v>2022</v>
      </c>
      <c r="B354" t="s">
        <v>4467</v>
      </c>
      <c r="C354" t="s">
        <v>4468</v>
      </c>
      <c r="D354" t="s">
        <v>30</v>
      </c>
      <c r="E354" t="s">
        <v>261</v>
      </c>
      <c r="F354">
        <v>4500183434</v>
      </c>
      <c r="G354" t="s">
        <v>4476</v>
      </c>
      <c r="H354" t="s">
        <v>3334</v>
      </c>
      <c r="I354" t="s">
        <v>4477</v>
      </c>
      <c r="J354" t="s">
        <v>261</v>
      </c>
      <c r="K354" s="2">
        <v>42138</v>
      </c>
      <c r="L354" s="2">
        <v>42138</v>
      </c>
      <c r="M354" t="str">
        <f>IFERROR(IF(VLOOKUP(LEFT(B354,2),'Humanitarian codes'!$A$2:$A$10,1,FALSE)=LEFT(B354,2),"Yes","Error"),"No")</f>
        <v>Yes</v>
      </c>
    </row>
    <row r="355" spans="1:13" x14ac:dyDescent="0.25">
      <c r="A355">
        <v>2022</v>
      </c>
      <c r="B355" t="s">
        <v>4467</v>
      </c>
      <c r="C355" t="s">
        <v>4468</v>
      </c>
      <c r="D355" t="s">
        <v>30</v>
      </c>
      <c r="E355" t="s">
        <v>261</v>
      </c>
      <c r="F355">
        <v>4500183436</v>
      </c>
      <c r="G355" t="s">
        <v>4478</v>
      </c>
      <c r="H355" t="s">
        <v>3334</v>
      </c>
      <c r="I355" t="s">
        <v>754</v>
      </c>
      <c r="J355" t="s">
        <v>261</v>
      </c>
      <c r="K355" s="2">
        <v>68942</v>
      </c>
      <c r="L355" s="2">
        <v>68942</v>
      </c>
      <c r="M355" t="str">
        <f>IFERROR(IF(VLOOKUP(LEFT(B355,2),'Humanitarian codes'!$A$2:$A$10,1,FALSE)=LEFT(B355,2),"Yes","Error"),"No")</f>
        <v>Yes</v>
      </c>
    </row>
    <row r="356" spans="1:13" x14ac:dyDescent="0.25">
      <c r="A356">
        <v>2022</v>
      </c>
      <c r="B356" t="s">
        <v>4467</v>
      </c>
      <c r="C356" t="s">
        <v>4468</v>
      </c>
      <c r="D356" t="s">
        <v>30</v>
      </c>
      <c r="E356" t="s">
        <v>261</v>
      </c>
      <c r="F356">
        <v>4500183531</v>
      </c>
      <c r="G356" t="s">
        <v>4479</v>
      </c>
      <c r="H356" t="s">
        <v>3334</v>
      </c>
      <c r="I356" t="s">
        <v>2980</v>
      </c>
      <c r="J356" t="s">
        <v>261</v>
      </c>
      <c r="K356" s="2">
        <v>123532</v>
      </c>
      <c r="L356" s="2">
        <v>123532</v>
      </c>
      <c r="M356" t="str">
        <f>IFERROR(IF(VLOOKUP(LEFT(B356,2),'Humanitarian codes'!$A$2:$A$10,1,FALSE)=LEFT(B356,2),"Yes","Error"),"No")</f>
        <v>Yes</v>
      </c>
    </row>
    <row r="357" spans="1:13" x14ac:dyDescent="0.25">
      <c r="A357">
        <v>2022</v>
      </c>
      <c r="B357" t="s">
        <v>4467</v>
      </c>
      <c r="C357" t="s">
        <v>4468</v>
      </c>
      <c r="D357" t="s">
        <v>30</v>
      </c>
      <c r="E357" t="s">
        <v>261</v>
      </c>
      <c r="F357">
        <v>4500183532</v>
      </c>
      <c r="G357" t="s">
        <v>4480</v>
      </c>
      <c r="H357" t="s">
        <v>3334</v>
      </c>
      <c r="I357" t="s">
        <v>4481</v>
      </c>
      <c r="J357" t="s">
        <v>261</v>
      </c>
      <c r="K357" s="2">
        <v>49255</v>
      </c>
      <c r="L357" s="2">
        <v>49255</v>
      </c>
      <c r="M357" t="str">
        <f>IFERROR(IF(VLOOKUP(LEFT(B357,2),'Humanitarian codes'!$A$2:$A$10,1,FALSE)=LEFT(B357,2),"Yes","Error"),"No")</f>
        <v>Yes</v>
      </c>
    </row>
    <row r="358" spans="1:13" x14ac:dyDescent="0.25">
      <c r="A358">
        <v>2022</v>
      </c>
      <c r="B358" t="s">
        <v>4467</v>
      </c>
      <c r="C358" t="s">
        <v>4468</v>
      </c>
      <c r="D358" t="s">
        <v>30</v>
      </c>
      <c r="E358" t="s">
        <v>261</v>
      </c>
      <c r="F358">
        <v>4500183533</v>
      </c>
      <c r="G358" t="s">
        <v>4482</v>
      </c>
      <c r="H358" t="s">
        <v>3334</v>
      </c>
      <c r="I358" t="s">
        <v>4483</v>
      </c>
      <c r="J358" t="s">
        <v>261</v>
      </c>
      <c r="K358" s="2">
        <v>88904</v>
      </c>
      <c r="L358" s="2">
        <v>88904</v>
      </c>
      <c r="M358" t="str">
        <f>IFERROR(IF(VLOOKUP(LEFT(B358,2),'Humanitarian codes'!$A$2:$A$10,1,FALSE)=LEFT(B358,2),"Yes","Error"),"No")</f>
        <v>Yes</v>
      </c>
    </row>
    <row r="359" spans="1:13" x14ac:dyDescent="0.25">
      <c r="A359">
        <v>2022</v>
      </c>
      <c r="B359" t="s">
        <v>4467</v>
      </c>
      <c r="C359" t="s">
        <v>4468</v>
      </c>
      <c r="D359" t="s">
        <v>30</v>
      </c>
      <c r="E359" t="s">
        <v>261</v>
      </c>
      <c r="F359">
        <v>4500183535</v>
      </c>
      <c r="G359" t="s">
        <v>4484</v>
      </c>
      <c r="H359" t="s">
        <v>3334</v>
      </c>
      <c r="I359" t="s">
        <v>264</v>
      </c>
      <c r="J359" t="s">
        <v>261</v>
      </c>
      <c r="K359" s="2">
        <v>144642</v>
      </c>
      <c r="L359" s="2">
        <v>144642</v>
      </c>
      <c r="M359" t="str">
        <f>IFERROR(IF(VLOOKUP(LEFT(B359,2),'Humanitarian codes'!$A$2:$A$10,1,FALSE)=LEFT(B359,2),"Yes","Error"),"No")</f>
        <v>Yes</v>
      </c>
    </row>
    <row r="360" spans="1:13" x14ac:dyDescent="0.25">
      <c r="A360">
        <v>2022</v>
      </c>
      <c r="B360" t="s">
        <v>4467</v>
      </c>
      <c r="C360" t="s">
        <v>4468</v>
      </c>
      <c r="D360" t="s">
        <v>30</v>
      </c>
      <c r="E360" t="s">
        <v>261</v>
      </c>
      <c r="F360">
        <v>4500183537</v>
      </c>
      <c r="G360" t="s">
        <v>4485</v>
      </c>
      <c r="H360" t="s">
        <v>3334</v>
      </c>
      <c r="I360" t="s">
        <v>3127</v>
      </c>
      <c r="J360" t="s">
        <v>261</v>
      </c>
      <c r="K360" s="2">
        <v>314393</v>
      </c>
      <c r="L360" s="2">
        <v>314393</v>
      </c>
      <c r="M360" t="str">
        <f>IFERROR(IF(VLOOKUP(LEFT(B360,2),'Humanitarian codes'!$A$2:$A$10,1,FALSE)=LEFT(B360,2),"Yes","Error"),"No")</f>
        <v>Yes</v>
      </c>
    </row>
    <row r="361" spans="1:13" x14ac:dyDescent="0.25">
      <c r="A361">
        <v>2022</v>
      </c>
      <c r="B361" t="s">
        <v>4467</v>
      </c>
      <c r="C361" t="s">
        <v>4468</v>
      </c>
      <c r="D361" t="s">
        <v>30</v>
      </c>
      <c r="E361" t="s">
        <v>261</v>
      </c>
      <c r="F361">
        <v>4500183540</v>
      </c>
      <c r="G361" t="s">
        <v>4486</v>
      </c>
      <c r="H361" t="s">
        <v>3334</v>
      </c>
      <c r="I361" t="s">
        <v>3997</v>
      </c>
      <c r="J361" t="s">
        <v>261</v>
      </c>
      <c r="K361" s="2">
        <v>94422</v>
      </c>
      <c r="L361" s="2">
        <v>94422</v>
      </c>
      <c r="M361" t="str">
        <f>IFERROR(IF(VLOOKUP(LEFT(B361,2),'Humanitarian codes'!$A$2:$A$10,1,FALSE)=LEFT(B361,2),"Yes","Error"),"No")</f>
        <v>Yes</v>
      </c>
    </row>
    <row r="362" spans="1:13" x14ac:dyDescent="0.25">
      <c r="A362">
        <v>2022</v>
      </c>
      <c r="B362" t="s">
        <v>4467</v>
      </c>
      <c r="C362" t="s">
        <v>4468</v>
      </c>
      <c r="D362" t="s">
        <v>30</v>
      </c>
      <c r="E362" t="s">
        <v>261</v>
      </c>
      <c r="F362">
        <v>4500183755</v>
      </c>
      <c r="G362" t="s">
        <v>4487</v>
      </c>
      <c r="H362" t="s">
        <v>3334</v>
      </c>
      <c r="I362" t="s">
        <v>4488</v>
      </c>
      <c r="J362" t="s">
        <v>261</v>
      </c>
      <c r="K362" s="2">
        <v>113886</v>
      </c>
      <c r="L362" s="2">
        <v>113886</v>
      </c>
      <c r="M362" t="str">
        <f>IFERROR(IF(VLOOKUP(LEFT(B362,2),'Humanitarian codes'!$A$2:$A$10,1,FALSE)=LEFT(B362,2),"Yes","Error"),"No")</f>
        <v>Yes</v>
      </c>
    </row>
    <row r="363" spans="1:13" x14ac:dyDescent="0.25">
      <c r="A363">
        <v>2022</v>
      </c>
      <c r="B363" t="s">
        <v>4467</v>
      </c>
      <c r="C363" t="s">
        <v>4468</v>
      </c>
      <c r="D363" t="s">
        <v>30</v>
      </c>
      <c r="E363" t="s">
        <v>261</v>
      </c>
      <c r="F363">
        <v>4500183762</v>
      </c>
      <c r="G363" t="s">
        <v>4489</v>
      </c>
      <c r="H363" t="s">
        <v>3334</v>
      </c>
      <c r="I363" t="s">
        <v>2981</v>
      </c>
      <c r="J363" t="s">
        <v>261</v>
      </c>
      <c r="K363" s="2">
        <v>438994</v>
      </c>
      <c r="L363" s="2">
        <v>438994</v>
      </c>
      <c r="M363" t="str">
        <f>IFERROR(IF(VLOOKUP(LEFT(B363,2),'Humanitarian codes'!$A$2:$A$10,1,FALSE)=LEFT(B363,2),"Yes","Error"),"No")</f>
        <v>Yes</v>
      </c>
    </row>
    <row r="364" spans="1:13" x14ac:dyDescent="0.25">
      <c r="A364">
        <v>2022</v>
      </c>
      <c r="B364" t="s">
        <v>4467</v>
      </c>
      <c r="C364" t="s">
        <v>4468</v>
      </c>
      <c r="D364" t="s">
        <v>30</v>
      </c>
      <c r="E364" t="s">
        <v>261</v>
      </c>
      <c r="F364">
        <v>4500183765</v>
      </c>
      <c r="G364" t="s">
        <v>4490</v>
      </c>
      <c r="H364" t="s">
        <v>3334</v>
      </c>
      <c r="I364" t="s">
        <v>4491</v>
      </c>
      <c r="J364" t="s">
        <v>261</v>
      </c>
      <c r="K364" s="2">
        <v>84456</v>
      </c>
      <c r="L364" s="2">
        <v>84456</v>
      </c>
      <c r="M364" t="str">
        <f>IFERROR(IF(VLOOKUP(LEFT(B364,2),'Humanitarian codes'!$A$2:$A$10,1,FALSE)=LEFT(B364,2),"Yes","Error"),"No")</f>
        <v>Yes</v>
      </c>
    </row>
    <row r="365" spans="1:13" x14ac:dyDescent="0.25">
      <c r="A365">
        <v>2022</v>
      </c>
      <c r="B365" t="s">
        <v>4467</v>
      </c>
      <c r="C365" t="s">
        <v>4468</v>
      </c>
      <c r="D365" t="s">
        <v>30</v>
      </c>
      <c r="E365" t="s">
        <v>261</v>
      </c>
      <c r="F365">
        <v>4500183771</v>
      </c>
      <c r="G365" t="s">
        <v>4492</v>
      </c>
      <c r="H365" t="s">
        <v>3334</v>
      </c>
      <c r="I365" t="s">
        <v>4493</v>
      </c>
      <c r="J365" t="s">
        <v>261</v>
      </c>
      <c r="K365" s="2">
        <v>249990</v>
      </c>
      <c r="L365" s="2">
        <v>249990</v>
      </c>
      <c r="M365" t="str">
        <f>IFERROR(IF(VLOOKUP(LEFT(B365,2),'Humanitarian codes'!$A$2:$A$10,1,FALSE)=LEFT(B365,2),"Yes","Error"),"No")</f>
        <v>Yes</v>
      </c>
    </row>
    <row r="366" spans="1:13" x14ac:dyDescent="0.25">
      <c r="A366">
        <v>2022</v>
      </c>
      <c r="B366" t="s">
        <v>4467</v>
      </c>
      <c r="C366" t="s">
        <v>4468</v>
      </c>
      <c r="D366" t="s">
        <v>30</v>
      </c>
      <c r="E366" t="s">
        <v>261</v>
      </c>
      <c r="F366">
        <v>4500183773</v>
      </c>
      <c r="G366" t="s">
        <v>4494</v>
      </c>
      <c r="H366" t="s">
        <v>3334</v>
      </c>
      <c r="I366" t="s">
        <v>2984</v>
      </c>
      <c r="J366" t="s">
        <v>261</v>
      </c>
      <c r="K366" s="2">
        <v>739497</v>
      </c>
      <c r="L366" s="2">
        <v>739497</v>
      </c>
      <c r="M366" t="str">
        <f>IFERROR(IF(VLOOKUP(LEFT(B366,2),'Humanitarian codes'!$A$2:$A$10,1,FALSE)=LEFT(B366,2),"Yes","Error"),"No")</f>
        <v>Yes</v>
      </c>
    </row>
    <row r="367" spans="1:13" x14ac:dyDescent="0.25">
      <c r="A367">
        <v>2022</v>
      </c>
      <c r="B367" t="s">
        <v>4467</v>
      </c>
      <c r="C367" t="s">
        <v>4468</v>
      </c>
      <c r="D367" t="s">
        <v>30</v>
      </c>
      <c r="E367" t="s">
        <v>261</v>
      </c>
      <c r="F367">
        <v>4500183780</v>
      </c>
      <c r="G367" t="s">
        <v>4495</v>
      </c>
      <c r="H367" t="s">
        <v>3334</v>
      </c>
      <c r="I367" t="s">
        <v>262</v>
      </c>
      <c r="J367" t="s">
        <v>261</v>
      </c>
      <c r="K367" s="2">
        <v>100215</v>
      </c>
      <c r="L367" s="2">
        <v>100215</v>
      </c>
      <c r="M367" t="str">
        <f>IFERROR(IF(VLOOKUP(LEFT(B367,2),'Humanitarian codes'!$A$2:$A$10,1,FALSE)=LEFT(B367,2),"Yes","Error"),"No")</f>
        <v>Yes</v>
      </c>
    </row>
    <row r="368" spans="1:13" x14ac:dyDescent="0.25">
      <c r="A368">
        <v>2022</v>
      </c>
      <c r="B368" t="s">
        <v>4467</v>
      </c>
      <c r="C368" t="s">
        <v>4468</v>
      </c>
      <c r="D368" t="s">
        <v>30</v>
      </c>
      <c r="E368" t="s">
        <v>261</v>
      </c>
      <c r="F368">
        <v>4500184189</v>
      </c>
      <c r="G368" t="s">
        <v>4496</v>
      </c>
      <c r="H368" t="s">
        <v>3334</v>
      </c>
      <c r="I368" t="s">
        <v>3998</v>
      </c>
      <c r="J368" t="s">
        <v>261</v>
      </c>
      <c r="K368" s="2">
        <v>24181</v>
      </c>
      <c r="L368" s="2">
        <v>24181</v>
      </c>
      <c r="M368" t="str">
        <f>IFERROR(IF(VLOOKUP(LEFT(B368,2),'Humanitarian codes'!$A$2:$A$10,1,FALSE)=LEFT(B368,2),"Yes","Error"),"No")</f>
        <v>Yes</v>
      </c>
    </row>
    <row r="369" spans="1:13" x14ac:dyDescent="0.25">
      <c r="A369">
        <v>2022</v>
      </c>
      <c r="B369" t="s">
        <v>4467</v>
      </c>
      <c r="C369" t="s">
        <v>4468</v>
      </c>
      <c r="D369" t="s">
        <v>30</v>
      </c>
      <c r="E369" t="s">
        <v>261</v>
      </c>
      <c r="F369">
        <v>4500187160</v>
      </c>
      <c r="G369" t="s">
        <v>4459</v>
      </c>
      <c r="H369" t="s">
        <v>3334</v>
      </c>
      <c r="I369" t="s">
        <v>2980</v>
      </c>
      <c r="J369" t="s">
        <v>261</v>
      </c>
      <c r="K369" s="2">
        <v>11561</v>
      </c>
      <c r="L369" s="2">
        <v>31666</v>
      </c>
      <c r="M369" t="str">
        <f>IFERROR(IF(VLOOKUP(LEFT(B369,2),'Humanitarian codes'!$A$2:$A$10,1,FALSE)=LEFT(B369,2),"Yes","Error"),"No")</f>
        <v>Yes</v>
      </c>
    </row>
    <row r="370" spans="1:13" x14ac:dyDescent="0.25">
      <c r="A370">
        <v>2022</v>
      </c>
      <c r="B370" t="s">
        <v>4467</v>
      </c>
      <c r="C370" t="s">
        <v>4468</v>
      </c>
      <c r="D370" t="s">
        <v>30</v>
      </c>
      <c r="E370" t="s">
        <v>261</v>
      </c>
      <c r="F370">
        <v>4500206654</v>
      </c>
      <c r="G370" t="s">
        <v>4497</v>
      </c>
      <c r="H370" t="s">
        <v>3334</v>
      </c>
      <c r="I370" t="s">
        <v>2384</v>
      </c>
      <c r="J370" t="s">
        <v>261</v>
      </c>
      <c r="K370" s="2">
        <v>37422</v>
      </c>
      <c r="L370" s="2">
        <v>37422</v>
      </c>
      <c r="M370" t="str">
        <f>IFERROR(IF(VLOOKUP(LEFT(B370,2),'Humanitarian codes'!$A$2:$A$10,1,FALSE)=LEFT(B370,2),"Yes","Error"),"No")</f>
        <v>Yes</v>
      </c>
    </row>
    <row r="371" spans="1:13" x14ac:dyDescent="0.25">
      <c r="A371">
        <v>2022</v>
      </c>
      <c r="B371" t="s">
        <v>4467</v>
      </c>
      <c r="C371" t="s">
        <v>4468</v>
      </c>
      <c r="D371" t="s">
        <v>30</v>
      </c>
      <c r="E371" t="s">
        <v>261</v>
      </c>
      <c r="F371">
        <v>4500206675</v>
      </c>
      <c r="G371" t="s">
        <v>4498</v>
      </c>
      <c r="H371" t="s">
        <v>3334</v>
      </c>
      <c r="I371" t="s">
        <v>264</v>
      </c>
      <c r="J371" t="s">
        <v>261</v>
      </c>
      <c r="K371" s="2">
        <v>49210</v>
      </c>
      <c r="L371" s="2">
        <v>49210</v>
      </c>
      <c r="M371" t="str">
        <f>IFERROR(IF(VLOOKUP(LEFT(B371,2),'Humanitarian codes'!$A$2:$A$10,1,FALSE)=LEFT(B371,2),"Yes","Error"),"No")</f>
        <v>Yes</v>
      </c>
    </row>
    <row r="372" spans="1:13" x14ac:dyDescent="0.25">
      <c r="A372">
        <v>2022</v>
      </c>
      <c r="B372" t="s">
        <v>4467</v>
      </c>
      <c r="C372" t="s">
        <v>4468</v>
      </c>
      <c r="D372" t="s">
        <v>30</v>
      </c>
      <c r="E372" t="s">
        <v>261</v>
      </c>
      <c r="F372">
        <v>4500234504</v>
      </c>
      <c r="G372" t="s">
        <v>4499</v>
      </c>
      <c r="H372" t="s">
        <v>3334</v>
      </c>
      <c r="I372" t="s">
        <v>262</v>
      </c>
      <c r="J372" t="s">
        <v>261</v>
      </c>
      <c r="K372" s="2">
        <v>392965</v>
      </c>
      <c r="L372" s="2">
        <v>392965</v>
      </c>
      <c r="M372" t="str">
        <f>IFERROR(IF(VLOOKUP(LEFT(B372,2),'Humanitarian codes'!$A$2:$A$10,1,FALSE)=LEFT(B372,2),"Yes","Error"),"No")</f>
        <v>Yes</v>
      </c>
    </row>
    <row r="373" spans="1:13" x14ac:dyDescent="0.25">
      <c r="A373">
        <v>2022</v>
      </c>
      <c r="B373" t="s">
        <v>4467</v>
      </c>
      <c r="C373" t="s">
        <v>4468</v>
      </c>
      <c r="D373" t="s">
        <v>30</v>
      </c>
      <c r="E373" t="s">
        <v>261</v>
      </c>
      <c r="F373">
        <v>4500234505</v>
      </c>
      <c r="G373" t="s">
        <v>4500</v>
      </c>
      <c r="H373" t="s">
        <v>3334</v>
      </c>
      <c r="I373" t="s">
        <v>4483</v>
      </c>
      <c r="J373" t="s">
        <v>261</v>
      </c>
      <c r="K373" s="2">
        <v>187558</v>
      </c>
      <c r="L373" s="2">
        <v>187558</v>
      </c>
      <c r="M373" t="str">
        <f>IFERROR(IF(VLOOKUP(LEFT(B373,2),'Humanitarian codes'!$A$2:$A$10,1,FALSE)=LEFT(B373,2),"Yes","Error"),"No")</f>
        <v>Yes</v>
      </c>
    </row>
    <row r="374" spans="1:13" x14ac:dyDescent="0.25">
      <c r="A374">
        <v>2022</v>
      </c>
      <c r="B374" t="s">
        <v>4467</v>
      </c>
      <c r="C374" t="s">
        <v>4468</v>
      </c>
      <c r="D374" t="s">
        <v>30</v>
      </c>
      <c r="E374" t="s">
        <v>261</v>
      </c>
      <c r="F374">
        <v>4500234802</v>
      </c>
      <c r="G374" t="s">
        <v>4501</v>
      </c>
      <c r="H374" t="s">
        <v>3334</v>
      </c>
      <c r="I374" t="s">
        <v>4481</v>
      </c>
      <c r="J374" t="s">
        <v>261</v>
      </c>
      <c r="K374" s="2">
        <v>119007</v>
      </c>
      <c r="L374" s="2">
        <v>119007</v>
      </c>
      <c r="M374" t="str">
        <f>IFERROR(IF(VLOOKUP(LEFT(B374,2),'Humanitarian codes'!$A$2:$A$10,1,FALSE)=LEFT(B374,2),"Yes","Error"),"No")</f>
        <v>Yes</v>
      </c>
    </row>
    <row r="375" spans="1:13" x14ac:dyDescent="0.25">
      <c r="A375">
        <v>2022</v>
      </c>
      <c r="B375" t="s">
        <v>4467</v>
      </c>
      <c r="C375" t="s">
        <v>4468</v>
      </c>
      <c r="D375" t="s">
        <v>30</v>
      </c>
      <c r="E375" t="s">
        <v>261</v>
      </c>
      <c r="F375">
        <v>4500235894</v>
      </c>
      <c r="G375" t="s">
        <v>4502</v>
      </c>
      <c r="H375" t="s">
        <v>3334</v>
      </c>
      <c r="I375" t="s">
        <v>4493</v>
      </c>
      <c r="J375" t="s">
        <v>261</v>
      </c>
      <c r="K375" s="2">
        <v>147138</v>
      </c>
      <c r="L375" s="2">
        <v>147138</v>
      </c>
      <c r="M375" t="str">
        <f>IFERROR(IF(VLOOKUP(LEFT(B375,2),'Humanitarian codes'!$A$2:$A$10,1,FALSE)=LEFT(B375,2),"Yes","Error"),"No")</f>
        <v>Yes</v>
      </c>
    </row>
    <row r="376" spans="1:13" x14ac:dyDescent="0.25">
      <c r="A376">
        <v>2022</v>
      </c>
      <c r="B376" t="s">
        <v>4467</v>
      </c>
      <c r="C376" t="s">
        <v>4468</v>
      </c>
      <c r="D376" t="s">
        <v>30</v>
      </c>
      <c r="E376" t="s">
        <v>261</v>
      </c>
      <c r="F376">
        <v>4500235962</v>
      </c>
      <c r="G376" t="s">
        <v>4503</v>
      </c>
      <c r="H376" t="s">
        <v>3334</v>
      </c>
      <c r="I376" t="s">
        <v>2769</v>
      </c>
      <c r="J376" t="s">
        <v>261</v>
      </c>
      <c r="K376" s="2">
        <v>215237</v>
      </c>
      <c r="L376" s="2">
        <v>215237</v>
      </c>
      <c r="M376" t="str">
        <f>IFERROR(IF(VLOOKUP(LEFT(B376,2),'Humanitarian codes'!$A$2:$A$10,1,FALSE)=LEFT(B376,2),"Yes","Error"),"No")</f>
        <v>Yes</v>
      </c>
    </row>
    <row r="377" spans="1:13" x14ac:dyDescent="0.25">
      <c r="A377">
        <v>2022</v>
      </c>
      <c r="B377" t="s">
        <v>4467</v>
      </c>
      <c r="C377" t="s">
        <v>4468</v>
      </c>
      <c r="D377" t="s">
        <v>30</v>
      </c>
      <c r="E377" t="s">
        <v>261</v>
      </c>
      <c r="F377">
        <v>4500236869</v>
      </c>
      <c r="G377" t="s">
        <v>4504</v>
      </c>
      <c r="H377" t="s">
        <v>3334</v>
      </c>
      <c r="I377" t="s">
        <v>2986</v>
      </c>
      <c r="J377" t="s">
        <v>261</v>
      </c>
      <c r="K377" s="2">
        <v>295494</v>
      </c>
      <c r="L377" s="2">
        <v>295494</v>
      </c>
      <c r="M377" t="str">
        <f>IFERROR(IF(VLOOKUP(LEFT(B377,2),'Humanitarian codes'!$A$2:$A$10,1,FALSE)=LEFT(B377,2),"Yes","Error"),"No")</f>
        <v>Yes</v>
      </c>
    </row>
    <row r="378" spans="1:13" x14ac:dyDescent="0.25">
      <c r="A378">
        <v>2022</v>
      </c>
      <c r="B378" t="s">
        <v>4467</v>
      </c>
      <c r="C378" t="s">
        <v>4468</v>
      </c>
      <c r="D378" t="s">
        <v>30</v>
      </c>
      <c r="E378" t="s">
        <v>261</v>
      </c>
      <c r="F378">
        <v>4500236872</v>
      </c>
      <c r="G378" t="s">
        <v>4505</v>
      </c>
      <c r="H378" t="s">
        <v>3334</v>
      </c>
      <c r="I378" t="s">
        <v>4474</v>
      </c>
      <c r="J378" t="s">
        <v>261</v>
      </c>
      <c r="K378" s="2">
        <v>373316</v>
      </c>
      <c r="L378" s="2">
        <v>373316</v>
      </c>
      <c r="M378" t="str">
        <f>IFERROR(IF(VLOOKUP(LEFT(B378,2),'Humanitarian codes'!$A$2:$A$10,1,FALSE)=LEFT(B378,2),"Yes","Error"),"No")</f>
        <v>Yes</v>
      </c>
    </row>
    <row r="379" spans="1:13" x14ac:dyDescent="0.25">
      <c r="A379">
        <v>2022</v>
      </c>
      <c r="B379" t="s">
        <v>4467</v>
      </c>
      <c r="C379" t="s">
        <v>4468</v>
      </c>
      <c r="D379" t="s">
        <v>30</v>
      </c>
      <c r="E379" t="s">
        <v>261</v>
      </c>
      <c r="F379">
        <v>4500237308</v>
      </c>
      <c r="G379" t="s">
        <v>4506</v>
      </c>
      <c r="H379" t="s">
        <v>3334</v>
      </c>
      <c r="I379" t="s">
        <v>2981</v>
      </c>
      <c r="J379" t="s">
        <v>261</v>
      </c>
      <c r="K379" s="2">
        <v>590254</v>
      </c>
      <c r="L379" s="2">
        <v>590254</v>
      </c>
      <c r="M379" t="str">
        <f>IFERROR(IF(VLOOKUP(LEFT(B379,2),'Humanitarian codes'!$A$2:$A$10,1,FALSE)=LEFT(B379,2),"Yes","Error"),"No")</f>
        <v>Yes</v>
      </c>
    </row>
    <row r="380" spans="1:13" x14ac:dyDescent="0.25">
      <c r="A380">
        <v>2022</v>
      </c>
      <c r="B380" t="s">
        <v>4467</v>
      </c>
      <c r="C380" t="s">
        <v>4468</v>
      </c>
      <c r="D380" t="s">
        <v>30</v>
      </c>
      <c r="E380" t="s">
        <v>261</v>
      </c>
      <c r="F380">
        <v>4500237349</v>
      </c>
      <c r="G380" t="s">
        <v>4507</v>
      </c>
      <c r="H380" t="s">
        <v>3334</v>
      </c>
      <c r="I380" t="s">
        <v>2980</v>
      </c>
      <c r="J380" t="s">
        <v>261</v>
      </c>
      <c r="K380" s="2">
        <v>261745</v>
      </c>
      <c r="L380" s="2">
        <v>261745</v>
      </c>
      <c r="M380" t="str">
        <f>IFERROR(IF(VLOOKUP(LEFT(B380,2),'Humanitarian codes'!$A$2:$A$10,1,FALSE)=LEFT(B380,2),"Yes","Error"),"No")</f>
        <v>Yes</v>
      </c>
    </row>
    <row r="381" spans="1:13" x14ac:dyDescent="0.25">
      <c r="A381">
        <v>2022</v>
      </c>
      <c r="B381" t="s">
        <v>4467</v>
      </c>
      <c r="C381" t="s">
        <v>4468</v>
      </c>
      <c r="D381" t="s">
        <v>30</v>
      </c>
      <c r="E381" t="s">
        <v>261</v>
      </c>
      <c r="F381">
        <v>4500237709</v>
      </c>
      <c r="G381" t="s">
        <v>4508</v>
      </c>
      <c r="H381" t="s">
        <v>3334</v>
      </c>
      <c r="I381" t="s">
        <v>2529</v>
      </c>
      <c r="J381" t="s">
        <v>261</v>
      </c>
      <c r="K381" s="2">
        <v>510553</v>
      </c>
      <c r="L381" s="2">
        <v>510553</v>
      </c>
      <c r="M381" t="str">
        <f>IFERROR(IF(VLOOKUP(LEFT(B381,2),'Humanitarian codes'!$A$2:$A$10,1,FALSE)=LEFT(B381,2),"Yes","Error"),"No")</f>
        <v>Yes</v>
      </c>
    </row>
    <row r="382" spans="1:13" x14ac:dyDescent="0.25">
      <c r="A382">
        <v>2022</v>
      </c>
      <c r="B382" t="s">
        <v>4467</v>
      </c>
      <c r="C382" t="s">
        <v>4468</v>
      </c>
      <c r="D382" t="s">
        <v>30</v>
      </c>
      <c r="E382" t="s">
        <v>261</v>
      </c>
      <c r="F382">
        <v>4500238084</v>
      </c>
      <c r="G382" t="s">
        <v>4509</v>
      </c>
      <c r="H382" t="s">
        <v>3334</v>
      </c>
      <c r="I382" t="s">
        <v>264</v>
      </c>
      <c r="J382" t="s">
        <v>261</v>
      </c>
      <c r="K382" s="2">
        <v>147988</v>
      </c>
      <c r="L382" s="2">
        <v>147988</v>
      </c>
      <c r="M382" t="str">
        <f>IFERROR(IF(VLOOKUP(LEFT(B382,2),'Humanitarian codes'!$A$2:$A$10,1,FALSE)=LEFT(B382,2),"Yes","Error"),"No")</f>
        <v>Yes</v>
      </c>
    </row>
    <row r="383" spans="1:13" x14ac:dyDescent="0.25">
      <c r="A383">
        <v>2022</v>
      </c>
      <c r="B383" t="s">
        <v>4467</v>
      </c>
      <c r="C383" t="s">
        <v>4468</v>
      </c>
      <c r="D383" t="s">
        <v>30</v>
      </c>
      <c r="E383" t="s">
        <v>261</v>
      </c>
      <c r="F383">
        <v>4500238095</v>
      </c>
      <c r="G383" t="s">
        <v>4510</v>
      </c>
      <c r="H383" t="s">
        <v>3334</v>
      </c>
      <c r="I383" t="s">
        <v>2980</v>
      </c>
      <c r="J383" t="s">
        <v>261</v>
      </c>
      <c r="K383" s="2">
        <v>218393</v>
      </c>
      <c r="L383" s="2">
        <v>218393</v>
      </c>
      <c r="M383" t="str">
        <f>IFERROR(IF(VLOOKUP(LEFT(B383,2),'Humanitarian codes'!$A$2:$A$10,1,FALSE)=LEFT(B383,2),"Yes","Error"),"No")</f>
        <v>Yes</v>
      </c>
    </row>
    <row r="384" spans="1:13" x14ac:dyDescent="0.25">
      <c r="A384">
        <v>2022</v>
      </c>
      <c r="B384" t="s">
        <v>4467</v>
      </c>
      <c r="C384" t="s">
        <v>4468</v>
      </c>
      <c r="D384" t="s">
        <v>30</v>
      </c>
      <c r="E384" t="s">
        <v>261</v>
      </c>
      <c r="F384">
        <v>4500241210</v>
      </c>
      <c r="G384" t="s">
        <v>4511</v>
      </c>
      <c r="H384" t="s">
        <v>3334</v>
      </c>
      <c r="I384" t="s">
        <v>264</v>
      </c>
      <c r="J384" t="s">
        <v>261</v>
      </c>
      <c r="K384" s="2">
        <v>130170</v>
      </c>
      <c r="L384" s="2">
        <v>130170</v>
      </c>
      <c r="M384" t="str">
        <f>IFERROR(IF(VLOOKUP(LEFT(B384,2),'Humanitarian codes'!$A$2:$A$10,1,FALSE)=LEFT(B384,2),"Yes","Error"),"No")</f>
        <v>Yes</v>
      </c>
    </row>
    <row r="385" spans="1:13" x14ac:dyDescent="0.25">
      <c r="A385">
        <v>2022</v>
      </c>
      <c r="B385" t="s">
        <v>4467</v>
      </c>
      <c r="C385" t="s">
        <v>4468</v>
      </c>
      <c r="D385" t="s">
        <v>30</v>
      </c>
      <c r="E385" t="s">
        <v>261</v>
      </c>
      <c r="F385">
        <v>4500241211</v>
      </c>
      <c r="G385" t="s">
        <v>4512</v>
      </c>
      <c r="H385" t="s">
        <v>3334</v>
      </c>
      <c r="I385" t="s">
        <v>4493</v>
      </c>
      <c r="J385" t="s">
        <v>261</v>
      </c>
      <c r="K385" s="2">
        <v>307669</v>
      </c>
      <c r="L385" s="2">
        <v>307669</v>
      </c>
      <c r="M385" t="str">
        <f>IFERROR(IF(VLOOKUP(LEFT(B385,2),'Humanitarian codes'!$A$2:$A$10,1,FALSE)=LEFT(B385,2),"Yes","Error"),"No")</f>
        <v>Yes</v>
      </c>
    </row>
    <row r="386" spans="1:13" x14ac:dyDescent="0.25">
      <c r="A386">
        <v>2022</v>
      </c>
      <c r="B386" t="s">
        <v>4467</v>
      </c>
      <c r="C386" t="s">
        <v>4468</v>
      </c>
      <c r="D386" t="s">
        <v>30</v>
      </c>
      <c r="E386" t="s">
        <v>261</v>
      </c>
      <c r="F386">
        <v>4500241910</v>
      </c>
      <c r="G386" t="s">
        <v>4513</v>
      </c>
      <c r="H386" t="s">
        <v>3334</v>
      </c>
      <c r="I386" t="s">
        <v>4514</v>
      </c>
      <c r="J386" t="s">
        <v>261</v>
      </c>
      <c r="K386" s="2">
        <v>176798</v>
      </c>
      <c r="L386" s="2">
        <v>176798</v>
      </c>
      <c r="M386" t="str">
        <f>IFERROR(IF(VLOOKUP(LEFT(B386,2),'Humanitarian codes'!$A$2:$A$10,1,FALSE)=LEFT(B386,2),"Yes","Error"),"No")</f>
        <v>Yes</v>
      </c>
    </row>
    <row r="387" spans="1:13" x14ac:dyDescent="0.25">
      <c r="A387">
        <v>2022</v>
      </c>
      <c r="B387" t="s">
        <v>4467</v>
      </c>
      <c r="C387" t="s">
        <v>4468</v>
      </c>
      <c r="D387" t="s">
        <v>30</v>
      </c>
      <c r="E387" t="s">
        <v>261</v>
      </c>
      <c r="F387">
        <v>4500241977</v>
      </c>
      <c r="G387" t="s">
        <v>4515</v>
      </c>
      <c r="H387" t="s">
        <v>3334</v>
      </c>
      <c r="I387" t="s">
        <v>2984</v>
      </c>
      <c r="J387" t="s">
        <v>261</v>
      </c>
      <c r="K387" s="2">
        <v>880419</v>
      </c>
      <c r="L387" s="2">
        <v>880419</v>
      </c>
      <c r="M387" t="str">
        <f>IFERROR(IF(VLOOKUP(LEFT(B387,2),'Humanitarian codes'!$A$2:$A$10,1,FALSE)=LEFT(B387,2),"Yes","Error"),"No")</f>
        <v>Yes</v>
      </c>
    </row>
    <row r="388" spans="1:13" x14ac:dyDescent="0.25">
      <c r="A388">
        <v>2022</v>
      </c>
      <c r="B388" t="s">
        <v>4467</v>
      </c>
      <c r="C388" t="s">
        <v>4468</v>
      </c>
      <c r="D388" t="s">
        <v>30</v>
      </c>
      <c r="E388" t="s">
        <v>261</v>
      </c>
      <c r="F388">
        <v>4500241981</v>
      </c>
      <c r="G388" t="s">
        <v>4516</v>
      </c>
      <c r="H388" t="s">
        <v>3334</v>
      </c>
      <c r="I388" t="s">
        <v>3127</v>
      </c>
      <c r="J388" t="s">
        <v>261</v>
      </c>
      <c r="K388" s="2">
        <v>440745</v>
      </c>
      <c r="L388" s="2">
        <v>440745</v>
      </c>
      <c r="M388" t="str">
        <f>IFERROR(IF(VLOOKUP(LEFT(B388,2),'Humanitarian codes'!$A$2:$A$10,1,FALSE)=LEFT(B388,2),"Yes","Error"),"No")</f>
        <v>Yes</v>
      </c>
    </row>
    <row r="389" spans="1:13" x14ac:dyDescent="0.25">
      <c r="A389">
        <v>2022</v>
      </c>
      <c r="B389" t="s">
        <v>4467</v>
      </c>
      <c r="C389" t="s">
        <v>4468</v>
      </c>
      <c r="D389" t="s">
        <v>30</v>
      </c>
      <c r="E389" t="s">
        <v>261</v>
      </c>
      <c r="F389">
        <v>4500242402</v>
      </c>
      <c r="G389" t="s">
        <v>4517</v>
      </c>
      <c r="H389" t="s">
        <v>3334</v>
      </c>
      <c r="I389" t="s">
        <v>264</v>
      </c>
      <c r="J389" t="s">
        <v>261</v>
      </c>
      <c r="K389" s="2">
        <v>140332</v>
      </c>
      <c r="L389" s="2">
        <v>140332</v>
      </c>
      <c r="M389" t="str">
        <f>IFERROR(IF(VLOOKUP(LEFT(B389,2),'Humanitarian codes'!$A$2:$A$10,1,FALSE)=LEFT(B389,2),"Yes","Error"),"No")</f>
        <v>Yes</v>
      </c>
    </row>
    <row r="390" spans="1:13" x14ac:dyDescent="0.25">
      <c r="A390">
        <v>2022</v>
      </c>
      <c r="B390" t="s">
        <v>4467</v>
      </c>
      <c r="C390" t="s">
        <v>4468</v>
      </c>
      <c r="D390" t="s">
        <v>30</v>
      </c>
      <c r="E390" t="s">
        <v>261</v>
      </c>
      <c r="F390">
        <v>4500242429</v>
      </c>
      <c r="G390" t="s">
        <v>4518</v>
      </c>
      <c r="H390" t="s">
        <v>3334</v>
      </c>
      <c r="I390" t="s">
        <v>2529</v>
      </c>
      <c r="J390" t="s">
        <v>261</v>
      </c>
      <c r="K390" s="2">
        <v>218771</v>
      </c>
      <c r="L390" s="2">
        <v>218771</v>
      </c>
      <c r="M390" t="str">
        <f>IFERROR(IF(VLOOKUP(LEFT(B390,2),'Humanitarian codes'!$A$2:$A$10,1,FALSE)=LEFT(B390,2),"Yes","Error"),"No")</f>
        <v>Yes</v>
      </c>
    </row>
    <row r="391" spans="1:13" x14ac:dyDescent="0.25">
      <c r="A391">
        <v>2022</v>
      </c>
      <c r="B391" t="s">
        <v>4467</v>
      </c>
      <c r="C391" t="s">
        <v>4468</v>
      </c>
      <c r="D391" t="s">
        <v>30</v>
      </c>
      <c r="E391" t="s">
        <v>261</v>
      </c>
      <c r="F391">
        <v>4500242870</v>
      </c>
      <c r="G391" t="s">
        <v>4519</v>
      </c>
      <c r="H391" t="s">
        <v>3334</v>
      </c>
      <c r="I391" t="s">
        <v>262</v>
      </c>
      <c r="J391" t="s">
        <v>261</v>
      </c>
      <c r="K391" s="2">
        <v>207785</v>
      </c>
      <c r="L391" s="2">
        <v>207785</v>
      </c>
      <c r="M391" t="str">
        <f>IFERROR(IF(VLOOKUP(LEFT(B391,2),'Humanitarian codes'!$A$2:$A$10,1,FALSE)=LEFT(B391,2),"Yes","Error"),"No")</f>
        <v>Yes</v>
      </c>
    </row>
    <row r="392" spans="1:13" x14ac:dyDescent="0.25">
      <c r="A392">
        <v>2022</v>
      </c>
      <c r="B392" t="s">
        <v>4467</v>
      </c>
      <c r="C392" t="s">
        <v>4468</v>
      </c>
      <c r="D392" t="s">
        <v>30</v>
      </c>
      <c r="E392" t="s">
        <v>261</v>
      </c>
      <c r="F392">
        <v>4500245067</v>
      </c>
      <c r="G392" t="s">
        <v>4520</v>
      </c>
      <c r="H392" t="s">
        <v>3334</v>
      </c>
      <c r="I392" t="s">
        <v>4514</v>
      </c>
      <c r="J392" t="s">
        <v>261</v>
      </c>
      <c r="K392" s="2">
        <v>84341</v>
      </c>
      <c r="L392" s="2">
        <v>84341</v>
      </c>
      <c r="M392" t="str">
        <f>IFERROR(IF(VLOOKUP(LEFT(B392,2),'Humanitarian codes'!$A$2:$A$10,1,FALSE)=LEFT(B392,2),"Yes","Error"),"No")</f>
        <v>Yes</v>
      </c>
    </row>
    <row r="393" spans="1:13" x14ac:dyDescent="0.25">
      <c r="A393">
        <v>2022</v>
      </c>
      <c r="B393" t="s">
        <v>4467</v>
      </c>
      <c r="C393" t="s">
        <v>4468</v>
      </c>
      <c r="D393" t="s">
        <v>30</v>
      </c>
      <c r="E393" t="s">
        <v>261</v>
      </c>
      <c r="F393">
        <v>4500245072</v>
      </c>
      <c r="G393" t="s">
        <v>4521</v>
      </c>
      <c r="H393" t="s">
        <v>3334</v>
      </c>
      <c r="I393" t="s">
        <v>2986</v>
      </c>
      <c r="J393" t="s">
        <v>261</v>
      </c>
      <c r="K393" s="2">
        <v>23869</v>
      </c>
      <c r="L393" s="2">
        <v>23869</v>
      </c>
      <c r="M393" t="str">
        <f>IFERROR(IF(VLOOKUP(LEFT(B393,2),'Humanitarian codes'!$A$2:$A$10,1,FALSE)=LEFT(B393,2),"Yes","Error"),"No")</f>
        <v>Yes</v>
      </c>
    </row>
    <row r="394" spans="1:13" x14ac:dyDescent="0.25">
      <c r="A394">
        <v>2022</v>
      </c>
      <c r="B394" t="s">
        <v>4467</v>
      </c>
      <c r="C394" t="s">
        <v>4468</v>
      </c>
      <c r="D394" t="s">
        <v>30</v>
      </c>
      <c r="E394" t="s">
        <v>261</v>
      </c>
      <c r="F394">
        <v>4500245501</v>
      </c>
      <c r="G394" t="s">
        <v>4522</v>
      </c>
      <c r="H394" t="s">
        <v>3334</v>
      </c>
      <c r="I394" t="s">
        <v>4523</v>
      </c>
      <c r="J394" t="s">
        <v>261</v>
      </c>
      <c r="K394" s="2">
        <v>140399</v>
      </c>
      <c r="L394" s="2">
        <v>140399</v>
      </c>
      <c r="M394" t="str">
        <f>IFERROR(IF(VLOOKUP(LEFT(B394,2),'Humanitarian codes'!$A$2:$A$10,1,FALSE)=LEFT(B394,2),"Yes","Error"),"No")</f>
        <v>Yes</v>
      </c>
    </row>
    <row r="395" spans="1:13" x14ac:dyDescent="0.25">
      <c r="A395">
        <v>2022</v>
      </c>
      <c r="B395" t="s">
        <v>4467</v>
      </c>
      <c r="C395" t="s">
        <v>4468</v>
      </c>
      <c r="D395" t="s">
        <v>30</v>
      </c>
      <c r="E395" t="s">
        <v>261</v>
      </c>
      <c r="F395">
        <v>4500245512</v>
      </c>
      <c r="G395" t="s">
        <v>4524</v>
      </c>
      <c r="H395" t="s">
        <v>3334</v>
      </c>
      <c r="I395" t="s">
        <v>4525</v>
      </c>
      <c r="J395" t="s">
        <v>261</v>
      </c>
      <c r="K395" s="2">
        <v>60553</v>
      </c>
      <c r="L395" s="2">
        <v>60553</v>
      </c>
      <c r="M395" t="str">
        <f>IFERROR(IF(VLOOKUP(LEFT(B395,2),'Humanitarian codes'!$A$2:$A$10,1,FALSE)=LEFT(B395,2),"Yes","Error"),"No")</f>
        <v>Yes</v>
      </c>
    </row>
    <row r="396" spans="1:13" x14ac:dyDescent="0.25">
      <c r="A396">
        <v>2022</v>
      </c>
      <c r="B396" t="s">
        <v>4467</v>
      </c>
      <c r="C396" t="s">
        <v>4468</v>
      </c>
      <c r="D396" t="s">
        <v>30</v>
      </c>
      <c r="E396" t="s">
        <v>261</v>
      </c>
      <c r="F396">
        <v>4500245555</v>
      </c>
      <c r="G396" t="s">
        <v>4526</v>
      </c>
      <c r="H396" t="s">
        <v>3334</v>
      </c>
      <c r="I396" t="s">
        <v>264</v>
      </c>
      <c r="J396" t="s">
        <v>261</v>
      </c>
      <c r="K396" s="2">
        <v>102227</v>
      </c>
      <c r="L396" s="2">
        <v>102227</v>
      </c>
      <c r="M396" t="str">
        <f>IFERROR(IF(VLOOKUP(LEFT(B396,2),'Humanitarian codes'!$A$2:$A$10,1,FALSE)=LEFT(B396,2),"Yes","Error"),"No")</f>
        <v>Yes</v>
      </c>
    </row>
    <row r="397" spans="1:13" x14ac:dyDescent="0.25">
      <c r="A397">
        <v>2022</v>
      </c>
      <c r="B397" t="s">
        <v>4467</v>
      </c>
      <c r="C397" t="s">
        <v>4468</v>
      </c>
      <c r="D397" t="s">
        <v>30</v>
      </c>
      <c r="E397" t="s">
        <v>261</v>
      </c>
      <c r="F397">
        <v>4500268140</v>
      </c>
      <c r="G397" t="s">
        <v>4527</v>
      </c>
      <c r="H397" t="s">
        <v>3334</v>
      </c>
      <c r="I397" t="s">
        <v>4491</v>
      </c>
      <c r="J397" t="s">
        <v>261</v>
      </c>
      <c r="K397" s="2">
        <v>47970</v>
      </c>
      <c r="L397" s="2">
        <v>47970</v>
      </c>
      <c r="M397" t="str">
        <f>IFERROR(IF(VLOOKUP(LEFT(B397,2),'Humanitarian codes'!$A$2:$A$10,1,FALSE)=LEFT(B397,2),"Yes","Error"),"No")</f>
        <v>Yes</v>
      </c>
    </row>
    <row r="398" spans="1:13" x14ac:dyDescent="0.25">
      <c r="A398">
        <v>2022</v>
      </c>
      <c r="B398" t="s">
        <v>4467</v>
      </c>
      <c r="C398" t="s">
        <v>4468</v>
      </c>
      <c r="D398" t="s">
        <v>30</v>
      </c>
      <c r="E398" t="s">
        <v>261</v>
      </c>
      <c r="F398">
        <v>4500275107</v>
      </c>
      <c r="G398" t="s">
        <v>4528</v>
      </c>
      <c r="H398" t="s">
        <v>3334</v>
      </c>
      <c r="I398" t="s">
        <v>2529</v>
      </c>
      <c r="J398" t="s">
        <v>261</v>
      </c>
      <c r="K398" s="2">
        <v>275729</v>
      </c>
      <c r="L398" s="2">
        <v>275729</v>
      </c>
      <c r="M398" t="str">
        <f>IFERROR(IF(VLOOKUP(LEFT(B398,2),'Humanitarian codes'!$A$2:$A$10,1,FALSE)=LEFT(B398,2),"Yes","Error"),"No")</f>
        <v>Yes</v>
      </c>
    </row>
    <row r="399" spans="1:13" x14ac:dyDescent="0.25">
      <c r="A399">
        <v>2022</v>
      </c>
      <c r="B399" t="s">
        <v>1941</v>
      </c>
      <c r="C399" t="s">
        <v>1942</v>
      </c>
      <c r="D399" t="s">
        <v>30</v>
      </c>
      <c r="E399" t="s">
        <v>150</v>
      </c>
      <c r="F399">
        <v>4500266159</v>
      </c>
      <c r="G399" t="s">
        <v>4529</v>
      </c>
      <c r="H399" t="s">
        <v>3334</v>
      </c>
      <c r="I399" t="s">
        <v>4530</v>
      </c>
      <c r="J399" t="s">
        <v>150</v>
      </c>
      <c r="K399" s="2">
        <v>24237</v>
      </c>
      <c r="L399" s="2">
        <v>133305</v>
      </c>
      <c r="M399" t="str">
        <f>IFERROR(IF(VLOOKUP(LEFT(B399,2),'Humanitarian codes'!$A$2:$A$10,1,FALSE)=LEFT(B399,2),"Yes","Error"),"No")</f>
        <v>Yes</v>
      </c>
    </row>
    <row r="400" spans="1:13" x14ac:dyDescent="0.25">
      <c r="A400">
        <v>2022</v>
      </c>
      <c r="B400" t="s">
        <v>1941</v>
      </c>
      <c r="C400" t="s">
        <v>1942</v>
      </c>
      <c r="D400" t="s">
        <v>30</v>
      </c>
      <c r="E400" t="s">
        <v>150</v>
      </c>
      <c r="F400">
        <v>4500266187</v>
      </c>
      <c r="G400" t="s">
        <v>4531</v>
      </c>
      <c r="H400" t="s">
        <v>3334</v>
      </c>
      <c r="I400" t="s">
        <v>2046</v>
      </c>
      <c r="J400" t="s">
        <v>150</v>
      </c>
      <c r="K400" s="2">
        <v>26284</v>
      </c>
      <c r="L400" s="2">
        <v>144564</v>
      </c>
      <c r="M400" t="str">
        <f>IFERROR(IF(VLOOKUP(LEFT(B400,2),'Humanitarian codes'!$A$2:$A$10,1,FALSE)=LEFT(B400,2),"Yes","Error"),"No")</f>
        <v>Yes</v>
      </c>
    </row>
    <row r="401" spans="1:13" x14ac:dyDescent="0.25">
      <c r="A401">
        <v>2022</v>
      </c>
      <c r="B401" t="s">
        <v>1941</v>
      </c>
      <c r="C401" t="s">
        <v>1942</v>
      </c>
      <c r="D401" t="s">
        <v>30</v>
      </c>
      <c r="E401" t="s">
        <v>477</v>
      </c>
      <c r="F401">
        <v>4500225476</v>
      </c>
      <c r="G401" t="s">
        <v>4532</v>
      </c>
      <c r="H401" t="s">
        <v>3334</v>
      </c>
      <c r="I401" t="s">
        <v>745</v>
      </c>
      <c r="J401" t="s">
        <v>477</v>
      </c>
      <c r="K401" s="2">
        <v>11228</v>
      </c>
      <c r="L401" s="2">
        <v>11228</v>
      </c>
      <c r="M401" t="str">
        <f>IFERROR(IF(VLOOKUP(LEFT(B401,2),'Humanitarian codes'!$A$2:$A$10,1,FALSE)=LEFT(B401,2),"Yes","Error"),"No")</f>
        <v>Yes</v>
      </c>
    </row>
    <row r="402" spans="1:13" x14ac:dyDescent="0.25">
      <c r="A402">
        <v>2022</v>
      </c>
      <c r="B402" t="s">
        <v>1941</v>
      </c>
      <c r="C402" t="s">
        <v>1942</v>
      </c>
      <c r="D402" t="s">
        <v>30</v>
      </c>
      <c r="E402" t="s">
        <v>477</v>
      </c>
      <c r="F402">
        <v>4500225500</v>
      </c>
      <c r="G402" t="s">
        <v>4532</v>
      </c>
      <c r="H402" t="s">
        <v>3334</v>
      </c>
      <c r="I402" t="s">
        <v>3200</v>
      </c>
      <c r="J402" t="s">
        <v>477</v>
      </c>
      <c r="K402" s="2">
        <v>11198</v>
      </c>
      <c r="L402" s="2">
        <v>11198</v>
      </c>
      <c r="M402" t="str">
        <f>IFERROR(IF(VLOOKUP(LEFT(B402,2),'Humanitarian codes'!$A$2:$A$10,1,FALSE)=LEFT(B402,2),"Yes","Error"),"No")</f>
        <v>Yes</v>
      </c>
    </row>
    <row r="403" spans="1:13" x14ac:dyDescent="0.25">
      <c r="A403">
        <v>2022</v>
      </c>
      <c r="B403" t="s">
        <v>4533</v>
      </c>
      <c r="C403" t="s">
        <v>4534</v>
      </c>
      <c r="D403" t="s">
        <v>30</v>
      </c>
      <c r="E403" t="s">
        <v>594</v>
      </c>
      <c r="F403">
        <v>4500185637</v>
      </c>
      <c r="G403" t="s">
        <v>4535</v>
      </c>
      <c r="H403" t="s">
        <v>3334</v>
      </c>
      <c r="I403" t="s">
        <v>4536</v>
      </c>
      <c r="J403" t="s">
        <v>594</v>
      </c>
      <c r="K403" s="2">
        <v>2077212</v>
      </c>
      <c r="L403" s="2">
        <v>2077212</v>
      </c>
      <c r="M403" t="str">
        <f>IFERROR(IF(VLOOKUP(LEFT(B403,2),'Humanitarian codes'!$A$2:$A$10,1,FALSE)=LEFT(B403,2),"Yes","Error"),"No")</f>
        <v>Yes</v>
      </c>
    </row>
    <row r="404" spans="1:13" x14ac:dyDescent="0.25">
      <c r="A404">
        <v>2022</v>
      </c>
      <c r="B404" t="s">
        <v>4533</v>
      </c>
      <c r="C404" t="s">
        <v>4534</v>
      </c>
      <c r="D404" t="s">
        <v>30</v>
      </c>
      <c r="E404" t="s">
        <v>594</v>
      </c>
      <c r="F404">
        <v>4500189114</v>
      </c>
      <c r="G404" t="s">
        <v>4537</v>
      </c>
      <c r="H404" t="s">
        <v>3334</v>
      </c>
      <c r="I404" t="s">
        <v>4538</v>
      </c>
      <c r="J404" t="s">
        <v>594</v>
      </c>
      <c r="K404" s="2">
        <v>1200000</v>
      </c>
      <c r="L404" s="2">
        <v>1200000</v>
      </c>
      <c r="M404" t="str">
        <f>IFERROR(IF(VLOOKUP(LEFT(B404,2),'Humanitarian codes'!$A$2:$A$10,1,FALSE)=LEFT(B404,2),"Yes","Error"),"No")</f>
        <v>Yes</v>
      </c>
    </row>
    <row r="405" spans="1:13" x14ac:dyDescent="0.25">
      <c r="A405">
        <v>2022</v>
      </c>
      <c r="B405" t="s">
        <v>4539</v>
      </c>
      <c r="C405" t="s">
        <v>4540</v>
      </c>
      <c r="D405" t="s">
        <v>30</v>
      </c>
      <c r="E405" t="s">
        <v>3396</v>
      </c>
      <c r="F405">
        <v>4500180249</v>
      </c>
      <c r="G405" t="s">
        <v>3938</v>
      </c>
      <c r="H405" t="s">
        <v>3334</v>
      </c>
      <c r="I405" t="s">
        <v>3833</v>
      </c>
      <c r="J405" t="s">
        <v>3396</v>
      </c>
      <c r="K405" s="2">
        <v>8244</v>
      </c>
      <c r="L405" s="2">
        <v>39256</v>
      </c>
      <c r="M405" t="str">
        <f>IFERROR(IF(VLOOKUP(LEFT(B405,2),'Humanitarian codes'!$A$2:$A$10,1,FALSE)=LEFT(B405,2),"Yes","Error"),"No")</f>
        <v>Yes</v>
      </c>
    </row>
    <row r="406" spans="1:13" x14ac:dyDescent="0.25">
      <c r="A406">
        <v>2022</v>
      </c>
      <c r="B406" t="s">
        <v>4539</v>
      </c>
      <c r="C406" t="s">
        <v>4540</v>
      </c>
      <c r="D406" t="s">
        <v>30</v>
      </c>
      <c r="E406" t="s">
        <v>3396</v>
      </c>
      <c r="F406">
        <v>4500181268</v>
      </c>
      <c r="G406" t="s">
        <v>4541</v>
      </c>
      <c r="H406" t="s">
        <v>3334</v>
      </c>
      <c r="I406" t="s">
        <v>3400</v>
      </c>
      <c r="J406" t="s">
        <v>3396</v>
      </c>
      <c r="K406" s="2">
        <v>100722</v>
      </c>
      <c r="L406" s="2">
        <v>118307</v>
      </c>
      <c r="M406" t="str">
        <f>IFERROR(IF(VLOOKUP(LEFT(B406,2),'Humanitarian codes'!$A$2:$A$10,1,FALSE)=LEFT(B406,2),"Yes","Error"),"No")</f>
        <v>Yes</v>
      </c>
    </row>
    <row r="407" spans="1:13" x14ac:dyDescent="0.25">
      <c r="A407">
        <v>2022</v>
      </c>
      <c r="B407" t="s">
        <v>4539</v>
      </c>
      <c r="C407" t="s">
        <v>4540</v>
      </c>
      <c r="D407" t="s">
        <v>30</v>
      </c>
      <c r="E407" t="s">
        <v>3396</v>
      </c>
      <c r="F407">
        <v>4500232814</v>
      </c>
      <c r="G407" t="s">
        <v>4542</v>
      </c>
      <c r="H407" t="s">
        <v>3334</v>
      </c>
      <c r="I407" t="s">
        <v>3833</v>
      </c>
      <c r="J407" t="s">
        <v>3396</v>
      </c>
      <c r="K407" s="2">
        <v>32358</v>
      </c>
      <c r="L407" s="2">
        <v>32358</v>
      </c>
      <c r="M407" t="str">
        <f>IFERROR(IF(VLOOKUP(LEFT(B407,2),'Humanitarian codes'!$A$2:$A$10,1,FALSE)=LEFT(B407,2),"Yes","Error"),"No")</f>
        <v>Yes</v>
      </c>
    </row>
    <row r="408" spans="1:13" x14ac:dyDescent="0.25">
      <c r="A408">
        <v>2022</v>
      </c>
      <c r="B408" t="s">
        <v>4539</v>
      </c>
      <c r="C408" t="s">
        <v>4540</v>
      </c>
      <c r="D408" t="s">
        <v>30</v>
      </c>
      <c r="E408" t="s">
        <v>3396</v>
      </c>
      <c r="F408">
        <v>4500236520</v>
      </c>
      <c r="G408" t="s">
        <v>4543</v>
      </c>
      <c r="H408" t="s">
        <v>3334</v>
      </c>
      <c r="I408" t="s">
        <v>3833</v>
      </c>
      <c r="J408" t="s">
        <v>3396</v>
      </c>
      <c r="K408" s="2">
        <v>4643</v>
      </c>
      <c r="L408" s="2">
        <v>15478</v>
      </c>
      <c r="M408" t="str">
        <f>IFERROR(IF(VLOOKUP(LEFT(B408,2),'Humanitarian codes'!$A$2:$A$10,1,FALSE)=LEFT(B408,2),"Yes","Error"),"No")</f>
        <v>Yes</v>
      </c>
    </row>
    <row r="409" spans="1:13" x14ac:dyDescent="0.25">
      <c r="A409">
        <v>2022</v>
      </c>
      <c r="B409" t="s">
        <v>4539</v>
      </c>
      <c r="C409" t="s">
        <v>4540</v>
      </c>
      <c r="D409" t="s">
        <v>30</v>
      </c>
      <c r="E409" t="s">
        <v>3396</v>
      </c>
      <c r="F409">
        <v>4500242735</v>
      </c>
      <c r="G409" t="s">
        <v>4544</v>
      </c>
      <c r="H409" t="s">
        <v>3334</v>
      </c>
      <c r="I409" t="s">
        <v>3400</v>
      </c>
      <c r="J409" t="s">
        <v>3396</v>
      </c>
      <c r="K409" s="2">
        <v>31331</v>
      </c>
      <c r="L409" s="2">
        <v>101067</v>
      </c>
      <c r="M409" t="str">
        <f>IFERROR(IF(VLOOKUP(LEFT(B409,2),'Humanitarian codes'!$A$2:$A$10,1,FALSE)=LEFT(B409,2),"Yes","Error"),"No")</f>
        <v>Yes</v>
      </c>
    </row>
    <row r="410" spans="1:13" x14ac:dyDescent="0.25">
      <c r="A410">
        <v>2022</v>
      </c>
      <c r="B410" t="s">
        <v>4545</v>
      </c>
      <c r="C410" t="s">
        <v>4546</v>
      </c>
      <c r="D410" t="s">
        <v>30</v>
      </c>
      <c r="E410" t="s">
        <v>3396</v>
      </c>
      <c r="F410">
        <v>4500180249</v>
      </c>
      <c r="G410" t="s">
        <v>3938</v>
      </c>
      <c r="H410" t="s">
        <v>3334</v>
      </c>
      <c r="I410" t="s">
        <v>3833</v>
      </c>
      <c r="J410" t="s">
        <v>3396</v>
      </c>
      <c r="K410" s="2">
        <v>31012</v>
      </c>
      <c r="L410" s="2">
        <v>39256</v>
      </c>
      <c r="M410" t="str">
        <f>IFERROR(IF(VLOOKUP(LEFT(B410,2),'Humanitarian codes'!$A$2:$A$10,1,FALSE)=LEFT(B410,2),"Yes","Error"),"No")</f>
        <v>Yes</v>
      </c>
    </row>
    <row r="411" spans="1:13" x14ac:dyDescent="0.25">
      <c r="A411">
        <v>2022</v>
      </c>
      <c r="B411" t="s">
        <v>4545</v>
      </c>
      <c r="C411" t="s">
        <v>4546</v>
      </c>
      <c r="D411" t="s">
        <v>30</v>
      </c>
      <c r="E411" t="s">
        <v>3396</v>
      </c>
      <c r="F411">
        <v>4500181268</v>
      </c>
      <c r="G411" t="s">
        <v>4541</v>
      </c>
      <c r="H411" t="s">
        <v>3334</v>
      </c>
      <c r="I411" t="s">
        <v>3400</v>
      </c>
      <c r="J411" t="s">
        <v>3396</v>
      </c>
      <c r="K411" s="2">
        <v>17584</v>
      </c>
      <c r="L411" s="2">
        <v>118307</v>
      </c>
      <c r="M411" t="str">
        <f>IFERROR(IF(VLOOKUP(LEFT(B411,2),'Humanitarian codes'!$A$2:$A$10,1,FALSE)=LEFT(B411,2),"Yes","Error"),"No")</f>
        <v>Yes</v>
      </c>
    </row>
    <row r="412" spans="1:13" x14ac:dyDescent="0.25">
      <c r="A412">
        <v>2022</v>
      </c>
      <c r="B412" t="s">
        <v>4545</v>
      </c>
      <c r="C412" t="s">
        <v>4546</v>
      </c>
      <c r="D412" t="s">
        <v>30</v>
      </c>
      <c r="E412" t="s">
        <v>3396</v>
      </c>
      <c r="F412">
        <v>4500242735</v>
      </c>
      <c r="G412" t="s">
        <v>4544</v>
      </c>
      <c r="H412" t="s">
        <v>3334</v>
      </c>
      <c r="I412" t="s">
        <v>3400</v>
      </c>
      <c r="J412" t="s">
        <v>3396</v>
      </c>
      <c r="K412" s="2">
        <v>29309</v>
      </c>
      <c r="L412" s="2">
        <v>101067</v>
      </c>
      <c r="M412" t="str">
        <f>IFERROR(IF(VLOOKUP(LEFT(B412,2),'Humanitarian codes'!$A$2:$A$10,1,FALSE)=LEFT(B412,2),"Yes","Error"),"No")</f>
        <v>Yes</v>
      </c>
    </row>
    <row r="413" spans="1:13" x14ac:dyDescent="0.25">
      <c r="A413">
        <v>2022</v>
      </c>
      <c r="B413" t="s">
        <v>4547</v>
      </c>
      <c r="C413" t="s">
        <v>4548</v>
      </c>
      <c r="D413" t="s">
        <v>30</v>
      </c>
      <c r="E413" t="s">
        <v>72</v>
      </c>
      <c r="F413">
        <v>4500224976</v>
      </c>
      <c r="G413" t="s">
        <v>4549</v>
      </c>
      <c r="H413" t="s">
        <v>3334</v>
      </c>
      <c r="I413" t="s">
        <v>4550</v>
      </c>
      <c r="J413" t="s">
        <v>72</v>
      </c>
      <c r="K413" s="2">
        <v>311182</v>
      </c>
      <c r="L413" s="2">
        <v>1140099</v>
      </c>
      <c r="M413" t="str">
        <f>IFERROR(IF(VLOOKUP(LEFT(B413,2),'Humanitarian codes'!$A$2:$A$10,1,FALSE)=LEFT(B413,2),"Yes","Error"),"No")</f>
        <v>Yes</v>
      </c>
    </row>
    <row r="414" spans="1:13" x14ac:dyDescent="0.25">
      <c r="A414">
        <v>2022</v>
      </c>
      <c r="B414" t="s">
        <v>4547</v>
      </c>
      <c r="C414" t="s">
        <v>4548</v>
      </c>
      <c r="D414" t="s">
        <v>30</v>
      </c>
      <c r="E414" t="s">
        <v>72</v>
      </c>
      <c r="F414">
        <v>4500224978</v>
      </c>
      <c r="G414" t="s">
        <v>4551</v>
      </c>
      <c r="H414" t="s">
        <v>3334</v>
      </c>
      <c r="I414" t="s">
        <v>4552</v>
      </c>
      <c r="J414" t="s">
        <v>72</v>
      </c>
      <c r="K414" s="2">
        <v>259454</v>
      </c>
      <c r="L414" s="2">
        <v>1336066</v>
      </c>
      <c r="M414" t="str">
        <f>IFERROR(IF(VLOOKUP(LEFT(B414,2),'Humanitarian codes'!$A$2:$A$10,1,FALSE)=LEFT(B414,2),"Yes","Error"),"No")</f>
        <v>Yes</v>
      </c>
    </row>
    <row r="415" spans="1:13" x14ac:dyDescent="0.25">
      <c r="A415">
        <v>2022</v>
      </c>
      <c r="B415" t="s">
        <v>1238</v>
      </c>
      <c r="C415" t="s">
        <v>1239</v>
      </c>
      <c r="D415" t="s">
        <v>30</v>
      </c>
      <c r="E415" t="s">
        <v>561</v>
      </c>
      <c r="F415">
        <v>4500222625</v>
      </c>
      <c r="G415" t="s">
        <v>4553</v>
      </c>
      <c r="H415" t="s">
        <v>3334</v>
      </c>
      <c r="I415" t="s">
        <v>4554</v>
      </c>
      <c r="J415" t="s">
        <v>561</v>
      </c>
      <c r="K415" s="2">
        <v>387073</v>
      </c>
      <c r="L415" s="2">
        <v>387073</v>
      </c>
      <c r="M415" t="str">
        <f>IFERROR(IF(VLOOKUP(LEFT(B415,2),'Humanitarian codes'!$A$2:$A$10,1,FALSE)=LEFT(B415,2),"Yes","Error"),"No")</f>
        <v>Yes</v>
      </c>
    </row>
    <row r="416" spans="1:13" x14ac:dyDescent="0.25">
      <c r="A416">
        <v>2022</v>
      </c>
      <c r="B416" t="s">
        <v>1238</v>
      </c>
      <c r="C416" t="s">
        <v>1239</v>
      </c>
      <c r="D416" t="s">
        <v>30</v>
      </c>
      <c r="E416" t="s">
        <v>561</v>
      </c>
      <c r="F416">
        <v>4500247407</v>
      </c>
      <c r="G416" t="s">
        <v>4555</v>
      </c>
      <c r="H416" t="s">
        <v>3334</v>
      </c>
      <c r="I416" t="s">
        <v>1241</v>
      </c>
      <c r="J416" t="s">
        <v>561</v>
      </c>
      <c r="K416" s="2">
        <v>40727</v>
      </c>
      <c r="L416" s="2">
        <v>40727</v>
      </c>
      <c r="M416" t="str">
        <f>IFERROR(IF(VLOOKUP(LEFT(B416,2),'Humanitarian codes'!$A$2:$A$10,1,FALSE)=LEFT(B416,2),"Yes","Error"),"No")</f>
        <v>Yes</v>
      </c>
    </row>
    <row r="417" spans="1:13" x14ac:dyDescent="0.25">
      <c r="A417">
        <v>2022</v>
      </c>
      <c r="B417" t="s">
        <v>4556</v>
      </c>
      <c r="C417" t="s">
        <v>4557</v>
      </c>
      <c r="D417" t="s">
        <v>30</v>
      </c>
      <c r="E417" t="s">
        <v>594</v>
      </c>
      <c r="F417">
        <v>4500192764</v>
      </c>
      <c r="G417" t="s">
        <v>4558</v>
      </c>
      <c r="H417" t="s">
        <v>3334</v>
      </c>
      <c r="I417" t="s">
        <v>4536</v>
      </c>
      <c r="J417" t="s">
        <v>594</v>
      </c>
      <c r="K417" s="2">
        <v>455892</v>
      </c>
      <c r="L417" s="2">
        <v>455892</v>
      </c>
      <c r="M417" t="str">
        <f>IFERROR(IF(VLOOKUP(LEFT(B417,2),'Humanitarian codes'!$A$2:$A$10,1,FALSE)=LEFT(B417,2),"Yes","Error"),"No")</f>
        <v>Yes</v>
      </c>
    </row>
    <row r="418" spans="1:13" x14ac:dyDescent="0.25">
      <c r="A418">
        <v>2022</v>
      </c>
      <c r="B418" t="s">
        <v>4559</v>
      </c>
      <c r="C418" t="s">
        <v>1965</v>
      </c>
      <c r="D418" t="s">
        <v>30</v>
      </c>
      <c r="E418" t="s">
        <v>257</v>
      </c>
      <c r="F418">
        <v>4500258650</v>
      </c>
      <c r="G418" t="s">
        <v>4560</v>
      </c>
      <c r="H418" t="s">
        <v>3334</v>
      </c>
      <c r="I418" t="s">
        <v>421</v>
      </c>
      <c r="J418" t="s">
        <v>257</v>
      </c>
      <c r="K418" s="2">
        <v>7520</v>
      </c>
      <c r="L418" s="2">
        <v>27851</v>
      </c>
      <c r="M418" t="str">
        <f>IFERROR(IF(VLOOKUP(LEFT(B418,2),'Humanitarian codes'!$A$2:$A$10,1,FALSE)=LEFT(B418,2),"Yes","Error"),"No")</f>
        <v>Yes</v>
      </c>
    </row>
    <row r="419" spans="1:13" x14ac:dyDescent="0.25">
      <c r="A419">
        <v>2022</v>
      </c>
      <c r="B419" t="s">
        <v>4559</v>
      </c>
      <c r="C419" t="s">
        <v>1965</v>
      </c>
      <c r="D419" t="s">
        <v>30</v>
      </c>
      <c r="E419" t="s">
        <v>257</v>
      </c>
      <c r="F419">
        <v>4500258651</v>
      </c>
      <c r="G419" t="s">
        <v>4561</v>
      </c>
      <c r="H419" t="s">
        <v>3334</v>
      </c>
      <c r="I419" t="s">
        <v>422</v>
      </c>
      <c r="J419" t="s">
        <v>257</v>
      </c>
      <c r="K419" s="2">
        <v>4497</v>
      </c>
      <c r="L419" s="2">
        <v>16654</v>
      </c>
      <c r="M419" t="str">
        <f>IFERROR(IF(VLOOKUP(LEFT(B419,2),'Humanitarian codes'!$A$2:$A$10,1,FALSE)=LEFT(B419,2),"Yes","Error"),"No")</f>
        <v>Yes</v>
      </c>
    </row>
    <row r="420" spans="1:13" x14ac:dyDescent="0.25">
      <c r="A420">
        <v>2022</v>
      </c>
      <c r="B420" t="s">
        <v>4562</v>
      </c>
      <c r="C420" t="s">
        <v>4563</v>
      </c>
      <c r="D420" t="s">
        <v>30</v>
      </c>
      <c r="E420" t="s">
        <v>128</v>
      </c>
      <c r="F420">
        <v>4500199801</v>
      </c>
      <c r="G420" t="s">
        <v>4564</v>
      </c>
      <c r="H420" t="s">
        <v>3334</v>
      </c>
      <c r="I420" t="s">
        <v>436</v>
      </c>
      <c r="J420" t="s">
        <v>128</v>
      </c>
      <c r="K420" s="2">
        <v>69000</v>
      </c>
      <c r="L420" s="2">
        <v>276315</v>
      </c>
      <c r="M420" t="str">
        <f>IFERROR(IF(VLOOKUP(LEFT(B420,2),'Humanitarian codes'!$A$2:$A$10,1,FALSE)=LEFT(B420,2),"Yes","Error"),"No")</f>
        <v>Yes</v>
      </c>
    </row>
    <row r="421" spans="1:13" x14ac:dyDescent="0.25">
      <c r="A421">
        <v>2022</v>
      </c>
      <c r="B421" t="s">
        <v>4565</v>
      </c>
      <c r="C421" t="s">
        <v>4566</v>
      </c>
      <c r="D421" t="s">
        <v>30</v>
      </c>
      <c r="E421" t="s">
        <v>175</v>
      </c>
      <c r="F421">
        <v>4500248413</v>
      </c>
      <c r="G421" t="s">
        <v>4567</v>
      </c>
      <c r="H421" t="s">
        <v>3334</v>
      </c>
      <c r="I421" t="s">
        <v>4568</v>
      </c>
      <c r="J421" t="s">
        <v>175</v>
      </c>
      <c r="K421" s="2">
        <v>371742</v>
      </c>
      <c r="L421" s="2">
        <v>371742</v>
      </c>
      <c r="M421" t="str">
        <f>IFERROR(IF(VLOOKUP(LEFT(B421,2),'Humanitarian codes'!$A$2:$A$10,1,FALSE)=LEFT(B421,2),"Yes","Error"),"No")</f>
        <v>Yes</v>
      </c>
    </row>
    <row r="422" spans="1:13" x14ac:dyDescent="0.25">
      <c r="A422">
        <v>2022</v>
      </c>
      <c r="B422" t="s">
        <v>4569</v>
      </c>
      <c r="C422" t="s">
        <v>4570</v>
      </c>
      <c r="D422" t="s">
        <v>30</v>
      </c>
      <c r="E422" t="s">
        <v>54</v>
      </c>
      <c r="F422">
        <v>4500247189</v>
      </c>
      <c r="G422" t="s">
        <v>4452</v>
      </c>
      <c r="H422" t="s">
        <v>3334</v>
      </c>
      <c r="I422" t="s">
        <v>3257</v>
      </c>
      <c r="J422" t="s">
        <v>54</v>
      </c>
      <c r="K422" s="2">
        <v>107941</v>
      </c>
      <c r="L422" s="2">
        <v>113622</v>
      </c>
      <c r="M422" t="str">
        <f>IFERROR(IF(VLOOKUP(LEFT(B422,2),'Humanitarian codes'!$A$2:$A$10,1,FALSE)=LEFT(B422,2),"Yes","Error"),"No")</f>
        <v>Yes</v>
      </c>
    </row>
    <row r="423" spans="1:13" x14ac:dyDescent="0.25">
      <c r="A423">
        <v>2022</v>
      </c>
      <c r="B423" t="s">
        <v>2842</v>
      </c>
      <c r="C423" t="s">
        <v>4571</v>
      </c>
      <c r="D423" t="s">
        <v>30</v>
      </c>
      <c r="E423" t="s">
        <v>54</v>
      </c>
      <c r="F423">
        <v>4500246331</v>
      </c>
      <c r="G423" t="s">
        <v>4572</v>
      </c>
      <c r="H423" t="s">
        <v>3334</v>
      </c>
      <c r="I423" t="s">
        <v>789</v>
      </c>
      <c r="J423" t="s">
        <v>54</v>
      </c>
      <c r="K423" s="2">
        <v>43301</v>
      </c>
      <c r="L423" s="2">
        <v>43301</v>
      </c>
      <c r="M423" t="str">
        <f>IFERROR(IF(VLOOKUP(LEFT(B423,2),'Humanitarian codes'!$A$2:$A$10,1,FALSE)=LEFT(B423,2),"Yes","Error"),"No")</f>
        <v>Yes</v>
      </c>
    </row>
    <row r="424" spans="1:13" x14ac:dyDescent="0.25">
      <c r="A424">
        <v>2022</v>
      </c>
      <c r="B424" t="s">
        <v>2842</v>
      </c>
      <c r="C424" t="s">
        <v>4571</v>
      </c>
      <c r="D424" t="s">
        <v>30</v>
      </c>
      <c r="E424" t="s">
        <v>54</v>
      </c>
      <c r="F424">
        <v>4500246876</v>
      </c>
      <c r="G424" t="s">
        <v>4573</v>
      </c>
      <c r="H424" t="s">
        <v>3334</v>
      </c>
      <c r="I424" t="s">
        <v>1858</v>
      </c>
      <c r="J424" t="s">
        <v>54</v>
      </c>
      <c r="K424" s="2">
        <v>60000</v>
      </c>
      <c r="L424" s="2">
        <v>102703</v>
      </c>
      <c r="M424" t="str">
        <f>IFERROR(IF(VLOOKUP(LEFT(B424,2),'Humanitarian codes'!$A$2:$A$10,1,FALSE)=LEFT(B424,2),"Yes","Error"),"No")</f>
        <v>Yes</v>
      </c>
    </row>
    <row r="425" spans="1:13" x14ac:dyDescent="0.25">
      <c r="A425">
        <v>2022</v>
      </c>
      <c r="B425" t="s">
        <v>2842</v>
      </c>
      <c r="C425" t="s">
        <v>4571</v>
      </c>
      <c r="D425" t="s">
        <v>30</v>
      </c>
      <c r="E425" t="s">
        <v>54</v>
      </c>
      <c r="F425">
        <v>4500246901</v>
      </c>
      <c r="G425" t="s">
        <v>4574</v>
      </c>
      <c r="H425" t="s">
        <v>3334</v>
      </c>
      <c r="I425" t="s">
        <v>3251</v>
      </c>
      <c r="J425" t="s">
        <v>54</v>
      </c>
      <c r="K425" s="2">
        <v>71835</v>
      </c>
      <c r="L425" s="2">
        <v>110515</v>
      </c>
      <c r="M425" t="str">
        <f>IFERROR(IF(VLOOKUP(LEFT(B425,2),'Humanitarian codes'!$A$2:$A$10,1,FALSE)=LEFT(B425,2),"Yes","Error"),"No")</f>
        <v>Yes</v>
      </c>
    </row>
    <row r="426" spans="1:13" x14ac:dyDescent="0.25">
      <c r="A426">
        <v>2022</v>
      </c>
      <c r="B426" t="s">
        <v>2842</v>
      </c>
      <c r="C426" t="s">
        <v>4571</v>
      </c>
      <c r="D426" t="s">
        <v>30</v>
      </c>
      <c r="E426" t="s">
        <v>54</v>
      </c>
      <c r="F426">
        <v>4500246911</v>
      </c>
      <c r="G426" t="s">
        <v>4575</v>
      </c>
      <c r="H426" t="s">
        <v>3334</v>
      </c>
      <c r="I426" t="s">
        <v>3253</v>
      </c>
      <c r="J426" t="s">
        <v>54</v>
      </c>
      <c r="K426" s="2">
        <v>70793</v>
      </c>
      <c r="L426" s="2">
        <v>111615</v>
      </c>
      <c r="M426" t="str">
        <f>IFERROR(IF(VLOOKUP(LEFT(B426,2),'Humanitarian codes'!$A$2:$A$10,1,FALSE)=LEFT(B426,2),"Yes","Error"),"No")</f>
        <v>Yes</v>
      </c>
    </row>
    <row r="427" spans="1:13" x14ac:dyDescent="0.25">
      <c r="A427">
        <v>2022</v>
      </c>
      <c r="B427" t="s">
        <v>2842</v>
      </c>
      <c r="C427" t="s">
        <v>4571</v>
      </c>
      <c r="D427" t="s">
        <v>30</v>
      </c>
      <c r="E427" t="s">
        <v>54</v>
      </c>
      <c r="F427">
        <v>4500248523</v>
      </c>
      <c r="G427" t="s">
        <v>4576</v>
      </c>
      <c r="H427" t="s">
        <v>3334</v>
      </c>
      <c r="I427" t="s">
        <v>3393</v>
      </c>
      <c r="J427" t="s">
        <v>54</v>
      </c>
      <c r="K427" s="2">
        <v>70636</v>
      </c>
      <c r="L427" s="2">
        <v>105428</v>
      </c>
      <c r="M427" t="str">
        <f>IFERROR(IF(VLOOKUP(LEFT(B427,2),'Humanitarian codes'!$A$2:$A$10,1,FALSE)=LEFT(B427,2),"Yes","Error"),"No")</f>
        <v>Yes</v>
      </c>
    </row>
    <row r="428" spans="1:13" x14ac:dyDescent="0.25">
      <c r="A428">
        <v>2022</v>
      </c>
      <c r="B428" t="s">
        <v>2842</v>
      </c>
      <c r="C428" t="s">
        <v>4571</v>
      </c>
      <c r="D428" t="s">
        <v>30</v>
      </c>
      <c r="E428" t="s">
        <v>54</v>
      </c>
      <c r="F428">
        <v>4500259636</v>
      </c>
      <c r="G428" t="s">
        <v>4577</v>
      </c>
      <c r="H428" t="s">
        <v>3334</v>
      </c>
      <c r="I428" t="s">
        <v>1728</v>
      </c>
      <c r="J428" t="s">
        <v>54</v>
      </c>
      <c r="K428" s="2">
        <v>1928</v>
      </c>
      <c r="L428" s="2">
        <v>3856</v>
      </c>
      <c r="M428" t="str">
        <f>IFERROR(IF(VLOOKUP(LEFT(B428,2),'Humanitarian codes'!$A$2:$A$10,1,FALSE)=LEFT(B428,2),"Yes","Error"),"No")</f>
        <v>Yes</v>
      </c>
    </row>
    <row r="429" spans="1:13" x14ac:dyDescent="0.25">
      <c r="A429">
        <v>2022</v>
      </c>
      <c r="B429" t="s">
        <v>66</v>
      </c>
      <c r="C429" t="s">
        <v>67</v>
      </c>
      <c r="D429" t="s">
        <v>30</v>
      </c>
      <c r="E429" t="s">
        <v>1166</v>
      </c>
      <c r="F429">
        <v>4500210690</v>
      </c>
      <c r="G429" t="s">
        <v>4414</v>
      </c>
      <c r="H429" t="s">
        <v>3334</v>
      </c>
      <c r="I429" t="s">
        <v>4415</v>
      </c>
      <c r="J429" t="s">
        <v>4407</v>
      </c>
      <c r="K429" s="2">
        <v>2048</v>
      </c>
      <c r="L429" s="2">
        <v>12772</v>
      </c>
      <c r="M429" t="str">
        <f>IFERROR(IF(VLOOKUP(LEFT(B429,2),'Humanitarian codes'!$A$2:$A$10,1,FALSE)=LEFT(B429,2),"Yes","Error"),"No")</f>
        <v>Yes</v>
      </c>
    </row>
    <row r="430" spans="1:13" x14ac:dyDescent="0.25">
      <c r="A430">
        <v>2022</v>
      </c>
      <c r="B430" t="s">
        <v>66</v>
      </c>
      <c r="C430" t="s">
        <v>67</v>
      </c>
      <c r="D430" t="s">
        <v>30</v>
      </c>
      <c r="E430" t="s">
        <v>1166</v>
      </c>
      <c r="F430">
        <v>4500250484</v>
      </c>
      <c r="G430" t="s">
        <v>4422</v>
      </c>
      <c r="H430" t="s">
        <v>3334</v>
      </c>
      <c r="I430" t="s">
        <v>4423</v>
      </c>
      <c r="J430" t="s">
        <v>4407</v>
      </c>
      <c r="K430" s="2">
        <v>4353</v>
      </c>
      <c r="L430" s="2">
        <v>8710</v>
      </c>
      <c r="M430" t="str">
        <f>IFERROR(IF(VLOOKUP(LEFT(B430,2),'Humanitarian codes'!$A$2:$A$10,1,FALSE)=LEFT(B430,2),"Yes","Error"),"No")</f>
        <v>Yes</v>
      </c>
    </row>
    <row r="431" spans="1:13" x14ac:dyDescent="0.25">
      <c r="A431">
        <v>2022</v>
      </c>
      <c r="B431" t="s">
        <v>66</v>
      </c>
      <c r="C431" t="s">
        <v>67</v>
      </c>
      <c r="D431" t="s">
        <v>30</v>
      </c>
      <c r="E431" t="s">
        <v>1166</v>
      </c>
      <c r="F431">
        <v>4500272429</v>
      </c>
      <c r="G431" t="s">
        <v>4578</v>
      </c>
      <c r="H431" t="s">
        <v>3334</v>
      </c>
      <c r="I431" t="s">
        <v>3906</v>
      </c>
      <c r="J431" t="s">
        <v>4407</v>
      </c>
      <c r="K431" s="2">
        <v>2641876</v>
      </c>
      <c r="L431" s="2">
        <v>2641876</v>
      </c>
      <c r="M431" t="str">
        <f>IFERROR(IF(VLOOKUP(LEFT(B431,2),'Humanitarian codes'!$A$2:$A$10,1,FALSE)=LEFT(B431,2),"Yes","Error"),"No")</f>
        <v>Yes</v>
      </c>
    </row>
    <row r="432" spans="1:13" x14ac:dyDescent="0.25">
      <c r="A432">
        <v>2022</v>
      </c>
      <c r="B432" t="s">
        <v>4579</v>
      </c>
      <c r="C432" t="s">
        <v>4580</v>
      </c>
      <c r="D432" t="s">
        <v>30</v>
      </c>
      <c r="E432" t="s">
        <v>356</v>
      </c>
      <c r="F432">
        <v>4500253062</v>
      </c>
      <c r="G432" t="s">
        <v>4581</v>
      </c>
      <c r="H432" t="s">
        <v>3334</v>
      </c>
      <c r="I432" t="s">
        <v>4582</v>
      </c>
      <c r="J432" t="s">
        <v>356</v>
      </c>
      <c r="K432" s="2">
        <v>56969</v>
      </c>
      <c r="L432" s="2">
        <v>56969</v>
      </c>
      <c r="M432" t="str">
        <f>IFERROR(IF(VLOOKUP(LEFT(B432,2),'Humanitarian codes'!$A$2:$A$10,1,FALSE)=LEFT(B432,2),"Yes","Error"),"No")</f>
        <v>Yes</v>
      </c>
    </row>
    <row r="433" spans="1:13" x14ac:dyDescent="0.25">
      <c r="A433">
        <v>2022</v>
      </c>
      <c r="B433" t="s">
        <v>4583</v>
      </c>
      <c r="C433" t="s">
        <v>88</v>
      </c>
      <c r="D433" t="s">
        <v>30</v>
      </c>
      <c r="E433" t="s">
        <v>32</v>
      </c>
      <c r="F433">
        <v>4500184243</v>
      </c>
      <c r="G433" t="s">
        <v>4283</v>
      </c>
      <c r="H433" t="s">
        <v>3334</v>
      </c>
      <c r="I433" t="s">
        <v>4584</v>
      </c>
      <c r="J433" t="s">
        <v>32</v>
      </c>
      <c r="K433" s="2">
        <v>208708</v>
      </c>
      <c r="L433" s="2">
        <v>208708</v>
      </c>
      <c r="M433" t="str">
        <f>IFERROR(IF(VLOOKUP(LEFT(B433,2),'Humanitarian codes'!$A$2:$A$10,1,FALSE)=LEFT(B433,2),"Yes","Error"),"No")</f>
        <v>Yes</v>
      </c>
    </row>
    <row r="434" spans="1:13" x14ac:dyDescent="0.25">
      <c r="A434">
        <v>2022</v>
      </c>
      <c r="B434" t="s">
        <v>4583</v>
      </c>
      <c r="C434" t="s">
        <v>88</v>
      </c>
      <c r="D434" t="s">
        <v>30</v>
      </c>
      <c r="E434" t="s">
        <v>32</v>
      </c>
      <c r="F434">
        <v>4500187650</v>
      </c>
      <c r="G434" t="s">
        <v>4585</v>
      </c>
      <c r="H434" t="s">
        <v>3334</v>
      </c>
      <c r="I434" t="s">
        <v>1261</v>
      </c>
      <c r="J434" t="s">
        <v>32</v>
      </c>
      <c r="K434" s="2">
        <v>78964</v>
      </c>
      <c r="L434" s="2">
        <v>78964</v>
      </c>
      <c r="M434" t="str">
        <f>IFERROR(IF(VLOOKUP(LEFT(B434,2),'Humanitarian codes'!$A$2:$A$10,1,FALSE)=LEFT(B434,2),"Yes","Error"),"No")</f>
        <v>Yes</v>
      </c>
    </row>
    <row r="435" spans="1:13" x14ac:dyDescent="0.25">
      <c r="A435">
        <v>2022</v>
      </c>
      <c r="B435" t="s">
        <v>4583</v>
      </c>
      <c r="C435" t="s">
        <v>88</v>
      </c>
      <c r="D435" t="s">
        <v>30</v>
      </c>
      <c r="E435" t="s">
        <v>32</v>
      </c>
      <c r="F435">
        <v>4500196684</v>
      </c>
      <c r="G435" t="s">
        <v>4586</v>
      </c>
      <c r="H435" t="s">
        <v>3334</v>
      </c>
      <c r="I435" t="s">
        <v>4587</v>
      </c>
      <c r="J435" t="s">
        <v>32</v>
      </c>
      <c r="K435" s="2">
        <v>250000</v>
      </c>
      <c r="L435" s="2">
        <v>250000</v>
      </c>
      <c r="M435" t="str">
        <f>IFERROR(IF(VLOOKUP(LEFT(B435,2),'Humanitarian codes'!$A$2:$A$10,1,FALSE)=LEFT(B435,2),"Yes","Error"),"No")</f>
        <v>Yes</v>
      </c>
    </row>
    <row r="436" spans="1:13" x14ac:dyDescent="0.25">
      <c r="A436">
        <v>2022</v>
      </c>
      <c r="B436" t="s">
        <v>4583</v>
      </c>
      <c r="C436" t="s">
        <v>88</v>
      </c>
      <c r="D436" t="s">
        <v>30</v>
      </c>
      <c r="E436" t="s">
        <v>32</v>
      </c>
      <c r="F436">
        <v>4500196686</v>
      </c>
      <c r="G436" t="s">
        <v>4588</v>
      </c>
      <c r="H436" t="s">
        <v>3334</v>
      </c>
      <c r="I436" t="s">
        <v>94</v>
      </c>
      <c r="J436" t="s">
        <v>32</v>
      </c>
      <c r="K436" s="2">
        <v>484150</v>
      </c>
      <c r="L436" s="2">
        <v>484150</v>
      </c>
      <c r="M436" t="str">
        <f>IFERROR(IF(VLOOKUP(LEFT(B436,2),'Humanitarian codes'!$A$2:$A$10,1,FALSE)=LEFT(B436,2),"Yes","Error"),"No")</f>
        <v>Yes</v>
      </c>
    </row>
    <row r="437" spans="1:13" x14ac:dyDescent="0.25">
      <c r="A437">
        <v>2022</v>
      </c>
      <c r="B437" t="s">
        <v>4583</v>
      </c>
      <c r="C437" t="s">
        <v>88</v>
      </c>
      <c r="D437" t="s">
        <v>30</v>
      </c>
      <c r="E437" t="s">
        <v>32</v>
      </c>
      <c r="F437">
        <v>4500196689</v>
      </c>
      <c r="G437" t="s">
        <v>4589</v>
      </c>
      <c r="H437" t="s">
        <v>3334</v>
      </c>
      <c r="I437" t="s">
        <v>4590</v>
      </c>
      <c r="J437" t="s">
        <v>32</v>
      </c>
      <c r="K437" s="2">
        <v>321373</v>
      </c>
      <c r="L437" s="2">
        <v>321373</v>
      </c>
      <c r="M437" t="str">
        <f>IFERROR(IF(VLOOKUP(LEFT(B437,2),'Humanitarian codes'!$A$2:$A$10,1,FALSE)=LEFT(B437,2),"Yes","Error"),"No")</f>
        <v>Yes</v>
      </c>
    </row>
    <row r="438" spans="1:13" x14ac:dyDescent="0.25">
      <c r="A438">
        <v>2022</v>
      </c>
      <c r="B438" t="s">
        <v>4583</v>
      </c>
      <c r="C438" t="s">
        <v>88</v>
      </c>
      <c r="D438" t="s">
        <v>30</v>
      </c>
      <c r="E438" t="s">
        <v>32</v>
      </c>
      <c r="F438">
        <v>4500201172</v>
      </c>
      <c r="G438" t="s">
        <v>4591</v>
      </c>
      <c r="H438" t="s">
        <v>3334</v>
      </c>
      <c r="I438" t="s">
        <v>4592</v>
      </c>
      <c r="J438" t="s">
        <v>985</v>
      </c>
      <c r="K438" s="2">
        <v>327500</v>
      </c>
      <c r="L438" s="2">
        <v>327500</v>
      </c>
      <c r="M438" t="str">
        <f>IFERROR(IF(VLOOKUP(LEFT(B438,2),'Humanitarian codes'!$A$2:$A$10,1,FALSE)=LEFT(B438,2),"Yes","Error"),"No")</f>
        <v>Yes</v>
      </c>
    </row>
    <row r="439" spans="1:13" x14ac:dyDescent="0.25">
      <c r="A439">
        <v>2022</v>
      </c>
      <c r="B439" t="s">
        <v>4583</v>
      </c>
      <c r="C439" t="s">
        <v>88</v>
      </c>
      <c r="D439" t="s">
        <v>30</v>
      </c>
      <c r="E439" t="s">
        <v>32</v>
      </c>
      <c r="F439">
        <v>4500203259</v>
      </c>
      <c r="G439" t="s">
        <v>4593</v>
      </c>
      <c r="H439" t="s">
        <v>3334</v>
      </c>
      <c r="I439" t="s">
        <v>4594</v>
      </c>
      <c r="J439" t="s">
        <v>32</v>
      </c>
      <c r="K439" s="2">
        <v>189320</v>
      </c>
      <c r="L439" s="2">
        <v>189320</v>
      </c>
      <c r="M439" t="str">
        <f>IFERROR(IF(VLOOKUP(LEFT(B439,2),'Humanitarian codes'!$A$2:$A$10,1,FALSE)=LEFT(B439,2),"Yes","Error"),"No")</f>
        <v>Yes</v>
      </c>
    </row>
    <row r="440" spans="1:13" x14ac:dyDescent="0.25">
      <c r="A440">
        <v>2022</v>
      </c>
      <c r="B440" t="s">
        <v>4583</v>
      </c>
      <c r="C440" t="s">
        <v>88</v>
      </c>
      <c r="D440" t="s">
        <v>30</v>
      </c>
      <c r="E440" t="s">
        <v>32</v>
      </c>
      <c r="F440">
        <v>4500226971</v>
      </c>
      <c r="G440" t="s">
        <v>4595</v>
      </c>
      <c r="H440" t="s">
        <v>3334</v>
      </c>
      <c r="I440" t="s">
        <v>1261</v>
      </c>
      <c r="J440" t="s">
        <v>32</v>
      </c>
      <c r="K440" s="2">
        <v>237738</v>
      </c>
      <c r="L440" s="2">
        <v>237738</v>
      </c>
      <c r="M440" t="str">
        <f>IFERROR(IF(VLOOKUP(LEFT(B440,2),'Humanitarian codes'!$A$2:$A$10,1,FALSE)=LEFT(B440,2),"Yes","Error"),"No")</f>
        <v>Yes</v>
      </c>
    </row>
    <row r="441" spans="1:13" x14ac:dyDescent="0.25">
      <c r="A441">
        <v>2022</v>
      </c>
      <c r="B441" t="s">
        <v>4583</v>
      </c>
      <c r="C441" t="s">
        <v>88</v>
      </c>
      <c r="D441" t="s">
        <v>30</v>
      </c>
      <c r="E441" t="s">
        <v>32</v>
      </c>
      <c r="F441">
        <v>4500230912</v>
      </c>
      <c r="G441" t="s">
        <v>4596</v>
      </c>
      <c r="H441" t="s">
        <v>3334</v>
      </c>
      <c r="I441" t="s">
        <v>4597</v>
      </c>
      <c r="J441" t="s">
        <v>32</v>
      </c>
      <c r="K441" s="2">
        <v>142614</v>
      </c>
      <c r="L441" s="2">
        <v>142614</v>
      </c>
      <c r="M441" t="str">
        <f>IFERROR(IF(VLOOKUP(LEFT(B441,2),'Humanitarian codes'!$A$2:$A$10,1,FALSE)=LEFT(B441,2),"Yes","Error"),"No")</f>
        <v>Yes</v>
      </c>
    </row>
    <row r="442" spans="1:13" x14ac:dyDescent="0.25">
      <c r="A442">
        <v>2022</v>
      </c>
      <c r="B442" t="s">
        <v>4583</v>
      </c>
      <c r="C442" t="s">
        <v>88</v>
      </c>
      <c r="D442" t="s">
        <v>30</v>
      </c>
      <c r="E442" t="s">
        <v>32</v>
      </c>
      <c r="F442">
        <v>4500230918</v>
      </c>
      <c r="G442" t="s">
        <v>4598</v>
      </c>
      <c r="H442" t="s">
        <v>3334</v>
      </c>
      <c r="I442" t="s">
        <v>3439</v>
      </c>
      <c r="J442" t="s">
        <v>32</v>
      </c>
      <c r="K442" s="2">
        <v>201088</v>
      </c>
      <c r="L442" s="2">
        <v>201088</v>
      </c>
      <c r="M442" t="str">
        <f>IFERROR(IF(VLOOKUP(LEFT(B442,2),'Humanitarian codes'!$A$2:$A$10,1,FALSE)=LEFT(B442,2),"Yes","Error"),"No")</f>
        <v>Yes</v>
      </c>
    </row>
    <row r="443" spans="1:13" x14ac:dyDescent="0.25">
      <c r="A443">
        <v>2022</v>
      </c>
      <c r="B443" t="s">
        <v>3412</v>
      </c>
      <c r="C443" t="s">
        <v>3413</v>
      </c>
      <c r="D443" t="s">
        <v>30</v>
      </c>
      <c r="E443" t="s">
        <v>486</v>
      </c>
      <c r="F443">
        <v>4500192818</v>
      </c>
      <c r="G443" t="s">
        <v>4599</v>
      </c>
      <c r="H443" t="s">
        <v>3334</v>
      </c>
      <c r="I443" t="s">
        <v>4600</v>
      </c>
      <c r="J443" t="s">
        <v>486</v>
      </c>
      <c r="K443" s="2">
        <v>35994</v>
      </c>
      <c r="L443" s="2">
        <v>35994</v>
      </c>
      <c r="M443" t="str">
        <f>IFERROR(IF(VLOOKUP(LEFT(B443,2),'Humanitarian codes'!$A$2:$A$10,1,FALSE)=LEFT(B443,2),"Yes","Error"),"No")</f>
        <v>Yes</v>
      </c>
    </row>
    <row r="444" spans="1:13" x14ac:dyDescent="0.25">
      <c r="A444">
        <v>2022</v>
      </c>
      <c r="B444" t="s">
        <v>4601</v>
      </c>
      <c r="C444" t="s">
        <v>4602</v>
      </c>
      <c r="D444" t="s">
        <v>30</v>
      </c>
      <c r="E444" t="s">
        <v>793</v>
      </c>
      <c r="F444">
        <v>4500193164</v>
      </c>
      <c r="G444" t="s">
        <v>4603</v>
      </c>
      <c r="H444" t="s">
        <v>3334</v>
      </c>
      <c r="I444" t="s">
        <v>1837</v>
      </c>
      <c r="J444" t="s">
        <v>793</v>
      </c>
      <c r="K444" s="2">
        <v>17609</v>
      </c>
      <c r="L444" s="2">
        <v>17609</v>
      </c>
      <c r="M444" t="str">
        <f>IFERROR(IF(VLOOKUP(LEFT(B444,2),'Humanitarian codes'!$A$2:$A$10,1,FALSE)=LEFT(B444,2),"Yes","Error"),"No")</f>
        <v>Yes</v>
      </c>
    </row>
    <row r="445" spans="1:13" x14ac:dyDescent="0.25">
      <c r="A445">
        <v>2022</v>
      </c>
      <c r="B445" t="s">
        <v>3414</v>
      </c>
      <c r="C445" t="s">
        <v>231</v>
      </c>
      <c r="D445" t="s">
        <v>30</v>
      </c>
      <c r="E445" t="s">
        <v>175</v>
      </c>
      <c r="F445">
        <v>4500182678</v>
      </c>
      <c r="G445" t="s">
        <v>4604</v>
      </c>
      <c r="H445" t="s">
        <v>3334</v>
      </c>
      <c r="I445" t="s">
        <v>685</v>
      </c>
      <c r="J445" t="s">
        <v>175</v>
      </c>
      <c r="K445" s="2">
        <v>419175</v>
      </c>
      <c r="L445" s="2">
        <v>419175</v>
      </c>
      <c r="M445" t="str">
        <f>IFERROR(IF(VLOOKUP(LEFT(B445,2),'Humanitarian codes'!$A$2:$A$10,1,FALSE)=LEFT(B445,2),"Yes","Error"),"No")</f>
        <v>Yes</v>
      </c>
    </row>
    <row r="446" spans="1:13" x14ac:dyDescent="0.25">
      <c r="A446">
        <v>2022</v>
      </c>
      <c r="B446" t="s">
        <v>3414</v>
      </c>
      <c r="C446" t="s">
        <v>231</v>
      </c>
      <c r="D446" t="s">
        <v>30</v>
      </c>
      <c r="E446" t="s">
        <v>175</v>
      </c>
      <c r="F446">
        <v>4500182684</v>
      </c>
      <c r="G446" t="s">
        <v>4605</v>
      </c>
      <c r="H446" t="s">
        <v>3334</v>
      </c>
      <c r="I446" t="s">
        <v>390</v>
      </c>
      <c r="J446" t="s">
        <v>175</v>
      </c>
      <c r="K446" s="2">
        <v>341506</v>
      </c>
      <c r="L446" s="2">
        <v>341506</v>
      </c>
      <c r="M446" t="str">
        <f>IFERROR(IF(VLOOKUP(LEFT(B446,2),'Humanitarian codes'!$A$2:$A$10,1,FALSE)=LEFT(B446,2),"Yes","Error"),"No")</f>
        <v>Yes</v>
      </c>
    </row>
    <row r="447" spans="1:13" x14ac:dyDescent="0.25">
      <c r="A447">
        <v>2022</v>
      </c>
      <c r="B447" t="s">
        <v>3414</v>
      </c>
      <c r="C447" t="s">
        <v>231</v>
      </c>
      <c r="D447" t="s">
        <v>30</v>
      </c>
      <c r="E447" t="s">
        <v>175</v>
      </c>
      <c r="F447">
        <v>4500182998</v>
      </c>
      <c r="G447" t="s">
        <v>4606</v>
      </c>
      <c r="H447" t="s">
        <v>3334</v>
      </c>
      <c r="I447" t="s">
        <v>887</v>
      </c>
      <c r="J447" t="s">
        <v>175</v>
      </c>
      <c r="K447" s="2">
        <v>268475</v>
      </c>
      <c r="L447" s="2">
        <v>268475</v>
      </c>
      <c r="M447" t="str">
        <f>IFERROR(IF(VLOOKUP(LEFT(B447,2),'Humanitarian codes'!$A$2:$A$10,1,FALSE)=LEFT(B447,2),"Yes","Error"),"No")</f>
        <v>Yes</v>
      </c>
    </row>
    <row r="448" spans="1:13" x14ac:dyDescent="0.25">
      <c r="A448">
        <v>2022</v>
      </c>
      <c r="B448" t="s">
        <v>3414</v>
      </c>
      <c r="C448" t="s">
        <v>231</v>
      </c>
      <c r="D448" t="s">
        <v>30</v>
      </c>
      <c r="E448" t="s">
        <v>175</v>
      </c>
      <c r="F448">
        <v>4500183035</v>
      </c>
      <c r="G448" t="s">
        <v>4607</v>
      </c>
      <c r="H448" t="s">
        <v>3334</v>
      </c>
      <c r="I448" t="s">
        <v>4536</v>
      </c>
      <c r="J448" t="s">
        <v>751</v>
      </c>
      <c r="K448" s="2">
        <v>68941</v>
      </c>
      <c r="L448" s="2">
        <v>68941</v>
      </c>
      <c r="M448" t="str">
        <f>IFERROR(IF(VLOOKUP(LEFT(B448,2),'Humanitarian codes'!$A$2:$A$10,1,FALSE)=LEFT(B448,2),"Yes","Error"),"No")</f>
        <v>Yes</v>
      </c>
    </row>
    <row r="449" spans="1:13" x14ac:dyDescent="0.25">
      <c r="A449">
        <v>2022</v>
      </c>
      <c r="B449" t="s">
        <v>3414</v>
      </c>
      <c r="C449" t="s">
        <v>231</v>
      </c>
      <c r="D449" t="s">
        <v>30</v>
      </c>
      <c r="E449" t="s">
        <v>175</v>
      </c>
      <c r="F449">
        <v>4500183043</v>
      </c>
      <c r="G449" t="s">
        <v>4608</v>
      </c>
      <c r="H449" t="s">
        <v>3334</v>
      </c>
      <c r="I449" t="s">
        <v>3416</v>
      </c>
      <c r="J449" t="s">
        <v>175</v>
      </c>
      <c r="K449" s="2">
        <v>19243</v>
      </c>
      <c r="L449" s="2">
        <v>19243</v>
      </c>
      <c r="M449" t="str">
        <f>IFERROR(IF(VLOOKUP(LEFT(B449,2),'Humanitarian codes'!$A$2:$A$10,1,FALSE)=LEFT(B449,2),"Yes","Error"),"No")</f>
        <v>Yes</v>
      </c>
    </row>
    <row r="450" spans="1:13" x14ac:dyDescent="0.25">
      <c r="A450">
        <v>2022</v>
      </c>
      <c r="B450" t="s">
        <v>3414</v>
      </c>
      <c r="C450" t="s">
        <v>231</v>
      </c>
      <c r="D450" t="s">
        <v>30</v>
      </c>
      <c r="E450" t="s">
        <v>175</v>
      </c>
      <c r="F450">
        <v>4500183471</v>
      </c>
      <c r="G450" t="s">
        <v>4609</v>
      </c>
      <c r="H450" t="s">
        <v>3334</v>
      </c>
      <c r="I450" t="s">
        <v>185</v>
      </c>
      <c r="J450" t="s">
        <v>175</v>
      </c>
      <c r="K450" s="2">
        <v>152283</v>
      </c>
      <c r="L450" s="2">
        <v>152283</v>
      </c>
      <c r="M450" t="str">
        <f>IFERROR(IF(VLOOKUP(LEFT(B450,2),'Humanitarian codes'!$A$2:$A$10,1,FALSE)=LEFT(B450,2),"Yes","Error"),"No")</f>
        <v>Yes</v>
      </c>
    </row>
    <row r="451" spans="1:13" x14ac:dyDescent="0.25">
      <c r="A451">
        <v>2022</v>
      </c>
      <c r="B451" t="s">
        <v>3414</v>
      </c>
      <c r="C451" t="s">
        <v>231</v>
      </c>
      <c r="D451" t="s">
        <v>30</v>
      </c>
      <c r="E451" t="s">
        <v>175</v>
      </c>
      <c r="F451">
        <v>4500185993</v>
      </c>
      <c r="G451" t="s">
        <v>4610</v>
      </c>
      <c r="H451" t="s">
        <v>3334</v>
      </c>
      <c r="I451" t="s">
        <v>4611</v>
      </c>
      <c r="J451" t="s">
        <v>175</v>
      </c>
      <c r="K451" s="2">
        <v>11993</v>
      </c>
      <c r="L451" s="2">
        <v>11993</v>
      </c>
      <c r="M451" t="str">
        <f>IFERROR(IF(VLOOKUP(LEFT(B451,2),'Humanitarian codes'!$A$2:$A$10,1,FALSE)=LEFT(B451,2),"Yes","Error"),"No")</f>
        <v>Yes</v>
      </c>
    </row>
    <row r="452" spans="1:13" x14ac:dyDescent="0.25">
      <c r="A452">
        <v>2022</v>
      </c>
      <c r="B452" t="s">
        <v>3414</v>
      </c>
      <c r="C452" t="s">
        <v>231</v>
      </c>
      <c r="D452" t="s">
        <v>30</v>
      </c>
      <c r="E452" t="s">
        <v>175</v>
      </c>
      <c r="F452">
        <v>4500190414</v>
      </c>
      <c r="G452" t="s">
        <v>4612</v>
      </c>
      <c r="H452" t="s">
        <v>3334</v>
      </c>
      <c r="I452" t="s">
        <v>3416</v>
      </c>
      <c r="J452" t="s">
        <v>175</v>
      </c>
      <c r="K452" s="2">
        <v>265194</v>
      </c>
      <c r="L452" s="2">
        <v>265194</v>
      </c>
      <c r="M452" t="str">
        <f>IFERROR(IF(VLOOKUP(LEFT(B452,2),'Humanitarian codes'!$A$2:$A$10,1,FALSE)=LEFT(B452,2),"Yes","Error"),"No")</f>
        <v>Yes</v>
      </c>
    </row>
    <row r="453" spans="1:13" x14ac:dyDescent="0.25">
      <c r="A453">
        <v>2022</v>
      </c>
      <c r="B453" t="s">
        <v>3414</v>
      </c>
      <c r="C453" t="s">
        <v>231</v>
      </c>
      <c r="D453" t="s">
        <v>30</v>
      </c>
      <c r="E453" t="s">
        <v>175</v>
      </c>
      <c r="F453">
        <v>4500211770</v>
      </c>
      <c r="G453" t="s">
        <v>4613</v>
      </c>
      <c r="H453" t="s">
        <v>3334</v>
      </c>
      <c r="I453" t="s">
        <v>2974</v>
      </c>
      <c r="J453" t="s">
        <v>175</v>
      </c>
      <c r="K453" s="2">
        <v>201012</v>
      </c>
      <c r="L453" s="2">
        <v>201012</v>
      </c>
      <c r="M453" t="str">
        <f>IFERROR(IF(VLOOKUP(LEFT(B453,2),'Humanitarian codes'!$A$2:$A$10,1,FALSE)=LEFT(B453,2),"Yes","Error"),"No")</f>
        <v>Yes</v>
      </c>
    </row>
    <row r="454" spans="1:13" x14ac:dyDescent="0.25">
      <c r="A454">
        <v>2022</v>
      </c>
      <c r="B454" t="s">
        <v>3414</v>
      </c>
      <c r="C454" t="s">
        <v>231</v>
      </c>
      <c r="D454" t="s">
        <v>30</v>
      </c>
      <c r="E454" t="s">
        <v>175</v>
      </c>
      <c r="F454">
        <v>4500212651</v>
      </c>
      <c r="G454" t="s">
        <v>4614</v>
      </c>
      <c r="H454" t="s">
        <v>3334</v>
      </c>
      <c r="I454" t="s">
        <v>1832</v>
      </c>
      <c r="J454" t="s">
        <v>175</v>
      </c>
      <c r="K454" s="2">
        <v>103500</v>
      </c>
      <c r="L454" s="2">
        <v>103500</v>
      </c>
      <c r="M454" t="str">
        <f>IFERROR(IF(VLOOKUP(LEFT(B454,2),'Humanitarian codes'!$A$2:$A$10,1,FALSE)=LEFT(B454,2),"Yes","Error"),"No")</f>
        <v>Yes</v>
      </c>
    </row>
    <row r="455" spans="1:13" x14ac:dyDescent="0.25">
      <c r="A455">
        <v>2022</v>
      </c>
      <c r="B455" t="s">
        <v>3414</v>
      </c>
      <c r="C455" t="s">
        <v>231</v>
      </c>
      <c r="D455" t="s">
        <v>30</v>
      </c>
      <c r="E455" t="s">
        <v>175</v>
      </c>
      <c r="F455">
        <v>4500234616</v>
      </c>
      <c r="G455" t="s">
        <v>4615</v>
      </c>
      <c r="H455" t="s">
        <v>3334</v>
      </c>
      <c r="I455" t="s">
        <v>4611</v>
      </c>
      <c r="J455" t="s">
        <v>175</v>
      </c>
      <c r="K455" s="2">
        <v>21730</v>
      </c>
      <c r="L455" s="2">
        <v>21730</v>
      </c>
      <c r="M455" t="str">
        <f>IFERROR(IF(VLOOKUP(LEFT(B455,2),'Humanitarian codes'!$A$2:$A$10,1,FALSE)=LEFT(B455,2),"Yes","Error"),"No")</f>
        <v>Yes</v>
      </c>
    </row>
    <row r="456" spans="1:13" x14ac:dyDescent="0.25">
      <c r="A456">
        <v>2022</v>
      </c>
      <c r="B456" t="s">
        <v>3414</v>
      </c>
      <c r="C456" t="s">
        <v>231</v>
      </c>
      <c r="D456" t="s">
        <v>30</v>
      </c>
      <c r="E456" t="s">
        <v>175</v>
      </c>
      <c r="F456">
        <v>4500234657</v>
      </c>
      <c r="G456" t="s">
        <v>4616</v>
      </c>
      <c r="H456" t="s">
        <v>3334</v>
      </c>
      <c r="I456" t="s">
        <v>1832</v>
      </c>
      <c r="J456" t="s">
        <v>175</v>
      </c>
      <c r="K456" s="2">
        <v>374320</v>
      </c>
      <c r="L456" s="2">
        <v>413998</v>
      </c>
      <c r="M456" t="str">
        <f>IFERROR(IF(VLOOKUP(LEFT(B456,2),'Humanitarian codes'!$A$2:$A$10,1,FALSE)=LEFT(B456,2),"Yes","Error"),"No")</f>
        <v>Yes</v>
      </c>
    </row>
    <row r="457" spans="1:13" x14ac:dyDescent="0.25">
      <c r="A457">
        <v>2022</v>
      </c>
      <c r="B457" t="s">
        <v>3414</v>
      </c>
      <c r="C457" t="s">
        <v>231</v>
      </c>
      <c r="D457" t="s">
        <v>30</v>
      </c>
      <c r="E457" t="s">
        <v>175</v>
      </c>
      <c r="F457">
        <v>4500240272</v>
      </c>
      <c r="G457" t="s">
        <v>4617</v>
      </c>
      <c r="H457" t="s">
        <v>3334</v>
      </c>
      <c r="I457" t="s">
        <v>182</v>
      </c>
      <c r="J457" t="s">
        <v>175</v>
      </c>
      <c r="K457" s="2">
        <v>234975</v>
      </c>
      <c r="L457" s="2">
        <v>234975</v>
      </c>
      <c r="M457" t="str">
        <f>IFERROR(IF(VLOOKUP(LEFT(B457,2),'Humanitarian codes'!$A$2:$A$10,1,FALSE)=LEFT(B457,2),"Yes","Error"),"No")</f>
        <v>Yes</v>
      </c>
    </row>
    <row r="458" spans="1:13" x14ac:dyDescent="0.25">
      <c r="A458">
        <v>2022</v>
      </c>
      <c r="B458" t="s">
        <v>3414</v>
      </c>
      <c r="C458" t="s">
        <v>231</v>
      </c>
      <c r="D458" t="s">
        <v>30</v>
      </c>
      <c r="E458" t="s">
        <v>175</v>
      </c>
      <c r="F458">
        <v>4500240583</v>
      </c>
      <c r="G458" t="s">
        <v>4618</v>
      </c>
      <c r="H458" t="s">
        <v>3334</v>
      </c>
      <c r="I458" t="s">
        <v>186</v>
      </c>
      <c r="J458" t="s">
        <v>175</v>
      </c>
      <c r="K458" s="2">
        <v>70351</v>
      </c>
      <c r="L458" s="2">
        <v>70351</v>
      </c>
      <c r="M458" t="str">
        <f>IFERROR(IF(VLOOKUP(LEFT(B458,2),'Humanitarian codes'!$A$2:$A$10,1,FALSE)=LEFT(B458,2),"Yes","Error"),"No")</f>
        <v>Yes</v>
      </c>
    </row>
    <row r="459" spans="1:13" x14ac:dyDescent="0.25">
      <c r="A459">
        <v>2022</v>
      </c>
      <c r="B459" t="s">
        <v>3414</v>
      </c>
      <c r="C459" t="s">
        <v>231</v>
      </c>
      <c r="D459" t="s">
        <v>30</v>
      </c>
      <c r="E459" t="s">
        <v>175</v>
      </c>
      <c r="F459">
        <v>4500240902</v>
      </c>
      <c r="G459" t="s">
        <v>4619</v>
      </c>
      <c r="H459" t="s">
        <v>3334</v>
      </c>
      <c r="I459" t="s">
        <v>2974</v>
      </c>
      <c r="J459" t="s">
        <v>175</v>
      </c>
      <c r="K459" s="2">
        <v>153510</v>
      </c>
      <c r="L459" s="2">
        <v>153510</v>
      </c>
      <c r="M459" t="str">
        <f>IFERROR(IF(VLOOKUP(LEFT(B459,2),'Humanitarian codes'!$A$2:$A$10,1,FALSE)=LEFT(B459,2),"Yes","Error"),"No")</f>
        <v>Yes</v>
      </c>
    </row>
    <row r="460" spans="1:13" x14ac:dyDescent="0.25">
      <c r="A460">
        <v>2022</v>
      </c>
      <c r="B460" t="s">
        <v>3414</v>
      </c>
      <c r="C460" t="s">
        <v>231</v>
      </c>
      <c r="D460" t="s">
        <v>30</v>
      </c>
      <c r="E460" t="s">
        <v>175</v>
      </c>
      <c r="F460">
        <v>4500244007</v>
      </c>
      <c r="G460" t="s">
        <v>4620</v>
      </c>
      <c r="H460" t="s">
        <v>3334</v>
      </c>
      <c r="I460" t="s">
        <v>183</v>
      </c>
      <c r="J460" t="s">
        <v>184</v>
      </c>
      <c r="K460" s="2">
        <v>322900</v>
      </c>
      <c r="L460" s="2">
        <v>322900</v>
      </c>
      <c r="M460" t="str">
        <f>IFERROR(IF(VLOOKUP(LEFT(B460,2),'Humanitarian codes'!$A$2:$A$10,1,FALSE)=LEFT(B460,2),"Yes","Error"),"No")</f>
        <v>Yes</v>
      </c>
    </row>
    <row r="461" spans="1:13" x14ac:dyDescent="0.25">
      <c r="A461">
        <v>2022</v>
      </c>
      <c r="B461" t="s">
        <v>3414</v>
      </c>
      <c r="C461" t="s">
        <v>231</v>
      </c>
      <c r="D461" t="s">
        <v>30</v>
      </c>
      <c r="E461" t="s">
        <v>175</v>
      </c>
      <c r="F461">
        <v>4500259101</v>
      </c>
      <c r="G461" t="s">
        <v>4621</v>
      </c>
      <c r="H461" t="s">
        <v>3334</v>
      </c>
      <c r="I461" t="s">
        <v>4611</v>
      </c>
      <c r="J461" t="s">
        <v>175</v>
      </c>
      <c r="K461" s="2">
        <v>17378</v>
      </c>
      <c r="L461" s="2">
        <v>17378</v>
      </c>
      <c r="M461" t="str">
        <f>IFERROR(IF(VLOOKUP(LEFT(B461,2),'Humanitarian codes'!$A$2:$A$10,1,FALSE)=LEFT(B461,2),"Yes","Error"),"No")</f>
        <v>Yes</v>
      </c>
    </row>
    <row r="462" spans="1:13" x14ac:dyDescent="0.25">
      <c r="A462">
        <v>2022</v>
      </c>
      <c r="B462" t="s">
        <v>3414</v>
      </c>
      <c r="C462" t="s">
        <v>231</v>
      </c>
      <c r="D462" t="s">
        <v>30</v>
      </c>
      <c r="E462" t="s">
        <v>175</v>
      </c>
      <c r="F462">
        <v>4500267079</v>
      </c>
      <c r="G462" t="s">
        <v>4622</v>
      </c>
      <c r="H462" t="s">
        <v>3334</v>
      </c>
      <c r="I462" t="s">
        <v>4536</v>
      </c>
      <c r="J462" t="s">
        <v>751</v>
      </c>
      <c r="K462" s="2">
        <v>137902</v>
      </c>
      <c r="L462" s="2">
        <v>137902</v>
      </c>
      <c r="M462" t="str">
        <f>IFERROR(IF(VLOOKUP(LEFT(B462,2),'Humanitarian codes'!$A$2:$A$10,1,FALSE)=LEFT(B462,2),"Yes","Error"),"No")</f>
        <v>Yes</v>
      </c>
    </row>
    <row r="463" spans="1:13" x14ac:dyDescent="0.25">
      <c r="A463">
        <v>2022</v>
      </c>
      <c r="B463" t="s">
        <v>4623</v>
      </c>
      <c r="C463" t="s">
        <v>4624</v>
      </c>
      <c r="D463" t="s">
        <v>30</v>
      </c>
      <c r="E463" t="s">
        <v>167</v>
      </c>
      <c r="F463">
        <v>4500201451</v>
      </c>
      <c r="G463" t="s">
        <v>4625</v>
      </c>
      <c r="H463" t="s">
        <v>3334</v>
      </c>
      <c r="I463" t="s">
        <v>4626</v>
      </c>
      <c r="J463" t="s">
        <v>972</v>
      </c>
      <c r="K463" s="2">
        <v>45192</v>
      </c>
      <c r="L463" s="2">
        <v>45192</v>
      </c>
      <c r="M463" t="str">
        <f>IFERROR(IF(VLOOKUP(LEFT(B463,2),'Humanitarian codes'!$A$2:$A$10,1,FALSE)=LEFT(B463,2),"Yes","Error"),"No")</f>
        <v>Yes</v>
      </c>
    </row>
    <row r="464" spans="1:13" x14ac:dyDescent="0.25">
      <c r="A464">
        <v>2022</v>
      </c>
      <c r="B464" t="s">
        <v>2308</v>
      </c>
      <c r="C464" t="s">
        <v>2309</v>
      </c>
      <c r="D464" t="s">
        <v>30</v>
      </c>
      <c r="E464" t="s">
        <v>253</v>
      </c>
      <c r="F464">
        <v>4500188498</v>
      </c>
      <c r="G464" t="s">
        <v>4627</v>
      </c>
      <c r="H464" t="s">
        <v>3334</v>
      </c>
      <c r="I464" t="s">
        <v>1362</v>
      </c>
      <c r="J464" t="s">
        <v>253</v>
      </c>
      <c r="K464" s="2">
        <v>63280</v>
      </c>
      <c r="L464" s="2">
        <v>126530</v>
      </c>
      <c r="M464" t="str">
        <f>IFERROR(IF(VLOOKUP(LEFT(B464,2),'Humanitarian codes'!$A$2:$A$10,1,FALSE)=LEFT(B464,2),"Yes","Error"),"No")</f>
        <v>Yes</v>
      </c>
    </row>
    <row r="465" spans="1:13" x14ac:dyDescent="0.25">
      <c r="A465">
        <v>2022</v>
      </c>
      <c r="B465" t="s">
        <v>2308</v>
      </c>
      <c r="C465" t="s">
        <v>2309</v>
      </c>
      <c r="D465" t="s">
        <v>30</v>
      </c>
      <c r="E465" t="s">
        <v>253</v>
      </c>
      <c r="F465">
        <v>4500231308</v>
      </c>
      <c r="G465" t="s">
        <v>4628</v>
      </c>
      <c r="H465" t="s">
        <v>3334</v>
      </c>
      <c r="I465" t="s">
        <v>156</v>
      </c>
      <c r="J465" t="s">
        <v>184</v>
      </c>
      <c r="K465" s="2">
        <v>86000</v>
      </c>
      <c r="L465" s="2">
        <v>308000</v>
      </c>
      <c r="M465" t="str">
        <f>IFERROR(IF(VLOOKUP(LEFT(B465,2),'Humanitarian codes'!$A$2:$A$10,1,FALSE)=LEFT(B465,2),"Yes","Error"),"No")</f>
        <v>Yes</v>
      </c>
    </row>
    <row r="466" spans="1:13" x14ac:dyDescent="0.25">
      <c r="A466">
        <v>2022</v>
      </c>
      <c r="B466" t="s">
        <v>2308</v>
      </c>
      <c r="C466" t="s">
        <v>2309</v>
      </c>
      <c r="D466" t="s">
        <v>30</v>
      </c>
      <c r="E466" t="s">
        <v>253</v>
      </c>
      <c r="F466">
        <v>4500244484</v>
      </c>
      <c r="G466" t="s">
        <v>3938</v>
      </c>
      <c r="H466" t="s">
        <v>3334</v>
      </c>
      <c r="I466" t="s">
        <v>1362</v>
      </c>
      <c r="J466" t="s">
        <v>253</v>
      </c>
      <c r="K466" s="2">
        <v>20028</v>
      </c>
      <c r="L466" s="2">
        <v>29831</v>
      </c>
      <c r="M466" t="str">
        <f>IFERROR(IF(VLOOKUP(LEFT(B466,2),'Humanitarian codes'!$A$2:$A$10,1,FALSE)=LEFT(B466,2),"Yes","Error"),"No")</f>
        <v>Yes</v>
      </c>
    </row>
    <row r="467" spans="1:13" x14ac:dyDescent="0.25">
      <c r="A467">
        <v>2022</v>
      </c>
      <c r="B467" t="s">
        <v>4629</v>
      </c>
      <c r="C467" t="s">
        <v>4630</v>
      </c>
      <c r="D467" t="s">
        <v>30</v>
      </c>
      <c r="E467" t="s">
        <v>257</v>
      </c>
      <c r="F467">
        <v>4500182118</v>
      </c>
      <c r="G467" t="s">
        <v>4631</v>
      </c>
      <c r="H467" t="s">
        <v>3334</v>
      </c>
      <c r="I467" t="s">
        <v>3625</v>
      </c>
      <c r="J467" t="s">
        <v>257</v>
      </c>
      <c r="K467" s="2">
        <v>59122</v>
      </c>
      <c r="L467" s="2">
        <v>59122</v>
      </c>
      <c r="M467" t="str">
        <f>IFERROR(IF(VLOOKUP(LEFT(B467,2),'Humanitarian codes'!$A$2:$A$10,1,FALSE)=LEFT(B467,2),"Yes","Error"),"No")</f>
        <v>Yes</v>
      </c>
    </row>
    <row r="468" spans="1:13" x14ac:dyDescent="0.25">
      <c r="A468">
        <v>2022</v>
      </c>
      <c r="B468" t="s">
        <v>2311</v>
      </c>
      <c r="C468" t="s">
        <v>2312</v>
      </c>
      <c r="D468" t="s">
        <v>30</v>
      </c>
      <c r="E468" t="s">
        <v>175</v>
      </c>
      <c r="F468">
        <v>4500208738</v>
      </c>
      <c r="G468" t="s">
        <v>4632</v>
      </c>
      <c r="H468" t="s">
        <v>3334</v>
      </c>
      <c r="I468" t="s">
        <v>2974</v>
      </c>
      <c r="J468" t="s">
        <v>175</v>
      </c>
      <c r="K468" s="2">
        <v>201669</v>
      </c>
      <c r="L468" s="2">
        <v>201669</v>
      </c>
      <c r="M468" t="str">
        <f>IFERROR(IF(VLOOKUP(LEFT(B468,2),'Humanitarian codes'!$A$2:$A$10,1,FALSE)=LEFT(B468,2),"Yes","Error"),"No")</f>
        <v>Yes</v>
      </c>
    </row>
    <row r="469" spans="1:13" x14ac:dyDescent="0.25">
      <c r="A469">
        <v>2022</v>
      </c>
      <c r="B469" t="s">
        <v>2311</v>
      </c>
      <c r="C469" t="s">
        <v>2312</v>
      </c>
      <c r="D469" t="s">
        <v>30</v>
      </c>
      <c r="E469" t="s">
        <v>175</v>
      </c>
      <c r="F469">
        <v>4500211568</v>
      </c>
      <c r="G469" t="s">
        <v>4633</v>
      </c>
      <c r="H469" t="s">
        <v>3334</v>
      </c>
      <c r="I469" t="s">
        <v>176</v>
      </c>
      <c r="J469" t="s">
        <v>175</v>
      </c>
      <c r="K469" s="2">
        <v>36063</v>
      </c>
      <c r="L469" s="2">
        <v>38205</v>
      </c>
      <c r="M469" t="str">
        <f>IFERROR(IF(VLOOKUP(LEFT(B469,2),'Humanitarian codes'!$A$2:$A$10,1,FALSE)=LEFT(B469,2),"Yes","Error"),"No")</f>
        <v>Yes</v>
      </c>
    </row>
    <row r="470" spans="1:13" x14ac:dyDescent="0.25">
      <c r="A470">
        <v>2022</v>
      </c>
      <c r="B470" t="s">
        <v>2311</v>
      </c>
      <c r="C470" t="s">
        <v>2312</v>
      </c>
      <c r="D470" t="s">
        <v>30</v>
      </c>
      <c r="E470" t="s">
        <v>175</v>
      </c>
      <c r="F470">
        <v>4500214126</v>
      </c>
      <c r="G470" t="s">
        <v>4634</v>
      </c>
      <c r="H470" t="s">
        <v>3334</v>
      </c>
      <c r="I470" t="s">
        <v>232</v>
      </c>
      <c r="J470" t="s">
        <v>175</v>
      </c>
      <c r="K470" s="2">
        <v>326075</v>
      </c>
      <c r="L470" s="2">
        <v>326075</v>
      </c>
      <c r="M470" t="str">
        <f>IFERROR(IF(VLOOKUP(LEFT(B470,2),'Humanitarian codes'!$A$2:$A$10,1,FALSE)=LEFT(B470,2),"Yes","Error"),"No")</f>
        <v>Yes</v>
      </c>
    </row>
    <row r="471" spans="1:13" x14ac:dyDescent="0.25">
      <c r="A471">
        <v>2022</v>
      </c>
      <c r="B471" t="s">
        <v>2311</v>
      </c>
      <c r="C471" t="s">
        <v>2312</v>
      </c>
      <c r="D471" t="s">
        <v>30</v>
      </c>
      <c r="E471" t="s">
        <v>175</v>
      </c>
      <c r="F471">
        <v>4500220083</v>
      </c>
      <c r="G471" t="s">
        <v>4635</v>
      </c>
      <c r="H471" t="s">
        <v>3334</v>
      </c>
      <c r="I471" t="s">
        <v>176</v>
      </c>
      <c r="J471" t="s">
        <v>175</v>
      </c>
      <c r="K471" s="2">
        <v>8806</v>
      </c>
      <c r="L471" s="2">
        <v>8806</v>
      </c>
      <c r="M471" t="str">
        <f>IFERROR(IF(VLOOKUP(LEFT(B471,2),'Humanitarian codes'!$A$2:$A$10,1,FALSE)=LEFT(B471,2),"Yes","Error"),"No")</f>
        <v>Yes</v>
      </c>
    </row>
    <row r="472" spans="1:13" x14ac:dyDescent="0.25">
      <c r="A472">
        <v>2022</v>
      </c>
      <c r="B472" t="s">
        <v>2311</v>
      </c>
      <c r="C472" t="s">
        <v>2312</v>
      </c>
      <c r="D472" t="s">
        <v>30</v>
      </c>
      <c r="E472" t="s">
        <v>175</v>
      </c>
      <c r="F472">
        <v>4500225358</v>
      </c>
      <c r="G472" t="s">
        <v>4636</v>
      </c>
      <c r="H472" t="s">
        <v>3334</v>
      </c>
      <c r="I472" t="s">
        <v>233</v>
      </c>
      <c r="J472" t="s">
        <v>175</v>
      </c>
      <c r="K472" s="2">
        <v>59140</v>
      </c>
      <c r="L472" s="2">
        <v>59140</v>
      </c>
      <c r="M472" t="str">
        <f>IFERROR(IF(VLOOKUP(LEFT(B472,2),'Humanitarian codes'!$A$2:$A$10,1,FALSE)=LEFT(B472,2),"Yes","Error"),"No")</f>
        <v>Yes</v>
      </c>
    </row>
    <row r="473" spans="1:13" x14ac:dyDescent="0.25">
      <c r="A473">
        <v>2022</v>
      </c>
      <c r="B473" t="s">
        <v>2311</v>
      </c>
      <c r="C473" t="s">
        <v>2312</v>
      </c>
      <c r="D473" t="s">
        <v>30</v>
      </c>
      <c r="E473" t="s">
        <v>175</v>
      </c>
      <c r="F473">
        <v>4500230721</v>
      </c>
      <c r="G473" t="s">
        <v>4637</v>
      </c>
      <c r="H473" t="s">
        <v>3334</v>
      </c>
      <c r="I473" t="s">
        <v>176</v>
      </c>
      <c r="J473" t="s">
        <v>175</v>
      </c>
      <c r="K473" s="2">
        <v>762489</v>
      </c>
      <c r="L473" s="2">
        <v>762489</v>
      </c>
      <c r="M473" t="str">
        <f>IFERROR(IF(VLOOKUP(LEFT(B473,2),'Humanitarian codes'!$A$2:$A$10,1,FALSE)=LEFT(B473,2),"Yes","Error"),"No")</f>
        <v>Yes</v>
      </c>
    </row>
    <row r="474" spans="1:13" x14ac:dyDescent="0.25">
      <c r="A474">
        <v>2022</v>
      </c>
      <c r="B474" t="s">
        <v>2311</v>
      </c>
      <c r="C474" t="s">
        <v>2312</v>
      </c>
      <c r="D474" t="s">
        <v>30</v>
      </c>
      <c r="E474" t="s">
        <v>175</v>
      </c>
      <c r="F474">
        <v>4500259077</v>
      </c>
      <c r="G474" t="s">
        <v>4638</v>
      </c>
      <c r="H474" t="s">
        <v>3334</v>
      </c>
      <c r="I474" t="s">
        <v>390</v>
      </c>
      <c r="J474" t="s">
        <v>175</v>
      </c>
      <c r="K474" s="2">
        <v>306552</v>
      </c>
      <c r="L474" s="2">
        <v>306552</v>
      </c>
      <c r="M474" t="str">
        <f>IFERROR(IF(VLOOKUP(LEFT(B474,2),'Humanitarian codes'!$A$2:$A$10,1,FALSE)=LEFT(B474,2),"Yes","Error"),"No")</f>
        <v>Yes</v>
      </c>
    </row>
    <row r="475" spans="1:13" x14ac:dyDescent="0.25">
      <c r="A475">
        <v>2022</v>
      </c>
      <c r="B475" t="s">
        <v>2311</v>
      </c>
      <c r="C475" t="s">
        <v>2312</v>
      </c>
      <c r="D475" t="s">
        <v>30</v>
      </c>
      <c r="E475" t="s">
        <v>175</v>
      </c>
      <c r="F475">
        <v>4500259092</v>
      </c>
      <c r="G475" t="s">
        <v>4639</v>
      </c>
      <c r="H475" t="s">
        <v>3334</v>
      </c>
      <c r="I475" t="s">
        <v>2974</v>
      </c>
      <c r="J475" t="s">
        <v>175</v>
      </c>
      <c r="K475" s="2">
        <v>168266</v>
      </c>
      <c r="L475" s="2">
        <v>168266</v>
      </c>
      <c r="M475" t="str">
        <f>IFERROR(IF(VLOOKUP(LEFT(B475,2),'Humanitarian codes'!$A$2:$A$10,1,FALSE)=LEFT(B475,2),"Yes","Error"),"No")</f>
        <v>Yes</v>
      </c>
    </row>
    <row r="476" spans="1:13" x14ac:dyDescent="0.25">
      <c r="A476">
        <v>2022</v>
      </c>
      <c r="B476" t="s">
        <v>2311</v>
      </c>
      <c r="C476" t="s">
        <v>2312</v>
      </c>
      <c r="D476" t="s">
        <v>30</v>
      </c>
      <c r="E476" t="s">
        <v>175</v>
      </c>
      <c r="F476">
        <v>4500262590</v>
      </c>
      <c r="G476" t="s">
        <v>4640</v>
      </c>
      <c r="H476" t="s">
        <v>3334</v>
      </c>
      <c r="I476" t="s">
        <v>187</v>
      </c>
      <c r="J476" t="s">
        <v>175</v>
      </c>
      <c r="K476" s="2">
        <v>248582</v>
      </c>
      <c r="L476" s="2">
        <v>248582</v>
      </c>
      <c r="M476" t="str">
        <f>IFERROR(IF(VLOOKUP(LEFT(B476,2),'Humanitarian codes'!$A$2:$A$10,1,FALSE)=LEFT(B476,2),"Yes","Error"),"No")</f>
        <v>Yes</v>
      </c>
    </row>
    <row r="477" spans="1:13" x14ac:dyDescent="0.25">
      <c r="A477">
        <v>2022</v>
      </c>
      <c r="B477" t="s">
        <v>2311</v>
      </c>
      <c r="C477" t="s">
        <v>2312</v>
      </c>
      <c r="D477" t="s">
        <v>30</v>
      </c>
      <c r="E477" t="s">
        <v>175</v>
      </c>
      <c r="F477">
        <v>4500262601</v>
      </c>
      <c r="G477" t="s">
        <v>4641</v>
      </c>
      <c r="H477" t="s">
        <v>3334</v>
      </c>
      <c r="I477" t="s">
        <v>232</v>
      </c>
      <c r="J477" t="s">
        <v>175</v>
      </c>
      <c r="K477" s="2">
        <v>268577</v>
      </c>
      <c r="L477" s="2">
        <v>268577</v>
      </c>
      <c r="M477" t="str">
        <f>IFERROR(IF(VLOOKUP(LEFT(B477,2),'Humanitarian codes'!$A$2:$A$10,1,FALSE)=LEFT(B477,2),"Yes","Error"),"No")</f>
        <v>Yes</v>
      </c>
    </row>
    <row r="478" spans="1:13" x14ac:dyDescent="0.25">
      <c r="A478">
        <v>2022</v>
      </c>
      <c r="B478" t="s">
        <v>4642</v>
      </c>
      <c r="C478" t="s">
        <v>4643</v>
      </c>
      <c r="D478" t="s">
        <v>30</v>
      </c>
      <c r="E478" t="s">
        <v>545</v>
      </c>
      <c r="F478">
        <v>4500269104</v>
      </c>
      <c r="G478" t="s">
        <v>4644</v>
      </c>
      <c r="H478" t="s">
        <v>3334</v>
      </c>
      <c r="I478" t="s">
        <v>2376</v>
      </c>
      <c r="J478" t="s">
        <v>545</v>
      </c>
      <c r="K478" s="2">
        <v>110001</v>
      </c>
      <c r="L478" s="2">
        <v>110001</v>
      </c>
      <c r="M478" t="str">
        <f>IFERROR(IF(VLOOKUP(LEFT(B478,2),'Humanitarian codes'!$A$2:$A$10,1,FALSE)=LEFT(B478,2),"Yes","Error"),"No")</f>
        <v>Yes</v>
      </c>
    </row>
    <row r="479" spans="1:13" x14ac:dyDescent="0.25">
      <c r="A479">
        <v>2022</v>
      </c>
      <c r="B479" t="s">
        <v>4642</v>
      </c>
      <c r="C479" t="s">
        <v>4643</v>
      </c>
      <c r="D479" t="s">
        <v>30</v>
      </c>
      <c r="E479" t="s">
        <v>123</v>
      </c>
      <c r="F479">
        <v>4500268392</v>
      </c>
      <c r="G479" t="s">
        <v>4645</v>
      </c>
      <c r="H479" t="s">
        <v>3334</v>
      </c>
      <c r="I479" t="s">
        <v>2121</v>
      </c>
      <c r="J479" t="s">
        <v>402</v>
      </c>
      <c r="K479" s="2">
        <v>110020</v>
      </c>
      <c r="L479" s="2">
        <v>110020</v>
      </c>
      <c r="M479" t="str">
        <f>IFERROR(IF(VLOOKUP(LEFT(B479,2),'Humanitarian codes'!$A$2:$A$10,1,FALSE)=LEFT(B479,2),"Yes","Error"),"No")</f>
        <v>Yes</v>
      </c>
    </row>
    <row r="480" spans="1:13" x14ac:dyDescent="0.25">
      <c r="A480">
        <v>2022</v>
      </c>
      <c r="B480" t="s">
        <v>2856</v>
      </c>
      <c r="C480" t="s">
        <v>3417</v>
      </c>
      <c r="D480" t="s">
        <v>30</v>
      </c>
      <c r="E480" t="s">
        <v>717</v>
      </c>
      <c r="F480">
        <v>4500204841</v>
      </c>
      <c r="G480" t="s">
        <v>4646</v>
      </c>
      <c r="H480" t="s">
        <v>3334</v>
      </c>
      <c r="I480" t="s">
        <v>3900</v>
      </c>
      <c r="J480" t="s">
        <v>717</v>
      </c>
      <c r="K480" s="2">
        <v>80000</v>
      </c>
      <c r="L480" s="2">
        <v>80000</v>
      </c>
      <c r="M480" t="str">
        <f>IFERROR(IF(VLOOKUP(LEFT(B480,2),'Humanitarian codes'!$A$2:$A$10,1,FALSE)=LEFT(B480,2),"Yes","Error"),"No")</f>
        <v>Yes</v>
      </c>
    </row>
    <row r="481" spans="1:13" x14ac:dyDescent="0.25">
      <c r="A481">
        <v>2022</v>
      </c>
      <c r="B481" t="s">
        <v>2856</v>
      </c>
      <c r="C481" t="s">
        <v>3417</v>
      </c>
      <c r="D481" t="s">
        <v>30</v>
      </c>
      <c r="E481" t="s">
        <v>717</v>
      </c>
      <c r="F481">
        <v>4500204845</v>
      </c>
      <c r="G481" t="s">
        <v>4647</v>
      </c>
      <c r="H481" t="s">
        <v>3334</v>
      </c>
      <c r="I481" t="s">
        <v>2868</v>
      </c>
      <c r="J481" t="s">
        <v>717</v>
      </c>
      <c r="K481" s="2">
        <v>80703</v>
      </c>
      <c r="L481" s="2">
        <v>80703</v>
      </c>
      <c r="M481" t="str">
        <f>IFERROR(IF(VLOOKUP(LEFT(B481,2),'Humanitarian codes'!$A$2:$A$10,1,FALSE)=LEFT(B481,2),"Yes","Error"),"No")</f>
        <v>Yes</v>
      </c>
    </row>
    <row r="482" spans="1:13" x14ac:dyDescent="0.25">
      <c r="A482">
        <v>2022</v>
      </c>
      <c r="B482" t="s">
        <v>2856</v>
      </c>
      <c r="C482" t="s">
        <v>3417</v>
      </c>
      <c r="D482" t="s">
        <v>30</v>
      </c>
      <c r="E482" t="s">
        <v>717</v>
      </c>
      <c r="F482">
        <v>4500207720</v>
      </c>
      <c r="G482" t="s">
        <v>4648</v>
      </c>
      <c r="H482" t="s">
        <v>3334</v>
      </c>
      <c r="I482" t="s">
        <v>720</v>
      </c>
      <c r="J482" t="s">
        <v>717</v>
      </c>
      <c r="K482" s="2">
        <v>65398</v>
      </c>
      <c r="L482" s="2">
        <v>65398</v>
      </c>
      <c r="M482" t="str">
        <f>IFERROR(IF(VLOOKUP(LEFT(B482,2),'Humanitarian codes'!$A$2:$A$10,1,FALSE)=LEFT(B482,2),"Yes","Error"),"No")</f>
        <v>Yes</v>
      </c>
    </row>
    <row r="483" spans="1:13" x14ac:dyDescent="0.25">
      <c r="A483">
        <v>2022</v>
      </c>
      <c r="B483" t="s">
        <v>2856</v>
      </c>
      <c r="C483" t="s">
        <v>3417</v>
      </c>
      <c r="D483" t="s">
        <v>30</v>
      </c>
      <c r="E483" t="s">
        <v>717</v>
      </c>
      <c r="F483">
        <v>4500211517</v>
      </c>
      <c r="G483" t="s">
        <v>4649</v>
      </c>
      <c r="H483" t="s">
        <v>3334</v>
      </c>
      <c r="I483" t="s">
        <v>720</v>
      </c>
      <c r="J483" t="s">
        <v>717</v>
      </c>
      <c r="K483" s="2">
        <v>266542</v>
      </c>
      <c r="L483" s="2">
        <v>266542</v>
      </c>
      <c r="M483" t="str">
        <f>IFERROR(IF(VLOOKUP(LEFT(B483,2),'Humanitarian codes'!$A$2:$A$10,1,FALSE)=LEFT(B483,2),"Yes","Error"),"No")</f>
        <v>Yes</v>
      </c>
    </row>
    <row r="484" spans="1:13" x14ac:dyDescent="0.25">
      <c r="A484">
        <v>2022</v>
      </c>
      <c r="B484" t="s">
        <v>2856</v>
      </c>
      <c r="C484" t="s">
        <v>3417</v>
      </c>
      <c r="D484" t="s">
        <v>30</v>
      </c>
      <c r="E484" t="s">
        <v>717</v>
      </c>
      <c r="F484">
        <v>4500218741</v>
      </c>
      <c r="G484" t="s">
        <v>4650</v>
      </c>
      <c r="H484" t="s">
        <v>3334</v>
      </c>
      <c r="I484" t="s">
        <v>4651</v>
      </c>
      <c r="J484" t="s">
        <v>717</v>
      </c>
      <c r="K484" s="2">
        <v>106118</v>
      </c>
      <c r="L484" s="2">
        <v>106118</v>
      </c>
      <c r="M484" t="str">
        <f>IFERROR(IF(VLOOKUP(LEFT(B484,2),'Humanitarian codes'!$A$2:$A$10,1,FALSE)=LEFT(B484,2),"Yes","Error"),"No")</f>
        <v>Yes</v>
      </c>
    </row>
    <row r="485" spans="1:13" x14ac:dyDescent="0.25">
      <c r="A485">
        <v>2022</v>
      </c>
      <c r="B485" t="s">
        <v>2856</v>
      </c>
      <c r="C485" t="s">
        <v>3417</v>
      </c>
      <c r="D485" t="s">
        <v>30</v>
      </c>
      <c r="E485" t="s">
        <v>717</v>
      </c>
      <c r="F485">
        <v>4500224044</v>
      </c>
      <c r="G485" t="s">
        <v>4652</v>
      </c>
      <c r="H485" t="s">
        <v>3334</v>
      </c>
      <c r="I485" t="s">
        <v>728</v>
      </c>
      <c r="J485" t="s">
        <v>717</v>
      </c>
      <c r="K485" s="2">
        <v>108940</v>
      </c>
      <c r="L485" s="2">
        <v>108940</v>
      </c>
      <c r="M485" t="str">
        <f>IFERROR(IF(VLOOKUP(LEFT(B485,2),'Humanitarian codes'!$A$2:$A$10,1,FALSE)=LEFT(B485,2),"Yes","Error"),"No")</f>
        <v>Yes</v>
      </c>
    </row>
    <row r="486" spans="1:13" x14ac:dyDescent="0.25">
      <c r="A486">
        <v>2022</v>
      </c>
      <c r="B486" t="s">
        <v>2856</v>
      </c>
      <c r="C486" t="s">
        <v>3417</v>
      </c>
      <c r="D486" t="s">
        <v>30</v>
      </c>
      <c r="E486" t="s">
        <v>717</v>
      </c>
      <c r="F486">
        <v>4500241360</v>
      </c>
      <c r="G486" t="s">
        <v>4653</v>
      </c>
      <c r="H486" t="s">
        <v>3334</v>
      </c>
      <c r="I486" t="s">
        <v>725</v>
      </c>
      <c r="J486" t="s">
        <v>717</v>
      </c>
      <c r="K486" s="2">
        <v>98040</v>
      </c>
      <c r="L486" s="2">
        <v>98040</v>
      </c>
      <c r="M486" t="str">
        <f>IFERROR(IF(VLOOKUP(LEFT(B486,2),'Humanitarian codes'!$A$2:$A$10,1,FALSE)=LEFT(B486,2),"Yes","Error"),"No")</f>
        <v>Yes</v>
      </c>
    </row>
    <row r="487" spans="1:13" x14ac:dyDescent="0.25">
      <c r="A487">
        <v>2022</v>
      </c>
      <c r="B487" t="s">
        <v>2856</v>
      </c>
      <c r="C487" t="s">
        <v>3417</v>
      </c>
      <c r="D487" t="s">
        <v>30</v>
      </c>
      <c r="E487" t="s">
        <v>717</v>
      </c>
      <c r="F487">
        <v>4500241364</v>
      </c>
      <c r="G487" t="s">
        <v>4654</v>
      </c>
      <c r="H487" t="s">
        <v>3334</v>
      </c>
      <c r="I487" t="s">
        <v>1155</v>
      </c>
      <c r="J487" t="s">
        <v>717</v>
      </c>
      <c r="K487" s="2">
        <v>251985</v>
      </c>
      <c r="L487" s="2">
        <v>251985</v>
      </c>
      <c r="M487" t="str">
        <f>IFERROR(IF(VLOOKUP(LEFT(B487,2),'Humanitarian codes'!$A$2:$A$10,1,FALSE)=LEFT(B487,2),"Yes","Error"),"No")</f>
        <v>Yes</v>
      </c>
    </row>
    <row r="488" spans="1:13" x14ac:dyDescent="0.25">
      <c r="A488">
        <v>2022</v>
      </c>
      <c r="B488" t="s">
        <v>2856</v>
      </c>
      <c r="C488" t="s">
        <v>3417</v>
      </c>
      <c r="D488" t="s">
        <v>30</v>
      </c>
      <c r="E488" t="s">
        <v>717</v>
      </c>
      <c r="F488">
        <v>4500248954</v>
      </c>
      <c r="G488" t="s">
        <v>4655</v>
      </c>
      <c r="H488" t="s">
        <v>3334</v>
      </c>
      <c r="I488" t="s">
        <v>728</v>
      </c>
      <c r="J488" t="s">
        <v>717</v>
      </c>
      <c r="K488" s="2">
        <v>64948</v>
      </c>
      <c r="L488" s="2">
        <v>64948</v>
      </c>
      <c r="M488" t="str">
        <f>IFERROR(IF(VLOOKUP(LEFT(B488,2),'Humanitarian codes'!$A$2:$A$10,1,FALSE)=LEFT(B488,2),"Yes","Error"),"No")</f>
        <v>Yes</v>
      </c>
    </row>
    <row r="489" spans="1:13" x14ac:dyDescent="0.25">
      <c r="A489">
        <v>2022</v>
      </c>
      <c r="B489" t="s">
        <v>2856</v>
      </c>
      <c r="C489" t="s">
        <v>3417</v>
      </c>
      <c r="D489" t="s">
        <v>30</v>
      </c>
      <c r="E489" t="s">
        <v>717</v>
      </c>
      <c r="F489">
        <v>4500276607</v>
      </c>
      <c r="G489" t="s">
        <v>4656</v>
      </c>
      <c r="H489" t="s">
        <v>3334</v>
      </c>
      <c r="I489" t="s">
        <v>728</v>
      </c>
      <c r="J489" t="s">
        <v>717</v>
      </c>
      <c r="K489" s="2">
        <v>136850</v>
      </c>
      <c r="L489" s="2">
        <v>136850</v>
      </c>
      <c r="M489" t="str">
        <f>IFERROR(IF(VLOOKUP(LEFT(B489,2),'Humanitarian codes'!$A$2:$A$10,1,FALSE)=LEFT(B489,2),"Yes","Error"),"No")</f>
        <v>Yes</v>
      </c>
    </row>
    <row r="490" spans="1:13" x14ac:dyDescent="0.25">
      <c r="A490">
        <v>2022</v>
      </c>
      <c r="B490" t="s">
        <v>2859</v>
      </c>
      <c r="C490" t="s">
        <v>3426</v>
      </c>
      <c r="D490" t="s">
        <v>30</v>
      </c>
      <c r="E490" t="s">
        <v>175</v>
      </c>
      <c r="F490">
        <v>4500208734</v>
      </c>
      <c r="G490" t="s">
        <v>4657</v>
      </c>
      <c r="H490" t="s">
        <v>3334</v>
      </c>
      <c r="I490" t="s">
        <v>4658</v>
      </c>
      <c r="J490" t="s">
        <v>175</v>
      </c>
      <c r="K490" s="2">
        <v>8765</v>
      </c>
      <c r="L490" s="2">
        <v>8765</v>
      </c>
      <c r="M490" t="str">
        <f>IFERROR(IF(VLOOKUP(LEFT(B490,2),'Humanitarian codes'!$A$2:$A$10,1,FALSE)=LEFT(B490,2),"Yes","Error"),"No")</f>
        <v>Yes</v>
      </c>
    </row>
    <row r="491" spans="1:13" x14ac:dyDescent="0.25">
      <c r="A491">
        <v>2022</v>
      </c>
      <c r="B491" t="s">
        <v>2859</v>
      </c>
      <c r="C491" t="s">
        <v>3426</v>
      </c>
      <c r="D491" t="s">
        <v>30</v>
      </c>
      <c r="E491" t="s">
        <v>175</v>
      </c>
      <c r="F491">
        <v>4500219360</v>
      </c>
      <c r="G491" t="s">
        <v>4659</v>
      </c>
      <c r="H491" t="s">
        <v>3334</v>
      </c>
      <c r="I491" t="s">
        <v>395</v>
      </c>
      <c r="J491" t="s">
        <v>175</v>
      </c>
      <c r="K491" s="2">
        <v>126559</v>
      </c>
      <c r="L491" s="2">
        <v>126559</v>
      </c>
      <c r="M491" t="str">
        <f>IFERROR(IF(VLOOKUP(LEFT(B491,2),'Humanitarian codes'!$A$2:$A$10,1,FALSE)=LEFT(B491,2),"Yes","Error"),"No")</f>
        <v>Yes</v>
      </c>
    </row>
    <row r="492" spans="1:13" x14ac:dyDescent="0.25">
      <c r="A492">
        <v>2022</v>
      </c>
      <c r="B492" t="s">
        <v>2859</v>
      </c>
      <c r="C492" t="s">
        <v>3426</v>
      </c>
      <c r="D492" t="s">
        <v>30</v>
      </c>
      <c r="E492" t="s">
        <v>175</v>
      </c>
      <c r="F492">
        <v>4500223973</v>
      </c>
      <c r="G492" t="s">
        <v>4660</v>
      </c>
      <c r="H492" t="s">
        <v>3334</v>
      </c>
      <c r="I492" t="s">
        <v>187</v>
      </c>
      <c r="J492" t="s">
        <v>175</v>
      </c>
      <c r="K492" s="2">
        <v>817968</v>
      </c>
      <c r="L492" s="2">
        <v>817968</v>
      </c>
      <c r="M492" t="str">
        <f>IFERROR(IF(VLOOKUP(LEFT(B492,2),'Humanitarian codes'!$A$2:$A$10,1,FALSE)=LEFT(B492,2),"Yes","Error"),"No")</f>
        <v>Yes</v>
      </c>
    </row>
    <row r="493" spans="1:13" x14ac:dyDescent="0.25">
      <c r="A493">
        <v>2022</v>
      </c>
      <c r="B493" t="s">
        <v>2859</v>
      </c>
      <c r="C493" t="s">
        <v>3426</v>
      </c>
      <c r="D493" t="s">
        <v>30</v>
      </c>
      <c r="E493" t="s">
        <v>175</v>
      </c>
      <c r="F493">
        <v>4500234563</v>
      </c>
      <c r="G493" t="s">
        <v>4661</v>
      </c>
      <c r="H493" t="s">
        <v>3334</v>
      </c>
      <c r="I493" t="s">
        <v>233</v>
      </c>
      <c r="J493" t="s">
        <v>175</v>
      </c>
      <c r="K493" s="2">
        <v>1331222</v>
      </c>
      <c r="L493" s="2">
        <v>1331222</v>
      </c>
      <c r="M493" t="str">
        <f>IFERROR(IF(VLOOKUP(LEFT(B493,2),'Humanitarian codes'!$A$2:$A$10,1,FALSE)=LEFT(B493,2),"Yes","Error"),"No")</f>
        <v>Yes</v>
      </c>
    </row>
    <row r="494" spans="1:13" x14ac:dyDescent="0.25">
      <c r="A494">
        <v>2022</v>
      </c>
      <c r="B494" t="s">
        <v>2861</v>
      </c>
      <c r="C494" t="s">
        <v>1285</v>
      </c>
      <c r="D494" t="s">
        <v>30</v>
      </c>
      <c r="E494" t="s">
        <v>132</v>
      </c>
      <c r="F494">
        <v>4500229981</v>
      </c>
      <c r="G494" t="s">
        <v>4662</v>
      </c>
      <c r="H494" t="s">
        <v>3334</v>
      </c>
      <c r="I494" t="s">
        <v>4663</v>
      </c>
      <c r="J494" t="s">
        <v>751</v>
      </c>
      <c r="K494" s="2">
        <v>410959</v>
      </c>
      <c r="L494" s="2">
        <v>410959</v>
      </c>
      <c r="M494" t="str">
        <f>IFERROR(IF(VLOOKUP(LEFT(B494,2),'Humanitarian codes'!$A$2:$A$10,1,FALSE)=LEFT(B494,2),"Yes","Error"),"No")</f>
        <v>Yes</v>
      </c>
    </row>
    <row r="495" spans="1:13" x14ac:dyDescent="0.25">
      <c r="A495">
        <v>2022</v>
      </c>
      <c r="B495" t="s">
        <v>4664</v>
      </c>
      <c r="C495" t="s">
        <v>4665</v>
      </c>
      <c r="D495" t="s">
        <v>30</v>
      </c>
      <c r="E495" t="s">
        <v>518</v>
      </c>
      <c r="F495">
        <v>4500225868</v>
      </c>
      <c r="G495" t="s">
        <v>4666</v>
      </c>
      <c r="H495" t="s">
        <v>3334</v>
      </c>
      <c r="I495" t="s">
        <v>4039</v>
      </c>
      <c r="J495" t="s">
        <v>518</v>
      </c>
      <c r="K495" s="2">
        <v>328957</v>
      </c>
      <c r="L495" s="2">
        <v>328957</v>
      </c>
      <c r="M495" t="str">
        <f>IFERROR(IF(VLOOKUP(LEFT(B495,2),'Humanitarian codes'!$A$2:$A$10,1,FALSE)=LEFT(B495,2),"Yes","Error"),"No")</f>
        <v>Yes</v>
      </c>
    </row>
    <row r="496" spans="1:13" x14ac:dyDescent="0.25">
      <c r="A496">
        <v>2022</v>
      </c>
      <c r="B496" t="s">
        <v>4667</v>
      </c>
      <c r="C496" t="s">
        <v>4668</v>
      </c>
      <c r="D496" t="s">
        <v>30</v>
      </c>
      <c r="E496" t="s">
        <v>175</v>
      </c>
      <c r="F496">
        <v>4500182660</v>
      </c>
      <c r="G496" t="s">
        <v>4669</v>
      </c>
      <c r="H496" t="s">
        <v>3334</v>
      </c>
      <c r="I496" t="s">
        <v>176</v>
      </c>
      <c r="J496" t="s">
        <v>175</v>
      </c>
      <c r="K496" s="2">
        <v>166945</v>
      </c>
      <c r="L496" s="2">
        <v>166945</v>
      </c>
      <c r="M496" t="str">
        <f>IFERROR(IF(VLOOKUP(LEFT(B496,2),'Humanitarian codes'!$A$2:$A$10,1,FALSE)=LEFT(B496,2),"Yes","Error"),"No")</f>
        <v>Yes</v>
      </c>
    </row>
    <row r="497" spans="1:13" x14ac:dyDescent="0.25">
      <c r="A497">
        <v>2022</v>
      </c>
      <c r="B497" t="s">
        <v>4667</v>
      </c>
      <c r="C497" t="s">
        <v>4668</v>
      </c>
      <c r="D497" t="s">
        <v>30</v>
      </c>
      <c r="E497" t="s">
        <v>175</v>
      </c>
      <c r="F497">
        <v>4500182745</v>
      </c>
      <c r="G497" t="s">
        <v>4670</v>
      </c>
      <c r="H497" t="s">
        <v>3334</v>
      </c>
      <c r="I497" t="s">
        <v>183</v>
      </c>
      <c r="J497" t="s">
        <v>184</v>
      </c>
      <c r="K497" s="2">
        <v>180000</v>
      </c>
      <c r="L497" s="2">
        <v>180000</v>
      </c>
      <c r="M497" t="str">
        <f>IFERROR(IF(VLOOKUP(LEFT(B497,2),'Humanitarian codes'!$A$2:$A$10,1,FALSE)=LEFT(B497,2),"Yes","Error"),"No")</f>
        <v>Yes</v>
      </c>
    </row>
    <row r="498" spans="1:13" x14ac:dyDescent="0.25">
      <c r="A498">
        <v>2022</v>
      </c>
      <c r="B498" t="s">
        <v>4667</v>
      </c>
      <c r="C498" t="s">
        <v>4668</v>
      </c>
      <c r="D498" t="s">
        <v>30</v>
      </c>
      <c r="E498" t="s">
        <v>175</v>
      </c>
      <c r="F498">
        <v>4500182983</v>
      </c>
      <c r="G498" t="s">
        <v>4671</v>
      </c>
      <c r="H498" t="s">
        <v>3334</v>
      </c>
      <c r="I498" t="s">
        <v>2974</v>
      </c>
      <c r="J498" t="s">
        <v>175</v>
      </c>
      <c r="K498" s="2">
        <v>258977</v>
      </c>
      <c r="L498" s="2">
        <v>258977</v>
      </c>
      <c r="M498" t="str">
        <f>IFERROR(IF(VLOOKUP(LEFT(B498,2),'Humanitarian codes'!$A$2:$A$10,1,FALSE)=LEFT(B498,2),"Yes","Error"),"No")</f>
        <v>Yes</v>
      </c>
    </row>
    <row r="499" spans="1:13" x14ac:dyDescent="0.25">
      <c r="A499">
        <v>2022</v>
      </c>
      <c r="B499" t="s">
        <v>4667</v>
      </c>
      <c r="C499" t="s">
        <v>4668</v>
      </c>
      <c r="D499" t="s">
        <v>30</v>
      </c>
      <c r="E499" t="s">
        <v>175</v>
      </c>
      <c r="F499">
        <v>4500182993</v>
      </c>
      <c r="G499" t="s">
        <v>4672</v>
      </c>
      <c r="H499" t="s">
        <v>3334</v>
      </c>
      <c r="I499" t="s">
        <v>4673</v>
      </c>
      <c r="J499" t="s">
        <v>175</v>
      </c>
      <c r="K499" s="2">
        <v>403000</v>
      </c>
      <c r="L499" s="2">
        <v>403000</v>
      </c>
      <c r="M499" t="str">
        <f>IFERROR(IF(VLOOKUP(LEFT(B499,2),'Humanitarian codes'!$A$2:$A$10,1,FALSE)=LEFT(B499,2),"Yes","Error"),"No")</f>
        <v>Yes</v>
      </c>
    </row>
    <row r="500" spans="1:13" x14ac:dyDescent="0.25">
      <c r="A500">
        <v>2022</v>
      </c>
      <c r="B500" t="s">
        <v>4667</v>
      </c>
      <c r="C500" t="s">
        <v>4668</v>
      </c>
      <c r="D500" t="s">
        <v>30</v>
      </c>
      <c r="E500" t="s">
        <v>175</v>
      </c>
      <c r="F500">
        <v>4500183020</v>
      </c>
      <c r="G500" t="s">
        <v>4674</v>
      </c>
      <c r="H500" t="s">
        <v>3334</v>
      </c>
      <c r="I500" t="s">
        <v>183</v>
      </c>
      <c r="J500" t="s">
        <v>184</v>
      </c>
      <c r="K500" s="2">
        <v>473000</v>
      </c>
      <c r="L500" s="2">
        <v>473000</v>
      </c>
      <c r="M500" t="str">
        <f>IFERROR(IF(VLOOKUP(LEFT(B500,2),'Humanitarian codes'!$A$2:$A$10,1,FALSE)=LEFT(B500,2),"Yes","Error"),"No")</f>
        <v>Yes</v>
      </c>
    </row>
    <row r="501" spans="1:13" x14ac:dyDescent="0.25">
      <c r="A501">
        <v>2022</v>
      </c>
      <c r="B501" t="s">
        <v>4667</v>
      </c>
      <c r="C501" t="s">
        <v>4668</v>
      </c>
      <c r="D501" t="s">
        <v>30</v>
      </c>
      <c r="E501" t="s">
        <v>175</v>
      </c>
      <c r="F501">
        <v>4500185564</v>
      </c>
      <c r="G501" t="s">
        <v>4675</v>
      </c>
      <c r="H501" t="s">
        <v>3334</v>
      </c>
      <c r="I501" t="s">
        <v>1832</v>
      </c>
      <c r="J501" t="s">
        <v>175</v>
      </c>
      <c r="K501" s="2">
        <v>103500</v>
      </c>
      <c r="L501" s="2">
        <v>103500</v>
      </c>
      <c r="M501" t="str">
        <f>IFERROR(IF(VLOOKUP(LEFT(B501,2),'Humanitarian codes'!$A$2:$A$10,1,FALSE)=LEFT(B501,2),"Yes","Error"),"No")</f>
        <v>Yes</v>
      </c>
    </row>
    <row r="502" spans="1:13" x14ac:dyDescent="0.25">
      <c r="A502">
        <v>2022</v>
      </c>
      <c r="B502" t="s">
        <v>4667</v>
      </c>
      <c r="C502" t="s">
        <v>4668</v>
      </c>
      <c r="D502" t="s">
        <v>30</v>
      </c>
      <c r="E502" t="s">
        <v>175</v>
      </c>
      <c r="F502">
        <v>4500185570</v>
      </c>
      <c r="G502" t="s">
        <v>4676</v>
      </c>
      <c r="H502" t="s">
        <v>3334</v>
      </c>
      <c r="I502" t="s">
        <v>4677</v>
      </c>
      <c r="J502" t="s">
        <v>175</v>
      </c>
      <c r="K502" s="2">
        <v>129935</v>
      </c>
      <c r="L502" s="2">
        <v>129935</v>
      </c>
      <c r="M502" t="str">
        <f>IFERROR(IF(VLOOKUP(LEFT(B502,2),'Humanitarian codes'!$A$2:$A$10,1,FALSE)=LEFT(B502,2),"Yes","Error"),"No")</f>
        <v>Yes</v>
      </c>
    </row>
    <row r="503" spans="1:13" x14ac:dyDescent="0.25">
      <c r="A503">
        <v>2022</v>
      </c>
      <c r="B503" t="s">
        <v>4667</v>
      </c>
      <c r="C503" t="s">
        <v>4668</v>
      </c>
      <c r="D503" t="s">
        <v>30</v>
      </c>
      <c r="E503" t="s">
        <v>175</v>
      </c>
      <c r="F503">
        <v>4500192374</v>
      </c>
      <c r="G503" t="s">
        <v>4678</v>
      </c>
      <c r="H503" t="s">
        <v>3334</v>
      </c>
      <c r="I503" t="s">
        <v>3416</v>
      </c>
      <c r="J503" t="s">
        <v>175</v>
      </c>
      <c r="K503" s="2">
        <v>60753</v>
      </c>
      <c r="L503" s="2">
        <v>60753</v>
      </c>
      <c r="M503" t="str">
        <f>IFERROR(IF(VLOOKUP(LEFT(B503,2),'Humanitarian codes'!$A$2:$A$10,1,FALSE)=LEFT(B503,2),"Yes","Error"),"No")</f>
        <v>Yes</v>
      </c>
    </row>
    <row r="504" spans="1:13" x14ac:dyDescent="0.25">
      <c r="A504">
        <v>2022</v>
      </c>
      <c r="B504" t="s">
        <v>4679</v>
      </c>
      <c r="C504" t="s">
        <v>189</v>
      </c>
      <c r="D504" t="s">
        <v>30</v>
      </c>
      <c r="E504" t="s">
        <v>175</v>
      </c>
      <c r="F504">
        <v>4500183011</v>
      </c>
      <c r="G504" t="s">
        <v>4680</v>
      </c>
      <c r="H504" t="s">
        <v>3334</v>
      </c>
      <c r="I504" t="s">
        <v>186</v>
      </c>
      <c r="J504" t="s">
        <v>175</v>
      </c>
      <c r="K504" s="2">
        <v>159000</v>
      </c>
      <c r="L504" s="2">
        <v>159000</v>
      </c>
      <c r="M504" t="str">
        <f>IFERROR(IF(VLOOKUP(LEFT(B504,2),'Humanitarian codes'!$A$2:$A$10,1,FALSE)=LEFT(B504,2),"Yes","Error"),"No")</f>
        <v>Yes</v>
      </c>
    </row>
    <row r="505" spans="1:13" x14ac:dyDescent="0.25">
      <c r="A505">
        <v>2022</v>
      </c>
      <c r="B505" t="s">
        <v>4679</v>
      </c>
      <c r="C505" t="s">
        <v>189</v>
      </c>
      <c r="D505" t="s">
        <v>30</v>
      </c>
      <c r="E505" t="s">
        <v>175</v>
      </c>
      <c r="F505">
        <v>4500193191</v>
      </c>
      <c r="G505" t="s">
        <v>4681</v>
      </c>
      <c r="H505" t="s">
        <v>3334</v>
      </c>
      <c r="I505" t="s">
        <v>887</v>
      </c>
      <c r="J505" t="s">
        <v>175</v>
      </c>
      <c r="K505" s="2">
        <v>272592</v>
      </c>
      <c r="L505" s="2">
        <v>272592</v>
      </c>
      <c r="M505" t="str">
        <f>IFERROR(IF(VLOOKUP(LEFT(B505,2),'Humanitarian codes'!$A$2:$A$10,1,FALSE)=LEFT(B505,2),"Yes","Error"),"No")</f>
        <v>Yes</v>
      </c>
    </row>
    <row r="506" spans="1:13" x14ac:dyDescent="0.25">
      <c r="A506">
        <v>2022</v>
      </c>
      <c r="B506" t="s">
        <v>4682</v>
      </c>
      <c r="C506" t="s">
        <v>4683</v>
      </c>
      <c r="D506" t="s">
        <v>30</v>
      </c>
      <c r="E506" t="s">
        <v>890</v>
      </c>
      <c r="F506">
        <v>4500194794</v>
      </c>
      <c r="G506" t="s">
        <v>4684</v>
      </c>
      <c r="H506" t="s">
        <v>3334</v>
      </c>
      <c r="I506" t="s">
        <v>4685</v>
      </c>
      <c r="J506" t="s">
        <v>4686</v>
      </c>
      <c r="K506" s="2">
        <v>42900</v>
      </c>
      <c r="L506" s="2">
        <v>42900</v>
      </c>
      <c r="M506" t="str">
        <f>IFERROR(IF(VLOOKUP(LEFT(B506,2),'Humanitarian codes'!$A$2:$A$10,1,FALSE)=LEFT(B506,2),"Yes","Error"),"No")</f>
        <v>Yes</v>
      </c>
    </row>
    <row r="507" spans="1:13" x14ac:dyDescent="0.25">
      <c r="A507">
        <v>2022</v>
      </c>
      <c r="B507" t="s">
        <v>4682</v>
      </c>
      <c r="C507" t="s">
        <v>4683</v>
      </c>
      <c r="D507" t="s">
        <v>30</v>
      </c>
      <c r="E507" t="s">
        <v>890</v>
      </c>
      <c r="F507">
        <v>4500200033</v>
      </c>
      <c r="G507" t="s">
        <v>4687</v>
      </c>
      <c r="H507" t="s">
        <v>3334</v>
      </c>
      <c r="I507" t="s">
        <v>1088</v>
      </c>
      <c r="J507" t="s">
        <v>4686</v>
      </c>
      <c r="K507" s="2">
        <v>118249</v>
      </c>
      <c r="L507" s="2">
        <v>118249</v>
      </c>
      <c r="M507" t="str">
        <f>IFERROR(IF(VLOOKUP(LEFT(B507,2),'Humanitarian codes'!$A$2:$A$10,1,FALSE)=LEFT(B507,2),"Yes","Error"),"No")</f>
        <v>Yes</v>
      </c>
    </row>
    <row r="508" spans="1:13" x14ac:dyDescent="0.25">
      <c r="A508">
        <v>2022</v>
      </c>
      <c r="B508" t="s">
        <v>4682</v>
      </c>
      <c r="C508" t="s">
        <v>4683</v>
      </c>
      <c r="D508" t="s">
        <v>30</v>
      </c>
      <c r="E508" t="s">
        <v>890</v>
      </c>
      <c r="F508">
        <v>4500202859</v>
      </c>
      <c r="G508" t="s">
        <v>4688</v>
      </c>
      <c r="H508" t="s">
        <v>3334</v>
      </c>
      <c r="I508" t="s">
        <v>1088</v>
      </c>
      <c r="J508" t="s">
        <v>4686</v>
      </c>
      <c r="K508" s="2">
        <v>11161</v>
      </c>
      <c r="L508" s="2">
        <v>11161</v>
      </c>
      <c r="M508" t="str">
        <f>IFERROR(IF(VLOOKUP(LEFT(B508,2),'Humanitarian codes'!$A$2:$A$10,1,FALSE)=LEFT(B508,2),"Yes","Error"),"No")</f>
        <v>Yes</v>
      </c>
    </row>
    <row r="509" spans="1:13" x14ac:dyDescent="0.25">
      <c r="A509">
        <v>2022</v>
      </c>
      <c r="B509" t="s">
        <v>4689</v>
      </c>
      <c r="C509" t="s">
        <v>4690</v>
      </c>
      <c r="D509" t="s">
        <v>30</v>
      </c>
      <c r="E509" t="s">
        <v>123</v>
      </c>
      <c r="F509">
        <v>4600628962</v>
      </c>
      <c r="G509" t="s">
        <v>4691</v>
      </c>
      <c r="H509" t="s">
        <v>3334</v>
      </c>
      <c r="I509" t="s">
        <v>124</v>
      </c>
      <c r="J509" t="s">
        <v>123</v>
      </c>
      <c r="K509" s="2">
        <v>13936</v>
      </c>
      <c r="L509" s="2">
        <v>27760</v>
      </c>
      <c r="M509" t="str">
        <f>IFERROR(IF(VLOOKUP(LEFT(B509,2),'Humanitarian codes'!$A$2:$A$10,1,FALSE)=LEFT(B509,2),"Yes","Error"),"No")</f>
        <v>Yes</v>
      </c>
    </row>
    <row r="510" spans="1:13" x14ac:dyDescent="0.25">
      <c r="A510">
        <v>2022</v>
      </c>
      <c r="B510" t="s">
        <v>4692</v>
      </c>
      <c r="C510" t="s">
        <v>4693</v>
      </c>
      <c r="D510" t="s">
        <v>30</v>
      </c>
      <c r="E510" t="s">
        <v>320</v>
      </c>
      <c r="F510">
        <v>4500220933</v>
      </c>
      <c r="G510" t="s">
        <v>4694</v>
      </c>
      <c r="H510" t="s">
        <v>3334</v>
      </c>
      <c r="I510" t="s">
        <v>156</v>
      </c>
      <c r="J510" t="s">
        <v>320</v>
      </c>
      <c r="K510" s="2">
        <v>537634</v>
      </c>
      <c r="L510" s="2">
        <v>537634</v>
      </c>
      <c r="M510" t="str">
        <f>IFERROR(IF(VLOOKUP(LEFT(B510,2),'Humanitarian codes'!$A$2:$A$10,1,FALSE)=LEFT(B510,2),"Yes","Error"),"No")</f>
        <v>Yes</v>
      </c>
    </row>
    <row r="511" spans="1:13" x14ac:dyDescent="0.25">
      <c r="A511">
        <v>2022</v>
      </c>
      <c r="B511" t="s">
        <v>4692</v>
      </c>
      <c r="C511" t="s">
        <v>4693</v>
      </c>
      <c r="D511" t="s">
        <v>30</v>
      </c>
      <c r="E511" t="s">
        <v>320</v>
      </c>
      <c r="F511">
        <v>4500271267</v>
      </c>
      <c r="G511" t="s">
        <v>4695</v>
      </c>
      <c r="H511" t="s">
        <v>3334</v>
      </c>
      <c r="I511" t="s">
        <v>156</v>
      </c>
      <c r="J511" t="s">
        <v>320</v>
      </c>
      <c r="K511" s="2">
        <v>620476</v>
      </c>
      <c r="L511" s="2">
        <v>620476</v>
      </c>
      <c r="M511" t="str">
        <f>IFERROR(IF(VLOOKUP(LEFT(B511,2),'Humanitarian codes'!$A$2:$A$10,1,FALSE)=LEFT(B511,2),"Yes","Error"),"No")</f>
        <v>Yes</v>
      </c>
    </row>
    <row r="512" spans="1:13" x14ac:dyDescent="0.25">
      <c r="A512">
        <v>2022</v>
      </c>
      <c r="B512" t="s">
        <v>4696</v>
      </c>
      <c r="C512" t="s">
        <v>4697</v>
      </c>
      <c r="D512" t="s">
        <v>30</v>
      </c>
      <c r="E512" t="s">
        <v>123</v>
      </c>
      <c r="F512">
        <v>4600628132</v>
      </c>
      <c r="G512" t="s">
        <v>4698</v>
      </c>
      <c r="H512" t="s">
        <v>3334</v>
      </c>
      <c r="I512" t="s">
        <v>1980</v>
      </c>
      <c r="J512" t="s">
        <v>123</v>
      </c>
      <c r="K512" s="2">
        <v>45147</v>
      </c>
      <c r="L512" s="2">
        <v>45147</v>
      </c>
      <c r="M512" t="str">
        <f>IFERROR(IF(VLOOKUP(LEFT(B512,2),'Humanitarian codes'!$A$2:$A$10,1,FALSE)=LEFT(B512,2),"Yes","Error"),"No")</f>
        <v>Yes</v>
      </c>
    </row>
    <row r="513" spans="1:13" x14ac:dyDescent="0.25">
      <c r="A513">
        <v>2022</v>
      </c>
      <c r="B513" t="s">
        <v>4696</v>
      </c>
      <c r="C513" t="s">
        <v>4697</v>
      </c>
      <c r="D513" t="s">
        <v>30</v>
      </c>
      <c r="E513" t="s">
        <v>123</v>
      </c>
      <c r="F513">
        <v>4600628353</v>
      </c>
      <c r="G513" t="s">
        <v>4699</v>
      </c>
      <c r="H513" t="s">
        <v>3334</v>
      </c>
      <c r="I513" t="s">
        <v>368</v>
      </c>
      <c r="J513" t="s">
        <v>123</v>
      </c>
      <c r="K513" s="2">
        <v>133000</v>
      </c>
      <c r="L513" s="2">
        <v>133000</v>
      </c>
      <c r="M513" t="str">
        <f>IFERROR(IF(VLOOKUP(LEFT(B513,2),'Humanitarian codes'!$A$2:$A$10,1,FALSE)=LEFT(B513,2),"Yes","Error"),"No")</f>
        <v>Yes</v>
      </c>
    </row>
    <row r="514" spans="1:13" x14ac:dyDescent="0.25">
      <c r="A514">
        <v>2022</v>
      </c>
      <c r="B514" t="s">
        <v>4696</v>
      </c>
      <c r="C514" t="s">
        <v>4697</v>
      </c>
      <c r="D514" t="s">
        <v>30</v>
      </c>
      <c r="E514" t="s">
        <v>123</v>
      </c>
      <c r="F514">
        <v>4600628536</v>
      </c>
      <c r="G514" t="s">
        <v>4700</v>
      </c>
      <c r="H514" t="s">
        <v>3334</v>
      </c>
      <c r="I514" t="s">
        <v>2971</v>
      </c>
      <c r="J514" t="s">
        <v>996</v>
      </c>
      <c r="K514" s="2">
        <v>524304</v>
      </c>
      <c r="L514" s="2">
        <v>524304</v>
      </c>
      <c r="M514" t="str">
        <f>IFERROR(IF(VLOOKUP(LEFT(B514,2),'Humanitarian codes'!$A$2:$A$10,1,FALSE)=LEFT(B514,2),"Yes","Error"),"No")</f>
        <v>Yes</v>
      </c>
    </row>
    <row r="515" spans="1:13" x14ac:dyDescent="0.25">
      <c r="A515">
        <v>2022</v>
      </c>
      <c r="B515" t="s">
        <v>4701</v>
      </c>
      <c r="C515" t="s">
        <v>1975</v>
      </c>
      <c r="D515" t="s">
        <v>30</v>
      </c>
      <c r="E515" t="s">
        <v>123</v>
      </c>
      <c r="F515">
        <v>4600628259</v>
      </c>
      <c r="G515" t="s">
        <v>4702</v>
      </c>
      <c r="H515" t="s">
        <v>3334</v>
      </c>
      <c r="I515" t="s">
        <v>4703</v>
      </c>
      <c r="J515" t="s">
        <v>123</v>
      </c>
      <c r="K515" s="2">
        <v>994968</v>
      </c>
      <c r="L515" s="2">
        <v>994968</v>
      </c>
      <c r="M515" t="str">
        <f>IFERROR(IF(VLOOKUP(LEFT(B515,2),'Humanitarian codes'!$A$2:$A$10,1,FALSE)=LEFT(B515,2),"Yes","Error"),"No")</f>
        <v>Yes</v>
      </c>
    </row>
    <row r="516" spans="1:13" x14ac:dyDescent="0.25">
      <c r="A516">
        <v>2022</v>
      </c>
      <c r="B516" t="s">
        <v>4701</v>
      </c>
      <c r="C516" t="s">
        <v>1975</v>
      </c>
      <c r="D516" t="s">
        <v>30</v>
      </c>
      <c r="E516" t="s">
        <v>123</v>
      </c>
      <c r="F516">
        <v>4600628651</v>
      </c>
      <c r="G516" t="s">
        <v>4704</v>
      </c>
      <c r="H516" t="s">
        <v>3334</v>
      </c>
      <c r="I516" t="s">
        <v>813</v>
      </c>
      <c r="J516" t="s">
        <v>123</v>
      </c>
      <c r="K516" s="2">
        <v>258666</v>
      </c>
      <c r="L516" s="2">
        <v>258666</v>
      </c>
      <c r="M516" t="str">
        <f>IFERROR(IF(VLOOKUP(LEFT(B516,2),'Humanitarian codes'!$A$2:$A$10,1,FALSE)=LEFT(B516,2),"Yes","Error"),"No")</f>
        <v>Yes</v>
      </c>
    </row>
    <row r="517" spans="1:13" x14ac:dyDescent="0.25">
      <c r="A517">
        <v>2022</v>
      </c>
      <c r="B517" t="s">
        <v>4701</v>
      </c>
      <c r="C517" t="s">
        <v>1975</v>
      </c>
      <c r="D517" t="s">
        <v>30</v>
      </c>
      <c r="E517" t="s">
        <v>123</v>
      </c>
      <c r="F517">
        <v>4600628672</v>
      </c>
      <c r="G517" t="s">
        <v>4705</v>
      </c>
      <c r="H517" t="s">
        <v>3334</v>
      </c>
      <c r="I517" t="s">
        <v>1980</v>
      </c>
      <c r="J517" t="s">
        <v>123</v>
      </c>
      <c r="K517" s="2">
        <v>441474</v>
      </c>
      <c r="L517" s="2">
        <v>441474</v>
      </c>
      <c r="M517" t="str">
        <f>IFERROR(IF(VLOOKUP(LEFT(B517,2),'Humanitarian codes'!$A$2:$A$10,1,FALSE)=LEFT(B517,2),"Yes","Error"),"No")</f>
        <v>Yes</v>
      </c>
    </row>
    <row r="518" spans="1:13" x14ac:dyDescent="0.25">
      <c r="A518">
        <v>2022</v>
      </c>
      <c r="B518" t="s">
        <v>4701</v>
      </c>
      <c r="C518" t="s">
        <v>1975</v>
      </c>
      <c r="D518" t="s">
        <v>30</v>
      </c>
      <c r="E518" t="s">
        <v>123</v>
      </c>
      <c r="F518">
        <v>4600628972</v>
      </c>
      <c r="G518" t="s">
        <v>4706</v>
      </c>
      <c r="H518" t="s">
        <v>3334</v>
      </c>
      <c r="I518" t="s">
        <v>4707</v>
      </c>
      <c r="J518" t="s">
        <v>123</v>
      </c>
      <c r="K518" s="2">
        <v>14200</v>
      </c>
      <c r="L518" s="2">
        <v>1700000</v>
      </c>
      <c r="M518" t="str">
        <f>IFERROR(IF(VLOOKUP(LEFT(B518,2),'Humanitarian codes'!$A$2:$A$10,1,FALSE)=LEFT(B518,2),"Yes","Error"),"No")</f>
        <v>Yes</v>
      </c>
    </row>
    <row r="519" spans="1:13" x14ac:dyDescent="0.25">
      <c r="A519">
        <v>2022</v>
      </c>
      <c r="B519" t="s">
        <v>4701</v>
      </c>
      <c r="C519" t="s">
        <v>1975</v>
      </c>
      <c r="D519" t="s">
        <v>30</v>
      </c>
      <c r="E519" t="s">
        <v>123</v>
      </c>
      <c r="F519">
        <v>4600629105</v>
      </c>
      <c r="G519" t="s">
        <v>4708</v>
      </c>
      <c r="H519" t="s">
        <v>3334</v>
      </c>
      <c r="I519" t="s">
        <v>368</v>
      </c>
      <c r="J519" t="s">
        <v>123</v>
      </c>
      <c r="K519" s="2">
        <v>193181</v>
      </c>
      <c r="L519" s="2">
        <v>193181</v>
      </c>
      <c r="M519" t="str">
        <f>IFERROR(IF(VLOOKUP(LEFT(B519,2),'Humanitarian codes'!$A$2:$A$10,1,FALSE)=LEFT(B519,2),"Yes","Error"),"No")</f>
        <v>Yes</v>
      </c>
    </row>
    <row r="520" spans="1:13" x14ac:dyDescent="0.25">
      <c r="A520">
        <v>2022</v>
      </c>
      <c r="B520" t="s">
        <v>4701</v>
      </c>
      <c r="C520" t="s">
        <v>1975</v>
      </c>
      <c r="D520" t="s">
        <v>30</v>
      </c>
      <c r="E520" t="s">
        <v>123</v>
      </c>
      <c r="F520">
        <v>4600629123</v>
      </c>
      <c r="G520" t="s">
        <v>4709</v>
      </c>
      <c r="H520" t="s">
        <v>3334</v>
      </c>
      <c r="I520" t="s">
        <v>367</v>
      </c>
      <c r="J520" t="s">
        <v>123</v>
      </c>
      <c r="K520" s="2">
        <v>7804</v>
      </c>
      <c r="L520" s="2">
        <v>111480</v>
      </c>
      <c r="M520" t="str">
        <f>IFERROR(IF(VLOOKUP(LEFT(B520,2),'Humanitarian codes'!$A$2:$A$10,1,FALSE)=LEFT(B520,2),"Yes","Error"),"No")</f>
        <v>Yes</v>
      </c>
    </row>
    <row r="521" spans="1:13" x14ac:dyDescent="0.25">
      <c r="A521">
        <v>2022</v>
      </c>
      <c r="B521" t="s">
        <v>4701</v>
      </c>
      <c r="C521" t="s">
        <v>1975</v>
      </c>
      <c r="D521" t="s">
        <v>30</v>
      </c>
      <c r="E521" t="s">
        <v>123</v>
      </c>
      <c r="F521">
        <v>4600629157</v>
      </c>
      <c r="G521" t="s">
        <v>4710</v>
      </c>
      <c r="H521" t="s">
        <v>3334</v>
      </c>
      <c r="I521" t="s">
        <v>4711</v>
      </c>
      <c r="J521" t="s">
        <v>751</v>
      </c>
      <c r="K521" s="2">
        <v>125254</v>
      </c>
      <c r="L521" s="2">
        <v>125254</v>
      </c>
      <c r="M521" t="str">
        <f>IFERROR(IF(VLOOKUP(LEFT(B521,2),'Humanitarian codes'!$A$2:$A$10,1,FALSE)=LEFT(B521,2),"Yes","Error"),"No")</f>
        <v>Yes</v>
      </c>
    </row>
    <row r="522" spans="1:13" x14ac:dyDescent="0.25">
      <c r="A522">
        <v>2022</v>
      </c>
      <c r="B522" t="s">
        <v>4701</v>
      </c>
      <c r="C522" t="s">
        <v>1975</v>
      </c>
      <c r="D522" t="s">
        <v>30</v>
      </c>
      <c r="E522" t="s">
        <v>123</v>
      </c>
      <c r="F522">
        <v>4600629315</v>
      </c>
      <c r="G522" t="s">
        <v>4712</v>
      </c>
      <c r="H522" t="s">
        <v>3334</v>
      </c>
      <c r="I522" t="s">
        <v>2971</v>
      </c>
      <c r="J522" t="s">
        <v>996</v>
      </c>
      <c r="K522" s="2">
        <v>446199</v>
      </c>
      <c r="L522" s="2">
        <v>1456770</v>
      </c>
      <c r="M522" t="str">
        <f>IFERROR(IF(VLOOKUP(LEFT(B522,2),'Humanitarian codes'!$A$2:$A$10,1,FALSE)=LEFT(B522,2),"Yes","Error"),"No")</f>
        <v>Yes</v>
      </c>
    </row>
    <row r="523" spans="1:13" x14ac:dyDescent="0.25">
      <c r="A523">
        <v>2022</v>
      </c>
      <c r="B523" t="s">
        <v>4701</v>
      </c>
      <c r="C523" t="s">
        <v>1975</v>
      </c>
      <c r="D523" t="s">
        <v>30</v>
      </c>
      <c r="E523" t="s">
        <v>123</v>
      </c>
      <c r="F523">
        <v>4600629315</v>
      </c>
      <c r="G523" t="s">
        <v>2357</v>
      </c>
      <c r="H523" t="s">
        <v>3334</v>
      </c>
      <c r="I523" t="s">
        <v>2971</v>
      </c>
      <c r="J523" t="s">
        <v>996</v>
      </c>
      <c r="K523" s="2">
        <v>446199</v>
      </c>
      <c r="L523" s="2">
        <v>1456770</v>
      </c>
      <c r="M523" t="str">
        <f>IFERROR(IF(VLOOKUP(LEFT(B523,2),'Humanitarian codes'!$A$2:$A$10,1,FALSE)=LEFT(B523,2),"Yes","Error"),"No")</f>
        <v>Yes</v>
      </c>
    </row>
    <row r="524" spans="1:13" x14ac:dyDescent="0.25">
      <c r="A524">
        <v>2022</v>
      </c>
      <c r="B524" t="s">
        <v>4713</v>
      </c>
      <c r="C524" t="s">
        <v>4714</v>
      </c>
      <c r="D524" t="s">
        <v>30</v>
      </c>
      <c r="E524" t="s">
        <v>197</v>
      </c>
      <c r="F524">
        <v>4500180534</v>
      </c>
      <c r="G524" t="s">
        <v>4715</v>
      </c>
      <c r="H524" t="s">
        <v>3334</v>
      </c>
      <c r="I524" t="s">
        <v>2389</v>
      </c>
      <c r="J524" t="s">
        <v>197</v>
      </c>
      <c r="K524" s="2">
        <v>5894</v>
      </c>
      <c r="L524" s="2">
        <v>5894</v>
      </c>
      <c r="M524" t="str">
        <f>IFERROR(IF(VLOOKUP(LEFT(B524,2),'Humanitarian codes'!$A$2:$A$10,1,FALSE)=LEFT(B524,2),"Yes","Error"),"No")</f>
        <v>Yes</v>
      </c>
    </row>
    <row r="525" spans="1:13" x14ac:dyDescent="0.25">
      <c r="A525">
        <v>2022</v>
      </c>
      <c r="B525" t="s">
        <v>4713</v>
      </c>
      <c r="C525" t="s">
        <v>4714</v>
      </c>
      <c r="D525" t="s">
        <v>30</v>
      </c>
      <c r="E525" t="s">
        <v>197</v>
      </c>
      <c r="F525">
        <v>4500180538</v>
      </c>
      <c r="G525" t="s">
        <v>4716</v>
      </c>
      <c r="H525" t="s">
        <v>3334</v>
      </c>
      <c r="I525" t="s">
        <v>2394</v>
      </c>
      <c r="J525" t="s">
        <v>197</v>
      </c>
      <c r="K525" s="2">
        <v>13683</v>
      </c>
      <c r="L525" s="2">
        <v>13683</v>
      </c>
      <c r="M525" t="str">
        <f>IFERROR(IF(VLOOKUP(LEFT(B525,2),'Humanitarian codes'!$A$2:$A$10,1,FALSE)=LEFT(B525,2),"Yes","Error"),"No")</f>
        <v>Yes</v>
      </c>
    </row>
    <row r="526" spans="1:13" x14ac:dyDescent="0.25">
      <c r="A526">
        <v>2022</v>
      </c>
      <c r="B526" t="s">
        <v>4713</v>
      </c>
      <c r="C526" t="s">
        <v>4714</v>
      </c>
      <c r="D526" t="s">
        <v>30</v>
      </c>
      <c r="E526" t="s">
        <v>197</v>
      </c>
      <c r="F526">
        <v>4500185351</v>
      </c>
      <c r="G526" t="s">
        <v>4717</v>
      </c>
      <c r="H526" t="s">
        <v>3334</v>
      </c>
      <c r="I526" t="s">
        <v>1373</v>
      </c>
      <c r="J526" t="s">
        <v>197</v>
      </c>
      <c r="K526" s="2">
        <v>22511</v>
      </c>
      <c r="L526" s="2">
        <v>22511</v>
      </c>
      <c r="M526" t="str">
        <f>IFERROR(IF(VLOOKUP(LEFT(B526,2),'Humanitarian codes'!$A$2:$A$10,1,FALSE)=LEFT(B526,2),"Yes","Error"),"No")</f>
        <v>Yes</v>
      </c>
    </row>
    <row r="527" spans="1:13" x14ac:dyDescent="0.25">
      <c r="A527">
        <v>2022</v>
      </c>
      <c r="B527" t="s">
        <v>4713</v>
      </c>
      <c r="C527" t="s">
        <v>4714</v>
      </c>
      <c r="D527" t="s">
        <v>30</v>
      </c>
      <c r="E527" t="s">
        <v>197</v>
      </c>
      <c r="F527">
        <v>4500185376</v>
      </c>
      <c r="G527" t="s">
        <v>4718</v>
      </c>
      <c r="H527" t="s">
        <v>3334</v>
      </c>
      <c r="I527" t="s">
        <v>1277</v>
      </c>
      <c r="J527" t="s">
        <v>197</v>
      </c>
      <c r="K527" s="2">
        <v>57166</v>
      </c>
      <c r="L527" s="2">
        <v>57166</v>
      </c>
      <c r="M527" t="str">
        <f>IFERROR(IF(VLOOKUP(LEFT(B527,2),'Humanitarian codes'!$A$2:$A$10,1,FALSE)=LEFT(B527,2),"Yes","Error"),"No")</f>
        <v>Yes</v>
      </c>
    </row>
    <row r="528" spans="1:13" x14ac:dyDescent="0.25">
      <c r="A528">
        <v>2022</v>
      </c>
      <c r="B528" t="s">
        <v>4713</v>
      </c>
      <c r="C528" t="s">
        <v>4714</v>
      </c>
      <c r="D528" t="s">
        <v>30</v>
      </c>
      <c r="E528" t="s">
        <v>197</v>
      </c>
      <c r="F528">
        <v>4500186555</v>
      </c>
      <c r="G528" t="s">
        <v>4719</v>
      </c>
      <c r="H528" t="s">
        <v>3334</v>
      </c>
      <c r="I528" t="s">
        <v>861</v>
      </c>
      <c r="J528" t="s">
        <v>197</v>
      </c>
      <c r="K528" s="2">
        <v>24832</v>
      </c>
      <c r="L528" s="2">
        <v>24832</v>
      </c>
      <c r="M528" t="str">
        <f>IFERROR(IF(VLOOKUP(LEFT(B528,2),'Humanitarian codes'!$A$2:$A$10,1,FALSE)=LEFT(B528,2),"Yes","Error"),"No")</f>
        <v>Yes</v>
      </c>
    </row>
    <row r="529" spans="1:13" x14ac:dyDescent="0.25">
      <c r="A529">
        <v>2022</v>
      </c>
      <c r="B529" t="s">
        <v>4713</v>
      </c>
      <c r="C529" t="s">
        <v>4714</v>
      </c>
      <c r="D529" t="s">
        <v>30</v>
      </c>
      <c r="E529" t="s">
        <v>197</v>
      </c>
      <c r="F529">
        <v>4500186557</v>
      </c>
      <c r="G529" t="s">
        <v>4720</v>
      </c>
      <c r="H529" t="s">
        <v>3334</v>
      </c>
      <c r="I529" t="s">
        <v>860</v>
      </c>
      <c r="J529" t="s">
        <v>197</v>
      </c>
      <c r="K529" s="2">
        <v>8600</v>
      </c>
      <c r="L529" s="2">
        <v>8600</v>
      </c>
      <c r="M529" t="str">
        <f>IFERROR(IF(VLOOKUP(LEFT(B529,2),'Humanitarian codes'!$A$2:$A$10,1,FALSE)=LEFT(B529,2),"Yes","Error"),"No")</f>
        <v>Yes</v>
      </c>
    </row>
    <row r="530" spans="1:13" x14ac:dyDescent="0.25">
      <c r="A530">
        <v>2022</v>
      </c>
      <c r="B530" t="s">
        <v>4713</v>
      </c>
      <c r="C530" t="s">
        <v>4714</v>
      </c>
      <c r="D530" t="s">
        <v>30</v>
      </c>
      <c r="E530" t="s">
        <v>449</v>
      </c>
      <c r="F530">
        <v>4500200028</v>
      </c>
      <c r="G530" t="s">
        <v>4721</v>
      </c>
      <c r="H530" t="s">
        <v>3334</v>
      </c>
      <c r="I530" t="s">
        <v>2518</v>
      </c>
      <c r="J530" t="s">
        <v>449</v>
      </c>
      <c r="K530" s="2">
        <v>12000</v>
      </c>
      <c r="L530" s="2">
        <v>12000</v>
      </c>
      <c r="M530" t="str">
        <f>IFERROR(IF(VLOOKUP(LEFT(B530,2),'Humanitarian codes'!$A$2:$A$10,1,FALSE)=LEFT(B530,2),"Yes","Error"),"No")</f>
        <v>Yes</v>
      </c>
    </row>
    <row r="531" spans="1:13" x14ac:dyDescent="0.25">
      <c r="A531">
        <v>2022</v>
      </c>
      <c r="B531" t="s">
        <v>4713</v>
      </c>
      <c r="C531" t="s">
        <v>4714</v>
      </c>
      <c r="D531" t="s">
        <v>30</v>
      </c>
      <c r="E531" t="s">
        <v>831</v>
      </c>
      <c r="F531">
        <v>4500184742</v>
      </c>
      <c r="G531" t="s">
        <v>4722</v>
      </c>
      <c r="H531" t="s">
        <v>3334</v>
      </c>
      <c r="I531" t="s">
        <v>4723</v>
      </c>
      <c r="J531" t="s">
        <v>350</v>
      </c>
      <c r="K531" s="2">
        <v>25269</v>
      </c>
      <c r="L531" s="2">
        <v>25269</v>
      </c>
      <c r="M531" t="str">
        <f>IFERROR(IF(VLOOKUP(LEFT(B531,2),'Humanitarian codes'!$A$2:$A$10,1,FALSE)=LEFT(B531,2),"Yes","Error"),"No")</f>
        <v>Yes</v>
      </c>
    </row>
    <row r="532" spans="1:13" x14ac:dyDescent="0.25">
      <c r="A532">
        <v>2022</v>
      </c>
      <c r="B532" t="s">
        <v>4713</v>
      </c>
      <c r="C532" t="s">
        <v>4714</v>
      </c>
      <c r="D532" t="s">
        <v>30</v>
      </c>
      <c r="E532" t="s">
        <v>205</v>
      </c>
      <c r="F532">
        <v>4500181707</v>
      </c>
      <c r="G532" t="s">
        <v>4724</v>
      </c>
      <c r="H532" t="s">
        <v>3334</v>
      </c>
      <c r="I532" t="s">
        <v>869</v>
      </c>
      <c r="J532" t="s">
        <v>205</v>
      </c>
      <c r="K532" s="2">
        <v>62047</v>
      </c>
      <c r="L532" s="2">
        <v>78441</v>
      </c>
      <c r="M532" t="str">
        <f>IFERROR(IF(VLOOKUP(LEFT(B532,2),'Humanitarian codes'!$A$2:$A$10,1,FALSE)=LEFT(B532,2),"Yes","Error"),"No")</f>
        <v>Yes</v>
      </c>
    </row>
    <row r="533" spans="1:13" x14ac:dyDescent="0.25">
      <c r="A533">
        <v>2022</v>
      </c>
      <c r="B533" t="s">
        <v>4713</v>
      </c>
      <c r="C533" t="s">
        <v>4714</v>
      </c>
      <c r="D533" t="s">
        <v>30</v>
      </c>
      <c r="E533" t="s">
        <v>1987</v>
      </c>
      <c r="F533">
        <v>4500199634</v>
      </c>
      <c r="G533" t="s">
        <v>4725</v>
      </c>
      <c r="H533" t="s">
        <v>3334</v>
      </c>
      <c r="I533" t="s">
        <v>2408</v>
      </c>
      <c r="J533" t="s">
        <v>1987</v>
      </c>
      <c r="K533" s="2">
        <v>11167</v>
      </c>
      <c r="L533" s="2">
        <v>11167</v>
      </c>
      <c r="M533" t="str">
        <f>IFERROR(IF(VLOOKUP(LEFT(B533,2),'Humanitarian codes'!$A$2:$A$10,1,FALSE)=LEFT(B533,2),"Yes","Error"),"No")</f>
        <v>Yes</v>
      </c>
    </row>
    <row r="534" spans="1:13" x14ac:dyDescent="0.25">
      <c r="A534">
        <v>2022</v>
      </c>
      <c r="B534" t="s">
        <v>4713</v>
      </c>
      <c r="C534" t="s">
        <v>4714</v>
      </c>
      <c r="D534" t="s">
        <v>30</v>
      </c>
      <c r="E534" t="s">
        <v>1987</v>
      </c>
      <c r="F534">
        <v>4500203447</v>
      </c>
      <c r="G534" t="s">
        <v>4726</v>
      </c>
      <c r="H534" t="s">
        <v>3334</v>
      </c>
      <c r="I534" t="s">
        <v>4727</v>
      </c>
      <c r="J534" t="s">
        <v>798</v>
      </c>
      <c r="K534" s="2">
        <v>5000</v>
      </c>
      <c r="L534" s="2">
        <v>5000</v>
      </c>
      <c r="M534" t="str">
        <f>IFERROR(IF(VLOOKUP(LEFT(B534,2),'Humanitarian codes'!$A$2:$A$10,1,FALSE)=LEFT(B534,2),"Yes","Error"),"No")</f>
        <v>Yes</v>
      </c>
    </row>
    <row r="535" spans="1:13" x14ac:dyDescent="0.25">
      <c r="A535">
        <v>2022</v>
      </c>
      <c r="B535" t="s">
        <v>4713</v>
      </c>
      <c r="C535" t="s">
        <v>4714</v>
      </c>
      <c r="D535" t="s">
        <v>30</v>
      </c>
      <c r="E535" t="s">
        <v>210</v>
      </c>
      <c r="F535">
        <v>4500187111</v>
      </c>
      <c r="G535" t="s">
        <v>4728</v>
      </c>
      <c r="H535" t="s">
        <v>3334</v>
      </c>
      <c r="I535" t="s">
        <v>4729</v>
      </c>
      <c r="J535" t="s">
        <v>210</v>
      </c>
      <c r="K535" s="2">
        <v>139841</v>
      </c>
      <c r="L535" s="2">
        <v>139841</v>
      </c>
      <c r="M535" t="str">
        <f>IFERROR(IF(VLOOKUP(LEFT(B535,2),'Humanitarian codes'!$A$2:$A$10,1,FALSE)=LEFT(B535,2),"Yes","Error"),"No")</f>
        <v>Yes</v>
      </c>
    </row>
    <row r="536" spans="1:13" x14ac:dyDescent="0.25">
      <c r="A536">
        <v>2022</v>
      </c>
      <c r="B536" t="s">
        <v>4713</v>
      </c>
      <c r="C536" t="s">
        <v>4714</v>
      </c>
      <c r="D536" t="s">
        <v>30</v>
      </c>
      <c r="E536" t="s">
        <v>210</v>
      </c>
      <c r="F536">
        <v>4500192353</v>
      </c>
      <c r="G536" t="s">
        <v>4730</v>
      </c>
      <c r="H536" t="s">
        <v>3334</v>
      </c>
      <c r="I536" t="s">
        <v>880</v>
      </c>
      <c r="J536" t="s">
        <v>210</v>
      </c>
      <c r="K536" s="2">
        <v>71368</v>
      </c>
      <c r="L536" s="2">
        <v>71368</v>
      </c>
      <c r="M536" t="str">
        <f>IFERROR(IF(VLOOKUP(LEFT(B536,2),'Humanitarian codes'!$A$2:$A$10,1,FALSE)=LEFT(B536,2),"Yes","Error"),"No")</f>
        <v>Yes</v>
      </c>
    </row>
    <row r="537" spans="1:13" x14ac:dyDescent="0.25">
      <c r="A537">
        <v>2022</v>
      </c>
      <c r="B537" t="s">
        <v>4731</v>
      </c>
      <c r="C537" t="s">
        <v>4732</v>
      </c>
      <c r="D537" t="s">
        <v>30</v>
      </c>
      <c r="E537" t="s">
        <v>717</v>
      </c>
      <c r="F537">
        <v>4500196034</v>
      </c>
      <c r="G537" t="s">
        <v>3899</v>
      </c>
      <c r="H537" t="s">
        <v>3334</v>
      </c>
      <c r="I537" t="s">
        <v>3900</v>
      </c>
      <c r="J537" t="s">
        <v>717</v>
      </c>
      <c r="K537" s="2">
        <v>51696</v>
      </c>
      <c r="L537" s="2">
        <v>351673</v>
      </c>
      <c r="M537" t="str">
        <f>IFERROR(IF(VLOOKUP(LEFT(B537,2),'Humanitarian codes'!$A$2:$A$10,1,FALSE)=LEFT(B537,2),"Yes","Error"),"No")</f>
        <v>Yes</v>
      </c>
    </row>
    <row r="538" spans="1:13" x14ac:dyDescent="0.25">
      <c r="A538">
        <v>2022</v>
      </c>
      <c r="B538" t="s">
        <v>4731</v>
      </c>
      <c r="C538" t="s">
        <v>4732</v>
      </c>
      <c r="D538" t="s">
        <v>30</v>
      </c>
      <c r="E538" t="s">
        <v>717</v>
      </c>
      <c r="F538">
        <v>4500199278</v>
      </c>
      <c r="G538" t="s">
        <v>4733</v>
      </c>
      <c r="H538" t="s">
        <v>3334</v>
      </c>
      <c r="I538" t="s">
        <v>1910</v>
      </c>
      <c r="J538" t="s">
        <v>717</v>
      </c>
      <c r="K538" s="2">
        <v>49451</v>
      </c>
      <c r="L538" s="2">
        <v>49451</v>
      </c>
      <c r="M538" t="str">
        <f>IFERROR(IF(VLOOKUP(LEFT(B538,2),'Humanitarian codes'!$A$2:$A$10,1,FALSE)=LEFT(B538,2),"Yes","Error"),"No")</f>
        <v>Yes</v>
      </c>
    </row>
    <row r="539" spans="1:13" x14ac:dyDescent="0.25">
      <c r="A539">
        <v>2022</v>
      </c>
      <c r="B539" t="s">
        <v>4731</v>
      </c>
      <c r="C539" t="s">
        <v>4732</v>
      </c>
      <c r="D539" t="s">
        <v>30</v>
      </c>
      <c r="E539" t="s">
        <v>717</v>
      </c>
      <c r="F539">
        <v>4500206584</v>
      </c>
      <c r="G539" t="s">
        <v>3903</v>
      </c>
      <c r="H539" t="s">
        <v>3334</v>
      </c>
      <c r="I539" t="s">
        <v>728</v>
      </c>
      <c r="J539" t="s">
        <v>717</v>
      </c>
      <c r="K539" s="2">
        <v>26673</v>
      </c>
      <c r="L539" s="2">
        <v>213383</v>
      </c>
      <c r="M539" t="str">
        <f>IFERROR(IF(VLOOKUP(LEFT(B539,2),'Humanitarian codes'!$A$2:$A$10,1,FALSE)=LEFT(B539,2),"Yes","Error"),"No")</f>
        <v>Yes</v>
      </c>
    </row>
    <row r="540" spans="1:13" x14ac:dyDescent="0.25">
      <c r="A540">
        <v>2022</v>
      </c>
      <c r="B540" t="s">
        <v>4731</v>
      </c>
      <c r="C540" t="s">
        <v>4732</v>
      </c>
      <c r="D540" t="s">
        <v>30</v>
      </c>
      <c r="E540" t="s">
        <v>717</v>
      </c>
      <c r="F540">
        <v>4500220093</v>
      </c>
      <c r="G540" t="s">
        <v>3904</v>
      </c>
      <c r="H540" t="s">
        <v>3334</v>
      </c>
      <c r="I540" t="s">
        <v>1162</v>
      </c>
      <c r="J540" t="s">
        <v>717</v>
      </c>
      <c r="K540" s="2">
        <v>43505</v>
      </c>
      <c r="L540" s="2">
        <v>123593</v>
      </c>
      <c r="M540" t="str">
        <f>IFERROR(IF(VLOOKUP(LEFT(B540,2),'Humanitarian codes'!$A$2:$A$10,1,FALSE)=LEFT(B540,2),"Yes","Error"),"No")</f>
        <v>Yes</v>
      </c>
    </row>
    <row r="541" spans="1:13" x14ac:dyDescent="0.25">
      <c r="A541">
        <v>2022</v>
      </c>
      <c r="B541" t="s">
        <v>4731</v>
      </c>
      <c r="C541" t="s">
        <v>4732</v>
      </c>
      <c r="D541" t="s">
        <v>30</v>
      </c>
      <c r="E541" t="s">
        <v>717</v>
      </c>
      <c r="F541">
        <v>4500224034</v>
      </c>
      <c r="G541" t="s">
        <v>3905</v>
      </c>
      <c r="H541" t="s">
        <v>3334</v>
      </c>
      <c r="I541" t="s">
        <v>3906</v>
      </c>
      <c r="J541" t="s">
        <v>717</v>
      </c>
      <c r="K541" s="2">
        <v>83063</v>
      </c>
      <c r="L541" s="2">
        <v>298789</v>
      </c>
      <c r="M541" t="str">
        <f>IFERROR(IF(VLOOKUP(LEFT(B541,2),'Humanitarian codes'!$A$2:$A$10,1,FALSE)=LEFT(B541,2),"Yes","Error"),"No")</f>
        <v>Yes</v>
      </c>
    </row>
    <row r="542" spans="1:13" x14ac:dyDescent="0.25">
      <c r="A542">
        <v>2022</v>
      </c>
      <c r="B542" t="s">
        <v>4734</v>
      </c>
      <c r="C542" t="s">
        <v>4735</v>
      </c>
      <c r="D542" t="s">
        <v>30</v>
      </c>
      <c r="E542" t="s">
        <v>253</v>
      </c>
      <c r="F542">
        <v>4500220656</v>
      </c>
      <c r="G542" t="s">
        <v>4736</v>
      </c>
      <c r="H542" t="s">
        <v>3334</v>
      </c>
      <c r="I542" t="s">
        <v>156</v>
      </c>
      <c r="J542" t="s">
        <v>184</v>
      </c>
      <c r="K542" s="2">
        <v>135000</v>
      </c>
      <c r="L542" s="2">
        <v>135000</v>
      </c>
      <c r="M542" t="str">
        <f>IFERROR(IF(VLOOKUP(LEFT(B542,2),'Humanitarian codes'!$A$2:$A$10,1,FALSE)=LEFT(B542,2),"Yes","Error"),"No")</f>
        <v>Yes</v>
      </c>
    </row>
    <row r="543" spans="1:13" x14ac:dyDescent="0.25">
      <c r="A543">
        <v>2022</v>
      </c>
      <c r="B543" t="s">
        <v>4737</v>
      </c>
      <c r="C543" t="s">
        <v>4738</v>
      </c>
      <c r="D543" t="s">
        <v>30</v>
      </c>
      <c r="E543" t="s">
        <v>793</v>
      </c>
      <c r="F543">
        <v>4500228952</v>
      </c>
      <c r="G543" t="s">
        <v>4739</v>
      </c>
      <c r="H543" t="s">
        <v>3334</v>
      </c>
      <c r="I543" t="s">
        <v>1837</v>
      </c>
      <c r="J543" t="s">
        <v>793</v>
      </c>
      <c r="K543" s="2">
        <v>15408</v>
      </c>
      <c r="L543" s="2">
        <v>30816</v>
      </c>
      <c r="M543" t="str">
        <f>IFERROR(IF(VLOOKUP(LEFT(B543,2),'Humanitarian codes'!$A$2:$A$10,1,FALSE)=LEFT(B543,2),"Yes","Error"),"No")</f>
        <v>Yes</v>
      </c>
    </row>
    <row r="544" spans="1:13" x14ac:dyDescent="0.25">
      <c r="A544">
        <v>2022</v>
      </c>
      <c r="B544" t="s">
        <v>4740</v>
      </c>
      <c r="C544" t="s">
        <v>4741</v>
      </c>
      <c r="D544" t="s">
        <v>30</v>
      </c>
      <c r="E544" t="s">
        <v>940</v>
      </c>
      <c r="F544">
        <v>4500223104</v>
      </c>
      <c r="G544" t="s">
        <v>4742</v>
      </c>
      <c r="H544" t="s">
        <v>3334</v>
      </c>
      <c r="I544" t="s">
        <v>4743</v>
      </c>
      <c r="J544" t="s">
        <v>940</v>
      </c>
      <c r="K544" s="2">
        <v>10000</v>
      </c>
      <c r="L544" s="2">
        <v>10000</v>
      </c>
      <c r="M544" t="str">
        <f>IFERROR(IF(VLOOKUP(LEFT(B544,2),'Humanitarian codes'!$A$2:$A$10,1,FALSE)=LEFT(B544,2),"Yes","Error"),"No")</f>
        <v>Yes</v>
      </c>
    </row>
    <row r="545" spans="1:13" x14ac:dyDescent="0.25">
      <c r="A545">
        <v>2022</v>
      </c>
      <c r="B545" t="s">
        <v>4744</v>
      </c>
      <c r="C545" t="s">
        <v>4745</v>
      </c>
      <c r="D545" t="s">
        <v>30</v>
      </c>
      <c r="E545" t="s">
        <v>320</v>
      </c>
      <c r="F545">
        <v>4500181266</v>
      </c>
      <c r="G545" t="s">
        <v>4746</v>
      </c>
      <c r="H545" t="s">
        <v>3334</v>
      </c>
      <c r="I545" t="s">
        <v>4747</v>
      </c>
      <c r="J545" t="s">
        <v>320</v>
      </c>
      <c r="K545" s="2">
        <v>18287</v>
      </c>
      <c r="L545" s="2">
        <v>48250</v>
      </c>
      <c r="M545" t="str">
        <f>IFERROR(IF(VLOOKUP(LEFT(B545,2),'Humanitarian codes'!$A$2:$A$10,1,FALSE)=LEFT(B545,2),"Yes","Error"),"No")</f>
        <v>Yes</v>
      </c>
    </row>
    <row r="546" spans="1:13" x14ac:dyDescent="0.25">
      <c r="A546">
        <v>2022</v>
      </c>
      <c r="B546" t="s">
        <v>4748</v>
      </c>
      <c r="C546" t="s">
        <v>4749</v>
      </c>
      <c r="D546" t="s">
        <v>30</v>
      </c>
      <c r="E546" t="s">
        <v>751</v>
      </c>
      <c r="F546">
        <v>4500188292</v>
      </c>
      <c r="G546" t="s">
        <v>3938</v>
      </c>
      <c r="H546" t="s">
        <v>3334</v>
      </c>
      <c r="I546" t="s">
        <v>4750</v>
      </c>
      <c r="J546" t="s">
        <v>751</v>
      </c>
      <c r="K546" s="2">
        <v>308809</v>
      </c>
      <c r="L546" s="2">
        <v>308809</v>
      </c>
      <c r="M546" t="str">
        <f>IFERROR(IF(VLOOKUP(LEFT(B546,2),'Humanitarian codes'!$A$2:$A$10,1,FALSE)=LEFT(B546,2),"Yes","Error"),"No")</f>
        <v>Yes</v>
      </c>
    </row>
    <row r="547" spans="1:13" x14ac:dyDescent="0.25">
      <c r="A547">
        <v>2022</v>
      </c>
      <c r="B547" t="s">
        <v>4748</v>
      </c>
      <c r="C547" t="s">
        <v>4749</v>
      </c>
      <c r="D547" t="s">
        <v>30</v>
      </c>
      <c r="E547" t="s">
        <v>751</v>
      </c>
      <c r="F547">
        <v>4500197471</v>
      </c>
      <c r="G547" t="s">
        <v>4751</v>
      </c>
      <c r="H547" t="s">
        <v>3334</v>
      </c>
      <c r="I547" t="s">
        <v>4752</v>
      </c>
      <c r="J547" t="s">
        <v>751</v>
      </c>
      <c r="K547" s="2">
        <v>14972</v>
      </c>
      <c r="L547" s="2">
        <v>14972</v>
      </c>
      <c r="M547" t="str">
        <f>IFERROR(IF(VLOOKUP(LEFT(B547,2),'Humanitarian codes'!$A$2:$A$10,1,FALSE)=LEFT(B547,2),"Yes","Error"),"No")</f>
        <v>Yes</v>
      </c>
    </row>
    <row r="548" spans="1:13" x14ac:dyDescent="0.25">
      <c r="A548">
        <v>2022</v>
      </c>
      <c r="B548" t="s">
        <v>4748</v>
      </c>
      <c r="C548" t="s">
        <v>4749</v>
      </c>
      <c r="D548" t="s">
        <v>30</v>
      </c>
      <c r="E548" t="s">
        <v>751</v>
      </c>
      <c r="F548">
        <v>4500215702</v>
      </c>
      <c r="G548" t="s">
        <v>4753</v>
      </c>
      <c r="H548" t="s">
        <v>3334</v>
      </c>
      <c r="I548" t="s">
        <v>2382</v>
      </c>
      <c r="J548" t="s">
        <v>581</v>
      </c>
      <c r="K548" s="2">
        <v>16542</v>
      </c>
      <c r="L548" s="2">
        <v>16542</v>
      </c>
      <c r="M548" t="str">
        <f>IFERROR(IF(VLOOKUP(LEFT(B548,2),'Humanitarian codes'!$A$2:$A$10,1,FALSE)=LEFT(B548,2),"Yes","Error"),"No")</f>
        <v>Yes</v>
      </c>
    </row>
    <row r="549" spans="1:13" x14ac:dyDescent="0.25">
      <c r="A549">
        <v>2022</v>
      </c>
      <c r="B549" t="s">
        <v>4748</v>
      </c>
      <c r="C549" t="s">
        <v>4749</v>
      </c>
      <c r="D549" t="s">
        <v>30</v>
      </c>
      <c r="E549" t="s">
        <v>751</v>
      </c>
      <c r="F549">
        <v>4500271003</v>
      </c>
      <c r="G549" t="s">
        <v>4754</v>
      </c>
      <c r="H549" t="s">
        <v>3334</v>
      </c>
      <c r="I549" t="s">
        <v>2382</v>
      </c>
      <c r="J549" t="s">
        <v>581</v>
      </c>
      <c r="K549" s="2">
        <v>18000</v>
      </c>
      <c r="L549" s="2">
        <v>18000</v>
      </c>
      <c r="M549" t="str">
        <f>IFERROR(IF(VLOOKUP(LEFT(B549,2),'Humanitarian codes'!$A$2:$A$10,1,FALSE)=LEFT(B549,2),"Yes","Error"),"No")</f>
        <v>Yes</v>
      </c>
    </row>
    <row r="550" spans="1:13" x14ac:dyDescent="0.25">
      <c r="A550">
        <v>2022</v>
      </c>
      <c r="B550" t="s">
        <v>3429</v>
      </c>
      <c r="C550" t="s">
        <v>3430</v>
      </c>
      <c r="D550" t="s">
        <v>30</v>
      </c>
      <c r="E550" t="s">
        <v>253</v>
      </c>
      <c r="F550">
        <v>4500263746</v>
      </c>
      <c r="G550" t="s">
        <v>4755</v>
      </c>
      <c r="H550" t="s">
        <v>3334</v>
      </c>
      <c r="I550" t="s">
        <v>1362</v>
      </c>
      <c r="J550" t="s">
        <v>253</v>
      </c>
      <c r="K550" s="2">
        <v>34046</v>
      </c>
      <c r="L550" s="2">
        <v>34046</v>
      </c>
      <c r="M550" t="str">
        <f>IFERROR(IF(VLOOKUP(LEFT(B550,2),'Humanitarian codes'!$A$2:$A$10,1,FALSE)=LEFT(B550,2),"Yes","Error"),"No")</f>
        <v>Yes</v>
      </c>
    </row>
    <row r="551" spans="1:13" x14ac:dyDescent="0.25">
      <c r="A551">
        <v>2022</v>
      </c>
      <c r="B551" t="s">
        <v>2865</v>
      </c>
      <c r="C551" t="s">
        <v>3432</v>
      </c>
      <c r="D551" t="s">
        <v>30</v>
      </c>
      <c r="E551" t="s">
        <v>717</v>
      </c>
      <c r="F551">
        <v>4500181197</v>
      </c>
      <c r="G551" t="s">
        <v>4756</v>
      </c>
      <c r="H551" t="s">
        <v>3334</v>
      </c>
      <c r="I551" t="s">
        <v>4757</v>
      </c>
      <c r="J551" t="s">
        <v>717</v>
      </c>
      <c r="K551" s="2">
        <v>250000</v>
      </c>
      <c r="L551" s="2">
        <v>250000</v>
      </c>
      <c r="M551" t="str">
        <f>IFERROR(IF(VLOOKUP(LEFT(B551,2),'Humanitarian codes'!$A$2:$A$10,1,FALSE)=LEFT(B551,2),"Yes","Error"),"No")</f>
        <v>Yes</v>
      </c>
    </row>
    <row r="552" spans="1:13" x14ac:dyDescent="0.25">
      <c r="A552">
        <v>2022</v>
      </c>
      <c r="B552" t="s">
        <v>2865</v>
      </c>
      <c r="C552" t="s">
        <v>3432</v>
      </c>
      <c r="D552" t="s">
        <v>30</v>
      </c>
      <c r="E552" t="s">
        <v>717</v>
      </c>
      <c r="F552">
        <v>4500184494</v>
      </c>
      <c r="G552" t="s">
        <v>4758</v>
      </c>
      <c r="H552" t="s">
        <v>3334</v>
      </c>
      <c r="I552" t="s">
        <v>2459</v>
      </c>
      <c r="J552" t="s">
        <v>717</v>
      </c>
      <c r="K552" s="2">
        <v>282085</v>
      </c>
      <c r="L552" s="2">
        <v>282085</v>
      </c>
      <c r="M552" t="str">
        <f>IFERROR(IF(VLOOKUP(LEFT(B552,2),'Humanitarian codes'!$A$2:$A$10,1,FALSE)=LEFT(B552,2),"Yes","Error"),"No")</f>
        <v>Yes</v>
      </c>
    </row>
    <row r="553" spans="1:13" x14ac:dyDescent="0.25">
      <c r="A553">
        <v>2022</v>
      </c>
      <c r="B553" t="s">
        <v>2865</v>
      </c>
      <c r="C553" t="s">
        <v>3432</v>
      </c>
      <c r="D553" t="s">
        <v>30</v>
      </c>
      <c r="E553" t="s">
        <v>717</v>
      </c>
      <c r="F553">
        <v>4500189434</v>
      </c>
      <c r="G553" t="s">
        <v>4759</v>
      </c>
      <c r="H553" t="s">
        <v>3334</v>
      </c>
      <c r="I553" t="s">
        <v>4760</v>
      </c>
      <c r="J553" t="s">
        <v>717</v>
      </c>
      <c r="K553" s="2">
        <v>198057</v>
      </c>
      <c r="L553" s="2">
        <v>198057</v>
      </c>
      <c r="M553" t="str">
        <f>IFERROR(IF(VLOOKUP(LEFT(B553,2),'Humanitarian codes'!$A$2:$A$10,1,FALSE)=LEFT(B553,2),"Yes","Error"),"No")</f>
        <v>Yes</v>
      </c>
    </row>
    <row r="554" spans="1:13" x14ac:dyDescent="0.25">
      <c r="A554">
        <v>2022</v>
      </c>
      <c r="B554" t="s">
        <v>2865</v>
      </c>
      <c r="C554" t="s">
        <v>3432</v>
      </c>
      <c r="D554" t="s">
        <v>30</v>
      </c>
      <c r="E554" t="s">
        <v>717</v>
      </c>
      <c r="F554">
        <v>4500197999</v>
      </c>
      <c r="G554" t="s">
        <v>4761</v>
      </c>
      <c r="H554" t="s">
        <v>3334</v>
      </c>
      <c r="I554" t="s">
        <v>4039</v>
      </c>
      <c r="J554" t="s">
        <v>717</v>
      </c>
      <c r="K554" s="2">
        <v>77249</v>
      </c>
      <c r="L554" s="2">
        <v>77249</v>
      </c>
      <c r="M554" t="str">
        <f>IFERROR(IF(VLOOKUP(LEFT(B554,2),'Humanitarian codes'!$A$2:$A$10,1,FALSE)=LEFT(B554,2),"Yes","Error"),"No")</f>
        <v>Yes</v>
      </c>
    </row>
    <row r="555" spans="1:13" x14ac:dyDescent="0.25">
      <c r="A555">
        <v>2022</v>
      </c>
      <c r="B555" t="s">
        <v>2865</v>
      </c>
      <c r="C555" t="s">
        <v>3432</v>
      </c>
      <c r="D555" t="s">
        <v>30</v>
      </c>
      <c r="E555" t="s">
        <v>717</v>
      </c>
      <c r="F555">
        <v>4500199268</v>
      </c>
      <c r="G555" t="s">
        <v>4762</v>
      </c>
      <c r="H555" t="s">
        <v>3334</v>
      </c>
      <c r="I555" t="s">
        <v>4763</v>
      </c>
      <c r="J555" t="s">
        <v>717</v>
      </c>
      <c r="K555" s="2">
        <v>181915</v>
      </c>
      <c r="L555" s="2">
        <v>181915</v>
      </c>
      <c r="M555" t="str">
        <f>IFERROR(IF(VLOOKUP(LEFT(B555,2),'Humanitarian codes'!$A$2:$A$10,1,FALSE)=LEFT(B555,2),"Yes","Error"),"No")</f>
        <v>Yes</v>
      </c>
    </row>
    <row r="556" spans="1:13" x14ac:dyDescent="0.25">
      <c r="A556">
        <v>2022</v>
      </c>
      <c r="B556" t="s">
        <v>2865</v>
      </c>
      <c r="C556" t="s">
        <v>3432</v>
      </c>
      <c r="D556" t="s">
        <v>30</v>
      </c>
      <c r="E556" t="s">
        <v>717</v>
      </c>
      <c r="F556">
        <v>4500209848</v>
      </c>
      <c r="G556" t="s">
        <v>4764</v>
      </c>
      <c r="H556" t="s">
        <v>3334</v>
      </c>
      <c r="I556" t="s">
        <v>4763</v>
      </c>
      <c r="J556" t="s">
        <v>717</v>
      </c>
      <c r="K556" s="2">
        <v>71040</v>
      </c>
      <c r="L556" s="2">
        <v>71040</v>
      </c>
      <c r="M556" t="str">
        <f>IFERROR(IF(VLOOKUP(LEFT(B556,2),'Humanitarian codes'!$A$2:$A$10,1,FALSE)=LEFT(B556,2),"Yes","Error"),"No")</f>
        <v>Yes</v>
      </c>
    </row>
    <row r="557" spans="1:13" x14ac:dyDescent="0.25">
      <c r="A557">
        <v>2022</v>
      </c>
      <c r="B557" t="s">
        <v>2865</v>
      </c>
      <c r="C557" t="s">
        <v>3432</v>
      </c>
      <c r="D557" t="s">
        <v>30</v>
      </c>
      <c r="E557" t="s">
        <v>717</v>
      </c>
      <c r="F557">
        <v>4500237986</v>
      </c>
      <c r="G557" t="s">
        <v>4765</v>
      </c>
      <c r="H557" t="s">
        <v>3334</v>
      </c>
      <c r="I557" t="s">
        <v>4766</v>
      </c>
      <c r="J557" t="s">
        <v>717</v>
      </c>
      <c r="K557" s="2">
        <v>308716</v>
      </c>
      <c r="L557" s="2">
        <v>308716</v>
      </c>
      <c r="M557" t="str">
        <f>IFERROR(IF(VLOOKUP(LEFT(B557,2),'Humanitarian codes'!$A$2:$A$10,1,FALSE)=LEFT(B557,2),"Yes","Error"),"No")</f>
        <v>Yes</v>
      </c>
    </row>
    <row r="558" spans="1:13" x14ac:dyDescent="0.25">
      <c r="A558">
        <v>2022</v>
      </c>
      <c r="B558" t="s">
        <v>2865</v>
      </c>
      <c r="C558" t="s">
        <v>3432</v>
      </c>
      <c r="D558" t="s">
        <v>30</v>
      </c>
      <c r="E558" t="s">
        <v>717</v>
      </c>
      <c r="F558">
        <v>4500237990</v>
      </c>
      <c r="G558" t="s">
        <v>4767</v>
      </c>
      <c r="H558" t="s">
        <v>3334</v>
      </c>
      <c r="I558" t="s">
        <v>3235</v>
      </c>
      <c r="J558" t="s">
        <v>717</v>
      </c>
      <c r="K558" s="2">
        <v>193967</v>
      </c>
      <c r="L558" s="2">
        <v>193967</v>
      </c>
      <c r="M558" t="str">
        <f>IFERROR(IF(VLOOKUP(LEFT(B558,2),'Humanitarian codes'!$A$2:$A$10,1,FALSE)=LEFT(B558,2),"Yes","Error"),"No")</f>
        <v>Yes</v>
      </c>
    </row>
    <row r="559" spans="1:13" x14ac:dyDescent="0.25">
      <c r="A559">
        <v>2022</v>
      </c>
      <c r="B559" t="s">
        <v>2865</v>
      </c>
      <c r="C559" t="s">
        <v>3432</v>
      </c>
      <c r="D559" t="s">
        <v>30</v>
      </c>
      <c r="E559" t="s">
        <v>717</v>
      </c>
      <c r="F559">
        <v>4500238014</v>
      </c>
      <c r="G559" t="s">
        <v>3938</v>
      </c>
      <c r="H559" t="s">
        <v>3334</v>
      </c>
      <c r="I559" t="s">
        <v>2441</v>
      </c>
      <c r="J559" t="s">
        <v>717</v>
      </c>
      <c r="K559" s="2">
        <v>520225</v>
      </c>
      <c r="L559" s="2">
        <v>520225</v>
      </c>
      <c r="M559" t="str">
        <f>IFERROR(IF(VLOOKUP(LEFT(B559,2),'Humanitarian codes'!$A$2:$A$10,1,FALSE)=LEFT(B559,2),"Yes","Error"),"No")</f>
        <v>Yes</v>
      </c>
    </row>
    <row r="560" spans="1:13" x14ac:dyDescent="0.25">
      <c r="A560">
        <v>2022</v>
      </c>
      <c r="B560" t="s">
        <v>2865</v>
      </c>
      <c r="C560" t="s">
        <v>3432</v>
      </c>
      <c r="D560" t="s">
        <v>30</v>
      </c>
      <c r="E560" t="s">
        <v>717</v>
      </c>
      <c r="F560">
        <v>4500239094</v>
      </c>
      <c r="G560" t="s">
        <v>4768</v>
      </c>
      <c r="H560" t="s">
        <v>3334</v>
      </c>
      <c r="I560" t="s">
        <v>1160</v>
      </c>
      <c r="J560" t="s">
        <v>717</v>
      </c>
      <c r="K560" s="2">
        <v>40090</v>
      </c>
      <c r="L560" s="2">
        <v>40090</v>
      </c>
      <c r="M560" t="str">
        <f>IFERROR(IF(VLOOKUP(LEFT(B560,2),'Humanitarian codes'!$A$2:$A$10,1,FALSE)=LEFT(B560,2),"Yes","Error"),"No")</f>
        <v>Yes</v>
      </c>
    </row>
    <row r="561" spans="1:13" x14ac:dyDescent="0.25">
      <c r="A561">
        <v>2022</v>
      </c>
      <c r="B561" t="s">
        <v>2865</v>
      </c>
      <c r="C561" t="s">
        <v>3432</v>
      </c>
      <c r="D561" t="s">
        <v>30</v>
      </c>
      <c r="E561" t="s">
        <v>717</v>
      </c>
      <c r="F561">
        <v>4500240010</v>
      </c>
      <c r="G561" t="s">
        <v>4769</v>
      </c>
      <c r="H561" t="s">
        <v>3334</v>
      </c>
      <c r="I561" t="s">
        <v>4770</v>
      </c>
      <c r="J561" t="s">
        <v>717</v>
      </c>
      <c r="K561" s="2">
        <v>428611</v>
      </c>
      <c r="L561" s="2">
        <v>428611</v>
      </c>
      <c r="M561" t="str">
        <f>IFERROR(IF(VLOOKUP(LEFT(B561,2),'Humanitarian codes'!$A$2:$A$10,1,FALSE)=LEFT(B561,2),"Yes","Error"),"No")</f>
        <v>Yes</v>
      </c>
    </row>
    <row r="562" spans="1:13" x14ac:dyDescent="0.25">
      <c r="A562">
        <v>2022</v>
      </c>
      <c r="B562" t="s">
        <v>2865</v>
      </c>
      <c r="C562" t="s">
        <v>3432</v>
      </c>
      <c r="D562" t="s">
        <v>30</v>
      </c>
      <c r="E562" t="s">
        <v>717</v>
      </c>
      <c r="F562">
        <v>4500240291</v>
      </c>
      <c r="G562" t="s">
        <v>4771</v>
      </c>
      <c r="H562" t="s">
        <v>3334</v>
      </c>
      <c r="I562" t="s">
        <v>4772</v>
      </c>
      <c r="J562" t="s">
        <v>717</v>
      </c>
      <c r="K562" s="2">
        <v>385392</v>
      </c>
      <c r="L562" s="2">
        <v>385392</v>
      </c>
      <c r="M562" t="str">
        <f>IFERROR(IF(VLOOKUP(LEFT(B562,2),'Humanitarian codes'!$A$2:$A$10,1,FALSE)=LEFT(B562,2),"Yes","Error"),"No")</f>
        <v>Yes</v>
      </c>
    </row>
    <row r="563" spans="1:13" x14ac:dyDescent="0.25">
      <c r="A563">
        <v>2022</v>
      </c>
      <c r="B563" t="s">
        <v>2865</v>
      </c>
      <c r="C563" t="s">
        <v>3432</v>
      </c>
      <c r="D563" t="s">
        <v>30</v>
      </c>
      <c r="E563" t="s">
        <v>717</v>
      </c>
      <c r="F563">
        <v>4500241359</v>
      </c>
      <c r="G563" t="s">
        <v>4773</v>
      </c>
      <c r="H563" t="s">
        <v>3334</v>
      </c>
      <c r="I563" t="s">
        <v>4774</v>
      </c>
      <c r="J563" t="s">
        <v>717</v>
      </c>
      <c r="K563" s="2">
        <v>88231</v>
      </c>
      <c r="L563" s="2">
        <v>88231</v>
      </c>
      <c r="M563" t="str">
        <f>IFERROR(IF(VLOOKUP(LEFT(B563,2),'Humanitarian codes'!$A$2:$A$10,1,FALSE)=LEFT(B563,2),"Yes","Error"),"No")</f>
        <v>Yes</v>
      </c>
    </row>
    <row r="564" spans="1:13" x14ac:dyDescent="0.25">
      <c r="A564">
        <v>2022</v>
      </c>
      <c r="B564" t="s">
        <v>2865</v>
      </c>
      <c r="C564" t="s">
        <v>3432</v>
      </c>
      <c r="D564" t="s">
        <v>30</v>
      </c>
      <c r="E564" t="s">
        <v>717</v>
      </c>
      <c r="F564">
        <v>4500242599</v>
      </c>
      <c r="G564" t="s">
        <v>4775</v>
      </c>
      <c r="H564" t="s">
        <v>3334</v>
      </c>
      <c r="I564" t="s">
        <v>2868</v>
      </c>
      <c r="J564" t="s">
        <v>717</v>
      </c>
      <c r="K564" s="2">
        <v>710303</v>
      </c>
      <c r="L564" s="2">
        <v>710303</v>
      </c>
      <c r="M564" t="str">
        <f>IFERROR(IF(VLOOKUP(LEFT(B564,2),'Humanitarian codes'!$A$2:$A$10,1,FALSE)=LEFT(B564,2),"Yes","Error"),"No")</f>
        <v>Yes</v>
      </c>
    </row>
    <row r="565" spans="1:13" x14ac:dyDescent="0.25">
      <c r="A565">
        <v>2022</v>
      </c>
      <c r="B565" t="s">
        <v>2865</v>
      </c>
      <c r="C565" t="s">
        <v>3432</v>
      </c>
      <c r="D565" t="s">
        <v>30</v>
      </c>
      <c r="E565" t="s">
        <v>717</v>
      </c>
      <c r="F565">
        <v>4500263995</v>
      </c>
      <c r="G565" t="s">
        <v>4776</v>
      </c>
      <c r="H565" t="s">
        <v>3334</v>
      </c>
      <c r="I565" t="s">
        <v>720</v>
      </c>
      <c r="J565" t="s">
        <v>717</v>
      </c>
      <c r="K565" s="2">
        <v>124908</v>
      </c>
      <c r="L565" s="2">
        <v>124908</v>
      </c>
      <c r="M565" t="str">
        <f>IFERROR(IF(VLOOKUP(LEFT(B565,2),'Humanitarian codes'!$A$2:$A$10,1,FALSE)=LEFT(B565,2),"Yes","Error"),"No")</f>
        <v>Yes</v>
      </c>
    </row>
    <row r="566" spans="1:13" x14ac:dyDescent="0.25">
      <c r="A566">
        <v>2022</v>
      </c>
      <c r="B566" t="s">
        <v>2865</v>
      </c>
      <c r="C566" t="s">
        <v>3432</v>
      </c>
      <c r="D566" t="s">
        <v>30</v>
      </c>
      <c r="E566" t="s">
        <v>717</v>
      </c>
      <c r="F566">
        <v>4500276269</v>
      </c>
      <c r="G566" t="s">
        <v>4777</v>
      </c>
      <c r="H566" t="s">
        <v>3334</v>
      </c>
      <c r="I566" t="s">
        <v>2364</v>
      </c>
      <c r="J566" t="s">
        <v>717</v>
      </c>
      <c r="K566" s="2">
        <v>101194</v>
      </c>
      <c r="L566" s="2">
        <v>101194</v>
      </c>
      <c r="M566" t="str">
        <f>IFERROR(IF(VLOOKUP(LEFT(B566,2),'Humanitarian codes'!$A$2:$A$10,1,FALSE)=LEFT(B566,2),"Yes","Error"),"No")</f>
        <v>Yes</v>
      </c>
    </row>
    <row r="567" spans="1:13" x14ac:dyDescent="0.25">
      <c r="A567">
        <v>2022</v>
      </c>
      <c r="B567" t="s">
        <v>2865</v>
      </c>
      <c r="C567" t="s">
        <v>3432</v>
      </c>
      <c r="D567" t="s">
        <v>30</v>
      </c>
      <c r="E567" t="s">
        <v>717</v>
      </c>
      <c r="F567">
        <v>4500276433</v>
      </c>
      <c r="G567" t="s">
        <v>4778</v>
      </c>
      <c r="H567" t="s">
        <v>3334</v>
      </c>
      <c r="I567" t="s">
        <v>1160</v>
      </c>
      <c r="J567" t="s">
        <v>717</v>
      </c>
      <c r="K567" s="2">
        <v>117069</v>
      </c>
      <c r="L567" s="2">
        <v>117069</v>
      </c>
      <c r="M567" t="str">
        <f>IFERROR(IF(VLOOKUP(LEFT(B567,2),'Humanitarian codes'!$A$2:$A$10,1,FALSE)=LEFT(B567,2),"Yes","Error"),"No")</f>
        <v>Yes</v>
      </c>
    </row>
    <row r="568" spans="1:13" x14ac:dyDescent="0.25">
      <c r="A568">
        <v>2022</v>
      </c>
      <c r="B568" t="s">
        <v>2865</v>
      </c>
      <c r="C568" t="s">
        <v>3432</v>
      </c>
      <c r="D568" t="s">
        <v>30</v>
      </c>
      <c r="E568" t="s">
        <v>717</v>
      </c>
      <c r="F568">
        <v>4500276605</v>
      </c>
      <c r="G568" t="s">
        <v>4779</v>
      </c>
      <c r="H568" t="s">
        <v>3334</v>
      </c>
      <c r="I568" t="s">
        <v>2441</v>
      </c>
      <c r="J568" t="s">
        <v>717</v>
      </c>
      <c r="K568" s="2">
        <v>305346</v>
      </c>
      <c r="L568" s="2">
        <v>305346</v>
      </c>
      <c r="M568" t="str">
        <f>IFERROR(IF(VLOOKUP(LEFT(B568,2),'Humanitarian codes'!$A$2:$A$10,1,FALSE)=LEFT(B568,2),"Yes","Error"),"No")</f>
        <v>Yes</v>
      </c>
    </row>
    <row r="569" spans="1:13" x14ac:dyDescent="0.25">
      <c r="A569">
        <v>2022</v>
      </c>
      <c r="B569" t="s">
        <v>4780</v>
      </c>
      <c r="C569" t="s">
        <v>4781</v>
      </c>
      <c r="D569" t="s">
        <v>30</v>
      </c>
      <c r="E569" t="s">
        <v>128</v>
      </c>
      <c r="F569">
        <v>4500205226</v>
      </c>
      <c r="G569" t="s">
        <v>4782</v>
      </c>
      <c r="H569" t="s">
        <v>3334</v>
      </c>
      <c r="I569" t="s">
        <v>4783</v>
      </c>
      <c r="J569" t="s">
        <v>128</v>
      </c>
      <c r="K569" s="2">
        <v>24000</v>
      </c>
      <c r="L569" s="2">
        <v>24000</v>
      </c>
      <c r="M569" t="str">
        <f>IFERROR(IF(VLOOKUP(LEFT(B569,2),'Humanitarian codes'!$A$2:$A$10,1,FALSE)=LEFT(B569,2),"Yes","Error"),"No")</f>
        <v>Yes</v>
      </c>
    </row>
    <row r="570" spans="1:13" x14ac:dyDescent="0.25">
      <c r="A570">
        <v>2022</v>
      </c>
      <c r="B570" t="s">
        <v>4780</v>
      </c>
      <c r="C570" t="s">
        <v>4781</v>
      </c>
      <c r="D570" t="s">
        <v>30</v>
      </c>
      <c r="E570" t="s">
        <v>128</v>
      </c>
      <c r="F570">
        <v>4500205492</v>
      </c>
      <c r="G570" t="s">
        <v>4784</v>
      </c>
      <c r="H570" t="s">
        <v>3334</v>
      </c>
      <c r="I570" t="s">
        <v>3510</v>
      </c>
      <c r="J570" t="s">
        <v>128</v>
      </c>
      <c r="K570" s="2">
        <v>24000</v>
      </c>
      <c r="L570" s="2">
        <v>24000</v>
      </c>
      <c r="M570" t="str">
        <f>IFERROR(IF(VLOOKUP(LEFT(B570,2),'Humanitarian codes'!$A$2:$A$10,1,FALSE)=LEFT(B570,2),"Yes","Error"),"No")</f>
        <v>Yes</v>
      </c>
    </row>
    <row r="571" spans="1:13" x14ac:dyDescent="0.25">
      <c r="A571">
        <v>2022</v>
      </c>
      <c r="B571" t="s">
        <v>4780</v>
      </c>
      <c r="C571" t="s">
        <v>4781</v>
      </c>
      <c r="D571" t="s">
        <v>30</v>
      </c>
      <c r="E571" t="s">
        <v>128</v>
      </c>
      <c r="F571">
        <v>4500205498</v>
      </c>
      <c r="G571" t="s">
        <v>4784</v>
      </c>
      <c r="H571" t="s">
        <v>3334</v>
      </c>
      <c r="I571" t="s">
        <v>1768</v>
      </c>
      <c r="J571" t="s">
        <v>128</v>
      </c>
      <c r="K571" s="2">
        <v>24000</v>
      </c>
      <c r="L571" s="2">
        <v>24000</v>
      </c>
      <c r="M571" t="str">
        <f>IFERROR(IF(VLOOKUP(LEFT(B571,2),'Humanitarian codes'!$A$2:$A$10,1,FALSE)=LEFT(B571,2),"Yes","Error"),"No")</f>
        <v>Yes</v>
      </c>
    </row>
    <row r="572" spans="1:13" x14ac:dyDescent="0.25">
      <c r="A572">
        <v>2022</v>
      </c>
      <c r="B572" t="s">
        <v>4785</v>
      </c>
      <c r="C572" t="s">
        <v>4786</v>
      </c>
      <c r="D572" t="s">
        <v>30</v>
      </c>
      <c r="E572" t="s">
        <v>890</v>
      </c>
      <c r="F572">
        <v>4500194549</v>
      </c>
      <c r="G572" t="s">
        <v>4787</v>
      </c>
      <c r="H572" t="s">
        <v>3334</v>
      </c>
      <c r="I572" t="s">
        <v>891</v>
      </c>
      <c r="J572" t="s">
        <v>4686</v>
      </c>
      <c r="K572" s="2">
        <v>127000</v>
      </c>
      <c r="L572" s="2">
        <v>127000</v>
      </c>
      <c r="M572" t="str">
        <f>IFERROR(IF(VLOOKUP(LEFT(B572,2),'Humanitarian codes'!$A$2:$A$10,1,FALSE)=LEFT(B572,2),"Yes","Error"),"No")</f>
        <v>Yes</v>
      </c>
    </row>
    <row r="573" spans="1:13" x14ac:dyDescent="0.25">
      <c r="A573">
        <v>2022</v>
      </c>
      <c r="B573" t="s">
        <v>4785</v>
      </c>
      <c r="C573" t="s">
        <v>4786</v>
      </c>
      <c r="D573" t="s">
        <v>30</v>
      </c>
      <c r="E573" t="s">
        <v>890</v>
      </c>
      <c r="F573">
        <v>4500194814</v>
      </c>
      <c r="G573" t="s">
        <v>4788</v>
      </c>
      <c r="H573" t="s">
        <v>3334</v>
      </c>
      <c r="I573" t="s">
        <v>4685</v>
      </c>
      <c r="J573" t="s">
        <v>4686</v>
      </c>
      <c r="K573" s="2">
        <v>116134</v>
      </c>
      <c r="L573" s="2">
        <v>116134</v>
      </c>
      <c r="M573" t="str">
        <f>IFERROR(IF(VLOOKUP(LEFT(B573,2),'Humanitarian codes'!$A$2:$A$10,1,FALSE)=LEFT(B573,2),"Yes","Error"),"No")</f>
        <v>Yes</v>
      </c>
    </row>
    <row r="574" spans="1:13" x14ac:dyDescent="0.25">
      <c r="A574">
        <v>2022</v>
      </c>
      <c r="B574" t="s">
        <v>4785</v>
      </c>
      <c r="C574" t="s">
        <v>4786</v>
      </c>
      <c r="D574" t="s">
        <v>30</v>
      </c>
      <c r="E574" t="s">
        <v>890</v>
      </c>
      <c r="F574">
        <v>4500196351</v>
      </c>
      <c r="G574" t="s">
        <v>4789</v>
      </c>
      <c r="H574" t="s">
        <v>3334</v>
      </c>
      <c r="I574" t="s">
        <v>1088</v>
      </c>
      <c r="J574" t="s">
        <v>4686</v>
      </c>
      <c r="K574" s="2">
        <v>170594</v>
      </c>
      <c r="L574" s="2">
        <v>170594</v>
      </c>
      <c r="M574" t="str">
        <f>IFERROR(IF(VLOOKUP(LEFT(B574,2),'Humanitarian codes'!$A$2:$A$10,1,FALSE)=LEFT(B574,2),"Yes","Error"),"No")</f>
        <v>Yes</v>
      </c>
    </row>
    <row r="575" spans="1:13" x14ac:dyDescent="0.25">
      <c r="A575">
        <v>2022</v>
      </c>
      <c r="B575" t="s">
        <v>4785</v>
      </c>
      <c r="C575" t="s">
        <v>4786</v>
      </c>
      <c r="D575" t="s">
        <v>30</v>
      </c>
      <c r="E575" t="s">
        <v>890</v>
      </c>
      <c r="F575">
        <v>4500198673</v>
      </c>
      <c r="G575" t="s">
        <v>4790</v>
      </c>
      <c r="H575" t="s">
        <v>3334</v>
      </c>
      <c r="I575" t="s">
        <v>1088</v>
      </c>
      <c r="J575" t="s">
        <v>4686</v>
      </c>
      <c r="K575" s="2">
        <v>108800</v>
      </c>
      <c r="L575" s="2">
        <v>108800</v>
      </c>
      <c r="M575" t="str">
        <f>IFERROR(IF(VLOOKUP(LEFT(B575,2),'Humanitarian codes'!$A$2:$A$10,1,FALSE)=LEFT(B575,2),"Yes","Error"),"No")</f>
        <v>Yes</v>
      </c>
    </row>
    <row r="576" spans="1:13" x14ac:dyDescent="0.25">
      <c r="A576">
        <v>2022</v>
      </c>
      <c r="B576" t="s">
        <v>4791</v>
      </c>
      <c r="C576" t="s">
        <v>3518</v>
      </c>
      <c r="D576" t="s">
        <v>30</v>
      </c>
      <c r="E576" t="s">
        <v>132</v>
      </c>
      <c r="F576">
        <v>4500186192</v>
      </c>
      <c r="G576" t="s">
        <v>4792</v>
      </c>
      <c r="H576" t="s">
        <v>3334</v>
      </c>
      <c r="I576" t="s">
        <v>1909</v>
      </c>
      <c r="J576" t="s">
        <v>132</v>
      </c>
      <c r="K576" s="2">
        <v>14076</v>
      </c>
      <c r="L576" s="2">
        <v>14076</v>
      </c>
      <c r="M576" t="str">
        <f>IFERROR(IF(VLOOKUP(LEFT(B576,2),'Humanitarian codes'!$A$2:$A$10,1,FALSE)=LEFT(B576,2),"Yes","Error"),"No")</f>
        <v>Yes</v>
      </c>
    </row>
    <row r="577" spans="1:13" x14ac:dyDescent="0.25">
      <c r="A577">
        <v>2022</v>
      </c>
      <c r="B577" t="s">
        <v>4791</v>
      </c>
      <c r="C577" t="s">
        <v>3518</v>
      </c>
      <c r="D577" t="s">
        <v>30</v>
      </c>
      <c r="E577" t="s">
        <v>132</v>
      </c>
      <c r="F577">
        <v>4500244683</v>
      </c>
      <c r="G577" t="s">
        <v>4793</v>
      </c>
      <c r="H577" t="s">
        <v>3334</v>
      </c>
      <c r="I577" t="s">
        <v>3520</v>
      </c>
      <c r="J577" t="s">
        <v>132</v>
      </c>
      <c r="K577" s="2">
        <v>14753</v>
      </c>
      <c r="L577" s="2">
        <v>21076</v>
      </c>
      <c r="M577" t="str">
        <f>IFERROR(IF(VLOOKUP(LEFT(B577,2),'Humanitarian codes'!$A$2:$A$10,1,FALSE)=LEFT(B577,2),"Yes","Error"),"No")</f>
        <v>Yes</v>
      </c>
    </row>
    <row r="578" spans="1:13" x14ac:dyDescent="0.25">
      <c r="A578">
        <v>2022</v>
      </c>
      <c r="B578" t="s">
        <v>4794</v>
      </c>
      <c r="C578" t="s">
        <v>4795</v>
      </c>
      <c r="D578" t="s">
        <v>30</v>
      </c>
      <c r="E578" t="s">
        <v>890</v>
      </c>
      <c r="F578">
        <v>4500200500</v>
      </c>
      <c r="G578" t="s">
        <v>4796</v>
      </c>
      <c r="H578" t="s">
        <v>3334</v>
      </c>
      <c r="I578" t="s">
        <v>4685</v>
      </c>
      <c r="J578" t="s">
        <v>4686</v>
      </c>
      <c r="K578" s="2">
        <v>157214</v>
      </c>
      <c r="L578" s="2">
        <v>157214</v>
      </c>
      <c r="M578" t="str">
        <f>IFERROR(IF(VLOOKUP(LEFT(B578,2),'Humanitarian codes'!$A$2:$A$10,1,FALSE)=LEFT(B578,2),"Yes","Error"),"No")</f>
        <v>Yes</v>
      </c>
    </row>
    <row r="579" spans="1:13" x14ac:dyDescent="0.25">
      <c r="A579">
        <v>2022</v>
      </c>
      <c r="B579" t="s">
        <v>4794</v>
      </c>
      <c r="C579" t="s">
        <v>4795</v>
      </c>
      <c r="D579" t="s">
        <v>30</v>
      </c>
      <c r="E579" t="s">
        <v>890</v>
      </c>
      <c r="F579">
        <v>4500209497</v>
      </c>
      <c r="G579" t="s">
        <v>4797</v>
      </c>
      <c r="H579" t="s">
        <v>3334</v>
      </c>
      <c r="I579" t="s">
        <v>245</v>
      </c>
      <c r="J579" t="s">
        <v>4686</v>
      </c>
      <c r="K579" s="2">
        <v>71285</v>
      </c>
      <c r="L579" s="2">
        <v>71285</v>
      </c>
      <c r="M579" t="str">
        <f>IFERROR(IF(VLOOKUP(LEFT(B579,2),'Humanitarian codes'!$A$2:$A$10,1,FALSE)=LEFT(B579,2),"Yes","Error"),"No")</f>
        <v>Yes</v>
      </c>
    </row>
    <row r="580" spans="1:13" x14ac:dyDescent="0.25">
      <c r="A580">
        <v>2022</v>
      </c>
      <c r="B580" t="s">
        <v>4794</v>
      </c>
      <c r="C580" t="s">
        <v>4795</v>
      </c>
      <c r="D580" t="s">
        <v>30</v>
      </c>
      <c r="E580" t="s">
        <v>890</v>
      </c>
      <c r="F580">
        <v>4500209501</v>
      </c>
      <c r="G580" t="s">
        <v>4798</v>
      </c>
      <c r="H580" t="s">
        <v>3334</v>
      </c>
      <c r="I580" t="s">
        <v>247</v>
      </c>
      <c r="J580" t="s">
        <v>4686</v>
      </c>
      <c r="K580" s="2">
        <v>324721</v>
      </c>
      <c r="L580" s="2">
        <v>324721</v>
      </c>
      <c r="M580" t="str">
        <f>IFERROR(IF(VLOOKUP(LEFT(B580,2),'Humanitarian codes'!$A$2:$A$10,1,FALSE)=LEFT(B580,2),"Yes","Error"),"No")</f>
        <v>Yes</v>
      </c>
    </row>
    <row r="581" spans="1:13" x14ac:dyDescent="0.25">
      <c r="A581">
        <v>2022</v>
      </c>
      <c r="B581" t="s">
        <v>4794</v>
      </c>
      <c r="C581" t="s">
        <v>4795</v>
      </c>
      <c r="D581" t="s">
        <v>30</v>
      </c>
      <c r="E581" t="s">
        <v>890</v>
      </c>
      <c r="F581">
        <v>4500209506</v>
      </c>
      <c r="G581" t="s">
        <v>4799</v>
      </c>
      <c r="H581" t="s">
        <v>3334</v>
      </c>
      <c r="I581" t="s">
        <v>4800</v>
      </c>
      <c r="J581" t="s">
        <v>4686</v>
      </c>
      <c r="K581" s="2">
        <v>112700</v>
      </c>
      <c r="L581" s="2">
        <v>112700</v>
      </c>
      <c r="M581" t="str">
        <f>IFERROR(IF(VLOOKUP(LEFT(B581,2),'Humanitarian codes'!$A$2:$A$10,1,FALSE)=LEFT(B581,2),"Yes","Error"),"No")</f>
        <v>Yes</v>
      </c>
    </row>
    <row r="582" spans="1:13" x14ac:dyDescent="0.25">
      <c r="A582">
        <v>2022</v>
      </c>
      <c r="B582" t="s">
        <v>4794</v>
      </c>
      <c r="C582" t="s">
        <v>4795</v>
      </c>
      <c r="D582" t="s">
        <v>30</v>
      </c>
      <c r="E582" t="s">
        <v>890</v>
      </c>
      <c r="F582">
        <v>4500221729</v>
      </c>
      <c r="G582" t="s">
        <v>4801</v>
      </c>
      <c r="H582" t="s">
        <v>3334</v>
      </c>
      <c r="I582" t="s">
        <v>1088</v>
      </c>
      <c r="J582" t="s">
        <v>4686</v>
      </c>
      <c r="K582" s="2">
        <v>304612</v>
      </c>
      <c r="L582" s="2">
        <v>304612</v>
      </c>
      <c r="M582" t="str">
        <f>IFERROR(IF(VLOOKUP(LEFT(B582,2),'Humanitarian codes'!$A$2:$A$10,1,FALSE)=LEFT(B582,2),"Yes","Error"),"No")</f>
        <v>Yes</v>
      </c>
    </row>
    <row r="583" spans="1:13" x14ac:dyDescent="0.25">
      <c r="A583">
        <v>2022</v>
      </c>
      <c r="B583" t="s">
        <v>4794</v>
      </c>
      <c r="C583" t="s">
        <v>4795</v>
      </c>
      <c r="D583" t="s">
        <v>30</v>
      </c>
      <c r="E583" t="s">
        <v>890</v>
      </c>
      <c r="F583">
        <v>4500221741</v>
      </c>
      <c r="G583" t="s">
        <v>4802</v>
      </c>
      <c r="H583" t="s">
        <v>3334</v>
      </c>
      <c r="I583" t="s">
        <v>1088</v>
      </c>
      <c r="J583" t="s">
        <v>4686</v>
      </c>
      <c r="K583" s="2">
        <v>437634</v>
      </c>
      <c r="L583" s="2">
        <v>437634</v>
      </c>
      <c r="M583" t="str">
        <f>IFERROR(IF(VLOOKUP(LEFT(B583,2),'Humanitarian codes'!$A$2:$A$10,1,FALSE)=LEFT(B583,2),"Yes","Error"),"No")</f>
        <v>Yes</v>
      </c>
    </row>
    <row r="584" spans="1:13" x14ac:dyDescent="0.25">
      <c r="A584">
        <v>2022</v>
      </c>
      <c r="B584" t="s">
        <v>4794</v>
      </c>
      <c r="C584" t="s">
        <v>4795</v>
      </c>
      <c r="D584" t="s">
        <v>30</v>
      </c>
      <c r="E584" t="s">
        <v>890</v>
      </c>
      <c r="F584">
        <v>4500226166</v>
      </c>
      <c r="G584" t="s">
        <v>4803</v>
      </c>
      <c r="H584" t="s">
        <v>3334</v>
      </c>
      <c r="I584" t="s">
        <v>891</v>
      </c>
      <c r="J584" t="s">
        <v>4686</v>
      </c>
      <c r="K584" s="2">
        <v>190000</v>
      </c>
      <c r="L584" s="2">
        <v>190000</v>
      </c>
      <c r="M584" t="str">
        <f>IFERROR(IF(VLOOKUP(LEFT(B584,2),'Humanitarian codes'!$A$2:$A$10,1,FALSE)=LEFT(B584,2),"Yes","Error"),"No")</f>
        <v>Yes</v>
      </c>
    </row>
    <row r="585" spans="1:13" x14ac:dyDescent="0.25">
      <c r="A585">
        <v>2022</v>
      </c>
      <c r="B585" t="s">
        <v>2869</v>
      </c>
      <c r="C585" t="s">
        <v>4804</v>
      </c>
      <c r="D585" t="s">
        <v>30</v>
      </c>
      <c r="E585" t="s">
        <v>1607</v>
      </c>
      <c r="F585">
        <v>4500239531</v>
      </c>
      <c r="G585" t="s">
        <v>4805</v>
      </c>
      <c r="H585" t="s">
        <v>3334</v>
      </c>
      <c r="I585" t="s">
        <v>2872</v>
      </c>
      <c r="J585" t="s">
        <v>1607</v>
      </c>
      <c r="K585" s="2">
        <v>64055</v>
      </c>
      <c r="L585" s="2">
        <v>64055</v>
      </c>
      <c r="M585" t="str">
        <f>IFERROR(IF(VLOOKUP(LEFT(B585,2),'Humanitarian codes'!$A$2:$A$10,1,FALSE)=LEFT(B585,2),"Yes","Error"),"No")</f>
        <v>Yes</v>
      </c>
    </row>
    <row r="586" spans="1:13" x14ac:dyDescent="0.25">
      <c r="A586">
        <v>2022</v>
      </c>
      <c r="B586" t="s">
        <v>2869</v>
      </c>
      <c r="C586" t="s">
        <v>4804</v>
      </c>
      <c r="D586" t="s">
        <v>30</v>
      </c>
      <c r="E586" t="s">
        <v>1423</v>
      </c>
      <c r="F586">
        <v>4500223388</v>
      </c>
      <c r="G586" t="s">
        <v>4806</v>
      </c>
      <c r="H586" t="s">
        <v>3334</v>
      </c>
      <c r="I586" t="s">
        <v>4807</v>
      </c>
      <c r="J586" t="s">
        <v>1423</v>
      </c>
      <c r="K586" s="2">
        <v>44915</v>
      </c>
      <c r="L586" s="2">
        <v>44915</v>
      </c>
      <c r="M586" t="str">
        <f>IFERROR(IF(VLOOKUP(LEFT(B586,2),'Humanitarian codes'!$A$2:$A$10,1,FALSE)=LEFT(B586,2),"Yes","Error"),"No")</f>
        <v>Yes</v>
      </c>
    </row>
    <row r="587" spans="1:13" x14ac:dyDescent="0.25">
      <c r="A587">
        <v>2022</v>
      </c>
      <c r="B587" t="s">
        <v>4808</v>
      </c>
      <c r="C587" t="s">
        <v>4809</v>
      </c>
      <c r="D587" t="s">
        <v>30</v>
      </c>
      <c r="E587" t="s">
        <v>890</v>
      </c>
      <c r="F587">
        <v>4500189505</v>
      </c>
      <c r="G587" t="s">
        <v>4810</v>
      </c>
      <c r="H587" t="s">
        <v>3334</v>
      </c>
      <c r="I587" t="s">
        <v>1088</v>
      </c>
      <c r="J587" t="s">
        <v>4686</v>
      </c>
      <c r="K587" s="2">
        <v>33919</v>
      </c>
      <c r="L587" s="2">
        <v>33919</v>
      </c>
      <c r="M587" t="str">
        <f>IFERROR(IF(VLOOKUP(LEFT(B587,2),'Humanitarian codes'!$A$2:$A$10,1,FALSE)=LEFT(B587,2),"Yes","Error"),"No")</f>
        <v>Yes</v>
      </c>
    </row>
    <row r="588" spans="1:13" x14ac:dyDescent="0.25">
      <c r="A588">
        <v>2022</v>
      </c>
      <c r="B588" t="s">
        <v>4808</v>
      </c>
      <c r="C588" t="s">
        <v>4809</v>
      </c>
      <c r="D588" t="s">
        <v>30</v>
      </c>
      <c r="E588" t="s">
        <v>890</v>
      </c>
      <c r="F588">
        <v>4500189512</v>
      </c>
      <c r="G588" t="s">
        <v>4811</v>
      </c>
      <c r="H588" t="s">
        <v>3334</v>
      </c>
      <c r="I588" t="s">
        <v>4812</v>
      </c>
      <c r="J588" t="s">
        <v>4686</v>
      </c>
      <c r="K588" s="2">
        <v>12880</v>
      </c>
      <c r="L588" s="2">
        <v>12880</v>
      </c>
      <c r="M588" t="str">
        <f>IFERROR(IF(VLOOKUP(LEFT(B588,2),'Humanitarian codes'!$A$2:$A$10,1,FALSE)=LEFT(B588,2),"Yes","Error"),"No")</f>
        <v>Yes</v>
      </c>
    </row>
    <row r="589" spans="1:13" x14ac:dyDescent="0.25">
      <c r="A589">
        <v>2022</v>
      </c>
      <c r="B589" t="s">
        <v>4808</v>
      </c>
      <c r="C589" t="s">
        <v>4809</v>
      </c>
      <c r="D589" t="s">
        <v>30</v>
      </c>
      <c r="E589" t="s">
        <v>890</v>
      </c>
      <c r="F589">
        <v>4500190878</v>
      </c>
      <c r="G589" t="s">
        <v>4813</v>
      </c>
      <c r="H589" t="s">
        <v>3334</v>
      </c>
      <c r="I589" t="s">
        <v>4800</v>
      </c>
      <c r="J589" t="s">
        <v>4686</v>
      </c>
      <c r="K589" s="2">
        <v>16000</v>
      </c>
      <c r="L589" s="2">
        <v>16000</v>
      </c>
      <c r="M589" t="str">
        <f>IFERROR(IF(VLOOKUP(LEFT(B589,2),'Humanitarian codes'!$A$2:$A$10,1,FALSE)=LEFT(B589,2),"Yes","Error"),"No")</f>
        <v>Yes</v>
      </c>
    </row>
    <row r="590" spans="1:13" x14ac:dyDescent="0.25">
      <c r="A590">
        <v>2022</v>
      </c>
      <c r="B590" t="s">
        <v>4808</v>
      </c>
      <c r="C590" t="s">
        <v>4809</v>
      </c>
      <c r="D590" t="s">
        <v>30</v>
      </c>
      <c r="E590" t="s">
        <v>890</v>
      </c>
      <c r="F590">
        <v>4500194093</v>
      </c>
      <c r="G590" t="s">
        <v>4814</v>
      </c>
      <c r="H590" t="s">
        <v>3334</v>
      </c>
      <c r="I590" t="s">
        <v>245</v>
      </c>
      <c r="J590" t="s">
        <v>4686</v>
      </c>
      <c r="K590" s="2">
        <v>93500</v>
      </c>
      <c r="L590" s="2">
        <v>93500</v>
      </c>
      <c r="M590" t="str">
        <f>IFERROR(IF(VLOOKUP(LEFT(B590,2),'Humanitarian codes'!$A$2:$A$10,1,FALSE)=LEFT(B590,2),"Yes","Error"),"No")</f>
        <v>Yes</v>
      </c>
    </row>
    <row r="591" spans="1:13" x14ac:dyDescent="0.25">
      <c r="A591">
        <v>2022</v>
      </c>
      <c r="B591" t="s">
        <v>4808</v>
      </c>
      <c r="C591" t="s">
        <v>4809</v>
      </c>
      <c r="D591" t="s">
        <v>30</v>
      </c>
      <c r="E591" t="s">
        <v>890</v>
      </c>
      <c r="F591">
        <v>4500194365</v>
      </c>
      <c r="G591" t="s">
        <v>4815</v>
      </c>
      <c r="H591" t="s">
        <v>3334</v>
      </c>
      <c r="I591" t="s">
        <v>1088</v>
      </c>
      <c r="J591" t="s">
        <v>4686</v>
      </c>
      <c r="K591" s="2">
        <v>27540</v>
      </c>
      <c r="L591" s="2">
        <v>27540</v>
      </c>
      <c r="M591" t="str">
        <f>IFERROR(IF(VLOOKUP(LEFT(B591,2),'Humanitarian codes'!$A$2:$A$10,1,FALSE)=LEFT(B591,2),"Yes","Error"),"No")</f>
        <v>Yes</v>
      </c>
    </row>
    <row r="592" spans="1:13" x14ac:dyDescent="0.25">
      <c r="A592">
        <v>2022</v>
      </c>
      <c r="B592" t="s">
        <v>4808</v>
      </c>
      <c r="C592" t="s">
        <v>4809</v>
      </c>
      <c r="D592" t="s">
        <v>30</v>
      </c>
      <c r="E592" t="s">
        <v>890</v>
      </c>
      <c r="F592">
        <v>4500194458</v>
      </c>
      <c r="G592" t="s">
        <v>4816</v>
      </c>
      <c r="H592" t="s">
        <v>3334</v>
      </c>
      <c r="I592" t="s">
        <v>1088</v>
      </c>
      <c r="J592" t="s">
        <v>4686</v>
      </c>
      <c r="K592" s="2">
        <v>28000</v>
      </c>
      <c r="L592" s="2">
        <v>28000</v>
      </c>
      <c r="M592" t="str">
        <f>IFERROR(IF(VLOOKUP(LEFT(B592,2),'Humanitarian codes'!$A$2:$A$10,1,FALSE)=LEFT(B592,2),"Yes","Error"),"No")</f>
        <v>Yes</v>
      </c>
    </row>
    <row r="593" spans="1:13" x14ac:dyDescent="0.25">
      <c r="A593">
        <v>2022</v>
      </c>
      <c r="B593" t="s">
        <v>4808</v>
      </c>
      <c r="C593" t="s">
        <v>4809</v>
      </c>
      <c r="D593" t="s">
        <v>30</v>
      </c>
      <c r="E593" t="s">
        <v>890</v>
      </c>
      <c r="F593">
        <v>4500194515</v>
      </c>
      <c r="G593" t="s">
        <v>4817</v>
      </c>
      <c r="H593" t="s">
        <v>3334</v>
      </c>
      <c r="I593" t="s">
        <v>247</v>
      </c>
      <c r="J593" t="s">
        <v>4686</v>
      </c>
      <c r="K593" s="2">
        <v>115000</v>
      </c>
      <c r="L593" s="2">
        <v>115000</v>
      </c>
      <c r="M593" t="str">
        <f>IFERROR(IF(VLOOKUP(LEFT(B593,2),'Humanitarian codes'!$A$2:$A$10,1,FALSE)=LEFT(B593,2),"Yes","Error"),"No")</f>
        <v>Yes</v>
      </c>
    </row>
    <row r="594" spans="1:13" x14ac:dyDescent="0.25">
      <c r="A594">
        <v>2022</v>
      </c>
      <c r="B594" t="s">
        <v>4808</v>
      </c>
      <c r="C594" t="s">
        <v>4809</v>
      </c>
      <c r="D594" t="s">
        <v>30</v>
      </c>
      <c r="E594" t="s">
        <v>890</v>
      </c>
      <c r="F594">
        <v>4500194817</v>
      </c>
      <c r="G594" t="s">
        <v>4818</v>
      </c>
      <c r="H594" t="s">
        <v>3334</v>
      </c>
      <c r="I594" t="s">
        <v>1088</v>
      </c>
      <c r="J594" t="s">
        <v>4686</v>
      </c>
      <c r="K594" s="2">
        <v>9000</v>
      </c>
      <c r="L594" s="2">
        <v>9000</v>
      </c>
      <c r="M594" t="str">
        <f>IFERROR(IF(VLOOKUP(LEFT(B594,2),'Humanitarian codes'!$A$2:$A$10,1,FALSE)=LEFT(B594,2),"Yes","Error"),"No")</f>
        <v>Yes</v>
      </c>
    </row>
    <row r="595" spans="1:13" x14ac:dyDescent="0.25">
      <c r="A595">
        <v>2022</v>
      </c>
      <c r="B595" t="s">
        <v>4808</v>
      </c>
      <c r="C595" t="s">
        <v>4809</v>
      </c>
      <c r="D595" t="s">
        <v>30</v>
      </c>
      <c r="E595" t="s">
        <v>890</v>
      </c>
      <c r="F595">
        <v>4500254648</v>
      </c>
      <c r="G595" t="s">
        <v>4819</v>
      </c>
      <c r="H595" t="s">
        <v>3334</v>
      </c>
      <c r="I595" t="s">
        <v>247</v>
      </c>
      <c r="J595" t="s">
        <v>4686</v>
      </c>
      <c r="K595" s="2">
        <v>4500</v>
      </c>
      <c r="L595" s="2">
        <v>4500</v>
      </c>
      <c r="M595" t="str">
        <f>IFERROR(IF(VLOOKUP(LEFT(B595,2),'Humanitarian codes'!$A$2:$A$10,1,FALSE)=LEFT(B595,2),"Yes","Error"),"No")</f>
        <v>Yes</v>
      </c>
    </row>
    <row r="596" spans="1:13" x14ac:dyDescent="0.25">
      <c r="A596">
        <v>2022</v>
      </c>
      <c r="B596" t="s">
        <v>4808</v>
      </c>
      <c r="C596" t="s">
        <v>4809</v>
      </c>
      <c r="D596" t="s">
        <v>30</v>
      </c>
      <c r="E596" t="s">
        <v>890</v>
      </c>
      <c r="F596">
        <v>4500254889</v>
      </c>
      <c r="G596" t="s">
        <v>4820</v>
      </c>
      <c r="H596" t="s">
        <v>3334</v>
      </c>
      <c r="I596" t="s">
        <v>245</v>
      </c>
      <c r="J596" t="s">
        <v>4686</v>
      </c>
      <c r="K596" s="2">
        <v>3797</v>
      </c>
      <c r="L596" s="2">
        <v>3797</v>
      </c>
      <c r="M596" t="str">
        <f>IFERROR(IF(VLOOKUP(LEFT(B596,2),'Humanitarian codes'!$A$2:$A$10,1,FALSE)=LEFT(B596,2),"Yes","Error"),"No")</f>
        <v>Yes</v>
      </c>
    </row>
    <row r="597" spans="1:13" x14ac:dyDescent="0.25">
      <c r="A597">
        <v>2022</v>
      </c>
      <c r="B597" t="s">
        <v>4821</v>
      </c>
      <c r="C597" t="s">
        <v>4822</v>
      </c>
      <c r="D597" t="s">
        <v>30</v>
      </c>
      <c r="E597" t="s">
        <v>72</v>
      </c>
      <c r="F597">
        <v>4500224976</v>
      </c>
      <c r="G597" t="s">
        <v>4549</v>
      </c>
      <c r="H597" t="s">
        <v>3334</v>
      </c>
      <c r="I597" t="s">
        <v>4550</v>
      </c>
      <c r="J597" t="s">
        <v>72</v>
      </c>
      <c r="K597" s="2">
        <v>108349</v>
      </c>
      <c r="L597" s="2">
        <v>1140099</v>
      </c>
      <c r="M597" t="str">
        <f>IFERROR(IF(VLOOKUP(LEFT(B597,2),'Humanitarian codes'!$A$2:$A$10,1,FALSE)=LEFT(B597,2),"Yes","Error"),"No")</f>
        <v>Yes</v>
      </c>
    </row>
    <row r="598" spans="1:13" x14ac:dyDescent="0.25">
      <c r="A598">
        <v>2022</v>
      </c>
      <c r="B598" t="s">
        <v>4821</v>
      </c>
      <c r="C598" t="s">
        <v>4822</v>
      </c>
      <c r="D598" t="s">
        <v>30</v>
      </c>
      <c r="E598" t="s">
        <v>72</v>
      </c>
      <c r="F598">
        <v>4500224978</v>
      </c>
      <c r="G598" t="s">
        <v>4551</v>
      </c>
      <c r="H598" t="s">
        <v>3334</v>
      </c>
      <c r="I598" t="s">
        <v>4552</v>
      </c>
      <c r="J598" t="s">
        <v>72</v>
      </c>
      <c r="K598" s="2">
        <v>221523</v>
      </c>
      <c r="L598" s="2">
        <v>1336066</v>
      </c>
      <c r="M598" t="str">
        <f>IFERROR(IF(VLOOKUP(LEFT(B598,2),'Humanitarian codes'!$A$2:$A$10,1,FALSE)=LEFT(B598,2),"Yes","Error"),"No")</f>
        <v>Yes</v>
      </c>
    </row>
    <row r="599" spans="1:13" x14ac:dyDescent="0.25">
      <c r="A599">
        <v>2022</v>
      </c>
      <c r="B599" t="s">
        <v>4823</v>
      </c>
      <c r="C599" t="s">
        <v>4824</v>
      </c>
      <c r="D599" t="s">
        <v>30</v>
      </c>
      <c r="E599" t="s">
        <v>864</v>
      </c>
      <c r="F599">
        <v>4500183147</v>
      </c>
      <c r="G599" t="s">
        <v>4825</v>
      </c>
      <c r="H599" t="s">
        <v>3334</v>
      </c>
      <c r="I599" t="s">
        <v>866</v>
      </c>
      <c r="J599" t="s">
        <v>4826</v>
      </c>
      <c r="K599" s="2">
        <v>39407</v>
      </c>
      <c r="L599" s="2">
        <v>39407</v>
      </c>
      <c r="M599" t="str">
        <f>IFERROR(IF(VLOOKUP(LEFT(B599,2),'Humanitarian codes'!$A$2:$A$10,1,FALSE)=LEFT(B599,2),"Yes","Error"),"No")</f>
        <v>Yes</v>
      </c>
    </row>
    <row r="600" spans="1:13" x14ac:dyDescent="0.25">
      <c r="A600">
        <v>2022</v>
      </c>
      <c r="B600" t="s">
        <v>4823</v>
      </c>
      <c r="C600" t="s">
        <v>4824</v>
      </c>
      <c r="D600" t="s">
        <v>30</v>
      </c>
      <c r="E600" t="s">
        <v>261</v>
      </c>
      <c r="F600">
        <v>4500182835</v>
      </c>
      <c r="G600" t="s">
        <v>4827</v>
      </c>
      <c r="H600" t="s">
        <v>3334</v>
      </c>
      <c r="I600" t="s">
        <v>4472</v>
      </c>
      <c r="J600" t="s">
        <v>261</v>
      </c>
      <c r="K600" s="2">
        <v>47817</v>
      </c>
      <c r="L600" s="2">
        <v>47817</v>
      </c>
      <c r="M600" t="str">
        <f>IFERROR(IF(VLOOKUP(LEFT(B600,2),'Humanitarian codes'!$A$2:$A$10,1,FALSE)=LEFT(B600,2),"Yes","Error"),"No")</f>
        <v>Yes</v>
      </c>
    </row>
    <row r="601" spans="1:13" x14ac:dyDescent="0.25">
      <c r="A601">
        <v>2022</v>
      </c>
      <c r="B601" t="s">
        <v>4823</v>
      </c>
      <c r="C601" t="s">
        <v>4824</v>
      </c>
      <c r="D601" t="s">
        <v>30</v>
      </c>
      <c r="E601" t="s">
        <v>261</v>
      </c>
      <c r="F601">
        <v>4500183870</v>
      </c>
      <c r="G601" t="s">
        <v>4828</v>
      </c>
      <c r="H601" t="s">
        <v>3334</v>
      </c>
      <c r="I601" t="s">
        <v>2981</v>
      </c>
      <c r="J601" t="s">
        <v>261</v>
      </c>
      <c r="K601" s="2">
        <v>176416</v>
      </c>
      <c r="L601" s="2">
        <v>176416</v>
      </c>
      <c r="M601" t="str">
        <f>IFERROR(IF(VLOOKUP(LEFT(B601,2),'Humanitarian codes'!$A$2:$A$10,1,FALSE)=LEFT(B601,2),"Yes","Error"),"No")</f>
        <v>Yes</v>
      </c>
    </row>
    <row r="602" spans="1:13" x14ac:dyDescent="0.25">
      <c r="A602">
        <v>2022</v>
      </c>
      <c r="B602" t="s">
        <v>4823</v>
      </c>
      <c r="C602" t="s">
        <v>4824</v>
      </c>
      <c r="D602" t="s">
        <v>30</v>
      </c>
      <c r="E602" t="s">
        <v>261</v>
      </c>
      <c r="F602">
        <v>4500184069</v>
      </c>
      <c r="G602" t="s">
        <v>4829</v>
      </c>
      <c r="H602" t="s">
        <v>3334</v>
      </c>
      <c r="I602" t="s">
        <v>4830</v>
      </c>
      <c r="J602" t="s">
        <v>261</v>
      </c>
      <c r="K602" s="2">
        <v>1566498</v>
      </c>
      <c r="L602" s="2">
        <v>1566498</v>
      </c>
      <c r="M602" t="str">
        <f>IFERROR(IF(VLOOKUP(LEFT(B602,2),'Humanitarian codes'!$A$2:$A$10,1,FALSE)=LEFT(B602,2),"Yes","Error"),"No")</f>
        <v>Yes</v>
      </c>
    </row>
    <row r="603" spans="1:13" x14ac:dyDescent="0.25">
      <c r="A603">
        <v>2022</v>
      </c>
      <c r="B603" t="s">
        <v>4823</v>
      </c>
      <c r="C603" t="s">
        <v>4824</v>
      </c>
      <c r="D603" t="s">
        <v>30</v>
      </c>
      <c r="E603" t="s">
        <v>205</v>
      </c>
      <c r="F603">
        <v>4500181707</v>
      </c>
      <c r="G603" t="s">
        <v>4724</v>
      </c>
      <c r="H603" t="s">
        <v>3334</v>
      </c>
      <c r="I603" t="s">
        <v>869</v>
      </c>
      <c r="J603" t="s">
        <v>205</v>
      </c>
      <c r="K603" s="2">
        <v>16394</v>
      </c>
      <c r="L603" s="2">
        <v>78441</v>
      </c>
      <c r="M603" t="str">
        <f>IFERROR(IF(VLOOKUP(LEFT(B603,2),'Humanitarian codes'!$A$2:$A$10,1,FALSE)=LEFT(B603,2),"Yes","Error"),"No")</f>
        <v>Yes</v>
      </c>
    </row>
    <row r="604" spans="1:13" x14ac:dyDescent="0.25">
      <c r="A604">
        <v>2022</v>
      </c>
      <c r="B604" t="s">
        <v>4823</v>
      </c>
      <c r="C604" t="s">
        <v>4824</v>
      </c>
      <c r="D604" t="s">
        <v>30</v>
      </c>
      <c r="E604" t="s">
        <v>205</v>
      </c>
      <c r="F604">
        <v>4500181715</v>
      </c>
      <c r="G604" t="s">
        <v>4831</v>
      </c>
      <c r="H604" t="s">
        <v>3334</v>
      </c>
      <c r="I604" t="s">
        <v>869</v>
      </c>
      <c r="J604" t="s">
        <v>205</v>
      </c>
      <c r="K604" s="2">
        <v>40000</v>
      </c>
      <c r="L604" s="2">
        <v>40000</v>
      </c>
      <c r="M604" t="str">
        <f>IFERROR(IF(VLOOKUP(LEFT(B604,2),'Humanitarian codes'!$A$2:$A$10,1,FALSE)=LEFT(B604,2),"Yes","Error"),"No")</f>
        <v>Yes</v>
      </c>
    </row>
    <row r="605" spans="1:13" x14ac:dyDescent="0.25">
      <c r="A605">
        <v>2022</v>
      </c>
      <c r="B605" t="s">
        <v>4823</v>
      </c>
      <c r="C605" t="s">
        <v>4824</v>
      </c>
      <c r="D605" t="s">
        <v>30</v>
      </c>
      <c r="E605" t="s">
        <v>205</v>
      </c>
      <c r="F605">
        <v>4500189854</v>
      </c>
      <c r="G605" t="s">
        <v>4832</v>
      </c>
      <c r="H605" t="s">
        <v>3334</v>
      </c>
      <c r="I605" t="s">
        <v>869</v>
      </c>
      <c r="J605" t="s">
        <v>205</v>
      </c>
      <c r="K605" s="2">
        <v>535386</v>
      </c>
      <c r="L605" s="2">
        <v>535386</v>
      </c>
      <c r="M605" t="str">
        <f>IFERROR(IF(VLOOKUP(LEFT(B605,2),'Humanitarian codes'!$A$2:$A$10,1,FALSE)=LEFT(B605,2),"Yes","Error"),"No")</f>
        <v>Yes</v>
      </c>
    </row>
    <row r="606" spans="1:13" x14ac:dyDescent="0.25">
      <c r="A606">
        <v>2022</v>
      </c>
      <c r="B606" t="s">
        <v>4823</v>
      </c>
      <c r="C606" t="s">
        <v>4824</v>
      </c>
      <c r="D606" t="s">
        <v>30</v>
      </c>
      <c r="E606" t="s">
        <v>205</v>
      </c>
      <c r="F606">
        <v>4500195179</v>
      </c>
      <c r="G606" t="s">
        <v>4833</v>
      </c>
      <c r="H606" t="s">
        <v>3334</v>
      </c>
      <c r="I606" t="s">
        <v>869</v>
      </c>
      <c r="J606" t="s">
        <v>205</v>
      </c>
      <c r="K606" s="2">
        <v>26000</v>
      </c>
      <c r="L606" s="2">
        <v>26000</v>
      </c>
      <c r="M606" t="str">
        <f>IFERROR(IF(VLOOKUP(LEFT(B606,2),'Humanitarian codes'!$A$2:$A$10,1,FALSE)=LEFT(B606,2),"Yes","Error"),"No")</f>
        <v>Yes</v>
      </c>
    </row>
    <row r="607" spans="1:13" x14ac:dyDescent="0.25">
      <c r="A607">
        <v>2022</v>
      </c>
      <c r="B607" t="s">
        <v>4823</v>
      </c>
      <c r="C607" t="s">
        <v>4824</v>
      </c>
      <c r="D607" t="s">
        <v>30</v>
      </c>
      <c r="E607" t="s">
        <v>205</v>
      </c>
      <c r="F607">
        <v>4500211666</v>
      </c>
      <c r="G607" t="s">
        <v>4831</v>
      </c>
      <c r="H607" t="s">
        <v>3334</v>
      </c>
      <c r="I607" t="s">
        <v>869</v>
      </c>
      <c r="J607" t="s">
        <v>205</v>
      </c>
      <c r="K607" s="2">
        <v>57630</v>
      </c>
      <c r="L607" s="2">
        <v>311245</v>
      </c>
      <c r="M607" t="str">
        <f>IFERROR(IF(VLOOKUP(LEFT(B607,2),'Humanitarian codes'!$A$2:$A$10,1,FALSE)=LEFT(B607,2),"Yes","Error"),"No")</f>
        <v>Yes</v>
      </c>
    </row>
    <row r="608" spans="1:13" x14ac:dyDescent="0.25">
      <c r="A608">
        <v>2022</v>
      </c>
      <c r="B608" t="s">
        <v>4823</v>
      </c>
      <c r="C608" t="s">
        <v>4824</v>
      </c>
      <c r="D608" t="s">
        <v>30</v>
      </c>
      <c r="E608" t="s">
        <v>205</v>
      </c>
      <c r="F608">
        <v>4500222863</v>
      </c>
      <c r="G608" t="s">
        <v>4834</v>
      </c>
      <c r="H608" t="s">
        <v>3334</v>
      </c>
      <c r="I608" t="s">
        <v>873</v>
      </c>
      <c r="J608" t="s">
        <v>205</v>
      </c>
      <c r="K608" s="2">
        <v>75000</v>
      </c>
      <c r="L608" s="2">
        <v>75000</v>
      </c>
      <c r="M608" t="str">
        <f>IFERROR(IF(VLOOKUP(LEFT(B608,2),'Humanitarian codes'!$A$2:$A$10,1,FALSE)=LEFT(B608,2),"Yes","Error"),"No")</f>
        <v>Yes</v>
      </c>
    </row>
    <row r="609" spans="1:13" x14ac:dyDescent="0.25">
      <c r="A609">
        <v>2022</v>
      </c>
      <c r="B609" t="s">
        <v>4823</v>
      </c>
      <c r="C609" t="s">
        <v>4824</v>
      </c>
      <c r="D609" t="s">
        <v>30</v>
      </c>
      <c r="E609" t="s">
        <v>1355</v>
      </c>
      <c r="F609">
        <v>4500228920</v>
      </c>
      <c r="G609" t="s">
        <v>4835</v>
      </c>
      <c r="H609" t="s">
        <v>3334</v>
      </c>
      <c r="I609" t="s">
        <v>4836</v>
      </c>
      <c r="J609" t="s">
        <v>1355</v>
      </c>
      <c r="K609" s="2">
        <v>2590</v>
      </c>
      <c r="L609" s="2">
        <v>2590</v>
      </c>
      <c r="M609" t="str">
        <f>IFERROR(IF(VLOOKUP(LEFT(B609,2),'Humanitarian codes'!$A$2:$A$10,1,FALSE)=LEFT(B609,2),"Yes","Error"),"No")</f>
        <v>Yes</v>
      </c>
    </row>
    <row r="610" spans="1:13" x14ac:dyDescent="0.25">
      <c r="A610">
        <v>2022</v>
      </c>
      <c r="B610" t="s">
        <v>4823</v>
      </c>
      <c r="C610" t="s">
        <v>4824</v>
      </c>
      <c r="D610" t="s">
        <v>30</v>
      </c>
      <c r="E610" t="s">
        <v>1355</v>
      </c>
      <c r="F610">
        <v>4500229880</v>
      </c>
      <c r="G610" t="s">
        <v>4837</v>
      </c>
      <c r="H610" t="s">
        <v>3334</v>
      </c>
      <c r="I610" t="s">
        <v>4838</v>
      </c>
      <c r="J610" t="s">
        <v>1355</v>
      </c>
      <c r="K610" s="2">
        <v>25248</v>
      </c>
      <c r="L610" s="2">
        <v>25248</v>
      </c>
      <c r="M610" t="str">
        <f>IFERROR(IF(VLOOKUP(LEFT(B610,2),'Humanitarian codes'!$A$2:$A$10,1,FALSE)=LEFT(B610,2),"Yes","Error"),"No")</f>
        <v>Yes</v>
      </c>
    </row>
    <row r="611" spans="1:13" x14ac:dyDescent="0.25">
      <c r="A611">
        <v>2022</v>
      </c>
      <c r="B611" t="s">
        <v>4823</v>
      </c>
      <c r="C611" t="s">
        <v>4824</v>
      </c>
      <c r="D611" t="s">
        <v>30</v>
      </c>
      <c r="E611" t="s">
        <v>1355</v>
      </c>
      <c r="F611">
        <v>4500242340</v>
      </c>
      <c r="G611" t="s">
        <v>4839</v>
      </c>
      <c r="H611" t="s">
        <v>3334</v>
      </c>
      <c r="I611" t="s">
        <v>4836</v>
      </c>
      <c r="J611" t="s">
        <v>1355</v>
      </c>
      <c r="K611" s="2">
        <v>5826</v>
      </c>
      <c r="L611" s="2">
        <v>5826</v>
      </c>
      <c r="M611" t="str">
        <f>IFERROR(IF(VLOOKUP(LEFT(B611,2),'Humanitarian codes'!$A$2:$A$10,1,FALSE)=LEFT(B611,2),"Yes","Error"),"No")</f>
        <v>Yes</v>
      </c>
    </row>
    <row r="612" spans="1:13" x14ac:dyDescent="0.25">
      <c r="A612">
        <v>2022</v>
      </c>
      <c r="B612" t="s">
        <v>4823</v>
      </c>
      <c r="C612" t="s">
        <v>4824</v>
      </c>
      <c r="D612" t="s">
        <v>30</v>
      </c>
      <c r="E612" t="s">
        <v>45</v>
      </c>
      <c r="F612">
        <v>4500226269</v>
      </c>
      <c r="G612" t="s">
        <v>4840</v>
      </c>
      <c r="H612" t="s">
        <v>3334</v>
      </c>
      <c r="I612" t="s">
        <v>4841</v>
      </c>
      <c r="J612" t="s">
        <v>45</v>
      </c>
      <c r="K612" s="2">
        <v>90040</v>
      </c>
      <c r="L612" s="2">
        <v>90040</v>
      </c>
      <c r="M612" t="str">
        <f>IFERROR(IF(VLOOKUP(LEFT(B612,2),'Humanitarian codes'!$A$2:$A$10,1,FALSE)=LEFT(B612,2),"Yes","Error"),"No")</f>
        <v>Yes</v>
      </c>
    </row>
    <row r="613" spans="1:13" x14ac:dyDescent="0.25">
      <c r="A613">
        <v>2022</v>
      </c>
      <c r="B613" t="s">
        <v>4823</v>
      </c>
      <c r="C613" t="s">
        <v>4824</v>
      </c>
      <c r="D613" t="s">
        <v>30</v>
      </c>
      <c r="E613" t="s">
        <v>45</v>
      </c>
      <c r="F613">
        <v>4500227174</v>
      </c>
      <c r="G613" t="s">
        <v>4842</v>
      </c>
      <c r="H613" t="s">
        <v>3334</v>
      </c>
      <c r="I613" t="s">
        <v>327</v>
      </c>
      <c r="J613" t="s">
        <v>45</v>
      </c>
      <c r="K613" s="2">
        <v>108000</v>
      </c>
      <c r="L613" s="2">
        <v>108000</v>
      </c>
      <c r="M613" t="str">
        <f>IFERROR(IF(VLOOKUP(LEFT(B613,2),'Humanitarian codes'!$A$2:$A$10,1,FALSE)=LEFT(B613,2),"Yes","Error"),"No")</f>
        <v>Yes</v>
      </c>
    </row>
    <row r="614" spans="1:13" x14ac:dyDescent="0.25">
      <c r="A614">
        <v>2022</v>
      </c>
      <c r="B614" t="s">
        <v>4823</v>
      </c>
      <c r="C614" t="s">
        <v>4824</v>
      </c>
      <c r="D614" t="s">
        <v>30</v>
      </c>
      <c r="E614" t="s">
        <v>45</v>
      </c>
      <c r="F614">
        <v>4500232335</v>
      </c>
      <c r="G614" t="s">
        <v>4843</v>
      </c>
      <c r="H614" t="s">
        <v>3334</v>
      </c>
      <c r="I614" t="s">
        <v>3736</v>
      </c>
      <c r="J614" t="s">
        <v>45</v>
      </c>
      <c r="K614" s="2">
        <v>83003</v>
      </c>
      <c r="L614" s="2">
        <v>103003</v>
      </c>
      <c r="M614" t="str">
        <f>IFERROR(IF(VLOOKUP(LEFT(B614,2),'Humanitarian codes'!$A$2:$A$10,1,FALSE)=LEFT(B614,2),"Yes","Error"),"No")</f>
        <v>Yes</v>
      </c>
    </row>
    <row r="615" spans="1:13" x14ac:dyDescent="0.25">
      <c r="A615">
        <v>2022</v>
      </c>
      <c r="B615" t="s">
        <v>4823</v>
      </c>
      <c r="C615" t="s">
        <v>4824</v>
      </c>
      <c r="D615" t="s">
        <v>30</v>
      </c>
      <c r="E615" t="s">
        <v>210</v>
      </c>
      <c r="F615">
        <v>4500189495</v>
      </c>
      <c r="G615" t="s">
        <v>4844</v>
      </c>
      <c r="H615" t="s">
        <v>3334</v>
      </c>
      <c r="I615" t="s">
        <v>217</v>
      </c>
      <c r="J615" t="s">
        <v>210</v>
      </c>
      <c r="K615" s="2">
        <v>252927</v>
      </c>
      <c r="L615" s="2">
        <v>252927</v>
      </c>
      <c r="M615" t="str">
        <f>IFERROR(IF(VLOOKUP(LEFT(B615,2),'Humanitarian codes'!$A$2:$A$10,1,FALSE)=LEFT(B615,2),"Yes","Error"),"No")</f>
        <v>Yes</v>
      </c>
    </row>
    <row r="616" spans="1:13" x14ac:dyDescent="0.25">
      <c r="A616">
        <v>2022</v>
      </c>
      <c r="B616" t="s">
        <v>4823</v>
      </c>
      <c r="C616" t="s">
        <v>4824</v>
      </c>
      <c r="D616" t="s">
        <v>30</v>
      </c>
      <c r="E616" t="s">
        <v>210</v>
      </c>
      <c r="F616">
        <v>4500189805</v>
      </c>
      <c r="G616" t="s">
        <v>4845</v>
      </c>
      <c r="H616" t="s">
        <v>3334</v>
      </c>
      <c r="I616" t="s">
        <v>2416</v>
      </c>
      <c r="J616" t="s">
        <v>210</v>
      </c>
      <c r="K616" s="2">
        <v>346526</v>
      </c>
      <c r="L616" s="2">
        <v>346526</v>
      </c>
      <c r="M616" t="str">
        <f>IFERROR(IF(VLOOKUP(LEFT(B616,2),'Humanitarian codes'!$A$2:$A$10,1,FALSE)=LEFT(B616,2),"Yes","Error"),"No")</f>
        <v>Yes</v>
      </c>
    </row>
    <row r="617" spans="1:13" x14ac:dyDescent="0.25">
      <c r="A617">
        <v>2022</v>
      </c>
      <c r="B617" t="s">
        <v>4823</v>
      </c>
      <c r="C617" t="s">
        <v>4824</v>
      </c>
      <c r="D617" t="s">
        <v>30</v>
      </c>
      <c r="E617" t="s">
        <v>210</v>
      </c>
      <c r="F617">
        <v>4500193457</v>
      </c>
      <c r="G617" t="s">
        <v>4846</v>
      </c>
      <c r="H617" t="s">
        <v>3334</v>
      </c>
      <c r="I617" t="s">
        <v>214</v>
      </c>
      <c r="J617" t="s">
        <v>210</v>
      </c>
      <c r="K617" s="2">
        <v>300000</v>
      </c>
      <c r="L617" s="2">
        <v>300000</v>
      </c>
      <c r="M617" t="str">
        <f>IFERROR(IF(VLOOKUP(LEFT(B617,2),'Humanitarian codes'!$A$2:$A$10,1,FALSE)=LEFT(B617,2),"Yes","Error"),"No")</f>
        <v>Yes</v>
      </c>
    </row>
    <row r="618" spans="1:13" x14ac:dyDescent="0.25">
      <c r="A618">
        <v>2022</v>
      </c>
      <c r="B618" t="s">
        <v>4823</v>
      </c>
      <c r="C618" t="s">
        <v>4824</v>
      </c>
      <c r="D618" t="s">
        <v>30</v>
      </c>
      <c r="E618" t="s">
        <v>210</v>
      </c>
      <c r="F618">
        <v>4500198383</v>
      </c>
      <c r="G618" t="s">
        <v>4847</v>
      </c>
      <c r="H618" t="s">
        <v>3334</v>
      </c>
      <c r="I618" t="s">
        <v>363</v>
      </c>
      <c r="J618" t="s">
        <v>210</v>
      </c>
      <c r="K618" s="2">
        <v>840161</v>
      </c>
      <c r="L618" s="2">
        <v>840161</v>
      </c>
      <c r="M618" t="str">
        <f>IFERROR(IF(VLOOKUP(LEFT(B618,2),'Humanitarian codes'!$A$2:$A$10,1,FALSE)=LEFT(B618,2),"Yes","Error"),"No")</f>
        <v>Yes</v>
      </c>
    </row>
    <row r="619" spans="1:13" x14ac:dyDescent="0.25">
      <c r="A619">
        <v>2022</v>
      </c>
      <c r="B619" t="s">
        <v>4823</v>
      </c>
      <c r="C619" t="s">
        <v>4824</v>
      </c>
      <c r="D619" t="s">
        <v>30</v>
      </c>
      <c r="E619" t="s">
        <v>210</v>
      </c>
      <c r="F619">
        <v>4500201767</v>
      </c>
      <c r="G619" t="s">
        <v>4848</v>
      </c>
      <c r="H619" t="s">
        <v>3334</v>
      </c>
      <c r="I619" t="s">
        <v>216</v>
      </c>
      <c r="J619" t="s">
        <v>210</v>
      </c>
      <c r="K619" s="2">
        <v>249355</v>
      </c>
      <c r="L619" s="2">
        <v>249355</v>
      </c>
      <c r="M619" t="str">
        <f>IFERROR(IF(VLOOKUP(LEFT(B619,2),'Humanitarian codes'!$A$2:$A$10,1,FALSE)=LEFT(B619,2),"Yes","Error"),"No")</f>
        <v>Yes</v>
      </c>
    </row>
    <row r="620" spans="1:13" x14ac:dyDescent="0.25">
      <c r="A620">
        <v>2022</v>
      </c>
      <c r="B620" t="s">
        <v>4823</v>
      </c>
      <c r="C620" t="s">
        <v>4824</v>
      </c>
      <c r="D620" t="s">
        <v>30</v>
      </c>
      <c r="E620" t="s">
        <v>210</v>
      </c>
      <c r="F620">
        <v>4500201769</v>
      </c>
      <c r="G620" t="s">
        <v>4849</v>
      </c>
      <c r="H620" t="s">
        <v>3334</v>
      </c>
      <c r="I620" t="s">
        <v>211</v>
      </c>
      <c r="J620" t="s">
        <v>210</v>
      </c>
      <c r="K620" s="2">
        <v>547922</v>
      </c>
      <c r="L620" s="2">
        <v>547922</v>
      </c>
      <c r="M620" t="str">
        <f>IFERROR(IF(VLOOKUP(LEFT(B620,2),'Humanitarian codes'!$A$2:$A$10,1,FALSE)=LEFT(B620,2),"Yes","Error"),"No")</f>
        <v>Yes</v>
      </c>
    </row>
    <row r="621" spans="1:13" x14ac:dyDescent="0.25">
      <c r="A621">
        <v>2022</v>
      </c>
      <c r="B621" t="s">
        <v>4823</v>
      </c>
      <c r="C621" t="s">
        <v>4824</v>
      </c>
      <c r="D621" t="s">
        <v>30</v>
      </c>
      <c r="E621" t="s">
        <v>210</v>
      </c>
      <c r="F621">
        <v>4500208188</v>
      </c>
      <c r="G621" t="s">
        <v>4850</v>
      </c>
      <c r="H621" t="s">
        <v>3334</v>
      </c>
      <c r="I621" t="s">
        <v>4851</v>
      </c>
      <c r="J621" t="s">
        <v>210</v>
      </c>
      <c r="K621" s="2">
        <v>128638</v>
      </c>
      <c r="L621" s="2">
        <v>128638</v>
      </c>
      <c r="M621" t="str">
        <f>IFERROR(IF(VLOOKUP(LEFT(B621,2),'Humanitarian codes'!$A$2:$A$10,1,FALSE)=LEFT(B621,2),"Yes","Error"),"No")</f>
        <v>Yes</v>
      </c>
    </row>
    <row r="622" spans="1:13" x14ac:dyDescent="0.25">
      <c r="A622">
        <v>2022</v>
      </c>
      <c r="B622" t="s">
        <v>4823</v>
      </c>
      <c r="C622" t="s">
        <v>4824</v>
      </c>
      <c r="D622" t="s">
        <v>30</v>
      </c>
      <c r="E622" t="s">
        <v>210</v>
      </c>
      <c r="F622">
        <v>4500210718</v>
      </c>
      <c r="G622" t="s">
        <v>4852</v>
      </c>
      <c r="H622" t="s">
        <v>3334</v>
      </c>
      <c r="I622" t="s">
        <v>2416</v>
      </c>
      <c r="J622" t="s">
        <v>210</v>
      </c>
      <c r="K622" s="2">
        <v>35043</v>
      </c>
      <c r="L622" s="2">
        <v>35043</v>
      </c>
      <c r="M622" t="str">
        <f>IFERROR(IF(VLOOKUP(LEFT(B622,2),'Humanitarian codes'!$A$2:$A$10,1,FALSE)=LEFT(B622,2),"Yes","Error"),"No")</f>
        <v>Yes</v>
      </c>
    </row>
    <row r="623" spans="1:13" x14ac:dyDescent="0.25">
      <c r="A623">
        <v>2022</v>
      </c>
      <c r="B623" t="s">
        <v>4823</v>
      </c>
      <c r="C623" t="s">
        <v>4824</v>
      </c>
      <c r="D623" t="s">
        <v>30</v>
      </c>
      <c r="E623" t="s">
        <v>210</v>
      </c>
      <c r="F623">
        <v>4500221718</v>
      </c>
      <c r="G623" t="s">
        <v>4853</v>
      </c>
      <c r="H623" t="s">
        <v>3334</v>
      </c>
      <c r="I623" t="s">
        <v>214</v>
      </c>
      <c r="J623" t="s">
        <v>210</v>
      </c>
      <c r="K623" s="2">
        <v>190000</v>
      </c>
      <c r="L623" s="2">
        <v>190000</v>
      </c>
      <c r="M623" t="str">
        <f>IFERROR(IF(VLOOKUP(LEFT(B623,2),'Humanitarian codes'!$A$2:$A$10,1,FALSE)=LEFT(B623,2),"Yes","Error"),"No")</f>
        <v>Yes</v>
      </c>
    </row>
    <row r="624" spans="1:13" x14ac:dyDescent="0.25">
      <c r="A624">
        <v>2022</v>
      </c>
      <c r="B624" t="s">
        <v>4823</v>
      </c>
      <c r="C624" t="s">
        <v>4824</v>
      </c>
      <c r="D624" t="s">
        <v>30</v>
      </c>
      <c r="E624" t="s">
        <v>167</v>
      </c>
      <c r="F624">
        <v>4500204107</v>
      </c>
      <c r="G624" t="s">
        <v>4854</v>
      </c>
      <c r="H624" t="s">
        <v>3334</v>
      </c>
      <c r="I624" t="s">
        <v>4855</v>
      </c>
      <c r="J624" t="s">
        <v>167</v>
      </c>
      <c r="K624" s="2">
        <v>88814</v>
      </c>
      <c r="L624" s="2">
        <v>88814</v>
      </c>
      <c r="M624" t="str">
        <f>IFERROR(IF(VLOOKUP(LEFT(B624,2),'Humanitarian codes'!$A$2:$A$10,1,FALSE)=LEFT(B624,2),"Yes","Error"),"No")</f>
        <v>Yes</v>
      </c>
    </row>
    <row r="625" spans="1:13" x14ac:dyDescent="0.25">
      <c r="A625">
        <v>2022</v>
      </c>
      <c r="B625" t="s">
        <v>4856</v>
      </c>
      <c r="C625" t="s">
        <v>4857</v>
      </c>
      <c r="D625" t="s">
        <v>30</v>
      </c>
      <c r="E625" t="s">
        <v>717</v>
      </c>
      <c r="F625">
        <v>4500206539</v>
      </c>
      <c r="G625" t="s">
        <v>4858</v>
      </c>
      <c r="H625" t="s">
        <v>3334</v>
      </c>
      <c r="I625" t="s">
        <v>1767</v>
      </c>
      <c r="J625" t="s">
        <v>717</v>
      </c>
      <c r="K625" s="2">
        <v>63233</v>
      </c>
      <c r="L625" s="2">
        <v>63233</v>
      </c>
      <c r="M625" t="str">
        <f>IFERROR(IF(VLOOKUP(LEFT(B625,2),'Humanitarian codes'!$A$2:$A$10,1,FALSE)=LEFT(B625,2),"Yes","Error"),"No")</f>
        <v>Yes</v>
      </c>
    </row>
    <row r="626" spans="1:13" x14ac:dyDescent="0.25">
      <c r="A626">
        <v>2022</v>
      </c>
      <c r="B626" t="s">
        <v>4856</v>
      </c>
      <c r="C626" t="s">
        <v>4857</v>
      </c>
      <c r="D626" t="s">
        <v>30</v>
      </c>
      <c r="E626" t="s">
        <v>717</v>
      </c>
      <c r="F626">
        <v>4500226477</v>
      </c>
      <c r="G626" t="s">
        <v>4859</v>
      </c>
      <c r="H626" t="s">
        <v>3334</v>
      </c>
      <c r="I626" t="s">
        <v>2903</v>
      </c>
      <c r="J626" t="s">
        <v>717</v>
      </c>
      <c r="K626" s="2">
        <v>5797</v>
      </c>
      <c r="L626" s="2">
        <v>40581</v>
      </c>
      <c r="M626" t="str">
        <f>IFERROR(IF(VLOOKUP(LEFT(B626,2),'Humanitarian codes'!$A$2:$A$10,1,FALSE)=LEFT(B626,2),"Yes","Error"),"No")</f>
        <v>Yes</v>
      </c>
    </row>
    <row r="627" spans="1:13" x14ac:dyDescent="0.25">
      <c r="A627">
        <v>2022</v>
      </c>
      <c r="B627" t="s">
        <v>4856</v>
      </c>
      <c r="C627" t="s">
        <v>4857</v>
      </c>
      <c r="D627" t="s">
        <v>30</v>
      </c>
      <c r="E627" t="s">
        <v>155</v>
      </c>
      <c r="F627">
        <v>4500222244</v>
      </c>
      <c r="G627" t="s">
        <v>4860</v>
      </c>
      <c r="H627" t="s">
        <v>3334</v>
      </c>
      <c r="I627" t="s">
        <v>156</v>
      </c>
      <c r="J627" t="s">
        <v>155</v>
      </c>
      <c r="K627" s="2">
        <v>60000</v>
      </c>
      <c r="L627" s="2">
        <v>60000</v>
      </c>
      <c r="M627" t="str">
        <f>IFERROR(IF(VLOOKUP(LEFT(B627,2),'Humanitarian codes'!$A$2:$A$10,1,FALSE)=LEFT(B627,2),"Yes","Error"),"No")</f>
        <v>Yes</v>
      </c>
    </row>
    <row r="628" spans="1:13" x14ac:dyDescent="0.25">
      <c r="A628">
        <v>2022</v>
      </c>
      <c r="B628" t="s">
        <v>4861</v>
      </c>
      <c r="C628" t="s">
        <v>4862</v>
      </c>
      <c r="D628" t="s">
        <v>30</v>
      </c>
      <c r="E628" t="s">
        <v>717</v>
      </c>
      <c r="F628">
        <v>4500181201</v>
      </c>
      <c r="G628" t="s">
        <v>4863</v>
      </c>
      <c r="H628" t="s">
        <v>3334</v>
      </c>
      <c r="I628" t="s">
        <v>2796</v>
      </c>
      <c r="J628" t="s">
        <v>717</v>
      </c>
      <c r="K628" s="2">
        <v>40000</v>
      </c>
      <c r="L628" s="2">
        <v>40000</v>
      </c>
      <c r="M628" t="str">
        <f>IFERROR(IF(VLOOKUP(LEFT(B628,2),'Humanitarian codes'!$A$2:$A$10,1,FALSE)=LEFT(B628,2),"Yes","Error"),"No")</f>
        <v>Yes</v>
      </c>
    </row>
    <row r="629" spans="1:13" x14ac:dyDescent="0.25">
      <c r="A629">
        <v>2022</v>
      </c>
      <c r="B629" t="s">
        <v>4861</v>
      </c>
      <c r="C629" t="s">
        <v>4862</v>
      </c>
      <c r="D629" t="s">
        <v>30</v>
      </c>
      <c r="E629" t="s">
        <v>717</v>
      </c>
      <c r="F629">
        <v>4500219567</v>
      </c>
      <c r="G629" t="s">
        <v>4864</v>
      </c>
      <c r="H629" t="s">
        <v>3334</v>
      </c>
      <c r="I629" t="s">
        <v>4770</v>
      </c>
      <c r="J629" t="s">
        <v>717</v>
      </c>
      <c r="K629" s="2">
        <v>120000</v>
      </c>
      <c r="L629" s="2">
        <v>120000</v>
      </c>
      <c r="M629" t="str">
        <f>IFERROR(IF(VLOOKUP(LEFT(B629,2),'Humanitarian codes'!$A$2:$A$10,1,FALSE)=LEFT(B629,2),"Yes","Error"),"No")</f>
        <v>Yes</v>
      </c>
    </row>
    <row r="630" spans="1:13" x14ac:dyDescent="0.25">
      <c r="A630">
        <v>2022</v>
      </c>
      <c r="B630" t="s">
        <v>4861</v>
      </c>
      <c r="C630" t="s">
        <v>4862</v>
      </c>
      <c r="D630" t="s">
        <v>30</v>
      </c>
      <c r="E630" t="s">
        <v>717</v>
      </c>
      <c r="F630">
        <v>4500220619</v>
      </c>
      <c r="G630" t="s">
        <v>4865</v>
      </c>
      <c r="H630" t="s">
        <v>3334</v>
      </c>
      <c r="I630" t="s">
        <v>1158</v>
      </c>
      <c r="J630" t="s">
        <v>717</v>
      </c>
      <c r="K630" s="2">
        <v>70797</v>
      </c>
      <c r="L630" s="2">
        <v>70797</v>
      </c>
      <c r="M630" t="str">
        <f>IFERROR(IF(VLOOKUP(LEFT(B630,2),'Humanitarian codes'!$A$2:$A$10,1,FALSE)=LEFT(B630,2),"Yes","Error"),"No")</f>
        <v>Yes</v>
      </c>
    </row>
    <row r="631" spans="1:13" x14ac:dyDescent="0.25">
      <c r="A631">
        <v>2022</v>
      </c>
      <c r="B631" t="s">
        <v>4861</v>
      </c>
      <c r="C631" t="s">
        <v>4862</v>
      </c>
      <c r="D631" t="s">
        <v>30</v>
      </c>
      <c r="E631" t="s">
        <v>717</v>
      </c>
      <c r="F631">
        <v>4500224034</v>
      </c>
      <c r="G631" t="s">
        <v>3905</v>
      </c>
      <c r="H631" t="s">
        <v>3334</v>
      </c>
      <c r="I631" t="s">
        <v>3906</v>
      </c>
      <c r="J631" t="s">
        <v>717</v>
      </c>
      <c r="K631" s="2">
        <v>201682</v>
      </c>
      <c r="L631" s="2">
        <v>298789</v>
      </c>
      <c r="M631" t="str">
        <f>IFERROR(IF(VLOOKUP(LEFT(B631,2),'Humanitarian codes'!$A$2:$A$10,1,FALSE)=LEFT(B631,2),"Yes","Error"),"No")</f>
        <v>Yes</v>
      </c>
    </row>
    <row r="632" spans="1:13" x14ac:dyDescent="0.25">
      <c r="A632">
        <v>2022</v>
      </c>
      <c r="B632" t="s">
        <v>3436</v>
      </c>
      <c r="C632" t="s">
        <v>3437</v>
      </c>
      <c r="D632" t="s">
        <v>30</v>
      </c>
      <c r="E632" t="s">
        <v>83</v>
      </c>
      <c r="F632">
        <v>4500184530</v>
      </c>
      <c r="G632" t="s">
        <v>4462</v>
      </c>
      <c r="H632" t="s">
        <v>3334</v>
      </c>
      <c r="I632" t="s">
        <v>86</v>
      </c>
      <c r="J632" t="s">
        <v>83</v>
      </c>
      <c r="K632" s="2">
        <v>184098</v>
      </c>
      <c r="L632" s="2">
        <v>305145</v>
      </c>
      <c r="M632" t="str">
        <f>IFERROR(IF(VLOOKUP(LEFT(B632,2),'Humanitarian codes'!$A$2:$A$10,1,FALSE)=LEFT(B632,2),"Yes","Error"),"No")</f>
        <v>Yes</v>
      </c>
    </row>
    <row r="633" spans="1:13" x14ac:dyDescent="0.25">
      <c r="A633">
        <v>2022</v>
      </c>
      <c r="B633" t="s">
        <v>3436</v>
      </c>
      <c r="C633" t="s">
        <v>3437</v>
      </c>
      <c r="D633" t="s">
        <v>30</v>
      </c>
      <c r="E633" t="s">
        <v>83</v>
      </c>
      <c r="F633">
        <v>4500220318</v>
      </c>
      <c r="G633" t="s">
        <v>4866</v>
      </c>
      <c r="H633" t="s">
        <v>3334</v>
      </c>
      <c r="I633" t="s">
        <v>1968</v>
      </c>
      <c r="J633" t="s">
        <v>83</v>
      </c>
      <c r="K633" s="2">
        <v>50000</v>
      </c>
      <c r="L633" s="2">
        <v>50000</v>
      </c>
      <c r="M633" t="str">
        <f>IFERROR(IF(VLOOKUP(LEFT(B633,2),'Humanitarian codes'!$A$2:$A$10,1,FALSE)=LEFT(B633,2),"Yes","Error"),"No")</f>
        <v>Yes</v>
      </c>
    </row>
    <row r="634" spans="1:13" x14ac:dyDescent="0.25">
      <c r="A634">
        <v>2022</v>
      </c>
      <c r="B634" t="s">
        <v>3436</v>
      </c>
      <c r="C634" t="s">
        <v>3437</v>
      </c>
      <c r="D634" t="s">
        <v>30</v>
      </c>
      <c r="E634" t="s">
        <v>83</v>
      </c>
      <c r="F634">
        <v>4500246397</v>
      </c>
      <c r="G634" t="s">
        <v>4867</v>
      </c>
      <c r="H634" t="s">
        <v>3334</v>
      </c>
      <c r="I634" t="s">
        <v>86</v>
      </c>
      <c r="J634" t="s">
        <v>83</v>
      </c>
      <c r="K634" s="2">
        <v>42555</v>
      </c>
      <c r="L634" s="2">
        <v>42555</v>
      </c>
      <c r="M634" t="str">
        <f>IFERROR(IF(VLOOKUP(LEFT(B634,2),'Humanitarian codes'!$A$2:$A$10,1,FALSE)=LEFT(B634,2),"Yes","Error"),"No")</f>
        <v>Yes</v>
      </c>
    </row>
    <row r="635" spans="1:13" x14ac:dyDescent="0.25">
      <c r="A635">
        <v>2022</v>
      </c>
      <c r="B635" t="s">
        <v>4868</v>
      </c>
      <c r="C635" t="s">
        <v>1258</v>
      </c>
      <c r="D635" t="s">
        <v>30</v>
      </c>
      <c r="E635" t="s">
        <v>940</v>
      </c>
      <c r="F635">
        <v>4500195474</v>
      </c>
      <c r="G635" t="s">
        <v>4869</v>
      </c>
      <c r="H635" t="s">
        <v>3334</v>
      </c>
      <c r="I635" t="s">
        <v>338</v>
      </c>
      <c r="J635" t="s">
        <v>940</v>
      </c>
      <c r="K635" s="2">
        <v>299354</v>
      </c>
      <c r="L635" s="2">
        <v>299354</v>
      </c>
      <c r="M635" t="str">
        <f>IFERROR(IF(VLOOKUP(LEFT(B635,2),'Humanitarian codes'!$A$2:$A$10,1,FALSE)=LEFT(B635,2),"Yes","Error"),"No")</f>
        <v>Yes</v>
      </c>
    </row>
    <row r="636" spans="1:13" x14ac:dyDescent="0.25">
      <c r="A636">
        <v>2022</v>
      </c>
      <c r="B636" t="s">
        <v>4868</v>
      </c>
      <c r="C636" t="s">
        <v>1258</v>
      </c>
      <c r="D636" t="s">
        <v>30</v>
      </c>
      <c r="E636" t="s">
        <v>940</v>
      </c>
      <c r="F636">
        <v>4500196487</v>
      </c>
      <c r="G636" t="s">
        <v>4870</v>
      </c>
      <c r="H636" t="s">
        <v>3334</v>
      </c>
      <c r="I636" t="s">
        <v>1260</v>
      </c>
      <c r="J636" t="s">
        <v>940</v>
      </c>
      <c r="K636" s="2">
        <v>99940</v>
      </c>
      <c r="L636" s="2">
        <v>99940</v>
      </c>
      <c r="M636" t="str">
        <f>IFERROR(IF(VLOOKUP(LEFT(B636,2),'Humanitarian codes'!$A$2:$A$10,1,FALSE)=LEFT(B636,2),"Yes","Error"),"No")</f>
        <v>Yes</v>
      </c>
    </row>
    <row r="637" spans="1:13" x14ac:dyDescent="0.25">
      <c r="A637">
        <v>2022</v>
      </c>
      <c r="B637" t="s">
        <v>4868</v>
      </c>
      <c r="C637" t="s">
        <v>1258</v>
      </c>
      <c r="D637" t="s">
        <v>30</v>
      </c>
      <c r="E637" t="s">
        <v>940</v>
      </c>
      <c r="F637">
        <v>4500197646</v>
      </c>
      <c r="G637" t="s">
        <v>4871</v>
      </c>
      <c r="H637" t="s">
        <v>3334</v>
      </c>
      <c r="I637" t="s">
        <v>338</v>
      </c>
      <c r="J637" t="s">
        <v>940</v>
      </c>
      <c r="K637" s="2">
        <v>107530</v>
      </c>
      <c r="L637" s="2">
        <v>107530</v>
      </c>
      <c r="M637" t="str">
        <f>IFERROR(IF(VLOOKUP(LEFT(B637,2),'Humanitarian codes'!$A$2:$A$10,1,FALSE)=LEFT(B637,2),"Yes","Error"),"No")</f>
        <v>Yes</v>
      </c>
    </row>
    <row r="638" spans="1:13" x14ac:dyDescent="0.25">
      <c r="A638">
        <v>2022</v>
      </c>
      <c r="B638" t="s">
        <v>4868</v>
      </c>
      <c r="C638" t="s">
        <v>1258</v>
      </c>
      <c r="D638" t="s">
        <v>30</v>
      </c>
      <c r="E638" t="s">
        <v>940</v>
      </c>
      <c r="F638">
        <v>4500197827</v>
      </c>
      <c r="G638" t="s">
        <v>4872</v>
      </c>
      <c r="H638" t="s">
        <v>3334</v>
      </c>
      <c r="I638" t="s">
        <v>1259</v>
      </c>
      <c r="J638" t="s">
        <v>940</v>
      </c>
      <c r="K638" s="2">
        <v>105366</v>
      </c>
      <c r="L638" s="2">
        <v>105366</v>
      </c>
      <c r="M638" t="str">
        <f>IFERROR(IF(VLOOKUP(LEFT(B638,2),'Humanitarian codes'!$A$2:$A$10,1,FALSE)=LEFT(B638,2),"Yes","Error"),"No")</f>
        <v>Yes</v>
      </c>
    </row>
    <row r="639" spans="1:13" x14ac:dyDescent="0.25">
      <c r="A639">
        <v>2022</v>
      </c>
      <c r="B639" t="s">
        <v>4868</v>
      </c>
      <c r="C639" t="s">
        <v>1258</v>
      </c>
      <c r="D639" t="s">
        <v>30</v>
      </c>
      <c r="E639" t="s">
        <v>940</v>
      </c>
      <c r="F639">
        <v>4500208485</v>
      </c>
      <c r="G639" t="s">
        <v>4873</v>
      </c>
      <c r="H639" t="s">
        <v>3334</v>
      </c>
      <c r="I639" t="s">
        <v>1260</v>
      </c>
      <c r="J639" t="s">
        <v>940</v>
      </c>
      <c r="K639" s="2">
        <v>99905</v>
      </c>
      <c r="L639" s="2">
        <v>99905</v>
      </c>
      <c r="M639" t="str">
        <f>IFERROR(IF(VLOOKUP(LEFT(B639,2),'Humanitarian codes'!$A$2:$A$10,1,FALSE)=LEFT(B639,2),"Yes","Error"),"No")</f>
        <v>Yes</v>
      </c>
    </row>
    <row r="640" spans="1:13" x14ac:dyDescent="0.25">
      <c r="A640">
        <v>2022</v>
      </c>
      <c r="B640" t="s">
        <v>4868</v>
      </c>
      <c r="C640" t="s">
        <v>1258</v>
      </c>
      <c r="D640" t="s">
        <v>30</v>
      </c>
      <c r="E640" t="s">
        <v>940</v>
      </c>
      <c r="F640">
        <v>4500224003</v>
      </c>
      <c r="G640" t="s">
        <v>4874</v>
      </c>
      <c r="H640" t="s">
        <v>3334</v>
      </c>
      <c r="I640" t="s">
        <v>338</v>
      </c>
      <c r="J640" t="s">
        <v>940</v>
      </c>
      <c r="K640" s="2">
        <v>94156</v>
      </c>
      <c r="L640" s="2">
        <v>94156</v>
      </c>
      <c r="M640" t="str">
        <f>IFERROR(IF(VLOOKUP(LEFT(B640,2),'Humanitarian codes'!$A$2:$A$10,1,FALSE)=LEFT(B640,2),"Yes","Error"),"No")</f>
        <v>Yes</v>
      </c>
    </row>
    <row r="641" spans="1:13" x14ac:dyDescent="0.25">
      <c r="A641">
        <v>2022</v>
      </c>
      <c r="B641" t="s">
        <v>4868</v>
      </c>
      <c r="C641" t="s">
        <v>1258</v>
      </c>
      <c r="D641" t="s">
        <v>30</v>
      </c>
      <c r="E641" t="s">
        <v>940</v>
      </c>
      <c r="F641">
        <v>4500224004</v>
      </c>
      <c r="G641" t="s">
        <v>4875</v>
      </c>
      <c r="H641" t="s">
        <v>3334</v>
      </c>
      <c r="I641" t="s">
        <v>1260</v>
      </c>
      <c r="J641" t="s">
        <v>940</v>
      </c>
      <c r="K641" s="2">
        <v>92311</v>
      </c>
      <c r="L641" s="2">
        <v>92311</v>
      </c>
      <c r="M641" t="str">
        <f>IFERROR(IF(VLOOKUP(LEFT(B641,2),'Humanitarian codes'!$A$2:$A$10,1,FALSE)=LEFT(B641,2),"Yes","Error"),"No")</f>
        <v>Yes</v>
      </c>
    </row>
    <row r="642" spans="1:13" x14ac:dyDescent="0.25">
      <c r="A642">
        <v>2022</v>
      </c>
      <c r="B642" t="s">
        <v>4868</v>
      </c>
      <c r="C642" t="s">
        <v>1258</v>
      </c>
      <c r="D642" t="s">
        <v>30</v>
      </c>
      <c r="E642" t="s">
        <v>940</v>
      </c>
      <c r="F642">
        <v>4500224008</v>
      </c>
      <c r="G642" t="s">
        <v>4875</v>
      </c>
      <c r="H642" t="s">
        <v>3334</v>
      </c>
      <c r="I642" t="s">
        <v>1260</v>
      </c>
      <c r="J642" t="s">
        <v>940</v>
      </c>
      <c r="K642" s="2">
        <v>93802</v>
      </c>
      <c r="L642" s="2">
        <v>93802</v>
      </c>
      <c r="M642" t="str">
        <f>IFERROR(IF(VLOOKUP(LEFT(B642,2),'Humanitarian codes'!$A$2:$A$10,1,FALSE)=LEFT(B642,2),"Yes","Error"),"No")</f>
        <v>Yes</v>
      </c>
    </row>
    <row r="643" spans="1:13" x14ac:dyDescent="0.25">
      <c r="A643">
        <v>2022</v>
      </c>
      <c r="B643" t="s">
        <v>4868</v>
      </c>
      <c r="C643" t="s">
        <v>1258</v>
      </c>
      <c r="D643" t="s">
        <v>30</v>
      </c>
      <c r="E643" t="s">
        <v>940</v>
      </c>
      <c r="F643">
        <v>4500227927</v>
      </c>
      <c r="G643" t="s">
        <v>4876</v>
      </c>
      <c r="H643" t="s">
        <v>3334</v>
      </c>
      <c r="I643" t="s">
        <v>1259</v>
      </c>
      <c r="J643" t="s">
        <v>940</v>
      </c>
      <c r="K643" s="2">
        <v>100808</v>
      </c>
      <c r="L643" s="2">
        <v>100808</v>
      </c>
      <c r="M643" t="str">
        <f>IFERROR(IF(VLOOKUP(LEFT(B643,2),'Humanitarian codes'!$A$2:$A$10,1,FALSE)=LEFT(B643,2),"Yes","Error"),"No")</f>
        <v>Yes</v>
      </c>
    </row>
    <row r="644" spans="1:13" x14ac:dyDescent="0.25">
      <c r="A644">
        <v>2022</v>
      </c>
      <c r="B644" t="s">
        <v>4868</v>
      </c>
      <c r="C644" t="s">
        <v>1258</v>
      </c>
      <c r="D644" t="s">
        <v>30</v>
      </c>
      <c r="E644" t="s">
        <v>940</v>
      </c>
      <c r="F644">
        <v>4500231658</v>
      </c>
      <c r="G644" t="s">
        <v>4877</v>
      </c>
      <c r="H644" t="s">
        <v>3334</v>
      </c>
      <c r="I644" t="s">
        <v>338</v>
      </c>
      <c r="J644" t="s">
        <v>940</v>
      </c>
      <c r="K644" s="2">
        <v>299870</v>
      </c>
      <c r="L644" s="2">
        <v>299870</v>
      </c>
      <c r="M644" t="str">
        <f>IFERROR(IF(VLOOKUP(LEFT(B644,2),'Humanitarian codes'!$A$2:$A$10,1,FALSE)=LEFT(B644,2),"Yes","Error"),"No")</f>
        <v>Yes</v>
      </c>
    </row>
    <row r="645" spans="1:13" x14ac:dyDescent="0.25">
      <c r="A645">
        <v>2022</v>
      </c>
      <c r="B645" t="s">
        <v>4868</v>
      </c>
      <c r="C645" t="s">
        <v>1258</v>
      </c>
      <c r="D645" t="s">
        <v>30</v>
      </c>
      <c r="E645" t="s">
        <v>940</v>
      </c>
      <c r="F645">
        <v>4500241748</v>
      </c>
      <c r="G645" t="s">
        <v>4878</v>
      </c>
      <c r="H645" t="s">
        <v>3334</v>
      </c>
      <c r="I645" t="s">
        <v>338</v>
      </c>
      <c r="J645" t="s">
        <v>940</v>
      </c>
      <c r="K645" s="2">
        <v>149799</v>
      </c>
      <c r="L645" s="2">
        <v>149799</v>
      </c>
      <c r="M645" t="str">
        <f>IFERROR(IF(VLOOKUP(LEFT(B645,2),'Humanitarian codes'!$A$2:$A$10,1,FALSE)=LEFT(B645,2),"Yes","Error"),"No")</f>
        <v>Yes</v>
      </c>
    </row>
    <row r="646" spans="1:13" x14ac:dyDescent="0.25">
      <c r="A646">
        <v>2022</v>
      </c>
      <c r="B646" t="s">
        <v>1243</v>
      </c>
      <c r="C646" t="s">
        <v>1244</v>
      </c>
      <c r="D646" t="s">
        <v>30</v>
      </c>
      <c r="E646" t="s">
        <v>32</v>
      </c>
      <c r="F646">
        <v>4500207660</v>
      </c>
      <c r="G646" t="s">
        <v>4879</v>
      </c>
      <c r="H646" t="s">
        <v>3334</v>
      </c>
      <c r="I646" t="s">
        <v>4597</v>
      </c>
      <c r="J646" t="s">
        <v>32</v>
      </c>
      <c r="K646" s="2">
        <v>23040</v>
      </c>
      <c r="L646" s="2">
        <v>23040</v>
      </c>
      <c r="M646" t="str">
        <f>IFERROR(IF(VLOOKUP(LEFT(B646,2),'Humanitarian codes'!$A$2:$A$10,1,FALSE)=LEFT(B646,2),"Yes","Error"),"No")</f>
        <v>Yes</v>
      </c>
    </row>
    <row r="647" spans="1:13" x14ac:dyDescent="0.25">
      <c r="A647">
        <v>2022</v>
      </c>
      <c r="B647" t="s">
        <v>1243</v>
      </c>
      <c r="C647" t="s">
        <v>1244</v>
      </c>
      <c r="D647" t="s">
        <v>30</v>
      </c>
      <c r="E647" t="s">
        <v>32</v>
      </c>
      <c r="F647">
        <v>4500208602</v>
      </c>
      <c r="G647" t="s">
        <v>4879</v>
      </c>
      <c r="H647" t="s">
        <v>3334</v>
      </c>
      <c r="I647" t="s">
        <v>1691</v>
      </c>
      <c r="J647" t="s">
        <v>32</v>
      </c>
      <c r="K647" s="2">
        <v>21960</v>
      </c>
      <c r="L647" s="2">
        <v>21960</v>
      </c>
      <c r="M647" t="str">
        <f>IFERROR(IF(VLOOKUP(LEFT(B647,2),'Humanitarian codes'!$A$2:$A$10,1,FALSE)=LEFT(B647,2),"Yes","Error"),"No")</f>
        <v>Yes</v>
      </c>
    </row>
    <row r="648" spans="1:13" x14ac:dyDescent="0.25">
      <c r="A648">
        <v>2022</v>
      </c>
      <c r="B648" t="s">
        <v>1243</v>
      </c>
      <c r="C648" t="s">
        <v>1244</v>
      </c>
      <c r="D648" t="s">
        <v>30</v>
      </c>
      <c r="E648" t="s">
        <v>32</v>
      </c>
      <c r="F648">
        <v>4500210270</v>
      </c>
      <c r="G648" t="s">
        <v>4880</v>
      </c>
      <c r="H648" t="s">
        <v>3334</v>
      </c>
      <c r="I648" t="s">
        <v>4881</v>
      </c>
      <c r="J648" t="s">
        <v>32</v>
      </c>
      <c r="K648" s="2">
        <v>38954</v>
      </c>
      <c r="L648" s="2">
        <v>38954</v>
      </c>
      <c r="M648" t="str">
        <f>IFERROR(IF(VLOOKUP(LEFT(B648,2),'Humanitarian codes'!$A$2:$A$10,1,FALSE)=LEFT(B648,2),"Yes","Error"),"No")</f>
        <v>Yes</v>
      </c>
    </row>
    <row r="649" spans="1:13" x14ac:dyDescent="0.25">
      <c r="A649">
        <v>2022</v>
      </c>
      <c r="B649" t="s">
        <v>1243</v>
      </c>
      <c r="C649" t="s">
        <v>1244</v>
      </c>
      <c r="D649" t="s">
        <v>30</v>
      </c>
      <c r="E649" t="s">
        <v>32</v>
      </c>
      <c r="F649">
        <v>4500216777</v>
      </c>
      <c r="G649" t="s">
        <v>4882</v>
      </c>
      <c r="H649" t="s">
        <v>3334</v>
      </c>
      <c r="I649" t="s">
        <v>3439</v>
      </c>
      <c r="J649" t="s">
        <v>32</v>
      </c>
      <c r="K649" s="2">
        <v>7425</v>
      </c>
      <c r="L649" s="2">
        <v>7425</v>
      </c>
      <c r="M649" t="str">
        <f>IFERROR(IF(VLOOKUP(LEFT(B649,2),'Humanitarian codes'!$A$2:$A$10,1,FALSE)=LEFT(B649,2),"Yes","Error"),"No")</f>
        <v>Yes</v>
      </c>
    </row>
    <row r="650" spans="1:13" x14ac:dyDescent="0.25">
      <c r="A650">
        <v>2022</v>
      </c>
      <c r="B650" t="s">
        <v>1243</v>
      </c>
      <c r="C650" t="s">
        <v>1244</v>
      </c>
      <c r="D650" t="s">
        <v>30</v>
      </c>
      <c r="E650" t="s">
        <v>32</v>
      </c>
      <c r="F650">
        <v>4500227099</v>
      </c>
      <c r="G650" t="s">
        <v>4883</v>
      </c>
      <c r="H650" t="s">
        <v>3334</v>
      </c>
      <c r="I650" t="s">
        <v>104</v>
      </c>
      <c r="J650" t="s">
        <v>32</v>
      </c>
      <c r="K650" s="2">
        <v>166158</v>
      </c>
      <c r="L650" s="2">
        <v>166158</v>
      </c>
      <c r="M650" t="str">
        <f>IFERROR(IF(VLOOKUP(LEFT(B650,2),'Humanitarian codes'!$A$2:$A$10,1,FALSE)=LEFT(B650,2),"Yes","Error"),"No")</f>
        <v>Yes</v>
      </c>
    </row>
    <row r="651" spans="1:13" x14ac:dyDescent="0.25">
      <c r="A651">
        <v>2022</v>
      </c>
      <c r="B651" t="s">
        <v>70</v>
      </c>
      <c r="C651" t="s">
        <v>71</v>
      </c>
      <c r="D651" t="s">
        <v>30</v>
      </c>
      <c r="E651" t="s">
        <v>150</v>
      </c>
      <c r="F651">
        <v>4500220987</v>
      </c>
      <c r="G651" t="s">
        <v>4884</v>
      </c>
      <c r="H651" t="s">
        <v>3334</v>
      </c>
      <c r="I651" t="s">
        <v>4885</v>
      </c>
      <c r="J651" t="s">
        <v>150</v>
      </c>
      <c r="K651" s="2">
        <v>63726</v>
      </c>
      <c r="L651" s="2">
        <v>127453</v>
      </c>
      <c r="M651" t="str">
        <f>IFERROR(IF(VLOOKUP(LEFT(B651,2),'Humanitarian codes'!$A$2:$A$10,1,FALSE)=LEFT(B651,2),"Yes","Error"),"No")</f>
        <v>Yes</v>
      </c>
    </row>
    <row r="652" spans="1:13" x14ac:dyDescent="0.25">
      <c r="A652">
        <v>2022</v>
      </c>
      <c r="B652" t="s">
        <v>70</v>
      </c>
      <c r="C652" t="s">
        <v>71</v>
      </c>
      <c r="D652" t="s">
        <v>30</v>
      </c>
      <c r="E652" t="s">
        <v>477</v>
      </c>
      <c r="F652">
        <v>4500244078</v>
      </c>
      <c r="G652" t="s">
        <v>3821</v>
      </c>
      <c r="H652" t="s">
        <v>3334</v>
      </c>
      <c r="I652" t="s">
        <v>3200</v>
      </c>
      <c r="J652" t="s">
        <v>477</v>
      </c>
      <c r="K652" s="2">
        <v>5999</v>
      </c>
      <c r="L652" s="2">
        <v>5999</v>
      </c>
      <c r="M652" t="str">
        <f>IFERROR(IF(VLOOKUP(LEFT(B652,2),'Humanitarian codes'!$A$2:$A$10,1,FALSE)=LEFT(B652,2),"Yes","Error"),"No")</f>
        <v>Yes</v>
      </c>
    </row>
    <row r="653" spans="1:13" x14ac:dyDescent="0.25">
      <c r="A653">
        <v>2022</v>
      </c>
      <c r="B653" t="s">
        <v>70</v>
      </c>
      <c r="C653" t="s">
        <v>71</v>
      </c>
      <c r="D653" t="s">
        <v>30</v>
      </c>
      <c r="E653" t="s">
        <v>477</v>
      </c>
      <c r="F653">
        <v>4500269371</v>
      </c>
      <c r="G653" t="s">
        <v>4886</v>
      </c>
      <c r="H653" t="s">
        <v>3334</v>
      </c>
      <c r="I653" t="s">
        <v>4887</v>
      </c>
      <c r="J653" t="s">
        <v>477</v>
      </c>
      <c r="K653" s="2">
        <v>4200</v>
      </c>
      <c r="L653" s="2">
        <v>4200</v>
      </c>
      <c r="M653" t="str">
        <f>IFERROR(IF(VLOOKUP(LEFT(B653,2),'Humanitarian codes'!$A$2:$A$10,1,FALSE)=LEFT(B653,2),"Yes","Error"),"No")</f>
        <v>Yes</v>
      </c>
    </row>
    <row r="654" spans="1:13" x14ac:dyDescent="0.25">
      <c r="A654">
        <v>2022</v>
      </c>
      <c r="B654" t="s">
        <v>4888</v>
      </c>
      <c r="C654" t="s">
        <v>4889</v>
      </c>
      <c r="D654" t="s">
        <v>30</v>
      </c>
      <c r="E654" t="s">
        <v>150</v>
      </c>
      <c r="F654">
        <v>4500266142</v>
      </c>
      <c r="G654" t="s">
        <v>4890</v>
      </c>
      <c r="H654" t="s">
        <v>3334</v>
      </c>
      <c r="I654" t="s">
        <v>4891</v>
      </c>
      <c r="J654" t="s">
        <v>150</v>
      </c>
      <c r="K654" s="2">
        <v>150732</v>
      </c>
      <c r="L654" s="2">
        <v>269164</v>
      </c>
      <c r="M654" t="str">
        <f>IFERROR(IF(VLOOKUP(LEFT(B654,2),'Humanitarian codes'!$A$2:$A$10,1,FALSE)=LEFT(B654,2),"Yes","Error"),"No")</f>
        <v>Yes</v>
      </c>
    </row>
    <row r="655" spans="1:13" x14ac:dyDescent="0.25">
      <c r="A655">
        <v>2022</v>
      </c>
      <c r="B655" t="s">
        <v>4888</v>
      </c>
      <c r="C655" t="s">
        <v>4889</v>
      </c>
      <c r="D655" t="s">
        <v>30</v>
      </c>
      <c r="E655" t="s">
        <v>150</v>
      </c>
      <c r="F655">
        <v>4500266159</v>
      </c>
      <c r="G655" t="s">
        <v>4529</v>
      </c>
      <c r="H655" t="s">
        <v>3334</v>
      </c>
      <c r="I655" t="s">
        <v>4530</v>
      </c>
      <c r="J655" t="s">
        <v>150</v>
      </c>
      <c r="K655" s="2">
        <v>61078</v>
      </c>
      <c r="L655" s="2">
        <v>133305</v>
      </c>
      <c r="M655" t="str">
        <f>IFERROR(IF(VLOOKUP(LEFT(B655,2),'Humanitarian codes'!$A$2:$A$10,1,FALSE)=LEFT(B655,2),"Yes","Error"),"No")</f>
        <v>Yes</v>
      </c>
    </row>
    <row r="656" spans="1:13" x14ac:dyDescent="0.25">
      <c r="A656">
        <v>2022</v>
      </c>
      <c r="B656" t="s">
        <v>4888</v>
      </c>
      <c r="C656" t="s">
        <v>4889</v>
      </c>
      <c r="D656" t="s">
        <v>30</v>
      </c>
      <c r="E656" t="s">
        <v>150</v>
      </c>
      <c r="F656">
        <v>4500266187</v>
      </c>
      <c r="G656" t="s">
        <v>4531</v>
      </c>
      <c r="H656" t="s">
        <v>3334</v>
      </c>
      <c r="I656" t="s">
        <v>2046</v>
      </c>
      <c r="J656" t="s">
        <v>150</v>
      </c>
      <c r="K656" s="2">
        <v>24839</v>
      </c>
      <c r="L656" s="2">
        <v>144564</v>
      </c>
      <c r="M656" t="str">
        <f>IFERROR(IF(VLOOKUP(LEFT(B656,2),'Humanitarian codes'!$A$2:$A$10,1,FALSE)=LEFT(B656,2),"Yes","Error"),"No")</f>
        <v>Yes</v>
      </c>
    </row>
    <row r="657" spans="1:13" x14ac:dyDescent="0.25">
      <c r="A657">
        <v>2022</v>
      </c>
      <c r="B657" t="s">
        <v>4888</v>
      </c>
      <c r="C657" t="s">
        <v>4889</v>
      </c>
      <c r="D657" t="s">
        <v>30</v>
      </c>
      <c r="E657" t="s">
        <v>150</v>
      </c>
      <c r="F657">
        <v>4500266216</v>
      </c>
      <c r="G657" t="s">
        <v>4892</v>
      </c>
      <c r="H657" t="s">
        <v>3334</v>
      </c>
      <c r="I657" t="s">
        <v>4893</v>
      </c>
      <c r="J657" t="s">
        <v>150</v>
      </c>
      <c r="K657" s="2">
        <v>48775</v>
      </c>
      <c r="L657" s="2">
        <v>113429</v>
      </c>
      <c r="M657" t="str">
        <f>IFERROR(IF(VLOOKUP(LEFT(B657,2),'Humanitarian codes'!$A$2:$A$10,1,FALSE)=LEFT(B657,2),"Yes","Error"),"No")</f>
        <v>Yes</v>
      </c>
    </row>
    <row r="658" spans="1:13" x14ac:dyDescent="0.25">
      <c r="A658">
        <v>2022</v>
      </c>
      <c r="B658" t="s">
        <v>4888</v>
      </c>
      <c r="C658" t="s">
        <v>4889</v>
      </c>
      <c r="D658" t="s">
        <v>30</v>
      </c>
      <c r="E658" t="s">
        <v>150</v>
      </c>
      <c r="F658">
        <v>4500266225</v>
      </c>
      <c r="G658" t="s">
        <v>4894</v>
      </c>
      <c r="H658" t="s">
        <v>3334</v>
      </c>
      <c r="I658" t="s">
        <v>2526</v>
      </c>
      <c r="J658" t="s">
        <v>150</v>
      </c>
      <c r="K658" s="2">
        <v>58942</v>
      </c>
      <c r="L658" s="2">
        <v>98237</v>
      </c>
      <c r="M658" t="str">
        <f>IFERROR(IF(VLOOKUP(LEFT(B658,2),'Humanitarian codes'!$A$2:$A$10,1,FALSE)=LEFT(B658,2),"Yes","Error"),"No")</f>
        <v>Yes</v>
      </c>
    </row>
    <row r="659" spans="1:13" x14ac:dyDescent="0.25">
      <c r="A659">
        <v>2022</v>
      </c>
      <c r="B659" t="s">
        <v>4888</v>
      </c>
      <c r="C659" t="s">
        <v>4889</v>
      </c>
      <c r="D659" t="s">
        <v>30</v>
      </c>
      <c r="E659" t="s">
        <v>477</v>
      </c>
      <c r="F659">
        <v>4500206033</v>
      </c>
      <c r="G659" t="s">
        <v>4895</v>
      </c>
      <c r="H659" t="s">
        <v>3334</v>
      </c>
      <c r="I659" t="s">
        <v>744</v>
      </c>
      <c r="J659" t="s">
        <v>477</v>
      </c>
      <c r="K659" s="2">
        <v>16470</v>
      </c>
      <c r="L659" s="2">
        <v>16470</v>
      </c>
      <c r="M659" t="str">
        <f>IFERROR(IF(VLOOKUP(LEFT(B659,2),'Humanitarian codes'!$A$2:$A$10,1,FALSE)=LEFT(B659,2),"Yes","Error"),"No")</f>
        <v>Yes</v>
      </c>
    </row>
    <row r="660" spans="1:13" x14ac:dyDescent="0.25">
      <c r="A660">
        <v>2022</v>
      </c>
      <c r="B660" t="s">
        <v>4888</v>
      </c>
      <c r="C660" t="s">
        <v>4889</v>
      </c>
      <c r="D660" t="s">
        <v>30</v>
      </c>
      <c r="E660" t="s">
        <v>477</v>
      </c>
      <c r="F660">
        <v>4500206043</v>
      </c>
      <c r="G660" t="s">
        <v>4896</v>
      </c>
      <c r="H660" t="s">
        <v>3334</v>
      </c>
      <c r="I660" t="s">
        <v>506</v>
      </c>
      <c r="J660" t="s">
        <v>477</v>
      </c>
      <c r="K660" s="2">
        <v>15110</v>
      </c>
      <c r="L660" s="2">
        <v>15110</v>
      </c>
      <c r="M660" t="str">
        <f>IFERROR(IF(VLOOKUP(LEFT(B660,2),'Humanitarian codes'!$A$2:$A$10,1,FALSE)=LEFT(B660,2),"Yes","Error"),"No")</f>
        <v>Yes</v>
      </c>
    </row>
    <row r="661" spans="1:13" x14ac:dyDescent="0.25">
      <c r="A661">
        <v>2022</v>
      </c>
      <c r="B661" t="s">
        <v>4888</v>
      </c>
      <c r="C661" t="s">
        <v>4889</v>
      </c>
      <c r="D661" t="s">
        <v>30</v>
      </c>
      <c r="E661" t="s">
        <v>477</v>
      </c>
      <c r="F661">
        <v>4500206047</v>
      </c>
      <c r="G661" t="s">
        <v>4897</v>
      </c>
      <c r="H661" t="s">
        <v>3334</v>
      </c>
      <c r="I661" t="s">
        <v>745</v>
      </c>
      <c r="J661" t="s">
        <v>477</v>
      </c>
      <c r="K661" s="2">
        <v>16705</v>
      </c>
      <c r="L661" s="2">
        <v>16705</v>
      </c>
      <c r="M661" t="str">
        <f>IFERROR(IF(VLOOKUP(LEFT(B661,2),'Humanitarian codes'!$A$2:$A$10,1,FALSE)=LEFT(B661,2),"Yes","Error"),"No")</f>
        <v>Yes</v>
      </c>
    </row>
    <row r="662" spans="1:13" x14ac:dyDescent="0.25">
      <c r="A662">
        <v>2022</v>
      </c>
      <c r="B662" t="s">
        <v>4888</v>
      </c>
      <c r="C662" t="s">
        <v>4889</v>
      </c>
      <c r="D662" t="s">
        <v>30</v>
      </c>
      <c r="E662" t="s">
        <v>477</v>
      </c>
      <c r="F662">
        <v>4500206049</v>
      </c>
      <c r="G662" t="s">
        <v>4898</v>
      </c>
      <c r="H662" t="s">
        <v>3334</v>
      </c>
      <c r="I662" t="s">
        <v>4899</v>
      </c>
      <c r="J662" t="s">
        <v>477</v>
      </c>
      <c r="K662" s="2">
        <v>19318</v>
      </c>
      <c r="L662" s="2">
        <v>19318</v>
      </c>
      <c r="M662" t="str">
        <f>IFERROR(IF(VLOOKUP(LEFT(B662,2),'Humanitarian codes'!$A$2:$A$10,1,FALSE)=LEFT(B662,2),"Yes","Error"),"No")</f>
        <v>Yes</v>
      </c>
    </row>
    <row r="663" spans="1:13" x14ac:dyDescent="0.25">
      <c r="A663">
        <v>2022</v>
      </c>
      <c r="B663" t="s">
        <v>3440</v>
      </c>
      <c r="C663" t="s">
        <v>3441</v>
      </c>
      <c r="D663" t="s">
        <v>30</v>
      </c>
      <c r="E663" t="s">
        <v>1346</v>
      </c>
      <c r="F663">
        <v>4500192882</v>
      </c>
      <c r="G663" t="s">
        <v>4900</v>
      </c>
      <c r="H663" t="s">
        <v>3334</v>
      </c>
      <c r="I663" t="s">
        <v>2041</v>
      </c>
      <c r="J663" t="s">
        <v>1346</v>
      </c>
      <c r="K663" s="2">
        <v>176000</v>
      </c>
      <c r="L663" s="2">
        <v>222200</v>
      </c>
      <c r="M663" t="str">
        <f>IFERROR(IF(VLOOKUP(LEFT(B663,2),'Humanitarian codes'!$A$2:$A$10,1,FALSE)=LEFT(B663,2),"Yes","Error"),"No")</f>
        <v>Yes</v>
      </c>
    </row>
    <row r="664" spans="1:13" x14ac:dyDescent="0.25">
      <c r="A664">
        <v>2022</v>
      </c>
      <c r="B664" t="s">
        <v>3440</v>
      </c>
      <c r="C664" t="s">
        <v>3441</v>
      </c>
      <c r="D664" t="s">
        <v>30</v>
      </c>
      <c r="E664" t="s">
        <v>1346</v>
      </c>
      <c r="F664">
        <v>4500261015</v>
      </c>
      <c r="G664" t="s">
        <v>4901</v>
      </c>
      <c r="H664" t="s">
        <v>3334</v>
      </c>
      <c r="I664" t="s">
        <v>4902</v>
      </c>
      <c r="J664" t="s">
        <v>1346</v>
      </c>
      <c r="K664" s="2">
        <v>495694</v>
      </c>
      <c r="L664" s="2">
        <v>495694</v>
      </c>
      <c r="M664" t="str">
        <f>IFERROR(IF(VLOOKUP(LEFT(B664,2),'Humanitarian codes'!$A$2:$A$10,1,FALSE)=LEFT(B664,2),"Yes","Error"),"No")</f>
        <v>Yes</v>
      </c>
    </row>
    <row r="665" spans="1:13" x14ac:dyDescent="0.25">
      <c r="A665">
        <v>2022</v>
      </c>
      <c r="B665" t="s">
        <v>3440</v>
      </c>
      <c r="C665" t="s">
        <v>3441</v>
      </c>
      <c r="D665" t="s">
        <v>30</v>
      </c>
      <c r="E665" t="s">
        <v>1346</v>
      </c>
      <c r="F665">
        <v>4500268864</v>
      </c>
      <c r="G665" t="s">
        <v>4903</v>
      </c>
      <c r="H665" t="s">
        <v>3334</v>
      </c>
      <c r="I665" t="s">
        <v>2041</v>
      </c>
      <c r="J665" t="s">
        <v>1346</v>
      </c>
      <c r="K665" s="2">
        <v>132164</v>
      </c>
      <c r="L665" s="2">
        <v>132164</v>
      </c>
      <c r="M665" t="str">
        <f>IFERROR(IF(VLOOKUP(LEFT(B665,2),'Humanitarian codes'!$A$2:$A$10,1,FALSE)=LEFT(B665,2),"Yes","Error"),"No")</f>
        <v>Yes</v>
      </c>
    </row>
    <row r="666" spans="1:13" x14ac:dyDescent="0.25">
      <c r="A666">
        <v>2022</v>
      </c>
      <c r="B666" t="s">
        <v>4904</v>
      </c>
      <c r="C666" t="s">
        <v>4905</v>
      </c>
      <c r="D666" t="s">
        <v>30</v>
      </c>
      <c r="E666" t="s">
        <v>356</v>
      </c>
      <c r="F666">
        <v>4500206937</v>
      </c>
      <c r="G666" t="s">
        <v>4906</v>
      </c>
      <c r="H666" t="s">
        <v>3334</v>
      </c>
      <c r="I666" t="s">
        <v>1315</v>
      </c>
      <c r="J666" t="s">
        <v>356</v>
      </c>
      <c r="K666" s="2">
        <v>188604</v>
      </c>
      <c r="L666" s="2">
        <v>188604</v>
      </c>
      <c r="M666" t="str">
        <f>IFERROR(IF(VLOOKUP(LEFT(B666,2),'Humanitarian codes'!$A$2:$A$10,1,FALSE)=LEFT(B666,2),"Yes","Error"),"No")</f>
        <v>Yes</v>
      </c>
    </row>
    <row r="667" spans="1:13" x14ac:dyDescent="0.25">
      <c r="A667">
        <v>2022</v>
      </c>
      <c r="B667" t="s">
        <v>4904</v>
      </c>
      <c r="C667" t="s">
        <v>4905</v>
      </c>
      <c r="D667" t="s">
        <v>30</v>
      </c>
      <c r="E667" t="s">
        <v>356</v>
      </c>
      <c r="F667">
        <v>4500207259</v>
      </c>
      <c r="G667" t="s">
        <v>4907</v>
      </c>
      <c r="H667" t="s">
        <v>3334</v>
      </c>
      <c r="I667" t="s">
        <v>3541</v>
      </c>
      <c r="J667" t="s">
        <v>356</v>
      </c>
      <c r="K667" s="2">
        <v>101518</v>
      </c>
      <c r="L667" s="2">
        <v>101518</v>
      </c>
      <c r="M667" t="str">
        <f>IFERROR(IF(VLOOKUP(LEFT(B667,2),'Humanitarian codes'!$A$2:$A$10,1,FALSE)=LEFT(B667,2),"Yes","Error"),"No")</f>
        <v>Yes</v>
      </c>
    </row>
    <row r="668" spans="1:13" x14ac:dyDescent="0.25">
      <c r="A668">
        <v>2022</v>
      </c>
      <c r="B668" t="s">
        <v>4904</v>
      </c>
      <c r="C668" t="s">
        <v>4905</v>
      </c>
      <c r="D668" t="s">
        <v>30</v>
      </c>
      <c r="E668" t="s">
        <v>356</v>
      </c>
      <c r="F668">
        <v>4500207284</v>
      </c>
      <c r="G668" t="s">
        <v>4908</v>
      </c>
      <c r="H668" t="s">
        <v>3334</v>
      </c>
      <c r="I668" t="s">
        <v>1310</v>
      </c>
      <c r="J668" t="s">
        <v>356</v>
      </c>
      <c r="K668" s="2">
        <v>99798</v>
      </c>
      <c r="L668" s="2">
        <v>99798</v>
      </c>
      <c r="M668" t="str">
        <f>IFERROR(IF(VLOOKUP(LEFT(B668,2),'Humanitarian codes'!$A$2:$A$10,1,FALSE)=LEFT(B668,2),"Yes","Error"),"No")</f>
        <v>Yes</v>
      </c>
    </row>
    <row r="669" spans="1:13" x14ac:dyDescent="0.25">
      <c r="A669">
        <v>2022</v>
      </c>
      <c r="B669" t="s">
        <v>4904</v>
      </c>
      <c r="C669" t="s">
        <v>4905</v>
      </c>
      <c r="D669" t="s">
        <v>30</v>
      </c>
      <c r="E669" t="s">
        <v>356</v>
      </c>
      <c r="F669">
        <v>4500207294</v>
      </c>
      <c r="G669" t="s">
        <v>4909</v>
      </c>
      <c r="H669" t="s">
        <v>3334</v>
      </c>
      <c r="I669" t="s">
        <v>357</v>
      </c>
      <c r="J669" t="s">
        <v>356</v>
      </c>
      <c r="K669" s="2">
        <v>118443</v>
      </c>
      <c r="L669" s="2">
        <v>118443</v>
      </c>
      <c r="M669" t="str">
        <f>IFERROR(IF(VLOOKUP(LEFT(B669,2),'Humanitarian codes'!$A$2:$A$10,1,FALSE)=LEFT(B669,2),"Yes","Error"),"No")</f>
        <v>Yes</v>
      </c>
    </row>
    <row r="670" spans="1:13" x14ac:dyDescent="0.25">
      <c r="A670">
        <v>2022</v>
      </c>
      <c r="B670" t="s">
        <v>4904</v>
      </c>
      <c r="C670" t="s">
        <v>4905</v>
      </c>
      <c r="D670" t="s">
        <v>30</v>
      </c>
      <c r="E670" t="s">
        <v>356</v>
      </c>
      <c r="F670">
        <v>4500207361</v>
      </c>
      <c r="G670" t="s">
        <v>4910</v>
      </c>
      <c r="H670" t="s">
        <v>3334</v>
      </c>
      <c r="I670" t="s">
        <v>827</v>
      </c>
      <c r="J670" t="s">
        <v>356</v>
      </c>
      <c r="K670" s="2">
        <v>86251</v>
      </c>
      <c r="L670" s="2">
        <v>86251</v>
      </c>
      <c r="M670" t="str">
        <f>IFERROR(IF(VLOOKUP(LEFT(B670,2),'Humanitarian codes'!$A$2:$A$10,1,FALSE)=LEFT(B670,2),"Yes","Error"),"No")</f>
        <v>Yes</v>
      </c>
    </row>
    <row r="671" spans="1:13" x14ac:dyDescent="0.25">
      <c r="A671">
        <v>2022</v>
      </c>
      <c r="B671" t="s">
        <v>4904</v>
      </c>
      <c r="C671" t="s">
        <v>4905</v>
      </c>
      <c r="D671" t="s">
        <v>30</v>
      </c>
      <c r="E671" t="s">
        <v>356</v>
      </c>
      <c r="F671">
        <v>4500207387</v>
      </c>
      <c r="G671" t="s">
        <v>4911</v>
      </c>
      <c r="H671" t="s">
        <v>3334</v>
      </c>
      <c r="I671" t="s">
        <v>1307</v>
      </c>
      <c r="J671" t="s">
        <v>356</v>
      </c>
      <c r="K671" s="2">
        <v>161430</v>
      </c>
      <c r="L671" s="2">
        <v>161430</v>
      </c>
      <c r="M671" t="str">
        <f>IFERROR(IF(VLOOKUP(LEFT(B671,2),'Humanitarian codes'!$A$2:$A$10,1,FALSE)=LEFT(B671,2),"Yes","Error"),"No")</f>
        <v>Yes</v>
      </c>
    </row>
    <row r="672" spans="1:13" x14ac:dyDescent="0.25">
      <c r="A672">
        <v>2022</v>
      </c>
      <c r="B672" t="s">
        <v>4904</v>
      </c>
      <c r="C672" t="s">
        <v>4905</v>
      </c>
      <c r="D672" t="s">
        <v>30</v>
      </c>
      <c r="E672" t="s">
        <v>356</v>
      </c>
      <c r="F672">
        <v>4500211196</v>
      </c>
      <c r="G672" t="s">
        <v>4912</v>
      </c>
      <c r="H672" t="s">
        <v>3334</v>
      </c>
      <c r="I672" t="s">
        <v>1314</v>
      </c>
      <c r="J672" t="s">
        <v>356</v>
      </c>
      <c r="K672" s="2">
        <v>171861</v>
      </c>
      <c r="L672" s="2">
        <v>171861</v>
      </c>
      <c r="M672" t="str">
        <f>IFERROR(IF(VLOOKUP(LEFT(B672,2),'Humanitarian codes'!$A$2:$A$10,1,FALSE)=LEFT(B672,2),"Yes","Error"),"No")</f>
        <v>Yes</v>
      </c>
    </row>
    <row r="673" spans="1:13" x14ac:dyDescent="0.25">
      <c r="A673">
        <v>2022</v>
      </c>
      <c r="B673" t="s">
        <v>4904</v>
      </c>
      <c r="C673" t="s">
        <v>4905</v>
      </c>
      <c r="D673" t="s">
        <v>30</v>
      </c>
      <c r="E673" t="s">
        <v>356</v>
      </c>
      <c r="F673">
        <v>4500213024</v>
      </c>
      <c r="G673" t="s">
        <v>4913</v>
      </c>
      <c r="H673" t="s">
        <v>3334</v>
      </c>
      <c r="I673" t="s">
        <v>1739</v>
      </c>
      <c r="J673" t="s">
        <v>356</v>
      </c>
      <c r="K673" s="2">
        <v>182615</v>
      </c>
      <c r="L673" s="2">
        <v>182615</v>
      </c>
      <c r="M673" t="str">
        <f>IFERROR(IF(VLOOKUP(LEFT(B673,2),'Humanitarian codes'!$A$2:$A$10,1,FALSE)=LEFT(B673,2),"Yes","Error"),"No")</f>
        <v>Yes</v>
      </c>
    </row>
    <row r="674" spans="1:13" x14ac:dyDescent="0.25">
      <c r="A674">
        <v>2022</v>
      </c>
      <c r="B674" t="s">
        <v>4904</v>
      </c>
      <c r="C674" t="s">
        <v>4905</v>
      </c>
      <c r="D674" t="s">
        <v>30</v>
      </c>
      <c r="E674" t="s">
        <v>356</v>
      </c>
      <c r="F674">
        <v>4500219433</v>
      </c>
      <c r="G674" t="s">
        <v>4914</v>
      </c>
      <c r="H674" t="s">
        <v>3334</v>
      </c>
      <c r="I674" t="s">
        <v>1306</v>
      </c>
      <c r="J674" t="s">
        <v>356</v>
      </c>
      <c r="K674" s="2">
        <v>66991</v>
      </c>
      <c r="L674" s="2">
        <v>66991</v>
      </c>
      <c r="M674" t="str">
        <f>IFERROR(IF(VLOOKUP(LEFT(B674,2),'Humanitarian codes'!$A$2:$A$10,1,FALSE)=LEFT(B674,2),"Yes","Error"),"No")</f>
        <v>Yes</v>
      </c>
    </row>
    <row r="675" spans="1:13" x14ac:dyDescent="0.25">
      <c r="A675">
        <v>2022</v>
      </c>
      <c r="B675" t="s">
        <v>4904</v>
      </c>
      <c r="C675" t="s">
        <v>4905</v>
      </c>
      <c r="D675" t="s">
        <v>30</v>
      </c>
      <c r="E675" t="s">
        <v>356</v>
      </c>
      <c r="F675">
        <v>4500219921</v>
      </c>
      <c r="G675" t="s">
        <v>4915</v>
      </c>
      <c r="H675" t="s">
        <v>3334</v>
      </c>
      <c r="I675" t="s">
        <v>1742</v>
      </c>
      <c r="J675" t="s">
        <v>356</v>
      </c>
      <c r="K675" s="2">
        <v>176766</v>
      </c>
      <c r="L675" s="2">
        <v>176766</v>
      </c>
      <c r="M675" t="str">
        <f>IFERROR(IF(VLOOKUP(LEFT(B675,2),'Humanitarian codes'!$A$2:$A$10,1,FALSE)=LEFT(B675,2),"Yes","Error"),"No")</f>
        <v>Yes</v>
      </c>
    </row>
    <row r="676" spans="1:13" x14ac:dyDescent="0.25">
      <c r="A676">
        <v>2022</v>
      </c>
      <c r="B676" t="s">
        <v>4904</v>
      </c>
      <c r="C676" t="s">
        <v>4905</v>
      </c>
      <c r="D676" t="s">
        <v>30</v>
      </c>
      <c r="E676" t="s">
        <v>356</v>
      </c>
      <c r="F676">
        <v>4500221433</v>
      </c>
      <c r="G676" t="s">
        <v>4916</v>
      </c>
      <c r="H676" t="s">
        <v>3334</v>
      </c>
      <c r="I676" t="s">
        <v>1776</v>
      </c>
      <c r="J676" t="s">
        <v>356</v>
      </c>
      <c r="K676" s="2">
        <v>70892</v>
      </c>
      <c r="L676" s="2">
        <v>70892</v>
      </c>
      <c r="M676" t="str">
        <f>IFERROR(IF(VLOOKUP(LEFT(B676,2),'Humanitarian codes'!$A$2:$A$10,1,FALSE)=LEFT(B676,2),"Yes","Error"),"No")</f>
        <v>Yes</v>
      </c>
    </row>
    <row r="677" spans="1:13" x14ac:dyDescent="0.25">
      <c r="A677">
        <v>2022</v>
      </c>
      <c r="B677" t="s">
        <v>4904</v>
      </c>
      <c r="C677" t="s">
        <v>4905</v>
      </c>
      <c r="D677" t="s">
        <v>30</v>
      </c>
      <c r="E677" t="s">
        <v>356</v>
      </c>
      <c r="F677">
        <v>4500223874</v>
      </c>
      <c r="G677" t="s">
        <v>4917</v>
      </c>
      <c r="H677" t="s">
        <v>3334</v>
      </c>
      <c r="I677" t="s">
        <v>1367</v>
      </c>
      <c r="J677" t="s">
        <v>356</v>
      </c>
      <c r="K677" s="2">
        <v>91874</v>
      </c>
      <c r="L677" s="2">
        <v>91874</v>
      </c>
      <c r="M677" t="str">
        <f>IFERROR(IF(VLOOKUP(LEFT(B677,2),'Humanitarian codes'!$A$2:$A$10,1,FALSE)=LEFT(B677,2),"Yes","Error"),"No")</f>
        <v>Yes</v>
      </c>
    </row>
    <row r="678" spans="1:13" x14ac:dyDescent="0.25">
      <c r="A678">
        <v>2022</v>
      </c>
      <c r="B678" t="s">
        <v>4904</v>
      </c>
      <c r="C678" t="s">
        <v>4905</v>
      </c>
      <c r="D678" t="s">
        <v>30</v>
      </c>
      <c r="E678" t="s">
        <v>356</v>
      </c>
      <c r="F678">
        <v>4500226254</v>
      </c>
      <c r="G678" t="s">
        <v>4918</v>
      </c>
      <c r="H678" t="s">
        <v>3334</v>
      </c>
      <c r="I678" t="s">
        <v>2022</v>
      </c>
      <c r="J678" t="s">
        <v>356</v>
      </c>
      <c r="K678" s="2">
        <v>148429</v>
      </c>
      <c r="L678" s="2">
        <v>148429</v>
      </c>
      <c r="M678" t="str">
        <f>IFERROR(IF(VLOOKUP(LEFT(B678,2),'Humanitarian codes'!$A$2:$A$10,1,FALSE)=LEFT(B678,2),"Yes","Error"),"No")</f>
        <v>Yes</v>
      </c>
    </row>
    <row r="679" spans="1:13" x14ac:dyDescent="0.25">
      <c r="A679">
        <v>2022</v>
      </c>
      <c r="B679" t="s">
        <v>4904</v>
      </c>
      <c r="C679" t="s">
        <v>4905</v>
      </c>
      <c r="D679" t="s">
        <v>30</v>
      </c>
      <c r="E679" t="s">
        <v>356</v>
      </c>
      <c r="F679">
        <v>4500230937</v>
      </c>
      <c r="G679" t="s">
        <v>4919</v>
      </c>
      <c r="H679" t="s">
        <v>3334</v>
      </c>
      <c r="I679" t="s">
        <v>4920</v>
      </c>
      <c r="J679" t="s">
        <v>356</v>
      </c>
      <c r="K679" s="2">
        <v>83361</v>
      </c>
      <c r="L679" s="2">
        <v>83361</v>
      </c>
      <c r="M679" t="str">
        <f>IFERROR(IF(VLOOKUP(LEFT(B679,2),'Humanitarian codes'!$A$2:$A$10,1,FALSE)=LEFT(B679,2),"Yes","Error"),"No")</f>
        <v>Yes</v>
      </c>
    </row>
    <row r="680" spans="1:13" x14ac:dyDescent="0.25">
      <c r="A680">
        <v>2022</v>
      </c>
      <c r="B680" t="s">
        <v>4904</v>
      </c>
      <c r="C680" t="s">
        <v>4905</v>
      </c>
      <c r="D680" t="s">
        <v>30</v>
      </c>
      <c r="E680" t="s">
        <v>356</v>
      </c>
      <c r="F680">
        <v>4500232346</v>
      </c>
      <c r="G680" t="s">
        <v>4921</v>
      </c>
      <c r="H680" t="s">
        <v>3334</v>
      </c>
      <c r="I680" t="s">
        <v>2020</v>
      </c>
      <c r="J680" t="s">
        <v>356</v>
      </c>
      <c r="K680" s="2">
        <v>75047</v>
      </c>
      <c r="L680" s="2">
        <v>75047</v>
      </c>
      <c r="M680" t="str">
        <f>IFERROR(IF(VLOOKUP(LEFT(B680,2),'Humanitarian codes'!$A$2:$A$10,1,FALSE)=LEFT(B680,2),"Yes","Error"),"No")</f>
        <v>Yes</v>
      </c>
    </row>
    <row r="681" spans="1:13" x14ac:dyDescent="0.25">
      <c r="A681">
        <v>2022</v>
      </c>
      <c r="B681" t="s">
        <v>4904</v>
      </c>
      <c r="C681" t="s">
        <v>4905</v>
      </c>
      <c r="D681" t="s">
        <v>30</v>
      </c>
      <c r="E681" t="s">
        <v>356</v>
      </c>
      <c r="F681">
        <v>4500240137</v>
      </c>
      <c r="G681" t="s">
        <v>4922</v>
      </c>
      <c r="H681" t="s">
        <v>3334</v>
      </c>
      <c r="I681" t="s">
        <v>4923</v>
      </c>
      <c r="J681" t="s">
        <v>356</v>
      </c>
      <c r="K681" s="2">
        <v>119350</v>
      </c>
      <c r="L681" s="2">
        <v>119350</v>
      </c>
      <c r="M681" t="str">
        <f>IFERROR(IF(VLOOKUP(LEFT(B681,2),'Humanitarian codes'!$A$2:$A$10,1,FALSE)=LEFT(B681,2),"Yes","Error"),"No")</f>
        <v>Yes</v>
      </c>
    </row>
    <row r="682" spans="1:13" x14ac:dyDescent="0.25">
      <c r="A682">
        <v>2022</v>
      </c>
      <c r="B682" t="s">
        <v>4904</v>
      </c>
      <c r="C682" t="s">
        <v>4905</v>
      </c>
      <c r="D682" t="s">
        <v>30</v>
      </c>
      <c r="E682" t="s">
        <v>356</v>
      </c>
      <c r="F682">
        <v>4500240629</v>
      </c>
      <c r="G682" t="s">
        <v>4924</v>
      </c>
      <c r="H682" t="s">
        <v>3334</v>
      </c>
      <c r="I682" t="s">
        <v>4925</v>
      </c>
      <c r="J682" t="s">
        <v>356</v>
      </c>
      <c r="K682" s="2">
        <v>132161</v>
      </c>
      <c r="L682" s="2">
        <v>132161</v>
      </c>
      <c r="M682" t="str">
        <f>IFERROR(IF(VLOOKUP(LEFT(B682,2),'Humanitarian codes'!$A$2:$A$10,1,FALSE)=LEFT(B682,2),"Yes","Error"),"No")</f>
        <v>Yes</v>
      </c>
    </row>
    <row r="683" spans="1:13" x14ac:dyDescent="0.25">
      <c r="A683">
        <v>2022</v>
      </c>
      <c r="B683" t="s">
        <v>4904</v>
      </c>
      <c r="C683" t="s">
        <v>4905</v>
      </c>
      <c r="D683" t="s">
        <v>30</v>
      </c>
      <c r="E683" t="s">
        <v>356</v>
      </c>
      <c r="F683">
        <v>4500244161</v>
      </c>
      <c r="G683" t="s">
        <v>4926</v>
      </c>
      <c r="H683" t="s">
        <v>3334</v>
      </c>
      <c r="I683" t="s">
        <v>2915</v>
      </c>
      <c r="J683" t="s">
        <v>356</v>
      </c>
      <c r="K683" s="2">
        <v>106296</v>
      </c>
      <c r="L683" s="2">
        <v>106296</v>
      </c>
      <c r="M683" t="str">
        <f>IFERROR(IF(VLOOKUP(LEFT(B683,2),'Humanitarian codes'!$A$2:$A$10,1,FALSE)=LEFT(B683,2),"Yes","Error"),"No")</f>
        <v>Yes</v>
      </c>
    </row>
    <row r="684" spans="1:13" x14ac:dyDescent="0.25">
      <c r="A684">
        <v>2022</v>
      </c>
      <c r="B684" t="s">
        <v>4904</v>
      </c>
      <c r="C684" t="s">
        <v>4905</v>
      </c>
      <c r="D684" t="s">
        <v>30</v>
      </c>
      <c r="E684" t="s">
        <v>356</v>
      </c>
      <c r="F684">
        <v>4500248444</v>
      </c>
      <c r="G684" t="s">
        <v>4927</v>
      </c>
      <c r="H684" t="s">
        <v>3334</v>
      </c>
      <c r="I684" t="s">
        <v>1307</v>
      </c>
      <c r="J684" t="s">
        <v>356</v>
      </c>
      <c r="K684" s="2">
        <v>124523</v>
      </c>
      <c r="L684" s="2">
        <v>124523</v>
      </c>
      <c r="M684" t="str">
        <f>IFERROR(IF(VLOOKUP(LEFT(B684,2),'Humanitarian codes'!$A$2:$A$10,1,FALSE)=LEFT(B684,2),"Yes","Error"),"No")</f>
        <v>Yes</v>
      </c>
    </row>
    <row r="685" spans="1:13" x14ac:dyDescent="0.25">
      <c r="A685">
        <v>2022</v>
      </c>
      <c r="B685" t="s">
        <v>4904</v>
      </c>
      <c r="C685" t="s">
        <v>4905</v>
      </c>
      <c r="D685" t="s">
        <v>30</v>
      </c>
      <c r="E685" t="s">
        <v>356</v>
      </c>
      <c r="F685">
        <v>4500254530</v>
      </c>
      <c r="G685" t="s">
        <v>4928</v>
      </c>
      <c r="H685" t="s">
        <v>3334</v>
      </c>
      <c r="I685" t="s">
        <v>2015</v>
      </c>
      <c r="J685" t="s">
        <v>356</v>
      </c>
      <c r="K685" s="2">
        <v>46622</v>
      </c>
      <c r="L685" s="2">
        <v>93243</v>
      </c>
      <c r="M685" t="str">
        <f>IFERROR(IF(VLOOKUP(LEFT(B685,2),'Humanitarian codes'!$A$2:$A$10,1,FALSE)=LEFT(B685,2),"Yes","Error"),"No")</f>
        <v>Yes</v>
      </c>
    </row>
    <row r="686" spans="1:13" x14ac:dyDescent="0.25">
      <c r="A686">
        <v>2022</v>
      </c>
      <c r="B686" t="s">
        <v>4904</v>
      </c>
      <c r="C686" t="s">
        <v>4905</v>
      </c>
      <c r="D686" t="s">
        <v>30</v>
      </c>
      <c r="E686" t="s">
        <v>356</v>
      </c>
      <c r="F686">
        <v>4500255520</v>
      </c>
      <c r="G686" t="s">
        <v>4929</v>
      </c>
      <c r="H686" t="s">
        <v>3334</v>
      </c>
      <c r="I686" t="s">
        <v>1306</v>
      </c>
      <c r="J686" t="s">
        <v>356</v>
      </c>
      <c r="K686" s="2">
        <v>96851</v>
      </c>
      <c r="L686" s="2">
        <v>96851</v>
      </c>
      <c r="M686" t="str">
        <f>IFERROR(IF(VLOOKUP(LEFT(B686,2),'Humanitarian codes'!$A$2:$A$10,1,FALSE)=LEFT(B686,2),"Yes","Error"),"No")</f>
        <v>Yes</v>
      </c>
    </row>
    <row r="687" spans="1:13" x14ac:dyDescent="0.25">
      <c r="A687">
        <v>2022</v>
      </c>
      <c r="B687" t="s">
        <v>4930</v>
      </c>
      <c r="C687" t="s">
        <v>4931</v>
      </c>
      <c r="D687" t="s">
        <v>30</v>
      </c>
      <c r="E687" t="s">
        <v>814</v>
      </c>
      <c r="F687">
        <v>4500264507</v>
      </c>
      <c r="G687" t="s">
        <v>4932</v>
      </c>
      <c r="H687" t="s">
        <v>3334</v>
      </c>
      <c r="I687" t="s">
        <v>114</v>
      </c>
      <c r="J687" t="s">
        <v>3842</v>
      </c>
      <c r="K687" s="2">
        <v>23498</v>
      </c>
      <c r="L687" s="2">
        <v>23498</v>
      </c>
      <c r="M687" t="str">
        <f>IFERROR(IF(VLOOKUP(LEFT(B687,2),'Humanitarian codes'!$A$2:$A$10,1,FALSE)=LEFT(B687,2),"Yes","Error"),"No")</f>
        <v>Yes</v>
      </c>
    </row>
    <row r="688" spans="1:13" x14ac:dyDescent="0.25">
      <c r="A688">
        <v>2022</v>
      </c>
      <c r="B688" t="s">
        <v>3443</v>
      </c>
      <c r="C688" t="s">
        <v>3444</v>
      </c>
      <c r="D688" t="s">
        <v>30</v>
      </c>
      <c r="E688" t="s">
        <v>257</v>
      </c>
      <c r="F688">
        <v>4500214021</v>
      </c>
      <c r="G688" t="s">
        <v>3938</v>
      </c>
      <c r="H688" t="s">
        <v>3334</v>
      </c>
      <c r="I688" t="s">
        <v>421</v>
      </c>
      <c r="J688" t="s">
        <v>257</v>
      </c>
      <c r="K688" s="2">
        <v>67294</v>
      </c>
      <c r="L688" s="2">
        <v>67294</v>
      </c>
      <c r="M688" t="str">
        <f>IFERROR(IF(VLOOKUP(LEFT(B688,2),'Humanitarian codes'!$A$2:$A$10,1,FALSE)=LEFT(B688,2),"Yes","Error"),"No")</f>
        <v>Yes</v>
      </c>
    </row>
    <row r="689" spans="1:13" x14ac:dyDescent="0.25">
      <c r="A689">
        <v>2022</v>
      </c>
      <c r="B689" t="s">
        <v>3443</v>
      </c>
      <c r="C689" t="s">
        <v>3444</v>
      </c>
      <c r="D689" t="s">
        <v>30</v>
      </c>
      <c r="E689" t="s">
        <v>257</v>
      </c>
      <c r="F689">
        <v>4500214022</v>
      </c>
      <c r="G689" t="s">
        <v>3938</v>
      </c>
      <c r="H689" t="s">
        <v>3334</v>
      </c>
      <c r="I689" t="s">
        <v>422</v>
      </c>
      <c r="J689" t="s">
        <v>257</v>
      </c>
      <c r="K689" s="2">
        <v>53227</v>
      </c>
      <c r="L689" s="2">
        <v>53227</v>
      </c>
      <c r="M689" t="str">
        <f>IFERROR(IF(VLOOKUP(LEFT(B689,2),'Humanitarian codes'!$A$2:$A$10,1,FALSE)=LEFT(B689,2),"Yes","Error"),"No")</f>
        <v>Yes</v>
      </c>
    </row>
    <row r="690" spans="1:13" x14ac:dyDescent="0.25">
      <c r="A690">
        <v>2022</v>
      </c>
      <c r="B690" t="s">
        <v>3443</v>
      </c>
      <c r="C690" t="s">
        <v>3444</v>
      </c>
      <c r="D690" t="s">
        <v>30</v>
      </c>
      <c r="E690" t="s">
        <v>257</v>
      </c>
      <c r="F690">
        <v>4500222135</v>
      </c>
      <c r="G690" t="s">
        <v>4933</v>
      </c>
      <c r="H690" t="s">
        <v>3334</v>
      </c>
      <c r="I690" t="s">
        <v>2864</v>
      </c>
      <c r="J690" t="s">
        <v>257</v>
      </c>
      <c r="K690" s="2">
        <v>33000</v>
      </c>
      <c r="L690" s="2">
        <v>33000</v>
      </c>
      <c r="M690" t="str">
        <f>IFERROR(IF(VLOOKUP(LEFT(B690,2),'Humanitarian codes'!$A$2:$A$10,1,FALSE)=LEFT(B690,2),"Yes","Error"),"No")</f>
        <v>Yes</v>
      </c>
    </row>
    <row r="691" spans="1:13" x14ac:dyDescent="0.25">
      <c r="A691">
        <v>2022</v>
      </c>
      <c r="B691" t="s">
        <v>3443</v>
      </c>
      <c r="C691" t="s">
        <v>3444</v>
      </c>
      <c r="D691" t="s">
        <v>30</v>
      </c>
      <c r="E691" t="s">
        <v>257</v>
      </c>
      <c r="F691">
        <v>4500234848</v>
      </c>
      <c r="G691" t="s">
        <v>3938</v>
      </c>
      <c r="H691" t="s">
        <v>3334</v>
      </c>
      <c r="I691" t="s">
        <v>3625</v>
      </c>
      <c r="J691" t="s">
        <v>257</v>
      </c>
      <c r="K691" s="2">
        <v>20974</v>
      </c>
      <c r="L691" s="2">
        <v>137630</v>
      </c>
      <c r="M691" t="str">
        <f>IFERROR(IF(VLOOKUP(LEFT(B691,2),'Humanitarian codes'!$A$2:$A$10,1,FALSE)=LEFT(B691,2),"Yes","Error"),"No")</f>
        <v>Yes</v>
      </c>
    </row>
    <row r="692" spans="1:13" x14ac:dyDescent="0.25">
      <c r="A692">
        <v>2022</v>
      </c>
      <c r="B692" t="s">
        <v>3443</v>
      </c>
      <c r="C692" t="s">
        <v>3444</v>
      </c>
      <c r="D692" t="s">
        <v>30</v>
      </c>
      <c r="E692" t="s">
        <v>257</v>
      </c>
      <c r="F692">
        <v>4500254360</v>
      </c>
      <c r="G692" t="s">
        <v>4934</v>
      </c>
      <c r="H692" t="s">
        <v>3334</v>
      </c>
      <c r="I692" t="s">
        <v>1414</v>
      </c>
      <c r="J692" t="s">
        <v>257</v>
      </c>
      <c r="K692" s="2">
        <v>7944</v>
      </c>
      <c r="L692" s="2">
        <v>7944</v>
      </c>
      <c r="M692" t="str">
        <f>IFERROR(IF(VLOOKUP(LEFT(B692,2),'Humanitarian codes'!$A$2:$A$10,1,FALSE)=LEFT(B692,2),"Yes","Error"),"No")</f>
        <v>Yes</v>
      </c>
    </row>
    <row r="693" spans="1:13" x14ac:dyDescent="0.25">
      <c r="A693">
        <v>2022</v>
      </c>
      <c r="B693" t="s">
        <v>3443</v>
      </c>
      <c r="C693" t="s">
        <v>3444</v>
      </c>
      <c r="D693" t="s">
        <v>30</v>
      </c>
      <c r="E693" t="s">
        <v>257</v>
      </c>
      <c r="F693">
        <v>4500258650</v>
      </c>
      <c r="G693" t="s">
        <v>4560</v>
      </c>
      <c r="H693" t="s">
        <v>3334</v>
      </c>
      <c r="I693" t="s">
        <v>421</v>
      </c>
      <c r="J693" t="s">
        <v>257</v>
      </c>
      <c r="K693" s="2">
        <v>20332</v>
      </c>
      <c r="L693" s="2">
        <v>27851</v>
      </c>
      <c r="M693" t="str">
        <f>IFERROR(IF(VLOOKUP(LEFT(B693,2),'Humanitarian codes'!$A$2:$A$10,1,FALSE)=LEFT(B693,2),"Yes","Error"),"No")</f>
        <v>Yes</v>
      </c>
    </row>
    <row r="694" spans="1:13" x14ac:dyDescent="0.25">
      <c r="A694">
        <v>2022</v>
      </c>
      <c r="B694" t="s">
        <v>3443</v>
      </c>
      <c r="C694" t="s">
        <v>3444</v>
      </c>
      <c r="D694" t="s">
        <v>30</v>
      </c>
      <c r="E694" t="s">
        <v>257</v>
      </c>
      <c r="F694">
        <v>4500258651</v>
      </c>
      <c r="G694" t="s">
        <v>4561</v>
      </c>
      <c r="H694" t="s">
        <v>3334</v>
      </c>
      <c r="I694" t="s">
        <v>422</v>
      </c>
      <c r="J694" t="s">
        <v>257</v>
      </c>
      <c r="K694" s="2">
        <v>12158</v>
      </c>
      <c r="L694" s="2">
        <v>16654</v>
      </c>
      <c r="M694" t="str">
        <f>IFERROR(IF(VLOOKUP(LEFT(B694,2),'Humanitarian codes'!$A$2:$A$10,1,FALSE)=LEFT(B694,2),"Yes","Error"),"No")</f>
        <v>Yes</v>
      </c>
    </row>
    <row r="695" spans="1:13" x14ac:dyDescent="0.25">
      <c r="A695">
        <v>2022</v>
      </c>
      <c r="B695" t="s">
        <v>3443</v>
      </c>
      <c r="C695" t="s">
        <v>3444</v>
      </c>
      <c r="D695" t="s">
        <v>30</v>
      </c>
      <c r="E695" t="s">
        <v>257</v>
      </c>
      <c r="F695">
        <v>4500269025</v>
      </c>
      <c r="G695" t="s">
        <v>4935</v>
      </c>
      <c r="H695" t="s">
        <v>3334</v>
      </c>
      <c r="I695" t="s">
        <v>1671</v>
      </c>
      <c r="J695" t="s">
        <v>257</v>
      </c>
      <c r="K695" s="2">
        <v>63708</v>
      </c>
      <c r="L695" s="2">
        <v>63708</v>
      </c>
      <c r="M695" t="str">
        <f>IFERROR(IF(VLOOKUP(LEFT(B695,2),'Humanitarian codes'!$A$2:$A$10,1,FALSE)=LEFT(B695,2),"Yes","Error"),"No")</f>
        <v>Yes</v>
      </c>
    </row>
    <row r="696" spans="1:13" x14ac:dyDescent="0.25">
      <c r="A696">
        <v>2022</v>
      </c>
      <c r="B696" t="s">
        <v>3443</v>
      </c>
      <c r="C696" t="s">
        <v>3444</v>
      </c>
      <c r="D696" t="s">
        <v>30</v>
      </c>
      <c r="E696" t="s">
        <v>257</v>
      </c>
      <c r="F696">
        <v>4500269207</v>
      </c>
      <c r="G696" t="s">
        <v>4936</v>
      </c>
      <c r="H696" t="s">
        <v>3334</v>
      </c>
      <c r="I696" t="s">
        <v>4937</v>
      </c>
      <c r="J696" t="s">
        <v>257</v>
      </c>
      <c r="K696" s="2">
        <v>63708</v>
      </c>
      <c r="L696" s="2">
        <v>63708</v>
      </c>
      <c r="M696" t="str">
        <f>IFERROR(IF(VLOOKUP(LEFT(B696,2),'Humanitarian codes'!$A$2:$A$10,1,FALSE)=LEFT(B696,2),"Yes","Error"),"No")</f>
        <v>Yes</v>
      </c>
    </row>
    <row r="697" spans="1:13" x14ac:dyDescent="0.25">
      <c r="A697">
        <v>2022</v>
      </c>
      <c r="B697" t="s">
        <v>1246</v>
      </c>
      <c r="C697" t="s">
        <v>1247</v>
      </c>
      <c r="D697" t="s">
        <v>30</v>
      </c>
      <c r="E697" t="s">
        <v>54</v>
      </c>
      <c r="F697">
        <v>4500211576</v>
      </c>
      <c r="G697" t="s">
        <v>4938</v>
      </c>
      <c r="H697" t="s">
        <v>3334</v>
      </c>
      <c r="I697" t="s">
        <v>3497</v>
      </c>
      <c r="J697" t="s">
        <v>54</v>
      </c>
      <c r="K697">
        <v>968</v>
      </c>
      <c r="L697" s="2">
        <v>6454</v>
      </c>
      <c r="M697" t="str">
        <f>IFERROR(IF(VLOOKUP(LEFT(B697,2),'Humanitarian codes'!$A$2:$A$10,1,FALSE)=LEFT(B697,2),"Yes","Error"),"No")</f>
        <v>Yes</v>
      </c>
    </row>
    <row r="698" spans="1:13" x14ac:dyDescent="0.25">
      <c r="A698">
        <v>2022</v>
      </c>
      <c r="B698" t="s">
        <v>1246</v>
      </c>
      <c r="C698" t="s">
        <v>1247</v>
      </c>
      <c r="D698" t="s">
        <v>30</v>
      </c>
      <c r="E698" t="s">
        <v>54</v>
      </c>
      <c r="F698">
        <v>4500214382</v>
      </c>
      <c r="G698" t="s">
        <v>4939</v>
      </c>
      <c r="H698" t="s">
        <v>3334</v>
      </c>
      <c r="I698" t="s">
        <v>3495</v>
      </c>
      <c r="J698" t="s">
        <v>54</v>
      </c>
      <c r="K698">
        <v>585</v>
      </c>
      <c r="L698" s="2">
        <v>3900</v>
      </c>
      <c r="M698" t="str">
        <f>IFERROR(IF(VLOOKUP(LEFT(B698,2),'Humanitarian codes'!$A$2:$A$10,1,FALSE)=LEFT(B698,2),"Yes","Error"),"No")</f>
        <v>Yes</v>
      </c>
    </row>
    <row r="699" spans="1:13" x14ac:dyDescent="0.25">
      <c r="A699">
        <v>2022</v>
      </c>
      <c r="B699" t="s">
        <v>1246</v>
      </c>
      <c r="C699" t="s">
        <v>1247</v>
      </c>
      <c r="D699" t="s">
        <v>30</v>
      </c>
      <c r="E699" t="s">
        <v>54</v>
      </c>
      <c r="F699">
        <v>4500214394</v>
      </c>
      <c r="G699" t="s">
        <v>4940</v>
      </c>
      <c r="H699" t="s">
        <v>3334</v>
      </c>
      <c r="I699" t="s">
        <v>1248</v>
      </c>
      <c r="J699" t="s">
        <v>54</v>
      </c>
      <c r="K699">
        <v>555</v>
      </c>
      <c r="L699" s="2">
        <v>3702</v>
      </c>
      <c r="M699" t="str">
        <f>IFERROR(IF(VLOOKUP(LEFT(B699,2),'Humanitarian codes'!$A$2:$A$10,1,FALSE)=LEFT(B699,2),"Yes","Error"),"No")</f>
        <v>Yes</v>
      </c>
    </row>
    <row r="700" spans="1:13" x14ac:dyDescent="0.25">
      <c r="A700">
        <v>2022</v>
      </c>
      <c r="B700" t="s">
        <v>1246</v>
      </c>
      <c r="C700" t="s">
        <v>1247</v>
      </c>
      <c r="D700" t="s">
        <v>30</v>
      </c>
      <c r="E700" t="s">
        <v>54</v>
      </c>
      <c r="F700">
        <v>4500218838</v>
      </c>
      <c r="G700" t="s">
        <v>4941</v>
      </c>
      <c r="H700" t="s">
        <v>3334</v>
      </c>
      <c r="I700" t="s">
        <v>4942</v>
      </c>
      <c r="J700" t="s">
        <v>54</v>
      </c>
      <c r="K700" s="2">
        <v>2459</v>
      </c>
      <c r="L700" s="2">
        <v>9835</v>
      </c>
      <c r="M700" t="str">
        <f>IFERROR(IF(VLOOKUP(LEFT(B700,2),'Humanitarian codes'!$A$2:$A$10,1,FALSE)=LEFT(B700,2),"Yes","Error"),"No")</f>
        <v>Yes</v>
      </c>
    </row>
    <row r="701" spans="1:13" x14ac:dyDescent="0.25">
      <c r="A701">
        <v>2022</v>
      </c>
      <c r="B701" t="s">
        <v>1246</v>
      </c>
      <c r="C701" t="s">
        <v>1247</v>
      </c>
      <c r="D701" t="s">
        <v>30</v>
      </c>
      <c r="E701" t="s">
        <v>54</v>
      </c>
      <c r="F701">
        <v>4500220659</v>
      </c>
      <c r="G701" t="s">
        <v>4943</v>
      </c>
      <c r="H701" t="s">
        <v>3334</v>
      </c>
      <c r="I701" t="s">
        <v>4944</v>
      </c>
      <c r="J701" t="s">
        <v>54</v>
      </c>
      <c r="K701" s="2">
        <v>21112</v>
      </c>
      <c r="L701" s="2">
        <v>21112</v>
      </c>
      <c r="M701" t="str">
        <f>IFERROR(IF(VLOOKUP(LEFT(B701,2),'Humanitarian codes'!$A$2:$A$10,1,FALSE)=LEFT(B701,2),"Yes","Error"),"No")</f>
        <v>Yes</v>
      </c>
    </row>
    <row r="702" spans="1:13" x14ac:dyDescent="0.25">
      <c r="A702">
        <v>2022</v>
      </c>
      <c r="B702" t="s">
        <v>1246</v>
      </c>
      <c r="C702" t="s">
        <v>1247</v>
      </c>
      <c r="D702" t="s">
        <v>30</v>
      </c>
      <c r="E702" t="s">
        <v>54</v>
      </c>
      <c r="F702">
        <v>4500223778</v>
      </c>
      <c r="G702" t="s">
        <v>4945</v>
      </c>
      <c r="H702" t="s">
        <v>3334</v>
      </c>
      <c r="I702" t="s">
        <v>4946</v>
      </c>
      <c r="J702" t="s">
        <v>54</v>
      </c>
      <c r="K702" s="2">
        <v>27572</v>
      </c>
      <c r="L702" s="2">
        <v>27572</v>
      </c>
      <c r="M702" t="str">
        <f>IFERROR(IF(VLOOKUP(LEFT(B702,2),'Humanitarian codes'!$A$2:$A$10,1,FALSE)=LEFT(B702,2),"Yes","Error"),"No")</f>
        <v>Yes</v>
      </c>
    </row>
    <row r="703" spans="1:13" x14ac:dyDescent="0.25">
      <c r="A703">
        <v>2022</v>
      </c>
      <c r="B703" t="s">
        <v>1246</v>
      </c>
      <c r="C703" t="s">
        <v>1247</v>
      </c>
      <c r="D703" t="s">
        <v>30</v>
      </c>
      <c r="E703" t="s">
        <v>54</v>
      </c>
      <c r="F703">
        <v>4500235778</v>
      </c>
      <c r="G703" t="s">
        <v>4947</v>
      </c>
      <c r="H703" t="s">
        <v>3334</v>
      </c>
      <c r="I703" t="s">
        <v>4948</v>
      </c>
      <c r="J703" t="s">
        <v>54</v>
      </c>
      <c r="K703" s="2">
        <v>5445</v>
      </c>
      <c r="L703" s="2">
        <v>21778</v>
      </c>
      <c r="M703" t="str">
        <f>IFERROR(IF(VLOOKUP(LEFT(B703,2),'Humanitarian codes'!$A$2:$A$10,1,FALSE)=LEFT(B703,2),"Yes","Error"),"No")</f>
        <v>Yes</v>
      </c>
    </row>
    <row r="704" spans="1:13" x14ac:dyDescent="0.25">
      <c r="A704">
        <v>2022</v>
      </c>
      <c r="B704" t="s">
        <v>1246</v>
      </c>
      <c r="C704" t="s">
        <v>1247</v>
      </c>
      <c r="D704" t="s">
        <v>30</v>
      </c>
      <c r="E704" t="s">
        <v>54</v>
      </c>
      <c r="F704">
        <v>4500261321</v>
      </c>
      <c r="G704" t="s">
        <v>4949</v>
      </c>
      <c r="H704" t="s">
        <v>3334</v>
      </c>
      <c r="I704" t="s">
        <v>4946</v>
      </c>
      <c r="J704" t="s">
        <v>54</v>
      </c>
      <c r="K704" s="2">
        <v>29930</v>
      </c>
      <c r="L704" s="2">
        <v>29930</v>
      </c>
      <c r="M704" t="str">
        <f>IFERROR(IF(VLOOKUP(LEFT(B704,2),'Humanitarian codes'!$A$2:$A$10,1,FALSE)=LEFT(B704,2),"Yes","Error"),"No")</f>
        <v>Yes</v>
      </c>
    </row>
    <row r="705" spans="1:13" x14ac:dyDescent="0.25">
      <c r="A705">
        <v>2022</v>
      </c>
      <c r="B705" t="s">
        <v>4950</v>
      </c>
      <c r="C705" t="s">
        <v>4951</v>
      </c>
      <c r="D705" t="s">
        <v>30</v>
      </c>
      <c r="E705" t="s">
        <v>253</v>
      </c>
      <c r="F705">
        <v>4500244484</v>
      </c>
      <c r="G705" t="s">
        <v>3938</v>
      </c>
      <c r="H705" t="s">
        <v>3334</v>
      </c>
      <c r="I705" t="s">
        <v>1362</v>
      </c>
      <c r="J705" t="s">
        <v>253</v>
      </c>
      <c r="K705" s="2">
        <v>9803</v>
      </c>
      <c r="L705" s="2">
        <v>29831</v>
      </c>
      <c r="M705" t="str">
        <f>IFERROR(IF(VLOOKUP(LEFT(B705,2),'Humanitarian codes'!$A$2:$A$10,1,FALSE)=LEFT(B705,2),"Yes","Error"),"No")</f>
        <v>Yes</v>
      </c>
    </row>
    <row r="706" spans="1:13" x14ac:dyDescent="0.25">
      <c r="A706">
        <v>2022</v>
      </c>
      <c r="B706" t="s">
        <v>4952</v>
      </c>
      <c r="C706" t="s">
        <v>4953</v>
      </c>
      <c r="D706" t="s">
        <v>30</v>
      </c>
      <c r="E706" t="s">
        <v>45</v>
      </c>
      <c r="F706">
        <v>4500246854</v>
      </c>
      <c r="G706" t="s">
        <v>4283</v>
      </c>
      <c r="H706" t="s">
        <v>3334</v>
      </c>
      <c r="I706" t="s">
        <v>667</v>
      </c>
      <c r="J706" t="s">
        <v>45</v>
      </c>
      <c r="K706" s="2">
        <v>201300</v>
      </c>
      <c r="L706" s="2">
        <v>201300</v>
      </c>
      <c r="M706" t="str">
        <f>IFERROR(IF(VLOOKUP(LEFT(B706,2),'Humanitarian codes'!$A$2:$A$10,1,FALSE)=LEFT(B706,2),"Yes","Error"),"No")</f>
        <v>Yes</v>
      </c>
    </row>
    <row r="707" spans="1:13" x14ac:dyDescent="0.25">
      <c r="A707">
        <v>2022</v>
      </c>
      <c r="B707" t="s">
        <v>4952</v>
      </c>
      <c r="C707" t="s">
        <v>4953</v>
      </c>
      <c r="D707" t="s">
        <v>30</v>
      </c>
      <c r="E707" t="s">
        <v>45</v>
      </c>
      <c r="F707">
        <v>4500249231</v>
      </c>
      <c r="G707" t="s">
        <v>4954</v>
      </c>
      <c r="H707" t="s">
        <v>3334</v>
      </c>
      <c r="I707" t="s">
        <v>2452</v>
      </c>
      <c r="J707" t="s">
        <v>616</v>
      </c>
      <c r="K707" s="2">
        <v>94000</v>
      </c>
      <c r="L707" s="2">
        <v>94000</v>
      </c>
      <c r="M707" t="str">
        <f>IFERROR(IF(VLOOKUP(LEFT(B707,2),'Humanitarian codes'!$A$2:$A$10,1,FALSE)=LEFT(B707,2),"Yes","Error"),"No")</f>
        <v>Yes</v>
      </c>
    </row>
    <row r="708" spans="1:13" x14ac:dyDescent="0.25">
      <c r="A708">
        <v>2022</v>
      </c>
      <c r="B708" t="s">
        <v>4952</v>
      </c>
      <c r="C708" t="s">
        <v>4953</v>
      </c>
      <c r="D708" t="s">
        <v>30</v>
      </c>
      <c r="E708" t="s">
        <v>45</v>
      </c>
      <c r="F708">
        <v>4500252718</v>
      </c>
      <c r="G708" t="s">
        <v>4954</v>
      </c>
      <c r="H708" t="s">
        <v>3334</v>
      </c>
      <c r="I708" t="s">
        <v>327</v>
      </c>
      <c r="J708" t="s">
        <v>45</v>
      </c>
      <c r="K708" s="2">
        <v>37000</v>
      </c>
      <c r="L708" s="2">
        <v>37000</v>
      </c>
      <c r="M708" t="str">
        <f>IFERROR(IF(VLOOKUP(LEFT(B708,2),'Humanitarian codes'!$A$2:$A$10,1,FALSE)=LEFT(B708,2),"Yes","Error"),"No")</f>
        <v>Yes</v>
      </c>
    </row>
    <row r="709" spans="1:13" x14ac:dyDescent="0.25">
      <c r="A709">
        <v>2022</v>
      </c>
      <c r="B709" t="s">
        <v>4952</v>
      </c>
      <c r="C709" t="s">
        <v>4953</v>
      </c>
      <c r="D709" t="s">
        <v>30</v>
      </c>
      <c r="E709" t="s">
        <v>45</v>
      </c>
      <c r="F709">
        <v>4500252983</v>
      </c>
      <c r="G709" t="s">
        <v>4954</v>
      </c>
      <c r="H709" t="s">
        <v>3334</v>
      </c>
      <c r="I709" t="s">
        <v>658</v>
      </c>
      <c r="J709" t="s">
        <v>45</v>
      </c>
      <c r="K709" s="2">
        <v>136700</v>
      </c>
      <c r="L709" s="2">
        <v>136700</v>
      </c>
      <c r="M709" t="str">
        <f>IFERROR(IF(VLOOKUP(LEFT(B709,2),'Humanitarian codes'!$A$2:$A$10,1,FALSE)=LEFT(B709,2),"Yes","Error"),"No")</f>
        <v>Yes</v>
      </c>
    </row>
    <row r="710" spans="1:13" x14ac:dyDescent="0.25">
      <c r="A710">
        <v>2022</v>
      </c>
      <c r="B710" t="s">
        <v>4952</v>
      </c>
      <c r="C710" t="s">
        <v>4953</v>
      </c>
      <c r="D710" t="s">
        <v>30</v>
      </c>
      <c r="E710" t="s">
        <v>45</v>
      </c>
      <c r="F710">
        <v>4500256539</v>
      </c>
      <c r="G710" t="s">
        <v>4954</v>
      </c>
      <c r="H710" t="s">
        <v>3334</v>
      </c>
      <c r="I710" t="s">
        <v>653</v>
      </c>
      <c r="J710" t="s">
        <v>45</v>
      </c>
      <c r="K710" s="2">
        <v>214000</v>
      </c>
      <c r="L710" s="2">
        <v>214000</v>
      </c>
      <c r="M710" t="str">
        <f>IFERROR(IF(VLOOKUP(LEFT(B710,2),'Humanitarian codes'!$A$2:$A$10,1,FALSE)=LEFT(B710,2),"Yes","Error"),"No")</f>
        <v>Yes</v>
      </c>
    </row>
    <row r="711" spans="1:13" x14ac:dyDescent="0.25">
      <c r="A711">
        <v>2022</v>
      </c>
      <c r="B711" t="s">
        <v>4952</v>
      </c>
      <c r="C711" t="s">
        <v>4953</v>
      </c>
      <c r="D711" t="s">
        <v>30</v>
      </c>
      <c r="E711" t="s">
        <v>45</v>
      </c>
      <c r="F711">
        <v>4500256543</v>
      </c>
      <c r="G711" t="s">
        <v>4954</v>
      </c>
      <c r="H711" t="s">
        <v>3334</v>
      </c>
      <c r="I711" t="s">
        <v>1109</v>
      </c>
      <c r="J711" t="s">
        <v>45</v>
      </c>
      <c r="K711" s="2">
        <v>80500</v>
      </c>
      <c r="L711" s="2">
        <v>80500</v>
      </c>
      <c r="M711" t="str">
        <f>IFERROR(IF(VLOOKUP(LEFT(B711,2),'Humanitarian codes'!$A$2:$A$10,1,FALSE)=LEFT(B711,2),"Yes","Error"),"No")</f>
        <v>Yes</v>
      </c>
    </row>
    <row r="712" spans="1:13" x14ac:dyDescent="0.25">
      <c r="A712">
        <v>2022</v>
      </c>
      <c r="B712" t="s">
        <v>4955</v>
      </c>
      <c r="C712" t="s">
        <v>4956</v>
      </c>
      <c r="D712" t="s">
        <v>30</v>
      </c>
      <c r="E712" t="s">
        <v>54</v>
      </c>
      <c r="F712">
        <v>4500211576</v>
      </c>
      <c r="G712" t="s">
        <v>4938</v>
      </c>
      <c r="H712" t="s">
        <v>3334</v>
      </c>
      <c r="I712" t="s">
        <v>3497</v>
      </c>
      <c r="J712" t="s">
        <v>54</v>
      </c>
      <c r="K712" s="2">
        <v>1936</v>
      </c>
      <c r="L712" s="2">
        <v>6454</v>
      </c>
      <c r="M712" t="str">
        <f>IFERROR(IF(VLOOKUP(LEFT(B712,2),'Humanitarian codes'!$A$2:$A$10,1,FALSE)=LEFT(B712,2),"Yes","Error"),"No")</f>
        <v>Yes</v>
      </c>
    </row>
    <row r="713" spans="1:13" x14ac:dyDescent="0.25">
      <c r="A713">
        <v>2022</v>
      </c>
      <c r="B713" t="s">
        <v>4955</v>
      </c>
      <c r="C713" t="s">
        <v>4956</v>
      </c>
      <c r="D713" t="s">
        <v>30</v>
      </c>
      <c r="E713" t="s">
        <v>54</v>
      </c>
      <c r="F713">
        <v>4500214382</v>
      </c>
      <c r="G713" t="s">
        <v>4939</v>
      </c>
      <c r="H713" t="s">
        <v>3334</v>
      </c>
      <c r="I713" t="s">
        <v>3495</v>
      </c>
      <c r="J713" t="s">
        <v>54</v>
      </c>
      <c r="K713" s="2">
        <v>1170</v>
      </c>
      <c r="L713" s="2">
        <v>3900</v>
      </c>
      <c r="M713" t="str">
        <f>IFERROR(IF(VLOOKUP(LEFT(B713,2),'Humanitarian codes'!$A$2:$A$10,1,FALSE)=LEFT(B713,2),"Yes","Error"),"No")</f>
        <v>Yes</v>
      </c>
    </row>
    <row r="714" spans="1:13" x14ac:dyDescent="0.25">
      <c r="A714">
        <v>2022</v>
      </c>
      <c r="B714" t="s">
        <v>4955</v>
      </c>
      <c r="C714" t="s">
        <v>4956</v>
      </c>
      <c r="D714" t="s">
        <v>30</v>
      </c>
      <c r="E714" t="s">
        <v>54</v>
      </c>
      <c r="F714">
        <v>4500214394</v>
      </c>
      <c r="G714" t="s">
        <v>4940</v>
      </c>
      <c r="H714" t="s">
        <v>3334</v>
      </c>
      <c r="I714" t="s">
        <v>1248</v>
      </c>
      <c r="J714" t="s">
        <v>54</v>
      </c>
      <c r="K714" s="2">
        <v>1111</v>
      </c>
      <c r="L714" s="2">
        <v>3702</v>
      </c>
      <c r="M714" t="str">
        <f>IFERROR(IF(VLOOKUP(LEFT(B714,2),'Humanitarian codes'!$A$2:$A$10,1,FALSE)=LEFT(B714,2),"Yes","Error"),"No")</f>
        <v>Yes</v>
      </c>
    </row>
    <row r="715" spans="1:13" x14ac:dyDescent="0.25">
      <c r="A715">
        <v>2022</v>
      </c>
      <c r="B715" t="s">
        <v>4955</v>
      </c>
      <c r="C715" t="s">
        <v>4956</v>
      </c>
      <c r="D715" t="s">
        <v>30</v>
      </c>
      <c r="E715" t="s">
        <v>54</v>
      </c>
      <c r="F715">
        <v>4500218838</v>
      </c>
      <c r="G715" t="s">
        <v>4941</v>
      </c>
      <c r="H715" t="s">
        <v>3334</v>
      </c>
      <c r="I715" t="s">
        <v>4942</v>
      </c>
      <c r="J715" t="s">
        <v>54</v>
      </c>
      <c r="K715" s="2">
        <v>2459</v>
      </c>
      <c r="L715" s="2">
        <v>9835</v>
      </c>
      <c r="M715" t="str">
        <f>IFERROR(IF(VLOOKUP(LEFT(B715,2),'Humanitarian codes'!$A$2:$A$10,1,FALSE)=LEFT(B715,2),"Yes","Error"),"No")</f>
        <v>Yes</v>
      </c>
    </row>
    <row r="716" spans="1:13" x14ac:dyDescent="0.25">
      <c r="A716">
        <v>2022</v>
      </c>
      <c r="B716" t="s">
        <v>4955</v>
      </c>
      <c r="C716" t="s">
        <v>4956</v>
      </c>
      <c r="D716" t="s">
        <v>30</v>
      </c>
      <c r="E716" t="s">
        <v>54</v>
      </c>
      <c r="F716">
        <v>4500221488</v>
      </c>
      <c r="G716" t="s">
        <v>4957</v>
      </c>
      <c r="H716" t="s">
        <v>3334</v>
      </c>
      <c r="I716" t="s">
        <v>4958</v>
      </c>
      <c r="J716" t="s">
        <v>54</v>
      </c>
      <c r="K716">
        <v>601</v>
      </c>
      <c r="L716" s="2">
        <v>2003</v>
      </c>
      <c r="M716" t="str">
        <f>IFERROR(IF(VLOOKUP(LEFT(B716,2),'Humanitarian codes'!$A$2:$A$10,1,FALSE)=LEFT(B716,2),"Yes","Error"),"No")</f>
        <v>Yes</v>
      </c>
    </row>
    <row r="717" spans="1:13" x14ac:dyDescent="0.25">
      <c r="A717">
        <v>2022</v>
      </c>
      <c r="B717" t="s">
        <v>4955</v>
      </c>
      <c r="C717" t="s">
        <v>4956</v>
      </c>
      <c r="D717" t="s">
        <v>30</v>
      </c>
      <c r="E717" t="s">
        <v>54</v>
      </c>
      <c r="F717">
        <v>4500221500</v>
      </c>
      <c r="G717" t="s">
        <v>4959</v>
      </c>
      <c r="H717" t="s">
        <v>3334</v>
      </c>
      <c r="I717" t="s">
        <v>3790</v>
      </c>
      <c r="J717" t="s">
        <v>54</v>
      </c>
      <c r="K717" s="2">
        <v>10921</v>
      </c>
      <c r="L717" s="2">
        <v>36404</v>
      </c>
      <c r="M717" t="str">
        <f>IFERROR(IF(VLOOKUP(LEFT(B717,2),'Humanitarian codes'!$A$2:$A$10,1,FALSE)=LEFT(B717,2),"Yes","Error"),"No")</f>
        <v>Yes</v>
      </c>
    </row>
    <row r="718" spans="1:13" x14ac:dyDescent="0.25">
      <c r="A718">
        <v>2022</v>
      </c>
      <c r="B718" t="s">
        <v>4955</v>
      </c>
      <c r="C718" t="s">
        <v>4956</v>
      </c>
      <c r="D718" t="s">
        <v>30</v>
      </c>
      <c r="E718" t="s">
        <v>54</v>
      </c>
      <c r="F718">
        <v>4500222876</v>
      </c>
      <c r="G718" t="s">
        <v>4960</v>
      </c>
      <c r="H718" t="s">
        <v>3334</v>
      </c>
      <c r="I718" t="s">
        <v>4961</v>
      </c>
      <c r="J718" t="s">
        <v>54</v>
      </c>
      <c r="K718">
        <v>820</v>
      </c>
      <c r="L718" s="2">
        <v>2734</v>
      </c>
      <c r="M718" t="str">
        <f>IFERROR(IF(VLOOKUP(LEFT(B718,2),'Humanitarian codes'!$A$2:$A$10,1,FALSE)=LEFT(B718,2),"Yes","Error"),"No")</f>
        <v>Yes</v>
      </c>
    </row>
    <row r="719" spans="1:13" x14ac:dyDescent="0.25">
      <c r="A719">
        <v>2022</v>
      </c>
      <c r="B719" t="s">
        <v>4955</v>
      </c>
      <c r="C719" t="s">
        <v>4956</v>
      </c>
      <c r="D719" t="s">
        <v>30</v>
      </c>
      <c r="E719" t="s">
        <v>54</v>
      </c>
      <c r="F719">
        <v>4500227752</v>
      </c>
      <c r="G719" t="s">
        <v>4962</v>
      </c>
      <c r="H719" t="s">
        <v>3334</v>
      </c>
      <c r="I719" t="s">
        <v>3497</v>
      </c>
      <c r="J719" t="s">
        <v>54</v>
      </c>
      <c r="K719" s="2">
        <v>6670</v>
      </c>
      <c r="L719" s="2">
        <v>13340</v>
      </c>
      <c r="M719" t="str">
        <f>IFERROR(IF(VLOOKUP(LEFT(B719,2),'Humanitarian codes'!$A$2:$A$10,1,FALSE)=LEFT(B719,2),"Yes","Error"),"No")</f>
        <v>Yes</v>
      </c>
    </row>
    <row r="720" spans="1:13" x14ac:dyDescent="0.25">
      <c r="A720">
        <v>2022</v>
      </c>
      <c r="B720" t="s">
        <v>4955</v>
      </c>
      <c r="C720" t="s">
        <v>4956</v>
      </c>
      <c r="D720" t="s">
        <v>30</v>
      </c>
      <c r="E720" t="s">
        <v>54</v>
      </c>
      <c r="F720">
        <v>4500235778</v>
      </c>
      <c r="G720" t="s">
        <v>4947</v>
      </c>
      <c r="H720" t="s">
        <v>3334</v>
      </c>
      <c r="I720" t="s">
        <v>4948</v>
      </c>
      <c r="J720" t="s">
        <v>54</v>
      </c>
      <c r="K720" s="2">
        <v>5445</v>
      </c>
      <c r="L720" s="2">
        <v>21778</v>
      </c>
      <c r="M720" t="str">
        <f>IFERROR(IF(VLOOKUP(LEFT(B720,2),'Humanitarian codes'!$A$2:$A$10,1,FALSE)=LEFT(B720,2),"Yes","Error"),"No")</f>
        <v>Yes</v>
      </c>
    </row>
    <row r="721" spans="1:13" x14ac:dyDescent="0.25">
      <c r="A721">
        <v>2022</v>
      </c>
      <c r="B721" t="s">
        <v>4955</v>
      </c>
      <c r="C721" t="s">
        <v>4956</v>
      </c>
      <c r="D721" t="s">
        <v>30</v>
      </c>
      <c r="E721" t="s">
        <v>54</v>
      </c>
      <c r="F721">
        <v>4500238402</v>
      </c>
      <c r="G721" t="s">
        <v>4963</v>
      </c>
      <c r="H721" t="s">
        <v>3334</v>
      </c>
      <c r="I721" t="s">
        <v>1728</v>
      </c>
      <c r="J721" t="s">
        <v>54</v>
      </c>
      <c r="K721" s="2">
        <v>1786</v>
      </c>
      <c r="L721" s="2">
        <v>5952</v>
      </c>
      <c r="M721" t="str">
        <f>IFERROR(IF(VLOOKUP(LEFT(B721,2),'Humanitarian codes'!$A$2:$A$10,1,FALSE)=LEFT(B721,2),"Yes","Error"),"No")</f>
        <v>Yes</v>
      </c>
    </row>
    <row r="722" spans="1:13" x14ac:dyDescent="0.25">
      <c r="A722">
        <v>2022</v>
      </c>
      <c r="B722" t="s">
        <v>4955</v>
      </c>
      <c r="C722" t="s">
        <v>4956</v>
      </c>
      <c r="D722" t="s">
        <v>30</v>
      </c>
      <c r="E722" t="s">
        <v>54</v>
      </c>
      <c r="F722">
        <v>4500238506</v>
      </c>
      <c r="G722" t="s">
        <v>4964</v>
      </c>
      <c r="H722" t="s">
        <v>3334</v>
      </c>
      <c r="I722" t="s">
        <v>4946</v>
      </c>
      <c r="J722" t="s">
        <v>54</v>
      </c>
      <c r="K722" s="2">
        <v>12441</v>
      </c>
      <c r="L722" s="2">
        <v>12441</v>
      </c>
      <c r="M722" t="str">
        <f>IFERROR(IF(VLOOKUP(LEFT(B722,2),'Humanitarian codes'!$A$2:$A$10,1,FALSE)=LEFT(B722,2),"Yes","Error"),"No")</f>
        <v>Yes</v>
      </c>
    </row>
    <row r="723" spans="1:13" x14ac:dyDescent="0.25">
      <c r="A723">
        <v>2022</v>
      </c>
      <c r="B723" t="s">
        <v>4965</v>
      </c>
      <c r="C723" t="s">
        <v>4966</v>
      </c>
      <c r="D723" t="s">
        <v>30</v>
      </c>
      <c r="E723" t="s">
        <v>717</v>
      </c>
      <c r="F723">
        <v>4500220627</v>
      </c>
      <c r="G723" t="s">
        <v>4967</v>
      </c>
      <c r="H723" t="s">
        <v>3334</v>
      </c>
      <c r="I723" t="s">
        <v>4968</v>
      </c>
      <c r="J723" t="s">
        <v>717</v>
      </c>
      <c r="K723" s="2">
        <v>25000</v>
      </c>
      <c r="L723" s="2">
        <v>25000</v>
      </c>
      <c r="M723" t="str">
        <f>IFERROR(IF(VLOOKUP(LEFT(B723,2),'Humanitarian codes'!$A$2:$A$10,1,FALSE)=LEFT(B723,2),"Yes","Error"),"No")</f>
        <v>Yes</v>
      </c>
    </row>
    <row r="724" spans="1:13" x14ac:dyDescent="0.25">
      <c r="A724">
        <v>2022</v>
      </c>
      <c r="B724" t="s">
        <v>3827</v>
      </c>
      <c r="C724" t="s">
        <v>3828</v>
      </c>
      <c r="D724" t="s">
        <v>30</v>
      </c>
      <c r="E724" t="s">
        <v>303</v>
      </c>
      <c r="F724">
        <v>4500221528</v>
      </c>
      <c r="G724" t="s">
        <v>4969</v>
      </c>
      <c r="H724" t="s">
        <v>3334</v>
      </c>
      <c r="I724" t="s">
        <v>869</v>
      </c>
      <c r="J724" t="s">
        <v>303</v>
      </c>
      <c r="K724" s="2">
        <v>226647</v>
      </c>
      <c r="L724" s="2">
        <v>453294</v>
      </c>
      <c r="M724" t="str">
        <f>IFERROR(IF(VLOOKUP(LEFT(B724,2),'Humanitarian codes'!$A$2:$A$10,1,FALSE)=LEFT(B724,2),"Yes","Error"),"No")</f>
        <v>Yes</v>
      </c>
    </row>
    <row r="725" spans="1:13" x14ac:dyDescent="0.25">
      <c r="A725">
        <v>2022</v>
      </c>
      <c r="B725" t="s">
        <v>3827</v>
      </c>
      <c r="C725" t="s">
        <v>3828</v>
      </c>
      <c r="D725" t="s">
        <v>30</v>
      </c>
      <c r="E725" t="s">
        <v>303</v>
      </c>
      <c r="F725">
        <v>4500224021</v>
      </c>
      <c r="G725" t="s">
        <v>4970</v>
      </c>
      <c r="H725" t="s">
        <v>3334</v>
      </c>
      <c r="I725" t="s">
        <v>820</v>
      </c>
      <c r="J725" t="s">
        <v>303</v>
      </c>
      <c r="K725" s="2">
        <v>161233</v>
      </c>
      <c r="L725" s="2">
        <v>161233</v>
      </c>
      <c r="M725" t="str">
        <f>IFERROR(IF(VLOOKUP(LEFT(B725,2),'Humanitarian codes'!$A$2:$A$10,1,FALSE)=LEFT(B725,2),"Yes","Error"),"No")</f>
        <v>Yes</v>
      </c>
    </row>
    <row r="726" spans="1:13" x14ac:dyDescent="0.25">
      <c r="A726">
        <v>2022</v>
      </c>
      <c r="B726" t="s">
        <v>3827</v>
      </c>
      <c r="C726" t="s">
        <v>3828</v>
      </c>
      <c r="D726" t="s">
        <v>30</v>
      </c>
      <c r="E726" t="s">
        <v>303</v>
      </c>
      <c r="F726">
        <v>4500246495</v>
      </c>
      <c r="G726" t="s">
        <v>4971</v>
      </c>
      <c r="H726" t="s">
        <v>3334</v>
      </c>
      <c r="I726" t="s">
        <v>1323</v>
      </c>
      <c r="J726" t="s">
        <v>303</v>
      </c>
      <c r="K726" s="2">
        <v>107688</v>
      </c>
      <c r="L726" s="2">
        <v>107688</v>
      </c>
      <c r="M726" t="str">
        <f>IFERROR(IF(VLOOKUP(LEFT(B726,2),'Humanitarian codes'!$A$2:$A$10,1,FALSE)=LEFT(B726,2),"Yes","Error"),"No")</f>
        <v>Yes</v>
      </c>
    </row>
    <row r="727" spans="1:13" x14ac:dyDescent="0.25">
      <c r="A727">
        <v>2022</v>
      </c>
      <c r="B727" t="s">
        <v>3827</v>
      </c>
      <c r="C727" t="s">
        <v>3828</v>
      </c>
      <c r="D727" t="s">
        <v>30</v>
      </c>
      <c r="E727" t="s">
        <v>303</v>
      </c>
      <c r="F727">
        <v>4500248810</v>
      </c>
      <c r="G727" t="s">
        <v>4972</v>
      </c>
      <c r="H727" t="s">
        <v>3334</v>
      </c>
      <c r="I727" t="s">
        <v>4973</v>
      </c>
      <c r="J727" t="s">
        <v>303</v>
      </c>
      <c r="K727" s="2">
        <v>53041</v>
      </c>
      <c r="L727" s="2">
        <v>53041</v>
      </c>
      <c r="M727" t="str">
        <f>IFERROR(IF(VLOOKUP(LEFT(B727,2),'Humanitarian codes'!$A$2:$A$10,1,FALSE)=LEFT(B727,2),"Yes","Error"),"No")</f>
        <v>Yes</v>
      </c>
    </row>
    <row r="728" spans="1:13" x14ac:dyDescent="0.25">
      <c r="A728">
        <v>2022</v>
      </c>
      <c r="B728" t="s">
        <v>3827</v>
      </c>
      <c r="C728" t="s">
        <v>3828</v>
      </c>
      <c r="D728" t="s">
        <v>30</v>
      </c>
      <c r="E728" t="s">
        <v>303</v>
      </c>
      <c r="F728">
        <v>4500248816</v>
      </c>
      <c r="G728" t="s">
        <v>4974</v>
      </c>
      <c r="H728" t="s">
        <v>3334</v>
      </c>
      <c r="I728" t="s">
        <v>4975</v>
      </c>
      <c r="J728" t="s">
        <v>303</v>
      </c>
      <c r="K728" s="2">
        <v>13875</v>
      </c>
      <c r="L728" s="2">
        <v>13875</v>
      </c>
      <c r="M728" t="str">
        <f>IFERROR(IF(VLOOKUP(LEFT(B728,2),'Humanitarian codes'!$A$2:$A$10,1,FALSE)=LEFT(B728,2),"Yes","Error"),"No")</f>
        <v>Yes</v>
      </c>
    </row>
    <row r="729" spans="1:13" x14ac:dyDescent="0.25">
      <c r="A729">
        <v>2022</v>
      </c>
      <c r="B729" t="s">
        <v>3827</v>
      </c>
      <c r="C729" t="s">
        <v>3828</v>
      </c>
      <c r="D729" t="s">
        <v>30</v>
      </c>
      <c r="E729" t="s">
        <v>303</v>
      </c>
      <c r="F729">
        <v>4500265059</v>
      </c>
      <c r="G729" t="s">
        <v>4976</v>
      </c>
      <c r="H729" t="s">
        <v>3334</v>
      </c>
      <c r="I729" t="s">
        <v>4977</v>
      </c>
      <c r="J729" t="s">
        <v>303</v>
      </c>
      <c r="K729" s="2">
        <v>14706</v>
      </c>
      <c r="L729" s="2">
        <v>147063</v>
      </c>
      <c r="M729" t="str">
        <f>IFERROR(IF(VLOOKUP(LEFT(B729,2),'Humanitarian codes'!$A$2:$A$10,1,FALSE)=LEFT(B729,2),"Yes","Error"),"No")</f>
        <v>Yes</v>
      </c>
    </row>
    <row r="730" spans="1:13" x14ac:dyDescent="0.25">
      <c r="A730">
        <v>2022</v>
      </c>
      <c r="B730" t="s">
        <v>3827</v>
      </c>
      <c r="C730" t="s">
        <v>3828</v>
      </c>
      <c r="D730" t="s">
        <v>30</v>
      </c>
      <c r="E730" t="s">
        <v>305</v>
      </c>
      <c r="F730">
        <v>4500249638</v>
      </c>
      <c r="G730" t="s">
        <v>4978</v>
      </c>
      <c r="H730" t="s">
        <v>3334</v>
      </c>
      <c r="I730" t="s">
        <v>4979</v>
      </c>
      <c r="J730" t="s">
        <v>305</v>
      </c>
      <c r="K730" s="2">
        <v>17243</v>
      </c>
      <c r="L730" s="2">
        <v>17243</v>
      </c>
      <c r="M730" t="str">
        <f>IFERROR(IF(VLOOKUP(LEFT(B730,2),'Humanitarian codes'!$A$2:$A$10,1,FALSE)=LEFT(B730,2),"Yes","Error"),"No")</f>
        <v>Yes</v>
      </c>
    </row>
    <row r="731" spans="1:13" x14ac:dyDescent="0.25">
      <c r="A731">
        <v>2022</v>
      </c>
      <c r="B731" t="s">
        <v>3827</v>
      </c>
      <c r="C731" t="s">
        <v>3828</v>
      </c>
      <c r="D731" t="s">
        <v>30</v>
      </c>
      <c r="E731" t="s">
        <v>305</v>
      </c>
      <c r="F731">
        <v>4500273234</v>
      </c>
      <c r="G731" t="s">
        <v>4980</v>
      </c>
      <c r="H731" t="s">
        <v>3334</v>
      </c>
      <c r="I731" t="s">
        <v>1329</v>
      </c>
      <c r="J731" t="s">
        <v>305</v>
      </c>
      <c r="K731" s="2">
        <v>330386</v>
      </c>
      <c r="L731" s="2">
        <v>330386</v>
      </c>
      <c r="M731" t="str">
        <f>IFERROR(IF(VLOOKUP(LEFT(B731,2),'Humanitarian codes'!$A$2:$A$10,1,FALSE)=LEFT(B731,2),"Yes","Error"),"No")</f>
        <v>Yes</v>
      </c>
    </row>
    <row r="732" spans="1:13" x14ac:dyDescent="0.25">
      <c r="A732">
        <v>2022</v>
      </c>
      <c r="B732" t="s">
        <v>3827</v>
      </c>
      <c r="C732" t="s">
        <v>3828</v>
      </c>
      <c r="D732" t="s">
        <v>30</v>
      </c>
      <c r="E732" t="s">
        <v>909</v>
      </c>
      <c r="F732">
        <v>4500232719</v>
      </c>
      <c r="G732" t="s">
        <v>4981</v>
      </c>
      <c r="H732" t="s">
        <v>3334</v>
      </c>
      <c r="I732" t="s">
        <v>2700</v>
      </c>
      <c r="J732" t="s">
        <v>909</v>
      </c>
      <c r="K732" s="2">
        <v>15035</v>
      </c>
      <c r="L732" s="2">
        <v>15035</v>
      </c>
      <c r="M732" t="str">
        <f>IFERROR(IF(VLOOKUP(LEFT(B732,2),'Humanitarian codes'!$A$2:$A$10,1,FALSE)=LEFT(B732,2),"Yes","Error"),"No")</f>
        <v>Yes</v>
      </c>
    </row>
    <row r="733" spans="1:13" x14ac:dyDescent="0.25">
      <c r="A733">
        <v>2022</v>
      </c>
      <c r="B733" t="s">
        <v>3827</v>
      </c>
      <c r="C733" t="s">
        <v>3828</v>
      </c>
      <c r="D733" t="s">
        <v>30</v>
      </c>
      <c r="E733" t="s">
        <v>909</v>
      </c>
      <c r="F733">
        <v>4500240117</v>
      </c>
      <c r="G733" t="s">
        <v>4982</v>
      </c>
      <c r="H733" t="s">
        <v>3334</v>
      </c>
      <c r="I733" t="s">
        <v>2700</v>
      </c>
      <c r="J733" t="s">
        <v>909</v>
      </c>
      <c r="K733" s="2">
        <v>3714</v>
      </c>
      <c r="L733" s="2">
        <v>3714</v>
      </c>
      <c r="M733" t="str">
        <f>IFERROR(IF(VLOOKUP(LEFT(B733,2),'Humanitarian codes'!$A$2:$A$10,1,FALSE)=LEFT(B733,2),"Yes","Error"),"No")</f>
        <v>Yes</v>
      </c>
    </row>
    <row r="734" spans="1:13" x14ac:dyDescent="0.25">
      <c r="A734">
        <v>2022</v>
      </c>
      <c r="B734" t="s">
        <v>3827</v>
      </c>
      <c r="C734" t="s">
        <v>3828</v>
      </c>
      <c r="D734" t="s">
        <v>30</v>
      </c>
      <c r="E734" t="s">
        <v>909</v>
      </c>
      <c r="F734">
        <v>4500247682</v>
      </c>
      <c r="G734" t="s">
        <v>4983</v>
      </c>
      <c r="H734" t="s">
        <v>3334</v>
      </c>
      <c r="I734" t="s">
        <v>4984</v>
      </c>
      <c r="J734" t="s">
        <v>909</v>
      </c>
      <c r="K734" s="2">
        <v>10701</v>
      </c>
      <c r="L734" s="2">
        <v>10701</v>
      </c>
      <c r="M734" t="str">
        <f>IFERROR(IF(VLOOKUP(LEFT(B734,2),'Humanitarian codes'!$A$2:$A$10,1,FALSE)=LEFT(B734,2),"Yes","Error"),"No")</f>
        <v>Yes</v>
      </c>
    </row>
    <row r="735" spans="1:13" x14ac:dyDescent="0.25">
      <c r="A735">
        <v>2022</v>
      </c>
      <c r="B735" t="s">
        <v>3827</v>
      </c>
      <c r="C735" t="s">
        <v>3828</v>
      </c>
      <c r="D735" t="s">
        <v>30</v>
      </c>
      <c r="E735" t="s">
        <v>909</v>
      </c>
      <c r="F735">
        <v>4500250542</v>
      </c>
      <c r="G735" t="s">
        <v>4985</v>
      </c>
      <c r="H735" t="s">
        <v>3334</v>
      </c>
      <c r="I735" t="s">
        <v>2700</v>
      </c>
      <c r="J735" t="s">
        <v>909</v>
      </c>
      <c r="K735" s="2">
        <v>7437</v>
      </c>
      <c r="L735" s="2">
        <v>7437</v>
      </c>
      <c r="M735" t="str">
        <f>IFERROR(IF(VLOOKUP(LEFT(B735,2),'Humanitarian codes'!$A$2:$A$10,1,FALSE)=LEFT(B735,2),"Yes","Error"),"No")</f>
        <v>Yes</v>
      </c>
    </row>
    <row r="736" spans="1:13" x14ac:dyDescent="0.25">
      <c r="A736">
        <v>2022</v>
      </c>
      <c r="B736" t="s">
        <v>3827</v>
      </c>
      <c r="C736" t="s">
        <v>3828</v>
      </c>
      <c r="D736" t="s">
        <v>30</v>
      </c>
      <c r="E736" t="s">
        <v>909</v>
      </c>
      <c r="F736">
        <v>4500250547</v>
      </c>
      <c r="G736" t="s">
        <v>4986</v>
      </c>
      <c r="H736" t="s">
        <v>3334</v>
      </c>
      <c r="I736" t="s">
        <v>4984</v>
      </c>
      <c r="J736" t="s">
        <v>909</v>
      </c>
      <c r="K736" s="2">
        <v>11176</v>
      </c>
      <c r="L736" s="2">
        <v>11176</v>
      </c>
      <c r="M736" t="str">
        <f>IFERROR(IF(VLOOKUP(LEFT(B736,2),'Humanitarian codes'!$A$2:$A$10,1,FALSE)=LEFT(B736,2),"Yes","Error"),"No")</f>
        <v>Yes</v>
      </c>
    </row>
    <row r="737" spans="1:13" x14ac:dyDescent="0.25">
      <c r="A737">
        <v>2022</v>
      </c>
      <c r="B737" t="s">
        <v>3827</v>
      </c>
      <c r="C737" t="s">
        <v>3828</v>
      </c>
      <c r="D737" t="s">
        <v>30</v>
      </c>
      <c r="E737" t="s">
        <v>909</v>
      </c>
      <c r="F737">
        <v>4500252880</v>
      </c>
      <c r="G737" t="s">
        <v>4987</v>
      </c>
      <c r="H737" t="s">
        <v>3334</v>
      </c>
      <c r="I737" t="s">
        <v>4984</v>
      </c>
      <c r="J737" t="s">
        <v>909</v>
      </c>
      <c r="K737" s="2">
        <v>11176</v>
      </c>
      <c r="L737" s="2">
        <v>11176</v>
      </c>
      <c r="M737" t="str">
        <f>IFERROR(IF(VLOOKUP(LEFT(B737,2),'Humanitarian codes'!$A$2:$A$10,1,FALSE)=LEFT(B737,2),"Yes","Error"),"No")</f>
        <v>Yes</v>
      </c>
    </row>
    <row r="738" spans="1:13" x14ac:dyDescent="0.25">
      <c r="A738">
        <v>2022</v>
      </c>
      <c r="B738" t="s">
        <v>3827</v>
      </c>
      <c r="C738" t="s">
        <v>3828</v>
      </c>
      <c r="D738" t="s">
        <v>30</v>
      </c>
      <c r="E738" t="s">
        <v>909</v>
      </c>
      <c r="F738">
        <v>4500252885</v>
      </c>
      <c r="G738" t="s">
        <v>4988</v>
      </c>
      <c r="H738" t="s">
        <v>3334</v>
      </c>
      <c r="I738" t="s">
        <v>2700</v>
      </c>
      <c r="J738" t="s">
        <v>909</v>
      </c>
      <c r="K738" s="2">
        <v>7437</v>
      </c>
      <c r="L738" s="2">
        <v>7437</v>
      </c>
      <c r="M738" t="str">
        <f>IFERROR(IF(VLOOKUP(LEFT(B738,2),'Humanitarian codes'!$A$2:$A$10,1,FALSE)=LEFT(B738,2),"Yes","Error"),"No")</f>
        <v>Yes</v>
      </c>
    </row>
    <row r="739" spans="1:13" x14ac:dyDescent="0.25">
      <c r="A739">
        <v>2022</v>
      </c>
      <c r="B739" t="s">
        <v>3827</v>
      </c>
      <c r="C739" t="s">
        <v>3828</v>
      </c>
      <c r="D739" t="s">
        <v>30</v>
      </c>
      <c r="E739" t="s">
        <v>909</v>
      </c>
      <c r="F739">
        <v>4500256030</v>
      </c>
      <c r="G739" t="s">
        <v>4989</v>
      </c>
      <c r="H739" t="s">
        <v>3334</v>
      </c>
      <c r="I739" t="s">
        <v>2700</v>
      </c>
      <c r="J739" t="s">
        <v>909</v>
      </c>
      <c r="K739" s="2">
        <v>18783</v>
      </c>
      <c r="L739" s="2">
        <v>18783</v>
      </c>
      <c r="M739" t="str">
        <f>IFERROR(IF(VLOOKUP(LEFT(B739,2),'Humanitarian codes'!$A$2:$A$10,1,FALSE)=LEFT(B739,2),"Yes","Error"),"No")</f>
        <v>Yes</v>
      </c>
    </row>
    <row r="740" spans="1:13" x14ac:dyDescent="0.25">
      <c r="A740">
        <v>2022</v>
      </c>
      <c r="B740" t="s">
        <v>3827</v>
      </c>
      <c r="C740" t="s">
        <v>3828</v>
      </c>
      <c r="D740" t="s">
        <v>30</v>
      </c>
      <c r="E740" t="s">
        <v>909</v>
      </c>
      <c r="F740">
        <v>4500257514</v>
      </c>
      <c r="G740" t="s">
        <v>4990</v>
      </c>
      <c r="H740" t="s">
        <v>3334</v>
      </c>
      <c r="I740" t="s">
        <v>3489</v>
      </c>
      <c r="J740" t="s">
        <v>909</v>
      </c>
      <c r="K740" s="2">
        <v>2207</v>
      </c>
      <c r="L740" s="2">
        <v>2207</v>
      </c>
      <c r="M740" t="str">
        <f>IFERROR(IF(VLOOKUP(LEFT(B740,2),'Humanitarian codes'!$A$2:$A$10,1,FALSE)=LEFT(B740,2),"Yes","Error"),"No")</f>
        <v>Yes</v>
      </c>
    </row>
    <row r="741" spans="1:13" x14ac:dyDescent="0.25">
      <c r="A741">
        <v>2022</v>
      </c>
      <c r="B741" t="s">
        <v>3827</v>
      </c>
      <c r="C741" t="s">
        <v>3828</v>
      </c>
      <c r="D741" t="s">
        <v>30</v>
      </c>
      <c r="E741" t="s">
        <v>909</v>
      </c>
      <c r="F741">
        <v>4500259131</v>
      </c>
      <c r="G741" t="s">
        <v>4991</v>
      </c>
      <c r="H741" t="s">
        <v>3334</v>
      </c>
      <c r="I741" t="s">
        <v>4984</v>
      </c>
      <c r="J741" t="s">
        <v>909</v>
      </c>
      <c r="K741" s="2">
        <v>13753</v>
      </c>
      <c r="L741" s="2">
        <v>13753</v>
      </c>
      <c r="M741" t="str">
        <f>IFERROR(IF(VLOOKUP(LEFT(B741,2),'Humanitarian codes'!$A$2:$A$10,1,FALSE)=LEFT(B741,2),"Yes","Error"),"No")</f>
        <v>Yes</v>
      </c>
    </row>
    <row r="742" spans="1:13" x14ac:dyDescent="0.25">
      <c r="A742">
        <v>2022</v>
      </c>
      <c r="B742" t="s">
        <v>3827</v>
      </c>
      <c r="C742" t="s">
        <v>3828</v>
      </c>
      <c r="D742" t="s">
        <v>30</v>
      </c>
      <c r="E742" t="s">
        <v>909</v>
      </c>
      <c r="F742">
        <v>4500263556</v>
      </c>
      <c r="G742" t="s">
        <v>4992</v>
      </c>
      <c r="H742" t="s">
        <v>3334</v>
      </c>
      <c r="I742" t="s">
        <v>2700</v>
      </c>
      <c r="J742" t="s">
        <v>909</v>
      </c>
      <c r="K742" s="2">
        <v>36677</v>
      </c>
      <c r="L742" s="2">
        <v>36677</v>
      </c>
      <c r="M742" t="str">
        <f>IFERROR(IF(VLOOKUP(LEFT(B742,2),'Humanitarian codes'!$A$2:$A$10,1,FALSE)=LEFT(B742,2),"Yes","Error"),"No")</f>
        <v>Yes</v>
      </c>
    </row>
    <row r="743" spans="1:13" x14ac:dyDescent="0.25">
      <c r="A743">
        <v>2022</v>
      </c>
      <c r="B743" t="s">
        <v>3827</v>
      </c>
      <c r="C743" t="s">
        <v>3828</v>
      </c>
      <c r="D743" t="s">
        <v>30</v>
      </c>
      <c r="E743" t="s">
        <v>909</v>
      </c>
      <c r="F743">
        <v>4500266906</v>
      </c>
      <c r="G743" t="s">
        <v>4993</v>
      </c>
      <c r="H743" t="s">
        <v>3334</v>
      </c>
      <c r="I743" t="s">
        <v>2700</v>
      </c>
      <c r="J743" t="s">
        <v>909</v>
      </c>
      <c r="K743" s="2">
        <v>9346</v>
      </c>
      <c r="L743" s="2">
        <v>9346</v>
      </c>
      <c r="M743" t="str">
        <f>IFERROR(IF(VLOOKUP(LEFT(B743,2),'Humanitarian codes'!$A$2:$A$10,1,FALSE)=LEFT(B743,2),"Yes","Error"),"No")</f>
        <v>Yes</v>
      </c>
    </row>
    <row r="744" spans="1:13" x14ac:dyDescent="0.25">
      <c r="A744">
        <v>2022</v>
      </c>
      <c r="B744" t="s">
        <v>3827</v>
      </c>
      <c r="C744" t="s">
        <v>3828</v>
      </c>
      <c r="D744" t="s">
        <v>30</v>
      </c>
      <c r="E744" t="s">
        <v>909</v>
      </c>
      <c r="F744">
        <v>4500269899</v>
      </c>
      <c r="G744" t="s">
        <v>4994</v>
      </c>
      <c r="H744" t="s">
        <v>3334</v>
      </c>
      <c r="I744" t="s">
        <v>2700</v>
      </c>
      <c r="J744" t="s">
        <v>909</v>
      </c>
      <c r="K744" s="2">
        <v>27597</v>
      </c>
      <c r="L744" s="2">
        <v>27597</v>
      </c>
      <c r="M744" t="str">
        <f>IFERROR(IF(VLOOKUP(LEFT(B744,2),'Humanitarian codes'!$A$2:$A$10,1,FALSE)=LEFT(B744,2),"Yes","Error"),"No")</f>
        <v>Yes</v>
      </c>
    </row>
    <row r="745" spans="1:13" x14ac:dyDescent="0.25">
      <c r="A745">
        <v>2022</v>
      </c>
      <c r="B745" t="s">
        <v>3827</v>
      </c>
      <c r="C745" t="s">
        <v>3828</v>
      </c>
      <c r="D745" t="s">
        <v>30</v>
      </c>
      <c r="E745" t="s">
        <v>909</v>
      </c>
      <c r="F745">
        <v>4500270188</v>
      </c>
      <c r="G745" t="s">
        <v>4995</v>
      </c>
      <c r="H745" t="s">
        <v>3334</v>
      </c>
      <c r="I745" t="s">
        <v>4984</v>
      </c>
      <c r="J745" t="s">
        <v>909</v>
      </c>
      <c r="K745" s="2">
        <v>13409</v>
      </c>
      <c r="L745" s="2">
        <v>13409</v>
      </c>
      <c r="M745" t="str">
        <f>IFERROR(IF(VLOOKUP(LEFT(B745,2),'Humanitarian codes'!$A$2:$A$10,1,FALSE)=LEFT(B745,2),"Yes","Error"),"No")</f>
        <v>Yes</v>
      </c>
    </row>
    <row r="746" spans="1:13" x14ac:dyDescent="0.25">
      <c r="A746">
        <v>2022</v>
      </c>
      <c r="B746" t="s">
        <v>3827</v>
      </c>
      <c r="C746" t="s">
        <v>3828</v>
      </c>
      <c r="D746" t="s">
        <v>30</v>
      </c>
      <c r="E746" t="s">
        <v>909</v>
      </c>
      <c r="F746">
        <v>4500273842</v>
      </c>
      <c r="G746" t="s">
        <v>4996</v>
      </c>
      <c r="H746" t="s">
        <v>3334</v>
      </c>
      <c r="I746" t="s">
        <v>4984</v>
      </c>
      <c r="J746" t="s">
        <v>909</v>
      </c>
      <c r="K746" s="2">
        <v>21538</v>
      </c>
      <c r="L746" s="2">
        <v>21538</v>
      </c>
      <c r="M746" t="str">
        <f>IFERROR(IF(VLOOKUP(LEFT(B746,2),'Humanitarian codes'!$A$2:$A$10,1,FALSE)=LEFT(B746,2),"Yes","Error"),"No")</f>
        <v>Yes</v>
      </c>
    </row>
    <row r="747" spans="1:13" x14ac:dyDescent="0.25">
      <c r="A747">
        <v>2022</v>
      </c>
      <c r="B747" t="s">
        <v>3827</v>
      </c>
      <c r="C747" t="s">
        <v>3828</v>
      </c>
      <c r="D747" t="s">
        <v>30</v>
      </c>
      <c r="E747" t="s">
        <v>909</v>
      </c>
      <c r="F747">
        <v>4500273847</v>
      </c>
      <c r="G747" t="s">
        <v>4997</v>
      </c>
      <c r="H747" t="s">
        <v>3334</v>
      </c>
      <c r="I747" t="s">
        <v>3489</v>
      </c>
      <c r="J747" t="s">
        <v>909</v>
      </c>
      <c r="K747" s="2">
        <v>7537</v>
      </c>
      <c r="L747" s="2">
        <v>7537</v>
      </c>
      <c r="M747" t="str">
        <f>IFERROR(IF(VLOOKUP(LEFT(B747,2),'Humanitarian codes'!$A$2:$A$10,1,FALSE)=LEFT(B747,2),"Yes","Error"),"No")</f>
        <v>Yes</v>
      </c>
    </row>
    <row r="748" spans="1:13" x14ac:dyDescent="0.25">
      <c r="A748">
        <v>2022</v>
      </c>
      <c r="B748" t="s">
        <v>3827</v>
      </c>
      <c r="C748" t="s">
        <v>3828</v>
      </c>
      <c r="D748" t="s">
        <v>30</v>
      </c>
      <c r="E748" t="s">
        <v>909</v>
      </c>
      <c r="F748">
        <v>4500274397</v>
      </c>
      <c r="G748" t="s">
        <v>4998</v>
      </c>
      <c r="H748" t="s">
        <v>3334</v>
      </c>
      <c r="I748" t="s">
        <v>4984</v>
      </c>
      <c r="J748" t="s">
        <v>909</v>
      </c>
      <c r="K748" s="2">
        <v>15190</v>
      </c>
      <c r="L748" s="2">
        <v>15190</v>
      </c>
      <c r="M748" t="str">
        <f>IFERROR(IF(VLOOKUP(LEFT(B748,2),'Humanitarian codes'!$A$2:$A$10,1,FALSE)=LEFT(B748,2),"Yes","Error"),"No")</f>
        <v>Yes</v>
      </c>
    </row>
    <row r="749" spans="1:13" x14ac:dyDescent="0.25">
      <c r="A749">
        <v>2022</v>
      </c>
      <c r="B749" t="s">
        <v>3827</v>
      </c>
      <c r="C749" t="s">
        <v>3828</v>
      </c>
      <c r="D749" t="s">
        <v>30</v>
      </c>
      <c r="E749" t="s">
        <v>909</v>
      </c>
      <c r="F749">
        <v>4500274408</v>
      </c>
      <c r="G749" t="s">
        <v>4999</v>
      </c>
      <c r="H749" t="s">
        <v>3334</v>
      </c>
      <c r="I749" t="s">
        <v>2700</v>
      </c>
      <c r="J749" t="s">
        <v>909</v>
      </c>
      <c r="K749" s="2">
        <v>42105</v>
      </c>
      <c r="L749" s="2">
        <v>42105</v>
      </c>
      <c r="M749" t="str">
        <f>IFERROR(IF(VLOOKUP(LEFT(B749,2),'Humanitarian codes'!$A$2:$A$10,1,FALSE)=LEFT(B749,2),"Yes","Error"),"No")</f>
        <v>Yes</v>
      </c>
    </row>
    <row r="750" spans="1:13" x14ac:dyDescent="0.25">
      <c r="A750">
        <v>2022</v>
      </c>
      <c r="B750" t="s">
        <v>3827</v>
      </c>
      <c r="C750" t="s">
        <v>3828</v>
      </c>
      <c r="D750" t="s">
        <v>30</v>
      </c>
      <c r="E750" t="s">
        <v>909</v>
      </c>
      <c r="F750">
        <v>4500275045</v>
      </c>
      <c r="G750" t="s">
        <v>5000</v>
      </c>
      <c r="H750" t="s">
        <v>3334</v>
      </c>
      <c r="I750" t="s">
        <v>3489</v>
      </c>
      <c r="J750" t="s">
        <v>909</v>
      </c>
      <c r="K750" s="2">
        <v>18319</v>
      </c>
      <c r="L750" s="2">
        <v>18319</v>
      </c>
      <c r="M750" t="str">
        <f>IFERROR(IF(VLOOKUP(LEFT(B750,2),'Humanitarian codes'!$A$2:$A$10,1,FALSE)=LEFT(B750,2),"Yes","Error"),"No")</f>
        <v>Yes</v>
      </c>
    </row>
    <row r="751" spans="1:13" x14ac:dyDescent="0.25">
      <c r="A751">
        <v>2022</v>
      </c>
      <c r="B751" t="s">
        <v>3827</v>
      </c>
      <c r="C751" t="s">
        <v>3828</v>
      </c>
      <c r="D751" t="s">
        <v>30</v>
      </c>
      <c r="E751" t="s">
        <v>909</v>
      </c>
      <c r="F751">
        <v>4500275312</v>
      </c>
      <c r="G751" t="s">
        <v>5001</v>
      </c>
      <c r="H751" t="s">
        <v>3334</v>
      </c>
      <c r="I751" t="s">
        <v>3489</v>
      </c>
      <c r="J751" t="s">
        <v>909</v>
      </c>
      <c r="K751" s="2">
        <v>35133</v>
      </c>
      <c r="L751" s="2">
        <v>35133</v>
      </c>
      <c r="M751" t="str">
        <f>IFERROR(IF(VLOOKUP(LEFT(B751,2),'Humanitarian codes'!$A$2:$A$10,1,FALSE)=LEFT(B751,2),"Yes","Error"),"No")</f>
        <v>Yes</v>
      </c>
    </row>
    <row r="752" spans="1:13" x14ac:dyDescent="0.25">
      <c r="A752">
        <v>2022</v>
      </c>
      <c r="B752" t="s">
        <v>3827</v>
      </c>
      <c r="C752" t="s">
        <v>3828</v>
      </c>
      <c r="D752" t="s">
        <v>30</v>
      </c>
      <c r="E752" t="s">
        <v>911</v>
      </c>
      <c r="F752">
        <v>4500245855</v>
      </c>
      <c r="G752" t="s">
        <v>5002</v>
      </c>
      <c r="H752" t="s">
        <v>3334</v>
      </c>
      <c r="I752" t="s">
        <v>3491</v>
      </c>
      <c r="J752" t="s">
        <v>911</v>
      </c>
      <c r="K752" s="2">
        <v>74942</v>
      </c>
      <c r="L752" s="2">
        <v>120240</v>
      </c>
      <c r="M752" t="str">
        <f>IFERROR(IF(VLOOKUP(LEFT(B752,2),'Humanitarian codes'!$A$2:$A$10,1,FALSE)=LEFT(B752,2),"Yes","Error"),"No")</f>
        <v>Yes</v>
      </c>
    </row>
    <row r="753" spans="1:13" x14ac:dyDescent="0.25">
      <c r="A753">
        <v>2022</v>
      </c>
      <c r="B753" t="s">
        <v>3827</v>
      </c>
      <c r="C753" t="s">
        <v>3828</v>
      </c>
      <c r="D753" t="s">
        <v>30</v>
      </c>
      <c r="E753" t="s">
        <v>911</v>
      </c>
      <c r="F753">
        <v>4500274243</v>
      </c>
      <c r="G753" t="s">
        <v>3933</v>
      </c>
      <c r="H753" t="s">
        <v>3334</v>
      </c>
      <c r="I753" t="s">
        <v>3491</v>
      </c>
      <c r="J753" t="s">
        <v>911</v>
      </c>
      <c r="K753" s="2">
        <v>14478</v>
      </c>
      <c r="L753" s="2">
        <v>594689</v>
      </c>
      <c r="M753" t="str">
        <f>IFERROR(IF(VLOOKUP(LEFT(B753,2),'Humanitarian codes'!$A$2:$A$10,1,FALSE)=LEFT(B753,2),"Yes","Error"),"No")</f>
        <v>Yes</v>
      </c>
    </row>
    <row r="754" spans="1:13" x14ac:dyDescent="0.25">
      <c r="A754">
        <v>2022</v>
      </c>
      <c r="B754" t="s">
        <v>3827</v>
      </c>
      <c r="C754" t="s">
        <v>3828</v>
      </c>
      <c r="D754" t="s">
        <v>30</v>
      </c>
      <c r="E754" t="s">
        <v>54</v>
      </c>
      <c r="F754">
        <v>4500223321</v>
      </c>
      <c r="G754" t="s">
        <v>5003</v>
      </c>
      <c r="H754" t="s">
        <v>3334</v>
      </c>
      <c r="I754" t="s">
        <v>1405</v>
      </c>
      <c r="J754" t="s">
        <v>972</v>
      </c>
      <c r="K754" s="2">
        <v>542286</v>
      </c>
      <c r="L754" s="2">
        <v>2501286</v>
      </c>
      <c r="M754" t="str">
        <f>IFERROR(IF(VLOOKUP(LEFT(B754,2),'Humanitarian codes'!$A$2:$A$10,1,FALSE)=LEFT(B754,2),"Yes","Error"),"No")</f>
        <v>Yes</v>
      </c>
    </row>
    <row r="755" spans="1:13" x14ac:dyDescent="0.25">
      <c r="A755">
        <v>2022</v>
      </c>
      <c r="B755" t="s">
        <v>3827</v>
      </c>
      <c r="C755" t="s">
        <v>3828</v>
      </c>
      <c r="D755" t="s">
        <v>30</v>
      </c>
      <c r="E755" t="s">
        <v>54</v>
      </c>
      <c r="F755">
        <v>4500225861</v>
      </c>
      <c r="G755" t="s">
        <v>5004</v>
      </c>
      <c r="H755" t="s">
        <v>3334</v>
      </c>
      <c r="I755" t="s">
        <v>5005</v>
      </c>
      <c r="J755" t="s">
        <v>54</v>
      </c>
      <c r="K755" s="2">
        <v>222602</v>
      </c>
      <c r="L755" s="2">
        <v>1613184</v>
      </c>
      <c r="M755" t="str">
        <f>IFERROR(IF(VLOOKUP(LEFT(B755,2),'Humanitarian codes'!$A$2:$A$10,1,FALSE)=LEFT(B755,2),"Yes","Error"),"No")</f>
        <v>Yes</v>
      </c>
    </row>
    <row r="756" spans="1:13" x14ac:dyDescent="0.25">
      <c r="A756">
        <v>2022</v>
      </c>
      <c r="B756" t="s">
        <v>3827</v>
      </c>
      <c r="C756" t="s">
        <v>3828</v>
      </c>
      <c r="D756" t="s">
        <v>30</v>
      </c>
      <c r="E756" t="s">
        <v>54</v>
      </c>
      <c r="F756">
        <v>4500232729</v>
      </c>
      <c r="G756" t="s">
        <v>5006</v>
      </c>
      <c r="H756" t="s">
        <v>3334</v>
      </c>
      <c r="I756" t="s">
        <v>5007</v>
      </c>
      <c r="J756" t="s">
        <v>54</v>
      </c>
      <c r="K756" s="2">
        <v>48960</v>
      </c>
      <c r="L756" s="2">
        <v>100000</v>
      </c>
      <c r="M756" t="str">
        <f>IFERROR(IF(VLOOKUP(LEFT(B756,2),'Humanitarian codes'!$A$2:$A$10,1,FALSE)=LEFT(B756,2),"Yes","Error"),"No")</f>
        <v>Yes</v>
      </c>
    </row>
    <row r="757" spans="1:13" x14ac:dyDescent="0.25">
      <c r="A757">
        <v>2022</v>
      </c>
      <c r="B757" t="s">
        <v>3827</v>
      </c>
      <c r="C757" t="s">
        <v>3828</v>
      </c>
      <c r="D757" t="s">
        <v>30</v>
      </c>
      <c r="E757" t="s">
        <v>54</v>
      </c>
      <c r="F757">
        <v>4500235383</v>
      </c>
      <c r="G757" t="s">
        <v>5008</v>
      </c>
      <c r="H757" t="s">
        <v>3334</v>
      </c>
      <c r="I757" t="s">
        <v>3497</v>
      </c>
      <c r="J757" t="s">
        <v>54</v>
      </c>
      <c r="K757" s="2">
        <v>73440</v>
      </c>
      <c r="L757" s="2">
        <v>140000</v>
      </c>
      <c r="M757" t="str">
        <f>IFERROR(IF(VLOOKUP(LEFT(B757,2),'Humanitarian codes'!$A$2:$A$10,1,FALSE)=LEFT(B757,2),"Yes","Error"),"No")</f>
        <v>Yes</v>
      </c>
    </row>
    <row r="758" spans="1:13" x14ac:dyDescent="0.25">
      <c r="A758">
        <v>2022</v>
      </c>
      <c r="B758" t="s">
        <v>3827</v>
      </c>
      <c r="C758" t="s">
        <v>3828</v>
      </c>
      <c r="D758" t="s">
        <v>30</v>
      </c>
      <c r="E758" t="s">
        <v>54</v>
      </c>
      <c r="F758">
        <v>4500246484</v>
      </c>
      <c r="G758" t="s">
        <v>5009</v>
      </c>
      <c r="H758" t="s">
        <v>3334</v>
      </c>
      <c r="I758" t="s">
        <v>5010</v>
      </c>
      <c r="J758" t="s">
        <v>54</v>
      </c>
      <c r="K758" s="2">
        <v>5075</v>
      </c>
      <c r="L758" s="2">
        <v>76000</v>
      </c>
      <c r="M758" t="str">
        <f>IFERROR(IF(VLOOKUP(LEFT(B758,2),'Humanitarian codes'!$A$2:$A$10,1,FALSE)=LEFT(B758,2),"Yes","Error"),"No")</f>
        <v>Yes</v>
      </c>
    </row>
    <row r="759" spans="1:13" x14ac:dyDescent="0.25">
      <c r="A759">
        <v>2022</v>
      </c>
      <c r="B759" t="s">
        <v>3827</v>
      </c>
      <c r="C759" t="s">
        <v>3828</v>
      </c>
      <c r="D759" t="s">
        <v>30</v>
      </c>
      <c r="E759" t="s">
        <v>54</v>
      </c>
      <c r="F759">
        <v>4500251107</v>
      </c>
      <c r="G759" t="s">
        <v>5011</v>
      </c>
      <c r="H759" t="s">
        <v>3334</v>
      </c>
      <c r="I759" t="s">
        <v>5012</v>
      </c>
      <c r="J759" t="s">
        <v>751</v>
      </c>
      <c r="K759" s="2">
        <v>1656854</v>
      </c>
      <c r="L759" s="2">
        <v>2271854</v>
      </c>
      <c r="M759" t="str">
        <f>IFERROR(IF(VLOOKUP(LEFT(B759,2),'Humanitarian codes'!$A$2:$A$10,1,FALSE)=LEFT(B759,2),"Yes","Error"),"No")</f>
        <v>Yes</v>
      </c>
    </row>
    <row r="760" spans="1:13" x14ac:dyDescent="0.25">
      <c r="A760">
        <v>2022</v>
      </c>
      <c r="B760" t="s">
        <v>3827</v>
      </c>
      <c r="C760" t="s">
        <v>3828</v>
      </c>
      <c r="D760" t="s">
        <v>30</v>
      </c>
      <c r="E760" t="s">
        <v>54</v>
      </c>
      <c r="F760">
        <v>4500275116</v>
      </c>
      <c r="G760" t="s">
        <v>5013</v>
      </c>
      <c r="H760" t="s">
        <v>3334</v>
      </c>
      <c r="I760" t="s">
        <v>3790</v>
      </c>
      <c r="J760" t="s">
        <v>54</v>
      </c>
      <c r="K760" s="2">
        <v>205528</v>
      </c>
      <c r="L760" s="2">
        <v>587224</v>
      </c>
      <c r="M760" t="str">
        <f>IFERROR(IF(VLOOKUP(LEFT(B760,2),'Humanitarian codes'!$A$2:$A$10,1,FALSE)=LEFT(B760,2),"Yes","Error"),"No")</f>
        <v>Yes</v>
      </c>
    </row>
    <row r="761" spans="1:13" x14ac:dyDescent="0.25">
      <c r="A761">
        <v>2022</v>
      </c>
      <c r="B761" t="s">
        <v>3451</v>
      </c>
      <c r="C761" t="s">
        <v>3452</v>
      </c>
      <c r="D761" t="s">
        <v>30</v>
      </c>
      <c r="E761" t="s">
        <v>175</v>
      </c>
      <c r="F761">
        <v>4500211447</v>
      </c>
      <c r="G761" t="s">
        <v>5014</v>
      </c>
      <c r="H761" t="s">
        <v>3334</v>
      </c>
      <c r="I761" t="s">
        <v>186</v>
      </c>
      <c r="J761" t="s">
        <v>175</v>
      </c>
      <c r="K761" s="2">
        <v>159000</v>
      </c>
      <c r="L761" s="2">
        <v>159000</v>
      </c>
      <c r="M761" t="str">
        <f>IFERROR(IF(VLOOKUP(LEFT(B761,2),'Humanitarian codes'!$A$2:$A$10,1,FALSE)=LEFT(B761,2),"Yes","Error"),"No")</f>
        <v>Yes</v>
      </c>
    </row>
    <row r="762" spans="1:13" x14ac:dyDescent="0.25">
      <c r="A762">
        <v>2022</v>
      </c>
      <c r="B762" t="s">
        <v>3451</v>
      </c>
      <c r="C762" t="s">
        <v>3452</v>
      </c>
      <c r="D762" t="s">
        <v>30</v>
      </c>
      <c r="E762" t="s">
        <v>175</v>
      </c>
      <c r="F762">
        <v>4500211568</v>
      </c>
      <c r="G762" t="s">
        <v>4633</v>
      </c>
      <c r="H762" t="s">
        <v>3334</v>
      </c>
      <c r="I762" t="s">
        <v>176</v>
      </c>
      <c r="J762" t="s">
        <v>175</v>
      </c>
      <c r="K762" s="2">
        <v>2142</v>
      </c>
      <c r="L762" s="2">
        <v>38205</v>
      </c>
      <c r="M762" t="str">
        <f>IFERROR(IF(VLOOKUP(LEFT(B762,2),'Humanitarian codes'!$A$2:$A$10,1,FALSE)=LEFT(B762,2),"Yes","Error"),"No")</f>
        <v>Yes</v>
      </c>
    </row>
    <row r="763" spans="1:13" x14ac:dyDescent="0.25">
      <c r="A763">
        <v>2022</v>
      </c>
      <c r="B763" t="s">
        <v>3451</v>
      </c>
      <c r="C763" t="s">
        <v>3452</v>
      </c>
      <c r="D763" t="s">
        <v>30</v>
      </c>
      <c r="E763" t="s">
        <v>175</v>
      </c>
      <c r="F763">
        <v>4500211900</v>
      </c>
      <c r="G763" t="s">
        <v>5015</v>
      </c>
      <c r="H763" t="s">
        <v>3334</v>
      </c>
      <c r="I763" t="s">
        <v>4673</v>
      </c>
      <c r="J763" t="s">
        <v>175</v>
      </c>
      <c r="K763" s="2">
        <v>403000</v>
      </c>
      <c r="L763" s="2">
        <v>403000</v>
      </c>
      <c r="M763" t="str">
        <f>IFERROR(IF(VLOOKUP(LEFT(B763,2),'Humanitarian codes'!$A$2:$A$10,1,FALSE)=LEFT(B763,2),"Yes","Error"),"No")</f>
        <v>Yes</v>
      </c>
    </row>
    <row r="764" spans="1:13" x14ac:dyDescent="0.25">
      <c r="A764">
        <v>2022</v>
      </c>
      <c r="B764" t="s">
        <v>3451</v>
      </c>
      <c r="C764" t="s">
        <v>3452</v>
      </c>
      <c r="D764" t="s">
        <v>30</v>
      </c>
      <c r="E764" t="s">
        <v>175</v>
      </c>
      <c r="F764">
        <v>4500214286</v>
      </c>
      <c r="G764" t="s">
        <v>5016</v>
      </c>
      <c r="H764" t="s">
        <v>3334</v>
      </c>
      <c r="I764" t="s">
        <v>183</v>
      </c>
      <c r="J764" t="s">
        <v>184</v>
      </c>
      <c r="K764" s="2">
        <v>62101</v>
      </c>
      <c r="L764" s="2">
        <v>62101</v>
      </c>
      <c r="M764" t="str">
        <f>IFERROR(IF(VLOOKUP(LEFT(B764,2),'Humanitarian codes'!$A$2:$A$10,1,FALSE)=LEFT(B764,2),"Yes","Error"),"No")</f>
        <v>Yes</v>
      </c>
    </row>
    <row r="765" spans="1:13" x14ac:dyDescent="0.25">
      <c r="A765">
        <v>2022</v>
      </c>
      <c r="B765" t="s">
        <v>3451</v>
      </c>
      <c r="C765" t="s">
        <v>3452</v>
      </c>
      <c r="D765" t="s">
        <v>30</v>
      </c>
      <c r="E765" t="s">
        <v>175</v>
      </c>
      <c r="F765">
        <v>4500214678</v>
      </c>
      <c r="G765" t="s">
        <v>5017</v>
      </c>
      <c r="H765" t="s">
        <v>3334</v>
      </c>
      <c r="I765" t="s">
        <v>183</v>
      </c>
      <c r="J765" t="s">
        <v>184</v>
      </c>
      <c r="K765" s="2">
        <v>35417</v>
      </c>
      <c r="L765" s="2">
        <v>35417</v>
      </c>
      <c r="M765" t="str">
        <f>IFERROR(IF(VLOOKUP(LEFT(B765,2),'Humanitarian codes'!$A$2:$A$10,1,FALSE)=LEFT(B765,2),"Yes","Error"),"No")</f>
        <v>Yes</v>
      </c>
    </row>
    <row r="766" spans="1:13" x14ac:dyDescent="0.25">
      <c r="A766">
        <v>2022</v>
      </c>
      <c r="B766" t="s">
        <v>3451</v>
      </c>
      <c r="C766" t="s">
        <v>3452</v>
      </c>
      <c r="D766" t="s">
        <v>30</v>
      </c>
      <c r="E766" t="s">
        <v>175</v>
      </c>
      <c r="F766">
        <v>4500214688</v>
      </c>
      <c r="G766" t="s">
        <v>5018</v>
      </c>
      <c r="H766" t="s">
        <v>3334</v>
      </c>
      <c r="I766" t="s">
        <v>887</v>
      </c>
      <c r="J766" t="s">
        <v>175</v>
      </c>
      <c r="K766" s="2">
        <v>297697</v>
      </c>
      <c r="L766" s="2">
        <v>297697</v>
      </c>
      <c r="M766" t="str">
        <f>IFERROR(IF(VLOOKUP(LEFT(B766,2),'Humanitarian codes'!$A$2:$A$10,1,FALSE)=LEFT(B766,2),"Yes","Error"),"No")</f>
        <v>Yes</v>
      </c>
    </row>
    <row r="767" spans="1:13" x14ac:dyDescent="0.25">
      <c r="A767">
        <v>2022</v>
      </c>
      <c r="B767" t="s">
        <v>3451</v>
      </c>
      <c r="C767" t="s">
        <v>3452</v>
      </c>
      <c r="D767" t="s">
        <v>30</v>
      </c>
      <c r="E767" t="s">
        <v>175</v>
      </c>
      <c r="F767">
        <v>4500257677</v>
      </c>
      <c r="G767" t="s">
        <v>4445</v>
      </c>
      <c r="H767" t="s">
        <v>3334</v>
      </c>
      <c r="I767" t="s">
        <v>186</v>
      </c>
      <c r="J767" t="s">
        <v>175</v>
      </c>
      <c r="K767" s="2">
        <v>67557</v>
      </c>
      <c r="L767" s="2">
        <v>67557</v>
      </c>
      <c r="M767" t="str">
        <f>IFERROR(IF(VLOOKUP(LEFT(B767,2),'Humanitarian codes'!$A$2:$A$10,1,FALSE)=LEFT(B767,2),"Yes","Error"),"No")</f>
        <v>Yes</v>
      </c>
    </row>
    <row r="768" spans="1:13" x14ac:dyDescent="0.25">
      <c r="A768">
        <v>2022</v>
      </c>
      <c r="B768" t="s">
        <v>3451</v>
      </c>
      <c r="C768" t="s">
        <v>3452</v>
      </c>
      <c r="D768" t="s">
        <v>30</v>
      </c>
      <c r="E768" t="s">
        <v>175</v>
      </c>
      <c r="F768">
        <v>4500260047</v>
      </c>
      <c r="G768" t="s">
        <v>4445</v>
      </c>
      <c r="H768" t="s">
        <v>3334</v>
      </c>
      <c r="I768" t="s">
        <v>183</v>
      </c>
      <c r="J768" t="s">
        <v>184</v>
      </c>
      <c r="K768" s="2">
        <v>322900</v>
      </c>
      <c r="L768" s="2">
        <v>322900</v>
      </c>
      <c r="M768" t="str">
        <f>IFERROR(IF(VLOOKUP(LEFT(B768,2),'Humanitarian codes'!$A$2:$A$10,1,FALSE)=LEFT(B768,2),"Yes","Error"),"No")</f>
        <v>Yes</v>
      </c>
    </row>
    <row r="769" spans="1:13" x14ac:dyDescent="0.25">
      <c r="A769">
        <v>2022</v>
      </c>
      <c r="B769" t="s">
        <v>3451</v>
      </c>
      <c r="C769" t="s">
        <v>3452</v>
      </c>
      <c r="D769" t="s">
        <v>30</v>
      </c>
      <c r="E769" t="s">
        <v>175</v>
      </c>
      <c r="F769">
        <v>4500260054</v>
      </c>
      <c r="G769" t="s">
        <v>5019</v>
      </c>
      <c r="H769" t="s">
        <v>3334</v>
      </c>
      <c r="I769" t="s">
        <v>2974</v>
      </c>
      <c r="J769" t="s">
        <v>175</v>
      </c>
      <c r="K769" s="2">
        <v>148011</v>
      </c>
      <c r="L769" s="2">
        <v>148011</v>
      </c>
      <c r="M769" t="str">
        <f>IFERROR(IF(VLOOKUP(LEFT(B769,2),'Humanitarian codes'!$A$2:$A$10,1,FALSE)=LEFT(B769,2),"Yes","Error"),"No")</f>
        <v>Yes</v>
      </c>
    </row>
    <row r="770" spans="1:13" x14ac:dyDescent="0.25">
      <c r="A770">
        <v>2022</v>
      </c>
      <c r="B770" t="s">
        <v>3451</v>
      </c>
      <c r="C770" t="s">
        <v>3452</v>
      </c>
      <c r="D770" t="s">
        <v>30</v>
      </c>
      <c r="E770" t="s">
        <v>175</v>
      </c>
      <c r="F770">
        <v>4500262585</v>
      </c>
      <c r="G770" t="s">
        <v>5020</v>
      </c>
      <c r="H770" t="s">
        <v>3334</v>
      </c>
      <c r="I770" t="s">
        <v>887</v>
      </c>
      <c r="J770" t="s">
        <v>175</v>
      </c>
      <c r="K770" s="2">
        <v>100000</v>
      </c>
      <c r="L770" s="2">
        <v>100000</v>
      </c>
      <c r="M770" t="str">
        <f>IFERROR(IF(VLOOKUP(LEFT(B770,2),'Humanitarian codes'!$A$2:$A$10,1,FALSE)=LEFT(B770,2),"Yes","Error"),"No")</f>
        <v>Yes</v>
      </c>
    </row>
    <row r="771" spans="1:13" x14ac:dyDescent="0.25">
      <c r="A771">
        <v>2022</v>
      </c>
      <c r="B771" t="s">
        <v>3460</v>
      </c>
      <c r="C771" t="s">
        <v>3461</v>
      </c>
      <c r="D771" t="s">
        <v>30</v>
      </c>
      <c r="E771" t="s">
        <v>197</v>
      </c>
      <c r="F771">
        <v>4500207525</v>
      </c>
      <c r="G771" t="s">
        <v>5021</v>
      </c>
      <c r="H771" t="s">
        <v>3334</v>
      </c>
      <c r="I771" t="s">
        <v>1277</v>
      </c>
      <c r="J771" t="s">
        <v>197</v>
      </c>
      <c r="K771" s="2">
        <v>73622</v>
      </c>
      <c r="L771" s="2">
        <v>73622</v>
      </c>
      <c r="M771" t="str">
        <f>IFERROR(IF(VLOOKUP(LEFT(B771,2),'Humanitarian codes'!$A$2:$A$10,1,FALSE)=LEFT(B771,2),"Yes","Error"),"No")</f>
        <v>Yes</v>
      </c>
    </row>
    <row r="772" spans="1:13" x14ac:dyDescent="0.25">
      <c r="A772">
        <v>2022</v>
      </c>
      <c r="B772" t="s">
        <v>3460</v>
      </c>
      <c r="C772" t="s">
        <v>3461</v>
      </c>
      <c r="D772" t="s">
        <v>30</v>
      </c>
      <c r="E772" t="s">
        <v>197</v>
      </c>
      <c r="F772">
        <v>4500207530</v>
      </c>
      <c r="G772" t="s">
        <v>5022</v>
      </c>
      <c r="H772" t="s">
        <v>3334</v>
      </c>
      <c r="I772" t="s">
        <v>861</v>
      </c>
      <c r="J772" t="s">
        <v>197</v>
      </c>
      <c r="K772" s="2">
        <v>33075</v>
      </c>
      <c r="L772" s="2">
        <v>33075</v>
      </c>
      <c r="M772" t="str">
        <f>IFERROR(IF(VLOOKUP(LEFT(B772,2),'Humanitarian codes'!$A$2:$A$10,1,FALSE)=LEFT(B772,2),"Yes","Error"),"No")</f>
        <v>Yes</v>
      </c>
    </row>
    <row r="773" spans="1:13" x14ac:dyDescent="0.25">
      <c r="A773">
        <v>2022</v>
      </c>
      <c r="B773" t="s">
        <v>3460</v>
      </c>
      <c r="C773" t="s">
        <v>3461</v>
      </c>
      <c r="D773" t="s">
        <v>30</v>
      </c>
      <c r="E773" t="s">
        <v>197</v>
      </c>
      <c r="F773">
        <v>4500212018</v>
      </c>
      <c r="G773" t="s">
        <v>5023</v>
      </c>
      <c r="H773" t="s">
        <v>3334</v>
      </c>
      <c r="I773" t="s">
        <v>1373</v>
      </c>
      <c r="J773" t="s">
        <v>197</v>
      </c>
      <c r="K773" s="2">
        <v>26960</v>
      </c>
      <c r="L773" s="2">
        <v>26960</v>
      </c>
      <c r="M773" t="str">
        <f>IFERROR(IF(VLOOKUP(LEFT(B773,2),'Humanitarian codes'!$A$2:$A$10,1,FALSE)=LEFT(B773,2),"Yes","Error"),"No")</f>
        <v>Yes</v>
      </c>
    </row>
    <row r="774" spans="1:13" x14ac:dyDescent="0.25">
      <c r="A774">
        <v>2022</v>
      </c>
      <c r="B774" t="s">
        <v>3460</v>
      </c>
      <c r="C774" t="s">
        <v>3461</v>
      </c>
      <c r="D774" t="s">
        <v>30</v>
      </c>
      <c r="E774" t="s">
        <v>197</v>
      </c>
      <c r="F774">
        <v>4500213627</v>
      </c>
      <c r="G774" t="s">
        <v>5024</v>
      </c>
      <c r="H774" t="s">
        <v>3334</v>
      </c>
      <c r="I774" t="s">
        <v>3466</v>
      </c>
      <c r="J774" t="s">
        <v>197</v>
      </c>
      <c r="K774" s="2">
        <v>13979</v>
      </c>
      <c r="L774" s="2">
        <v>13979</v>
      </c>
      <c r="M774" t="str">
        <f>IFERROR(IF(VLOOKUP(LEFT(B774,2),'Humanitarian codes'!$A$2:$A$10,1,FALSE)=LEFT(B774,2),"Yes","Error"),"No")</f>
        <v>Yes</v>
      </c>
    </row>
    <row r="775" spans="1:13" x14ac:dyDescent="0.25">
      <c r="A775">
        <v>2022</v>
      </c>
      <c r="B775" t="s">
        <v>3460</v>
      </c>
      <c r="C775" t="s">
        <v>3461</v>
      </c>
      <c r="D775" t="s">
        <v>30</v>
      </c>
      <c r="E775" t="s">
        <v>197</v>
      </c>
      <c r="F775">
        <v>4500214019</v>
      </c>
      <c r="G775" t="s">
        <v>5025</v>
      </c>
      <c r="H775" t="s">
        <v>3334</v>
      </c>
      <c r="I775" t="s">
        <v>2394</v>
      </c>
      <c r="J775" t="s">
        <v>197</v>
      </c>
      <c r="K775" s="2">
        <v>27958</v>
      </c>
      <c r="L775" s="2">
        <v>27958</v>
      </c>
      <c r="M775" t="str">
        <f>IFERROR(IF(VLOOKUP(LEFT(B775,2),'Humanitarian codes'!$A$2:$A$10,1,FALSE)=LEFT(B775,2),"Yes","Error"),"No")</f>
        <v>Yes</v>
      </c>
    </row>
    <row r="776" spans="1:13" x14ac:dyDescent="0.25">
      <c r="A776">
        <v>2022</v>
      </c>
      <c r="B776" t="s">
        <v>3460</v>
      </c>
      <c r="C776" t="s">
        <v>3461</v>
      </c>
      <c r="D776" t="s">
        <v>30</v>
      </c>
      <c r="E776" t="s">
        <v>197</v>
      </c>
      <c r="F776">
        <v>4500215665</v>
      </c>
      <c r="G776" t="s">
        <v>5026</v>
      </c>
      <c r="H776" t="s">
        <v>3334</v>
      </c>
      <c r="I776" t="s">
        <v>2389</v>
      </c>
      <c r="J776" t="s">
        <v>197</v>
      </c>
      <c r="K776" s="2">
        <v>9985</v>
      </c>
      <c r="L776" s="2">
        <v>9985</v>
      </c>
      <c r="M776" t="str">
        <f>IFERROR(IF(VLOOKUP(LEFT(B776,2),'Humanitarian codes'!$A$2:$A$10,1,FALSE)=LEFT(B776,2),"Yes","Error"),"No")</f>
        <v>Yes</v>
      </c>
    </row>
    <row r="777" spans="1:13" x14ac:dyDescent="0.25">
      <c r="A777">
        <v>2022</v>
      </c>
      <c r="B777" t="s">
        <v>3460</v>
      </c>
      <c r="C777" t="s">
        <v>3461</v>
      </c>
      <c r="D777" t="s">
        <v>30</v>
      </c>
      <c r="E777" t="s">
        <v>197</v>
      </c>
      <c r="F777">
        <v>4500216076</v>
      </c>
      <c r="G777" t="s">
        <v>5027</v>
      </c>
      <c r="H777" t="s">
        <v>3334</v>
      </c>
      <c r="I777" t="s">
        <v>863</v>
      </c>
      <c r="J777" t="s">
        <v>197</v>
      </c>
      <c r="K777" s="2">
        <v>22966</v>
      </c>
      <c r="L777" s="2">
        <v>22966</v>
      </c>
      <c r="M777" t="str">
        <f>IFERROR(IF(VLOOKUP(LEFT(B777,2),'Humanitarian codes'!$A$2:$A$10,1,FALSE)=LEFT(B777,2),"Yes","Error"),"No")</f>
        <v>Yes</v>
      </c>
    </row>
    <row r="778" spans="1:13" x14ac:dyDescent="0.25">
      <c r="A778">
        <v>2022</v>
      </c>
      <c r="B778" t="s">
        <v>3460</v>
      </c>
      <c r="C778" t="s">
        <v>3461</v>
      </c>
      <c r="D778" t="s">
        <v>30</v>
      </c>
      <c r="E778" t="s">
        <v>197</v>
      </c>
      <c r="F778">
        <v>4500235878</v>
      </c>
      <c r="G778" t="s">
        <v>5028</v>
      </c>
      <c r="H778" t="s">
        <v>3334</v>
      </c>
      <c r="I778" t="s">
        <v>5029</v>
      </c>
      <c r="J778" t="s">
        <v>197</v>
      </c>
      <c r="K778" s="2">
        <v>8771</v>
      </c>
      <c r="L778" s="2">
        <v>8771</v>
      </c>
      <c r="M778" t="str">
        <f>IFERROR(IF(VLOOKUP(LEFT(B778,2),'Humanitarian codes'!$A$2:$A$10,1,FALSE)=LEFT(B778,2),"Yes","Error"),"No")</f>
        <v>Yes</v>
      </c>
    </row>
    <row r="779" spans="1:13" x14ac:dyDescent="0.25">
      <c r="A779">
        <v>2022</v>
      </c>
      <c r="B779" t="s">
        <v>3460</v>
      </c>
      <c r="C779" t="s">
        <v>3461</v>
      </c>
      <c r="D779" t="s">
        <v>30</v>
      </c>
      <c r="E779" t="s">
        <v>197</v>
      </c>
      <c r="F779">
        <v>4500241693</v>
      </c>
      <c r="G779" t="s">
        <v>5030</v>
      </c>
      <c r="H779" t="s">
        <v>3334</v>
      </c>
      <c r="I779" t="s">
        <v>2389</v>
      </c>
      <c r="J779" t="s">
        <v>197</v>
      </c>
      <c r="K779" s="2">
        <v>23983</v>
      </c>
      <c r="L779" s="2">
        <v>23983</v>
      </c>
      <c r="M779" t="str">
        <f>IFERROR(IF(VLOOKUP(LEFT(B779,2),'Humanitarian codes'!$A$2:$A$10,1,FALSE)=LEFT(B779,2),"Yes","Error"),"No")</f>
        <v>Yes</v>
      </c>
    </row>
    <row r="780" spans="1:13" x14ac:dyDescent="0.25">
      <c r="A780">
        <v>2022</v>
      </c>
      <c r="B780" t="s">
        <v>3460</v>
      </c>
      <c r="C780" t="s">
        <v>3461</v>
      </c>
      <c r="D780" t="s">
        <v>30</v>
      </c>
      <c r="E780" t="s">
        <v>197</v>
      </c>
      <c r="F780">
        <v>4500242843</v>
      </c>
      <c r="G780" t="s">
        <v>5031</v>
      </c>
      <c r="H780" t="s">
        <v>3334</v>
      </c>
      <c r="I780" t="s">
        <v>1373</v>
      </c>
      <c r="J780" t="s">
        <v>197</v>
      </c>
      <c r="K780" s="2">
        <v>41378</v>
      </c>
      <c r="L780" s="2">
        <v>41378</v>
      </c>
      <c r="M780" t="str">
        <f>IFERROR(IF(VLOOKUP(LEFT(B780,2),'Humanitarian codes'!$A$2:$A$10,1,FALSE)=LEFT(B780,2),"Yes","Error"),"No")</f>
        <v>Yes</v>
      </c>
    </row>
    <row r="781" spans="1:13" x14ac:dyDescent="0.25">
      <c r="A781">
        <v>2022</v>
      </c>
      <c r="B781" t="s">
        <v>3460</v>
      </c>
      <c r="C781" t="s">
        <v>3461</v>
      </c>
      <c r="D781" t="s">
        <v>30</v>
      </c>
      <c r="E781" t="s">
        <v>197</v>
      </c>
      <c r="F781">
        <v>4500247371</v>
      </c>
      <c r="G781" t="s">
        <v>5032</v>
      </c>
      <c r="H781" t="s">
        <v>3334</v>
      </c>
      <c r="I781" t="s">
        <v>861</v>
      </c>
      <c r="J781" t="s">
        <v>197</v>
      </c>
      <c r="K781" s="2">
        <v>65895</v>
      </c>
      <c r="L781" s="2">
        <v>65895</v>
      </c>
      <c r="M781" t="str">
        <f>IFERROR(IF(VLOOKUP(LEFT(B781,2),'Humanitarian codes'!$A$2:$A$10,1,FALSE)=LEFT(B781,2),"Yes","Error"),"No")</f>
        <v>Yes</v>
      </c>
    </row>
    <row r="782" spans="1:13" x14ac:dyDescent="0.25">
      <c r="A782">
        <v>2022</v>
      </c>
      <c r="B782" t="s">
        <v>3460</v>
      </c>
      <c r="C782" t="s">
        <v>3461</v>
      </c>
      <c r="D782" t="s">
        <v>30</v>
      </c>
      <c r="E782" t="s">
        <v>197</v>
      </c>
      <c r="F782">
        <v>4500247376</v>
      </c>
      <c r="G782" t="s">
        <v>5033</v>
      </c>
      <c r="H782" t="s">
        <v>3334</v>
      </c>
      <c r="I782" t="s">
        <v>1277</v>
      </c>
      <c r="J782" t="s">
        <v>197</v>
      </c>
      <c r="K782" s="2">
        <v>92962</v>
      </c>
      <c r="L782" s="2">
        <v>92962</v>
      </c>
      <c r="M782" t="str">
        <f>IFERROR(IF(VLOOKUP(LEFT(B782,2),'Humanitarian codes'!$A$2:$A$10,1,FALSE)=LEFT(B782,2),"Yes","Error"),"No")</f>
        <v>Yes</v>
      </c>
    </row>
    <row r="783" spans="1:13" x14ac:dyDescent="0.25">
      <c r="A783">
        <v>2022</v>
      </c>
      <c r="B783" t="s">
        <v>3460</v>
      </c>
      <c r="C783" t="s">
        <v>3461</v>
      </c>
      <c r="D783" t="s">
        <v>30</v>
      </c>
      <c r="E783" t="s">
        <v>197</v>
      </c>
      <c r="F783">
        <v>4500252771</v>
      </c>
      <c r="G783" t="s">
        <v>5034</v>
      </c>
      <c r="H783" t="s">
        <v>3334</v>
      </c>
      <c r="I783" t="s">
        <v>863</v>
      </c>
      <c r="J783" t="s">
        <v>197</v>
      </c>
      <c r="K783" s="2">
        <v>25643</v>
      </c>
      <c r="L783" s="2">
        <v>25643</v>
      </c>
      <c r="M783" t="str">
        <f>IFERROR(IF(VLOOKUP(LEFT(B783,2),'Humanitarian codes'!$A$2:$A$10,1,FALSE)=LEFT(B783,2),"Yes","Error"),"No")</f>
        <v>Yes</v>
      </c>
    </row>
    <row r="784" spans="1:13" x14ac:dyDescent="0.25">
      <c r="A784">
        <v>2022</v>
      </c>
      <c r="B784" t="s">
        <v>3460</v>
      </c>
      <c r="C784" t="s">
        <v>3461</v>
      </c>
      <c r="D784" t="s">
        <v>30</v>
      </c>
      <c r="E784" t="s">
        <v>197</v>
      </c>
      <c r="F784">
        <v>4500257445</v>
      </c>
      <c r="G784" t="s">
        <v>5035</v>
      </c>
      <c r="H784" t="s">
        <v>3334</v>
      </c>
      <c r="I784" t="s">
        <v>3466</v>
      </c>
      <c r="J784" t="s">
        <v>197</v>
      </c>
      <c r="K784" s="2">
        <v>21566</v>
      </c>
      <c r="L784" s="2">
        <v>21566</v>
      </c>
      <c r="M784" t="str">
        <f>IFERROR(IF(VLOOKUP(LEFT(B784,2),'Humanitarian codes'!$A$2:$A$10,1,FALSE)=LEFT(B784,2),"Yes","Error"),"No")</f>
        <v>Yes</v>
      </c>
    </row>
    <row r="785" spans="1:13" x14ac:dyDescent="0.25">
      <c r="A785">
        <v>2022</v>
      </c>
      <c r="B785" t="s">
        <v>3460</v>
      </c>
      <c r="C785" t="s">
        <v>3461</v>
      </c>
      <c r="D785" t="s">
        <v>30</v>
      </c>
      <c r="E785" t="s">
        <v>197</v>
      </c>
      <c r="F785">
        <v>4500257447</v>
      </c>
      <c r="G785" t="s">
        <v>3938</v>
      </c>
      <c r="H785" t="s">
        <v>3334</v>
      </c>
      <c r="I785" t="s">
        <v>2394</v>
      </c>
      <c r="J785" t="s">
        <v>197</v>
      </c>
      <c r="K785" s="2">
        <v>17324</v>
      </c>
      <c r="L785" s="2">
        <v>17324</v>
      </c>
      <c r="M785" t="str">
        <f>IFERROR(IF(VLOOKUP(LEFT(B785,2),'Humanitarian codes'!$A$2:$A$10,1,FALSE)=LEFT(B785,2),"Yes","Error"),"No")</f>
        <v>Yes</v>
      </c>
    </row>
    <row r="786" spans="1:13" x14ac:dyDescent="0.25">
      <c r="A786">
        <v>2022</v>
      </c>
      <c r="B786" t="s">
        <v>3460</v>
      </c>
      <c r="C786" t="s">
        <v>3461</v>
      </c>
      <c r="D786" t="s">
        <v>30</v>
      </c>
      <c r="E786" t="s">
        <v>864</v>
      </c>
      <c r="F786">
        <v>4500230695</v>
      </c>
      <c r="G786" t="s">
        <v>5036</v>
      </c>
      <c r="H786" t="s">
        <v>3334</v>
      </c>
      <c r="I786" t="s">
        <v>867</v>
      </c>
      <c r="J786" t="s">
        <v>4826</v>
      </c>
      <c r="K786" s="2">
        <v>33765</v>
      </c>
      <c r="L786" s="2">
        <v>33765</v>
      </c>
      <c r="M786" t="str">
        <f>IFERROR(IF(VLOOKUP(LEFT(B786,2),'Humanitarian codes'!$A$2:$A$10,1,FALSE)=LEFT(B786,2),"Yes","Error"),"No")</f>
        <v>Yes</v>
      </c>
    </row>
    <row r="787" spans="1:13" x14ac:dyDescent="0.25">
      <c r="A787">
        <v>2022</v>
      </c>
      <c r="B787" t="s">
        <v>3460</v>
      </c>
      <c r="C787" t="s">
        <v>3461</v>
      </c>
      <c r="D787" t="s">
        <v>30</v>
      </c>
      <c r="E787" t="s">
        <v>864</v>
      </c>
      <c r="F787">
        <v>4500230703</v>
      </c>
      <c r="G787" t="s">
        <v>5037</v>
      </c>
      <c r="H787" t="s">
        <v>3334</v>
      </c>
      <c r="I787" t="s">
        <v>865</v>
      </c>
      <c r="J787" t="s">
        <v>4826</v>
      </c>
      <c r="K787" s="2">
        <v>12260</v>
      </c>
      <c r="L787" s="2">
        <v>12260</v>
      </c>
      <c r="M787" t="str">
        <f>IFERROR(IF(VLOOKUP(LEFT(B787,2),'Humanitarian codes'!$A$2:$A$10,1,FALSE)=LEFT(B787,2),"Yes","Error"),"No")</f>
        <v>Yes</v>
      </c>
    </row>
    <row r="788" spans="1:13" x14ac:dyDescent="0.25">
      <c r="A788">
        <v>2022</v>
      </c>
      <c r="B788" t="s">
        <v>3460</v>
      </c>
      <c r="C788" t="s">
        <v>3461</v>
      </c>
      <c r="D788" t="s">
        <v>30</v>
      </c>
      <c r="E788" t="s">
        <v>864</v>
      </c>
      <c r="F788">
        <v>4500231051</v>
      </c>
      <c r="G788" t="s">
        <v>5038</v>
      </c>
      <c r="H788" t="s">
        <v>3334</v>
      </c>
      <c r="I788" t="s">
        <v>2127</v>
      </c>
      <c r="J788" t="s">
        <v>4826</v>
      </c>
      <c r="K788" s="2">
        <v>21013</v>
      </c>
      <c r="L788" s="2">
        <v>21013</v>
      </c>
      <c r="M788" t="str">
        <f>IFERROR(IF(VLOOKUP(LEFT(B788,2),'Humanitarian codes'!$A$2:$A$10,1,FALSE)=LEFT(B788,2),"Yes","Error"),"No")</f>
        <v>Yes</v>
      </c>
    </row>
    <row r="789" spans="1:13" x14ac:dyDescent="0.25">
      <c r="A789">
        <v>2022</v>
      </c>
      <c r="B789" t="s">
        <v>3460</v>
      </c>
      <c r="C789" t="s">
        <v>3461</v>
      </c>
      <c r="D789" t="s">
        <v>30</v>
      </c>
      <c r="E789" t="s">
        <v>864</v>
      </c>
      <c r="F789">
        <v>4500250650</v>
      </c>
      <c r="G789" t="s">
        <v>3938</v>
      </c>
      <c r="H789" t="s">
        <v>3334</v>
      </c>
      <c r="I789" t="s">
        <v>867</v>
      </c>
      <c r="J789" t="s">
        <v>4826</v>
      </c>
      <c r="K789" s="2">
        <v>9317</v>
      </c>
      <c r="L789" s="2">
        <v>9317</v>
      </c>
      <c r="M789" t="str">
        <f>IFERROR(IF(VLOOKUP(LEFT(B789,2),'Humanitarian codes'!$A$2:$A$10,1,FALSE)=LEFT(B789,2),"Yes","Error"),"No")</f>
        <v>Yes</v>
      </c>
    </row>
    <row r="790" spans="1:13" x14ac:dyDescent="0.25">
      <c r="A790">
        <v>2022</v>
      </c>
      <c r="B790" t="s">
        <v>3460</v>
      </c>
      <c r="C790" t="s">
        <v>3461</v>
      </c>
      <c r="D790" t="s">
        <v>30</v>
      </c>
      <c r="E790" t="s">
        <v>1278</v>
      </c>
      <c r="F790">
        <v>4500202186</v>
      </c>
      <c r="G790" t="s">
        <v>5039</v>
      </c>
      <c r="H790" t="s">
        <v>3334</v>
      </c>
      <c r="I790" t="s">
        <v>5040</v>
      </c>
      <c r="J790" t="s">
        <v>1278</v>
      </c>
      <c r="K790" s="2">
        <v>5824</v>
      </c>
      <c r="L790" s="2">
        <v>5824</v>
      </c>
      <c r="M790" t="str">
        <f>IFERROR(IF(VLOOKUP(LEFT(B790,2),'Humanitarian codes'!$A$2:$A$10,1,FALSE)=LEFT(B790,2),"Yes","Error"),"No")</f>
        <v>Yes</v>
      </c>
    </row>
    <row r="791" spans="1:13" x14ac:dyDescent="0.25">
      <c r="A791">
        <v>2022</v>
      </c>
      <c r="B791" t="s">
        <v>3460</v>
      </c>
      <c r="C791" t="s">
        <v>3461</v>
      </c>
      <c r="D791" t="s">
        <v>30</v>
      </c>
      <c r="E791" t="s">
        <v>1278</v>
      </c>
      <c r="F791">
        <v>4500230621</v>
      </c>
      <c r="G791" t="s">
        <v>5041</v>
      </c>
      <c r="H791" t="s">
        <v>3334</v>
      </c>
      <c r="I791" t="s">
        <v>1461</v>
      </c>
      <c r="J791" t="s">
        <v>1278</v>
      </c>
      <c r="K791" s="2">
        <v>35120</v>
      </c>
      <c r="L791" s="2">
        <v>35120</v>
      </c>
      <c r="M791" t="str">
        <f>IFERROR(IF(VLOOKUP(LEFT(B791,2),'Humanitarian codes'!$A$2:$A$10,1,FALSE)=LEFT(B791,2),"Yes","Error"),"No")</f>
        <v>Yes</v>
      </c>
    </row>
    <row r="792" spans="1:13" x14ac:dyDescent="0.25">
      <c r="A792">
        <v>2022</v>
      </c>
      <c r="B792" t="s">
        <v>3460</v>
      </c>
      <c r="C792" t="s">
        <v>3461</v>
      </c>
      <c r="D792" t="s">
        <v>30</v>
      </c>
      <c r="E792" t="s">
        <v>201</v>
      </c>
      <c r="F792">
        <v>4500255898</v>
      </c>
      <c r="G792" t="s">
        <v>5042</v>
      </c>
      <c r="H792" t="s">
        <v>3334</v>
      </c>
      <c r="I792" t="s">
        <v>5043</v>
      </c>
      <c r="J792" t="s">
        <v>201</v>
      </c>
      <c r="K792" s="2">
        <v>24870</v>
      </c>
      <c r="L792" s="2">
        <v>24870</v>
      </c>
      <c r="M792" t="str">
        <f>IFERROR(IF(VLOOKUP(LEFT(B792,2),'Humanitarian codes'!$A$2:$A$10,1,FALSE)=LEFT(B792,2),"Yes","Error"),"No")</f>
        <v>Yes</v>
      </c>
    </row>
    <row r="793" spans="1:13" x14ac:dyDescent="0.25">
      <c r="A793">
        <v>2022</v>
      </c>
      <c r="B793" t="s">
        <v>3460</v>
      </c>
      <c r="C793" t="s">
        <v>3461</v>
      </c>
      <c r="D793" t="s">
        <v>30</v>
      </c>
      <c r="E793" t="s">
        <v>201</v>
      </c>
      <c r="F793">
        <v>4500256287</v>
      </c>
      <c r="G793" t="s">
        <v>5044</v>
      </c>
      <c r="H793" t="s">
        <v>3334</v>
      </c>
      <c r="I793" t="s">
        <v>203</v>
      </c>
      <c r="J793" t="s">
        <v>201</v>
      </c>
      <c r="K793" s="2">
        <v>9119</v>
      </c>
      <c r="L793" s="2">
        <v>9119</v>
      </c>
      <c r="M793" t="str">
        <f>IFERROR(IF(VLOOKUP(LEFT(B793,2),'Humanitarian codes'!$A$2:$A$10,1,FALSE)=LEFT(B793,2),"Yes","Error"),"No")</f>
        <v>Yes</v>
      </c>
    </row>
    <row r="794" spans="1:13" x14ac:dyDescent="0.25">
      <c r="A794">
        <v>2022</v>
      </c>
      <c r="B794" t="s">
        <v>3460</v>
      </c>
      <c r="C794" t="s">
        <v>3461</v>
      </c>
      <c r="D794" t="s">
        <v>30</v>
      </c>
      <c r="E794" t="s">
        <v>201</v>
      </c>
      <c r="F794">
        <v>4500257441</v>
      </c>
      <c r="G794" t="s">
        <v>5045</v>
      </c>
      <c r="H794" t="s">
        <v>3334</v>
      </c>
      <c r="I794" t="s">
        <v>5046</v>
      </c>
      <c r="J794" t="s">
        <v>201</v>
      </c>
      <c r="K794" s="2">
        <v>6489</v>
      </c>
      <c r="L794" s="2">
        <v>6489</v>
      </c>
      <c r="M794" t="str">
        <f>IFERROR(IF(VLOOKUP(LEFT(B794,2),'Humanitarian codes'!$A$2:$A$10,1,FALSE)=LEFT(B794,2),"Yes","Error"),"No")</f>
        <v>Yes</v>
      </c>
    </row>
    <row r="795" spans="1:13" x14ac:dyDescent="0.25">
      <c r="A795">
        <v>2022</v>
      </c>
      <c r="B795" t="s">
        <v>3460</v>
      </c>
      <c r="C795" t="s">
        <v>3461</v>
      </c>
      <c r="D795" t="s">
        <v>30</v>
      </c>
      <c r="E795" t="s">
        <v>449</v>
      </c>
      <c r="F795">
        <v>4500242477</v>
      </c>
      <c r="G795" t="s">
        <v>5047</v>
      </c>
      <c r="H795" t="s">
        <v>3334</v>
      </c>
      <c r="I795" t="s">
        <v>2518</v>
      </c>
      <c r="J795" t="s">
        <v>449</v>
      </c>
      <c r="K795" s="2">
        <v>12320</v>
      </c>
      <c r="L795" s="2">
        <v>12320</v>
      </c>
      <c r="M795" t="str">
        <f>IFERROR(IF(VLOOKUP(LEFT(B795,2),'Humanitarian codes'!$A$2:$A$10,1,FALSE)=LEFT(B795,2),"Yes","Error"),"No")</f>
        <v>Yes</v>
      </c>
    </row>
    <row r="796" spans="1:13" x14ac:dyDescent="0.25">
      <c r="A796">
        <v>2022</v>
      </c>
      <c r="B796" t="s">
        <v>3460</v>
      </c>
      <c r="C796" t="s">
        <v>3461</v>
      </c>
      <c r="D796" t="s">
        <v>30</v>
      </c>
      <c r="E796" t="s">
        <v>449</v>
      </c>
      <c r="F796">
        <v>4500258718</v>
      </c>
      <c r="G796" t="s">
        <v>5048</v>
      </c>
      <c r="H796" t="s">
        <v>3334</v>
      </c>
      <c r="I796" t="s">
        <v>2518</v>
      </c>
      <c r="J796" t="s">
        <v>449</v>
      </c>
      <c r="K796">
        <v>857</v>
      </c>
      <c r="L796">
        <v>857</v>
      </c>
      <c r="M796" t="str">
        <f>IFERROR(IF(VLOOKUP(LEFT(B796,2),'Humanitarian codes'!$A$2:$A$10,1,FALSE)=LEFT(B796,2),"Yes","Error"),"No")</f>
        <v>Yes</v>
      </c>
    </row>
    <row r="797" spans="1:13" x14ac:dyDescent="0.25">
      <c r="A797">
        <v>2022</v>
      </c>
      <c r="B797" t="s">
        <v>3460</v>
      </c>
      <c r="C797" t="s">
        <v>3461</v>
      </c>
      <c r="D797" t="s">
        <v>30</v>
      </c>
      <c r="E797" t="s">
        <v>831</v>
      </c>
      <c r="F797">
        <v>4500256295</v>
      </c>
      <c r="G797" t="s">
        <v>5049</v>
      </c>
      <c r="H797" t="s">
        <v>3334</v>
      </c>
      <c r="I797" t="s">
        <v>868</v>
      </c>
      <c r="J797" t="s">
        <v>350</v>
      </c>
      <c r="K797" s="2">
        <v>6939</v>
      </c>
      <c r="L797" s="2">
        <v>6939</v>
      </c>
      <c r="M797" t="str">
        <f>IFERROR(IF(VLOOKUP(LEFT(B797,2),'Humanitarian codes'!$A$2:$A$10,1,FALSE)=LEFT(B797,2),"Yes","Error"),"No")</f>
        <v>Yes</v>
      </c>
    </row>
    <row r="798" spans="1:13" x14ac:dyDescent="0.25">
      <c r="A798">
        <v>2022</v>
      </c>
      <c r="B798" t="s">
        <v>3460</v>
      </c>
      <c r="C798" t="s">
        <v>3461</v>
      </c>
      <c r="D798" t="s">
        <v>30</v>
      </c>
      <c r="E798" t="s">
        <v>831</v>
      </c>
      <c r="F798">
        <v>4500259344</v>
      </c>
      <c r="G798" t="s">
        <v>5050</v>
      </c>
      <c r="H798" t="s">
        <v>3334</v>
      </c>
      <c r="I798" t="s">
        <v>870</v>
      </c>
      <c r="J798" t="s">
        <v>350</v>
      </c>
      <c r="K798" s="2">
        <v>2288</v>
      </c>
      <c r="L798" s="2">
        <v>2288</v>
      </c>
      <c r="M798" t="str">
        <f>IFERROR(IF(VLOOKUP(LEFT(B798,2),'Humanitarian codes'!$A$2:$A$10,1,FALSE)=LEFT(B798,2),"Yes","Error"),"No")</f>
        <v>Yes</v>
      </c>
    </row>
    <row r="799" spans="1:13" x14ac:dyDescent="0.25">
      <c r="A799">
        <v>2022</v>
      </c>
      <c r="B799" t="s">
        <v>3460</v>
      </c>
      <c r="C799" t="s">
        <v>3461</v>
      </c>
      <c r="D799" t="s">
        <v>30</v>
      </c>
      <c r="E799" t="s">
        <v>831</v>
      </c>
      <c r="F799">
        <v>4500260430</v>
      </c>
      <c r="G799" t="s">
        <v>5051</v>
      </c>
      <c r="H799" t="s">
        <v>3334</v>
      </c>
      <c r="I799" t="s">
        <v>5052</v>
      </c>
      <c r="J799" t="s">
        <v>350</v>
      </c>
      <c r="K799" s="2">
        <v>45853</v>
      </c>
      <c r="L799" s="2">
        <v>45853</v>
      </c>
      <c r="M799" t="str">
        <f>IFERROR(IF(VLOOKUP(LEFT(B799,2),'Humanitarian codes'!$A$2:$A$10,1,FALSE)=LEFT(B799,2),"Yes","Error"),"No")</f>
        <v>Yes</v>
      </c>
    </row>
    <row r="800" spans="1:13" x14ac:dyDescent="0.25">
      <c r="A800">
        <v>2022</v>
      </c>
      <c r="B800" t="s">
        <v>3460</v>
      </c>
      <c r="C800" t="s">
        <v>3461</v>
      </c>
      <c r="D800" t="s">
        <v>30</v>
      </c>
      <c r="E800" t="s">
        <v>205</v>
      </c>
      <c r="F800">
        <v>4500211666</v>
      </c>
      <c r="G800" t="s">
        <v>4831</v>
      </c>
      <c r="H800" t="s">
        <v>3334</v>
      </c>
      <c r="I800" t="s">
        <v>869</v>
      </c>
      <c r="J800" t="s">
        <v>205</v>
      </c>
      <c r="K800" s="2">
        <v>253615</v>
      </c>
      <c r="L800" s="2">
        <v>311245</v>
      </c>
      <c r="M800" t="str">
        <f>IFERROR(IF(VLOOKUP(LEFT(B800,2),'Humanitarian codes'!$A$2:$A$10,1,FALSE)=LEFT(B800,2),"Yes","Error"),"No")</f>
        <v>Yes</v>
      </c>
    </row>
    <row r="801" spans="1:13" x14ac:dyDescent="0.25">
      <c r="A801">
        <v>2022</v>
      </c>
      <c r="B801" t="s">
        <v>3460</v>
      </c>
      <c r="C801" t="s">
        <v>3461</v>
      </c>
      <c r="D801" t="s">
        <v>30</v>
      </c>
      <c r="E801" t="s">
        <v>205</v>
      </c>
      <c r="F801">
        <v>4500222831</v>
      </c>
      <c r="G801" t="s">
        <v>5053</v>
      </c>
      <c r="H801" t="s">
        <v>3334</v>
      </c>
      <c r="I801" t="s">
        <v>5054</v>
      </c>
      <c r="J801" t="s">
        <v>205</v>
      </c>
      <c r="K801" s="2">
        <v>52720</v>
      </c>
      <c r="L801" s="2">
        <v>52720</v>
      </c>
      <c r="M801" t="str">
        <f>IFERROR(IF(VLOOKUP(LEFT(B801,2),'Humanitarian codes'!$A$2:$A$10,1,FALSE)=LEFT(B801,2),"Yes","Error"),"No")</f>
        <v>Yes</v>
      </c>
    </row>
    <row r="802" spans="1:13" x14ac:dyDescent="0.25">
      <c r="A802">
        <v>2022</v>
      </c>
      <c r="B802" t="s">
        <v>3460</v>
      </c>
      <c r="C802" t="s">
        <v>3461</v>
      </c>
      <c r="D802" t="s">
        <v>30</v>
      </c>
      <c r="E802" t="s">
        <v>205</v>
      </c>
      <c r="F802">
        <v>4500222874</v>
      </c>
      <c r="G802" t="s">
        <v>5055</v>
      </c>
      <c r="H802" t="s">
        <v>3334</v>
      </c>
      <c r="I802" t="s">
        <v>2998</v>
      </c>
      <c r="J802" t="s">
        <v>205</v>
      </c>
      <c r="K802" s="2">
        <v>10000</v>
      </c>
      <c r="L802" s="2">
        <v>10000</v>
      </c>
      <c r="M802" t="str">
        <f>IFERROR(IF(VLOOKUP(LEFT(B802,2),'Humanitarian codes'!$A$2:$A$10,1,FALSE)=LEFT(B802,2),"Yes","Error"),"No")</f>
        <v>Yes</v>
      </c>
    </row>
    <row r="803" spans="1:13" x14ac:dyDescent="0.25">
      <c r="A803">
        <v>2022</v>
      </c>
      <c r="B803" t="s">
        <v>3460</v>
      </c>
      <c r="C803" t="s">
        <v>3461</v>
      </c>
      <c r="D803" t="s">
        <v>30</v>
      </c>
      <c r="E803" t="s">
        <v>205</v>
      </c>
      <c r="F803">
        <v>4500223317</v>
      </c>
      <c r="G803" t="s">
        <v>5056</v>
      </c>
      <c r="H803" t="s">
        <v>3334</v>
      </c>
      <c r="I803" t="s">
        <v>2143</v>
      </c>
      <c r="J803" t="s">
        <v>205</v>
      </c>
      <c r="K803" s="2">
        <v>175000</v>
      </c>
      <c r="L803" s="2">
        <v>175000</v>
      </c>
      <c r="M803" t="str">
        <f>IFERROR(IF(VLOOKUP(LEFT(B803,2),'Humanitarian codes'!$A$2:$A$10,1,FALSE)=LEFT(B803,2),"Yes","Error"),"No")</f>
        <v>Yes</v>
      </c>
    </row>
    <row r="804" spans="1:13" x14ac:dyDescent="0.25">
      <c r="A804">
        <v>2022</v>
      </c>
      <c r="B804" t="s">
        <v>3460</v>
      </c>
      <c r="C804" t="s">
        <v>3461</v>
      </c>
      <c r="D804" t="s">
        <v>30</v>
      </c>
      <c r="E804" t="s">
        <v>205</v>
      </c>
      <c r="F804">
        <v>4500224054</v>
      </c>
      <c r="G804" t="s">
        <v>5057</v>
      </c>
      <c r="H804" t="s">
        <v>3334</v>
      </c>
      <c r="I804" t="s">
        <v>5058</v>
      </c>
      <c r="J804" t="s">
        <v>205</v>
      </c>
      <c r="K804" s="2">
        <v>40000</v>
      </c>
      <c r="L804" s="2">
        <v>40000</v>
      </c>
      <c r="M804" t="str">
        <f>IFERROR(IF(VLOOKUP(LEFT(B804,2),'Humanitarian codes'!$A$2:$A$10,1,FALSE)=LEFT(B804,2),"Yes","Error"),"No")</f>
        <v>Yes</v>
      </c>
    </row>
    <row r="805" spans="1:13" x14ac:dyDescent="0.25">
      <c r="A805">
        <v>2022</v>
      </c>
      <c r="B805" t="s">
        <v>3460</v>
      </c>
      <c r="C805" t="s">
        <v>3461</v>
      </c>
      <c r="D805" t="s">
        <v>30</v>
      </c>
      <c r="E805" t="s">
        <v>205</v>
      </c>
      <c r="F805">
        <v>4500226503</v>
      </c>
      <c r="G805" t="s">
        <v>5059</v>
      </c>
      <c r="H805" t="s">
        <v>3334</v>
      </c>
      <c r="I805" t="s">
        <v>5060</v>
      </c>
      <c r="J805" t="s">
        <v>205</v>
      </c>
      <c r="K805" s="2">
        <v>25000</v>
      </c>
      <c r="L805" s="2">
        <v>25000</v>
      </c>
      <c r="M805" t="str">
        <f>IFERROR(IF(VLOOKUP(LEFT(B805,2),'Humanitarian codes'!$A$2:$A$10,1,FALSE)=LEFT(B805,2),"Yes","Error"),"No")</f>
        <v>Yes</v>
      </c>
    </row>
    <row r="806" spans="1:13" x14ac:dyDescent="0.25">
      <c r="A806">
        <v>2022</v>
      </c>
      <c r="B806" t="s">
        <v>3460</v>
      </c>
      <c r="C806" t="s">
        <v>3461</v>
      </c>
      <c r="D806" t="s">
        <v>30</v>
      </c>
      <c r="E806" t="s">
        <v>205</v>
      </c>
      <c r="F806">
        <v>4500226788</v>
      </c>
      <c r="G806" t="s">
        <v>5061</v>
      </c>
      <c r="H806" t="s">
        <v>3334</v>
      </c>
      <c r="I806" t="s">
        <v>208</v>
      </c>
      <c r="J806" t="s">
        <v>205</v>
      </c>
      <c r="K806" s="2">
        <v>25000</v>
      </c>
      <c r="L806" s="2">
        <v>25000</v>
      </c>
      <c r="M806" t="str">
        <f>IFERROR(IF(VLOOKUP(LEFT(B806,2),'Humanitarian codes'!$A$2:$A$10,1,FALSE)=LEFT(B806,2),"Yes","Error"),"No")</f>
        <v>Yes</v>
      </c>
    </row>
    <row r="807" spans="1:13" x14ac:dyDescent="0.25">
      <c r="A807">
        <v>2022</v>
      </c>
      <c r="B807" t="s">
        <v>3460</v>
      </c>
      <c r="C807" t="s">
        <v>3461</v>
      </c>
      <c r="D807" t="s">
        <v>30</v>
      </c>
      <c r="E807" t="s">
        <v>205</v>
      </c>
      <c r="F807">
        <v>4500228402</v>
      </c>
      <c r="G807" t="s">
        <v>5062</v>
      </c>
      <c r="H807" t="s">
        <v>3334</v>
      </c>
      <c r="I807" t="s">
        <v>878</v>
      </c>
      <c r="J807" t="s">
        <v>205</v>
      </c>
      <c r="K807" s="2">
        <v>150000</v>
      </c>
      <c r="L807" s="2">
        <v>150000</v>
      </c>
      <c r="M807" t="str">
        <f>IFERROR(IF(VLOOKUP(LEFT(B807,2),'Humanitarian codes'!$A$2:$A$10,1,FALSE)=LEFT(B807,2),"Yes","Error"),"No")</f>
        <v>Yes</v>
      </c>
    </row>
    <row r="808" spans="1:13" x14ac:dyDescent="0.25">
      <c r="A808">
        <v>2022</v>
      </c>
      <c r="B808" t="s">
        <v>3460</v>
      </c>
      <c r="C808" t="s">
        <v>3461</v>
      </c>
      <c r="D808" t="s">
        <v>30</v>
      </c>
      <c r="E808" t="s">
        <v>205</v>
      </c>
      <c r="F808">
        <v>4500230994</v>
      </c>
      <c r="G808" t="s">
        <v>5063</v>
      </c>
      <c r="H808" t="s">
        <v>3334</v>
      </c>
      <c r="I808" t="s">
        <v>5064</v>
      </c>
      <c r="J808" t="s">
        <v>205</v>
      </c>
      <c r="K808" s="2">
        <v>199700</v>
      </c>
      <c r="L808" s="2">
        <v>199700</v>
      </c>
      <c r="M808" t="str">
        <f>IFERROR(IF(VLOOKUP(LEFT(B808,2),'Humanitarian codes'!$A$2:$A$10,1,FALSE)=LEFT(B808,2),"Yes","Error"),"No")</f>
        <v>Yes</v>
      </c>
    </row>
    <row r="809" spans="1:13" x14ac:dyDescent="0.25">
      <c r="A809">
        <v>2022</v>
      </c>
      <c r="B809" t="s">
        <v>3460</v>
      </c>
      <c r="C809" t="s">
        <v>3461</v>
      </c>
      <c r="D809" t="s">
        <v>30</v>
      </c>
      <c r="E809" t="s">
        <v>205</v>
      </c>
      <c r="F809">
        <v>4500234850</v>
      </c>
      <c r="G809" t="s">
        <v>5065</v>
      </c>
      <c r="H809" t="s">
        <v>3334</v>
      </c>
      <c r="I809" t="s">
        <v>871</v>
      </c>
      <c r="J809" t="s">
        <v>205</v>
      </c>
      <c r="K809" s="2">
        <v>25000</v>
      </c>
      <c r="L809" s="2">
        <v>25000</v>
      </c>
      <c r="M809" t="str">
        <f>IFERROR(IF(VLOOKUP(LEFT(B809,2),'Humanitarian codes'!$A$2:$A$10,1,FALSE)=LEFT(B809,2),"Yes","Error"),"No")</f>
        <v>Yes</v>
      </c>
    </row>
    <row r="810" spans="1:13" x14ac:dyDescent="0.25">
      <c r="A810">
        <v>2022</v>
      </c>
      <c r="B810" t="s">
        <v>3460</v>
      </c>
      <c r="C810" t="s">
        <v>3461</v>
      </c>
      <c r="D810" t="s">
        <v>30</v>
      </c>
      <c r="E810" t="s">
        <v>205</v>
      </c>
      <c r="F810">
        <v>4500236409</v>
      </c>
      <c r="G810" t="s">
        <v>5066</v>
      </c>
      <c r="H810" t="s">
        <v>3334</v>
      </c>
      <c r="I810" t="s">
        <v>5067</v>
      </c>
      <c r="J810" t="s">
        <v>205</v>
      </c>
      <c r="K810" s="2">
        <v>60000</v>
      </c>
      <c r="L810" s="2">
        <v>60000</v>
      </c>
      <c r="M810" t="str">
        <f>IFERROR(IF(VLOOKUP(LEFT(B810,2),'Humanitarian codes'!$A$2:$A$10,1,FALSE)=LEFT(B810,2),"Yes","Error"),"No")</f>
        <v>Yes</v>
      </c>
    </row>
    <row r="811" spans="1:13" x14ac:dyDescent="0.25">
      <c r="A811">
        <v>2022</v>
      </c>
      <c r="B811" t="s">
        <v>3460</v>
      </c>
      <c r="C811" t="s">
        <v>3461</v>
      </c>
      <c r="D811" t="s">
        <v>30</v>
      </c>
      <c r="E811" t="s">
        <v>205</v>
      </c>
      <c r="F811">
        <v>4500237601</v>
      </c>
      <c r="G811" t="s">
        <v>5068</v>
      </c>
      <c r="H811" t="s">
        <v>3334</v>
      </c>
      <c r="I811" t="s">
        <v>208</v>
      </c>
      <c r="J811" t="s">
        <v>205</v>
      </c>
      <c r="K811" s="2">
        <v>125000</v>
      </c>
      <c r="L811" s="2">
        <v>125000</v>
      </c>
      <c r="M811" t="str">
        <f>IFERROR(IF(VLOOKUP(LEFT(B811,2),'Humanitarian codes'!$A$2:$A$10,1,FALSE)=LEFT(B811,2),"Yes","Error"),"No")</f>
        <v>Yes</v>
      </c>
    </row>
    <row r="812" spans="1:13" x14ac:dyDescent="0.25">
      <c r="A812">
        <v>2022</v>
      </c>
      <c r="B812" t="s">
        <v>3460</v>
      </c>
      <c r="C812" t="s">
        <v>3461</v>
      </c>
      <c r="D812" t="s">
        <v>30</v>
      </c>
      <c r="E812" t="s">
        <v>205</v>
      </c>
      <c r="F812">
        <v>4500237705</v>
      </c>
      <c r="G812" t="s">
        <v>5069</v>
      </c>
      <c r="H812" t="s">
        <v>3334</v>
      </c>
      <c r="I812" t="s">
        <v>207</v>
      </c>
      <c r="J812" t="s">
        <v>205</v>
      </c>
      <c r="K812" s="2">
        <v>247000</v>
      </c>
      <c r="L812" s="2">
        <v>247000</v>
      </c>
      <c r="M812" t="str">
        <f>IFERROR(IF(VLOOKUP(LEFT(B812,2),'Humanitarian codes'!$A$2:$A$10,1,FALSE)=LEFT(B812,2),"Yes","Error"),"No")</f>
        <v>Yes</v>
      </c>
    </row>
    <row r="813" spans="1:13" x14ac:dyDescent="0.25">
      <c r="A813">
        <v>2022</v>
      </c>
      <c r="B813" t="s">
        <v>3460</v>
      </c>
      <c r="C813" t="s">
        <v>3461</v>
      </c>
      <c r="D813" t="s">
        <v>30</v>
      </c>
      <c r="E813" t="s">
        <v>205</v>
      </c>
      <c r="F813">
        <v>4500238520</v>
      </c>
      <c r="G813" t="s">
        <v>5070</v>
      </c>
      <c r="H813" t="s">
        <v>3334</v>
      </c>
      <c r="I813" t="s">
        <v>5071</v>
      </c>
      <c r="J813" t="s">
        <v>205</v>
      </c>
      <c r="K813" s="2">
        <v>56488</v>
      </c>
      <c r="L813" s="2">
        <v>56488</v>
      </c>
      <c r="M813" t="str">
        <f>IFERROR(IF(VLOOKUP(LEFT(B813,2),'Humanitarian codes'!$A$2:$A$10,1,FALSE)=LEFT(B813,2),"Yes","Error"),"No")</f>
        <v>Yes</v>
      </c>
    </row>
    <row r="814" spans="1:13" x14ac:dyDescent="0.25">
      <c r="A814">
        <v>2022</v>
      </c>
      <c r="B814" t="s">
        <v>3460</v>
      </c>
      <c r="C814" t="s">
        <v>3461</v>
      </c>
      <c r="D814" t="s">
        <v>30</v>
      </c>
      <c r="E814" t="s">
        <v>205</v>
      </c>
      <c r="F814">
        <v>4500240465</v>
      </c>
      <c r="G814" t="s">
        <v>5072</v>
      </c>
      <c r="H814" t="s">
        <v>3334</v>
      </c>
      <c r="I814" t="s">
        <v>869</v>
      </c>
      <c r="J814" t="s">
        <v>205</v>
      </c>
      <c r="K814" s="2">
        <v>25000</v>
      </c>
      <c r="L814" s="2">
        <v>30000</v>
      </c>
      <c r="M814" t="str">
        <f>IFERROR(IF(VLOOKUP(LEFT(B814,2),'Humanitarian codes'!$A$2:$A$10,1,FALSE)=LEFT(B814,2),"Yes","Error"),"No")</f>
        <v>Yes</v>
      </c>
    </row>
    <row r="815" spans="1:13" x14ac:dyDescent="0.25">
      <c r="A815">
        <v>2022</v>
      </c>
      <c r="B815" t="s">
        <v>3460</v>
      </c>
      <c r="C815" t="s">
        <v>3461</v>
      </c>
      <c r="D815" t="s">
        <v>30</v>
      </c>
      <c r="E815" t="s">
        <v>205</v>
      </c>
      <c r="F815">
        <v>4500240777</v>
      </c>
      <c r="G815" t="s">
        <v>5073</v>
      </c>
      <c r="H815" t="s">
        <v>3334</v>
      </c>
      <c r="I815" t="s">
        <v>5074</v>
      </c>
      <c r="J815" t="s">
        <v>205</v>
      </c>
      <c r="K815" s="2">
        <v>237000</v>
      </c>
      <c r="L815" s="2">
        <v>237000</v>
      </c>
      <c r="M815" t="str">
        <f>IFERROR(IF(VLOOKUP(LEFT(B815,2),'Humanitarian codes'!$A$2:$A$10,1,FALSE)=LEFT(B815,2),"Yes","Error"),"No")</f>
        <v>Yes</v>
      </c>
    </row>
    <row r="816" spans="1:13" x14ac:dyDescent="0.25">
      <c r="A816">
        <v>2022</v>
      </c>
      <c r="B816" t="s">
        <v>3460</v>
      </c>
      <c r="C816" t="s">
        <v>3461</v>
      </c>
      <c r="D816" t="s">
        <v>30</v>
      </c>
      <c r="E816" t="s">
        <v>205</v>
      </c>
      <c r="F816">
        <v>4500240817</v>
      </c>
      <c r="G816" t="s">
        <v>5075</v>
      </c>
      <c r="H816" t="s">
        <v>3334</v>
      </c>
      <c r="I816" t="s">
        <v>5076</v>
      </c>
      <c r="J816" t="s">
        <v>205</v>
      </c>
      <c r="K816" s="2">
        <v>323822</v>
      </c>
      <c r="L816" s="2">
        <v>323822</v>
      </c>
      <c r="M816" t="str">
        <f>IFERROR(IF(VLOOKUP(LEFT(B816,2),'Humanitarian codes'!$A$2:$A$10,1,FALSE)=LEFT(B816,2),"Yes","Error"),"No")</f>
        <v>Yes</v>
      </c>
    </row>
    <row r="817" spans="1:13" x14ac:dyDescent="0.25">
      <c r="A817">
        <v>2022</v>
      </c>
      <c r="B817" t="s">
        <v>3460</v>
      </c>
      <c r="C817" t="s">
        <v>3461</v>
      </c>
      <c r="D817" t="s">
        <v>30</v>
      </c>
      <c r="E817" t="s">
        <v>205</v>
      </c>
      <c r="F817">
        <v>4500240844</v>
      </c>
      <c r="G817" t="s">
        <v>5077</v>
      </c>
      <c r="H817" t="s">
        <v>3334</v>
      </c>
      <c r="I817" t="s">
        <v>2143</v>
      </c>
      <c r="J817" t="s">
        <v>205</v>
      </c>
      <c r="K817" s="2">
        <v>20000</v>
      </c>
      <c r="L817" s="2">
        <v>20000</v>
      </c>
      <c r="M817" t="str">
        <f>IFERROR(IF(VLOOKUP(LEFT(B817,2),'Humanitarian codes'!$A$2:$A$10,1,FALSE)=LEFT(B817,2),"Yes","Error"),"No")</f>
        <v>Yes</v>
      </c>
    </row>
    <row r="818" spans="1:13" x14ac:dyDescent="0.25">
      <c r="A818">
        <v>2022</v>
      </c>
      <c r="B818" t="s">
        <v>3460</v>
      </c>
      <c r="C818" t="s">
        <v>3461</v>
      </c>
      <c r="D818" t="s">
        <v>30</v>
      </c>
      <c r="E818" t="s">
        <v>205</v>
      </c>
      <c r="F818">
        <v>4500241709</v>
      </c>
      <c r="G818" t="s">
        <v>5078</v>
      </c>
      <c r="H818" t="s">
        <v>3334</v>
      </c>
      <c r="I818" t="s">
        <v>2996</v>
      </c>
      <c r="J818" t="s">
        <v>205</v>
      </c>
      <c r="K818" s="2">
        <v>40000</v>
      </c>
      <c r="L818" s="2">
        <v>40000</v>
      </c>
      <c r="M818" t="str">
        <f>IFERROR(IF(VLOOKUP(LEFT(B818,2),'Humanitarian codes'!$A$2:$A$10,1,FALSE)=LEFT(B818,2),"Yes","Error"),"No")</f>
        <v>Yes</v>
      </c>
    </row>
    <row r="819" spans="1:13" x14ac:dyDescent="0.25">
      <c r="A819">
        <v>2022</v>
      </c>
      <c r="B819" t="s">
        <v>3460</v>
      </c>
      <c r="C819" t="s">
        <v>3461</v>
      </c>
      <c r="D819" t="s">
        <v>30</v>
      </c>
      <c r="E819" t="s">
        <v>205</v>
      </c>
      <c r="F819">
        <v>4500244693</v>
      </c>
      <c r="G819" t="s">
        <v>5079</v>
      </c>
      <c r="H819" t="s">
        <v>3334</v>
      </c>
      <c r="I819" t="s">
        <v>875</v>
      </c>
      <c r="J819" t="s">
        <v>205</v>
      </c>
      <c r="K819" s="2">
        <v>230390</v>
      </c>
      <c r="L819" s="2">
        <v>230390</v>
      </c>
      <c r="M819" t="str">
        <f>IFERROR(IF(VLOOKUP(LEFT(B819,2),'Humanitarian codes'!$A$2:$A$10,1,FALSE)=LEFT(B819,2),"Yes","Error"),"No")</f>
        <v>Yes</v>
      </c>
    </row>
    <row r="820" spans="1:13" x14ac:dyDescent="0.25">
      <c r="A820">
        <v>2022</v>
      </c>
      <c r="B820" t="s">
        <v>3460</v>
      </c>
      <c r="C820" t="s">
        <v>3461</v>
      </c>
      <c r="D820" t="s">
        <v>30</v>
      </c>
      <c r="E820" t="s">
        <v>205</v>
      </c>
      <c r="F820">
        <v>4500247703</v>
      </c>
      <c r="G820" t="s">
        <v>5080</v>
      </c>
      <c r="H820" t="s">
        <v>3334</v>
      </c>
      <c r="I820" t="s">
        <v>5081</v>
      </c>
      <c r="J820" t="s">
        <v>205</v>
      </c>
      <c r="K820" s="2">
        <v>190983</v>
      </c>
      <c r="L820" s="2">
        <v>190983</v>
      </c>
      <c r="M820" t="str">
        <f>IFERROR(IF(VLOOKUP(LEFT(B820,2),'Humanitarian codes'!$A$2:$A$10,1,FALSE)=LEFT(B820,2),"Yes","Error"),"No")</f>
        <v>Yes</v>
      </c>
    </row>
    <row r="821" spans="1:13" x14ac:dyDescent="0.25">
      <c r="A821">
        <v>2022</v>
      </c>
      <c r="B821" t="s">
        <v>3460</v>
      </c>
      <c r="C821" t="s">
        <v>3461</v>
      </c>
      <c r="D821" t="s">
        <v>30</v>
      </c>
      <c r="E821" t="s">
        <v>205</v>
      </c>
      <c r="F821">
        <v>4500248346</v>
      </c>
      <c r="G821" t="s">
        <v>5082</v>
      </c>
      <c r="H821" t="s">
        <v>3334</v>
      </c>
      <c r="I821" t="s">
        <v>5083</v>
      </c>
      <c r="J821" t="s">
        <v>205</v>
      </c>
      <c r="K821" s="2">
        <v>30000</v>
      </c>
      <c r="L821" s="2">
        <v>30000</v>
      </c>
      <c r="M821" t="str">
        <f>IFERROR(IF(VLOOKUP(LEFT(B821,2),'Humanitarian codes'!$A$2:$A$10,1,FALSE)=LEFT(B821,2),"Yes","Error"),"No")</f>
        <v>Yes</v>
      </c>
    </row>
    <row r="822" spans="1:13" x14ac:dyDescent="0.25">
      <c r="A822">
        <v>2022</v>
      </c>
      <c r="B822" t="s">
        <v>3460</v>
      </c>
      <c r="C822" t="s">
        <v>3461</v>
      </c>
      <c r="D822" t="s">
        <v>30</v>
      </c>
      <c r="E822" t="s">
        <v>205</v>
      </c>
      <c r="F822">
        <v>4500248353</v>
      </c>
      <c r="G822" t="s">
        <v>5084</v>
      </c>
      <c r="H822" t="s">
        <v>3334</v>
      </c>
      <c r="I822" t="s">
        <v>5085</v>
      </c>
      <c r="J822" t="s">
        <v>205</v>
      </c>
      <c r="K822" s="2">
        <v>60000</v>
      </c>
      <c r="L822" s="2">
        <v>60000</v>
      </c>
      <c r="M822" t="str">
        <f>IFERROR(IF(VLOOKUP(LEFT(B822,2),'Humanitarian codes'!$A$2:$A$10,1,FALSE)=LEFT(B822,2),"Yes","Error"),"No")</f>
        <v>Yes</v>
      </c>
    </row>
    <row r="823" spans="1:13" x14ac:dyDescent="0.25">
      <c r="A823">
        <v>2022</v>
      </c>
      <c r="B823" t="s">
        <v>3460</v>
      </c>
      <c r="C823" t="s">
        <v>3461</v>
      </c>
      <c r="D823" t="s">
        <v>30</v>
      </c>
      <c r="E823" t="s">
        <v>205</v>
      </c>
      <c r="F823">
        <v>4500248630</v>
      </c>
      <c r="G823" t="s">
        <v>5086</v>
      </c>
      <c r="H823" t="s">
        <v>3334</v>
      </c>
      <c r="I823" t="s">
        <v>873</v>
      </c>
      <c r="J823" t="s">
        <v>205</v>
      </c>
      <c r="K823" s="2">
        <v>150000</v>
      </c>
      <c r="L823" s="2">
        <v>150000</v>
      </c>
      <c r="M823" t="str">
        <f>IFERROR(IF(VLOOKUP(LEFT(B823,2),'Humanitarian codes'!$A$2:$A$10,1,FALSE)=LEFT(B823,2),"Yes","Error"),"No")</f>
        <v>Yes</v>
      </c>
    </row>
    <row r="824" spans="1:13" x14ac:dyDescent="0.25">
      <c r="A824">
        <v>2022</v>
      </c>
      <c r="B824" t="s">
        <v>3460</v>
      </c>
      <c r="C824" t="s">
        <v>3461</v>
      </c>
      <c r="D824" t="s">
        <v>30</v>
      </c>
      <c r="E824" t="s">
        <v>205</v>
      </c>
      <c r="F824">
        <v>4500248684</v>
      </c>
      <c r="G824" t="s">
        <v>5087</v>
      </c>
      <c r="H824" t="s">
        <v>3334</v>
      </c>
      <c r="I824" t="s">
        <v>1519</v>
      </c>
      <c r="J824" t="s">
        <v>205</v>
      </c>
      <c r="K824" s="2">
        <v>450000</v>
      </c>
      <c r="L824" s="2">
        <v>450000</v>
      </c>
      <c r="M824" t="str">
        <f>IFERROR(IF(VLOOKUP(LEFT(B824,2),'Humanitarian codes'!$A$2:$A$10,1,FALSE)=LEFT(B824,2),"Yes","Error"),"No")</f>
        <v>Yes</v>
      </c>
    </row>
    <row r="825" spans="1:13" x14ac:dyDescent="0.25">
      <c r="A825">
        <v>2022</v>
      </c>
      <c r="B825" t="s">
        <v>3460</v>
      </c>
      <c r="C825" t="s">
        <v>3461</v>
      </c>
      <c r="D825" t="s">
        <v>30</v>
      </c>
      <c r="E825" t="s">
        <v>205</v>
      </c>
      <c r="F825">
        <v>4500250908</v>
      </c>
      <c r="G825" t="s">
        <v>5088</v>
      </c>
      <c r="H825" t="s">
        <v>3334</v>
      </c>
      <c r="I825" t="s">
        <v>869</v>
      </c>
      <c r="J825" t="s">
        <v>205</v>
      </c>
      <c r="K825" s="2">
        <v>20000</v>
      </c>
      <c r="L825" s="2">
        <v>20000</v>
      </c>
      <c r="M825" t="str">
        <f>IFERROR(IF(VLOOKUP(LEFT(B825,2),'Humanitarian codes'!$A$2:$A$10,1,FALSE)=LEFT(B825,2),"Yes","Error"),"No")</f>
        <v>Yes</v>
      </c>
    </row>
    <row r="826" spans="1:13" x14ac:dyDescent="0.25">
      <c r="A826">
        <v>2022</v>
      </c>
      <c r="B826" t="s">
        <v>3460</v>
      </c>
      <c r="C826" t="s">
        <v>3461</v>
      </c>
      <c r="D826" t="s">
        <v>30</v>
      </c>
      <c r="E826" t="s">
        <v>205</v>
      </c>
      <c r="F826">
        <v>4500252137</v>
      </c>
      <c r="G826" t="s">
        <v>5089</v>
      </c>
      <c r="H826" t="s">
        <v>3334</v>
      </c>
      <c r="I826" t="s">
        <v>5090</v>
      </c>
      <c r="J826" t="s">
        <v>205</v>
      </c>
      <c r="K826" s="2">
        <v>40000</v>
      </c>
      <c r="L826" s="2">
        <v>40000</v>
      </c>
      <c r="M826" t="str">
        <f>IFERROR(IF(VLOOKUP(LEFT(B826,2),'Humanitarian codes'!$A$2:$A$10,1,FALSE)=LEFT(B826,2),"Yes","Error"),"No")</f>
        <v>Yes</v>
      </c>
    </row>
    <row r="827" spans="1:13" x14ac:dyDescent="0.25">
      <c r="A827">
        <v>2022</v>
      </c>
      <c r="B827" t="s">
        <v>3460</v>
      </c>
      <c r="C827" t="s">
        <v>3461</v>
      </c>
      <c r="D827" t="s">
        <v>30</v>
      </c>
      <c r="E827" t="s">
        <v>205</v>
      </c>
      <c r="F827">
        <v>4500255133</v>
      </c>
      <c r="G827" t="s">
        <v>5091</v>
      </c>
      <c r="H827" t="s">
        <v>3334</v>
      </c>
      <c r="I827" t="s">
        <v>874</v>
      </c>
      <c r="J827" t="s">
        <v>205</v>
      </c>
      <c r="K827" s="2">
        <v>25000</v>
      </c>
      <c r="L827" s="2">
        <v>25000</v>
      </c>
      <c r="M827" t="str">
        <f>IFERROR(IF(VLOOKUP(LEFT(B827,2),'Humanitarian codes'!$A$2:$A$10,1,FALSE)=LEFT(B827,2),"Yes","Error"),"No")</f>
        <v>Yes</v>
      </c>
    </row>
    <row r="828" spans="1:13" x14ac:dyDescent="0.25">
      <c r="A828">
        <v>2022</v>
      </c>
      <c r="B828" t="s">
        <v>3460</v>
      </c>
      <c r="C828" t="s">
        <v>3461</v>
      </c>
      <c r="D828" t="s">
        <v>30</v>
      </c>
      <c r="E828" t="s">
        <v>205</v>
      </c>
      <c r="F828">
        <v>4500258664</v>
      </c>
      <c r="G828" t="s">
        <v>5092</v>
      </c>
      <c r="H828" t="s">
        <v>3334</v>
      </c>
      <c r="I828" t="s">
        <v>5093</v>
      </c>
      <c r="J828" t="s">
        <v>205</v>
      </c>
      <c r="K828" s="2">
        <v>30000</v>
      </c>
      <c r="L828" s="2">
        <v>30000</v>
      </c>
      <c r="M828" t="str">
        <f>IFERROR(IF(VLOOKUP(LEFT(B828,2),'Humanitarian codes'!$A$2:$A$10,1,FALSE)=LEFT(B828,2),"Yes","Error"),"No")</f>
        <v>Yes</v>
      </c>
    </row>
    <row r="829" spans="1:13" x14ac:dyDescent="0.25">
      <c r="A829">
        <v>2022</v>
      </c>
      <c r="B829" t="s">
        <v>3460</v>
      </c>
      <c r="C829" t="s">
        <v>3461</v>
      </c>
      <c r="D829" t="s">
        <v>30</v>
      </c>
      <c r="E829" t="s">
        <v>205</v>
      </c>
      <c r="F829">
        <v>4500258683</v>
      </c>
      <c r="G829" t="s">
        <v>5094</v>
      </c>
      <c r="H829" t="s">
        <v>3334</v>
      </c>
      <c r="I829" t="s">
        <v>5095</v>
      </c>
      <c r="J829" t="s">
        <v>205</v>
      </c>
      <c r="K829" s="2">
        <v>25533</v>
      </c>
      <c r="L829" s="2">
        <v>25533</v>
      </c>
      <c r="M829" t="str">
        <f>IFERROR(IF(VLOOKUP(LEFT(B829,2),'Humanitarian codes'!$A$2:$A$10,1,FALSE)=LEFT(B829,2),"Yes","Error"),"No")</f>
        <v>Yes</v>
      </c>
    </row>
    <row r="830" spans="1:13" x14ac:dyDescent="0.25">
      <c r="A830">
        <v>2022</v>
      </c>
      <c r="B830" t="s">
        <v>3460</v>
      </c>
      <c r="C830" t="s">
        <v>3461</v>
      </c>
      <c r="D830" t="s">
        <v>30</v>
      </c>
      <c r="E830" t="s">
        <v>205</v>
      </c>
      <c r="F830">
        <v>4500261136</v>
      </c>
      <c r="G830" t="s">
        <v>5096</v>
      </c>
      <c r="H830" t="s">
        <v>3334</v>
      </c>
      <c r="I830" t="s">
        <v>878</v>
      </c>
      <c r="J830" t="s">
        <v>205</v>
      </c>
      <c r="K830" s="2">
        <v>111923</v>
      </c>
      <c r="L830" s="2">
        <v>119960</v>
      </c>
      <c r="M830" t="str">
        <f>IFERROR(IF(VLOOKUP(LEFT(B830,2),'Humanitarian codes'!$A$2:$A$10,1,FALSE)=LEFT(B830,2),"Yes","Error"),"No")</f>
        <v>Yes</v>
      </c>
    </row>
    <row r="831" spans="1:13" x14ac:dyDescent="0.25">
      <c r="A831">
        <v>2022</v>
      </c>
      <c r="B831" t="s">
        <v>3460</v>
      </c>
      <c r="C831" t="s">
        <v>3461</v>
      </c>
      <c r="D831" t="s">
        <v>30</v>
      </c>
      <c r="E831" t="s">
        <v>205</v>
      </c>
      <c r="F831">
        <v>4500262207</v>
      </c>
      <c r="G831" t="s">
        <v>5097</v>
      </c>
      <c r="H831" t="s">
        <v>3334</v>
      </c>
      <c r="I831" t="s">
        <v>878</v>
      </c>
      <c r="J831" t="s">
        <v>205</v>
      </c>
      <c r="K831" s="2">
        <v>39000</v>
      </c>
      <c r="L831" s="2">
        <v>39000</v>
      </c>
      <c r="M831" t="str">
        <f>IFERROR(IF(VLOOKUP(LEFT(B831,2),'Humanitarian codes'!$A$2:$A$10,1,FALSE)=LEFT(B831,2),"Yes","Error"),"No")</f>
        <v>Yes</v>
      </c>
    </row>
    <row r="832" spans="1:13" x14ac:dyDescent="0.25">
      <c r="A832">
        <v>2022</v>
      </c>
      <c r="B832" t="s">
        <v>3460</v>
      </c>
      <c r="C832" t="s">
        <v>3461</v>
      </c>
      <c r="D832" t="s">
        <v>30</v>
      </c>
      <c r="E832" t="s">
        <v>205</v>
      </c>
      <c r="F832">
        <v>4500268457</v>
      </c>
      <c r="G832" t="s">
        <v>5098</v>
      </c>
      <c r="H832" t="s">
        <v>3334</v>
      </c>
      <c r="I832" t="s">
        <v>5099</v>
      </c>
      <c r="J832" t="s">
        <v>205</v>
      </c>
      <c r="K832" s="2">
        <v>25263</v>
      </c>
      <c r="L832" s="2">
        <v>25263</v>
      </c>
      <c r="M832" t="str">
        <f>IFERROR(IF(VLOOKUP(LEFT(B832,2),'Humanitarian codes'!$A$2:$A$10,1,FALSE)=LEFT(B832,2),"Yes","Error"),"No")</f>
        <v>Yes</v>
      </c>
    </row>
    <row r="833" spans="1:13" x14ac:dyDescent="0.25">
      <c r="A833">
        <v>2022</v>
      </c>
      <c r="B833" t="s">
        <v>3460</v>
      </c>
      <c r="C833" t="s">
        <v>3461</v>
      </c>
      <c r="D833" t="s">
        <v>30</v>
      </c>
      <c r="E833" t="s">
        <v>1987</v>
      </c>
      <c r="F833">
        <v>4500236405</v>
      </c>
      <c r="G833" t="s">
        <v>5100</v>
      </c>
      <c r="H833" t="s">
        <v>3334</v>
      </c>
      <c r="I833" t="s">
        <v>2408</v>
      </c>
      <c r="J833" t="s">
        <v>1987</v>
      </c>
      <c r="K833" s="2">
        <v>7996</v>
      </c>
      <c r="L833" s="2">
        <v>7996</v>
      </c>
      <c r="M833" t="str">
        <f>IFERROR(IF(VLOOKUP(LEFT(B833,2),'Humanitarian codes'!$A$2:$A$10,1,FALSE)=LEFT(B833,2),"Yes","Error"),"No")</f>
        <v>Yes</v>
      </c>
    </row>
    <row r="834" spans="1:13" x14ac:dyDescent="0.25">
      <c r="A834">
        <v>2022</v>
      </c>
      <c r="B834" t="s">
        <v>3460</v>
      </c>
      <c r="C834" t="s">
        <v>3461</v>
      </c>
      <c r="D834" t="s">
        <v>30</v>
      </c>
      <c r="E834" t="s">
        <v>561</v>
      </c>
      <c r="F834">
        <v>4500238076</v>
      </c>
      <c r="G834" t="s">
        <v>5101</v>
      </c>
      <c r="H834" t="s">
        <v>3334</v>
      </c>
      <c r="I834" t="s">
        <v>5102</v>
      </c>
      <c r="J834" t="s">
        <v>561</v>
      </c>
      <c r="K834" s="2">
        <v>23368</v>
      </c>
      <c r="L834" s="2">
        <v>23368</v>
      </c>
      <c r="M834" t="str">
        <f>IFERROR(IF(VLOOKUP(LEFT(B834,2),'Humanitarian codes'!$A$2:$A$10,1,FALSE)=LEFT(B834,2),"Yes","Error"),"No")</f>
        <v>Yes</v>
      </c>
    </row>
    <row r="835" spans="1:13" x14ac:dyDescent="0.25">
      <c r="A835">
        <v>2022</v>
      </c>
      <c r="B835" t="s">
        <v>3460</v>
      </c>
      <c r="C835" t="s">
        <v>3461</v>
      </c>
      <c r="D835" t="s">
        <v>30</v>
      </c>
      <c r="E835" t="s">
        <v>561</v>
      </c>
      <c r="F835">
        <v>4500251029</v>
      </c>
      <c r="G835" t="s">
        <v>5103</v>
      </c>
      <c r="H835" t="s">
        <v>3334</v>
      </c>
      <c r="I835" t="s">
        <v>5104</v>
      </c>
      <c r="J835" t="s">
        <v>561</v>
      </c>
      <c r="K835" s="2">
        <v>11161</v>
      </c>
      <c r="L835" s="2">
        <v>11161</v>
      </c>
      <c r="M835" t="str">
        <f>IFERROR(IF(VLOOKUP(LEFT(B835,2),'Humanitarian codes'!$A$2:$A$10,1,FALSE)=LEFT(B835,2),"Yes","Error"),"No")</f>
        <v>Yes</v>
      </c>
    </row>
    <row r="836" spans="1:13" x14ac:dyDescent="0.25">
      <c r="A836">
        <v>2022</v>
      </c>
      <c r="B836" t="s">
        <v>3460</v>
      </c>
      <c r="C836" t="s">
        <v>3461</v>
      </c>
      <c r="D836" t="s">
        <v>30</v>
      </c>
      <c r="E836" t="s">
        <v>676</v>
      </c>
      <c r="F836">
        <v>4500220872</v>
      </c>
      <c r="G836" t="s">
        <v>3965</v>
      </c>
      <c r="H836" t="s">
        <v>3334</v>
      </c>
      <c r="I836" t="s">
        <v>1625</v>
      </c>
      <c r="J836" t="s">
        <v>676</v>
      </c>
      <c r="K836" s="2">
        <v>34710</v>
      </c>
      <c r="L836" s="2">
        <v>204661</v>
      </c>
      <c r="M836" t="str">
        <f>IFERROR(IF(VLOOKUP(LEFT(B836,2),'Humanitarian codes'!$A$2:$A$10,1,FALSE)=LEFT(B836,2),"Yes","Error"),"No")</f>
        <v>Yes</v>
      </c>
    </row>
    <row r="837" spans="1:13" x14ac:dyDescent="0.25">
      <c r="A837">
        <v>2022</v>
      </c>
      <c r="B837" t="s">
        <v>3460</v>
      </c>
      <c r="C837" t="s">
        <v>3461</v>
      </c>
      <c r="D837" t="s">
        <v>30</v>
      </c>
      <c r="E837" t="s">
        <v>210</v>
      </c>
      <c r="F837">
        <v>4500204932</v>
      </c>
      <c r="G837" t="s">
        <v>5105</v>
      </c>
      <c r="H837" t="s">
        <v>3334</v>
      </c>
      <c r="I837" t="s">
        <v>468</v>
      </c>
      <c r="J837" t="s">
        <v>210</v>
      </c>
      <c r="K837" s="2">
        <v>150000</v>
      </c>
      <c r="L837" s="2">
        <v>150000</v>
      </c>
      <c r="M837" t="str">
        <f>IFERROR(IF(VLOOKUP(LEFT(B837,2),'Humanitarian codes'!$A$2:$A$10,1,FALSE)=LEFT(B837,2),"Yes","Error"),"No")</f>
        <v>Yes</v>
      </c>
    </row>
    <row r="838" spans="1:13" x14ac:dyDescent="0.25">
      <c r="A838">
        <v>2022</v>
      </c>
      <c r="B838" t="s">
        <v>3460</v>
      </c>
      <c r="C838" t="s">
        <v>3461</v>
      </c>
      <c r="D838" t="s">
        <v>30</v>
      </c>
      <c r="E838" t="s">
        <v>210</v>
      </c>
      <c r="F838">
        <v>4500212017</v>
      </c>
      <c r="G838" t="s">
        <v>5106</v>
      </c>
      <c r="H838" t="s">
        <v>3334</v>
      </c>
      <c r="I838" t="s">
        <v>882</v>
      </c>
      <c r="J838" t="s">
        <v>210</v>
      </c>
      <c r="K838" s="2">
        <v>703375</v>
      </c>
      <c r="L838" s="2">
        <v>703375</v>
      </c>
      <c r="M838" t="str">
        <f>IFERROR(IF(VLOOKUP(LEFT(B838,2),'Humanitarian codes'!$A$2:$A$10,1,FALSE)=LEFT(B838,2),"Yes","Error"),"No")</f>
        <v>Yes</v>
      </c>
    </row>
    <row r="839" spans="1:13" x14ac:dyDescent="0.25">
      <c r="A839">
        <v>2022</v>
      </c>
      <c r="B839" t="s">
        <v>3460</v>
      </c>
      <c r="C839" t="s">
        <v>3461</v>
      </c>
      <c r="D839" t="s">
        <v>30</v>
      </c>
      <c r="E839" t="s">
        <v>210</v>
      </c>
      <c r="F839">
        <v>4500214035</v>
      </c>
      <c r="G839" t="s">
        <v>5107</v>
      </c>
      <c r="H839" t="s">
        <v>3334</v>
      </c>
      <c r="I839" t="s">
        <v>216</v>
      </c>
      <c r="J839" t="s">
        <v>210</v>
      </c>
      <c r="K839" s="2">
        <v>216500</v>
      </c>
      <c r="L839" s="2">
        <v>216500</v>
      </c>
      <c r="M839" t="str">
        <f>IFERROR(IF(VLOOKUP(LEFT(B839,2),'Humanitarian codes'!$A$2:$A$10,1,FALSE)=LEFT(B839,2),"Yes","Error"),"No")</f>
        <v>Yes</v>
      </c>
    </row>
    <row r="840" spans="1:13" x14ac:dyDescent="0.25">
      <c r="A840">
        <v>2022</v>
      </c>
      <c r="B840" t="s">
        <v>3460</v>
      </c>
      <c r="C840" t="s">
        <v>3461</v>
      </c>
      <c r="D840" t="s">
        <v>30</v>
      </c>
      <c r="E840" t="s">
        <v>210</v>
      </c>
      <c r="F840">
        <v>4500218584</v>
      </c>
      <c r="G840" t="s">
        <v>5108</v>
      </c>
      <c r="H840" t="s">
        <v>3334</v>
      </c>
      <c r="I840" t="s">
        <v>883</v>
      </c>
      <c r="J840" t="s">
        <v>210</v>
      </c>
      <c r="K840" s="2">
        <v>20241</v>
      </c>
      <c r="L840" s="2">
        <v>20241</v>
      </c>
      <c r="M840" t="str">
        <f>IFERROR(IF(VLOOKUP(LEFT(B840,2),'Humanitarian codes'!$A$2:$A$10,1,FALSE)=LEFT(B840,2),"Yes","Error"),"No")</f>
        <v>Yes</v>
      </c>
    </row>
    <row r="841" spans="1:13" x14ac:dyDescent="0.25">
      <c r="A841">
        <v>2022</v>
      </c>
      <c r="B841" t="s">
        <v>3460</v>
      </c>
      <c r="C841" t="s">
        <v>3461</v>
      </c>
      <c r="D841" t="s">
        <v>30</v>
      </c>
      <c r="E841" t="s">
        <v>210</v>
      </c>
      <c r="F841">
        <v>4500219341</v>
      </c>
      <c r="G841" t="s">
        <v>5109</v>
      </c>
      <c r="H841" t="s">
        <v>3334</v>
      </c>
      <c r="I841" t="s">
        <v>2416</v>
      </c>
      <c r="J841" t="s">
        <v>210</v>
      </c>
      <c r="K841" s="2">
        <v>87500</v>
      </c>
      <c r="L841" s="2">
        <v>87500</v>
      </c>
      <c r="M841" t="str">
        <f>IFERROR(IF(VLOOKUP(LEFT(B841,2),'Humanitarian codes'!$A$2:$A$10,1,FALSE)=LEFT(B841,2),"Yes","Error"),"No")</f>
        <v>Yes</v>
      </c>
    </row>
    <row r="842" spans="1:13" x14ac:dyDescent="0.25">
      <c r="A842">
        <v>2022</v>
      </c>
      <c r="B842" t="s">
        <v>3460</v>
      </c>
      <c r="C842" t="s">
        <v>3461</v>
      </c>
      <c r="D842" t="s">
        <v>30</v>
      </c>
      <c r="E842" t="s">
        <v>210</v>
      </c>
      <c r="F842">
        <v>4500230673</v>
      </c>
      <c r="G842" t="s">
        <v>5110</v>
      </c>
      <c r="H842" t="s">
        <v>3334</v>
      </c>
      <c r="I842" t="s">
        <v>213</v>
      </c>
      <c r="J842" t="s">
        <v>210</v>
      </c>
      <c r="K842" s="2">
        <v>631986</v>
      </c>
      <c r="L842" s="2">
        <v>631986</v>
      </c>
      <c r="M842" t="str">
        <f>IFERROR(IF(VLOOKUP(LEFT(B842,2),'Humanitarian codes'!$A$2:$A$10,1,FALSE)=LEFT(B842,2),"Yes","Error"),"No")</f>
        <v>Yes</v>
      </c>
    </row>
    <row r="843" spans="1:13" x14ac:dyDescent="0.25">
      <c r="A843">
        <v>2022</v>
      </c>
      <c r="B843" t="s">
        <v>3460</v>
      </c>
      <c r="C843" t="s">
        <v>3461</v>
      </c>
      <c r="D843" t="s">
        <v>30</v>
      </c>
      <c r="E843" t="s">
        <v>210</v>
      </c>
      <c r="F843">
        <v>4500233442</v>
      </c>
      <c r="G843" t="s">
        <v>5111</v>
      </c>
      <c r="H843" t="s">
        <v>3334</v>
      </c>
      <c r="I843" t="s">
        <v>468</v>
      </c>
      <c r="J843" t="s">
        <v>210</v>
      </c>
      <c r="K843" s="2">
        <v>444000</v>
      </c>
      <c r="L843" s="2">
        <v>444000</v>
      </c>
      <c r="M843" t="str">
        <f>IFERROR(IF(VLOOKUP(LEFT(B843,2),'Humanitarian codes'!$A$2:$A$10,1,FALSE)=LEFT(B843,2),"Yes","Error"),"No")</f>
        <v>Yes</v>
      </c>
    </row>
    <row r="844" spans="1:13" x14ac:dyDescent="0.25">
      <c r="A844">
        <v>2022</v>
      </c>
      <c r="B844" t="s">
        <v>3460</v>
      </c>
      <c r="C844" t="s">
        <v>3461</v>
      </c>
      <c r="D844" t="s">
        <v>30</v>
      </c>
      <c r="E844" t="s">
        <v>210</v>
      </c>
      <c r="F844">
        <v>4500238091</v>
      </c>
      <c r="G844" t="s">
        <v>5112</v>
      </c>
      <c r="H844" t="s">
        <v>3334</v>
      </c>
      <c r="I844" t="s">
        <v>214</v>
      </c>
      <c r="J844" t="s">
        <v>210</v>
      </c>
      <c r="K844" s="2">
        <v>708129</v>
      </c>
      <c r="L844" s="2">
        <v>708129</v>
      </c>
      <c r="M844" t="str">
        <f>IFERROR(IF(VLOOKUP(LEFT(B844,2),'Humanitarian codes'!$A$2:$A$10,1,FALSE)=LEFT(B844,2),"Yes","Error"),"No")</f>
        <v>Yes</v>
      </c>
    </row>
    <row r="845" spans="1:13" x14ac:dyDescent="0.25">
      <c r="A845">
        <v>2022</v>
      </c>
      <c r="B845" t="s">
        <v>3460</v>
      </c>
      <c r="C845" t="s">
        <v>3461</v>
      </c>
      <c r="D845" t="s">
        <v>30</v>
      </c>
      <c r="E845" t="s">
        <v>210</v>
      </c>
      <c r="F845">
        <v>4500239682</v>
      </c>
      <c r="G845" t="s">
        <v>5113</v>
      </c>
      <c r="H845" t="s">
        <v>3334</v>
      </c>
      <c r="I845" t="s">
        <v>883</v>
      </c>
      <c r="J845" t="s">
        <v>210</v>
      </c>
      <c r="K845" s="2">
        <v>78890</v>
      </c>
      <c r="L845" s="2">
        <v>78890</v>
      </c>
      <c r="M845" t="str">
        <f>IFERROR(IF(VLOOKUP(LEFT(B845,2),'Humanitarian codes'!$A$2:$A$10,1,FALSE)=LEFT(B845,2),"Yes","Error"),"No")</f>
        <v>Yes</v>
      </c>
    </row>
    <row r="846" spans="1:13" x14ac:dyDescent="0.25">
      <c r="A846">
        <v>2022</v>
      </c>
      <c r="B846" t="s">
        <v>3460</v>
      </c>
      <c r="C846" t="s">
        <v>3461</v>
      </c>
      <c r="D846" t="s">
        <v>30</v>
      </c>
      <c r="E846" t="s">
        <v>210</v>
      </c>
      <c r="F846">
        <v>4500242504</v>
      </c>
      <c r="G846" t="s">
        <v>4852</v>
      </c>
      <c r="H846" t="s">
        <v>3334</v>
      </c>
      <c r="I846" t="s">
        <v>2416</v>
      </c>
      <c r="J846" t="s">
        <v>210</v>
      </c>
      <c r="K846" s="2">
        <v>110886</v>
      </c>
      <c r="L846" s="2">
        <v>110886</v>
      </c>
      <c r="M846" t="str">
        <f>IFERROR(IF(VLOOKUP(LEFT(B846,2),'Humanitarian codes'!$A$2:$A$10,1,FALSE)=LEFT(B846,2),"Yes","Error"),"No")</f>
        <v>Yes</v>
      </c>
    </row>
    <row r="847" spans="1:13" x14ac:dyDescent="0.25">
      <c r="A847">
        <v>2022</v>
      </c>
      <c r="B847" t="s">
        <v>3460</v>
      </c>
      <c r="C847" t="s">
        <v>3461</v>
      </c>
      <c r="D847" t="s">
        <v>30</v>
      </c>
      <c r="E847" t="s">
        <v>210</v>
      </c>
      <c r="F847">
        <v>4500243602</v>
      </c>
      <c r="G847" t="s">
        <v>5114</v>
      </c>
      <c r="H847" t="s">
        <v>3334</v>
      </c>
      <c r="I847" t="s">
        <v>363</v>
      </c>
      <c r="J847" t="s">
        <v>210</v>
      </c>
      <c r="K847" s="2">
        <v>303750</v>
      </c>
      <c r="L847" s="2">
        <v>303750</v>
      </c>
      <c r="M847" t="str">
        <f>IFERROR(IF(VLOOKUP(LEFT(B847,2),'Humanitarian codes'!$A$2:$A$10,1,FALSE)=LEFT(B847,2),"Yes","Error"),"No")</f>
        <v>Yes</v>
      </c>
    </row>
    <row r="848" spans="1:13" x14ac:dyDescent="0.25">
      <c r="A848">
        <v>2022</v>
      </c>
      <c r="B848" t="s">
        <v>3460</v>
      </c>
      <c r="C848" t="s">
        <v>3461</v>
      </c>
      <c r="D848" t="s">
        <v>30</v>
      </c>
      <c r="E848" t="s">
        <v>210</v>
      </c>
      <c r="F848">
        <v>4500243620</v>
      </c>
      <c r="G848" t="s">
        <v>5115</v>
      </c>
      <c r="H848" t="s">
        <v>3334</v>
      </c>
      <c r="I848" t="s">
        <v>5116</v>
      </c>
      <c r="J848" t="s">
        <v>210</v>
      </c>
      <c r="K848" s="2">
        <v>90000</v>
      </c>
      <c r="L848" s="2">
        <v>90000</v>
      </c>
      <c r="M848" t="str">
        <f>IFERROR(IF(VLOOKUP(LEFT(B848,2),'Humanitarian codes'!$A$2:$A$10,1,FALSE)=LEFT(B848,2),"Yes","Error"),"No")</f>
        <v>Yes</v>
      </c>
    </row>
    <row r="849" spans="1:13" x14ac:dyDescent="0.25">
      <c r="A849">
        <v>2022</v>
      </c>
      <c r="B849" t="s">
        <v>3460</v>
      </c>
      <c r="C849" t="s">
        <v>3461</v>
      </c>
      <c r="D849" t="s">
        <v>30</v>
      </c>
      <c r="E849" t="s">
        <v>210</v>
      </c>
      <c r="F849">
        <v>4500243926</v>
      </c>
      <c r="G849" t="s">
        <v>5117</v>
      </c>
      <c r="H849" t="s">
        <v>3334</v>
      </c>
      <c r="I849" t="s">
        <v>880</v>
      </c>
      <c r="J849" t="s">
        <v>210</v>
      </c>
      <c r="K849" s="2">
        <v>100320</v>
      </c>
      <c r="L849" s="2">
        <v>100320</v>
      </c>
      <c r="M849" t="str">
        <f>IFERROR(IF(VLOOKUP(LEFT(B849,2),'Humanitarian codes'!$A$2:$A$10,1,FALSE)=LEFT(B849,2),"Yes","Error"),"No")</f>
        <v>Yes</v>
      </c>
    </row>
    <row r="850" spans="1:13" x14ac:dyDescent="0.25">
      <c r="A850">
        <v>2022</v>
      </c>
      <c r="B850" t="s">
        <v>3460</v>
      </c>
      <c r="C850" t="s">
        <v>3461</v>
      </c>
      <c r="D850" t="s">
        <v>30</v>
      </c>
      <c r="E850" t="s">
        <v>210</v>
      </c>
      <c r="F850">
        <v>4500244699</v>
      </c>
      <c r="G850" t="s">
        <v>5118</v>
      </c>
      <c r="H850" t="s">
        <v>3334</v>
      </c>
      <c r="I850" t="s">
        <v>211</v>
      </c>
      <c r="J850" t="s">
        <v>210</v>
      </c>
      <c r="K850" s="2">
        <v>61496</v>
      </c>
      <c r="L850" s="2">
        <v>61496</v>
      </c>
      <c r="M850" t="str">
        <f>IFERROR(IF(VLOOKUP(LEFT(B850,2),'Humanitarian codes'!$A$2:$A$10,1,FALSE)=LEFT(B850,2),"Yes","Error"),"No")</f>
        <v>Yes</v>
      </c>
    </row>
    <row r="851" spans="1:13" x14ac:dyDescent="0.25">
      <c r="A851">
        <v>2022</v>
      </c>
      <c r="B851" t="s">
        <v>3460</v>
      </c>
      <c r="C851" t="s">
        <v>3461</v>
      </c>
      <c r="D851" t="s">
        <v>30</v>
      </c>
      <c r="E851" t="s">
        <v>210</v>
      </c>
      <c r="F851">
        <v>4500244746</v>
      </c>
      <c r="G851" t="s">
        <v>5119</v>
      </c>
      <c r="H851" t="s">
        <v>3334</v>
      </c>
      <c r="I851" t="s">
        <v>216</v>
      </c>
      <c r="J851" t="s">
        <v>210</v>
      </c>
      <c r="K851" s="2">
        <v>13800</v>
      </c>
      <c r="L851" s="2">
        <v>13800</v>
      </c>
      <c r="M851" t="str">
        <f>IFERROR(IF(VLOOKUP(LEFT(B851,2),'Humanitarian codes'!$A$2:$A$10,1,FALSE)=LEFT(B851,2),"Yes","Error"),"No")</f>
        <v>Yes</v>
      </c>
    </row>
    <row r="852" spans="1:13" x14ac:dyDescent="0.25">
      <c r="A852">
        <v>2022</v>
      </c>
      <c r="B852" t="s">
        <v>3460</v>
      </c>
      <c r="C852" t="s">
        <v>3461</v>
      </c>
      <c r="D852" t="s">
        <v>30</v>
      </c>
      <c r="E852" t="s">
        <v>210</v>
      </c>
      <c r="F852">
        <v>4500244748</v>
      </c>
      <c r="G852" t="s">
        <v>5120</v>
      </c>
      <c r="H852" t="s">
        <v>3334</v>
      </c>
      <c r="I852" t="s">
        <v>468</v>
      </c>
      <c r="J852" t="s">
        <v>210</v>
      </c>
      <c r="K852" s="2">
        <v>50901</v>
      </c>
      <c r="L852" s="2">
        <v>50901</v>
      </c>
      <c r="M852" t="str">
        <f>IFERROR(IF(VLOOKUP(LEFT(B852,2),'Humanitarian codes'!$A$2:$A$10,1,FALSE)=LEFT(B852,2),"Yes","Error"),"No")</f>
        <v>Yes</v>
      </c>
    </row>
    <row r="853" spans="1:13" x14ac:dyDescent="0.25">
      <c r="A853">
        <v>2022</v>
      </c>
      <c r="B853" t="s">
        <v>3460</v>
      </c>
      <c r="C853" t="s">
        <v>3461</v>
      </c>
      <c r="D853" t="s">
        <v>30</v>
      </c>
      <c r="E853" t="s">
        <v>210</v>
      </c>
      <c r="F853">
        <v>4500245590</v>
      </c>
      <c r="G853" t="s">
        <v>5121</v>
      </c>
      <c r="H853" t="s">
        <v>3334</v>
      </c>
      <c r="I853" t="s">
        <v>217</v>
      </c>
      <c r="J853" t="s">
        <v>210</v>
      </c>
      <c r="K853" s="2">
        <v>10180</v>
      </c>
      <c r="L853" s="2">
        <v>10180</v>
      </c>
      <c r="M853" t="str">
        <f>IFERROR(IF(VLOOKUP(LEFT(B853,2),'Humanitarian codes'!$A$2:$A$10,1,FALSE)=LEFT(B853,2),"Yes","Error"),"No")</f>
        <v>Yes</v>
      </c>
    </row>
    <row r="854" spans="1:13" x14ac:dyDescent="0.25">
      <c r="A854">
        <v>2022</v>
      </c>
      <c r="B854" t="s">
        <v>3460</v>
      </c>
      <c r="C854" t="s">
        <v>3461</v>
      </c>
      <c r="D854" t="s">
        <v>30</v>
      </c>
      <c r="E854" t="s">
        <v>210</v>
      </c>
      <c r="F854">
        <v>4500249076</v>
      </c>
      <c r="G854" t="s">
        <v>5122</v>
      </c>
      <c r="H854" t="s">
        <v>3334</v>
      </c>
      <c r="I854" t="s">
        <v>216</v>
      </c>
      <c r="J854" t="s">
        <v>210</v>
      </c>
      <c r="K854" s="2">
        <v>90009</v>
      </c>
      <c r="L854" s="2">
        <v>90009</v>
      </c>
      <c r="M854" t="str">
        <f>IFERROR(IF(VLOOKUP(LEFT(B854,2),'Humanitarian codes'!$A$2:$A$10,1,FALSE)=LEFT(B854,2),"Yes","Error"),"No")</f>
        <v>Yes</v>
      </c>
    </row>
    <row r="855" spans="1:13" x14ac:dyDescent="0.25">
      <c r="A855">
        <v>2022</v>
      </c>
      <c r="B855" t="s">
        <v>3460</v>
      </c>
      <c r="C855" t="s">
        <v>3461</v>
      </c>
      <c r="D855" t="s">
        <v>30</v>
      </c>
      <c r="E855" t="s">
        <v>210</v>
      </c>
      <c r="F855">
        <v>4500249795</v>
      </c>
      <c r="G855" t="s">
        <v>5123</v>
      </c>
      <c r="H855" t="s">
        <v>3334</v>
      </c>
      <c r="I855" t="s">
        <v>211</v>
      </c>
      <c r="J855" t="s">
        <v>210</v>
      </c>
      <c r="K855" s="2">
        <v>180344</v>
      </c>
      <c r="L855" s="2">
        <v>180344</v>
      </c>
      <c r="M855" t="str">
        <f>IFERROR(IF(VLOOKUP(LEFT(B855,2),'Humanitarian codes'!$A$2:$A$10,1,FALSE)=LEFT(B855,2),"Yes","Error"),"No")</f>
        <v>Yes</v>
      </c>
    </row>
    <row r="856" spans="1:13" x14ac:dyDescent="0.25">
      <c r="A856">
        <v>2022</v>
      </c>
      <c r="B856" t="s">
        <v>3460</v>
      </c>
      <c r="C856" t="s">
        <v>3461</v>
      </c>
      <c r="D856" t="s">
        <v>30</v>
      </c>
      <c r="E856" t="s">
        <v>210</v>
      </c>
      <c r="F856">
        <v>4500249796</v>
      </c>
      <c r="G856" t="s">
        <v>5124</v>
      </c>
      <c r="H856" t="s">
        <v>3334</v>
      </c>
      <c r="I856" t="s">
        <v>2416</v>
      </c>
      <c r="J856" t="s">
        <v>210</v>
      </c>
      <c r="K856" s="2">
        <v>88610</v>
      </c>
      <c r="L856" s="2">
        <v>88610</v>
      </c>
      <c r="M856" t="str">
        <f>IFERROR(IF(VLOOKUP(LEFT(B856,2),'Humanitarian codes'!$A$2:$A$10,1,FALSE)=LEFT(B856,2),"Yes","Error"),"No")</f>
        <v>Yes</v>
      </c>
    </row>
    <row r="857" spans="1:13" x14ac:dyDescent="0.25">
      <c r="A857">
        <v>2022</v>
      </c>
      <c r="B857" t="s">
        <v>3460</v>
      </c>
      <c r="C857" t="s">
        <v>3461</v>
      </c>
      <c r="D857" t="s">
        <v>30</v>
      </c>
      <c r="E857" t="s">
        <v>210</v>
      </c>
      <c r="F857">
        <v>4500249797</v>
      </c>
      <c r="G857" t="s">
        <v>5125</v>
      </c>
      <c r="H857" t="s">
        <v>3334</v>
      </c>
      <c r="I857" t="s">
        <v>214</v>
      </c>
      <c r="J857" t="s">
        <v>210</v>
      </c>
      <c r="K857" s="2">
        <v>66833</v>
      </c>
      <c r="L857" s="2">
        <v>66833</v>
      </c>
      <c r="M857" t="str">
        <f>IFERROR(IF(VLOOKUP(LEFT(B857,2),'Humanitarian codes'!$A$2:$A$10,1,FALSE)=LEFT(B857,2),"Yes","Error"),"No")</f>
        <v>Yes</v>
      </c>
    </row>
    <row r="858" spans="1:13" x14ac:dyDescent="0.25">
      <c r="A858">
        <v>2022</v>
      </c>
      <c r="B858" t="s">
        <v>3460</v>
      </c>
      <c r="C858" t="s">
        <v>3461</v>
      </c>
      <c r="D858" t="s">
        <v>30</v>
      </c>
      <c r="E858" t="s">
        <v>210</v>
      </c>
      <c r="F858">
        <v>4500274295</v>
      </c>
      <c r="G858" t="s">
        <v>5126</v>
      </c>
      <c r="H858" t="s">
        <v>3334</v>
      </c>
      <c r="I858" t="s">
        <v>5116</v>
      </c>
      <c r="J858" t="s">
        <v>210</v>
      </c>
      <c r="K858" s="2">
        <v>53843</v>
      </c>
      <c r="L858" s="2">
        <v>53843</v>
      </c>
      <c r="M858" t="str">
        <f>IFERROR(IF(VLOOKUP(LEFT(B858,2),'Humanitarian codes'!$A$2:$A$10,1,FALSE)=LEFT(B858,2),"Yes","Error"),"No")</f>
        <v>Yes</v>
      </c>
    </row>
    <row r="859" spans="1:13" x14ac:dyDescent="0.25">
      <c r="A859">
        <v>2022</v>
      </c>
      <c r="B859" t="s">
        <v>3460</v>
      </c>
      <c r="C859" t="s">
        <v>3461</v>
      </c>
      <c r="D859" t="s">
        <v>30</v>
      </c>
      <c r="E859" t="s">
        <v>210</v>
      </c>
      <c r="F859">
        <v>4500276583</v>
      </c>
      <c r="G859" t="s">
        <v>5107</v>
      </c>
      <c r="H859" t="s">
        <v>3334</v>
      </c>
      <c r="I859" t="s">
        <v>216</v>
      </c>
      <c r="J859" t="s">
        <v>210</v>
      </c>
      <c r="K859" s="2">
        <v>154318</v>
      </c>
      <c r="L859" s="2">
        <v>154318</v>
      </c>
      <c r="M859" t="str">
        <f>IFERROR(IF(VLOOKUP(LEFT(B859,2),'Humanitarian codes'!$A$2:$A$10,1,FALSE)=LEFT(B859,2),"Yes","Error"),"No")</f>
        <v>Yes</v>
      </c>
    </row>
    <row r="860" spans="1:13" x14ac:dyDescent="0.25">
      <c r="A860">
        <v>2022</v>
      </c>
      <c r="B860" t="s">
        <v>3460</v>
      </c>
      <c r="C860" t="s">
        <v>3461</v>
      </c>
      <c r="D860" t="s">
        <v>30</v>
      </c>
      <c r="E860" t="s">
        <v>1048</v>
      </c>
      <c r="F860">
        <v>4500247410</v>
      </c>
      <c r="G860" t="s">
        <v>3933</v>
      </c>
      <c r="H860" t="s">
        <v>3334</v>
      </c>
      <c r="I860" t="s">
        <v>5127</v>
      </c>
      <c r="J860" t="s">
        <v>3932</v>
      </c>
      <c r="K860" s="2">
        <v>5225</v>
      </c>
      <c r="L860" s="2">
        <v>5225</v>
      </c>
      <c r="M860" t="str">
        <f>IFERROR(IF(VLOOKUP(LEFT(B860,2),'Humanitarian codes'!$A$2:$A$10,1,FALSE)=LEFT(B860,2),"Yes","Error"),"No")</f>
        <v>Yes</v>
      </c>
    </row>
    <row r="861" spans="1:13" x14ac:dyDescent="0.25">
      <c r="A861">
        <v>2022</v>
      </c>
      <c r="B861" t="s">
        <v>3460</v>
      </c>
      <c r="C861" t="s">
        <v>3461</v>
      </c>
      <c r="D861" t="s">
        <v>30</v>
      </c>
      <c r="E861" t="s">
        <v>1048</v>
      </c>
      <c r="F861">
        <v>4500263056</v>
      </c>
      <c r="G861" t="s">
        <v>5128</v>
      </c>
      <c r="H861" t="s">
        <v>3334</v>
      </c>
      <c r="I861" t="s">
        <v>5129</v>
      </c>
      <c r="J861" t="s">
        <v>3932</v>
      </c>
      <c r="K861" s="2">
        <v>28067</v>
      </c>
      <c r="L861" s="2">
        <v>28067</v>
      </c>
      <c r="M861" t="str">
        <f>IFERROR(IF(VLOOKUP(LEFT(B861,2),'Humanitarian codes'!$A$2:$A$10,1,FALSE)=LEFT(B861,2),"Yes","Error"),"No")</f>
        <v>Yes</v>
      </c>
    </row>
    <row r="862" spans="1:13" x14ac:dyDescent="0.25">
      <c r="A862">
        <v>2022</v>
      </c>
      <c r="B862" t="s">
        <v>3460</v>
      </c>
      <c r="C862" t="s">
        <v>3461</v>
      </c>
      <c r="D862" t="s">
        <v>30</v>
      </c>
      <c r="E862" t="s">
        <v>1048</v>
      </c>
      <c r="F862">
        <v>4500263057</v>
      </c>
      <c r="G862" t="s">
        <v>5128</v>
      </c>
      <c r="H862" t="s">
        <v>3334</v>
      </c>
      <c r="I862" t="s">
        <v>1717</v>
      </c>
      <c r="J862" t="s">
        <v>3932</v>
      </c>
      <c r="K862" s="2">
        <v>20000</v>
      </c>
      <c r="L862" s="2">
        <v>20000</v>
      </c>
      <c r="M862" t="str">
        <f>IFERROR(IF(VLOOKUP(LEFT(B862,2),'Humanitarian codes'!$A$2:$A$10,1,FALSE)=LEFT(B862,2),"Yes","Error"),"No")</f>
        <v>Yes</v>
      </c>
    </row>
    <row r="863" spans="1:13" x14ac:dyDescent="0.25">
      <c r="A863">
        <v>2022</v>
      </c>
      <c r="B863" t="s">
        <v>3460</v>
      </c>
      <c r="C863" t="s">
        <v>3461</v>
      </c>
      <c r="D863" t="s">
        <v>30</v>
      </c>
      <c r="E863" t="s">
        <v>1048</v>
      </c>
      <c r="F863">
        <v>4500269125</v>
      </c>
      <c r="G863" t="s">
        <v>5130</v>
      </c>
      <c r="H863" t="s">
        <v>3334</v>
      </c>
      <c r="I863" t="s">
        <v>222</v>
      </c>
      <c r="J863" t="s">
        <v>3932</v>
      </c>
      <c r="K863" s="2">
        <v>9750</v>
      </c>
      <c r="L863" s="2">
        <v>9750</v>
      </c>
      <c r="M863" t="str">
        <f>IFERROR(IF(VLOOKUP(LEFT(B863,2),'Humanitarian codes'!$A$2:$A$10,1,FALSE)=LEFT(B863,2),"Yes","Error"),"No")</f>
        <v>Yes</v>
      </c>
    </row>
    <row r="864" spans="1:13" x14ac:dyDescent="0.25">
      <c r="A864">
        <v>2022</v>
      </c>
      <c r="B864" t="s">
        <v>3460</v>
      </c>
      <c r="C864" t="s">
        <v>3461</v>
      </c>
      <c r="D864" t="s">
        <v>30</v>
      </c>
      <c r="E864" t="s">
        <v>885</v>
      </c>
      <c r="F864">
        <v>4500241949</v>
      </c>
      <c r="G864" t="s">
        <v>5131</v>
      </c>
      <c r="H864" t="s">
        <v>3334</v>
      </c>
      <c r="I864" t="s">
        <v>886</v>
      </c>
      <c r="J864" t="s">
        <v>885</v>
      </c>
      <c r="K864" s="2">
        <v>180189</v>
      </c>
      <c r="L864" s="2">
        <v>180189</v>
      </c>
      <c r="M864" t="str">
        <f>IFERROR(IF(VLOOKUP(LEFT(B864,2),'Humanitarian codes'!$A$2:$A$10,1,FALSE)=LEFT(B864,2),"Yes","Error"),"No")</f>
        <v>Yes</v>
      </c>
    </row>
    <row r="865" spans="1:13" x14ac:dyDescent="0.25">
      <c r="A865">
        <v>2022</v>
      </c>
      <c r="B865" t="s">
        <v>5132</v>
      </c>
      <c r="C865" t="s">
        <v>5133</v>
      </c>
      <c r="D865" t="s">
        <v>30</v>
      </c>
      <c r="E865" t="s">
        <v>54</v>
      </c>
      <c r="F865">
        <v>4500225861</v>
      </c>
      <c r="G865" t="s">
        <v>5004</v>
      </c>
      <c r="H865" t="s">
        <v>3334</v>
      </c>
      <c r="I865" t="s">
        <v>5005</v>
      </c>
      <c r="J865" t="s">
        <v>54</v>
      </c>
      <c r="K865" s="2">
        <v>486002</v>
      </c>
      <c r="L865" s="2">
        <v>1613184</v>
      </c>
      <c r="M865" t="str">
        <f>IFERROR(IF(VLOOKUP(LEFT(B865,2),'Humanitarian codes'!$A$2:$A$10,1,FALSE)=LEFT(B865,2),"Yes","Error"),"No")</f>
        <v>Yes</v>
      </c>
    </row>
    <row r="866" spans="1:13" x14ac:dyDescent="0.25">
      <c r="A866">
        <v>2022</v>
      </c>
      <c r="B866" t="s">
        <v>5132</v>
      </c>
      <c r="C866" t="s">
        <v>5133</v>
      </c>
      <c r="D866" t="s">
        <v>30</v>
      </c>
      <c r="E866" t="s">
        <v>54</v>
      </c>
      <c r="F866">
        <v>4500246231</v>
      </c>
      <c r="G866" t="s">
        <v>5134</v>
      </c>
      <c r="H866" t="s">
        <v>3334</v>
      </c>
      <c r="I866" t="s">
        <v>3800</v>
      </c>
      <c r="J866" t="s">
        <v>54</v>
      </c>
      <c r="K866" s="2">
        <v>13224</v>
      </c>
      <c r="L866" s="2">
        <v>13224</v>
      </c>
      <c r="M866" t="str">
        <f>IFERROR(IF(VLOOKUP(LEFT(B866,2),'Humanitarian codes'!$A$2:$A$10,1,FALSE)=LEFT(B866,2),"Yes","Error"),"No")</f>
        <v>Yes</v>
      </c>
    </row>
    <row r="867" spans="1:13" x14ac:dyDescent="0.25">
      <c r="A867">
        <v>2022</v>
      </c>
      <c r="B867" t="s">
        <v>5132</v>
      </c>
      <c r="C867" t="s">
        <v>5133</v>
      </c>
      <c r="D867" t="s">
        <v>30</v>
      </c>
      <c r="E867" t="s">
        <v>54</v>
      </c>
      <c r="F867">
        <v>4500251107</v>
      </c>
      <c r="G867" t="s">
        <v>5011</v>
      </c>
      <c r="H867" t="s">
        <v>3334</v>
      </c>
      <c r="I867" t="s">
        <v>5012</v>
      </c>
      <c r="J867" t="s">
        <v>751</v>
      </c>
      <c r="K867" s="2">
        <v>615000</v>
      </c>
      <c r="L867" s="2">
        <v>2271854</v>
      </c>
      <c r="M867" t="str">
        <f>IFERROR(IF(VLOOKUP(LEFT(B867,2),'Humanitarian codes'!$A$2:$A$10,1,FALSE)=LEFT(B867,2),"Yes","Error"),"No")</f>
        <v>Yes</v>
      </c>
    </row>
    <row r="868" spans="1:13" x14ac:dyDescent="0.25">
      <c r="A868">
        <v>2022</v>
      </c>
      <c r="B868" t="s">
        <v>5135</v>
      </c>
      <c r="C868" t="s">
        <v>5136</v>
      </c>
      <c r="D868" t="s">
        <v>30</v>
      </c>
      <c r="E868" t="s">
        <v>54</v>
      </c>
      <c r="F868">
        <v>4500219764</v>
      </c>
      <c r="G868" t="s">
        <v>5137</v>
      </c>
      <c r="H868" t="s">
        <v>3334</v>
      </c>
      <c r="I868" t="s">
        <v>5138</v>
      </c>
      <c r="J868" t="s">
        <v>54</v>
      </c>
      <c r="K868" s="2">
        <v>431633</v>
      </c>
      <c r="L868" s="2">
        <v>431633</v>
      </c>
      <c r="M868" t="str">
        <f>IFERROR(IF(VLOOKUP(LEFT(B868,2),'Humanitarian codes'!$A$2:$A$10,1,FALSE)=LEFT(B868,2),"Yes","Error"),"No")</f>
        <v>Yes</v>
      </c>
    </row>
    <row r="869" spans="1:13" x14ac:dyDescent="0.25">
      <c r="A869">
        <v>2022</v>
      </c>
      <c r="B869" t="s">
        <v>3328</v>
      </c>
      <c r="C869" t="s">
        <v>3329</v>
      </c>
      <c r="D869" t="s">
        <v>30</v>
      </c>
      <c r="E869" t="s">
        <v>1126</v>
      </c>
      <c r="F869">
        <v>4500267428</v>
      </c>
      <c r="G869" t="s">
        <v>5139</v>
      </c>
      <c r="H869" t="s">
        <v>3334</v>
      </c>
      <c r="I869" t="s">
        <v>5140</v>
      </c>
      <c r="J869" t="s">
        <v>1126</v>
      </c>
      <c r="K869" s="2">
        <v>69831</v>
      </c>
      <c r="L869" s="2">
        <v>69831</v>
      </c>
      <c r="M869" t="str">
        <f>IFERROR(IF(VLOOKUP(LEFT(B869,2),'Humanitarian codes'!$A$2:$A$10,1,FALSE)=LEFT(B869,2),"Yes","Error"),"No")</f>
        <v>Yes</v>
      </c>
    </row>
    <row r="870" spans="1:13" x14ac:dyDescent="0.25">
      <c r="A870">
        <v>2022</v>
      </c>
      <c r="B870" t="s">
        <v>3328</v>
      </c>
      <c r="C870" t="s">
        <v>3329</v>
      </c>
      <c r="D870" t="s">
        <v>30</v>
      </c>
      <c r="E870" t="s">
        <v>1126</v>
      </c>
      <c r="F870">
        <v>4500267772</v>
      </c>
      <c r="G870" t="s">
        <v>5141</v>
      </c>
      <c r="H870" t="s">
        <v>3334</v>
      </c>
      <c r="I870" t="s">
        <v>5142</v>
      </c>
      <c r="J870" t="s">
        <v>1126</v>
      </c>
      <c r="K870" s="2">
        <v>26234</v>
      </c>
      <c r="L870" s="2">
        <v>26234</v>
      </c>
      <c r="M870" t="str">
        <f>IFERROR(IF(VLOOKUP(LEFT(B870,2),'Humanitarian codes'!$A$2:$A$10,1,FALSE)=LEFT(B870,2),"Yes","Error"),"No")</f>
        <v>Yes</v>
      </c>
    </row>
    <row r="871" spans="1:13" x14ac:dyDescent="0.25">
      <c r="A871">
        <v>2022</v>
      </c>
      <c r="B871" t="s">
        <v>3328</v>
      </c>
      <c r="C871" t="s">
        <v>3329</v>
      </c>
      <c r="D871" t="s">
        <v>30</v>
      </c>
      <c r="E871" t="s">
        <v>1126</v>
      </c>
      <c r="F871">
        <v>4500267783</v>
      </c>
      <c r="G871" t="s">
        <v>5143</v>
      </c>
      <c r="H871" t="s">
        <v>3334</v>
      </c>
      <c r="I871" t="s">
        <v>5144</v>
      </c>
      <c r="J871" t="s">
        <v>1126</v>
      </c>
      <c r="K871" s="2">
        <v>39263</v>
      </c>
      <c r="L871" s="2">
        <v>39263</v>
      </c>
      <c r="M871" t="str">
        <f>IFERROR(IF(VLOOKUP(LEFT(B871,2),'Humanitarian codes'!$A$2:$A$10,1,FALSE)=LEFT(B871,2),"Yes","Error"),"No")</f>
        <v>Yes</v>
      </c>
    </row>
    <row r="872" spans="1:13" x14ac:dyDescent="0.25">
      <c r="A872">
        <v>2022</v>
      </c>
      <c r="B872" t="s">
        <v>3328</v>
      </c>
      <c r="C872" t="s">
        <v>3329</v>
      </c>
      <c r="D872" t="s">
        <v>30</v>
      </c>
      <c r="E872" t="s">
        <v>303</v>
      </c>
      <c r="F872">
        <v>4500221528</v>
      </c>
      <c r="G872" t="s">
        <v>4969</v>
      </c>
      <c r="H872" t="s">
        <v>3334</v>
      </c>
      <c r="I872" t="s">
        <v>869</v>
      </c>
      <c r="J872" t="s">
        <v>303</v>
      </c>
      <c r="K872" s="2">
        <v>154120</v>
      </c>
      <c r="L872" s="2">
        <v>453294</v>
      </c>
      <c r="M872" t="str">
        <f>IFERROR(IF(VLOOKUP(LEFT(B872,2),'Humanitarian codes'!$A$2:$A$10,1,FALSE)=LEFT(B872,2),"Yes","Error"),"No")</f>
        <v>Yes</v>
      </c>
    </row>
    <row r="873" spans="1:13" x14ac:dyDescent="0.25">
      <c r="A873">
        <v>2022</v>
      </c>
      <c r="B873" t="s">
        <v>3328</v>
      </c>
      <c r="C873" t="s">
        <v>3329</v>
      </c>
      <c r="D873" t="s">
        <v>30</v>
      </c>
      <c r="E873" t="s">
        <v>303</v>
      </c>
      <c r="F873">
        <v>4500240378</v>
      </c>
      <c r="G873" t="s">
        <v>5145</v>
      </c>
      <c r="H873" t="s">
        <v>3334</v>
      </c>
      <c r="I873" t="s">
        <v>869</v>
      </c>
      <c r="J873" t="s">
        <v>303</v>
      </c>
      <c r="K873" s="2">
        <v>746984</v>
      </c>
      <c r="L873" s="2">
        <v>970109</v>
      </c>
      <c r="M873" t="str">
        <f>IFERROR(IF(VLOOKUP(LEFT(B873,2),'Humanitarian codes'!$A$2:$A$10,1,FALSE)=LEFT(B873,2),"Yes","Error"),"No")</f>
        <v>Yes</v>
      </c>
    </row>
    <row r="874" spans="1:13" x14ac:dyDescent="0.25">
      <c r="A874">
        <v>2022</v>
      </c>
      <c r="B874" t="s">
        <v>3328</v>
      </c>
      <c r="C874" t="s">
        <v>3329</v>
      </c>
      <c r="D874" t="s">
        <v>30</v>
      </c>
      <c r="E874" t="s">
        <v>303</v>
      </c>
      <c r="F874">
        <v>4500260479</v>
      </c>
      <c r="G874" t="s">
        <v>5146</v>
      </c>
      <c r="H874" t="s">
        <v>3334</v>
      </c>
      <c r="I874" t="s">
        <v>5147</v>
      </c>
      <c r="J874" t="s">
        <v>303</v>
      </c>
      <c r="K874" s="2">
        <v>84768</v>
      </c>
      <c r="L874" s="2">
        <v>84768</v>
      </c>
      <c r="M874" t="str">
        <f>IFERROR(IF(VLOOKUP(LEFT(B874,2),'Humanitarian codes'!$A$2:$A$10,1,FALSE)=LEFT(B874,2),"Yes","Error"),"No")</f>
        <v>Yes</v>
      </c>
    </row>
    <row r="875" spans="1:13" x14ac:dyDescent="0.25">
      <c r="A875">
        <v>2022</v>
      </c>
      <c r="B875" t="s">
        <v>3328</v>
      </c>
      <c r="C875" t="s">
        <v>3329</v>
      </c>
      <c r="D875" t="s">
        <v>30</v>
      </c>
      <c r="E875" t="s">
        <v>305</v>
      </c>
      <c r="F875">
        <v>4500238822</v>
      </c>
      <c r="G875" t="s">
        <v>5148</v>
      </c>
      <c r="H875" t="s">
        <v>3334</v>
      </c>
      <c r="I875" t="s">
        <v>905</v>
      </c>
      <c r="J875" t="s">
        <v>305</v>
      </c>
      <c r="K875" s="2">
        <v>1137934</v>
      </c>
      <c r="L875" s="2">
        <v>1193885</v>
      </c>
      <c r="M875" t="str">
        <f>IFERROR(IF(VLOOKUP(LEFT(B875,2),'Humanitarian codes'!$A$2:$A$10,1,FALSE)=LEFT(B875,2),"Yes","Error"),"No")</f>
        <v>Yes</v>
      </c>
    </row>
    <row r="876" spans="1:13" x14ac:dyDescent="0.25">
      <c r="A876">
        <v>2022</v>
      </c>
      <c r="B876" t="s">
        <v>3328</v>
      </c>
      <c r="C876" t="s">
        <v>3329</v>
      </c>
      <c r="D876" t="s">
        <v>30</v>
      </c>
      <c r="E876" t="s">
        <v>305</v>
      </c>
      <c r="F876">
        <v>4500239510</v>
      </c>
      <c r="G876" t="s">
        <v>5149</v>
      </c>
      <c r="H876" t="s">
        <v>3334</v>
      </c>
      <c r="I876" t="s">
        <v>309</v>
      </c>
      <c r="J876" t="s">
        <v>305</v>
      </c>
      <c r="K876" s="2">
        <v>426734</v>
      </c>
      <c r="L876" s="2">
        <v>593357</v>
      </c>
      <c r="M876" t="str">
        <f>IFERROR(IF(VLOOKUP(LEFT(B876,2),'Humanitarian codes'!$A$2:$A$10,1,FALSE)=LEFT(B876,2),"Yes","Error"),"No")</f>
        <v>Yes</v>
      </c>
    </row>
    <row r="877" spans="1:13" x14ac:dyDescent="0.25">
      <c r="A877">
        <v>2022</v>
      </c>
      <c r="B877" t="s">
        <v>3328</v>
      </c>
      <c r="C877" t="s">
        <v>3329</v>
      </c>
      <c r="D877" t="s">
        <v>30</v>
      </c>
      <c r="E877" t="s">
        <v>305</v>
      </c>
      <c r="F877">
        <v>4500240195</v>
      </c>
      <c r="G877" t="s">
        <v>5150</v>
      </c>
      <c r="H877" t="s">
        <v>3334</v>
      </c>
      <c r="I877" t="s">
        <v>5151</v>
      </c>
      <c r="J877" t="s">
        <v>305</v>
      </c>
      <c r="K877" s="2">
        <v>58990</v>
      </c>
      <c r="L877" s="2">
        <v>58990</v>
      </c>
      <c r="M877" t="str">
        <f>IFERROR(IF(VLOOKUP(LEFT(B877,2),'Humanitarian codes'!$A$2:$A$10,1,FALSE)=LEFT(B877,2),"Yes","Error"),"No")</f>
        <v>Yes</v>
      </c>
    </row>
    <row r="878" spans="1:13" x14ac:dyDescent="0.25">
      <c r="A878">
        <v>2022</v>
      </c>
      <c r="B878" t="s">
        <v>3328</v>
      </c>
      <c r="C878" t="s">
        <v>3329</v>
      </c>
      <c r="D878" t="s">
        <v>30</v>
      </c>
      <c r="E878" t="s">
        <v>305</v>
      </c>
      <c r="F878">
        <v>4500255119</v>
      </c>
      <c r="G878" t="s">
        <v>5152</v>
      </c>
      <c r="H878" t="s">
        <v>3334</v>
      </c>
      <c r="I878" t="s">
        <v>1327</v>
      </c>
      <c r="J878" t="s">
        <v>305</v>
      </c>
      <c r="K878" s="2">
        <v>52433</v>
      </c>
      <c r="L878" s="2">
        <v>52433</v>
      </c>
      <c r="M878" t="str">
        <f>IFERROR(IF(VLOOKUP(LEFT(B878,2),'Humanitarian codes'!$A$2:$A$10,1,FALSE)=LEFT(B878,2),"Yes","Error"),"No")</f>
        <v>Yes</v>
      </c>
    </row>
    <row r="879" spans="1:13" x14ac:dyDescent="0.25">
      <c r="A879">
        <v>2022</v>
      </c>
      <c r="B879" t="s">
        <v>3328</v>
      </c>
      <c r="C879" t="s">
        <v>3329</v>
      </c>
      <c r="D879" t="s">
        <v>30</v>
      </c>
      <c r="E879" t="s">
        <v>305</v>
      </c>
      <c r="F879">
        <v>4500256939</v>
      </c>
      <c r="G879" t="s">
        <v>5153</v>
      </c>
      <c r="H879" t="s">
        <v>3334</v>
      </c>
      <c r="I879" t="s">
        <v>2038</v>
      </c>
      <c r="J879" t="s">
        <v>305</v>
      </c>
      <c r="K879" s="2">
        <v>80441</v>
      </c>
      <c r="L879" s="2">
        <v>80441</v>
      </c>
      <c r="M879" t="str">
        <f>IFERROR(IF(VLOOKUP(LEFT(B879,2),'Humanitarian codes'!$A$2:$A$10,1,FALSE)=LEFT(B879,2),"Yes","Error"),"No")</f>
        <v>Yes</v>
      </c>
    </row>
    <row r="880" spans="1:13" x14ac:dyDescent="0.25">
      <c r="A880">
        <v>2022</v>
      </c>
      <c r="B880" t="s">
        <v>3328</v>
      </c>
      <c r="C880" t="s">
        <v>3329</v>
      </c>
      <c r="D880" t="s">
        <v>30</v>
      </c>
      <c r="E880" t="s">
        <v>305</v>
      </c>
      <c r="F880">
        <v>4500260239</v>
      </c>
      <c r="G880" t="s">
        <v>5154</v>
      </c>
      <c r="H880" t="s">
        <v>3334</v>
      </c>
      <c r="I880" t="s">
        <v>908</v>
      </c>
      <c r="J880" t="s">
        <v>305</v>
      </c>
      <c r="K880" s="2">
        <v>206674</v>
      </c>
      <c r="L880" s="2">
        <v>206674</v>
      </c>
      <c r="M880" t="str">
        <f>IFERROR(IF(VLOOKUP(LEFT(B880,2),'Humanitarian codes'!$A$2:$A$10,1,FALSE)=LEFT(B880,2),"Yes","Error"),"No")</f>
        <v>Yes</v>
      </c>
    </row>
    <row r="881" spans="1:13" x14ac:dyDescent="0.25">
      <c r="A881">
        <v>2022</v>
      </c>
      <c r="B881" t="s">
        <v>3328</v>
      </c>
      <c r="C881" t="s">
        <v>3329</v>
      </c>
      <c r="D881" t="s">
        <v>30</v>
      </c>
      <c r="E881" t="s">
        <v>305</v>
      </c>
      <c r="F881">
        <v>4500264735</v>
      </c>
      <c r="G881" t="s">
        <v>5155</v>
      </c>
      <c r="H881" t="s">
        <v>3334</v>
      </c>
      <c r="I881" t="s">
        <v>2475</v>
      </c>
      <c r="J881" t="s">
        <v>305</v>
      </c>
      <c r="K881" s="2">
        <v>163286</v>
      </c>
      <c r="L881" s="2">
        <v>163286</v>
      </c>
      <c r="M881" t="str">
        <f>IFERROR(IF(VLOOKUP(LEFT(B881,2),'Humanitarian codes'!$A$2:$A$10,1,FALSE)=LEFT(B881,2),"Yes","Error"),"No")</f>
        <v>Yes</v>
      </c>
    </row>
    <row r="882" spans="1:13" x14ac:dyDescent="0.25">
      <c r="A882">
        <v>2022</v>
      </c>
      <c r="B882" t="s">
        <v>3328</v>
      </c>
      <c r="C882" t="s">
        <v>3329</v>
      </c>
      <c r="D882" t="s">
        <v>30</v>
      </c>
      <c r="E882" t="s">
        <v>305</v>
      </c>
      <c r="F882">
        <v>4500265328</v>
      </c>
      <c r="G882" t="s">
        <v>5156</v>
      </c>
      <c r="H882" t="s">
        <v>3334</v>
      </c>
      <c r="I882" t="s">
        <v>2478</v>
      </c>
      <c r="J882" t="s">
        <v>305</v>
      </c>
      <c r="K882" s="2">
        <v>150138</v>
      </c>
      <c r="L882" s="2">
        <v>150138</v>
      </c>
      <c r="M882" t="str">
        <f>IFERROR(IF(VLOOKUP(LEFT(B882,2),'Humanitarian codes'!$A$2:$A$10,1,FALSE)=LEFT(B882,2),"Yes","Error"),"No")</f>
        <v>Yes</v>
      </c>
    </row>
    <row r="883" spans="1:13" x14ac:dyDescent="0.25">
      <c r="A883">
        <v>2022</v>
      </c>
      <c r="B883" t="s">
        <v>3328</v>
      </c>
      <c r="C883" t="s">
        <v>3329</v>
      </c>
      <c r="D883" t="s">
        <v>30</v>
      </c>
      <c r="E883" t="s">
        <v>305</v>
      </c>
      <c r="F883">
        <v>4500267475</v>
      </c>
      <c r="G883" t="s">
        <v>5157</v>
      </c>
      <c r="H883" t="s">
        <v>3334</v>
      </c>
      <c r="I883" t="s">
        <v>2480</v>
      </c>
      <c r="J883" t="s">
        <v>305</v>
      </c>
      <c r="K883" s="2">
        <v>390279</v>
      </c>
      <c r="L883" s="2">
        <v>390279</v>
      </c>
      <c r="M883" t="str">
        <f>IFERROR(IF(VLOOKUP(LEFT(B883,2),'Humanitarian codes'!$A$2:$A$10,1,FALSE)=LEFT(B883,2),"Yes","Error"),"No")</f>
        <v>Yes</v>
      </c>
    </row>
    <row r="884" spans="1:13" x14ac:dyDescent="0.25">
      <c r="A884">
        <v>2022</v>
      </c>
      <c r="B884" t="s">
        <v>3328</v>
      </c>
      <c r="C884" t="s">
        <v>3329</v>
      </c>
      <c r="D884" t="s">
        <v>30</v>
      </c>
      <c r="E884" t="s">
        <v>909</v>
      </c>
      <c r="F884">
        <v>4500272485</v>
      </c>
      <c r="G884" t="s">
        <v>5158</v>
      </c>
      <c r="H884" t="s">
        <v>3334</v>
      </c>
      <c r="I884" t="s">
        <v>3769</v>
      </c>
      <c r="J884" t="s">
        <v>909</v>
      </c>
      <c r="K884" s="2">
        <v>25379</v>
      </c>
      <c r="L884" s="2">
        <v>25379</v>
      </c>
      <c r="M884" t="str">
        <f>IFERROR(IF(VLOOKUP(LEFT(B884,2),'Humanitarian codes'!$A$2:$A$10,1,FALSE)=LEFT(B884,2),"Yes","Error"),"No")</f>
        <v>Yes</v>
      </c>
    </row>
    <row r="885" spans="1:13" x14ac:dyDescent="0.25">
      <c r="A885">
        <v>2022</v>
      </c>
      <c r="B885" t="s">
        <v>3328</v>
      </c>
      <c r="C885" t="s">
        <v>3329</v>
      </c>
      <c r="D885" t="s">
        <v>30</v>
      </c>
      <c r="E885" t="s">
        <v>911</v>
      </c>
      <c r="F885">
        <v>4500274243</v>
      </c>
      <c r="G885" t="s">
        <v>3933</v>
      </c>
      <c r="H885" t="s">
        <v>3334</v>
      </c>
      <c r="I885" t="s">
        <v>3491</v>
      </c>
      <c r="J885" t="s">
        <v>911</v>
      </c>
      <c r="K885" s="2">
        <v>404320</v>
      </c>
      <c r="L885" s="2">
        <v>594689</v>
      </c>
      <c r="M885" t="str">
        <f>IFERROR(IF(VLOOKUP(LEFT(B885,2),'Humanitarian codes'!$A$2:$A$10,1,FALSE)=LEFT(B885,2),"Yes","Error"),"No")</f>
        <v>Yes</v>
      </c>
    </row>
    <row r="886" spans="1:13" x14ac:dyDescent="0.25">
      <c r="A886">
        <v>2022</v>
      </c>
      <c r="B886" t="s">
        <v>3328</v>
      </c>
      <c r="C886" t="s">
        <v>3329</v>
      </c>
      <c r="D886" t="s">
        <v>30</v>
      </c>
      <c r="E886" t="s">
        <v>911</v>
      </c>
      <c r="F886">
        <v>4500274498</v>
      </c>
      <c r="G886" t="s">
        <v>5159</v>
      </c>
      <c r="H886" t="s">
        <v>3334</v>
      </c>
      <c r="I886" t="s">
        <v>5160</v>
      </c>
      <c r="J886" t="s">
        <v>911</v>
      </c>
      <c r="K886" s="2">
        <v>217166</v>
      </c>
      <c r="L886" s="2">
        <v>217166</v>
      </c>
      <c r="M886" t="str">
        <f>IFERROR(IF(VLOOKUP(LEFT(B886,2),'Humanitarian codes'!$A$2:$A$10,1,FALSE)=LEFT(B886,2),"Yes","Error"),"No")</f>
        <v>Yes</v>
      </c>
    </row>
    <row r="887" spans="1:13" x14ac:dyDescent="0.25">
      <c r="A887">
        <v>2022</v>
      </c>
      <c r="B887" t="s">
        <v>5161</v>
      </c>
      <c r="C887" t="s">
        <v>5162</v>
      </c>
      <c r="D887" t="s">
        <v>30</v>
      </c>
      <c r="E887" t="s">
        <v>303</v>
      </c>
      <c r="F887">
        <v>4500221528</v>
      </c>
      <c r="G887" t="s">
        <v>4969</v>
      </c>
      <c r="H887" t="s">
        <v>3334</v>
      </c>
      <c r="I887" t="s">
        <v>869</v>
      </c>
      <c r="J887" t="s">
        <v>303</v>
      </c>
      <c r="K887" s="2">
        <v>18132</v>
      </c>
      <c r="L887" s="2">
        <v>453294</v>
      </c>
      <c r="M887" t="str">
        <f>IFERROR(IF(VLOOKUP(LEFT(B887,2),'Humanitarian codes'!$A$2:$A$10,1,FALSE)=LEFT(B887,2),"Yes","Error"),"No")</f>
        <v>Yes</v>
      </c>
    </row>
    <row r="888" spans="1:13" x14ac:dyDescent="0.25">
      <c r="A888">
        <v>2022</v>
      </c>
      <c r="B888" t="s">
        <v>5163</v>
      </c>
      <c r="C888" t="s">
        <v>5164</v>
      </c>
      <c r="D888" t="s">
        <v>30</v>
      </c>
      <c r="E888" t="s">
        <v>150</v>
      </c>
      <c r="F888">
        <v>4500274864</v>
      </c>
      <c r="G888" t="s">
        <v>5165</v>
      </c>
      <c r="H888" t="s">
        <v>3334</v>
      </c>
      <c r="I888" t="s">
        <v>832</v>
      </c>
      <c r="J888" t="s">
        <v>150</v>
      </c>
      <c r="K888" s="2">
        <v>133779</v>
      </c>
      <c r="L888" s="2">
        <v>512906</v>
      </c>
      <c r="M888" t="str">
        <f>IFERROR(IF(VLOOKUP(LEFT(B888,2),'Humanitarian codes'!$A$2:$A$10,1,FALSE)=LEFT(B888,2),"Yes","Error"),"No")</f>
        <v>Yes</v>
      </c>
    </row>
    <row r="889" spans="1:13" x14ac:dyDescent="0.25">
      <c r="A889">
        <v>2022</v>
      </c>
      <c r="B889" t="s">
        <v>1249</v>
      </c>
      <c r="C889" t="s">
        <v>1250</v>
      </c>
      <c r="D889" t="s">
        <v>30</v>
      </c>
      <c r="E889" t="s">
        <v>717</v>
      </c>
      <c r="F889">
        <v>4500233234</v>
      </c>
      <c r="G889" t="s">
        <v>5166</v>
      </c>
      <c r="H889" t="s">
        <v>3334</v>
      </c>
      <c r="I889" t="s">
        <v>1251</v>
      </c>
      <c r="J889" t="s">
        <v>717</v>
      </c>
      <c r="K889" s="2">
        <v>80000</v>
      </c>
      <c r="L889" s="2">
        <v>80000</v>
      </c>
      <c r="M889" t="str">
        <f>IFERROR(IF(VLOOKUP(LEFT(B889,2),'Humanitarian codes'!$A$2:$A$10,1,FALSE)=LEFT(B889,2),"Yes","Error"),"No")</f>
        <v>Yes</v>
      </c>
    </row>
    <row r="890" spans="1:13" x14ac:dyDescent="0.25">
      <c r="A890">
        <v>2022</v>
      </c>
      <c r="B890" t="s">
        <v>74</v>
      </c>
      <c r="C890" t="s">
        <v>75</v>
      </c>
      <c r="D890" t="s">
        <v>30</v>
      </c>
      <c r="E890" t="s">
        <v>3396</v>
      </c>
      <c r="F890">
        <v>4500210483</v>
      </c>
      <c r="G890" t="s">
        <v>5167</v>
      </c>
      <c r="H890" t="s">
        <v>3334</v>
      </c>
      <c r="I890" t="s">
        <v>3833</v>
      </c>
      <c r="J890" t="s">
        <v>3396</v>
      </c>
      <c r="K890" s="2">
        <v>11737</v>
      </c>
      <c r="L890" s="2">
        <v>11737</v>
      </c>
      <c r="M890" t="str">
        <f>IFERROR(IF(VLOOKUP(LEFT(B890,2),'Humanitarian codes'!$A$2:$A$10,1,FALSE)=LEFT(B890,2),"Yes","Error"),"No")</f>
        <v>Yes</v>
      </c>
    </row>
    <row r="891" spans="1:13" x14ac:dyDescent="0.25">
      <c r="A891">
        <v>2022</v>
      </c>
      <c r="B891" t="s">
        <v>74</v>
      </c>
      <c r="C891" t="s">
        <v>75</v>
      </c>
      <c r="D891" t="s">
        <v>30</v>
      </c>
      <c r="E891" t="s">
        <v>3396</v>
      </c>
      <c r="F891">
        <v>4500227765</v>
      </c>
      <c r="G891" t="s">
        <v>4441</v>
      </c>
      <c r="H891" t="s">
        <v>3334</v>
      </c>
      <c r="I891" t="s">
        <v>3402</v>
      </c>
      <c r="J891" t="s">
        <v>3396</v>
      </c>
      <c r="K891" s="2">
        <v>12926</v>
      </c>
      <c r="L891" s="2">
        <v>22401</v>
      </c>
      <c r="M891" t="str">
        <f>IFERROR(IF(VLOOKUP(LEFT(B891,2),'Humanitarian codes'!$A$2:$A$10,1,FALSE)=LEFT(B891,2),"Yes","Error"),"No")</f>
        <v>Yes</v>
      </c>
    </row>
    <row r="892" spans="1:13" x14ac:dyDescent="0.25">
      <c r="A892">
        <v>2022</v>
      </c>
      <c r="B892" t="s">
        <v>74</v>
      </c>
      <c r="C892" t="s">
        <v>75</v>
      </c>
      <c r="D892" t="s">
        <v>30</v>
      </c>
      <c r="E892" t="s">
        <v>3396</v>
      </c>
      <c r="F892">
        <v>4500236520</v>
      </c>
      <c r="G892" t="s">
        <v>4543</v>
      </c>
      <c r="H892" t="s">
        <v>3334</v>
      </c>
      <c r="I892" t="s">
        <v>3833</v>
      </c>
      <c r="J892" t="s">
        <v>3396</v>
      </c>
      <c r="K892" s="2">
        <v>10834</v>
      </c>
      <c r="L892" s="2">
        <v>15478</v>
      </c>
      <c r="M892" t="str">
        <f>IFERROR(IF(VLOOKUP(LEFT(B892,2),'Humanitarian codes'!$A$2:$A$10,1,FALSE)=LEFT(B892,2),"Yes","Error"),"No")</f>
        <v>Yes</v>
      </c>
    </row>
    <row r="893" spans="1:13" x14ac:dyDescent="0.25">
      <c r="A893">
        <v>2022</v>
      </c>
      <c r="B893" t="s">
        <v>74</v>
      </c>
      <c r="C893" t="s">
        <v>75</v>
      </c>
      <c r="D893" t="s">
        <v>30</v>
      </c>
      <c r="E893" t="s">
        <v>3396</v>
      </c>
      <c r="F893">
        <v>4500242735</v>
      </c>
      <c r="G893" t="s">
        <v>4544</v>
      </c>
      <c r="H893" t="s">
        <v>3334</v>
      </c>
      <c r="I893" t="s">
        <v>3400</v>
      </c>
      <c r="J893" t="s">
        <v>3396</v>
      </c>
      <c r="K893" s="2">
        <v>40427</v>
      </c>
      <c r="L893" s="2">
        <v>101067</v>
      </c>
      <c r="M893" t="str">
        <f>IFERROR(IF(VLOOKUP(LEFT(B893,2),'Humanitarian codes'!$A$2:$A$10,1,FALSE)=LEFT(B893,2),"Yes","Error"),"No")</f>
        <v>Yes</v>
      </c>
    </row>
    <row r="894" spans="1:13" x14ac:dyDescent="0.25">
      <c r="A894">
        <v>2022</v>
      </c>
      <c r="B894" t="s">
        <v>74</v>
      </c>
      <c r="C894" t="s">
        <v>75</v>
      </c>
      <c r="D894" t="s">
        <v>30</v>
      </c>
      <c r="E894" t="s">
        <v>909</v>
      </c>
      <c r="F894">
        <v>4500256025</v>
      </c>
      <c r="G894" t="s">
        <v>5168</v>
      </c>
      <c r="H894" t="s">
        <v>3334</v>
      </c>
      <c r="I894" t="s">
        <v>2327</v>
      </c>
      <c r="J894" t="s">
        <v>909</v>
      </c>
      <c r="K894" s="2">
        <v>14173</v>
      </c>
      <c r="L894" s="2">
        <v>14173</v>
      </c>
      <c r="M894" t="str">
        <f>IFERROR(IF(VLOOKUP(LEFT(B894,2),'Humanitarian codes'!$A$2:$A$10,1,FALSE)=LEFT(B894,2),"Yes","Error"),"No")</f>
        <v>Yes</v>
      </c>
    </row>
    <row r="895" spans="1:13" x14ac:dyDescent="0.25">
      <c r="A895">
        <v>2022</v>
      </c>
      <c r="B895" t="s">
        <v>74</v>
      </c>
      <c r="C895" t="s">
        <v>75</v>
      </c>
      <c r="D895" t="s">
        <v>30</v>
      </c>
      <c r="E895" t="s">
        <v>909</v>
      </c>
      <c r="F895">
        <v>4500263584</v>
      </c>
      <c r="G895" t="s">
        <v>5169</v>
      </c>
      <c r="H895" t="s">
        <v>3334</v>
      </c>
      <c r="I895" t="s">
        <v>2700</v>
      </c>
      <c r="J895" t="s">
        <v>909</v>
      </c>
      <c r="K895" s="2">
        <v>17068</v>
      </c>
      <c r="L895" s="2">
        <v>17068</v>
      </c>
      <c r="M895" t="str">
        <f>IFERROR(IF(VLOOKUP(LEFT(B895,2),'Humanitarian codes'!$A$2:$A$10,1,FALSE)=LEFT(B895,2),"Yes","Error"),"No")</f>
        <v>Yes</v>
      </c>
    </row>
    <row r="896" spans="1:13" x14ac:dyDescent="0.25">
      <c r="A896">
        <v>2022</v>
      </c>
      <c r="B896" t="s">
        <v>74</v>
      </c>
      <c r="C896" t="s">
        <v>75</v>
      </c>
      <c r="D896" t="s">
        <v>30</v>
      </c>
      <c r="E896" t="s">
        <v>909</v>
      </c>
      <c r="F896">
        <v>4500265679</v>
      </c>
      <c r="G896" t="s">
        <v>5170</v>
      </c>
      <c r="H896" t="s">
        <v>3334</v>
      </c>
      <c r="I896" t="s">
        <v>2327</v>
      </c>
      <c r="J896" t="s">
        <v>909</v>
      </c>
      <c r="K896" s="2">
        <v>4931</v>
      </c>
      <c r="L896" s="2">
        <v>4931</v>
      </c>
      <c r="M896" t="str">
        <f>IFERROR(IF(VLOOKUP(LEFT(B896,2),'Humanitarian codes'!$A$2:$A$10,1,FALSE)=LEFT(B896,2),"Yes","Error"),"No")</f>
        <v>Yes</v>
      </c>
    </row>
    <row r="897" spans="1:13" x14ac:dyDescent="0.25">
      <c r="A897">
        <v>2022</v>
      </c>
      <c r="B897" t="s">
        <v>74</v>
      </c>
      <c r="C897" t="s">
        <v>75</v>
      </c>
      <c r="D897" t="s">
        <v>30</v>
      </c>
      <c r="E897" t="s">
        <v>909</v>
      </c>
      <c r="F897">
        <v>4500266272</v>
      </c>
      <c r="G897" t="s">
        <v>5171</v>
      </c>
      <c r="H897" t="s">
        <v>3334</v>
      </c>
      <c r="I897" t="s">
        <v>1332</v>
      </c>
      <c r="J897" t="s">
        <v>909</v>
      </c>
      <c r="K897" s="2">
        <v>11502</v>
      </c>
      <c r="L897" s="2">
        <v>11502</v>
      </c>
      <c r="M897" t="str">
        <f>IFERROR(IF(VLOOKUP(LEFT(B897,2),'Humanitarian codes'!$A$2:$A$10,1,FALSE)=LEFT(B897,2),"Yes","Error"),"No")</f>
        <v>Yes</v>
      </c>
    </row>
    <row r="898" spans="1:13" x14ac:dyDescent="0.25">
      <c r="A898">
        <v>2022</v>
      </c>
      <c r="B898" t="s">
        <v>74</v>
      </c>
      <c r="C898" t="s">
        <v>75</v>
      </c>
      <c r="D898" t="s">
        <v>30</v>
      </c>
      <c r="E898" t="s">
        <v>909</v>
      </c>
      <c r="F898">
        <v>4500266911</v>
      </c>
      <c r="G898" t="s">
        <v>5172</v>
      </c>
      <c r="H898" t="s">
        <v>3334</v>
      </c>
      <c r="I898" t="s">
        <v>2700</v>
      </c>
      <c r="J898" t="s">
        <v>909</v>
      </c>
      <c r="K898" s="2">
        <v>3071</v>
      </c>
      <c r="L898" s="2">
        <v>3071</v>
      </c>
      <c r="M898" t="str">
        <f>IFERROR(IF(VLOOKUP(LEFT(B898,2),'Humanitarian codes'!$A$2:$A$10,1,FALSE)=LEFT(B898,2),"Yes","Error"),"No")</f>
        <v>Yes</v>
      </c>
    </row>
    <row r="899" spans="1:13" x14ac:dyDescent="0.25">
      <c r="A899">
        <v>2022</v>
      </c>
      <c r="B899" t="s">
        <v>74</v>
      </c>
      <c r="C899" t="s">
        <v>75</v>
      </c>
      <c r="D899" t="s">
        <v>30</v>
      </c>
      <c r="E899" t="s">
        <v>909</v>
      </c>
      <c r="F899">
        <v>4500268970</v>
      </c>
      <c r="G899" t="s">
        <v>5173</v>
      </c>
      <c r="H899" t="s">
        <v>3334</v>
      </c>
      <c r="I899" t="s">
        <v>1332</v>
      </c>
      <c r="J899" t="s">
        <v>909</v>
      </c>
      <c r="K899" s="2">
        <v>9111</v>
      </c>
      <c r="L899" s="2">
        <v>9111</v>
      </c>
      <c r="M899" t="str">
        <f>IFERROR(IF(VLOOKUP(LEFT(B899,2),'Humanitarian codes'!$A$2:$A$10,1,FALSE)=LEFT(B899,2),"Yes","Error"),"No")</f>
        <v>Yes</v>
      </c>
    </row>
    <row r="900" spans="1:13" x14ac:dyDescent="0.25">
      <c r="A900">
        <v>2022</v>
      </c>
      <c r="B900" t="s">
        <v>74</v>
      </c>
      <c r="C900" t="s">
        <v>75</v>
      </c>
      <c r="D900" t="s">
        <v>30</v>
      </c>
      <c r="E900" t="s">
        <v>909</v>
      </c>
      <c r="F900">
        <v>4500269906</v>
      </c>
      <c r="G900" t="s">
        <v>5174</v>
      </c>
      <c r="H900" t="s">
        <v>3334</v>
      </c>
      <c r="I900" t="s">
        <v>2700</v>
      </c>
      <c r="J900" t="s">
        <v>909</v>
      </c>
      <c r="K900" s="2">
        <v>11308</v>
      </c>
      <c r="L900" s="2">
        <v>11308</v>
      </c>
      <c r="M900" t="str">
        <f>IFERROR(IF(VLOOKUP(LEFT(B900,2),'Humanitarian codes'!$A$2:$A$10,1,FALSE)=LEFT(B900,2),"Yes","Error"),"No")</f>
        <v>Yes</v>
      </c>
    </row>
    <row r="901" spans="1:13" x14ac:dyDescent="0.25">
      <c r="A901">
        <v>2022</v>
      </c>
      <c r="B901" t="s">
        <v>74</v>
      </c>
      <c r="C901" t="s">
        <v>75</v>
      </c>
      <c r="D901" t="s">
        <v>30</v>
      </c>
      <c r="E901" t="s">
        <v>909</v>
      </c>
      <c r="F901">
        <v>4500271574</v>
      </c>
      <c r="G901" t="s">
        <v>5175</v>
      </c>
      <c r="H901" t="s">
        <v>3334</v>
      </c>
      <c r="I901" t="s">
        <v>1332</v>
      </c>
      <c r="J901" t="s">
        <v>909</v>
      </c>
      <c r="K901" s="2">
        <v>6035</v>
      </c>
      <c r="L901" s="2">
        <v>6035</v>
      </c>
      <c r="M901" t="str">
        <f>IFERROR(IF(VLOOKUP(LEFT(B901,2),'Humanitarian codes'!$A$2:$A$10,1,FALSE)=LEFT(B901,2),"Yes","Error"),"No")</f>
        <v>Yes</v>
      </c>
    </row>
    <row r="902" spans="1:13" x14ac:dyDescent="0.25">
      <c r="A902">
        <v>2022</v>
      </c>
      <c r="B902" t="s">
        <v>74</v>
      </c>
      <c r="C902" t="s">
        <v>75</v>
      </c>
      <c r="D902" t="s">
        <v>30</v>
      </c>
      <c r="E902" t="s">
        <v>909</v>
      </c>
      <c r="F902">
        <v>4500274228</v>
      </c>
      <c r="G902" t="s">
        <v>5176</v>
      </c>
      <c r="H902" t="s">
        <v>3334</v>
      </c>
      <c r="I902" t="s">
        <v>2327</v>
      </c>
      <c r="J902" t="s">
        <v>909</v>
      </c>
      <c r="K902" s="2">
        <v>10612</v>
      </c>
      <c r="L902" s="2">
        <v>10612</v>
      </c>
      <c r="M902" t="str">
        <f>IFERROR(IF(VLOOKUP(LEFT(B902,2),'Humanitarian codes'!$A$2:$A$10,1,FALSE)=LEFT(B902,2),"Yes","Error"),"No")</f>
        <v>Yes</v>
      </c>
    </row>
    <row r="903" spans="1:13" x14ac:dyDescent="0.25">
      <c r="A903">
        <v>2022</v>
      </c>
      <c r="B903" t="s">
        <v>74</v>
      </c>
      <c r="C903" t="s">
        <v>75</v>
      </c>
      <c r="D903" t="s">
        <v>30</v>
      </c>
      <c r="E903" t="s">
        <v>909</v>
      </c>
      <c r="F903">
        <v>4500274229</v>
      </c>
      <c r="G903" t="s">
        <v>5177</v>
      </c>
      <c r="H903" t="s">
        <v>3334</v>
      </c>
      <c r="I903" t="s">
        <v>2700</v>
      </c>
      <c r="J903" t="s">
        <v>909</v>
      </c>
      <c r="K903" s="2">
        <v>1806</v>
      </c>
      <c r="L903" s="2">
        <v>1806</v>
      </c>
      <c r="M903" t="str">
        <f>IFERROR(IF(VLOOKUP(LEFT(B903,2),'Humanitarian codes'!$A$2:$A$10,1,FALSE)=LEFT(B903,2),"Yes","Error"),"No")</f>
        <v>Yes</v>
      </c>
    </row>
    <row r="904" spans="1:13" x14ac:dyDescent="0.25">
      <c r="A904">
        <v>2022</v>
      </c>
      <c r="B904" t="s">
        <v>74</v>
      </c>
      <c r="C904" t="s">
        <v>75</v>
      </c>
      <c r="D904" t="s">
        <v>30</v>
      </c>
      <c r="E904" t="s">
        <v>54</v>
      </c>
      <c r="F904">
        <v>4500241416</v>
      </c>
      <c r="G904" t="s">
        <v>5178</v>
      </c>
      <c r="H904" t="s">
        <v>3334</v>
      </c>
      <c r="I904" t="s">
        <v>5179</v>
      </c>
      <c r="J904" t="s">
        <v>54</v>
      </c>
      <c r="K904" s="2">
        <v>269546</v>
      </c>
      <c r="L904" s="2">
        <v>539091</v>
      </c>
      <c r="M904" t="str">
        <f>IFERROR(IF(VLOOKUP(LEFT(B904,2),'Humanitarian codes'!$A$2:$A$10,1,FALSE)=LEFT(B904,2),"Yes","Error"),"No")</f>
        <v>Yes</v>
      </c>
    </row>
    <row r="905" spans="1:13" x14ac:dyDescent="0.25">
      <c r="A905">
        <v>2022</v>
      </c>
      <c r="B905" t="s">
        <v>74</v>
      </c>
      <c r="C905" t="s">
        <v>75</v>
      </c>
      <c r="D905" t="s">
        <v>30</v>
      </c>
      <c r="E905" t="s">
        <v>54</v>
      </c>
      <c r="F905">
        <v>4500246770</v>
      </c>
      <c r="G905" t="s">
        <v>4450</v>
      </c>
      <c r="H905" t="s">
        <v>3334</v>
      </c>
      <c r="I905" t="s">
        <v>3261</v>
      </c>
      <c r="J905" t="s">
        <v>54</v>
      </c>
      <c r="K905" s="2">
        <v>47570</v>
      </c>
      <c r="L905" s="2">
        <v>118925</v>
      </c>
      <c r="M905" t="str">
        <f>IFERROR(IF(VLOOKUP(LEFT(B905,2),'Humanitarian codes'!$A$2:$A$10,1,FALSE)=LEFT(B905,2),"Yes","Error"),"No")</f>
        <v>Yes</v>
      </c>
    </row>
    <row r="906" spans="1:13" x14ac:dyDescent="0.25">
      <c r="A906">
        <v>2022</v>
      </c>
      <c r="B906" t="s">
        <v>74</v>
      </c>
      <c r="C906" t="s">
        <v>75</v>
      </c>
      <c r="D906" t="s">
        <v>30</v>
      </c>
      <c r="E906" t="s">
        <v>54</v>
      </c>
      <c r="F906">
        <v>4500246876</v>
      </c>
      <c r="G906" t="s">
        <v>4573</v>
      </c>
      <c r="H906" t="s">
        <v>3334</v>
      </c>
      <c r="I906" t="s">
        <v>1858</v>
      </c>
      <c r="J906" t="s">
        <v>54</v>
      </c>
      <c r="K906" s="2">
        <v>42703</v>
      </c>
      <c r="L906" s="2">
        <v>102703</v>
      </c>
      <c r="M906" t="str">
        <f>IFERROR(IF(VLOOKUP(LEFT(B906,2),'Humanitarian codes'!$A$2:$A$10,1,FALSE)=LEFT(B906,2),"Yes","Error"),"No")</f>
        <v>Yes</v>
      </c>
    </row>
    <row r="907" spans="1:13" x14ac:dyDescent="0.25">
      <c r="A907">
        <v>2022</v>
      </c>
      <c r="B907" t="s">
        <v>74</v>
      </c>
      <c r="C907" t="s">
        <v>75</v>
      </c>
      <c r="D907" t="s">
        <v>30</v>
      </c>
      <c r="E907" t="s">
        <v>54</v>
      </c>
      <c r="F907">
        <v>4500246901</v>
      </c>
      <c r="G907" t="s">
        <v>4574</v>
      </c>
      <c r="H907" t="s">
        <v>3334</v>
      </c>
      <c r="I907" t="s">
        <v>3251</v>
      </c>
      <c r="J907" t="s">
        <v>54</v>
      </c>
      <c r="K907" s="2">
        <v>38680</v>
      </c>
      <c r="L907" s="2">
        <v>110515</v>
      </c>
      <c r="M907" t="str">
        <f>IFERROR(IF(VLOOKUP(LEFT(B907,2),'Humanitarian codes'!$A$2:$A$10,1,FALSE)=LEFT(B907,2),"Yes","Error"),"No")</f>
        <v>Yes</v>
      </c>
    </row>
    <row r="908" spans="1:13" x14ac:dyDescent="0.25">
      <c r="A908">
        <v>2022</v>
      </c>
      <c r="B908" t="s">
        <v>74</v>
      </c>
      <c r="C908" t="s">
        <v>75</v>
      </c>
      <c r="D908" t="s">
        <v>30</v>
      </c>
      <c r="E908" t="s">
        <v>54</v>
      </c>
      <c r="F908">
        <v>4500246907</v>
      </c>
      <c r="G908" t="s">
        <v>5180</v>
      </c>
      <c r="H908" t="s">
        <v>3334</v>
      </c>
      <c r="I908" t="s">
        <v>5181</v>
      </c>
      <c r="J908" t="s">
        <v>54</v>
      </c>
      <c r="K908" s="2">
        <v>104660</v>
      </c>
      <c r="L908" s="2">
        <v>104660</v>
      </c>
      <c r="M908" t="str">
        <f>IFERROR(IF(VLOOKUP(LEFT(B908,2),'Humanitarian codes'!$A$2:$A$10,1,FALSE)=LEFT(B908,2),"Yes","Error"),"No")</f>
        <v>Yes</v>
      </c>
    </row>
    <row r="909" spans="1:13" x14ac:dyDescent="0.25">
      <c r="A909">
        <v>2022</v>
      </c>
      <c r="B909" t="s">
        <v>74</v>
      </c>
      <c r="C909" t="s">
        <v>75</v>
      </c>
      <c r="D909" t="s">
        <v>30</v>
      </c>
      <c r="E909" t="s">
        <v>54</v>
      </c>
      <c r="F909">
        <v>4500246911</v>
      </c>
      <c r="G909" t="s">
        <v>4575</v>
      </c>
      <c r="H909" t="s">
        <v>3334</v>
      </c>
      <c r="I909" t="s">
        <v>3253</v>
      </c>
      <c r="J909" t="s">
        <v>54</v>
      </c>
      <c r="K909" s="2">
        <v>40822</v>
      </c>
      <c r="L909" s="2">
        <v>111615</v>
      </c>
      <c r="M909" t="str">
        <f>IFERROR(IF(VLOOKUP(LEFT(B909,2),'Humanitarian codes'!$A$2:$A$10,1,FALSE)=LEFT(B909,2),"Yes","Error"),"No")</f>
        <v>Yes</v>
      </c>
    </row>
    <row r="910" spans="1:13" x14ac:dyDescent="0.25">
      <c r="A910">
        <v>2022</v>
      </c>
      <c r="B910" t="s">
        <v>74</v>
      </c>
      <c r="C910" t="s">
        <v>75</v>
      </c>
      <c r="D910" t="s">
        <v>30</v>
      </c>
      <c r="E910" t="s">
        <v>54</v>
      </c>
      <c r="F910">
        <v>4500247137</v>
      </c>
      <c r="G910" t="s">
        <v>5182</v>
      </c>
      <c r="H910" t="s">
        <v>3334</v>
      </c>
      <c r="I910" t="s">
        <v>278</v>
      </c>
      <c r="J910" t="s">
        <v>54</v>
      </c>
      <c r="K910" s="2">
        <v>124365</v>
      </c>
      <c r="L910" s="2">
        <v>124365</v>
      </c>
      <c r="M910" t="str">
        <f>IFERROR(IF(VLOOKUP(LEFT(B910,2),'Humanitarian codes'!$A$2:$A$10,1,FALSE)=LEFT(B910,2),"Yes","Error"),"No")</f>
        <v>Yes</v>
      </c>
    </row>
    <row r="911" spans="1:13" x14ac:dyDescent="0.25">
      <c r="A911">
        <v>2022</v>
      </c>
      <c r="B911" t="s">
        <v>74</v>
      </c>
      <c r="C911" t="s">
        <v>75</v>
      </c>
      <c r="D911" t="s">
        <v>30</v>
      </c>
      <c r="E911" t="s">
        <v>54</v>
      </c>
      <c r="F911">
        <v>4500247185</v>
      </c>
      <c r="G911" t="s">
        <v>4451</v>
      </c>
      <c r="H911" t="s">
        <v>3334</v>
      </c>
      <c r="I911" t="s">
        <v>789</v>
      </c>
      <c r="J911" t="s">
        <v>54</v>
      </c>
      <c r="K911" s="2">
        <v>22550</v>
      </c>
      <c r="L911" s="2">
        <v>132399</v>
      </c>
      <c r="M911" t="str">
        <f>IFERROR(IF(VLOOKUP(LEFT(B911,2),'Humanitarian codes'!$A$2:$A$10,1,FALSE)=LEFT(B911,2),"Yes","Error"),"No")</f>
        <v>Yes</v>
      </c>
    </row>
    <row r="912" spans="1:13" x14ac:dyDescent="0.25">
      <c r="A912">
        <v>2022</v>
      </c>
      <c r="B912" t="s">
        <v>74</v>
      </c>
      <c r="C912" t="s">
        <v>75</v>
      </c>
      <c r="D912" t="s">
        <v>30</v>
      </c>
      <c r="E912" t="s">
        <v>54</v>
      </c>
      <c r="F912">
        <v>4500247272</v>
      </c>
      <c r="G912" t="s">
        <v>5183</v>
      </c>
      <c r="H912" t="s">
        <v>3334</v>
      </c>
      <c r="I912" t="s">
        <v>2893</v>
      </c>
      <c r="J912" t="s">
        <v>54</v>
      </c>
      <c r="K912" s="2">
        <v>123367</v>
      </c>
      <c r="L912" s="2">
        <v>123367</v>
      </c>
      <c r="M912" t="str">
        <f>IFERROR(IF(VLOOKUP(LEFT(B912,2),'Humanitarian codes'!$A$2:$A$10,1,FALSE)=LEFT(B912,2),"Yes","Error"),"No")</f>
        <v>Yes</v>
      </c>
    </row>
    <row r="913" spans="1:13" x14ac:dyDescent="0.25">
      <c r="A913">
        <v>2022</v>
      </c>
      <c r="B913" t="s">
        <v>74</v>
      </c>
      <c r="C913" t="s">
        <v>75</v>
      </c>
      <c r="D913" t="s">
        <v>30</v>
      </c>
      <c r="E913" t="s">
        <v>54</v>
      </c>
      <c r="F913">
        <v>4500248523</v>
      </c>
      <c r="G913" t="s">
        <v>4576</v>
      </c>
      <c r="H913" t="s">
        <v>3334</v>
      </c>
      <c r="I913" t="s">
        <v>3393</v>
      </c>
      <c r="J913" t="s">
        <v>54</v>
      </c>
      <c r="K913" s="2">
        <v>10543</v>
      </c>
      <c r="L913" s="2">
        <v>105428</v>
      </c>
      <c r="M913" t="str">
        <f>IFERROR(IF(VLOOKUP(LEFT(B913,2),'Humanitarian codes'!$A$2:$A$10,1,FALSE)=LEFT(B913,2),"Yes","Error"),"No")</f>
        <v>Yes</v>
      </c>
    </row>
    <row r="914" spans="1:13" x14ac:dyDescent="0.25">
      <c r="A914">
        <v>2022</v>
      </c>
      <c r="B914" t="s">
        <v>74</v>
      </c>
      <c r="C914" t="s">
        <v>75</v>
      </c>
      <c r="D914" t="s">
        <v>30</v>
      </c>
      <c r="E914" t="s">
        <v>54</v>
      </c>
      <c r="F914">
        <v>4500249921</v>
      </c>
      <c r="G914" t="s">
        <v>5184</v>
      </c>
      <c r="H914" t="s">
        <v>3334</v>
      </c>
      <c r="I914" t="s">
        <v>280</v>
      </c>
      <c r="J914" t="s">
        <v>54</v>
      </c>
      <c r="K914" s="2">
        <v>12471</v>
      </c>
      <c r="L914" s="2">
        <v>124706</v>
      </c>
      <c r="M914" t="str">
        <f>IFERROR(IF(VLOOKUP(LEFT(B914,2),'Humanitarian codes'!$A$2:$A$10,1,FALSE)=LEFT(B914,2),"Yes","Error"),"No")</f>
        <v>Yes</v>
      </c>
    </row>
    <row r="915" spans="1:13" x14ac:dyDescent="0.25">
      <c r="A915">
        <v>2022</v>
      </c>
      <c r="B915" t="s">
        <v>5185</v>
      </c>
      <c r="C915" t="s">
        <v>1995</v>
      </c>
      <c r="D915" t="s">
        <v>30</v>
      </c>
      <c r="E915" t="s">
        <v>175</v>
      </c>
      <c r="F915">
        <v>4500224239</v>
      </c>
      <c r="G915" t="s">
        <v>4445</v>
      </c>
      <c r="H915" t="s">
        <v>3334</v>
      </c>
      <c r="I915" t="s">
        <v>856</v>
      </c>
      <c r="J915" t="s">
        <v>175</v>
      </c>
      <c r="K915" s="2">
        <v>550544</v>
      </c>
      <c r="L915" s="2">
        <v>550544</v>
      </c>
      <c r="M915" t="str">
        <f>IFERROR(IF(VLOOKUP(LEFT(B915,2),'Humanitarian codes'!$A$2:$A$10,1,FALSE)=LEFT(B915,2),"Yes","Error"),"No")</f>
        <v>Yes</v>
      </c>
    </row>
    <row r="916" spans="1:13" x14ac:dyDescent="0.25">
      <c r="A916">
        <v>2022</v>
      </c>
      <c r="B916" t="s">
        <v>5185</v>
      </c>
      <c r="C916" t="s">
        <v>1995</v>
      </c>
      <c r="D916" t="s">
        <v>30</v>
      </c>
      <c r="E916" t="s">
        <v>175</v>
      </c>
      <c r="F916">
        <v>4500253688</v>
      </c>
      <c r="G916" t="s">
        <v>5186</v>
      </c>
      <c r="H916" t="s">
        <v>3334</v>
      </c>
      <c r="I916" t="s">
        <v>856</v>
      </c>
      <c r="J916" t="s">
        <v>175</v>
      </c>
      <c r="K916" s="2">
        <v>1410505</v>
      </c>
      <c r="L916" s="2">
        <v>1410505</v>
      </c>
      <c r="M916" t="str">
        <f>IFERROR(IF(VLOOKUP(LEFT(B916,2),'Humanitarian codes'!$A$2:$A$10,1,FALSE)=LEFT(B916,2),"Yes","Error"),"No")</f>
        <v>Yes</v>
      </c>
    </row>
    <row r="917" spans="1:13" x14ac:dyDescent="0.25">
      <c r="A917">
        <v>2022</v>
      </c>
      <c r="B917" t="s">
        <v>5187</v>
      </c>
      <c r="C917" t="s">
        <v>5188</v>
      </c>
      <c r="D917" t="s">
        <v>30</v>
      </c>
      <c r="E917" t="s">
        <v>717</v>
      </c>
      <c r="F917">
        <v>4500226491</v>
      </c>
      <c r="G917" t="s">
        <v>4283</v>
      </c>
      <c r="H917" t="s">
        <v>3334</v>
      </c>
      <c r="I917" t="s">
        <v>1162</v>
      </c>
      <c r="J917" t="s">
        <v>717</v>
      </c>
      <c r="K917" s="2">
        <v>785880</v>
      </c>
      <c r="L917" s="2">
        <v>785880</v>
      </c>
      <c r="M917" t="str">
        <f>IFERROR(IF(VLOOKUP(LEFT(B917,2),'Humanitarian codes'!$A$2:$A$10,1,FALSE)=LEFT(B917,2),"Yes","Error"),"No")</f>
        <v>Yes</v>
      </c>
    </row>
    <row r="918" spans="1:13" x14ac:dyDescent="0.25">
      <c r="A918">
        <v>2022</v>
      </c>
      <c r="B918" t="s">
        <v>5187</v>
      </c>
      <c r="C918" t="s">
        <v>5188</v>
      </c>
      <c r="D918" t="s">
        <v>30</v>
      </c>
      <c r="E918" t="s">
        <v>717</v>
      </c>
      <c r="F918">
        <v>4500226493</v>
      </c>
      <c r="G918" t="s">
        <v>5189</v>
      </c>
      <c r="H918" t="s">
        <v>3334</v>
      </c>
      <c r="I918" t="s">
        <v>4760</v>
      </c>
      <c r="J918" t="s">
        <v>717</v>
      </c>
      <c r="K918" s="2">
        <v>785880</v>
      </c>
      <c r="L918" s="2">
        <v>785880</v>
      </c>
      <c r="M918" t="str">
        <f>IFERROR(IF(VLOOKUP(LEFT(B918,2),'Humanitarian codes'!$A$2:$A$10,1,FALSE)=LEFT(B918,2),"Yes","Error"),"No")</f>
        <v>Yes</v>
      </c>
    </row>
    <row r="919" spans="1:13" x14ac:dyDescent="0.25">
      <c r="A919">
        <v>2022</v>
      </c>
      <c r="B919" t="s">
        <v>5190</v>
      </c>
      <c r="C919" t="s">
        <v>5191</v>
      </c>
      <c r="D919" t="s">
        <v>30</v>
      </c>
      <c r="E919" t="s">
        <v>356</v>
      </c>
      <c r="F919">
        <v>4500234768</v>
      </c>
      <c r="G919" t="s">
        <v>3938</v>
      </c>
      <c r="H919" t="s">
        <v>3334</v>
      </c>
      <c r="I919" t="s">
        <v>1747</v>
      </c>
      <c r="J919" t="s">
        <v>356</v>
      </c>
      <c r="K919" s="2">
        <v>120000</v>
      </c>
      <c r="L919" s="2">
        <v>120000</v>
      </c>
      <c r="M919" t="str">
        <f>IFERROR(IF(VLOOKUP(LEFT(B919,2),'Humanitarian codes'!$A$2:$A$10,1,FALSE)=LEFT(B919,2),"Yes","Error"),"No")</f>
        <v>Yes</v>
      </c>
    </row>
    <row r="920" spans="1:13" x14ac:dyDescent="0.25">
      <c r="A920">
        <v>2022</v>
      </c>
      <c r="B920" t="s">
        <v>5190</v>
      </c>
      <c r="C920" t="s">
        <v>5191</v>
      </c>
      <c r="D920" t="s">
        <v>30</v>
      </c>
      <c r="E920" t="s">
        <v>356</v>
      </c>
      <c r="F920">
        <v>4500245345</v>
      </c>
      <c r="G920" t="s">
        <v>4283</v>
      </c>
      <c r="H920" t="s">
        <v>3334</v>
      </c>
      <c r="I920" t="s">
        <v>5192</v>
      </c>
      <c r="J920" t="s">
        <v>356</v>
      </c>
      <c r="K920" s="2">
        <v>242689</v>
      </c>
      <c r="L920" s="2">
        <v>242689</v>
      </c>
      <c r="M920" t="str">
        <f>IFERROR(IF(VLOOKUP(LEFT(B920,2),'Humanitarian codes'!$A$2:$A$10,1,FALSE)=LEFT(B920,2),"Yes","Error"),"No")</f>
        <v>Yes</v>
      </c>
    </row>
    <row r="921" spans="1:13" x14ac:dyDescent="0.25">
      <c r="A921">
        <v>2022</v>
      </c>
      <c r="B921" t="s">
        <v>1255</v>
      </c>
      <c r="C921" t="s">
        <v>1256</v>
      </c>
      <c r="D921" t="s">
        <v>30</v>
      </c>
      <c r="E921" t="s">
        <v>303</v>
      </c>
      <c r="F921">
        <v>4500263208</v>
      </c>
      <c r="G921" t="s">
        <v>5193</v>
      </c>
      <c r="H921" t="s">
        <v>3334</v>
      </c>
      <c r="I921" t="s">
        <v>5194</v>
      </c>
      <c r="J921" t="s">
        <v>303</v>
      </c>
      <c r="K921" s="2">
        <v>7988</v>
      </c>
      <c r="L921" s="2">
        <v>7988</v>
      </c>
      <c r="M921" t="str">
        <f>IFERROR(IF(VLOOKUP(LEFT(B921,2),'Humanitarian codes'!$A$2:$A$10,1,FALSE)=LEFT(B921,2),"Yes","Error"),"No")</f>
        <v>Yes</v>
      </c>
    </row>
    <row r="922" spans="1:13" x14ac:dyDescent="0.25">
      <c r="A922">
        <v>2022</v>
      </c>
      <c r="B922" t="s">
        <v>1255</v>
      </c>
      <c r="C922" t="s">
        <v>1256</v>
      </c>
      <c r="D922" t="s">
        <v>30</v>
      </c>
      <c r="E922" t="s">
        <v>54</v>
      </c>
      <c r="F922">
        <v>4500259636</v>
      </c>
      <c r="G922" t="s">
        <v>4577</v>
      </c>
      <c r="H922" t="s">
        <v>3334</v>
      </c>
      <c r="I922" t="s">
        <v>1728</v>
      </c>
      <c r="J922" t="s">
        <v>54</v>
      </c>
      <c r="K922" s="2">
        <v>1928</v>
      </c>
      <c r="L922" s="2">
        <v>3856</v>
      </c>
      <c r="M922" t="str">
        <f>IFERROR(IF(VLOOKUP(LEFT(B922,2),'Humanitarian codes'!$A$2:$A$10,1,FALSE)=LEFT(B922,2),"Yes","Error"),"No")</f>
        <v>Yes</v>
      </c>
    </row>
    <row r="923" spans="1:13" x14ac:dyDescent="0.25">
      <c r="A923">
        <v>2022</v>
      </c>
      <c r="B923" t="s">
        <v>1255</v>
      </c>
      <c r="C923" t="s">
        <v>1256</v>
      </c>
      <c r="D923" t="s">
        <v>30</v>
      </c>
      <c r="E923" t="s">
        <v>54</v>
      </c>
      <c r="F923">
        <v>4500259828</v>
      </c>
      <c r="G923" t="s">
        <v>5195</v>
      </c>
      <c r="H923" t="s">
        <v>3334</v>
      </c>
      <c r="I923" t="s">
        <v>2003</v>
      </c>
      <c r="J923" t="s">
        <v>54</v>
      </c>
      <c r="K923" s="2">
        <v>17159</v>
      </c>
      <c r="L923" s="2">
        <v>17159</v>
      </c>
      <c r="M923" t="str">
        <f>IFERROR(IF(VLOOKUP(LEFT(B923,2),'Humanitarian codes'!$A$2:$A$10,1,FALSE)=LEFT(B923,2),"Yes","Error"),"No")</f>
        <v>Yes</v>
      </c>
    </row>
    <row r="924" spans="1:13" x14ac:dyDescent="0.25">
      <c r="A924">
        <v>2022</v>
      </c>
      <c r="B924" t="s">
        <v>1255</v>
      </c>
      <c r="C924" t="s">
        <v>1256</v>
      </c>
      <c r="D924" t="s">
        <v>30</v>
      </c>
      <c r="E924" t="s">
        <v>54</v>
      </c>
      <c r="F924">
        <v>4500272576</v>
      </c>
      <c r="G924" t="s">
        <v>5196</v>
      </c>
      <c r="H924" t="s">
        <v>3334</v>
      </c>
      <c r="I924" t="s">
        <v>1291</v>
      </c>
      <c r="J924" t="s">
        <v>54</v>
      </c>
      <c r="K924" s="2">
        <v>19566</v>
      </c>
      <c r="L924" s="2">
        <v>19566</v>
      </c>
      <c r="M924" t="str">
        <f>IFERROR(IF(VLOOKUP(LEFT(B924,2),'Humanitarian codes'!$A$2:$A$10,1,FALSE)=LEFT(B924,2),"Yes","Error"),"No")</f>
        <v>Yes</v>
      </c>
    </row>
    <row r="925" spans="1:13" x14ac:dyDescent="0.25">
      <c r="A925">
        <v>2022</v>
      </c>
      <c r="B925" t="s">
        <v>1255</v>
      </c>
      <c r="C925" t="s">
        <v>1256</v>
      </c>
      <c r="D925" t="s">
        <v>30</v>
      </c>
      <c r="E925" t="s">
        <v>54</v>
      </c>
      <c r="F925">
        <v>4500272770</v>
      </c>
      <c r="G925" t="s">
        <v>5197</v>
      </c>
      <c r="H925" t="s">
        <v>3334</v>
      </c>
      <c r="I925" t="s">
        <v>5007</v>
      </c>
      <c r="J925" t="s">
        <v>54</v>
      </c>
      <c r="K925" s="2">
        <v>20185</v>
      </c>
      <c r="L925" s="2">
        <v>20185</v>
      </c>
      <c r="M925" t="str">
        <f>IFERROR(IF(VLOOKUP(LEFT(B925,2),'Humanitarian codes'!$A$2:$A$10,1,FALSE)=LEFT(B925,2),"Yes","Error"),"No")</f>
        <v>Yes</v>
      </c>
    </row>
    <row r="926" spans="1:13" x14ac:dyDescent="0.25">
      <c r="A926">
        <v>2022</v>
      </c>
      <c r="B926" t="s">
        <v>5198</v>
      </c>
      <c r="C926" t="s">
        <v>5199</v>
      </c>
      <c r="D926" t="s">
        <v>30</v>
      </c>
      <c r="E926" t="s">
        <v>303</v>
      </c>
      <c r="F926">
        <v>4500240378</v>
      </c>
      <c r="G926" t="s">
        <v>5145</v>
      </c>
      <c r="H926" t="s">
        <v>3334</v>
      </c>
      <c r="I926" t="s">
        <v>869</v>
      </c>
      <c r="J926" t="s">
        <v>303</v>
      </c>
      <c r="K926" s="2">
        <v>223125</v>
      </c>
      <c r="L926" s="2">
        <v>970109</v>
      </c>
      <c r="M926" t="str">
        <f>IFERROR(IF(VLOOKUP(LEFT(B926,2),'Humanitarian codes'!$A$2:$A$10,1,FALSE)=LEFT(B926,2),"Yes","Error"),"No")</f>
        <v>Yes</v>
      </c>
    </row>
    <row r="927" spans="1:13" x14ac:dyDescent="0.25">
      <c r="A927">
        <v>2022</v>
      </c>
      <c r="B927" t="s">
        <v>5198</v>
      </c>
      <c r="C927" t="s">
        <v>5199</v>
      </c>
      <c r="D927" t="s">
        <v>30</v>
      </c>
      <c r="E927" t="s">
        <v>303</v>
      </c>
      <c r="F927">
        <v>4500252401</v>
      </c>
      <c r="G927" t="s">
        <v>5200</v>
      </c>
      <c r="H927" t="s">
        <v>3334</v>
      </c>
      <c r="I927" t="s">
        <v>5201</v>
      </c>
      <c r="J927" t="s">
        <v>303</v>
      </c>
      <c r="K927" s="2">
        <v>69862</v>
      </c>
      <c r="L927" s="2">
        <v>69862</v>
      </c>
      <c r="M927" t="str">
        <f>IFERROR(IF(VLOOKUP(LEFT(B927,2),'Humanitarian codes'!$A$2:$A$10,1,FALSE)=LEFT(B927,2),"Yes","Error"),"No")</f>
        <v>Yes</v>
      </c>
    </row>
    <row r="928" spans="1:13" x14ac:dyDescent="0.25">
      <c r="A928">
        <v>2022</v>
      </c>
      <c r="B928" t="s">
        <v>5198</v>
      </c>
      <c r="C928" t="s">
        <v>5199</v>
      </c>
      <c r="D928" t="s">
        <v>30</v>
      </c>
      <c r="E928" t="s">
        <v>305</v>
      </c>
      <c r="F928">
        <v>4500239510</v>
      </c>
      <c r="G928" t="s">
        <v>5149</v>
      </c>
      <c r="H928" t="s">
        <v>3334</v>
      </c>
      <c r="I928" t="s">
        <v>309</v>
      </c>
      <c r="J928" t="s">
        <v>305</v>
      </c>
      <c r="K928" s="2">
        <v>166623</v>
      </c>
      <c r="L928" s="2">
        <v>593357</v>
      </c>
      <c r="M928" t="str">
        <f>IFERROR(IF(VLOOKUP(LEFT(B928,2),'Humanitarian codes'!$A$2:$A$10,1,FALSE)=LEFT(B928,2),"Yes","Error"),"No")</f>
        <v>Yes</v>
      </c>
    </row>
    <row r="929" spans="1:13" x14ac:dyDescent="0.25">
      <c r="A929">
        <v>2022</v>
      </c>
      <c r="B929" t="s">
        <v>5202</v>
      </c>
      <c r="C929" t="s">
        <v>5203</v>
      </c>
      <c r="D929" t="s">
        <v>30</v>
      </c>
      <c r="E929" t="s">
        <v>150</v>
      </c>
      <c r="F929">
        <v>4500266142</v>
      </c>
      <c r="G929" t="s">
        <v>4890</v>
      </c>
      <c r="H929" t="s">
        <v>3334</v>
      </c>
      <c r="I929" t="s">
        <v>4891</v>
      </c>
      <c r="J929" t="s">
        <v>150</v>
      </c>
      <c r="K929" s="2">
        <v>118432</v>
      </c>
      <c r="L929" s="2">
        <v>269164</v>
      </c>
      <c r="M929" t="str">
        <f>IFERROR(IF(VLOOKUP(LEFT(B929,2),'Humanitarian codes'!$A$2:$A$10,1,FALSE)=LEFT(B929,2),"Yes","Error"),"No")</f>
        <v>Yes</v>
      </c>
    </row>
    <row r="930" spans="1:13" x14ac:dyDescent="0.25">
      <c r="A930">
        <v>2022</v>
      </c>
      <c r="B930" t="s">
        <v>5202</v>
      </c>
      <c r="C930" t="s">
        <v>5203</v>
      </c>
      <c r="D930" t="s">
        <v>30</v>
      </c>
      <c r="E930" t="s">
        <v>150</v>
      </c>
      <c r="F930">
        <v>4500266159</v>
      </c>
      <c r="G930" t="s">
        <v>4529</v>
      </c>
      <c r="H930" t="s">
        <v>3334</v>
      </c>
      <c r="I930" t="s">
        <v>4530</v>
      </c>
      <c r="J930" t="s">
        <v>150</v>
      </c>
      <c r="K930" s="2">
        <v>47990</v>
      </c>
      <c r="L930" s="2">
        <v>133305</v>
      </c>
      <c r="M930" t="str">
        <f>IFERROR(IF(VLOOKUP(LEFT(B930,2),'Humanitarian codes'!$A$2:$A$10,1,FALSE)=LEFT(B930,2),"Yes","Error"),"No")</f>
        <v>Yes</v>
      </c>
    </row>
    <row r="931" spans="1:13" x14ac:dyDescent="0.25">
      <c r="A931">
        <v>2022</v>
      </c>
      <c r="B931" t="s">
        <v>5202</v>
      </c>
      <c r="C931" t="s">
        <v>5203</v>
      </c>
      <c r="D931" t="s">
        <v>30</v>
      </c>
      <c r="E931" t="s">
        <v>150</v>
      </c>
      <c r="F931">
        <v>4500266187</v>
      </c>
      <c r="G931" t="s">
        <v>4531</v>
      </c>
      <c r="H931" t="s">
        <v>3334</v>
      </c>
      <c r="I931" t="s">
        <v>2046</v>
      </c>
      <c r="J931" t="s">
        <v>150</v>
      </c>
      <c r="K931" s="2">
        <v>93441</v>
      </c>
      <c r="L931" s="2">
        <v>144564</v>
      </c>
      <c r="M931" t="str">
        <f>IFERROR(IF(VLOOKUP(LEFT(B931,2),'Humanitarian codes'!$A$2:$A$10,1,FALSE)=LEFT(B931,2),"Yes","Error"),"No")</f>
        <v>Yes</v>
      </c>
    </row>
    <row r="932" spans="1:13" x14ac:dyDescent="0.25">
      <c r="A932">
        <v>2022</v>
      </c>
      <c r="B932" t="s">
        <v>5202</v>
      </c>
      <c r="C932" t="s">
        <v>5203</v>
      </c>
      <c r="D932" t="s">
        <v>30</v>
      </c>
      <c r="E932" t="s">
        <v>150</v>
      </c>
      <c r="F932">
        <v>4500266216</v>
      </c>
      <c r="G932" t="s">
        <v>4892</v>
      </c>
      <c r="H932" t="s">
        <v>3334</v>
      </c>
      <c r="I932" t="s">
        <v>4893</v>
      </c>
      <c r="J932" t="s">
        <v>150</v>
      </c>
      <c r="K932" s="2">
        <v>64655</v>
      </c>
      <c r="L932" s="2">
        <v>113429</v>
      </c>
      <c r="M932" t="str">
        <f>IFERROR(IF(VLOOKUP(LEFT(B932,2),'Humanitarian codes'!$A$2:$A$10,1,FALSE)=LEFT(B932,2),"Yes","Error"),"No")</f>
        <v>Yes</v>
      </c>
    </row>
    <row r="933" spans="1:13" x14ac:dyDescent="0.25">
      <c r="A933">
        <v>2022</v>
      </c>
      <c r="B933" t="s">
        <v>5202</v>
      </c>
      <c r="C933" t="s">
        <v>5203</v>
      </c>
      <c r="D933" t="s">
        <v>30</v>
      </c>
      <c r="E933" t="s">
        <v>150</v>
      </c>
      <c r="F933">
        <v>4500266225</v>
      </c>
      <c r="G933" t="s">
        <v>4894</v>
      </c>
      <c r="H933" t="s">
        <v>3334</v>
      </c>
      <c r="I933" t="s">
        <v>2526</v>
      </c>
      <c r="J933" t="s">
        <v>150</v>
      </c>
      <c r="K933" s="2">
        <v>39295</v>
      </c>
      <c r="L933" s="2">
        <v>98237</v>
      </c>
      <c r="M933" t="str">
        <f>IFERROR(IF(VLOOKUP(LEFT(B933,2),'Humanitarian codes'!$A$2:$A$10,1,FALSE)=LEFT(B933,2),"Yes","Error"),"No")</f>
        <v>Yes</v>
      </c>
    </row>
    <row r="934" spans="1:13" x14ac:dyDescent="0.25">
      <c r="A934">
        <v>2022</v>
      </c>
      <c r="B934" t="s">
        <v>5202</v>
      </c>
      <c r="C934" t="s">
        <v>5203</v>
      </c>
      <c r="D934" t="s">
        <v>30</v>
      </c>
      <c r="E934" t="s">
        <v>150</v>
      </c>
      <c r="F934">
        <v>4500274864</v>
      </c>
      <c r="G934" t="s">
        <v>5165</v>
      </c>
      <c r="H934" t="s">
        <v>3334</v>
      </c>
      <c r="I934" t="s">
        <v>832</v>
      </c>
      <c r="J934" t="s">
        <v>150</v>
      </c>
      <c r="K934" s="2">
        <v>379127</v>
      </c>
      <c r="L934" s="2">
        <v>512906</v>
      </c>
      <c r="M934" t="str">
        <f>IFERROR(IF(VLOOKUP(LEFT(B934,2),'Humanitarian codes'!$A$2:$A$10,1,FALSE)=LEFT(B934,2),"Yes","Error"),"No")</f>
        <v>Yes</v>
      </c>
    </row>
    <row r="935" spans="1:13" x14ac:dyDescent="0.25">
      <c r="A935">
        <v>2022</v>
      </c>
      <c r="B935" t="s">
        <v>3500</v>
      </c>
      <c r="C935" t="s">
        <v>3501</v>
      </c>
      <c r="D935" t="s">
        <v>30</v>
      </c>
      <c r="E935" t="s">
        <v>167</v>
      </c>
      <c r="F935">
        <v>4500251897</v>
      </c>
      <c r="G935" t="s">
        <v>5204</v>
      </c>
      <c r="H935" t="s">
        <v>3334</v>
      </c>
      <c r="I935" t="s">
        <v>5205</v>
      </c>
      <c r="J935" t="s">
        <v>1494</v>
      </c>
      <c r="K935" s="2">
        <v>74645</v>
      </c>
      <c r="L935" s="2">
        <v>169701</v>
      </c>
      <c r="M935" t="str">
        <f>IFERROR(IF(VLOOKUP(LEFT(B935,2),'Humanitarian codes'!$A$2:$A$10,1,FALSE)=LEFT(B935,2),"Yes","Error"),"No")</f>
        <v>Yes</v>
      </c>
    </row>
    <row r="936" spans="1:13" x14ac:dyDescent="0.25">
      <c r="A936">
        <v>2022</v>
      </c>
      <c r="B936" t="s">
        <v>2900</v>
      </c>
      <c r="C936" t="s">
        <v>3504</v>
      </c>
      <c r="D936" t="s">
        <v>30</v>
      </c>
      <c r="E936" t="s">
        <v>717</v>
      </c>
      <c r="F936">
        <v>4500252612</v>
      </c>
      <c r="G936" t="s">
        <v>5206</v>
      </c>
      <c r="H936" t="s">
        <v>3334</v>
      </c>
      <c r="I936" t="s">
        <v>720</v>
      </c>
      <c r="J936" t="s">
        <v>717</v>
      </c>
      <c r="K936" s="2">
        <v>15982</v>
      </c>
      <c r="L936" s="2">
        <v>79910</v>
      </c>
      <c r="M936" t="str">
        <f>IFERROR(IF(VLOOKUP(LEFT(B936,2),'Humanitarian codes'!$A$2:$A$10,1,FALSE)=LEFT(B936,2),"Yes","Error"),"No")</f>
        <v>Yes</v>
      </c>
    </row>
    <row r="937" spans="1:13" x14ac:dyDescent="0.25">
      <c r="A937">
        <v>2022</v>
      </c>
      <c r="B937" t="s">
        <v>2900</v>
      </c>
      <c r="C937" t="s">
        <v>3504</v>
      </c>
      <c r="D937" t="s">
        <v>30</v>
      </c>
      <c r="E937" t="s">
        <v>717</v>
      </c>
      <c r="F937">
        <v>4500253056</v>
      </c>
      <c r="G937" t="s">
        <v>5207</v>
      </c>
      <c r="H937" t="s">
        <v>3334</v>
      </c>
      <c r="I937" t="s">
        <v>3233</v>
      </c>
      <c r="J937" t="s">
        <v>717</v>
      </c>
      <c r="K937" s="2">
        <v>14847</v>
      </c>
      <c r="L937" s="2">
        <v>90048</v>
      </c>
      <c r="M937" t="str">
        <f>IFERROR(IF(VLOOKUP(LEFT(B937,2),'Humanitarian codes'!$A$2:$A$10,1,FALSE)=LEFT(B937,2),"Yes","Error"),"No")</f>
        <v>Yes</v>
      </c>
    </row>
    <row r="938" spans="1:13" x14ac:dyDescent="0.25">
      <c r="A938">
        <v>2022</v>
      </c>
      <c r="B938" t="s">
        <v>2900</v>
      </c>
      <c r="C938" t="s">
        <v>3504</v>
      </c>
      <c r="D938" t="s">
        <v>30</v>
      </c>
      <c r="E938" t="s">
        <v>155</v>
      </c>
      <c r="F938">
        <v>4500264577</v>
      </c>
      <c r="G938" t="s">
        <v>5208</v>
      </c>
      <c r="H938" t="s">
        <v>3334</v>
      </c>
      <c r="I938" t="s">
        <v>156</v>
      </c>
      <c r="J938" t="s">
        <v>155</v>
      </c>
      <c r="K938" s="2">
        <v>30000</v>
      </c>
      <c r="L938" s="2">
        <v>80000</v>
      </c>
      <c r="M938" t="str">
        <f>IFERROR(IF(VLOOKUP(LEFT(B938,2),'Humanitarian codes'!$A$2:$A$10,1,FALSE)=LEFT(B938,2),"Yes","Error"),"No")</f>
        <v>Yes</v>
      </c>
    </row>
    <row r="939" spans="1:13" x14ac:dyDescent="0.25">
      <c r="A939">
        <v>2022</v>
      </c>
      <c r="B939" t="s">
        <v>3506</v>
      </c>
      <c r="C939" t="s">
        <v>3501</v>
      </c>
      <c r="D939" t="s">
        <v>30</v>
      </c>
      <c r="E939" t="s">
        <v>167</v>
      </c>
      <c r="F939">
        <v>4500251897</v>
      </c>
      <c r="G939" t="s">
        <v>5204</v>
      </c>
      <c r="H939" t="s">
        <v>3334</v>
      </c>
      <c r="I939" t="s">
        <v>5205</v>
      </c>
      <c r="J939" t="s">
        <v>1494</v>
      </c>
      <c r="K939" s="2">
        <v>95056</v>
      </c>
      <c r="L939" s="2">
        <v>169701</v>
      </c>
      <c r="M939" t="str">
        <f>IFERROR(IF(VLOOKUP(LEFT(B939,2),'Humanitarian codes'!$A$2:$A$10,1,FALSE)=LEFT(B939,2),"Yes","Error"),"No")</f>
        <v>Yes</v>
      </c>
    </row>
    <row r="940" spans="1:13" x14ac:dyDescent="0.25">
      <c r="A940">
        <v>2022</v>
      </c>
      <c r="B940" t="s">
        <v>5209</v>
      </c>
      <c r="C940" t="s">
        <v>5210</v>
      </c>
      <c r="D940" t="s">
        <v>30</v>
      </c>
      <c r="E940" t="s">
        <v>205</v>
      </c>
      <c r="F940">
        <v>4500248302</v>
      </c>
      <c r="G940" t="s">
        <v>5211</v>
      </c>
      <c r="H940" t="s">
        <v>3334</v>
      </c>
      <c r="I940" t="s">
        <v>869</v>
      </c>
      <c r="J940" t="s">
        <v>205</v>
      </c>
      <c r="K940" s="2">
        <v>14634</v>
      </c>
      <c r="L940" s="2">
        <v>14634</v>
      </c>
      <c r="M940" t="str">
        <f>IFERROR(IF(VLOOKUP(LEFT(B940,2),'Humanitarian codes'!$A$2:$A$10,1,FALSE)=LEFT(B940,2),"Yes","Error"),"No")</f>
        <v>Yes</v>
      </c>
    </row>
    <row r="941" spans="1:13" x14ac:dyDescent="0.25">
      <c r="A941">
        <v>2022</v>
      </c>
      <c r="B941" t="s">
        <v>5212</v>
      </c>
      <c r="C941" t="s">
        <v>3406</v>
      </c>
      <c r="D941" t="s">
        <v>30</v>
      </c>
      <c r="E941" t="s">
        <v>175</v>
      </c>
      <c r="F941">
        <v>4500254524</v>
      </c>
      <c r="G941" t="s">
        <v>4445</v>
      </c>
      <c r="H941" t="s">
        <v>3334</v>
      </c>
      <c r="I941" t="s">
        <v>887</v>
      </c>
      <c r="J941" t="s">
        <v>175</v>
      </c>
      <c r="K941" s="2">
        <v>45577</v>
      </c>
      <c r="L941" s="2">
        <v>45577</v>
      </c>
      <c r="M941" t="str">
        <f>IFERROR(IF(VLOOKUP(LEFT(B941,2),'Humanitarian codes'!$A$2:$A$10,1,FALSE)=LEFT(B941,2),"Yes","Error"),"No")</f>
        <v>Yes</v>
      </c>
    </row>
    <row r="942" spans="1:13" x14ac:dyDescent="0.25">
      <c r="A942">
        <v>2022</v>
      </c>
      <c r="B942" t="s">
        <v>1257</v>
      </c>
      <c r="C942" t="s">
        <v>1258</v>
      </c>
      <c r="D942" t="s">
        <v>30</v>
      </c>
      <c r="E942" t="s">
        <v>940</v>
      </c>
      <c r="F942">
        <v>4500264195</v>
      </c>
      <c r="G942" t="s">
        <v>5213</v>
      </c>
      <c r="H942" t="s">
        <v>3334</v>
      </c>
      <c r="I942" t="s">
        <v>338</v>
      </c>
      <c r="J942" t="s">
        <v>940</v>
      </c>
      <c r="K942" s="2">
        <v>774680</v>
      </c>
      <c r="L942" s="2">
        <v>774680</v>
      </c>
      <c r="M942" t="str">
        <f>IFERROR(IF(VLOOKUP(LEFT(B942,2),'Humanitarian codes'!$A$2:$A$10,1,FALSE)=LEFT(B942,2),"Yes","Error"),"No")</f>
        <v>Yes</v>
      </c>
    </row>
    <row r="943" spans="1:13" x14ac:dyDescent="0.25">
      <c r="A943">
        <v>2022</v>
      </c>
      <c r="B943" t="s">
        <v>2904</v>
      </c>
      <c r="C943" t="s">
        <v>5214</v>
      </c>
      <c r="D943" t="s">
        <v>30</v>
      </c>
      <c r="E943" t="s">
        <v>20</v>
      </c>
      <c r="F943">
        <v>4500262845</v>
      </c>
      <c r="G943" t="s">
        <v>5215</v>
      </c>
      <c r="H943" t="s">
        <v>3334</v>
      </c>
      <c r="I943" t="s">
        <v>5216</v>
      </c>
      <c r="J943" t="s">
        <v>20</v>
      </c>
      <c r="K943" s="2">
        <v>33044</v>
      </c>
      <c r="L943" s="2">
        <v>33044</v>
      </c>
      <c r="M943" t="str">
        <f>IFERROR(IF(VLOOKUP(LEFT(B943,2),'Humanitarian codes'!$A$2:$A$10,1,FALSE)=LEFT(B943,2),"Yes","Error"),"No")</f>
        <v>Yes</v>
      </c>
    </row>
    <row r="944" spans="1:13" x14ac:dyDescent="0.25">
      <c r="A944">
        <v>2022</v>
      </c>
      <c r="B944" t="s">
        <v>2904</v>
      </c>
      <c r="C944" t="s">
        <v>5214</v>
      </c>
      <c r="D944" t="s">
        <v>30</v>
      </c>
      <c r="E944" t="s">
        <v>20</v>
      </c>
      <c r="F944">
        <v>4500263803</v>
      </c>
      <c r="G944" t="s">
        <v>5217</v>
      </c>
      <c r="H944" t="s">
        <v>3334</v>
      </c>
      <c r="I944" t="s">
        <v>852</v>
      </c>
      <c r="J944" t="s">
        <v>20</v>
      </c>
      <c r="K944" s="2">
        <v>110091</v>
      </c>
      <c r="L944" s="2">
        <v>122372</v>
      </c>
      <c r="M944" t="str">
        <f>IFERROR(IF(VLOOKUP(LEFT(B944,2),'Humanitarian codes'!$A$2:$A$10,1,FALSE)=LEFT(B944,2),"Yes","Error"),"No")</f>
        <v>Yes</v>
      </c>
    </row>
    <row r="945" spans="1:13" x14ac:dyDescent="0.25">
      <c r="A945">
        <v>2022</v>
      </c>
      <c r="B945" t="s">
        <v>2904</v>
      </c>
      <c r="C945" t="s">
        <v>5214</v>
      </c>
      <c r="D945" t="s">
        <v>30</v>
      </c>
      <c r="E945" t="s">
        <v>20</v>
      </c>
      <c r="F945">
        <v>4500276284</v>
      </c>
      <c r="G945" t="s">
        <v>5218</v>
      </c>
      <c r="H945" t="s">
        <v>3334</v>
      </c>
      <c r="I945" t="s">
        <v>172</v>
      </c>
      <c r="J945" t="s">
        <v>20</v>
      </c>
      <c r="K945" s="2">
        <v>504633</v>
      </c>
      <c r="L945" s="2">
        <v>504633</v>
      </c>
      <c r="M945" t="str">
        <f>IFERROR(IF(VLOOKUP(LEFT(B945,2),'Humanitarian codes'!$A$2:$A$10,1,FALSE)=LEFT(B945,2),"Yes","Error"),"No")</f>
        <v>Yes</v>
      </c>
    </row>
    <row r="946" spans="1:13" x14ac:dyDescent="0.25">
      <c r="A946">
        <v>2022</v>
      </c>
      <c r="B946" t="s">
        <v>2909</v>
      </c>
      <c r="C946" t="s">
        <v>3512</v>
      </c>
      <c r="D946" t="s">
        <v>30</v>
      </c>
      <c r="E946" t="s">
        <v>303</v>
      </c>
      <c r="F946">
        <v>4500265059</v>
      </c>
      <c r="G946" t="s">
        <v>4976</v>
      </c>
      <c r="H946" t="s">
        <v>3334</v>
      </c>
      <c r="I946" t="s">
        <v>4977</v>
      </c>
      <c r="J946" t="s">
        <v>303</v>
      </c>
      <c r="K946" s="2">
        <v>132356</v>
      </c>
      <c r="L946" s="2">
        <v>147063</v>
      </c>
      <c r="M946" t="str">
        <f>IFERROR(IF(VLOOKUP(LEFT(B946,2),'Humanitarian codes'!$A$2:$A$10,1,FALSE)=LEFT(B946,2),"Yes","Error"),"No")</f>
        <v>Yes</v>
      </c>
    </row>
    <row r="947" spans="1:13" x14ac:dyDescent="0.25">
      <c r="A947">
        <v>2022</v>
      </c>
      <c r="B947" t="s">
        <v>5219</v>
      </c>
      <c r="C947" t="s">
        <v>5220</v>
      </c>
      <c r="D947" t="s">
        <v>30</v>
      </c>
      <c r="E947" t="s">
        <v>793</v>
      </c>
      <c r="F947">
        <v>4500273519</v>
      </c>
      <c r="G947" t="s">
        <v>5221</v>
      </c>
      <c r="H947" t="s">
        <v>3334</v>
      </c>
      <c r="I947" t="s">
        <v>1993</v>
      </c>
      <c r="J947" t="s">
        <v>793</v>
      </c>
      <c r="K947" s="2">
        <v>6000</v>
      </c>
      <c r="L947" s="2">
        <v>40000</v>
      </c>
      <c r="M947" t="str">
        <f>IFERROR(IF(VLOOKUP(LEFT(B947,2),'Humanitarian codes'!$A$2:$A$10,1,FALSE)=LEFT(B947,2),"Yes","Error"),"No")</f>
        <v>Yes</v>
      </c>
    </row>
    <row r="948" spans="1:13" x14ac:dyDescent="0.25">
      <c r="A948">
        <v>2022</v>
      </c>
      <c r="B948" t="s">
        <v>3515</v>
      </c>
      <c r="C948" t="s">
        <v>3516</v>
      </c>
      <c r="D948" t="s">
        <v>30</v>
      </c>
      <c r="E948" t="s">
        <v>155</v>
      </c>
      <c r="F948">
        <v>4500264577</v>
      </c>
      <c r="G948" t="s">
        <v>5208</v>
      </c>
      <c r="H948" t="s">
        <v>3334</v>
      </c>
      <c r="I948" t="s">
        <v>156</v>
      </c>
      <c r="J948" t="s">
        <v>155</v>
      </c>
      <c r="K948" s="2">
        <v>50000</v>
      </c>
      <c r="L948" s="2">
        <v>80000</v>
      </c>
      <c r="M948" t="str">
        <f>IFERROR(IF(VLOOKUP(LEFT(B948,2),'Humanitarian codes'!$A$2:$A$10,1,FALSE)=LEFT(B948,2),"Yes","Error"),"No")</f>
        <v>Yes</v>
      </c>
    </row>
    <row r="949" spans="1:13" x14ac:dyDescent="0.25">
      <c r="A949">
        <v>2022</v>
      </c>
      <c r="B949" t="s">
        <v>1957</v>
      </c>
      <c r="C949" t="s">
        <v>1958</v>
      </c>
      <c r="D949" t="s">
        <v>30</v>
      </c>
      <c r="E949" t="s">
        <v>356</v>
      </c>
      <c r="F949">
        <v>4500261601</v>
      </c>
      <c r="G949" t="s">
        <v>5222</v>
      </c>
      <c r="H949" t="s">
        <v>3334</v>
      </c>
      <c r="I949" t="s">
        <v>1575</v>
      </c>
      <c r="J949" t="s">
        <v>356</v>
      </c>
      <c r="K949" s="2">
        <v>102931</v>
      </c>
      <c r="L949" s="2">
        <v>102931</v>
      </c>
      <c r="M949" t="str">
        <f>IFERROR(IF(VLOOKUP(LEFT(B949,2),'Humanitarian codes'!$A$2:$A$10,1,FALSE)=LEFT(B949,2),"Yes","Error"),"No")</f>
        <v>Yes</v>
      </c>
    </row>
    <row r="950" spans="1:13" x14ac:dyDescent="0.25">
      <c r="A950">
        <v>2022</v>
      </c>
      <c r="B950" t="s">
        <v>3517</v>
      </c>
      <c r="C950" t="s">
        <v>3518</v>
      </c>
      <c r="D950" t="s">
        <v>30</v>
      </c>
      <c r="E950" t="s">
        <v>132</v>
      </c>
      <c r="F950">
        <v>4500270801</v>
      </c>
      <c r="G950" t="s">
        <v>5223</v>
      </c>
      <c r="H950" t="s">
        <v>3334</v>
      </c>
      <c r="I950" t="s">
        <v>5224</v>
      </c>
      <c r="J950" t="s">
        <v>155</v>
      </c>
      <c r="K950" s="2">
        <v>340000</v>
      </c>
      <c r="L950" s="2">
        <v>340000</v>
      </c>
      <c r="M950" t="str">
        <f>IFERROR(IF(VLOOKUP(LEFT(B950,2),'Humanitarian codes'!$A$2:$A$10,1,FALSE)=LEFT(B950,2),"Yes","Error"),"No")</f>
        <v>Yes</v>
      </c>
    </row>
    <row r="951" spans="1:13" x14ac:dyDescent="0.25">
      <c r="A951">
        <v>2022</v>
      </c>
      <c r="B951" t="s">
        <v>2911</v>
      </c>
      <c r="C951" t="s">
        <v>3521</v>
      </c>
      <c r="D951" t="s">
        <v>30</v>
      </c>
      <c r="E951" t="s">
        <v>356</v>
      </c>
      <c r="F951">
        <v>4500254530</v>
      </c>
      <c r="G951" t="s">
        <v>4928</v>
      </c>
      <c r="H951" t="s">
        <v>3334</v>
      </c>
      <c r="I951" t="s">
        <v>2015</v>
      </c>
      <c r="J951" t="s">
        <v>356</v>
      </c>
      <c r="K951" s="2">
        <v>46622</v>
      </c>
      <c r="L951" s="2">
        <v>93243</v>
      </c>
      <c r="M951" t="str">
        <f>IFERROR(IF(VLOOKUP(LEFT(B951,2),'Humanitarian codes'!$A$2:$A$10,1,FALSE)=LEFT(B951,2),"Yes","Error"),"No")</f>
        <v>Yes</v>
      </c>
    </row>
    <row r="952" spans="1:13" x14ac:dyDescent="0.25">
      <c r="A952">
        <v>2022</v>
      </c>
      <c r="B952" t="s">
        <v>2911</v>
      </c>
      <c r="C952" t="s">
        <v>3521</v>
      </c>
      <c r="D952" t="s">
        <v>30</v>
      </c>
      <c r="E952" t="s">
        <v>356</v>
      </c>
      <c r="F952">
        <v>4500266759</v>
      </c>
      <c r="G952" t="s">
        <v>5225</v>
      </c>
      <c r="H952" t="s">
        <v>3334</v>
      </c>
      <c r="I952" t="s">
        <v>1314</v>
      </c>
      <c r="J952" t="s">
        <v>356</v>
      </c>
      <c r="K952" s="2">
        <v>107727</v>
      </c>
      <c r="L952" s="2">
        <v>107727</v>
      </c>
      <c r="M952" t="str">
        <f>IFERROR(IF(VLOOKUP(LEFT(B952,2),'Humanitarian codes'!$A$2:$A$10,1,FALSE)=LEFT(B952,2),"Yes","Error"),"No")</f>
        <v>Yes</v>
      </c>
    </row>
    <row r="953" spans="1:13" x14ac:dyDescent="0.25">
      <c r="A953">
        <v>2022</v>
      </c>
      <c r="B953" t="s">
        <v>2911</v>
      </c>
      <c r="C953" t="s">
        <v>3521</v>
      </c>
      <c r="D953" t="s">
        <v>30</v>
      </c>
      <c r="E953" t="s">
        <v>356</v>
      </c>
      <c r="F953">
        <v>4500271543</v>
      </c>
      <c r="G953" t="s">
        <v>5226</v>
      </c>
      <c r="H953" t="s">
        <v>3334</v>
      </c>
      <c r="I953" t="s">
        <v>1315</v>
      </c>
      <c r="J953" t="s">
        <v>356</v>
      </c>
      <c r="K953" s="2">
        <v>355488</v>
      </c>
      <c r="L953" s="2">
        <v>355488</v>
      </c>
      <c r="M953" t="str">
        <f>IFERROR(IF(VLOOKUP(LEFT(B953,2),'Humanitarian codes'!$A$2:$A$10,1,FALSE)=LEFT(B953,2),"Yes","Error"),"No")</f>
        <v>Yes</v>
      </c>
    </row>
    <row r="954" spans="1:13" x14ac:dyDescent="0.25">
      <c r="A954">
        <v>2022</v>
      </c>
      <c r="B954" t="s">
        <v>2911</v>
      </c>
      <c r="C954" t="s">
        <v>3521</v>
      </c>
      <c r="D954" t="s">
        <v>30</v>
      </c>
      <c r="E954" t="s">
        <v>356</v>
      </c>
      <c r="F954">
        <v>4500272104</v>
      </c>
      <c r="G954" t="s">
        <v>5227</v>
      </c>
      <c r="H954" t="s">
        <v>3334</v>
      </c>
      <c r="I954" t="s">
        <v>1744</v>
      </c>
      <c r="J954" t="s">
        <v>356</v>
      </c>
      <c r="K954" s="2">
        <v>236222</v>
      </c>
      <c r="L954" s="2">
        <v>236222</v>
      </c>
      <c r="M954" t="str">
        <f>IFERROR(IF(VLOOKUP(LEFT(B954,2),'Humanitarian codes'!$A$2:$A$10,1,FALSE)=LEFT(B954,2),"Yes","Error"),"No")</f>
        <v>Yes</v>
      </c>
    </row>
    <row r="955" spans="1:13" x14ac:dyDescent="0.25">
      <c r="A955">
        <v>2022</v>
      </c>
      <c r="B955" t="s">
        <v>3558</v>
      </c>
      <c r="C955" t="s">
        <v>3559</v>
      </c>
      <c r="D955" t="s">
        <v>30</v>
      </c>
      <c r="E955" t="s">
        <v>54</v>
      </c>
      <c r="F955">
        <v>4500275142</v>
      </c>
      <c r="G955" t="s">
        <v>5228</v>
      </c>
      <c r="H955" t="s">
        <v>3334</v>
      </c>
      <c r="I955" t="s">
        <v>3790</v>
      </c>
      <c r="J955" t="s">
        <v>54</v>
      </c>
      <c r="K955" s="2">
        <v>99705</v>
      </c>
      <c r="L955" s="2">
        <v>332351</v>
      </c>
      <c r="M955" t="str">
        <f>IFERROR(IF(VLOOKUP(LEFT(B955,2),'Humanitarian codes'!$A$2:$A$10,1,FALSE)=LEFT(B955,2),"Yes","Error"),"No")</f>
        <v>Yes</v>
      </c>
    </row>
    <row r="956" spans="1:13" x14ac:dyDescent="0.25">
      <c r="A956">
        <v>2022</v>
      </c>
      <c r="B956" t="s">
        <v>791</v>
      </c>
      <c r="C956" t="s">
        <v>792</v>
      </c>
      <c r="D956" t="s">
        <v>30</v>
      </c>
      <c r="E956" t="s">
        <v>793</v>
      </c>
      <c r="F956">
        <v>4500273519</v>
      </c>
      <c r="G956" t="s">
        <v>5221</v>
      </c>
      <c r="H956" t="s">
        <v>3334</v>
      </c>
      <c r="I956" t="s">
        <v>1993</v>
      </c>
      <c r="J956" t="s">
        <v>793</v>
      </c>
      <c r="K956" s="2">
        <v>14000</v>
      </c>
      <c r="L956" s="2">
        <v>40000</v>
      </c>
      <c r="M956" t="str">
        <f>IFERROR(IF(VLOOKUP(LEFT(B956,2),'Humanitarian codes'!$A$2:$A$10,1,FALSE)=LEFT(B956,2),"Yes","Error"),"No")</f>
        <v>Yes</v>
      </c>
    </row>
    <row r="957" spans="1:13" x14ac:dyDescent="0.25">
      <c r="A957">
        <v>2022</v>
      </c>
      <c r="B957" t="s">
        <v>87</v>
      </c>
      <c r="C957" t="s">
        <v>88</v>
      </c>
      <c r="D957" t="s">
        <v>30</v>
      </c>
      <c r="E957" t="s">
        <v>32</v>
      </c>
      <c r="F957">
        <v>4500275570</v>
      </c>
      <c r="G957" t="s">
        <v>5229</v>
      </c>
      <c r="H957" t="s">
        <v>3334</v>
      </c>
      <c r="I957" t="s">
        <v>5230</v>
      </c>
      <c r="J957" t="s">
        <v>32</v>
      </c>
      <c r="K957" s="2">
        <v>473106</v>
      </c>
      <c r="L957" s="2">
        <v>473106</v>
      </c>
      <c r="M957" t="str">
        <f>IFERROR(IF(VLOOKUP(LEFT(B957,2),'Humanitarian codes'!$A$2:$A$10,1,FALSE)=LEFT(B957,2),"Yes","Error"),"No")</f>
        <v>Yes</v>
      </c>
    </row>
    <row r="958" spans="1:13" x14ac:dyDescent="0.25">
      <c r="A958">
        <v>2022</v>
      </c>
      <c r="B958" t="s">
        <v>87</v>
      </c>
      <c r="C958" t="s">
        <v>88</v>
      </c>
      <c r="D958" t="s">
        <v>30</v>
      </c>
      <c r="E958" t="s">
        <v>32</v>
      </c>
      <c r="F958">
        <v>4500275576</v>
      </c>
      <c r="G958" t="s">
        <v>5229</v>
      </c>
      <c r="H958" t="s">
        <v>3334</v>
      </c>
      <c r="I958" t="s">
        <v>5231</v>
      </c>
      <c r="J958" t="s">
        <v>32</v>
      </c>
      <c r="K958" s="2">
        <v>500000</v>
      </c>
      <c r="L958" s="2">
        <v>500000</v>
      </c>
      <c r="M958" t="str">
        <f>IFERROR(IF(VLOOKUP(LEFT(B958,2),'Humanitarian codes'!$A$2:$A$10,1,FALSE)=LEFT(B958,2),"Yes","Error"),"No")</f>
        <v>Yes</v>
      </c>
    </row>
    <row r="959" spans="1:13" x14ac:dyDescent="0.25">
      <c r="A959">
        <v>2022</v>
      </c>
      <c r="B959" t="s">
        <v>87</v>
      </c>
      <c r="C959" t="s">
        <v>88</v>
      </c>
      <c r="D959" t="s">
        <v>30</v>
      </c>
      <c r="E959" t="s">
        <v>32</v>
      </c>
      <c r="F959">
        <v>4500275582</v>
      </c>
      <c r="G959" t="s">
        <v>5229</v>
      </c>
      <c r="H959" t="s">
        <v>3334</v>
      </c>
      <c r="I959" t="s">
        <v>94</v>
      </c>
      <c r="J959" t="s">
        <v>32</v>
      </c>
      <c r="K959" s="2">
        <v>496240</v>
      </c>
      <c r="L959" s="2">
        <v>496240</v>
      </c>
      <c r="M959" t="str">
        <f>IFERROR(IF(VLOOKUP(LEFT(B959,2),'Humanitarian codes'!$A$2:$A$10,1,FALSE)=LEFT(B959,2),"Yes","Error"),"No")</f>
        <v>Yes</v>
      </c>
    </row>
    <row r="960" spans="1:13" x14ac:dyDescent="0.25">
      <c r="A960">
        <v>2022</v>
      </c>
      <c r="B960" t="s">
        <v>3576</v>
      </c>
      <c r="C960" t="s">
        <v>3577</v>
      </c>
      <c r="D960" t="s">
        <v>30</v>
      </c>
      <c r="E960" t="s">
        <v>54</v>
      </c>
      <c r="F960">
        <v>4500275116</v>
      </c>
      <c r="G960" t="s">
        <v>5013</v>
      </c>
      <c r="H960" t="s">
        <v>3334</v>
      </c>
      <c r="I960" t="s">
        <v>3790</v>
      </c>
      <c r="J960" t="s">
        <v>54</v>
      </c>
      <c r="K960" s="2">
        <v>88084</v>
      </c>
      <c r="L960" s="2">
        <v>587224</v>
      </c>
      <c r="M960" t="str">
        <f>IFERROR(IF(VLOOKUP(LEFT(B960,2),'Humanitarian codes'!$A$2:$A$10,1,FALSE)=LEFT(B960,2),"Yes","Error"),"No")</f>
        <v>Yes</v>
      </c>
    </row>
    <row r="961" spans="1:13" x14ac:dyDescent="0.25">
      <c r="A961">
        <v>2022</v>
      </c>
      <c r="B961" t="s">
        <v>3576</v>
      </c>
      <c r="C961" t="s">
        <v>3577</v>
      </c>
      <c r="D961" t="s">
        <v>30</v>
      </c>
      <c r="E961" t="s">
        <v>54</v>
      </c>
      <c r="F961">
        <v>4500275142</v>
      </c>
      <c r="G961" t="s">
        <v>5228</v>
      </c>
      <c r="H961" t="s">
        <v>3334</v>
      </c>
      <c r="I961" t="s">
        <v>3790</v>
      </c>
      <c r="J961" t="s">
        <v>54</v>
      </c>
      <c r="K961" s="2">
        <v>99705</v>
      </c>
      <c r="L961" s="2">
        <v>332351</v>
      </c>
      <c r="M961" t="str">
        <f>IFERROR(IF(VLOOKUP(LEFT(B961,2),'Humanitarian codes'!$A$2:$A$10,1,FALSE)=LEFT(B961,2),"Yes","Error"),"No")</f>
        <v>Yes</v>
      </c>
    </row>
    <row r="962" spans="1:13" x14ac:dyDescent="0.25">
      <c r="A962">
        <v>2022</v>
      </c>
      <c r="B962" t="s">
        <v>3580</v>
      </c>
      <c r="C962" t="s">
        <v>3581</v>
      </c>
      <c r="D962" t="s">
        <v>30</v>
      </c>
      <c r="E962" t="s">
        <v>356</v>
      </c>
      <c r="F962">
        <v>4500276003</v>
      </c>
      <c r="G962" t="s">
        <v>5232</v>
      </c>
      <c r="H962" t="s">
        <v>3334</v>
      </c>
      <c r="I962" t="s">
        <v>1747</v>
      </c>
      <c r="J962" t="s">
        <v>356</v>
      </c>
      <c r="K962" s="2">
        <v>539763</v>
      </c>
      <c r="L962" s="2">
        <v>539763</v>
      </c>
      <c r="M962" t="str">
        <f>IFERROR(IF(VLOOKUP(LEFT(B962,2),'Humanitarian codes'!$A$2:$A$10,1,FALSE)=LEFT(B962,2),"Yes","Error"),"No")</f>
        <v>Yes</v>
      </c>
    </row>
    <row r="963" spans="1:13" x14ac:dyDescent="0.25">
      <c r="A963">
        <v>2022</v>
      </c>
      <c r="B963" t="s">
        <v>3580</v>
      </c>
      <c r="C963" t="s">
        <v>3581</v>
      </c>
      <c r="D963" t="s">
        <v>30</v>
      </c>
      <c r="E963" t="s">
        <v>356</v>
      </c>
      <c r="F963">
        <v>4500276008</v>
      </c>
      <c r="G963" t="s">
        <v>5233</v>
      </c>
      <c r="H963" t="s">
        <v>3334</v>
      </c>
      <c r="I963" t="s">
        <v>357</v>
      </c>
      <c r="J963" t="s">
        <v>356</v>
      </c>
      <c r="K963" s="2">
        <v>572722</v>
      </c>
      <c r="L963" s="2">
        <v>572722</v>
      </c>
      <c r="M963" t="str">
        <f>IFERROR(IF(VLOOKUP(LEFT(B963,2),'Humanitarian codes'!$A$2:$A$10,1,FALSE)=LEFT(B963,2),"Yes","Error"),"No")</f>
        <v>Yes</v>
      </c>
    </row>
    <row r="964" spans="1:13" x14ac:dyDescent="0.25">
      <c r="A964">
        <v>2022</v>
      </c>
      <c r="B964" t="s">
        <v>5234</v>
      </c>
      <c r="C964" t="s">
        <v>5235</v>
      </c>
      <c r="D964" t="s">
        <v>9</v>
      </c>
      <c r="E964" t="s">
        <v>1650</v>
      </c>
      <c r="F964">
        <v>4500215912</v>
      </c>
      <c r="G964" t="s">
        <v>5236</v>
      </c>
      <c r="H964" t="s">
        <v>3334</v>
      </c>
      <c r="I964" t="s">
        <v>5237</v>
      </c>
      <c r="J964" t="s">
        <v>1650</v>
      </c>
      <c r="K964" s="2">
        <v>449192</v>
      </c>
      <c r="L964" s="2">
        <v>449192</v>
      </c>
      <c r="M964" t="str">
        <f>IFERROR(IF(VLOOKUP(LEFT(B964,2),'Humanitarian codes'!$A$2:$A$10,1,FALSE)=LEFT(B964,2),"Yes","Error"),"No")</f>
        <v>Yes</v>
      </c>
    </row>
    <row r="965" spans="1:13" x14ac:dyDescent="0.25">
      <c r="A965">
        <v>2022</v>
      </c>
      <c r="B965" t="s">
        <v>3020</v>
      </c>
      <c r="C965" t="s">
        <v>5238</v>
      </c>
      <c r="D965" t="s">
        <v>9</v>
      </c>
      <c r="E965" t="s">
        <v>253</v>
      </c>
      <c r="F965">
        <v>4500188498</v>
      </c>
      <c r="G965" t="s">
        <v>4627</v>
      </c>
      <c r="H965" t="s">
        <v>3334</v>
      </c>
      <c r="I965" t="s">
        <v>1362</v>
      </c>
      <c r="J965" t="s">
        <v>253</v>
      </c>
      <c r="K965" s="2">
        <v>45823</v>
      </c>
      <c r="L965" s="2">
        <v>126530</v>
      </c>
      <c r="M965" t="str">
        <f>IFERROR(IF(VLOOKUP(LEFT(B965,2),'Humanitarian codes'!$A$2:$A$10,1,FALSE)=LEFT(B965,2),"Yes","Error"),"No")</f>
        <v>Yes</v>
      </c>
    </row>
    <row r="966" spans="1:13" x14ac:dyDescent="0.25">
      <c r="A966">
        <v>2022</v>
      </c>
      <c r="B966" t="s">
        <v>5239</v>
      </c>
      <c r="C966" t="s">
        <v>5240</v>
      </c>
      <c r="D966" t="s">
        <v>9</v>
      </c>
      <c r="E966" t="s">
        <v>486</v>
      </c>
      <c r="F966">
        <v>4500260256</v>
      </c>
      <c r="G966" t="s">
        <v>5241</v>
      </c>
      <c r="H966" t="s">
        <v>3334</v>
      </c>
      <c r="I966" t="s">
        <v>5242</v>
      </c>
      <c r="J966" t="s">
        <v>486</v>
      </c>
      <c r="K966" s="2">
        <v>20514</v>
      </c>
      <c r="L966" s="2">
        <v>20514</v>
      </c>
      <c r="M966" t="str">
        <f>IFERROR(IF(VLOOKUP(LEFT(B966,2),'Humanitarian codes'!$A$2:$A$10,1,FALSE)=LEFT(B966,2),"Yes","Error"),"No")</f>
        <v>Yes</v>
      </c>
    </row>
    <row r="967" spans="1:13" x14ac:dyDescent="0.25">
      <c r="A967">
        <v>2022</v>
      </c>
      <c r="B967" t="s">
        <v>5243</v>
      </c>
      <c r="C967" t="s">
        <v>5244</v>
      </c>
      <c r="D967" t="s">
        <v>9</v>
      </c>
      <c r="E967" t="s">
        <v>175</v>
      </c>
      <c r="F967">
        <v>4500184490</v>
      </c>
      <c r="G967" t="s">
        <v>5245</v>
      </c>
      <c r="H967" t="s">
        <v>3334</v>
      </c>
      <c r="I967" t="s">
        <v>5246</v>
      </c>
      <c r="J967" t="s">
        <v>175</v>
      </c>
      <c r="K967" s="2">
        <v>880000</v>
      </c>
      <c r="L967" s="2">
        <v>880000</v>
      </c>
      <c r="M967" t="str">
        <f>IFERROR(IF(VLOOKUP(LEFT(B967,2),'Humanitarian codes'!$A$2:$A$10,1,FALSE)=LEFT(B967,2),"Yes","Error"),"No")</f>
        <v>Yes</v>
      </c>
    </row>
    <row r="968" spans="1:13" x14ac:dyDescent="0.25">
      <c r="A968">
        <v>2022</v>
      </c>
      <c r="B968" t="s">
        <v>5247</v>
      </c>
      <c r="C968" t="s">
        <v>5248</v>
      </c>
      <c r="D968" t="s">
        <v>9</v>
      </c>
      <c r="E968" t="s">
        <v>594</v>
      </c>
      <c r="F968">
        <v>4500275932</v>
      </c>
      <c r="G968" t="s">
        <v>5249</v>
      </c>
      <c r="H968" t="s">
        <v>3334</v>
      </c>
      <c r="I968" t="s">
        <v>5250</v>
      </c>
      <c r="J968" t="s">
        <v>594</v>
      </c>
      <c r="K968" s="2">
        <v>5835</v>
      </c>
      <c r="L968" s="2">
        <v>5835</v>
      </c>
      <c r="M968" t="str">
        <f>IFERROR(IF(VLOOKUP(LEFT(B968,2),'Humanitarian codes'!$A$2:$A$10,1,FALSE)=LEFT(B968,2),"Yes","Error"),"No")</f>
        <v>Yes</v>
      </c>
    </row>
    <row r="969" spans="1:13" x14ac:dyDescent="0.25">
      <c r="A969">
        <v>2022</v>
      </c>
      <c r="B969" t="s">
        <v>5251</v>
      </c>
      <c r="C969" t="s">
        <v>5252</v>
      </c>
      <c r="D969" t="s">
        <v>9</v>
      </c>
      <c r="E969" t="s">
        <v>155</v>
      </c>
      <c r="F969">
        <v>4500243368</v>
      </c>
      <c r="G969" t="s">
        <v>5253</v>
      </c>
      <c r="H969" t="s">
        <v>3334</v>
      </c>
      <c r="I969" t="s">
        <v>1656</v>
      </c>
      <c r="J969" t="s">
        <v>155</v>
      </c>
      <c r="K969" s="2">
        <v>147081</v>
      </c>
      <c r="L969" s="2">
        <v>147081</v>
      </c>
      <c r="M969" t="str">
        <f>IFERROR(IF(VLOOKUP(LEFT(B969,2),'Humanitarian codes'!$A$2:$A$10,1,FALSE)=LEFT(B969,2),"Yes","Error"),"No")</f>
        <v>Yes</v>
      </c>
    </row>
    <row r="970" spans="1:13" x14ac:dyDescent="0.25">
      <c r="A970">
        <v>2022</v>
      </c>
      <c r="B970" t="s">
        <v>5251</v>
      </c>
      <c r="C970" t="s">
        <v>5252</v>
      </c>
      <c r="D970" t="s">
        <v>9</v>
      </c>
      <c r="E970" t="s">
        <v>155</v>
      </c>
      <c r="F970">
        <v>4500272784</v>
      </c>
      <c r="G970" t="s">
        <v>5254</v>
      </c>
      <c r="H970" t="s">
        <v>3334</v>
      </c>
      <c r="I970" t="s">
        <v>1543</v>
      </c>
      <c r="J970" t="s">
        <v>155</v>
      </c>
      <c r="K970" s="2">
        <v>142378</v>
      </c>
      <c r="L970" s="2">
        <v>142378</v>
      </c>
      <c r="M970" t="str">
        <f>IFERROR(IF(VLOOKUP(LEFT(B970,2),'Humanitarian codes'!$A$2:$A$10,1,FALSE)=LEFT(B970,2),"Yes","Error"),"No")</f>
        <v>Yes</v>
      </c>
    </row>
    <row r="971" spans="1:13" x14ac:dyDescent="0.25">
      <c r="A971">
        <v>2022</v>
      </c>
      <c r="B971" t="s">
        <v>5255</v>
      </c>
      <c r="C971" t="s">
        <v>5256</v>
      </c>
      <c r="D971" t="s">
        <v>30</v>
      </c>
      <c r="E971" t="s">
        <v>128</v>
      </c>
      <c r="F971">
        <v>4500194381</v>
      </c>
      <c r="G971" t="s">
        <v>3992</v>
      </c>
      <c r="H971" t="s">
        <v>3334</v>
      </c>
      <c r="I971" t="s">
        <v>3993</v>
      </c>
      <c r="J971" t="s">
        <v>128</v>
      </c>
      <c r="K971" s="2">
        <v>4995</v>
      </c>
      <c r="L971" s="2">
        <v>40200</v>
      </c>
      <c r="M971" t="str">
        <f>IFERROR(IF(VLOOKUP(LEFT(B971,2),'Humanitarian codes'!$A$2:$A$10,1,FALSE)=LEFT(B971,2),"Yes","Error"),"No")</f>
        <v>No</v>
      </c>
    </row>
    <row r="972" spans="1:13" x14ac:dyDescent="0.25">
      <c r="A972">
        <v>2022</v>
      </c>
      <c r="B972" t="s">
        <v>5255</v>
      </c>
      <c r="C972" t="s">
        <v>5256</v>
      </c>
      <c r="D972" t="s">
        <v>30</v>
      </c>
      <c r="E972" t="s">
        <v>128</v>
      </c>
      <c r="F972">
        <v>4500205509</v>
      </c>
      <c r="G972" t="s">
        <v>5257</v>
      </c>
      <c r="H972" t="s">
        <v>3334</v>
      </c>
      <c r="I972" t="s">
        <v>4783</v>
      </c>
      <c r="J972" t="s">
        <v>128</v>
      </c>
      <c r="K972" s="2">
        <v>25000</v>
      </c>
      <c r="L972" s="2">
        <v>25000</v>
      </c>
      <c r="M972" t="str">
        <f>IFERROR(IF(VLOOKUP(LEFT(B972,2),'Humanitarian codes'!$A$2:$A$10,1,FALSE)=LEFT(B972,2),"Yes","Error"),"No")</f>
        <v>No</v>
      </c>
    </row>
    <row r="973" spans="1:13" x14ac:dyDescent="0.25">
      <c r="A973">
        <v>2022</v>
      </c>
      <c r="B973" t="s">
        <v>2489</v>
      </c>
      <c r="C973" t="s">
        <v>2490</v>
      </c>
      <c r="D973" t="s">
        <v>30</v>
      </c>
      <c r="E973" t="s">
        <v>128</v>
      </c>
      <c r="F973">
        <v>4500186034</v>
      </c>
      <c r="G973" t="s">
        <v>3980</v>
      </c>
      <c r="H973" t="s">
        <v>3334</v>
      </c>
      <c r="I973" t="s">
        <v>3981</v>
      </c>
      <c r="J973" t="s">
        <v>128</v>
      </c>
      <c r="K973" s="2">
        <v>4000</v>
      </c>
      <c r="L973" s="2">
        <v>35999</v>
      </c>
      <c r="M973" t="str">
        <f>IFERROR(IF(VLOOKUP(LEFT(B973,2),'Humanitarian codes'!$A$2:$A$10,1,FALSE)=LEFT(B973,2),"Yes","Error"),"No")</f>
        <v>No</v>
      </c>
    </row>
    <row r="974" spans="1:13" x14ac:dyDescent="0.25">
      <c r="A974">
        <v>2022</v>
      </c>
      <c r="B974" t="s">
        <v>2489</v>
      </c>
      <c r="C974" t="s">
        <v>2490</v>
      </c>
      <c r="D974" t="s">
        <v>30</v>
      </c>
      <c r="E974" t="s">
        <v>128</v>
      </c>
      <c r="F974">
        <v>4500199801</v>
      </c>
      <c r="G974" t="s">
        <v>4564</v>
      </c>
      <c r="H974" t="s">
        <v>3334</v>
      </c>
      <c r="I974" t="s">
        <v>436</v>
      </c>
      <c r="J974" t="s">
        <v>128</v>
      </c>
      <c r="K974" s="2">
        <v>207315</v>
      </c>
      <c r="L974" s="2">
        <v>276315</v>
      </c>
      <c r="M974" t="str">
        <f>IFERROR(IF(VLOOKUP(LEFT(B974,2),'Humanitarian codes'!$A$2:$A$10,1,FALSE)=LEFT(B974,2),"Yes","Error"),"No")</f>
        <v>No</v>
      </c>
    </row>
    <row r="975" spans="1:13" x14ac:dyDescent="0.25">
      <c r="A975">
        <v>2022</v>
      </c>
      <c r="B975" t="s">
        <v>2489</v>
      </c>
      <c r="C975" t="s">
        <v>2490</v>
      </c>
      <c r="D975" t="s">
        <v>30</v>
      </c>
      <c r="E975" t="s">
        <v>128</v>
      </c>
      <c r="F975">
        <v>4500227811</v>
      </c>
      <c r="G975" t="s">
        <v>5258</v>
      </c>
      <c r="H975" t="s">
        <v>3334</v>
      </c>
      <c r="I975" t="s">
        <v>436</v>
      </c>
      <c r="J975" t="s">
        <v>128</v>
      </c>
      <c r="K975" s="2">
        <v>80115</v>
      </c>
      <c r="L975" s="2">
        <v>80115</v>
      </c>
      <c r="M975" t="str">
        <f>IFERROR(IF(VLOOKUP(LEFT(B975,2),'Humanitarian codes'!$A$2:$A$10,1,FALSE)=LEFT(B975,2),"Yes","Error"),"No")</f>
        <v>No</v>
      </c>
    </row>
    <row r="976" spans="1:13" x14ac:dyDescent="0.25">
      <c r="A976">
        <v>2022</v>
      </c>
      <c r="B976" t="s">
        <v>1386</v>
      </c>
      <c r="C976" t="s">
        <v>1387</v>
      </c>
      <c r="D976" t="s">
        <v>30</v>
      </c>
      <c r="E976" t="s">
        <v>940</v>
      </c>
      <c r="F976">
        <v>4500249785</v>
      </c>
      <c r="G976" t="s">
        <v>5259</v>
      </c>
      <c r="H976" t="s">
        <v>3334</v>
      </c>
      <c r="I976" t="s">
        <v>2201</v>
      </c>
      <c r="J976" t="s">
        <v>940</v>
      </c>
      <c r="K976" s="2">
        <v>44686</v>
      </c>
      <c r="L976" s="2">
        <v>44686</v>
      </c>
      <c r="M976" t="str">
        <f>IFERROR(IF(VLOOKUP(LEFT(B976,2),'Humanitarian codes'!$A$2:$A$10,1,FALSE)=LEFT(B976,2),"Yes","Error"),"No")</f>
        <v>No</v>
      </c>
    </row>
    <row r="977" spans="1:13" x14ac:dyDescent="0.25">
      <c r="A977">
        <v>2022</v>
      </c>
      <c r="B977" t="s">
        <v>396</v>
      </c>
      <c r="C977" t="s">
        <v>397</v>
      </c>
      <c r="D977" t="s">
        <v>30</v>
      </c>
      <c r="E977" t="s">
        <v>150</v>
      </c>
      <c r="F977">
        <v>4500220987</v>
      </c>
      <c r="G977" t="s">
        <v>4884</v>
      </c>
      <c r="H977" t="s">
        <v>3334</v>
      </c>
      <c r="I977" t="s">
        <v>4885</v>
      </c>
      <c r="J977" t="s">
        <v>150</v>
      </c>
      <c r="K977" s="2">
        <v>63726</v>
      </c>
      <c r="L977" s="2">
        <v>127453</v>
      </c>
      <c r="M977" t="str">
        <f>IFERROR(IF(VLOOKUP(LEFT(B977,2),'Humanitarian codes'!$A$2:$A$10,1,FALSE)=LEFT(B977,2),"Yes","Error"),"No")</f>
        <v>No</v>
      </c>
    </row>
    <row r="978" spans="1:13" x14ac:dyDescent="0.25">
      <c r="A978">
        <v>2022</v>
      </c>
      <c r="B978" t="s">
        <v>1389</v>
      </c>
      <c r="C978" t="s">
        <v>1390</v>
      </c>
      <c r="D978" t="s">
        <v>30</v>
      </c>
      <c r="E978" t="s">
        <v>175</v>
      </c>
      <c r="F978">
        <v>4500222216</v>
      </c>
      <c r="G978" t="s">
        <v>5260</v>
      </c>
      <c r="H978" t="s">
        <v>3334</v>
      </c>
      <c r="I978" t="s">
        <v>2492</v>
      </c>
      <c r="J978" t="s">
        <v>985</v>
      </c>
      <c r="K978" s="2">
        <v>259147</v>
      </c>
      <c r="L978" s="2">
        <v>259147</v>
      </c>
      <c r="M978" t="str">
        <f>IFERROR(IF(VLOOKUP(LEFT(B978,2),'Humanitarian codes'!$A$2:$A$10,1,FALSE)=LEFT(B978,2),"Yes","Error"),"No")</f>
        <v>No</v>
      </c>
    </row>
    <row r="979" spans="1:13" x14ac:dyDescent="0.25">
      <c r="A979">
        <v>2022</v>
      </c>
      <c r="B979" t="s">
        <v>1389</v>
      </c>
      <c r="C979" t="s">
        <v>1390</v>
      </c>
      <c r="D979" t="s">
        <v>30</v>
      </c>
      <c r="E979" t="s">
        <v>175</v>
      </c>
      <c r="F979">
        <v>4500260099</v>
      </c>
      <c r="G979" t="s">
        <v>5261</v>
      </c>
      <c r="H979" t="s">
        <v>3334</v>
      </c>
      <c r="I979" t="s">
        <v>5262</v>
      </c>
      <c r="J979" t="s">
        <v>175</v>
      </c>
      <c r="K979" s="2">
        <v>492706</v>
      </c>
      <c r="L979" s="2">
        <v>492706</v>
      </c>
      <c r="M979" t="str">
        <f>IFERROR(IF(VLOOKUP(LEFT(B979,2),'Humanitarian codes'!$A$2:$A$10,1,FALSE)=LEFT(B979,2),"Yes","Error"),"No")</f>
        <v>No</v>
      </c>
    </row>
    <row r="980" spans="1:13" x14ac:dyDescent="0.25">
      <c r="A980">
        <v>2022</v>
      </c>
      <c r="B980" t="s">
        <v>5263</v>
      </c>
      <c r="C980" t="s">
        <v>5264</v>
      </c>
      <c r="D980" t="s">
        <v>30</v>
      </c>
      <c r="E980" t="s">
        <v>814</v>
      </c>
      <c r="F980">
        <v>4500186980</v>
      </c>
      <c r="G980" t="s">
        <v>5265</v>
      </c>
      <c r="H980" t="s">
        <v>3334</v>
      </c>
      <c r="I980" t="s">
        <v>115</v>
      </c>
      <c r="J980" t="s">
        <v>3842</v>
      </c>
      <c r="K980" s="2">
        <v>1701</v>
      </c>
      <c r="L980" s="2">
        <v>1701</v>
      </c>
      <c r="M980" t="str">
        <f>IFERROR(IF(VLOOKUP(LEFT(B980,2),'Humanitarian codes'!$A$2:$A$10,1,FALSE)=LEFT(B980,2),"Yes","Error"),"No")</f>
        <v>Yes</v>
      </c>
    </row>
    <row r="981" spans="1:13" x14ac:dyDescent="0.25">
      <c r="A981">
        <v>2022</v>
      </c>
      <c r="B981" t="s">
        <v>5263</v>
      </c>
      <c r="C981" t="s">
        <v>5264</v>
      </c>
      <c r="D981" t="s">
        <v>30</v>
      </c>
      <c r="E981" t="s">
        <v>814</v>
      </c>
      <c r="F981">
        <v>4500195774</v>
      </c>
      <c r="G981" t="s">
        <v>5266</v>
      </c>
      <c r="H981" t="s">
        <v>3334</v>
      </c>
      <c r="I981" t="s">
        <v>112</v>
      </c>
      <c r="J981" t="s">
        <v>3842</v>
      </c>
      <c r="K981" s="2">
        <v>2577</v>
      </c>
      <c r="L981" s="2">
        <v>2577</v>
      </c>
      <c r="M981" t="str">
        <f>IFERROR(IF(VLOOKUP(LEFT(B981,2),'Humanitarian codes'!$A$2:$A$10,1,FALSE)=LEFT(B981,2),"Yes","Error"),"No")</f>
        <v>Yes</v>
      </c>
    </row>
    <row r="982" spans="1:13" x14ac:dyDescent="0.25">
      <c r="A982">
        <v>2022</v>
      </c>
      <c r="B982" t="s">
        <v>5263</v>
      </c>
      <c r="C982" t="s">
        <v>5264</v>
      </c>
      <c r="D982" t="s">
        <v>30</v>
      </c>
      <c r="E982" t="s">
        <v>814</v>
      </c>
      <c r="F982">
        <v>4500201322</v>
      </c>
      <c r="G982" t="s">
        <v>5267</v>
      </c>
      <c r="H982" t="s">
        <v>3334</v>
      </c>
      <c r="I982" t="s">
        <v>112</v>
      </c>
      <c r="J982" t="s">
        <v>3842</v>
      </c>
      <c r="K982" s="2">
        <v>14372</v>
      </c>
      <c r="L982" s="2">
        <v>14372</v>
      </c>
      <c r="M982" t="str">
        <f>IFERROR(IF(VLOOKUP(LEFT(B982,2),'Humanitarian codes'!$A$2:$A$10,1,FALSE)=LEFT(B982,2),"Yes","Error"),"No")</f>
        <v>Yes</v>
      </c>
    </row>
    <row r="983" spans="1:13" x14ac:dyDescent="0.25">
      <c r="A983">
        <v>2022</v>
      </c>
      <c r="B983" t="s">
        <v>5263</v>
      </c>
      <c r="C983" t="s">
        <v>5264</v>
      </c>
      <c r="D983" t="s">
        <v>30</v>
      </c>
      <c r="E983" t="s">
        <v>814</v>
      </c>
      <c r="F983">
        <v>4500216358</v>
      </c>
      <c r="G983" t="s">
        <v>3911</v>
      </c>
      <c r="H983" t="s">
        <v>3334</v>
      </c>
      <c r="I983" t="s">
        <v>112</v>
      </c>
      <c r="J983" t="s">
        <v>3842</v>
      </c>
      <c r="K983" s="2">
        <v>13391</v>
      </c>
      <c r="L983" s="2">
        <v>17395</v>
      </c>
      <c r="M983" t="str">
        <f>IFERROR(IF(VLOOKUP(LEFT(B983,2),'Humanitarian codes'!$A$2:$A$10,1,FALSE)=LEFT(B983,2),"Yes","Error"),"No")</f>
        <v>Yes</v>
      </c>
    </row>
    <row r="984" spans="1:13" x14ac:dyDescent="0.25">
      <c r="A984">
        <v>2022</v>
      </c>
      <c r="B984" t="s">
        <v>5263</v>
      </c>
      <c r="C984" t="s">
        <v>5264</v>
      </c>
      <c r="D984" t="s">
        <v>30</v>
      </c>
      <c r="E984" t="s">
        <v>814</v>
      </c>
      <c r="F984">
        <v>4500230940</v>
      </c>
      <c r="G984" t="s">
        <v>5268</v>
      </c>
      <c r="H984" t="s">
        <v>3334</v>
      </c>
      <c r="I984" t="s">
        <v>119</v>
      </c>
      <c r="J984" t="s">
        <v>3842</v>
      </c>
      <c r="K984" s="2">
        <v>4697</v>
      </c>
      <c r="L984" s="2">
        <v>10437</v>
      </c>
      <c r="M984" t="str">
        <f>IFERROR(IF(VLOOKUP(LEFT(B984,2),'Humanitarian codes'!$A$2:$A$10,1,FALSE)=LEFT(B984,2),"Yes","Error"),"No")</f>
        <v>Yes</v>
      </c>
    </row>
    <row r="985" spans="1:13" x14ac:dyDescent="0.25">
      <c r="A985">
        <v>2022</v>
      </c>
      <c r="B985" t="s">
        <v>5263</v>
      </c>
      <c r="C985" t="s">
        <v>5264</v>
      </c>
      <c r="D985" t="s">
        <v>30</v>
      </c>
      <c r="E985" t="s">
        <v>814</v>
      </c>
      <c r="F985">
        <v>4500230950</v>
      </c>
      <c r="G985" t="s">
        <v>5269</v>
      </c>
      <c r="H985" t="s">
        <v>3334</v>
      </c>
      <c r="I985" t="s">
        <v>117</v>
      </c>
      <c r="J985" t="s">
        <v>3842</v>
      </c>
      <c r="K985" s="2">
        <v>6510</v>
      </c>
      <c r="L985" s="2">
        <v>14467</v>
      </c>
      <c r="M985" t="str">
        <f>IFERROR(IF(VLOOKUP(LEFT(B985,2),'Humanitarian codes'!$A$2:$A$10,1,FALSE)=LEFT(B985,2),"Yes","Error"),"No")</f>
        <v>Yes</v>
      </c>
    </row>
    <row r="986" spans="1:13" x14ac:dyDescent="0.25">
      <c r="A986">
        <v>2022</v>
      </c>
      <c r="B986" t="s">
        <v>5263</v>
      </c>
      <c r="C986" t="s">
        <v>5264</v>
      </c>
      <c r="D986" t="s">
        <v>30</v>
      </c>
      <c r="E986" t="s">
        <v>814</v>
      </c>
      <c r="F986">
        <v>4500230953</v>
      </c>
      <c r="G986" t="s">
        <v>5270</v>
      </c>
      <c r="H986" t="s">
        <v>3334</v>
      </c>
      <c r="I986" t="s">
        <v>116</v>
      </c>
      <c r="J986" t="s">
        <v>3842</v>
      </c>
      <c r="K986" s="2">
        <v>4337</v>
      </c>
      <c r="L986" s="2">
        <v>9638</v>
      </c>
      <c r="M986" t="str">
        <f>IFERROR(IF(VLOOKUP(LEFT(B986,2),'Humanitarian codes'!$A$2:$A$10,1,FALSE)=LEFT(B986,2),"Yes","Error"),"No")</f>
        <v>Yes</v>
      </c>
    </row>
    <row r="987" spans="1:13" x14ac:dyDescent="0.25">
      <c r="A987">
        <v>2022</v>
      </c>
      <c r="B987" t="s">
        <v>5263</v>
      </c>
      <c r="C987" t="s">
        <v>5264</v>
      </c>
      <c r="D987" t="s">
        <v>30</v>
      </c>
      <c r="E987" t="s">
        <v>814</v>
      </c>
      <c r="F987">
        <v>4500230962</v>
      </c>
      <c r="G987" t="s">
        <v>5271</v>
      </c>
      <c r="H987" t="s">
        <v>3334</v>
      </c>
      <c r="I987" t="s">
        <v>116</v>
      </c>
      <c r="J987" t="s">
        <v>3842</v>
      </c>
      <c r="K987" s="2">
        <v>4923</v>
      </c>
      <c r="L987" s="2">
        <v>10939</v>
      </c>
      <c r="M987" t="str">
        <f>IFERROR(IF(VLOOKUP(LEFT(B987,2),'Humanitarian codes'!$A$2:$A$10,1,FALSE)=LEFT(B987,2),"Yes","Error"),"No")</f>
        <v>Yes</v>
      </c>
    </row>
    <row r="988" spans="1:13" x14ac:dyDescent="0.25">
      <c r="A988">
        <v>2022</v>
      </c>
      <c r="B988" t="s">
        <v>5263</v>
      </c>
      <c r="C988" t="s">
        <v>5264</v>
      </c>
      <c r="D988" t="s">
        <v>30</v>
      </c>
      <c r="E988" t="s">
        <v>814</v>
      </c>
      <c r="F988">
        <v>4500230975</v>
      </c>
      <c r="G988" t="s">
        <v>5272</v>
      </c>
      <c r="H988" t="s">
        <v>3334</v>
      </c>
      <c r="I988" t="s">
        <v>5273</v>
      </c>
      <c r="J988" t="s">
        <v>3842</v>
      </c>
      <c r="K988" s="2">
        <v>4519</v>
      </c>
      <c r="L988" s="2">
        <v>10043</v>
      </c>
      <c r="M988" t="str">
        <f>IFERROR(IF(VLOOKUP(LEFT(B988,2),'Humanitarian codes'!$A$2:$A$10,1,FALSE)=LEFT(B988,2),"Yes","Error"),"No")</f>
        <v>Yes</v>
      </c>
    </row>
    <row r="989" spans="1:13" x14ac:dyDescent="0.25">
      <c r="A989">
        <v>2022</v>
      </c>
      <c r="B989" t="s">
        <v>5263</v>
      </c>
      <c r="C989" t="s">
        <v>5264</v>
      </c>
      <c r="D989" t="s">
        <v>30</v>
      </c>
      <c r="E989" t="s">
        <v>814</v>
      </c>
      <c r="F989">
        <v>4500230979</v>
      </c>
      <c r="G989" t="s">
        <v>5274</v>
      </c>
      <c r="H989" t="s">
        <v>3334</v>
      </c>
      <c r="I989" t="s">
        <v>115</v>
      </c>
      <c r="J989" t="s">
        <v>3842</v>
      </c>
      <c r="K989" s="2">
        <v>4555</v>
      </c>
      <c r="L989" s="2">
        <v>10123</v>
      </c>
      <c r="M989" t="str">
        <f>IFERROR(IF(VLOOKUP(LEFT(B989,2),'Humanitarian codes'!$A$2:$A$10,1,FALSE)=LEFT(B989,2),"Yes","Error"),"No")</f>
        <v>Yes</v>
      </c>
    </row>
    <row r="990" spans="1:13" x14ac:dyDescent="0.25">
      <c r="A990">
        <v>2022</v>
      </c>
      <c r="B990" t="s">
        <v>5263</v>
      </c>
      <c r="C990" t="s">
        <v>5264</v>
      </c>
      <c r="D990" t="s">
        <v>30</v>
      </c>
      <c r="E990" t="s">
        <v>814</v>
      </c>
      <c r="F990">
        <v>4500230987</v>
      </c>
      <c r="G990" t="s">
        <v>5275</v>
      </c>
      <c r="H990" t="s">
        <v>3334</v>
      </c>
      <c r="I990" t="s">
        <v>115</v>
      </c>
      <c r="J990" t="s">
        <v>3842</v>
      </c>
      <c r="K990" s="2">
        <v>7785</v>
      </c>
      <c r="L990" s="2">
        <v>17299</v>
      </c>
      <c r="M990" t="str">
        <f>IFERROR(IF(VLOOKUP(LEFT(B990,2),'Humanitarian codes'!$A$2:$A$10,1,FALSE)=LEFT(B990,2),"Yes","Error"),"No")</f>
        <v>Yes</v>
      </c>
    </row>
    <row r="991" spans="1:13" x14ac:dyDescent="0.25">
      <c r="A991">
        <v>2022</v>
      </c>
      <c r="B991" t="s">
        <v>5263</v>
      </c>
      <c r="C991" t="s">
        <v>5264</v>
      </c>
      <c r="D991" t="s">
        <v>30</v>
      </c>
      <c r="E991" t="s">
        <v>814</v>
      </c>
      <c r="F991">
        <v>4500230992</v>
      </c>
      <c r="G991" t="s">
        <v>5276</v>
      </c>
      <c r="H991" t="s">
        <v>3334</v>
      </c>
      <c r="I991" t="s">
        <v>118</v>
      </c>
      <c r="J991" t="s">
        <v>3842</v>
      </c>
      <c r="K991" s="2">
        <v>4481</v>
      </c>
      <c r="L991" s="2">
        <v>9957</v>
      </c>
      <c r="M991" t="str">
        <f>IFERROR(IF(VLOOKUP(LEFT(B991,2),'Humanitarian codes'!$A$2:$A$10,1,FALSE)=LEFT(B991,2),"Yes","Error"),"No")</f>
        <v>Yes</v>
      </c>
    </row>
    <row r="992" spans="1:13" x14ac:dyDescent="0.25">
      <c r="A992">
        <v>2022</v>
      </c>
      <c r="B992" t="s">
        <v>5263</v>
      </c>
      <c r="C992" t="s">
        <v>5264</v>
      </c>
      <c r="D992" t="s">
        <v>30</v>
      </c>
      <c r="E992" t="s">
        <v>814</v>
      </c>
      <c r="F992">
        <v>4500232453</v>
      </c>
      <c r="G992" t="s">
        <v>5277</v>
      </c>
      <c r="H992" t="s">
        <v>3334</v>
      </c>
      <c r="I992" t="s">
        <v>112</v>
      </c>
      <c r="J992" t="s">
        <v>3842</v>
      </c>
      <c r="K992" s="2">
        <v>6212</v>
      </c>
      <c r="L992" s="2">
        <v>13803</v>
      </c>
      <c r="M992" t="str">
        <f>IFERROR(IF(VLOOKUP(LEFT(B992,2),'Humanitarian codes'!$A$2:$A$10,1,FALSE)=LEFT(B992,2),"Yes","Error"),"No")</f>
        <v>Yes</v>
      </c>
    </row>
    <row r="993" spans="1:13" x14ac:dyDescent="0.25">
      <c r="A993">
        <v>2022</v>
      </c>
      <c r="B993" t="s">
        <v>5263</v>
      </c>
      <c r="C993" t="s">
        <v>5264</v>
      </c>
      <c r="D993" t="s">
        <v>30</v>
      </c>
      <c r="E993" t="s">
        <v>814</v>
      </c>
      <c r="F993">
        <v>4500232457</v>
      </c>
      <c r="G993" t="s">
        <v>5278</v>
      </c>
      <c r="H993" t="s">
        <v>3334</v>
      </c>
      <c r="I993" t="s">
        <v>112</v>
      </c>
      <c r="J993" t="s">
        <v>3842</v>
      </c>
      <c r="K993" s="2">
        <v>5822</v>
      </c>
      <c r="L993" s="2">
        <v>12939</v>
      </c>
      <c r="M993" t="str">
        <f>IFERROR(IF(VLOOKUP(LEFT(B993,2),'Humanitarian codes'!$A$2:$A$10,1,FALSE)=LEFT(B993,2),"Yes","Error"),"No")</f>
        <v>Yes</v>
      </c>
    </row>
    <row r="994" spans="1:13" x14ac:dyDescent="0.25">
      <c r="A994">
        <v>2022</v>
      </c>
      <c r="B994" t="s">
        <v>5263</v>
      </c>
      <c r="C994" t="s">
        <v>5264</v>
      </c>
      <c r="D994" t="s">
        <v>30</v>
      </c>
      <c r="E994" t="s">
        <v>814</v>
      </c>
      <c r="F994">
        <v>4500234309</v>
      </c>
      <c r="G994" t="s">
        <v>5279</v>
      </c>
      <c r="H994" t="s">
        <v>3334</v>
      </c>
      <c r="I994" t="s">
        <v>117</v>
      </c>
      <c r="J994" t="s">
        <v>3842</v>
      </c>
      <c r="K994" s="2">
        <v>6185</v>
      </c>
      <c r="L994" s="2">
        <v>6185</v>
      </c>
      <c r="M994" t="str">
        <f>IFERROR(IF(VLOOKUP(LEFT(B994,2),'Humanitarian codes'!$A$2:$A$10,1,FALSE)=LEFT(B994,2),"Yes","Error"),"No")</f>
        <v>Yes</v>
      </c>
    </row>
    <row r="995" spans="1:13" x14ac:dyDescent="0.25">
      <c r="A995">
        <v>2022</v>
      </c>
      <c r="B995" t="s">
        <v>5263</v>
      </c>
      <c r="C995" t="s">
        <v>5264</v>
      </c>
      <c r="D995" t="s">
        <v>30</v>
      </c>
      <c r="E995" t="s">
        <v>814</v>
      </c>
      <c r="F995">
        <v>4500234464</v>
      </c>
      <c r="G995" t="s">
        <v>5280</v>
      </c>
      <c r="H995" t="s">
        <v>3334</v>
      </c>
      <c r="I995" t="s">
        <v>112</v>
      </c>
      <c r="J995" t="s">
        <v>3842</v>
      </c>
      <c r="K995" s="2">
        <v>6956</v>
      </c>
      <c r="L995" s="2">
        <v>6956</v>
      </c>
      <c r="M995" t="str">
        <f>IFERROR(IF(VLOOKUP(LEFT(B995,2),'Humanitarian codes'!$A$2:$A$10,1,FALSE)=LEFT(B995,2),"Yes","Error"),"No")</f>
        <v>Yes</v>
      </c>
    </row>
    <row r="996" spans="1:13" x14ac:dyDescent="0.25">
      <c r="A996">
        <v>2022</v>
      </c>
      <c r="B996" t="s">
        <v>5263</v>
      </c>
      <c r="C996" t="s">
        <v>5264</v>
      </c>
      <c r="D996" t="s">
        <v>30</v>
      </c>
      <c r="E996" t="s">
        <v>814</v>
      </c>
      <c r="F996">
        <v>4500235625</v>
      </c>
      <c r="G996" t="s">
        <v>5281</v>
      </c>
      <c r="H996" t="s">
        <v>3334</v>
      </c>
      <c r="I996" t="s">
        <v>1721</v>
      </c>
      <c r="J996" t="s">
        <v>3842</v>
      </c>
      <c r="K996" s="2">
        <v>3139</v>
      </c>
      <c r="L996" s="2">
        <v>6975</v>
      </c>
      <c r="M996" t="str">
        <f>IFERROR(IF(VLOOKUP(LEFT(B996,2),'Humanitarian codes'!$A$2:$A$10,1,FALSE)=LEFT(B996,2),"Yes","Error"),"No")</f>
        <v>Yes</v>
      </c>
    </row>
    <row r="997" spans="1:13" x14ac:dyDescent="0.25">
      <c r="A997">
        <v>2022</v>
      </c>
      <c r="B997" t="s">
        <v>5263</v>
      </c>
      <c r="C997" t="s">
        <v>5264</v>
      </c>
      <c r="D997" t="s">
        <v>30</v>
      </c>
      <c r="E997" t="s">
        <v>814</v>
      </c>
      <c r="F997">
        <v>4500237450</v>
      </c>
      <c r="G997" t="s">
        <v>5282</v>
      </c>
      <c r="H997" t="s">
        <v>3334</v>
      </c>
      <c r="I997" t="s">
        <v>120</v>
      </c>
      <c r="J997" t="s">
        <v>3842</v>
      </c>
      <c r="K997" s="2">
        <v>10988</v>
      </c>
      <c r="L997" s="2">
        <v>24417</v>
      </c>
      <c r="M997" t="str">
        <f>IFERROR(IF(VLOOKUP(LEFT(B997,2),'Humanitarian codes'!$A$2:$A$10,1,FALSE)=LEFT(B997,2),"Yes","Error"),"No")</f>
        <v>Yes</v>
      </c>
    </row>
    <row r="998" spans="1:13" x14ac:dyDescent="0.25">
      <c r="A998">
        <v>2022</v>
      </c>
      <c r="B998" t="s">
        <v>5263</v>
      </c>
      <c r="C998" t="s">
        <v>5264</v>
      </c>
      <c r="D998" t="s">
        <v>30</v>
      </c>
      <c r="E998" t="s">
        <v>814</v>
      </c>
      <c r="F998">
        <v>4500237462</v>
      </c>
      <c r="G998" t="s">
        <v>5283</v>
      </c>
      <c r="H998" t="s">
        <v>3334</v>
      </c>
      <c r="I998" t="s">
        <v>114</v>
      </c>
      <c r="J998" t="s">
        <v>3842</v>
      </c>
      <c r="K998" s="2">
        <v>3836</v>
      </c>
      <c r="L998" s="2">
        <v>8524</v>
      </c>
      <c r="M998" t="str">
        <f>IFERROR(IF(VLOOKUP(LEFT(B998,2),'Humanitarian codes'!$A$2:$A$10,1,FALSE)=LEFT(B998,2),"Yes","Error"),"No")</f>
        <v>Yes</v>
      </c>
    </row>
    <row r="999" spans="1:13" x14ac:dyDescent="0.25">
      <c r="A999">
        <v>2022</v>
      </c>
      <c r="B999" t="s">
        <v>5263</v>
      </c>
      <c r="C999" t="s">
        <v>5264</v>
      </c>
      <c r="D999" t="s">
        <v>30</v>
      </c>
      <c r="E999" t="s">
        <v>814</v>
      </c>
      <c r="F999">
        <v>4500242636</v>
      </c>
      <c r="G999" t="s">
        <v>5284</v>
      </c>
      <c r="H999" t="s">
        <v>3334</v>
      </c>
      <c r="I999" t="s">
        <v>115</v>
      </c>
      <c r="J999" t="s">
        <v>3842</v>
      </c>
      <c r="K999" s="2">
        <v>5454</v>
      </c>
      <c r="L999" s="2">
        <v>5454</v>
      </c>
      <c r="M999" t="str">
        <f>IFERROR(IF(VLOOKUP(LEFT(B999,2),'Humanitarian codes'!$A$2:$A$10,1,FALSE)=LEFT(B999,2),"Yes","Error"),"No")</f>
        <v>Yes</v>
      </c>
    </row>
    <row r="1000" spans="1:13" x14ac:dyDescent="0.25">
      <c r="A1000">
        <v>2022</v>
      </c>
      <c r="B1000" t="s">
        <v>5285</v>
      </c>
      <c r="C1000" t="s">
        <v>5286</v>
      </c>
      <c r="D1000" t="s">
        <v>30</v>
      </c>
      <c r="E1000" t="s">
        <v>132</v>
      </c>
      <c r="F1000">
        <v>4500210702</v>
      </c>
      <c r="G1000" t="s">
        <v>5287</v>
      </c>
      <c r="H1000" t="s">
        <v>3334</v>
      </c>
      <c r="I1000" t="s">
        <v>5288</v>
      </c>
      <c r="J1000" t="s">
        <v>132</v>
      </c>
      <c r="K1000" s="2">
        <v>72042</v>
      </c>
      <c r="L1000" s="2">
        <v>72042</v>
      </c>
      <c r="M1000" t="str">
        <f>IFERROR(IF(VLOOKUP(LEFT(B1000,2),'Humanitarian codes'!$A$2:$A$10,1,FALSE)=LEFT(B1000,2),"Yes","Error"),"No")</f>
        <v>Yes</v>
      </c>
    </row>
    <row r="1001" spans="1:13" x14ac:dyDescent="0.25">
      <c r="A1001">
        <v>2022</v>
      </c>
      <c r="B1001" t="s">
        <v>1411</v>
      </c>
      <c r="C1001" t="s">
        <v>3623</v>
      </c>
      <c r="D1001" t="s">
        <v>30</v>
      </c>
      <c r="E1001" t="s">
        <v>257</v>
      </c>
      <c r="F1001">
        <v>4500234848</v>
      </c>
      <c r="G1001" t="s">
        <v>3938</v>
      </c>
      <c r="H1001" t="s">
        <v>3334</v>
      </c>
      <c r="I1001" t="s">
        <v>3625</v>
      </c>
      <c r="J1001" t="s">
        <v>257</v>
      </c>
      <c r="K1001" s="2">
        <v>116656</v>
      </c>
      <c r="L1001" s="2">
        <v>137630</v>
      </c>
      <c r="M1001" t="str">
        <f>IFERROR(IF(VLOOKUP(LEFT(B1001,2),'Humanitarian codes'!$A$2:$A$10,1,FALSE)=LEFT(B1001,2),"Yes","Error"),"No")</f>
        <v>Yes</v>
      </c>
    </row>
    <row r="1002" spans="1:13" x14ac:dyDescent="0.25">
      <c r="A1002">
        <v>2022</v>
      </c>
      <c r="B1002" t="s">
        <v>1415</v>
      </c>
      <c r="C1002" t="s">
        <v>1416</v>
      </c>
      <c r="D1002" t="s">
        <v>30</v>
      </c>
      <c r="E1002" t="s">
        <v>814</v>
      </c>
      <c r="F1002">
        <v>4500230940</v>
      </c>
      <c r="G1002" t="s">
        <v>5268</v>
      </c>
      <c r="H1002" t="s">
        <v>3334</v>
      </c>
      <c r="I1002" t="s">
        <v>119</v>
      </c>
      <c r="J1002" t="s">
        <v>3842</v>
      </c>
      <c r="K1002" s="2">
        <v>3131</v>
      </c>
      <c r="L1002" s="2">
        <v>10437</v>
      </c>
      <c r="M1002" t="str">
        <f>IFERROR(IF(VLOOKUP(LEFT(B1002,2),'Humanitarian codes'!$A$2:$A$10,1,FALSE)=LEFT(B1002,2),"Yes","Error"),"No")</f>
        <v>Yes</v>
      </c>
    </row>
    <row r="1003" spans="1:13" x14ac:dyDescent="0.25">
      <c r="A1003">
        <v>2022</v>
      </c>
      <c r="B1003" t="s">
        <v>1415</v>
      </c>
      <c r="C1003" t="s">
        <v>1416</v>
      </c>
      <c r="D1003" t="s">
        <v>30</v>
      </c>
      <c r="E1003" t="s">
        <v>814</v>
      </c>
      <c r="F1003">
        <v>4500230950</v>
      </c>
      <c r="G1003" t="s">
        <v>5269</v>
      </c>
      <c r="H1003" t="s">
        <v>3334</v>
      </c>
      <c r="I1003" t="s">
        <v>117</v>
      </c>
      <c r="J1003" t="s">
        <v>3842</v>
      </c>
      <c r="K1003" s="2">
        <v>4340</v>
      </c>
      <c r="L1003" s="2">
        <v>14467</v>
      </c>
      <c r="M1003" t="str">
        <f>IFERROR(IF(VLOOKUP(LEFT(B1003,2),'Humanitarian codes'!$A$2:$A$10,1,FALSE)=LEFT(B1003,2),"Yes","Error"),"No")</f>
        <v>Yes</v>
      </c>
    </row>
    <row r="1004" spans="1:13" x14ac:dyDescent="0.25">
      <c r="A1004">
        <v>2022</v>
      </c>
      <c r="B1004" t="s">
        <v>1415</v>
      </c>
      <c r="C1004" t="s">
        <v>1416</v>
      </c>
      <c r="D1004" t="s">
        <v>30</v>
      </c>
      <c r="E1004" t="s">
        <v>814</v>
      </c>
      <c r="F1004">
        <v>4500230953</v>
      </c>
      <c r="G1004" t="s">
        <v>5270</v>
      </c>
      <c r="H1004" t="s">
        <v>3334</v>
      </c>
      <c r="I1004" t="s">
        <v>116</v>
      </c>
      <c r="J1004" t="s">
        <v>3842</v>
      </c>
      <c r="K1004" s="2">
        <v>2891</v>
      </c>
      <c r="L1004" s="2">
        <v>9638</v>
      </c>
      <c r="M1004" t="str">
        <f>IFERROR(IF(VLOOKUP(LEFT(B1004,2),'Humanitarian codes'!$A$2:$A$10,1,FALSE)=LEFT(B1004,2),"Yes","Error"),"No")</f>
        <v>Yes</v>
      </c>
    </row>
    <row r="1005" spans="1:13" x14ac:dyDescent="0.25">
      <c r="A1005">
        <v>2022</v>
      </c>
      <c r="B1005" t="s">
        <v>1415</v>
      </c>
      <c r="C1005" t="s">
        <v>1416</v>
      </c>
      <c r="D1005" t="s">
        <v>30</v>
      </c>
      <c r="E1005" t="s">
        <v>814</v>
      </c>
      <c r="F1005">
        <v>4500230962</v>
      </c>
      <c r="G1005" t="s">
        <v>5271</v>
      </c>
      <c r="H1005" t="s">
        <v>3334</v>
      </c>
      <c r="I1005" t="s">
        <v>116</v>
      </c>
      <c r="J1005" t="s">
        <v>3842</v>
      </c>
      <c r="K1005" s="2">
        <v>3282</v>
      </c>
      <c r="L1005" s="2">
        <v>10939</v>
      </c>
      <c r="M1005" t="str">
        <f>IFERROR(IF(VLOOKUP(LEFT(B1005,2),'Humanitarian codes'!$A$2:$A$10,1,FALSE)=LEFT(B1005,2),"Yes","Error"),"No")</f>
        <v>Yes</v>
      </c>
    </row>
    <row r="1006" spans="1:13" x14ac:dyDescent="0.25">
      <c r="A1006">
        <v>2022</v>
      </c>
      <c r="B1006" t="s">
        <v>1415</v>
      </c>
      <c r="C1006" t="s">
        <v>1416</v>
      </c>
      <c r="D1006" t="s">
        <v>30</v>
      </c>
      <c r="E1006" t="s">
        <v>814</v>
      </c>
      <c r="F1006">
        <v>4500230975</v>
      </c>
      <c r="G1006" t="s">
        <v>5272</v>
      </c>
      <c r="H1006" t="s">
        <v>3334</v>
      </c>
      <c r="I1006" t="s">
        <v>5273</v>
      </c>
      <c r="J1006" t="s">
        <v>3842</v>
      </c>
      <c r="K1006" s="2">
        <v>3013</v>
      </c>
      <c r="L1006" s="2">
        <v>10043</v>
      </c>
      <c r="M1006" t="str">
        <f>IFERROR(IF(VLOOKUP(LEFT(B1006,2),'Humanitarian codes'!$A$2:$A$10,1,FALSE)=LEFT(B1006,2),"Yes","Error"),"No")</f>
        <v>Yes</v>
      </c>
    </row>
    <row r="1007" spans="1:13" x14ac:dyDescent="0.25">
      <c r="A1007">
        <v>2022</v>
      </c>
      <c r="B1007" t="s">
        <v>1415</v>
      </c>
      <c r="C1007" t="s">
        <v>1416</v>
      </c>
      <c r="D1007" t="s">
        <v>30</v>
      </c>
      <c r="E1007" t="s">
        <v>814</v>
      </c>
      <c r="F1007">
        <v>4500230979</v>
      </c>
      <c r="G1007" t="s">
        <v>5274</v>
      </c>
      <c r="H1007" t="s">
        <v>3334</v>
      </c>
      <c r="I1007" t="s">
        <v>115</v>
      </c>
      <c r="J1007" t="s">
        <v>3842</v>
      </c>
      <c r="K1007" s="2">
        <v>3037</v>
      </c>
      <c r="L1007" s="2">
        <v>10123</v>
      </c>
      <c r="M1007" t="str">
        <f>IFERROR(IF(VLOOKUP(LEFT(B1007,2),'Humanitarian codes'!$A$2:$A$10,1,FALSE)=LEFT(B1007,2),"Yes","Error"),"No")</f>
        <v>Yes</v>
      </c>
    </row>
    <row r="1008" spans="1:13" x14ac:dyDescent="0.25">
      <c r="A1008">
        <v>2022</v>
      </c>
      <c r="B1008" t="s">
        <v>1415</v>
      </c>
      <c r="C1008" t="s">
        <v>1416</v>
      </c>
      <c r="D1008" t="s">
        <v>30</v>
      </c>
      <c r="E1008" t="s">
        <v>814</v>
      </c>
      <c r="F1008">
        <v>4500230987</v>
      </c>
      <c r="G1008" t="s">
        <v>5275</v>
      </c>
      <c r="H1008" t="s">
        <v>3334</v>
      </c>
      <c r="I1008" t="s">
        <v>115</v>
      </c>
      <c r="J1008" t="s">
        <v>3842</v>
      </c>
      <c r="K1008" s="2">
        <v>5190</v>
      </c>
      <c r="L1008" s="2">
        <v>17299</v>
      </c>
      <c r="M1008" t="str">
        <f>IFERROR(IF(VLOOKUP(LEFT(B1008,2),'Humanitarian codes'!$A$2:$A$10,1,FALSE)=LEFT(B1008,2),"Yes","Error"),"No")</f>
        <v>Yes</v>
      </c>
    </row>
    <row r="1009" spans="1:13" x14ac:dyDescent="0.25">
      <c r="A1009">
        <v>2022</v>
      </c>
      <c r="B1009" t="s">
        <v>1415</v>
      </c>
      <c r="C1009" t="s">
        <v>1416</v>
      </c>
      <c r="D1009" t="s">
        <v>30</v>
      </c>
      <c r="E1009" t="s">
        <v>814</v>
      </c>
      <c r="F1009">
        <v>4500230992</v>
      </c>
      <c r="G1009" t="s">
        <v>5276</v>
      </c>
      <c r="H1009" t="s">
        <v>3334</v>
      </c>
      <c r="I1009" t="s">
        <v>118</v>
      </c>
      <c r="J1009" t="s">
        <v>3842</v>
      </c>
      <c r="K1009" s="2">
        <v>2987</v>
      </c>
      <c r="L1009" s="2">
        <v>9957</v>
      </c>
      <c r="M1009" t="str">
        <f>IFERROR(IF(VLOOKUP(LEFT(B1009,2),'Humanitarian codes'!$A$2:$A$10,1,FALSE)=LEFT(B1009,2),"Yes","Error"),"No")</f>
        <v>Yes</v>
      </c>
    </row>
    <row r="1010" spans="1:13" x14ac:dyDescent="0.25">
      <c r="A1010">
        <v>2022</v>
      </c>
      <c r="B1010" t="s">
        <v>1415</v>
      </c>
      <c r="C1010" t="s">
        <v>1416</v>
      </c>
      <c r="D1010" t="s">
        <v>30</v>
      </c>
      <c r="E1010" t="s">
        <v>814</v>
      </c>
      <c r="F1010">
        <v>4500232453</v>
      </c>
      <c r="G1010" t="s">
        <v>5277</v>
      </c>
      <c r="H1010" t="s">
        <v>3334</v>
      </c>
      <c r="I1010" t="s">
        <v>112</v>
      </c>
      <c r="J1010" t="s">
        <v>3842</v>
      </c>
      <c r="K1010" s="2">
        <v>4141</v>
      </c>
      <c r="L1010" s="2">
        <v>13803</v>
      </c>
      <c r="M1010" t="str">
        <f>IFERROR(IF(VLOOKUP(LEFT(B1010,2),'Humanitarian codes'!$A$2:$A$10,1,FALSE)=LEFT(B1010,2),"Yes","Error"),"No")</f>
        <v>Yes</v>
      </c>
    </row>
    <row r="1011" spans="1:13" x14ac:dyDescent="0.25">
      <c r="A1011">
        <v>2022</v>
      </c>
      <c r="B1011" t="s">
        <v>1415</v>
      </c>
      <c r="C1011" t="s">
        <v>1416</v>
      </c>
      <c r="D1011" t="s">
        <v>30</v>
      </c>
      <c r="E1011" t="s">
        <v>814</v>
      </c>
      <c r="F1011">
        <v>4500232457</v>
      </c>
      <c r="G1011" t="s">
        <v>5278</v>
      </c>
      <c r="H1011" t="s">
        <v>3334</v>
      </c>
      <c r="I1011" t="s">
        <v>112</v>
      </c>
      <c r="J1011" t="s">
        <v>3842</v>
      </c>
      <c r="K1011" s="2">
        <v>3882</v>
      </c>
      <c r="L1011" s="2">
        <v>12939</v>
      </c>
      <c r="M1011" t="str">
        <f>IFERROR(IF(VLOOKUP(LEFT(B1011,2),'Humanitarian codes'!$A$2:$A$10,1,FALSE)=LEFT(B1011,2),"Yes","Error"),"No")</f>
        <v>Yes</v>
      </c>
    </row>
    <row r="1012" spans="1:13" x14ac:dyDescent="0.25">
      <c r="A1012">
        <v>2022</v>
      </c>
      <c r="B1012" t="s">
        <v>1415</v>
      </c>
      <c r="C1012" t="s">
        <v>1416</v>
      </c>
      <c r="D1012" t="s">
        <v>30</v>
      </c>
      <c r="E1012" t="s">
        <v>814</v>
      </c>
      <c r="F1012">
        <v>4500235625</v>
      </c>
      <c r="G1012" t="s">
        <v>5281</v>
      </c>
      <c r="H1012" t="s">
        <v>3334</v>
      </c>
      <c r="I1012" t="s">
        <v>1721</v>
      </c>
      <c r="J1012" t="s">
        <v>3842</v>
      </c>
      <c r="K1012" s="2">
        <v>2092</v>
      </c>
      <c r="L1012" s="2">
        <v>6975</v>
      </c>
      <c r="M1012" t="str">
        <f>IFERROR(IF(VLOOKUP(LEFT(B1012,2),'Humanitarian codes'!$A$2:$A$10,1,FALSE)=LEFT(B1012,2),"Yes","Error"),"No")</f>
        <v>Yes</v>
      </c>
    </row>
    <row r="1013" spans="1:13" x14ac:dyDescent="0.25">
      <c r="A1013">
        <v>2022</v>
      </c>
      <c r="B1013" t="s">
        <v>1415</v>
      </c>
      <c r="C1013" t="s">
        <v>1416</v>
      </c>
      <c r="D1013" t="s">
        <v>30</v>
      </c>
      <c r="E1013" t="s">
        <v>814</v>
      </c>
      <c r="F1013">
        <v>4500237450</v>
      </c>
      <c r="G1013" t="s">
        <v>5282</v>
      </c>
      <c r="H1013" t="s">
        <v>3334</v>
      </c>
      <c r="I1013" t="s">
        <v>120</v>
      </c>
      <c r="J1013" t="s">
        <v>3842</v>
      </c>
      <c r="K1013" s="2">
        <v>7325</v>
      </c>
      <c r="L1013" s="2">
        <v>24417</v>
      </c>
      <c r="M1013" t="str">
        <f>IFERROR(IF(VLOOKUP(LEFT(B1013,2),'Humanitarian codes'!$A$2:$A$10,1,FALSE)=LEFT(B1013,2),"Yes","Error"),"No")</f>
        <v>Yes</v>
      </c>
    </row>
    <row r="1014" spans="1:13" x14ac:dyDescent="0.25">
      <c r="A1014">
        <v>2022</v>
      </c>
      <c r="B1014" t="s">
        <v>1415</v>
      </c>
      <c r="C1014" t="s">
        <v>1416</v>
      </c>
      <c r="D1014" t="s">
        <v>30</v>
      </c>
      <c r="E1014" t="s">
        <v>814</v>
      </c>
      <c r="F1014">
        <v>4500237462</v>
      </c>
      <c r="G1014" t="s">
        <v>5283</v>
      </c>
      <c r="H1014" t="s">
        <v>3334</v>
      </c>
      <c r="I1014" t="s">
        <v>114</v>
      </c>
      <c r="J1014" t="s">
        <v>3842</v>
      </c>
      <c r="K1014" s="2">
        <v>2557</v>
      </c>
      <c r="L1014" s="2">
        <v>8524</v>
      </c>
      <c r="M1014" t="str">
        <f>IFERROR(IF(VLOOKUP(LEFT(B1014,2),'Humanitarian codes'!$A$2:$A$10,1,FALSE)=LEFT(B1014,2),"Yes","Error"),"No")</f>
        <v>Yes</v>
      </c>
    </row>
    <row r="1015" spans="1:13" x14ac:dyDescent="0.25">
      <c r="A1015">
        <v>2022</v>
      </c>
      <c r="B1015" t="s">
        <v>1415</v>
      </c>
      <c r="C1015" t="s">
        <v>1416</v>
      </c>
      <c r="D1015" t="s">
        <v>30</v>
      </c>
      <c r="E1015" t="s">
        <v>814</v>
      </c>
      <c r="F1015">
        <v>4500257385</v>
      </c>
      <c r="G1015" t="s">
        <v>5289</v>
      </c>
      <c r="H1015" t="s">
        <v>3334</v>
      </c>
      <c r="I1015" t="s">
        <v>117</v>
      </c>
      <c r="J1015" t="s">
        <v>3842</v>
      </c>
      <c r="K1015" s="2">
        <v>24071</v>
      </c>
      <c r="L1015" s="2">
        <v>26746</v>
      </c>
      <c r="M1015" t="str">
        <f>IFERROR(IF(VLOOKUP(LEFT(B1015,2),'Humanitarian codes'!$A$2:$A$10,1,FALSE)=LEFT(B1015,2),"Yes","Error"),"No")</f>
        <v>Yes</v>
      </c>
    </row>
    <row r="1016" spans="1:13" x14ac:dyDescent="0.25">
      <c r="A1016">
        <v>2022</v>
      </c>
      <c r="B1016" t="s">
        <v>1415</v>
      </c>
      <c r="C1016" t="s">
        <v>1416</v>
      </c>
      <c r="D1016" t="s">
        <v>30</v>
      </c>
      <c r="E1016" t="s">
        <v>814</v>
      </c>
      <c r="F1016">
        <v>4500257387</v>
      </c>
      <c r="G1016" t="s">
        <v>5290</v>
      </c>
      <c r="H1016" t="s">
        <v>3334</v>
      </c>
      <c r="I1016" t="s">
        <v>114</v>
      </c>
      <c r="J1016" t="s">
        <v>3842</v>
      </c>
      <c r="K1016" s="2">
        <v>16036</v>
      </c>
      <c r="L1016" s="2">
        <v>17818</v>
      </c>
      <c r="M1016" t="str">
        <f>IFERROR(IF(VLOOKUP(LEFT(B1016,2),'Humanitarian codes'!$A$2:$A$10,1,FALSE)=LEFT(B1016,2),"Yes","Error"),"No")</f>
        <v>Yes</v>
      </c>
    </row>
    <row r="1017" spans="1:13" x14ac:dyDescent="0.25">
      <c r="A1017">
        <v>2022</v>
      </c>
      <c r="B1017" t="s">
        <v>1415</v>
      </c>
      <c r="C1017" t="s">
        <v>1416</v>
      </c>
      <c r="D1017" t="s">
        <v>30</v>
      </c>
      <c r="E1017" t="s">
        <v>814</v>
      </c>
      <c r="F1017">
        <v>4500257388</v>
      </c>
      <c r="G1017" t="s">
        <v>5291</v>
      </c>
      <c r="H1017" t="s">
        <v>3334</v>
      </c>
      <c r="I1017" t="s">
        <v>116</v>
      </c>
      <c r="J1017" t="s">
        <v>3842</v>
      </c>
      <c r="K1017" s="2">
        <v>17373</v>
      </c>
      <c r="L1017" s="2">
        <v>19303</v>
      </c>
      <c r="M1017" t="str">
        <f>IFERROR(IF(VLOOKUP(LEFT(B1017,2),'Humanitarian codes'!$A$2:$A$10,1,FALSE)=LEFT(B1017,2),"Yes","Error"),"No")</f>
        <v>Yes</v>
      </c>
    </row>
    <row r="1018" spans="1:13" x14ac:dyDescent="0.25">
      <c r="A1018">
        <v>2022</v>
      </c>
      <c r="B1018" t="s">
        <v>1415</v>
      </c>
      <c r="C1018" t="s">
        <v>1416</v>
      </c>
      <c r="D1018" t="s">
        <v>30</v>
      </c>
      <c r="E1018" t="s">
        <v>814</v>
      </c>
      <c r="F1018">
        <v>4500257389</v>
      </c>
      <c r="G1018" t="s">
        <v>5292</v>
      </c>
      <c r="H1018" t="s">
        <v>3334</v>
      </c>
      <c r="I1018" t="s">
        <v>113</v>
      </c>
      <c r="J1018" t="s">
        <v>3842</v>
      </c>
      <c r="K1018" s="2">
        <v>16710</v>
      </c>
      <c r="L1018" s="2">
        <v>18567</v>
      </c>
      <c r="M1018" t="str">
        <f>IFERROR(IF(VLOOKUP(LEFT(B1018,2),'Humanitarian codes'!$A$2:$A$10,1,FALSE)=LEFT(B1018,2),"Yes","Error"),"No")</f>
        <v>Yes</v>
      </c>
    </row>
    <row r="1019" spans="1:13" x14ac:dyDescent="0.25">
      <c r="A1019">
        <v>2022</v>
      </c>
      <c r="B1019" t="s">
        <v>1415</v>
      </c>
      <c r="C1019" t="s">
        <v>1416</v>
      </c>
      <c r="D1019" t="s">
        <v>30</v>
      </c>
      <c r="E1019" t="s">
        <v>814</v>
      </c>
      <c r="F1019">
        <v>4500257393</v>
      </c>
      <c r="G1019" t="s">
        <v>5293</v>
      </c>
      <c r="H1019" t="s">
        <v>3334</v>
      </c>
      <c r="I1019" t="s">
        <v>118</v>
      </c>
      <c r="J1019" t="s">
        <v>3842</v>
      </c>
      <c r="K1019" s="2">
        <v>16567</v>
      </c>
      <c r="L1019" s="2">
        <v>18408</v>
      </c>
      <c r="M1019" t="str">
        <f>IFERROR(IF(VLOOKUP(LEFT(B1019,2),'Humanitarian codes'!$A$2:$A$10,1,FALSE)=LEFT(B1019,2),"Yes","Error"),"No")</f>
        <v>Yes</v>
      </c>
    </row>
    <row r="1020" spans="1:13" x14ac:dyDescent="0.25">
      <c r="A1020">
        <v>2022</v>
      </c>
      <c r="B1020" t="s">
        <v>1415</v>
      </c>
      <c r="C1020" t="s">
        <v>1416</v>
      </c>
      <c r="D1020" t="s">
        <v>30</v>
      </c>
      <c r="E1020" t="s">
        <v>814</v>
      </c>
      <c r="F1020">
        <v>4500257394</v>
      </c>
      <c r="G1020" t="s">
        <v>5294</v>
      </c>
      <c r="H1020" t="s">
        <v>3334</v>
      </c>
      <c r="I1020" t="s">
        <v>115</v>
      </c>
      <c r="J1020" t="s">
        <v>3842</v>
      </c>
      <c r="K1020" s="2">
        <v>28783</v>
      </c>
      <c r="L1020" s="2">
        <v>31981</v>
      </c>
      <c r="M1020" t="str">
        <f>IFERROR(IF(VLOOKUP(LEFT(B1020,2),'Humanitarian codes'!$A$2:$A$10,1,FALSE)=LEFT(B1020,2),"Yes","Error"),"No")</f>
        <v>Yes</v>
      </c>
    </row>
    <row r="1021" spans="1:13" x14ac:dyDescent="0.25">
      <c r="A1021">
        <v>2022</v>
      </c>
      <c r="B1021" t="s">
        <v>1415</v>
      </c>
      <c r="C1021" t="s">
        <v>1416</v>
      </c>
      <c r="D1021" t="s">
        <v>30</v>
      </c>
      <c r="E1021" t="s">
        <v>814</v>
      </c>
      <c r="F1021">
        <v>4500257397</v>
      </c>
      <c r="G1021" t="s">
        <v>5295</v>
      </c>
      <c r="H1021" t="s">
        <v>3334</v>
      </c>
      <c r="I1021" t="s">
        <v>1721</v>
      </c>
      <c r="J1021" t="s">
        <v>3842</v>
      </c>
      <c r="K1021" s="2">
        <v>13862</v>
      </c>
      <c r="L1021" s="2">
        <v>15402</v>
      </c>
      <c r="M1021" t="str">
        <f>IFERROR(IF(VLOOKUP(LEFT(B1021,2),'Humanitarian codes'!$A$2:$A$10,1,FALSE)=LEFT(B1021,2),"Yes","Error"),"No")</f>
        <v>Yes</v>
      </c>
    </row>
    <row r="1022" spans="1:13" x14ac:dyDescent="0.25">
      <c r="A1022">
        <v>2022</v>
      </c>
      <c r="B1022" t="s">
        <v>1415</v>
      </c>
      <c r="C1022" t="s">
        <v>1416</v>
      </c>
      <c r="D1022" t="s">
        <v>30</v>
      </c>
      <c r="E1022" t="s">
        <v>814</v>
      </c>
      <c r="F1022">
        <v>4500257398</v>
      </c>
      <c r="G1022" t="s">
        <v>5296</v>
      </c>
      <c r="H1022" t="s">
        <v>3334</v>
      </c>
      <c r="I1022" t="s">
        <v>112</v>
      </c>
      <c r="J1022" t="s">
        <v>3842</v>
      </c>
      <c r="K1022" s="2">
        <v>21528</v>
      </c>
      <c r="L1022" s="2">
        <v>23920</v>
      </c>
      <c r="M1022" t="str">
        <f>IFERROR(IF(VLOOKUP(LEFT(B1022,2),'Humanitarian codes'!$A$2:$A$10,1,FALSE)=LEFT(B1022,2),"Yes","Error"),"No")</f>
        <v>Yes</v>
      </c>
    </row>
    <row r="1023" spans="1:13" x14ac:dyDescent="0.25">
      <c r="A1023">
        <v>2022</v>
      </c>
      <c r="B1023" t="s">
        <v>1415</v>
      </c>
      <c r="C1023" t="s">
        <v>1416</v>
      </c>
      <c r="D1023" t="s">
        <v>30</v>
      </c>
      <c r="E1023" t="s">
        <v>814</v>
      </c>
      <c r="F1023">
        <v>4500257399</v>
      </c>
      <c r="G1023" t="s">
        <v>5297</v>
      </c>
      <c r="H1023" t="s">
        <v>3334</v>
      </c>
      <c r="I1023" t="s">
        <v>120</v>
      </c>
      <c r="J1023" t="s">
        <v>3842</v>
      </c>
      <c r="K1023" s="2">
        <v>42230</v>
      </c>
      <c r="L1023" s="2">
        <v>46922</v>
      </c>
      <c r="M1023" t="str">
        <f>IFERROR(IF(VLOOKUP(LEFT(B1023,2),'Humanitarian codes'!$A$2:$A$10,1,FALSE)=LEFT(B1023,2),"Yes","Error"),"No")</f>
        <v>Yes</v>
      </c>
    </row>
    <row r="1024" spans="1:13" x14ac:dyDescent="0.25">
      <c r="A1024">
        <v>2022</v>
      </c>
      <c r="B1024" t="s">
        <v>1415</v>
      </c>
      <c r="C1024" t="s">
        <v>1416</v>
      </c>
      <c r="D1024" t="s">
        <v>30</v>
      </c>
      <c r="E1024" t="s">
        <v>814</v>
      </c>
      <c r="F1024">
        <v>4500257401</v>
      </c>
      <c r="G1024" t="s">
        <v>5298</v>
      </c>
      <c r="H1024" t="s">
        <v>3334</v>
      </c>
      <c r="I1024" t="s">
        <v>119</v>
      </c>
      <c r="J1024" t="s">
        <v>3842</v>
      </c>
      <c r="K1024" s="2">
        <v>17366</v>
      </c>
      <c r="L1024" s="2">
        <v>19295</v>
      </c>
      <c r="M1024" t="str">
        <f>IFERROR(IF(VLOOKUP(LEFT(B1024,2),'Humanitarian codes'!$A$2:$A$10,1,FALSE)=LEFT(B1024,2),"Yes","Error"),"No")</f>
        <v>Yes</v>
      </c>
    </row>
    <row r="1025" spans="1:13" x14ac:dyDescent="0.25">
      <c r="A1025">
        <v>2022</v>
      </c>
      <c r="B1025" t="s">
        <v>1415</v>
      </c>
      <c r="C1025" t="s">
        <v>1416</v>
      </c>
      <c r="D1025" t="s">
        <v>30</v>
      </c>
      <c r="E1025" t="s">
        <v>814</v>
      </c>
      <c r="F1025">
        <v>4500257402</v>
      </c>
      <c r="G1025" t="s">
        <v>3915</v>
      </c>
      <c r="H1025" t="s">
        <v>3334</v>
      </c>
      <c r="I1025" t="s">
        <v>115</v>
      </c>
      <c r="J1025" t="s">
        <v>3842</v>
      </c>
      <c r="K1025" s="2">
        <v>10563</v>
      </c>
      <c r="L1025" s="2">
        <v>18715</v>
      </c>
      <c r="M1025" t="str">
        <f>IFERROR(IF(VLOOKUP(LEFT(B1025,2),'Humanitarian codes'!$A$2:$A$10,1,FALSE)=LEFT(B1025,2),"Yes","Error"),"No")</f>
        <v>Yes</v>
      </c>
    </row>
    <row r="1026" spans="1:13" x14ac:dyDescent="0.25">
      <c r="A1026">
        <v>2022</v>
      </c>
      <c r="B1026" t="s">
        <v>1415</v>
      </c>
      <c r="C1026" t="s">
        <v>1416</v>
      </c>
      <c r="D1026" t="s">
        <v>30</v>
      </c>
      <c r="E1026" t="s">
        <v>814</v>
      </c>
      <c r="F1026">
        <v>4500257405</v>
      </c>
      <c r="G1026" t="s">
        <v>5296</v>
      </c>
      <c r="H1026" t="s">
        <v>3334</v>
      </c>
      <c r="I1026" t="s">
        <v>112</v>
      </c>
      <c r="J1026" t="s">
        <v>3842</v>
      </c>
      <c r="K1026" s="2">
        <v>22967</v>
      </c>
      <c r="L1026" s="2">
        <v>25519</v>
      </c>
      <c r="M1026" t="str">
        <f>IFERROR(IF(VLOOKUP(LEFT(B1026,2),'Humanitarian codes'!$A$2:$A$10,1,FALSE)=LEFT(B1026,2),"Yes","Error"),"No")</f>
        <v>Yes</v>
      </c>
    </row>
    <row r="1027" spans="1:13" x14ac:dyDescent="0.25">
      <c r="A1027">
        <v>2022</v>
      </c>
      <c r="B1027" t="s">
        <v>1415</v>
      </c>
      <c r="C1027" t="s">
        <v>1416</v>
      </c>
      <c r="D1027" t="s">
        <v>30</v>
      </c>
      <c r="E1027" t="s">
        <v>814</v>
      </c>
      <c r="F1027">
        <v>4500257407</v>
      </c>
      <c r="G1027" t="s">
        <v>5296</v>
      </c>
      <c r="H1027" t="s">
        <v>3334</v>
      </c>
      <c r="I1027" t="s">
        <v>116</v>
      </c>
      <c r="J1027" t="s">
        <v>3842</v>
      </c>
      <c r="K1027" s="2">
        <v>18201</v>
      </c>
      <c r="L1027" s="2">
        <v>20224</v>
      </c>
      <c r="M1027" t="str">
        <f>IFERROR(IF(VLOOKUP(LEFT(B1027,2),'Humanitarian codes'!$A$2:$A$10,1,FALSE)=LEFT(B1027,2),"Yes","Error"),"No")</f>
        <v>Yes</v>
      </c>
    </row>
    <row r="1028" spans="1:13" x14ac:dyDescent="0.25">
      <c r="A1028">
        <v>2022</v>
      </c>
      <c r="B1028" t="s">
        <v>3626</v>
      </c>
      <c r="C1028" t="s">
        <v>3627</v>
      </c>
      <c r="D1028" t="s">
        <v>30</v>
      </c>
      <c r="E1028" t="s">
        <v>330</v>
      </c>
      <c r="F1028">
        <v>4500216036</v>
      </c>
      <c r="G1028" t="s">
        <v>5299</v>
      </c>
      <c r="H1028" t="s">
        <v>3334</v>
      </c>
      <c r="I1028" t="s">
        <v>2689</v>
      </c>
      <c r="J1028" t="s">
        <v>330</v>
      </c>
      <c r="K1028" s="2">
        <v>103156</v>
      </c>
      <c r="L1028" s="2">
        <v>137541</v>
      </c>
      <c r="M1028" t="str">
        <f>IFERROR(IF(VLOOKUP(LEFT(B1028,2),'Humanitarian codes'!$A$2:$A$10,1,FALSE)=LEFT(B1028,2),"Yes","Error"),"No")</f>
        <v>Yes</v>
      </c>
    </row>
    <row r="1029" spans="1:13" x14ac:dyDescent="0.25">
      <c r="A1029">
        <v>2022</v>
      </c>
      <c r="B1029" t="s">
        <v>2054</v>
      </c>
      <c r="C1029" t="s">
        <v>446</v>
      </c>
      <c r="D1029" t="s">
        <v>30</v>
      </c>
      <c r="E1029" t="s">
        <v>257</v>
      </c>
      <c r="F1029">
        <v>4500239543</v>
      </c>
      <c r="G1029" t="s">
        <v>5300</v>
      </c>
      <c r="H1029" t="s">
        <v>3334</v>
      </c>
      <c r="I1029" t="s">
        <v>422</v>
      </c>
      <c r="J1029" t="s">
        <v>257</v>
      </c>
      <c r="K1029" s="2">
        <v>238872</v>
      </c>
      <c r="L1029" s="2">
        <v>238872</v>
      </c>
      <c r="M1029" t="str">
        <f>IFERROR(IF(VLOOKUP(LEFT(B1029,2),'Humanitarian codes'!$A$2:$A$10,1,FALSE)=LEFT(B1029,2),"Yes","Error"),"No")</f>
        <v>Yes</v>
      </c>
    </row>
    <row r="1030" spans="1:13" x14ac:dyDescent="0.25">
      <c r="A1030">
        <v>2022</v>
      </c>
      <c r="B1030" t="s">
        <v>2054</v>
      </c>
      <c r="C1030" t="s">
        <v>446</v>
      </c>
      <c r="D1030" t="s">
        <v>30</v>
      </c>
      <c r="E1030" t="s">
        <v>257</v>
      </c>
      <c r="F1030">
        <v>4500239546</v>
      </c>
      <c r="G1030" t="s">
        <v>5301</v>
      </c>
      <c r="H1030" t="s">
        <v>3334</v>
      </c>
      <c r="I1030" t="s">
        <v>421</v>
      </c>
      <c r="J1030" t="s">
        <v>257</v>
      </c>
      <c r="K1030" s="2">
        <v>276115</v>
      </c>
      <c r="L1030" s="2">
        <v>276115</v>
      </c>
      <c r="M1030" t="str">
        <f>IFERROR(IF(VLOOKUP(LEFT(B1030,2),'Humanitarian codes'!$A$2:$A$10,1,FALSE)=LEFT(B1030,2),"Yes","Error"),"No")</f>
        <v>Yes</v>
      </c>
    </row>
    <row r="1031" spans="1:13" x14ac:dyDescent="0.25">
      <c r="A1031">
        <v>2022</v>
      </c>
      <c r="B1031" t="s">
        <v>443</v>
      </c>
      <c r="C1031" t="s">
        <v>444</v>
      </c>
      <c r="D1031" t="s">
        <v>30</v>
      </c>
      <c r="E1031" t="s">
        <v>155</v>
      </c>
      <c r="F1031">
        <v>4500266887</v>
      </c>
      <c r="G1031" t="s">
        <v>2806</v>
      </c>
      <c r="H1031" t="s">
        <v>3334</v>
      </c>
      <c r="I1031" t="s">
        <v>2956</v>
      </c>
      <c r="J1031" t="s">
        <v>155</v>
      </c>
      <c r="K1031" s="2">
        <v>61397</v>
      </c>
      <c r="L1031" s="2">
        <v>61397</v>
      </c>
      <c r="M1031" t="str">
        <f>IFERROR(IF(VLOOKUP(LEFT(B1031,2),'Humanitarian codes'!$A$2:$A$10,1,FALSE)=LEFT(B1031,2),"Yes","Error"),"No")</f>
        <v>Yes</v>
      </c>
    </row>
    <row r="1032" spans="1:13" x14ac:dyDescent="0.25">
      <c r="A1032">
        <v>2022</v>
      </c>
      <c r="B1032" t="s">
        <v>5302</v>
      </c>
      <c r="C1032" t="s">
        <v>5303</v>
      </c>
      <c r="D1032" t="s">
        <v>30</v>
      </c>
      <c r="E1032" t="s">
        <v>226</v>
      </c>
      <c r="F1032">
        <v>4500264564</v>
      </c>
      <c r="G1032" t="s">
        <v>5304</v>
      </c>
      <c r="H1032" t="s">
        <v>3334</v>
      </c>
      <c r="I1032" t="s">
        <v>842</v>
      </c>
      <c r="J1032" t="s">
        <v>226</v>
      </c>
      <c r="K1032" s="2">
        <v>509732</v>
      </c>
      <c r="L1032" s="2">
        <v>509732</v>
      </c>
      <c r="M1032" t="str">
        <f>IFERROR(IF(VLOOKUP(LEFT(B1032,2),'Humanitarian codes'!$A$2:$A$10,1,FALSE)=LEFT(B1032,2),"Yes","Error"),"No")</f>
        <v>Yes</v>
      </c>
    </row>
    <row r="1033" spans="1:13" x14ac:dyDescent="0.25">
      <c r="A1033">
        <v>2022</v>
      </c>
      <c r="B1033" t="s">
        <v>5305</v>
      </c>
      <c r="C1033" t="s">
        <v>5306</v>
      </c>
      <c r="D1033" t="s">
        <v>30</v>
      </c>
      <c r="E1033" t="s">
        <v>1426</v>
      </c>
      <c r="F1033">
        <v>4500212959</v>
      </c>
      <c r="G1033" t="s">
        <v>5307</v>
      </c>
      <c r="H1033" t="s">
        <v>3334</v>
      </c>
      <c r="I1033" t="s">
        <v>5308</v>
      </c>
      <c r="J1033" t="s">
        <v>5309</v>
      </c>
      <c r="K1033" s="2">
        <v>10000</v>
      </c>
      <c r="L1033" s="2">
        <v>10000</v>
      </c>
      <c r="M1033" t="str">
        <f>IFERROR(IF(VLOOKUP(LEFT(B1033,2),'Humanitarian codes'!$A$2:$A$10,1,FALSE)=LEFT(B1033,2),"Yes","Error"),"No")</f>
        <v>Yes</v>
      </c>
    </row>
    <row r="1034" spans="1:13" x14ac:dyDescent="0.25">
      <c r="A1034">
        <v>2022</v>
      </c>
      <c r="B1034" t="s">
        <v>5310</v>
      </c>
      <c r="C1034" t="s">
        <v>5311</v>
      </c>
      <c r="D1034" t="s">
        <v>30</v>
      </c>
      <c r="E1034" t="s">
        <v>54</v>
      </c>
      <c r="F1034">
        <v>4500211576</v>
      </c>
      <c r="G1034" t="s">
        <v>4938</v>
      </c>
      <c r="H1034" t="s">
        <v>3334</v>
      </c>
      <c r="I1034" t="s">
        <v>3497</v>
      </c>
      <c r="J1034" t="s">
        <v>54</v>
      </c>
      <c r="K1034" s="2">
        <v>1936</v>
      </c>
      <c r="L1034" s="2">
        <v>6454</v>
      </c>
      <c r="M1034" t="str">
        <f>IFERROR(IF(VLOOKUP(LEFT(B1034,2),'Humanitarian codes'!$A$2:$A$10,1,FALSE)=LEFT(B1034,2),"Yes","Error"),"No")</f>
        <v>Yes</v>
      </c>
    </row>
    <row r="1035" spans="1:13" x14ac:dyDescent="0.25">
      <c r="A1035">
        <v>2022</v>
      </c>
      <c r="B1035" t="s">
        <v>5310</v>
      </c>
      <c r="C1035" t="s">
        <v>5311</v>
      </c>
      <c r="D1035" t="s">
        <v>30</v>
      </c>
      <c r="E1035" t="s">
        <v>54</v>
      </c>
      <c r="F1035">
        <v>4500211592</v>
      </c>
      <c r="G1035" t="s">
        <v>5312</v>
      </c>
      <c r="H1035" t="s">
        <v>3334</v>
      </c>
      <c r="I1035" t="s">
        <v>5010</v>
      </c>
      <c r="J1035" t="s">
        <v>54</v>
      </c>
      <c r="K1035" s="2">
        <v>5988</v>
      </c>
      <c r="L1035" s="2">
        <v>5988</v>
      </c>
      <c r="M1035" t="str">
        <f>IFERROR(IF(VLOOKUP(LEFT(B1035,2),'Humanitarian codes'!$A$2:$A$10,1,FALSE)=LEFT(B1035,2),"Yes","Error"),"No")</f>
        <v>Yes</v>
      </c>
    </row>
    <row r="1036" spans="1:13" x14ac:dyDescent="0.25">
      <c r="A1036">
        <v>2022</v>
      </c>
      <c r="B1036" t="s">
        <v>5310</v>
      </c>
      <c r="C1036" t="s">
        <v>5311</v>
      </c>
      <c r="D1036" t="s">
        <v>30</v>
      </c>
      <c r="E1036" t="s">
        <v>54</v>
      </c>
      <c r="F1036">
        <v>4500214382</v>
      </c>
      <c r="G1036" t="s">
        <v>4939</v>
      </c>
      <c r="H1036" t="s">
        <v>3334</v>
      </c>
      <c r="I1036" t="s">
        <v>3495</v>
      </c>
      <c r="J1036" t="s">
        <v>54</v>
      </c>
      <c r="K1036" s="2">
        <v>1170</v>
      </c>
      <c r="L1036" s="2">
        <v>3900</v>
      </c>
      <c r="M1036" t="str">
        <f>IFERROR(IF(VLOOKUP(LEFT(B1036,2),'Humanitarian codes'!$A$2:$A$10,1,FALSE)=LEFT(B1036,2),"Yes","Error"),"No")</f>
        <v>Yes</v>
      </c>
    </row>
    <row r="1037" spans="1:13" x14ac:dyDescent="0.25">
      <c r="A1037">
        <v>2022</v>
      </c>
      <c r="B1037" t="s">
        <v>5310</v>
      </c>
      <c r="C1037" t="s">
        <v>5311</v>
      </c>
      <c r="D1037" t="s">
        <v>30</v>
      </c>
      <c r="E1037" t="s">
        <v>54</v>
      </c>
      <c r="F1037">
        <v>4500214394</v>
      </c>
      <c r="G1037" t="s">
        <v>4940</v>
      </c>
      <c r="H1037" t="s">
        <v>3334</v>
      </c>
      <c r="I1037" t="s">
        <v>1248</v>
      </c>
      <c r="J1037" t="s">
        <v>54</v>
      </c>
      <c r="K1037" s="2">
        <v>1111</v>
      </c>
      <c r="L1037" s="2">
        <v>3702</v>
      </c>
      <c r="M1037" t="str">
        <f>IFERROR(IF(VLOOKUP(LEFT(B1037,2),'Humanitarian codes'!$A$2:$A$10,1,FALSE)=LEFT(B1037,2),"Yes","Error"),"No")</f>
        <v>Yes</v>
      </c>
    </row>
    <row r="1038" spans="1:13" x14ac:dyDescent="0.25">
      <c r="A1038">
        <v>2022</v>
      </c>
      <c r="B1038" t="s">
        <v>5310</v>
      </c>
      <c r="C1038" t="s">
        <v>5311</v>
      </c>
      <c r="D1038" t="s">
        <v>30</v>
      </c>
      <c r="E1038" t="s">
        <v>54</v>
      </c>
      <c r="F1038">
        <v>4500215609</v>
      </c>
      <c r="G1038" t="s">
        <v>5313</v>
      </c>
      <c r="H1038" t="s">
        <v>3334</v>
      </c>
      <c r="I1038" t="s">
        <v>278</v>
      </c>
      <c r="J1038" t="s">
        <v>54</v>
      </c>
      <c r="K1038" s="2">
        <v>4870</v>
      </c>
      <c r="L1038" s="2">
        <v>4870</v>
      </c>
      <c r="M1038" t="str">
        <f>IFERROR(IF(VLOOKUP(LEFT(B1038,2),'Humanitarian codes'!$A$2:$A$10,1,FALSE)=LEFT(B1038,2),"Yes","Error"),"No")</f>
        <v>Yes</v>
      </c>
    </row>
    <row r="1039" spans="1:13" x14ac:dyDescent="0.25">
      <c r="A1039">
        <v>2022</v>
      </c>
      <c r="B1039" t="s">
        <v>5310</v>
      </c>
      <c r="C1039" t="s">
        <v>5311</v>
      </c>
      <c r="D1039" t="s">
        <v>30</v>
      </c>
      <c r="E1039" t="s">
        <v>54</v>
      </c>
      <c r="F1039">
        <v>4500218838</v>
      </c>
      <c r="G1039" t="s">
        <v>4941</v>
      </c>
      <c r="H1039" t="s">
        <v>3334</v>
      </c>
      <c r="I1039" t="s">
        <v>4942</v>
      </c>
      <c r="J1039" t="s">
        <v>54</v>
      </c>
      <c r="K1039" s="2">
        <v>2459</v>
      </c>
      <c r="L1039" s="2">
        <v>9835</v>
      </c>
      <c r="M1039" t="str">
        <f>IFERROR(IF(VLOOKUP(LEFT(B1039,2),'Humanitarian codes'!$A$2:$A$10,1,FALSE)=LEFT(B1039,2),"Yes","Error"),"No")</f>
        <v>Yes</v>
      </c>
    </row>
    <row r="1040" spans="1:13" x14ac:dyDescent="0.25">
      <c r="A1040">
        <v>2022</v>
      </c>
      <c r="B1040" t="s">
        <v>5310</v>
      </c>
      <c r="C1040" t="s">
        <v>5311</v>
      </c>
      <c r="D1040" t="s">
        <v>30</v>
      </c>
      <c r="E1040" t="s">
        <v>54</v>
      </c>
      <c r="F1040">
        <v>4500221488</v>
      </c>
      <c r="G1040" t="s">
        <v>4957</v>
      </c>
      <c r="H1040" t="s">
        <v>3334</v>
      </c>
      <c r="I1040" t="s">
        <v>4958</v>
      </c>
      <c r="J1040" t="s">
        <v>54</v>
      </c>
      <c r="K1040">
        <v>901</v>
      </c>
      <c r="L1040" s="2">
        <v>2003</v>
      </c>
      <c r="M1040" t="str">
        <f>IFERROR(IF(VLOOKUP(LEFT(B1040,2),'Humanitarian codes'!$A$2:$A$10,1,FALSE)=LEFT(B1040,2),"Yes","Error"),"No")</f>
        <v>Yes</v>
      </c>
    </row>
    <row r="1041" spans="1:13" x14ac:dyDescent="0.25">
      <c r="A1041">
        <v>2022</v>
      </c>
      <c r="B1041" t="s">
        <v>5310</v>
      </c>
      <c r="C1041" t="s">
        <v>5311</v>
      </c>
      <c r="D1041" t="s">
        <v>30</v>
      </c>
      <c r="E1041" t="s">
        <v>54</v>
      </c>
      <c r="F1041">
        <v>4500221500</v>
      </c>
      <c r="G1041" t="s">
        <v>4959</v>
      </c>
      <c r="H1041" t="s">
        <v>3334</v>
      </c>
      <c r="I1041" t="s">
        <v>3790</v>
      </c>
      <c r="J1041" t="s">
        <v>54</v>
      </c>
      <c r="K1041" s="2">
        <v>16382</v>
      </c>
      <c r="L1041" s="2">
        <v>36404</v>
      </c>
      <c r="M1041" t="str">
        <f>IFERROR(IF(VLOOKUP(LEFT(B1041,2),'Humanitarian codes'!$A$2:$A$10,1,FALSE)=LEFT(B1041,2),"Yes","Error"),"No")</f>
        <v>Yes</v>
      </c>
    </row>
    <row r="1042" spans="1:13" x14ac:dyDescent="0.25">
      <c r="A1042">
        <v>2022</v>
      </c>
      <c r="B1042" t="s">
        <v>5310</v>
      </c>
      <c r="C1042" t="s">
        <v>5311</v>
      </c>
      <c r="D1042" t="s">
        <v>30</v>
      </c>
      <c r="E1042" t="s">
        <v>54</v>
      </c>
      <c r="F1042">
        <v>4500222876</v>
      </c>
      <c r="G1042" t="s">
        <v>4960</v>
      </c>
      <c r="H1042" t="s">
        <v>3334</v>
      </c>
      <c r="I1042" t="s">
        <v>4961</v>
      </c>
      <c r="J1042" t="s">
        <v>54</v>
      </c>
      <c r="K1042" s="2">
        <v>1230</v>
      </c>
      <c r="L1042" s="2">
        <v>2734</v>
      </c>
      <c r="M1042" t="str">
        <f>IFERROR(IF(VLOOKUP(LEFT(B1042,2),'Humanitarian codes'!$A$2:$A$10,1,FALSE)=LEFT(B1042,2),"Yes","Error"),"No")</f>
        <v>Yes</v>
      </c>
    </row>
    <row r="1043" spans="1:13" x14ac:dyDescent="0.25">
      <c r="A1043">
        <v>2022</v>
      </c>
      <c r="B1043" t="s">
        <v>5310</v>
      </c>
      <c r="C1043" t="s">
        <v>5311</v>
      </c>
      <c r="D1043" t="s">
        <v>30</v>
      </c>
      <c r="E1043" t="s">
        <v>54</v>
      </c>
      <c r="F1043">
        <v>4500222879</v>
      </c>
      <c r="G1043" t="s">
        <v>5314</v>
      </c>
      <c r="H1043" t="s">
        <v>3334</v>
      </c>
      <c r="I1043" t="s">
        <v>5315</v>
      </c>
      <c r="J1043" t="s">
        <v>54</v>
      </c>
      <c r="K1043">
        <v>383</v>
      </c>
      <c r="L1043">
        <v>383</v>
      </c>
      <c r="M1043" t="str">
        <f>IFERROR(IF(VLOOKUP(LEFT(B1043,2),'Humanitarian codes'!$A$2:$A$10,1,FALSE)=LEFT(B1043,2),"Yes","Error"),"No")</f>
        <v>Yes</v>
      </c>
    </row>
    <row r="1044" spans="1:13" x14ac:dyDescent="0.25">
      <c r="A1044">
        <v>2022</v>
      </c>
      <c r="B1044" t="s">
        <v>5310</v>
      </c>
      <c r="C1044" t="s">
        <v>5311</v>
      </c>
      <c r="D1044" t="s">
        <v>30</v>
      </c>
      <c r="E1044" t="s">
        <v>54</v>
      </c>
      <c r="F1044">
        <v>4500227953</v>
      </c>
      <c r="G1044" t="s">
        <v>5316</v>
      </c>
      <c r="H1044" t="s">
        <v>3334</v>
      </c>
      <c r="I1044" t="s">
        <v>1291</v>
      </c>
      <c r="J1044" t="s">
        <v>54</v>
      </c>
      <c r="K1044" s="2">
        <v>10032</v>
      </c>
      <c r="L1044" s="2">
        <v>10032</v>
      </c>
      <c r="M1044" t="str">
        <f>IFERROR(IF(VLOOKUP(LEFT(B1044,2),'Humanitarian codes'!$A$2:$A$10,1,FALSE)=LEFT(B1044,2),"Yes","Error"),"No")</f>
        <v>Yes</v>
      </c>
    </row>
    <row r="1045" spans="1:13" x14ac:dyDescent="0.25">
      <c r="A1045">
        <v>2022</v>
      </c>
      <c r="B1045" t="s">
        <v>5310</v>
      </c>
      <c r="C1045" t="s">
        <v>5311</v>
      </c>
      <c r="D1045" t="s">
        <v>30</v>
      </c>
      <c r="E1045" t="s">
        <v>54</v>
      </c>
      <c r="F1045">
        <v>4500230824</v>
      </c>
      <c r="G1045" t="s">
        <v>5317</v>
      </c>
      <c r="H1045" t="s">
        <v>3334</v>
      </c>
      <c r="I1045" t="s">
        <v>5007</v>
      </c>
      <c r="J1045" t="s">
        <v>54</v>
      </c>
      <c r="K1045" s="2">
        <v>20180</v>
      </c>
      <c r="L1045" s="2">
        <v>20180</v>
      </c>
      <c r="M1045" t="str">
        <f>IFERROR(IF(VLOOKUP(LEFT(B1045,2),'Humanitarian codes'!$A$2:$A$10,1,FALSE)=LEFT(B1045,2),"Yes","Error"),"No")</f>
        <v>Yes</v>
      </c>
    </row>
    <row r="1046" spans="1:13" x14ac:dyDescent="0.25">
      <c r="A1046">
        <v>2022</v>
      </c>
      <c r="B1046" t="s">
        <v>5310</v>
      </c>
      <c r="C1046" t="s">
        <v>5311</v>
      </c>
      <c r="D1046" t="s">
        <v>30</v>
      </c>
      <c r="E1046" t="s">
        <v>54</v>
      </c>
      <c r="F1046">
        <v>4500230849</v>
      </c>
      <c r="G1046" t="s">
        <v>5318</v>
      </c>
      <c r="H1046" t="s">
        <v>3334</v>
      </c>
      <c r="I1046" t="s">
        <v>3499</v>
      </c>
      <c r="J1046" t="s">
        <v>54</v>
      </c>
      <c r="K1046" s="2">
        <v>11101</v>
      </c>
      <c r="L1046" s="2">
        <v>11101</v>
      </c>
      <c r="M1046" t="str">
        <f>IFERROR(IF(VLOOKUP(LEFT(B1046,2),'Humanitarian codes'!$A$2:$A$10,1,FALSE)=LEFT(B1046,2),"Yes","Error"),"No")</f>
        <v>Yes</v>
      </c>
    </row>
    <row r="1047" spans="1:13" x14ac:dyDescent="0.25">
      <c r="A1047">
        <v>2022</v>
      </c>
      <c r="B1047" t="s">
        <v>5310</v>
      </c>
      <c r="C1047" t="s">
        <v>5311</v>
      </c>
      <c r="D1047" t="s">
        <v>30</v>
      </c>
      <c r="E1047" t="s">
        <v>54</v>
      </c>
      <c r="F1047">
        <v>4500232729</v>
      </c>
      <c r="G1047" t="s">
        <v>5006</v>
      </c>
      <c r="H1047" t="s">
        <v>3334</v>
      </c>
      <c r="I1047" t="s">
        <v>5007</v>
      </c>
      <c r="J1047" t="s">
        <v>54</v>
      </c>
      <c r="K1047" s="2">
        <v>51040</v>
      </c>
      <c r="L1047" s="2">
        <v>100000</v>
      </c>
      <c r="M1047" t="str">
        <f>IFERROR(IF(VLOOKUP(LEFT(B1047,2),'Humanitarian codes'!$A$2:$A$10,1,FALSE)=LEFT(B1047,2),"Yes","Error"),"No")</f>
        <v>Yes</v>
      </c>
    </row>
    <row r="1048" spans="1:13" x14ac:dyDescent="0.25">
      <c r="A1048">
        <v>2022</v>
      </c>
      <c r="B1048" t="s">
        <v>5310</v>
      </c>
      <c r="C1048" t="s">
        <v>5311</v>
      </c>
      <c r="D1048" t="s">
        <v>30</v>
      </c>
      <c r="E1048" t="s">
        <v>54</v>
      </c>
      <c r="F1048">
        <v>4500232945</v>
      </c>
      <c r="G1048" t="s">
        <v>5319</v>
      </c>
      <c r="H1048" t="s">
        <v>3334</v>
      </c>
      <c r="I1048" t="s">
        <v>3497</v>
      </c>
      <c r="J1048" t="s">
        <v>54</v>
      </c>
      <c r="K1048" s="2">
        <v>16542</v>
      </c>
      <c r="L1048" s="2">
        <v>16542</v>
      </c>
      <c r="M1048" t="str">
        <f>IFERROR(IF(VLOOKUP(LEFT(B1048,2),'Humanitarian codes'!$A$2:$A$10,1,FALSE)=LEFT(B1048,2),"Yes","Error"),"No")</f>
        <v>Yes</v>
      </c>
    </row>
    <row r="1049" spans="1:13" x14ac:dyDescent="0.25">
      <c r="A1049">
        <v>2022</v>
      </c>
      <c r="B1049" t="s">
        <v>5310</v>
      </c>
      <c r="C1049" t="s">
        <v>5311</v>
      </c>
      <c r="D1049" t="s">
        <v>30</v>
      </c>
      <c r="E1049" t="s">
        <v>54</v>
      </c>
      <c r="F1049">
        <v>4500235383</v>
      </c>
      <c r="G1049" t="s">
        <v>5008</v>
      </c>
      <c r="H1049" t="s">
        <v>3334</v>
      </c>
      <c r="I1049" t="s">
        <v>3497</v>
      </c>
      <c r="J1049" t="s">
        <v>54</v>
      </c>
      <c r="K1049" s="2">
        <v>66560</v>
      </c>
      <c r="L1049" s="2">
        <v>140000</v>
      </c>
      <c r="M1049" t="str">
        <f>IFERROR(IF(VLOOKUP(LEFT(B1049,2),'Humanitarian codes'!$A$2:$A$10,1,FALSE)=LEFT(B1049,2),"Yes","Error"),"No")</f>
        <v>Yes</v>
      </c>
    </row>
    <row r="1050" spans="1:13" x14ac:dyDescent="0.25">
      <c r="A1050">
        <v>2022</v>
      </c>
      <c r="B1050" t="s">
        <v>5310</v>
      </c>
      <c r="C1050" t="s">
        <v>5311</v>
      </c>
      <c r="D1050" t="s">
        <v>30</v>
      </c>
      <c r="E1050" t="s">
        <v>54</v>
      </c>
      <c r="F1050">
        <v>4500235747</v>
      </c>
      <c r="G1050" t="s">
        <v>5320</v>
      </c>
      <c r="H1050" t="s">
        <v>3334</v>
      </c>
      <c r="I1050" t="s">
        <v>5321</v>
      </c>
      <c r="J1050" t="s">
        <v>54</v>
      </c>
      <c r="K1050" s="2">
        <v>6130</v>
      </c>
      <c r="L1050" s="2">
        <v>6130</v>
      </c>
      <c r="M1050" t="str">
        <f>IFERROR(IF(VLOOKUP(LEFT(B1050,2),'Humanitarian codes'!$A$2:$A$10,1,FALSE)=LEFT(B1050,2),"Yes","Error"),"No")</f>
        <v>Yes</v>
      </c>
    </row>
    <row r="1051" spans="1:13" x14ac:dyDescent="0.25">
      <c r="A1051">
        <v>2022</v>
      </c>
      <c r="B1051" t="s">
        <v>5310</v>
      </c>
      <c r="C1051" t="s">
        <v>5311</v>
      </c>
      <c r="D1051" t="s">
        <v>30</v>
      </c>
      <c r="E1051" t="s">
        <v>54</v>
      </c>
      <c r="F1051">
        <v>4500235778</v>
      </c>
      <c r="G1051" t="s">
        <v>4947</v>
      </c>
      <c r="H1051" t="s">
        <v>3334</v>
      </c>
      <c r="I1051" t="s">
        <v>4948</v>
      </c>
      <c r="J1051" t="s">
        <v>54</v>
      </c>
      <c r="K1051" s="2">
        <v>5445</v>
      </c>
      <c r="L1051" s="2">
        <v>21778</v>
      </c>
      <c r="M1051" t="str">
        <f>IFERROR(IF(VLOOKUP(LEFT(B1051,2),'Humanitarian codes'!$A$2:$A$10,1,FALSE)=LEFT(B1051,2),"Yes","Error"),"No")</f>
        <v>Yes</v>
      </c>
    </row>
    <row r="1052" spans="1:13" x14ac:dyDescent="0.25">
      <c r="A1052">
        <v>2022</v>
      </c>
      <c r="B1052" t="s">
        <v>5310</v>
      </c>
      <c r="C1052" t="s">
        <v>5311</v>
      </c>
      <c r="D1052" t="s">
        <v>30</v>
      </c>
      <c r="E1052" t="s">
        <v>54</v>
      </c>
      <c r="F1052">
        <v>4500235825</v>
      </c>
      <c r="G1052" t="s">
        <v>5322</v>
      </c>
      <c r="H1052" t="s">
        <v>3334</v>
      </c>
      <c r="I1052" t="s">
        <v>5323</v>
      </c>
      <c r="J1052" t="s">
        <v>54</v>
      </c>
      <c r="K1052" s="2">
        <v>3561</v>
      </c>
      <c r="L1052" s="2">
        <v>3561</v>
      </c>
      <c r="M1052" t="str">
        <f>IFERROR(IF(VLOOKUP(LEFT(B1052,2),'Humanitarian codes'!$A$2:$A$10,1,FALSE)=LEFT(B1052,2),"Yes","Error"),"No")</f>
        <v>Yes</v>
      </c>
    </row>
    <row r="1053" spans="1:13" x14ac:dyDescent="0.25">
      <c r="A1053">
        <v>2022</v>
      </c>
      <c r="B1053" t="s">
        <v>5310</v>
      </c>
      <c r="C1053" t="s">
        <v>5311</v>
      </c>
      <c r="D1053" t="s">
        <v>30</v>
      </c>
      <c r="E1053" t="s">
        <v>54</v>
      </c>
      <c r="F1053">
        <v>4500238402</v>
      </c>
      <c r="G1053" t="s">
        <v>4963</v>
      </c>
      <c r="H1053" t="s">
        <v>3334</v>
      </c>
      <c r="I1053" t="s">
        <v>1728</v>
      </c>
      <c r="J1053" t="s">
        <v>54</v>
      </c>
      <c r="K1053" s="2">
        <v>2678</v>
      </c>
      <c r="L1053" s="2">
        <v>5952</v>
      </c>
      <c r="M1053" t="str">
        <f>IFERROR(IF(VLOOKUP(LEFT(B1053,2),'Humanitarian codes'!$A$2:$A$10,1,FALSE)=LEFT(B1053,2),"Yes","Error"),"No")</f>
        <v>Yes</v>
      </c>
    </row>
    <row r="1054" spans="1:13" x14ac:dyDescent="0.25">
      <c r="A1054">
        <v>2022</v>
      </c>
      <c r="B1054" t="s">
        <v>5310</v>
      </c>
      <c r="C1054" t="s">
        <v>5311</v>
      </c>
      <c r="D1054" t="s">
        <v>30</v>
      </c>
      <c r="E1054" t="s">
        <v>54</v>
      </c>
      <c r="F1054">
        <v>4500238689</v>
      </c>
      <c r="G1054" t="s">
        <v>5324</v>
      </c>
      <c r="H1054" t="s">
        <v>3334</v>
      </c>
      <c r="I1054" t="s">
        <v>2003</v>
      </c>
      <c r="J1054" t="s">
        <v>54</v>
      </c>
      <c r="K1054" s="2">
        <v>11718</v>
      </c>
      <c r="L1054" s="2">
        <v>11718</v>
      </c>
      <c r="M1054" t="str">
        <f>IFERROR(IF(VLOOKUP(LEFT(B1054,2),'Humanitarian codes'!$A$2:$A$10,1,FALSE)=LEFT(B1054,2),"Yes","Error"),"No")</f>
        <v>Yes</v>
      </c>
    </row>
    <row r="1055" spans="1:13" x14ac:dyDescent="0.25">
      <c r="A1055">
        <v>2022</v>
      </c>
      <c r="B1055" t="s">
        <v>5310</v>
      </c>
      <c r="C1055" t="s">
        <v>5311</v>
      </c>
      <c r="D1055" t="s">
        <v>30</v>
      </c>
      <c r="E1055" t="s">
        <v>54</v>
      </c>
      <c r="F1055">
        <v>4500239883</v>
      </c>
      <c r="G1055" t="s">
        <v>5325</v>
      </c>
      <c r="H1055" t="s">
        <v>3334</v>
      </c>
      <c r="I1055" t="s">
        <v>3790</v>
      </c>
      <c r="J1055" t="s">
        <v>54</v>
      </c>
      <c r="K1055" s="2">
        <v>3600</v>
      </c>
      <c r="L1055" s="2">
        <v>3600</v>
      </c>
      <c r="M1055" t="str">
        <f>IFERROR(IF(VLOOKUP(LEFT(B1055,2),'Humanitarian codes'!$A$2:$A$10,1,FALSE)=LEFT(B1055,2),"Yes","Error"),"No")</f>
        <v>Yes</v>
      </c>
    </row>
    <row r="1056" spans="1:13" x14ac:dyDescent="0.25">
      <c r="A1056">
        <v>2022</v>
      </c>
      <c r="B1056" t="s">
        <v>5310</v>
      </c>
      <c r="C1056" t="s">
        <v>5311</v>
      </c>
      <c r="D1056" t="s">
        <v>30</v>
      </c>
      <c r="E1056" t="s">
        <v>54</v>
      </c>
      <c r="F1056">
        <v>4500246484</v>
      </c>
      <c r="G1056" t="s">
        <v>5009</v>
      </c>
      <c r="H1056" t="s">
        <v>3334</v>
      </c>
      <c r="I1056" t="s">
        <v>5010</v>
      </c>
      <c r="J1056" t="s">
        <v>54</v>
      </c>
      <c r="K1056" s="2">
        <v>70925</v>
      </c>
      <c r="L1056" s="2">
        <v>76000</v>
      </c>
      <c r="M1056" t="str">
        <f>IFERROR(IF(VLOOKUP(LEFT(B1056,2),'Humanitarian codes'!$A$2:$A$10,1,FALSE)=LEFT(B1056,2),"Yes","Error"),"No")</f>
        <v>Yes</v>
      </c>
    </row>
    <row r="1057" spans="1:13" x14ac:dyDescent="0.25">
      <c r="A1057">
        <v>2022</v>
      </c>
      <c r="B1057" t="s">
        <v>5310</v>
      </c>
      <c r="C1057" t="s">
        <v>5311</v>
      </c>
      <c r="D1057" t="s">
        <v>30</v>
      </c>
      <c r="E1057" t="s">
        <v>54</v>
      </c>
      <c r="F1057">
        <v>4500247615</v>
      </c>
      <c r="G1057" t="s">
        <v>5326</v>
      </c>
      <c r="H1057" t="s">
        <v>3334</v>
      </c>
      <c r="I1057" t="s">
        <v>271</v>
      </c>
      <c r="J1057" t="s">
        <v>54</v>
      </c>
      <c r="K1057" s="2">
        <v>26774</v>
      </c>
      <c r="L1057" s="2">
        <v>116408</v>
      </c>
      <c r="M1057" t="str">
        <f>IFERROR(IF(VLOOKUP(LEFT(B1057,2),'Humanitarian codes'!$A$2:$A$10,1,FALSE)=LEFT(B1057,2),"Yes","Error"),"No")</f>
        <v>Yes</v>
      </c>
    </row>
    <row r="1058" spans="1:13" x14ac:dyDescent="0.25">
      <c r="A1058">
        <v>2022</v>
      </c>
      <c r="B1058" t="s">
        <v>5310</v>
      </c>
      <c r="C1058" t="s">
        <v>5311</v>
      </c>
      <c r="D1058" t="s">
        <v>30</v>
      </c>
      <c r="E1058" t="s">
        <v>54</v>
      </c>
      <c r="F1058">
        <v>4500247935</v>
      </c>
      <c r="G1058" t="s">
        <v>5327</v>
      </c>
      <c r="H1058" t="s">
        <v>3334</v>
      </c>
      <c r="I1058" t="s">
        <v>5328</v>
      </c>
      <c r="J1058" t="s">
        <v>54</v>
      </c>
      <c r="K1058" s="2">
        <v>3133</v>
      </c>
      <c r="L1058" s="2">
        <v>17406</v>
      </c>
      <c r="M1058" t="str">
        <f>IFERROR(IF(VLOOKUP(LEFT(B1058,2),'Humanitarian codes'!$A$2:$A$10,1,FALSE)=LEFT(B1058,2),"Yes","Error"),"No")</f>
        <v>Yes</v>
      </c>
    </row>
    <row r="1059" spans="1:13" x14ac:dyDescent="0.25">
      <c r="A1059">
        <v>2022</v>
      </c>
      <c r="B1059" t="s">
        <v>5310</v>
      </c>
      <c r="C1059" t="s">
        <v>5311</v>
      </c>
      <c r="D1059" t="s">
        <v>30</v>
      </c>
      <c r="E1059" t="s">
        <v>54</v>
      </c>
      <c r="F1059">
        <v>4500248523</v>
      </c>
      <c r="G1059" t="s">
        <v>4576</v>
      </c>
      <c r="H1059" t="s">
        <v>3334</v>
      </c>
      <c r="I1059" t="s">
        <v>3393</v>
      </c>
      <c r="J1059" t="s">
        <v>54</v>
      </c>
      <c r="K1059" s="2">
        <v>24248</v>
      </c>
      <c r="L1059" s="2">
        <v>105428</v>
      </c>
      <c r="M1059" t="str">
        <f>IFERROR(IF(VLOOKUP(LEFT(B1059,2),'Humanitarian codes'!$A$2:$A$10,1,FALSE)=LEFT(B1059,2),"Yes","Error"),"No")</f>
        <v>Yes</v>
      </c>
    </row>
    <row r="1060" spans="1:13" x14ac:dyDescent="0.25">
      <c r="A1060">
        <v>2022</v>
      </c>
      <c r="B1060" t="s">
        <v>5310</v>
      </c>
      <c r="C1060" t="s">
        <v>5311</v>
      </c>
      <c r="D1060" t="s">
        <v>30</v>
      </c>
      <c r="E1060" t="s">
        <v>54</v>
      </c>
      <c r="F1060">
        <v>4500248975</v>
      </c>
      <c r="G1060" t="s">
        <v>5329</v>
      </c>
      <c r="H1060" t="s">
        <v>3334</v>
      </c>
      <c r="I1060" t="s">
        <v>5330</v>
      </c>
      <c r="J1060" t="s">
        <v>54</v>
      </c>
      <c r="K1060" s="2">
        <v>25792</v>
      </c>
      <c r="L1060" s="2">
        <v>103166</v>
      </c>
      <c r="M1060" t="str">
        <f>IFERROR(IF(VLOOKUP(LEFT(B1060,2),'Humanitarian codes'!$A$2:$A$10,1,FALSE)=LEFT(B1060,2),"Yes","Error"),"No")</f>
        <v>Yes</v>
      </c>
    </row>
    <row r="1061" spans="1:13" x14ac:dyDescent="0.25">
      <c r="A1061">
        <v>2022</v>
      </c>
      <c r="B1061" t="s">
        <v>5310</v>
      </c>
      <c r="C1061" t="s">
        <v>5311</v>
      </c>
      <c r="D1061" t="s">
        <v>30</v>
      </c>
      <c r="E1061" t="s">
        <v>54</v>
      </c>
      <c r="F1061">
        <v>4500249545</v>
      </c>
      <c r="G1061" t="s">
        <v>5331</v>
      </c>
      <c r="H1061" t="s">
        <v>3334</v>
      </c>
      <c r="I1061" t="s">
        <v>3790</v>
      </c>
      <c r="J1061" t="s">
        <v>54</v>
      </c>
      <c r="K1061" s="2">
        <v>95054</v>
      </c>
      <c r="L1061" s="2">
        <v>140541</v>
      </c>
      <c r="M1061" t="str">
        <f>IFERROR(IF(VLOOKUP(LEFT(B1061,2),'Humanitarian codes'!$A$2:$A$10,1,FALSE)=LEFT(B1061,2),"Yes","Error"),"No")</f>
        <v>Yes</v>
      </c>
    </row>
    <row r="1062" spans="1:13" x14ac:dyDescent="0.25">
      <c r="A1062">
        <v>2022</v>
      </c>
      <c r="B1062" t="s">
        <v>5310</v>
      </c>
      <c r="C1062" t="s">
        <v>5311</v>
      </c>
      <c r="D1062" t="s">
        <v>30</v>
      </c>
      <c r="E1062" t="s">
        <v>54</v>
      </c>
      <c r="F1062">
        <v>4500249921</v>
      </c>
      <c r="G1062" t="s">
        <v>5184</v>
      </c>
      <c r="H1062" t="s">
        <v>3334</v>
      </c>
      <c r="I1062" t="s">
        <v>280</v>
      </c>
      <c r="J1062" t="s">
        <v>54</v>
      </c>
      <c r="K1062" s="2">
        <v>28682</v>
      </c>
      <c r="L1062" s="2">
        <v>124706</v>
      </c>
      <c r="M1062" t="str">
        <f>IFERROR(IF(VLOOKUP(LEFT(B1062,2),'Humanitarian codes'!$A$2:$A$10,1,FALSE)=LEFT(B1062,2),"Yes","Error"),"No")</f>
        <v>Yes</v>
      </c>
    </row>
    <row r="1063" spans="1:13" x14ac:dyDescent="0.25">
      <c r="A1063">
        <v>2022</v>
      </c>
      <c r="B1063" t="s">
        <v>5310</v>
      </c>
      <c r="C1063" t="s">
        <v>5311</v>
      </c>
      <c r="D1063" t="s">
        <v>30</v>
      </c>
      <c r="E1063" t="s">
        <v>54</v>
      </c>
      <c r="F1063">
        <v>4500251584</v>
      </c>
      <c r="G1063" t="s">
        <v>5332</v>
      </c>
      <c r="H1063" t="s">
        <v>3334</v>
      </c>
      <c r="I1063" t="s">
        <v>5315</v>
      </c>
      <c r="J1063" t="s">
        <v>54</v>
      </c>
      <c r="K1063" s="2">
        <v>21588</v>
      </c>
      <c r="L1063" s="2">
        <v>21588</v>
      </c>
      <c r="M1063" t="str">
        <f>IFERROR(IF(VLOOKUP(LEFT(B1063,2),'Humanitarian codes'!$A$2:$A$10,1,FALSE)=LEFT(B1063,2),"Yes","Error"),"No")</f>
        <v>Yes</v>
      </c>
    </row>
    <row r="1064" spans="1:13" x14ac:dyDescent="0.25">
      <c r="A1064">
        <v>2022</v>
      </c>
      <c r="B1064" t="s">
        <v>5310</v>
      </c>
      <c r="C1064" t="s">
        <v>5311</v>
      </c>
      <c r="D1064" t="s">
        <v>30</v>
      </c>
      <c r="E1064" t="s">
        <v>54</v>
      </c>
      <c r="F1064">
        <v>4500255732</v>
      </c>
      <c r="G1064" t="s">
        <v>5333</v>
      </c>
      <c r="H1064" t="s">
        <v>3334</v>
      </c>
      <c r="I1064" t="s">
        <v>5334</v>
      </c>
      <c r="J1064" t="s">
        <v>54</v>
      </c>
      <c r="K1064" s="2">
        <v>5298</v>
      </c>
      <c r="L1064" s="2">
        <v>5298</v>
      </c>
      <c r="M1064" t="str">
        <f>IFERROR(IF(VLOOKUP(LEFT(B1064,2),'Humanitarian codes'!$A$2:$A$10,1,FALSE)=LEFT(B1064,2),"Yes","Error"),"No")</f>
        <v>Yes</v>
      </c>
    </row>
    <row r="1065" spans="1:13" x14ac:dyDescent="0.25">
      <c r="A1065">
        <v>2022</v>
      </c>
      <c r="B1065" t="s">
        <v>5310</v>
      </c>
      <c r="C1065" t="s">
        <v>5311</v>
      </c>
      <c r="D1065" t="s">
        <v>30</v>
      </c>
      <c r="E1065" t="s">
        <v>54</v>
      </c>
      <c r="F1065">
        <v>4500261416</v>
      </c>
      <c r="G1065" t="s">
        <v>5335</v>
      </c>
      <c r="H1065" t="s">
        <v>3334</v>
      </c>
      <c r="I1065" t="s">
        <v>4946</v>
      </c>
      <c r="J1065" t="s">
        <v>54</v>
      </c>
      <c r="K1065" s="2">
        <v>55000</v>
      </c>
      <c r="L1065" s="2">
        <v>55000</v>
      </c>
      <c r="M1065" t="str">
        <f>IFERROR(IF(VLOOKUP(LEFT(B1065,2),'Humanitarian codes'!$A$2:$A$10,1,FALSE)=LEFT(B1065,2),"Yes","Error"),"No")</f>
        <v>Yes</v>
      </c>
    </row>
    <row r="1066" spans="1:13" x14ac:dyDescent="0.25">
      <c r="A1066">
        <v>2022</v>
      </c>
      <c r="B1066" t="s">
        <v>5310</v>
      </c>
      <c r="C1066" t="s">
        <v>5311</v>
      </c>
      <c r="D1066" t="s">
        <v>30</v>
      </c>
      <c r="E1066" t="s">
        <v>54</v>
      </c>
      <c r="F1066">
        <v>4500275116</v>
      </c>
      <c r="G1066" t="s">
        <v>5013</v>
      </c>
      <c r="H1066" t="s">
        <v>3334</v>
      </c>
      <c r="I1066" t="s">
        <v>3790</v>
      </c>
      <c r="J1066" t="s">
        <v>54</v>
      </c>
      <c r="K1066" s="2">
        <v>217273</v>
      </c>
      <c r="L1066" s="2">
        <v>587224</v>
      </c>
      <c r="M1066" t="str">
        <f>IFERROR(IF(VLOOKUP(LEFT(B1066,2),'Humanitarian codes'!$A$2:$A$10,1,FALSE)=LEFT(B1066,2),"Yes","Error"),"No")</f>
        <v>Yes</v>
      </c>
    </row>
    <row r="1067" spans="1:13" x14ac:dyDescent="0.25">
      <c r="A1067">
        <v>2022</v>
      </c>
      <c r="B1067" t="s">
        <v>5336</v>
      </c>
      <c r="C1067" t="s">
        <v>5337</v>
      </c>
      <c r="D1067" t="s">
        <v>30</v>
      </c>
      <c r="E1067" t="s">
        <v>54</v>
      </c>
      <c r="F1067">
        <v>4500213017</v>
      </c>
      <c r="G1067" t="s">
        <v>5338</v>
      </c>
      <c r="H1067" t="s">
        <v>3334</v>
      </c>
      <c r="I1067" t="s">
        <v>278</v>
      </c>
      <c r="J1067" t="s">
        <v>54</v>
      </c>
      <c r="K1067" s="2">
        <v>4990</v>
      </c>
      <c r="L1067" s="2">
        <v>4990</v>
      </c>
      <c r="M1067" t="str">
        <f>IFERROR(IF(VLOOKUP(LEFT(B1067,2),'Humanitarian codes'!$A$2:$A$10,1,FALSE)=LEFT(B1067,2),"Yes","Error"),"No")</f>
        <v>Yes</v>
      </c>
    </row>
    <row r="1068" spans="1:13" x14ac:dyDescent="0.25">
      <c r="A1068">
        <v>2022</v>
      </c>
      <c r="B1068" t="s">
        <v>5339</v>
      </c>
      <c r="C1068" t="s">
        <v>5340</v>
      </c>
      <c r="D1068" t="s">
        <v>30</v>
      </c>
      <c r="E1068" t="s">
        <v>20</v>
      </c>
      <c r="F1068">
        <v>4500226554</v>
      </c>
      <c r="G1068" t="s">
        <v>5341</v>
      </c>
      <c r="H1068" t="s">
        <v>3334</v>
      </c>
      <c r="I1068" t="s">
        <v>5342</v>
      </c>
      <c r="J1068" t="s">
        <v>20</v>
      </c>
      <c r="K1068" s="2">
        <v>39764</v>
      </c>
      <c r="L1068" s="2">
        <v>39764</v>
      </c>
      <c r="M1068" t="str">
        <f>IFERROR(IF(VLOOKUP(LEFT(B1068,2),'Humanitarian codes'!$A$2:$A$10,1,FALSE)=LEFT(B1068,2),"Yes","Error"),"No")</f>
        <v>No</v>
      </c>
    </row>
    <row r="1069" spans="1:13" x14ac:dyDescent="0.25">
      <c r="A1069">
        <v>2022</v>
      </c>
      <c r="B1069" t="s">
        <v>5339</v>
      </c>
      <c r="C1069" t="s">
        <v>5340</v>
      </c>
      <c r="D1069" t="s">
        <v>30</v>
      </c>
      <c r="E1069" t="s">
        <v>20</v>
      </c>
      <c r="F1069">
        <v>4500226558</v>
      </c>
      <c r="G1069" t="s">
        <v>5343</v>
      </c>
      <c r="H1069" t="s">
        <v>3334</v>
      </c>
      <c r="I1069" t="s">
        <v>5342</v>
      </c>
      <c r="J1069" t="s">
        <v>20</v>
      </c>
      <c r="K1069" s="2">
        <v>37637</v>
      </c>
      <c r="L1069" s="2">
        <v>37637</v>
      </c>
      <c r="M1069" t="str">
        <f>IFERROR(IF(VLOOKUP(LEFT(B1069,2),'Humanitarian codes'!$A$2:$A$10,1,FALSE)=LEFT(B1069,2),"Yes","Error"),"No")</f>
        <v>No</v>
      </c>
    </row>
    <row r="1070" spans="1:13" x14ac:dyDescent="0.25">
      <c r="A1070">
        <v>2022</v>
      </c>
      <c r="B1070" t="s">
        <v>5339</v>
      </c>
      <c r="C1070" t="s">
        <v>5340</v>
      </c>
      <c r="D1070" t="s">
        <v>30</v>
      </c>
      <c r="E1070" t="s">
        <v>20</v>
      </c>
      <c r="F1070">
        <v>4500226562</v>
      </c>
      <c r="G1070" t="s">
        <v>5344</v>
      </c>
      <c r="H1070" t="s">
        <v>3334</v>
      </c>
      <c r="I1070" t="s">
        <v>5342</v>
      </c>
      <c r="J1070" t="s">
        <v>20</v>
      </c>
      <c r="K1070" s="2">
        <v>39902</v>
      </c>
      <c r="L1070" s="2">
        <v>39902</v>
      </c>
      <c r="M1070" t="str">
        <f>IFERROR(IF(VLOOKUP(LEFT(B1070,2),'Humanitarian codes'!$A$2:$A$10,1,FALSE)=LEFT(B1070,2),"Yes","Error"),"No")</f>
        <v>No</v>
      </c>
    </row>
    <row r="1071" spans="1:13" x14ac:dyDescent="0.25">
      <c r="A1071">
        <v>2022</v>
      </c>
      <c r="B1071" t="s">
        <v>453</v>
      </c>
      <c r="C1071" t="s">
        <v>454</v>
      </c>
      <c r="D1071" t="s">
        <v>30</v>
      </c>
      <c r="E1071" t="s">
        <v>257</v>
      </c>
      <c r="F1071">
        <v>4500239557</v>
      </c>
      <c r="G1071" t="s">
        <v>5345</v>
      </c>
      <c r="H1071" t="s">
        <v>3334</v>
      </c>
      <c r="I1071" t="s">
        <v>2055</v>
      </c>
      <c r="J1071" t="s">
        <v>257</v>
      </c>
      <c r="K1071" s="2">
        <v>62870</v>
      </c>
      <c r="L1071" s="2">
        <v>62870</v>
      </c>
      <c r="M1071" t="str">
        <f>IFERROR(IF(VLOOKUP(LEFT(B1071,2),'Humanitarian codes'!$A$2:$A$10,1,FALSE)=LEFT(B1071,2),"Yes","Error"),"No")</f>
        <v>No</v>
      </c>
    </row>
    <row r="1072" spans="1:13" x14ac:dyDescent="0.25">
      <c r="A1072">
        <v>2022</v>
      </c>
      <c r="B1072" t="s">
        <v>453</v>
      </c>
      <c r="C1072" t="s">
        <v>454</v>
      </c>
      <c r="D1072" t="s">
        <v>30</v>
      </c>
      <c r="E1072" t="s">
        <v>257</v>
      </c>
      <c r="F1072">
        <v>4500239629</v>
      </c>
      <c r="G1072" t="s">
        <v>5346</v>
      </c>
      <c r="H1072" t="s">
        <v>3334</v>
      </c>
      <c r="I1072" t="s">
        <v>5347</v>
      </c>
      <c r="J1072" t="s">
        <v>257</v>
      </c>
      <c r="K1072" s="2">
        <v>46361</v>
      </c>
      <c r="L1072" s="2">
        <v>46361</v>
      </c>
      <c r="M1072" t="str">
        <f>IFERROR(IF(VLOOKUP(LEFT(B1072,2),'Humanitarian codes'!$A$2:$A$10,1,FALSE)=LEFT(B1072,2),"Yes","Error"),"No")</f>
        <v>No</v>
      </c>
    </row>
    <row r="1073" spans="1:13" x14ac:dyDescent="0.25">
      <c r="A1073">
        <v>2022</v>
      </c>
      <c r="B1073" t="s">
        <v>453</v>
      </c>
      <c r="C1073" t="s">
        <v>454</v>
      </c>
      <c r="D1073" t="s">
        <v>30</v>
      </c>
      <c r="E1073" t="s">
        <v>257</v>
      </c>
      <c r="F1073">
        <v>4500239643</v>
      </c>
      <c r="G1073" t="s">
        <v>5348</v>
      </c>
      <c r="H1073" t="s">
        <v>3334</v>
      </c>
      <c r="I1073" t="s">
        <v>1672</v>
      </c>
      <c r="J1073" t="s">
        <v>257</v>
      </c>
      <c r="K1073" s="2">
        <v>63869</v>
      </c>
      <c r="L1073" s="2">
        <v>63869</v>
      </c>
      <c r="M1073" t="str">
        <f>IFERROR(IF(VLOOKUP(LEFT(B1073,2),'Humanitarian codes'!$A$2:$A$10,1,FALSE)=LEFT(B1073,2),"Yes","Error"),"No")</f>
        <v>No</v>
      </c>
    </row>
    <row r="1074" spans="1:13" x14ac:dyDescent="0.25">
      <c r="A1074">
        <v>2022</v>
      </c>
      <c r="B1074" t="s">
        <v>453</v>
      </c>
      <c r="C1074" t="s">
        <v>454</v>
      </c>
      <c r="D1074" t="s">
        <v>30</v>
      </c>
      <c r="E1074" t="s">
        <v>257</v>
      </c>
      <c r="F1074">
        <v>4500239821</v>
      </c>
      <c r="G1074" t="s">
        <v>5349</v>
      </c>
      <c r="H1074" t="s">
        <v>3334</v>
      </c>
      <c r="I1074" t="s">
        <v>5350</v>
      </c>
      <c r="J1074" t="s">
        <v>257</v>
      </c>
      <c r="K1074" s="2">
        <v>45419</v>
      </c>
      <c r="L1074" s="2">
        <v>45419</v>
      </c>
      <c r="M1074" t="str">
        <f>IFERROR(IF(VLOOKUP(LEFT(B1074,2),'Humanitarian codes'!$A$2:$A$10,1,FALSE)=LEFT(B1074,2),"Yes","Error"),"No")</f>
        <v>No</v>
      </c>
    </row>
    <row r="1075" spans="1:13" x14ac:dyDescent="0.25">
      <c r="A1075">
        <v>2022</v>
      </c>
      <c r="B1075" t="s">
        <v>453</v>
      </c>
      <c r="C1075" t="s">
        <v>454</v>
      </c>
      <c r="D1075" t="s">
        <v>30</v>
      </c>
      <c r="E1075" t="s">
        <v>330</v>
      </c>
      <c r="F1075">
        <v>4500251226</v>
      </c>
      <c r="G1075" t="s">
        <v>5351</v>
      </c>
      <c r="H1075" t="s">
        <v>3334</v>
      </c>
      <c r="I1075" t="s">
        <v>5352</v>
      </c>
      <c r="J1075" t="s">
        <v>330</v>
      </c>
      <c r="K1075" s="2">
        <v>9817</v>
      </c>
      <c r="L1075" s="2">
        <v>9817</v>
      </c>
      <c r="M1075" t="str">
        <f>IFERROR(IF(VLOOKUP(LEFT(B1075,2),'Humanitarian codes'!$A$2:$A$10,1,FALSE)=LEFT(B1075,2),"Yes","Error"),"No")</f>
        <v>No</v>
      </c>
    </row>
    <row r="1076" spans="1:13" x14ac:dyDescent="0.25">
      <c r="A1076">
        <v>2022</v>
      </c>
      <c r="B1076" t="s">
        <v>453</v>
      </c>
      <c r="C1076" t="s">
        <v>454</v>
      </c>
      <c r="D1076" t="s">
        <v>30</v>
      </c>
      <c r="E1076" t="s">
        <v>330</v>
      </c>
      <c r="F1076">
        <v>4500253638</v>
      </c>
      <c r="G1076" t="s">
        <v>5353</v>
      </c>
      <c r="H1076" t="s">
        <v>3334</v>
      </c>
      <c r="I1076" t="s">
        <v>2501</v>
      </c>
      <c r="J1076" t="s">
        <v>330</v>
      </c>
      <c r="K1076" s="2">
        <v>15086</v>
      </c>
      <c r="L1076" s="2">
        <v>15086</v>
      </c>
      <c r="M1076" t="str">
        <f>IFERROR(IF(VLOOKUP(LEFT(B1076,2),'Humanitarian codes'!$A$2:$A$10,1,FALSE)=LEFT(B1076,2),"Yes","Error"),"No")</f>
        <v>No</v>
      </c>
    </row>
    <row r="1077" spans="1:13" x14ac:dyDescent="0.25">
      <c r="A1077">
        <v>2022</v>
      </c>
      <c r="B1077" t="s">
        <v>453</v>
      </c>
      <c r="C1077" t="s">
        <v>454</v>
      </c>
      <c r="D1077" t="s">
        <v>30</v>
      </c>
      <c r="E1077" t="s">
        <v>20</v>
      </c>
      <c r="F1077">
        <v>4500276362</v>
      </c>
      <c r="G1077" t="s">
        <v>5354</v>
      </c>
      <c r="H1077" t="s">
        <v>3334</v>
      </c>
      <c r="I1077" t="s">
        <v>2247</v>
      </c>
      <c r="J1077" t="s">
        <v>20</v>
      </c>
      <c r="K1077" s="2">
        <v>149946</v>
      </c>
      <c r="L1077" s="2">
        <v>149946</v>
      </c>
      <c r="M1077" t="str">
        <f>IFERROR(IF(VLOOKUP(LEFT(B1077,2),'Humanitarian codes'!$A$2:$A$10,1,FALSE)=LEFT(B1077,2),"Yes","Error"),"No")</f>
        <v>No</v>
      </c>
    </row>
    <row r="1078" spans="1:13" x14ac:dyDescent="0.25">
      <c r="A1078">
        <v>2022</v>
      </c>
      <c r="B1078" t="s">
        <v>2056</v>
      </c>
      <c r="C1078" t="s">
        <v>2057</v>
      </c>
      <c r="D1078" t="s">
        <v>30</v>
      </c>
      <c r="E1078" t="s">
        <v>261</v>
      </c>
      <c r="F1078">
        <v>4500214427</v>
      </c>
      <c r="G1078" t="s">
        <v>5355</v>
      </c>
      <c r="H1078" t="s">
        <v>3334</v>
      </c>
      <c r="I1078" t="s">
        <v>2511</v>
      </c>
      <c r="J1078" t="s">
        <v>261</v>
      </c>
      <c r="K1078" s="2">
        <v>45179</v>
      </c>
      <c r="L1078" s="2">
        <v>67768</v>
      </c>
      <c r="M1078" t="str">
        <f>IFERROR(IF(VLOOKUP(LEFT(B1078,2),'Humanitarian codes'!$A$2:$A$10,1,FALSE)=LEFT(B1078,2),"Yes","Error"),"No")</f>
        <v>No</v>
      </c>
    </row>
    <row r="1079" spans="1:13" x14ac:dyDescent="0.25">
      <c r="A1079">
        <v>2022</v>
      </c>
      <c r="B1079" t="s">
        <v>2056</v>
      </c>
      <c r="C1079" t="s">
        <v>2057</v>
      </c>
      <c r="D1079" t="s">
        <v>30</v>
      </c>
      <c r="E1079" t="s">
        <v>261</v>
      </c>
      <c r="F1079">
        <v>4500217565</v>
      </c>
      <c r="G1079" t="s">
        <v>5356</v>
      </c>
      <c r="H1079" t="s">
        <v>3334</v>
      </c>
      <c r="I1079" t="s">
        <v>5357</v>
      </c>
      <c r="J1079" t="s">
        <v>261</v>
      </c>
      <c r="K1079" s="2">
        <v>31766</v>
      </c>
      <c r="L1079" s="2">
        <v>203425</v>
      </c>
      <c r="M1079" t="str">
        <f>IFERROR(IF(VLOOKUP(LEFT(B1079,2),'Humanitarian codes'!$A$2:$A$10,1,FALSE)=LEFT(B1079,2),"Yes","Error"),"No")</f>
        <v>No</v>
      </c>
    </row>
    <row r="1080" spans="1:13" x14ac:dyDescent="0.25">
      <c r="A1080">
        <v>2022</v>
      </c>
      <c r="B1080" t="s">
        <v>2056</v>
      </c>
      <c r="C1080" t="s">
        <v>2057</v>
      </c>
      <c r="D1080" t="s">
        <v>30</v>
      </c>
      <c r="E1080" t="s">
        <v>261</v>
      </c>
      <c r="F1080">
        <v>4500240476</v>
      </c>
      <c r="G1080" t="s">
        <v>5358</v>
      </c>
      <c r="H1080" t="s">
        <v>3334</v>
      </c>
      <c r="I1080" t="s">
        <v>5359</v>
      </c>
      <c r="J1080" t="s">
        <v>261</v>
      </c>
      <c r="K1080" s="2">
        <v>50205</v>
      </c>
      <c r="L1080" s="2">
        <v>50205</v>
      </c>
      <c r="M1080" t="str">
        <f>IFERROR(IF(VLOOKUP(LEFT(B1080,2),'Humanitarian codes'!$A$2:$A$10,1,FALSE)=LEFT(B1080,2),"Yes","Error"),"No")</f>
        <v>No</v>
      </c>
    </row>
    <row r="1081" spans="1:13" x14ac:dyDescent="0.25">
      <c r="A1081">
        <v>2022</v>
      </c>
      <c r="B1081" t="s">
        <v>2056</v>
      </c>
      <c r="C1081" t="s">
        <v>2057</v>
      </c>
      <c r="D1081" t="s">
        <v>30</v>
      </c>
      <c r="E1081" t="s">
        <v>261</v>
      </c>
      <c r="F1081">
        <v>4500242461</v>
      </c>
      <c r="G1081" t="s">
        <v>5360</v>
      </c>
      <c r="H1081" t="s">
        <v>3334</v>
      </c>
      <c r="I1081" t="s">
        <v>5359</v>
      </c>
      <c r="J1081" t="s">
        <v>261</v>
      </c>
      <c r="K1081" s="2">
        <v>9190</v>
      </c>
      <c r="L1081" s="2">
        <v>9190</v>
      </c>
      <c r="M1081" t="str">
        <f>IFERROR(IF(VLOOKUP(LEFT(B1081,2),'Humanitarian codes'!$A$2:$A$10,1,FALSE)=LEFT(B1081,2),"Yes","Error"),"No")</f>
        <v>No</v>
      </c>
    </row>
    <row r="1082" spans="1:13" x14ac:dyDescent="0.25">
      <c r="A1082">
        <v>2022</v>
      </c>
      <c r="B1082" t="s">
        <v>2056</v>
      </c>
      <c r="C1082" t="s">
        <v>2057</v>
      </c>
      <c r="D1082" t="s">
        <v>30</v>
      </c>
      <c r="E1082" t="s">
        <v>261</v>
      </c>
      <c r="F1082">
        <v>4500274337</v>
      </c>
      <c r="G1082" t="s">
        <v>5361</v>
      </c>
      <c r="H1082" t="s">
        <v>3334</v>
      </c>
      <c r="I1082" t="s">
        <v>5362</v>
      </c>
      <c r="J1082" t="s">
        <v>261</v>
      </c>
      <c r="K1082" s="2">
        <v>9887</v>
      </c>
      <c r="L1082" s="2">
        <v>9887</v>
      </c>
      <c r="M1082" t="str">
        <f>IFERROR(IF(VLOOKUP(LEFT(B1082,2),'Humanitarian codes'!$A$2:$A$10,1,FALSE)=LEFT(B1082,2),"Yes","Error"),"No")</f>
        <v>No</v>
      </c>
    </row>
    <row r="1083" spans="1:13" x14ac:dyDescent="0.25">
      <c r="A1083">
        <v>2022</v>
      </c>
      <c r="B1083" t="s">
        <v>2056</v>
      </c>
      <c r="C1083" t="s">
        <v>2057</v>
      </c>
      <c r="D1083" t="s">
        <v>30</v>
      </c>
      <c r="E1083" t="s">
        <v>261</v>
      </c>
      <c r="F1083">
        <v>4500275200</v>
      </c>
      <c r="G1083" t="s">
        <v>5363</v>
      </c>
      <c r="H1083" t="s">
        <v>3334</v>
      </c>
      <c r="I1083" t="s">
        <v>5364</v>
      </c>
      <c r="J1083" t="s">
        <v>261</v>
      </c>
      <c r="K1083" s="2">
        <v>16989</v>
      </c>
      <c r="L1083" s="2">
        <v>16989</v>
      </c>
      <c r="M1083" t="str">
        <f>IFERROR(IF(VLOOKUP(LEFT(B1083,2),'Humanitarian codes'!$A$2:$A$10,1,FALSE)=LEFT(B1083,2),"Yes","Error"),"No")</f>
        <v>No</v>
      </c>
    </row>
    <row r="1084" spans="1:13" x14ac:dyDescent="0.25">
      <c r="A1084">
        <v>2022</v>
      </c>
      <c r="B1084" t="s">
        <v>2056</v>
      </c>
      <c r="C1084" t="s">
        <v>2057</v>
      </c>
      <c r="D1084" t="s">
        <v>30</v>
      </c>
      <c r="E1084" t="s">
        <v>261</v>
      </c>
      <c r="F1084">
        <v>4500276125</v>
      </c>
      <c r="G1084" t="s">
        <v>5365</v>
      </c>
      <c r="H1084" t="s">
        <v>3334</v>
      </c>
      <c r="I1084" t="s">
        <v>5366</v>
      </c>
      <c r="J1084" t="s">
        <v>261</v>
      </c>
      <c r="K1084" s="2">
        <v>96273</v>
      </c>
      <c r="L1084" s="2">
        <v>96273</v>
      </c>
      <c r="M1084" t="str">
        <f>IFERROR(IF(VLOOKUP(LEFT(B1084,2),'Humanitarian codes'!$A$2:$A$10,1,FALSE)=LEFT(B1084,2),"Yes","Error"),"No")</f>
        <v>No</v>
      </c>
    </row>
    <row r="1085" spans="1:13" x14ac:dyDescent="0.25">
      <c r="A1085">
        <v>2022</v>
      </c>
      <c r="B1085" t="s">
        <v>2056</v>
      </c>
      <c r="C1085" t="s">
        <v>2057</v>
      </c>
      <c r="D1085" t="s">
        <v>30</v>
      </c>
      <c r="E1085" t="s">
        <v>261</v>
      </c>
      <c r="F1085">
        <v>4500276134</v>
      </c>
      <c r="G1085" t="s">
        <v>5367</v>
      </c>
      <c r="H1085" t="s">
        <v>3334</v>
      </c>
      <c r="I1085" t="s">
        <v>5368</v>
      </c>
      <c r="J1085" t="s">
        <v>261</v>
      </c>
      <c r="K1085" s="2">
        <v>25484</v>
      </c>
      <c r="L1085" s="2">
        <v>25484</v>
      </c>
      <c r="M1085" t="str">
        <f>IFERROR(IF(VLOOKUP(LEFT(B1085,2),'Humanitarian codes'!$A$2:$A$10,1,FALSE)=LEFT(B1085,2),"Yes","Error"),"No")</f>
        <v>No</v>
      </c>
    </row>
    <row r="1086" spans="1:13" x14ac:dyDescent="0.25">
      <c r="A1086">
        <v>2022</v>
      </c>
      <c r="B1086" t="s">
        <v>5369</v>
      </c>
      <c r="C1086" t="s">
        <v>5370</v>
      </c>
      <c r="D1086" t="s">
        <v>30</v>
      </c>
      <c r="E1086" t="s">
        <v>261</v>
      </c>
      <c r="F1086">
        <v>4500196359</v>
      </c>
      <c r="G1086" t="s">
        <v>5371</v>
      </c>
      <c r="H1086" t="s">
        <v>3334</v>
      </c>
      <c r="I1086" t="s">
        <v>5357</v>
      </c>
      <c r="J1086" t="s">
        <v>261</v>
      </c>
      <c r="K1086" s="2">
        <v>120401</v>
      </c>
      <c r="L1086" s="2">
        <v>120401</v>
      </c>
      <c r="M1086" t="str">
        <f>IFERROR(IF(VLOOKUP(LEFT(B1086,2),'Humanitarian codes'!$A$2:$A$10,1,FALSE)=LEFT(B1086,2),"Yes","Error"),"No")</f>
        <v>No</v>
      </c>
    </row>
    <row r="1087" spans="1:13" x14ac:dyDescent="0.25">
      <c r="A1087">
        <v>2022</v>
      </c>
      <c r="B1087" t="s">
        <v>5369</v>
      </c>
      <c r="C1087" t="s">
        <v>5370</v>
      </c>
      <c r="D1087" t="s">
        <v>30</v>
      </c>
      <c r="E1087" t="s">
        <v>261</v>
      </c>
      <c r="F1087">
        <v>4500213557</v>
      </c>
      <c r="G1087" t="s">
        <v>5372</v>
      </c>
      <c r="H1087" t="s">
        <v>3334</v>
      </c>
      <c r="I1087" t="s">
        <v>5373</v>
      </c>
      <c r="J1087" t="s">
        <v>261</v>
      </c>
      <c r="K1087" s="2">
        <v>63604</v>
      </c>
      <c r="L1087" s="2">
        <v>67881</v>
      </c>
      <c r="M1087" t="str">
        <f>IFERROR(IF(VLOOKUP(LEFT(B1087,2),'Humanitarian codes'!$A$2:$A$10,1,FALSE)=LEFT(B1087,2),"Yes","Error"),"No")</f>
        <v>No</v>
      </c>
    </row>
    <row r="1088" spans="1:13" x14ac:dyDescent="0.25">
      <c r="A1088">
        <v>2022</v>
      </c>
      <c r="B1088" t="s">
        <v>5369</v>
      </c>
      <c r="C1088" t="s">
        <v>5370</v>
      </c>
      <c r="D1088" t="s">
        <v>30</v>
      </c>
      <c r="E1088" t="s">
        <v>261</v>
      </c>
      <c r="F1088">
        <v>4500214427</v>
      </c>
      <c r="G1088" t="s">
        <v>5355</v>
      </c>
      <c r="H1088" t="s">
        <v>3334</v>
      </c>
      <c r="I1088" t="s">
        <v>2511</v>
      </c>
      <c r="J1088" t="s">
        <v>261</v>
      </c>
      <c r="K1088" s="2">
        <v>22589</v>
      </c>
      <c r="L1088" s="2">
        <v>67768</v>
      </c>
      <c r="M1088" t="str">
        <f>IFERROR(IF(VLOOKUP(LEFT(B1088,2),'Humanitarian codes'!$A$2:$A$10,1,FALSE)=LEFT(B1088,2),"Yes","Error"),"No")</f>
        <v>No</v>
      </c>
    </row>
    <row r="1089" spans="1:13" x14ac:dyDescent="0.25">
      <c r="A1089">
        <v>2022</v>
      </c>
      <c r="B1089" t="s">
        <v>5369</v>
      </c>
      <c r="C1089" t="s">
        <v>5370</v>
      </c>
      <c r="D1089" t="s">
        <v>30</v>
      </c>
      <c r="E1089" t="s">
        <v>261</v>
      </c>
      <c r="F1089">
        <v>4500217565</v>
      </c>
      <c r="G1089" t="s">
        <v>5356</v>
      </c>
      <c r="H1089" t="s">
        <v>3334</v>
      </c>
      <c r="I1089" t="s">
        <v>5357</v>
      </c>
      <c r="J1089" t="s">
        <v>261</v>
      </c>
      <c r="K1089" s="2">
        <v>166583</v>
      </c>
      <c r="L1089" s="2">
        <v>203425</v>
      </c>
      <c r="M1089" t="str">
        <f>IFERROR(IF(VLOOKUP(LEFT(B1089,2),'Humanitarian codes'!$A$2:$A$10,1,FALSE)=LEFT(B1089,2),"Yes","Error"),"No")</f>
        <v>No</v>
      </c>
    </row>
    <row r="1090" spans="1:13" x14ac:dyDescent="0.25">
      <c r="A1090">
        <v>2022</v>
      </c>
      <c r="B1090" t="s">
        <v>3634</v>
      </c>
      <c r="C1090" t="s">
        <v>3635</v>
      </c>
      <c r="D1090" t="s">
        <v>30</v>
      </c>
      <c r="E1090" t="s">
        <v>940</v>
      </c>
      <c r="F1090">
        <v>4500236167</v>
      </c>
      <c r="G1090" t="s">
        <v>5374</v>
      </c>
      <c r="H1090" t="s">
        <v>3334</v>
      </c>
      <c r="I1090" t="s">
        <v>1388</v>
      </c>
      <c r="J1090" t="s">
        <v>940</v>
      </c>
      <c r="K1090" s="2">
        <v>454000</v>
      </c>
      <c r="L1090" s="2">
        <v>454000</v>
      </c>
      <c r="M1090" t="str">
        <f>IFERROR(IF(VLOOKUP(LEFT(B1090,2),'Humanitarian codes'!$A$2:$A$10,1,FALSE)=LEFT(B1090,2),"Yes","Error"),"No")</f>
        <v>No</v>
      </c>
    </row>
    <row r="1091" spans="1:13" x14ac:dyDescent="0.25">
      <c r="A1091">
        <v>2022</v>
      </c>
      <c r="B1091" t="s">
        <v>3836</v>
      </c>
      <c r="C1091" t="s">
        <v>3837</v>
      </c>
      <c r="D1091" t="s">
        <v>30</v>
      </c>
      <c r="E1091" t="s">
        <v>261</v>
      </c>
      <c r="F1091">
        <v>4500180552</v>
      </c>
      <c r="G1091" t="s">
        <v>5375</v>
      </c>
      <c r="H1091" t="s">
        <v>3334</v>
      </c>
      <c r="I1091" t="s">
        <v>5376</v>
      </c>
      <c r="J1091" t="s">
        <v>261</v>
      </c>
      <c r="K1091" s="2">
        <v>23616</v>
      </c>
      <c r="L1091" s="2">
        <v>531305</v>
      </c>
      <c r="M1091" t="str">
        <f>IFERROR(IF(VLOOKUP(LEFT(B1091,2),'Humanitarian codes'!$A$2:$A$10,1,FALSE)=LEFT(B1091,2),"Yes","Error"),"No")</f>
        <v>No</v>
      </c>
    </row>
    <row r="1092" spans="1:13" x14ac:dyDescent="0.25">
      <c r="A1092">
        <v>2022</v>
      </c>
      <c r="B1092" t="s">
        <v>5377</v>
      </c>
      <c r="C1092" t="s">
        <v>5378</v>
      </c>
      <c r="D1092" t="s">
        <v>30</v>
      </c>
      <c r="E1092" t="s">
        <v>940</v>
      </c>
      <c r="F1092">
        <v>4500249623</v>
      </c>
      <c r="G1092" t="s">
        <v>2200</v>
      </c>
      <c r="H1092" t="s">
        <v>3334</v>
      </c>
      <c r="I1092" t="s">
        <v>5379</v>
      </c>
      <c r="J1092" t="s">
        <v>940</v>
      </c>
      <c r="K1092" s="2">
        <v>189285</v>
      </c>
      <c r="L1092" s="2">
        <v>189285</v>
      </c>
      <c r="M1092" t="str">
        <f>IFERROR(IF(VLOOKUP(LEFT(B1092,2),'Humanitarian codes'!$A$2:$A$10,1,FALSE)=LEFT(B1092,2),"Yes","Error"),"No")</f>
        <v>No</v>
      </c>
    </row>
    <row r="1093" spans="1:13" x14ac:dyDescent="0.25">
      <c r="A1093">
        <v>2022</v>
      </c>
      <c r="B1093" t="s">
        <v>5377</v>
      </c>
      <c r="C1093" t="s">
        <v>5378</v>
      </c>
      <c r="D1093" t="s">
        <v>30</v>
      </c>
      <c r="E1093" t="s">
        <v>940</v>
      </c>
      <c r="F1093">
        <v>4500258632</v>
      </c>
      <c r="G1093" t="s">
        <v>5380</v>
      </c>
      <c r="H1093" t="s">
        <v>3334</v>
      </c>
      <c r="I1093" t="s">
        <v>5381</v>
      </c>
      <c r="J1093" t="s">
        <v>940</v>
      </c>
      <c r="K1093" s="2">
        <v>536841</v>
      </c>
      <c r="L1093" s="2">
        <v>536841</v>
      </c>
      <c r="M1093" t="str">
        <f>IFERROR(IF(VLOOKUP(LEFT(B1093,2),'Humanitarian codes'!$A$2:$A$10,1,FALSE)=LEFT(B1093,2),"Yes","Error"),"No")</f>
        <v>No</v>
      </c>
    </row>
    <row r="1094" spans="1:13" x14ac:dyDescent="0.25">
      <c r="A1094">
        <v>2022</v>
      </c>
      <c r="B1094" t="s">
        <v>5382</v>
      </c>
      <c r="C1094" t="s">
        <v>5383</v>
      </c>
      <c r="D1094" t="s">
        <v>30</v>
      </c>
      <c r="E1094" t="s">
        <v>261</v>
      </c>
      <c r="F1094">
        <v>4500180552</v>
      </c>
      <c r="G1094" t="s">
        <v>5375</v>
      </c>
      <c r="H1094" t="s">
        <v>3334</v>
      </c>
      <c r="I1094" t="s">
        <v>5376</v>
      </c>
      <c r="J1094" t="s">
        <v>261</v>
      </c>
      <c r="K1094" s="2">
        <v>507688</v>
      </c>
      <c r="L1094" s="2">
        <v>531305</v>
      </c>
      <c r="M1094" t="str">
        <f>IFERROR(IF(VLOOKUP(LEFT(B1094,2),'Humanitarian codes'!$A$2:$A$10,1,FALSE)=LEFT(B1094,2),"Yes","Error"),"No")</f>
        <v>No</v>
      </c>
    </row>
    <row r="1095" spans="1:13" x14ac:dyDescent="0.25">
      <c r="A1095">
        <v>2022</v>
      </c>
      <c r="B1095" t="s">
        <v>5384</v>
      </c>
      <c r="C1095" t="s">
        <v>5385</v>
      </c>
      <c r="D1095" t="s">
        <v>30</v>
      </c>
      <c r="E1095" t="s">
        <v>261</v>
      </c>
      <c r="F1095">
        <v>4500252131</v>
      </c>
      <c r="G1095" t="s">
        <v>5386</v>
      </c>
      <c r="H1095" t="s">
        <v>3334</v>
      </c>
      <c r="I1095" t="s">
        <v>5376</v>
      </c>
      <c r="J1095" t="s">
        <v>261</v>
      </c>
      <c r="K1095" s="2">
        <v>662184</v>
      </c>
      <c r="L1095" s="2">
        <v>719967</v>
      </c>
      <c r="M1095" t="str">
        <f>IFERROR(IF(VLOOKUP(LEFT(B1095,2),'Humanitarian codes'!$A$2:$A$10,1,FALSE)=LEFT(B1095,2),"Yes","Error"),"No")</f>
        <v>No</v>
      </c>
    </row>
    <row r="1096" spans="1:13" x14ac:dyDescent="0.25">
      <c r="A1096">
        <v>2022</v>
      </c>
      <c r="B1096" t="s">
        <v>3637</v>
      </c>
      <c r="C1096" t="s">
        <v>3638</v>
      </c>
      <c r="D1096" t="s">
        <v>30</v>
      </c>
      <c r="E1096" t="s">
        <v>814</v>
      </c>
      <c r="F1096">
        <v>4500180051</v>
      </c>
      <c r="G1096" t="s">
        <v>5387</v>
      </c>
      <c r="H1096" t="s">
        <v>3334</v>
      </c>
      <c r="I1096" t="s">
        <v>112</v>
      </c>
      <c r="J1096" t="s">
        <v>3842</v>
      </c>
      <c r="K1096" s="2">
        <v>122881</v>
      </c>
      <c r="L1096" s="2">
        <v>122881</v>
      </c>
      <c r="M1096" t="str">
        <f>IFERROR(IF(VLOOKUP(LEFT(B1096,2),'Humanitarian codes'!$A$2:$A$10,1,FALSE)=LEFT(B1096,2),"Yes","Error"),"No")</f>
        <v>No</v>
      </c>
    </row>
    <row r="1097" spans="1:13" x14ac:dyDescent="0.25">
      <c r="A1097">
        <v>2022</v>
      </c>
      <c r="B1097" t="s">
        <v>3637</v>
      </c>
      <c r="C1097" t="s">
        <v>3638</v>
      </c>
      <c r="D1097" t="s">
        <v>30</v>
      </c>
      <c r="E1097" t="s">
        <v>814</v>
      </c>
      <c r="F1097">
        <v>4500183678</v>
      </c>
      <c r="G1097" t="s">
        <v>5388</v>
      </c>
      <c r="H1097" t="s">
        <v>3334</v>
      </c>
      <c r="I1097" t="s">
        <v>5389</v>
      </c>
      <c r="J1097" t="s">
        <v>3842</v>
      </c>
      <c r="K1097" s="2">
        <v>248861</v>
      </c>
      <c r="L1097" s="2">
        <v>248861</v>
      </c>
      <c r="M1097" t="str">
        <f>IFERROR(IF(VLOOKUP(LEFT(B1097,2),'Humanitarian codes'!$A$2:$A$10,1,FALSE)=LEFT(B1097,2),"Yes","Error"),"No")</f>
        <v>No</v>
      </c>
    </row>
    <row r="1098" spans="1:13" x14ac:dyDescent="0.25">
      <c r="A1098">
        <v>2022</v>
      </c>
      <c r="B1098" t="s">
        <v>3637</v>
      </c>
      <c r="C1098" t="s">
        <v>3638</v>
      </c>
      <c r="D1098" t="s">
        <v>30</v>
      </c>
      <c r="E1098" t="s">
        <v>814</v>
      </c>
      <c r="F1098">
        <v>4500191174</v>
      </c>
      <c r="G1098" t="s">
        <v>5390</v>
      </c>
      <c r="H1098" t="s">
        <v>3334</v>
      </c>
      <c r="I1098" t="s">
        <v>5391</v>
      </c>
      <c r="J1098" t="s">
        <v>3842</v>
      </c>
      <c r="K1098" s="2">
        <v>4331</v>
      </c>
      <c r="L1098" s="2">
        <v>4331</v>
      </c>
      <c r="M1098" t="str">
        <f>IFERROR(IF(VLOOKUP(LEFT(B1098,2),'Humanitarian codes'!$A$2:$A$10,1,FALSE)=LEFT(B1098,2),"Yes","Error"),"No")</f>
        <v>No</v>
      </c>
    </row>
    <row r="1099" spans="1:13" x14ac:dyDescent="0.25">
      <c r="A1099">
        <v>2022</v>
      </c>
      <c r="B1099" t="s">
        <v>3637</v>
      </c>
      <c r="C1099" t="s">
        <v>3638</v>
      </c>
      <c r="D1099" t="s">
        <v>30</v>
      </c>
      <c r="E1099" t="s">
        <v>814</v>
      </c>
      <c r="F1099">
        <v>4500196905</v>
      </c>
      <c r="G1099" t="s">
        <v>5392</v>
      </c>
      <c r="H1099" t="s">
        <v>3334</v>
      </c>
      <c r="I1099" t="s">
        <v>5391</v>
      </c>
      <c r="J1099" t="s">
        <v>3842</v>
      </c>
      <c r="K1099" s="2">
        <v>10827</v>
      </c>
      <c r="L1099" s="2">
        <v>10827</v>
      </c>
      <c r="M1099" t="str">
        <f>IFERROR(IF(VLOOKUP(LEFT(B1099,2),'Humanitarian codes'!$A$2:$A$10,1,FALSE)=LEFT(B1099,2),"Yes","Error"),"No")</f>
        <v>No</v>
      </c>
    </row>
    <row r="1100" spans="1:13" x14ac:dyDescent="0.25">
      <c r="A1100">
        <v>2022</v>
      </c>
      <c r="B1100" t="s">
        <v>1434</v>
      </c>
      <c r="C1100" t="s">
        <v>1435</v>
      </c>
      <c r="D1100" t="s">
        <v>543</v>
      </c>
      <c r="E1100" t="s">
        <v>1436</v>
      </c>
      <c r="F1100">
        <v>4500202474</v>
      </c>
      <c r="G1100" t="s">
        <v>5393</v>
      </c>
      <c r="H1100" t="s">
        <v>3334</v>
      </c>
      <c r="I1100" t="s">
        <v>2063</v>
      </c>
      <c r="J1100" t="s">
        <v>1436</v>
      </c>
      <c r="K1100" s="2">
        <v>10000</v>
      </c>
      <c r="L1100" s="2">
        <v>10000</v>
      </c>
      <c r="M1100" t="str">
        <f>IFERROR(IF(VLOOKUP(LEFT(B1100,2),'Humanitarian codes'!$A$2:$A$10,1,FALSE)=LEFT(B1100,2),"Yes","Error"),"No")</f>
        <v>No</v>
      </c>
    </row>
    <row r="1101" spans="1:13" x14ac:dyDescent="0.25">
      <c r="A1101">
        <v>2022</v>
      </c>
      <c r="B1101" t="s">
        <v>5394</v>
      </c>
      <c r="C1101" t="s">
        <v>5395</v>
      </c>
      <c r="D1101" t="s">
        <v>543</v>
      </c>
      <c r="E1101" t="s">
        <v>128</v>
      </c>
      <c r="F1101">
        <v>4600628239</v>
      </c>
      <c r="G1101" t="s">
        <v>5396</v>
      </c>
      <c r="H1101" t="s">
        <v>3334</v>
      </c>
      <c r="I1101" t="s">
        <v>5397</v>
      </c>
      <c r="J1101" t="s">
        <v>45</v>
      </c>
      <c r="K1101" s="2">
        <v>1966225</v>
      </c>
      <c r="L1101" s="2">
        <v>1966225</v>
      </c>
      <c r="M1101" t="str">
        <f>IFERROR(IF(VLOOKUP(LEFT(B1101,2),'Humanitarian codes'!$A$2:$A$10,1,FALSE)=LEFT(B1101,2),"Yes","Error"),"No")</f>
        <v>No</v>
      </c>
    </row>
    <row r="1102" spans="1:13" x14ac:dyDescent="0.25">
      <c r="A1102">
        <v>2022</v>
      </c>
      <c r="B1102" t="s">
        <v>3641</v>
      </c>
      <c r="C1102" t="s">
        <v>3642</v>
      </c>
      <c r="D1102" t="s">
        <v>543</v>
      </c>
      <c r="E1102" t="s">
        <v>83</v>
      </c>
      <c r="F1102">
        <v>4500207753</v>
      </c>
      <c r="G1102" t="s">
        <v>5398</v>
      </c>
      <c r="H1102" t="s">
        <v>3334</v>
      </c>
      <c r="I1102" t="s">
        <v>1930</v>
      </c>
      <c r="J1102" t="s">
        <v>83</v>
      </c>
      <c r="K1102" s="2">
        <v>64826</v>
      </c>
      <c r="L1102" s="2">
        <v>64826</v>
      </c>
      <c r="M1102" t="str">
        <f>IFERROR(IF(VLOOKUP(LEFT(B1102,2),'Humanitarian codes'!$A$2:$A$10,1,FALSE)=LEFT(B1102,2),"Yes","Error"),"No")</f>
        <v>No</v>
      </c>
    </row>
    <row r="1103" spans="1:13" x14ac:dyDescent="0.25">
      <c r="A1103">
        <v>2022</v>
      </c>
      <c r="B1103" t="s">
        <v>5399</v>
      </c>
      <c r="C1103" t="s">
        <v>5400</v>
      </c>
      <c r="D1103" t="s">
        <v>543</v>
      </c>
      <c r="E1103" t="s">
        <v>793</v>
      </c>
      <c r="F1103">
        <v>4500228952</v>
      </c>
      <c r="G1103" t="s">
        <v>4739</v>
      </c>
      <c r="H1103" t="s">
        <v>3334</v>
      </c>
      <c r="I1103" t="s">
        <v>1837</v>
      </c>
      <c r="J1103" t="s">
        <v>793</v>
      </c>
      <c r="K1103" s="2">
        <v>15408</v>
      </c>
      <c r="L1103" s="2">
        <v>30816</v>
      </c>
      <c r="M1103" t="str">
        <f>IFERROR(IF(VLOOKUP(LEFT(B1103,2),'Humanitarian codes'!$A$2:$A$10,1,FALSE)=LEFT(B1103,2),"Yes","Error"),"No")</f>
        <v>No</v>
      </c>
    </row>
    <row r="1104" spans="1:13" x14ac:dyDescent="0.25">
      <c r="A1104">
        <v>2022</v>
      </c>
      <c r="B1104" t="s">
        <v>5401</v>
      </c>
      <c r="C1104" t="s">
        <v>5402</v>
      </c>
      <c r="D1104" t="s">
        <v>543</v>
      </c>
      <c r="E1104" t="s">
        <v>523</v>
      </c>
      <c r="F1104">
        <v>4500255301</v>
      </c>
      <c r="G1104" t="s">
        <v>5403</v>
      </c>
      <c r="H1104" t="s">
        <v>3334</v>
      </c>
      <c r="I1104" t="s">
        <v>5404</v>
      </c>
      <c r="J1104" t="s">
        <v>523</v>
      </c>
      <c r="K1104" s="2">
        <v>79730</v>
      </c>
      <c r="L1104" s="2">
        <v>79730</v>
      </c>
      <c r="M1104" t="str">
        <f>IFERROR(IF(VLOOKUP(LEFT(B1104,2),'Humanitarian codes'!$A$2:$A$10,1,FALSE)=LEFT(B1104,2),"Yes","Error"),"No")</f>
        <v>No</v>
      </c>
    </row>
    <row r="1105" spans="1:13" x14ac:dyDescent="0.25">
      <c r="A1105">
        <v>2022</v>
      </c>
      <c r="B1105" t="s">
        <v>5405</v>
      </c>
      <c r="C1105" t="s">
        <v>5406</v>
      </c>
      <c r="D1105" t="s">
        <v>543</v>
      </c>
      <c r="E1105" t="s">
        <v>523</v>
      </c>
      <c r="F1105">
        <v>4500206008</v>
      </c>
      <c r="G1105" t="s">
        <v>5407</v>
      </c>
      <c r="H1105" t="s">
        <v>3334</v>
      </c>
      <c r="I1105" t="s">
        <v>1450</v>
      </c>
      <c r="J1105" t="s">
        <v>523</v>
      </c>
      <c r="K1105" s="2">
        <v>18160</v>
      </c>
      <c r="L1105" s="2">
        <v>18160</v>
      </c>
      <c r="M1105" t="str">
        <f>IFERROR(IF(VLOOKUP(LEFT(B1105,2),'Humanitarian codes'!$A$2:$A$10,1,FALSE)=LEFT(B1105,2),"Yes","Error"),"No")</f>
        <v>No</v>
      </c>
    </row>
    <row r="1106" spans="1:13" x14ac:dyDescent="0.25">
      <c r="A1106">
        <v>2022</v>
      </c>
      <c r="B1106" t="s">
        <v>5405</v>
      </c>
      <c r="C1106" t="s">
        <v>5406</v>
      </c>
      <c r="D1106" t="s">
        <v>543</v>
      </c>
      <c r="E1106" t="s">
        <v>523</v>
      </c>
      <c r="F1106">
        <v>4500206012</v>
      </c>
      <c r="G1106" t="s">
        <v>5408</v>
      </c>
      <c r="H1106" t="s">
        <v>3334</v>
      </c>
      <c r="I1106" t="s">
        <v>1449</v>
      </c>
      <c r="J1106" t="s">
        <v>523</v>
      </c>
      <c r="K1106" s="2">
        <v>15753</v>
      </c>
      <c r="L1106" s="2">
        <v>15753</v>
      </c>
      <c r="M1106" t="str">
        <f>IFERROR(IF(VLOOKUP(LEFT(B1106,2),'Humanitarian codes'!$A$2:$A$10,1,FALSE)=LEFT(B1106,2),"Yes","Error"),"No")</f>
        <v>No</v>
      </c>
    </row>
    <row r="1107" spans="1:13" x14ac:dyDescent="0.25">
      <c r="A1107">
        <v>2022</v>
      </c>
      <c r="B1107" t="s">
        <v>5405</v>
      </c>
      <c r="C1107" t="s">
        <v>5406</v>
      </c>
      <c r="D1107" t="s">
        <v>543</v>
      </c>
      <c r="E1107" t="s">
        <v>523</v>
      </c>
      <c r="F1107">
        <v>4500206013</v>
      </c>
      <c r="G1107" t="s">
        <v>5409</v>
      </c>
      <c r="H1107" t="s">
        <v>3334</v>
      </c>
      <c r="I1107" t="s">
        <v>1804</v>
      </c>
      <c r="J1107" t="s">
        <v>523</v>
      </c>
      <c r="K1107" s="2">
        <v>21376</v>
      </c>
      <c r="L1107" s="2">
        <v>21376</v>
      </c>
      <c r="M1107" t="str">
        <f>IFERROR(IF(VLOOKUP(LEFT(B1107,2),'Humanitarian codes'!$A$2:$A$10,1,FALSE)=LEFT(B1107,2),"Yes","Error"),"No")</f>
        <v>No</v>
      </c>
    </row>
    <row r="1108" spans="1:13" x14ac:dyDescent="0.25">
      <c r="A1108">
        <v>2022</v>
      </c>
      <c r="B1108" t="s">
        <v>5405</v>
      </c>
      <c r="C1108" t="s">
        <v>5406</v>
      </c>
      <c r="D1108" t="s">
        <v>543</v>
      </c>
      <c r="E1108" t="s">
        <v>523</v>
      </c>
      <c r="F1108">
        <v>4500208725</v>
      </c>
      <c r="G1108" t="s">
        <v>5410</v>
      </c>
      <c r="H1108" t="s">
        <v>3334</v>
      </c>
      <c r="I1108" t="s">
        <v>1803</v>
      </c>
      <c r="J1108" t="s">
        <v>523</v>
      </c>
      <c r="K1108" s="2">
        <v>20129</v>
      </c>
      <c r="L1108" s="2">
        <v>20129</v>
      </c>
      <c r="M1108" t="str">
        <f>IFERROR(IF(VLOOKUP(LEFT(B1108,2),'Humanitarian codes'!$A$2:$A$10,1,FALSE)=LEFT(B1108,2),"Yes","Error"),"No")</f>
        <v>No</v>
      </c>
    </row>
    <row r="1109" spans="1:13" x14ac:dyDescent="0.25">
      <c r="A1109">
        <v>2022</v>
      </c>
      <c r="B1109" t="s">
        <v>5411</v>
      </c>
      <c r="C1109" t="s">
        <v>5412</v>
      </c>
      <c r="D1109" t="s">
        <v>543</v>
      </c>
      <c r="E1109" t="s">
        <v>1534</v>
      </c>
      <c r="F1109">
        <v>4500234990</v>
      </c>
      <c r="G1109" t="s">
        <v>3938</v>
      </c>
      <c r="H1109" t="s">
        <v>3334</v>
      </c>
      <c r="I1109" t="s">
        <v>5413</v>
      </c>
      <c r="J1109" t="s">
        <v>1534</v>
      </c>
      <c r="K1109" s="2">
        <v>29070</v>
      </c>
      <c r="L1109" s="2">
        <v>29070</v>
      </c>
      <c r="M1109" t="str">
        <f>IFERROR(IF(VLOOKUP(LEFT(B1109,2),'Humanitarian codes'!$A$2:$A$10,1,FALSE)=LEFT(B1109,2),"Yes","Error"),"No")</f>
        <v>No</v>
      </c>
    </row>
    <row r="1110" spans="1:13" x14ac:dyDescent="0.25">
      <c r="A1110">
        <v>2022</v>
      </c>
      <c r="B1110" t="s">
        <v>5414</v>
      </c>
      <c r="C1110" t="s">
        <v>5415</v>
      </c>
      <c r="D1110" t="s">
        <v>543</v>
      </c>
      <c r="E1110" t="s">
        <v>128</v>
      </c>
      <c r="F1110">
        <v>4500223150</v>
      </c>
      <c r="G1110" t="s">
        <v>5416</v>
      </c>
      <c r="H1110" t="s">
        <v>3334</v>
      </c>
      <c r="I1110" t="s">
        <v>2000</v>
      </c>
      <c r="J1110" t="s">
        <v>128</v>
      </c>
      <c r="K1110" s="2">
        <v>62000</v>
      </c>
      <c r="L1110" s="2">
        <v>62000</v>
      </c>
      <c r="M1110" t="str">
        <f>IFERROR(IF(VLOOKUP(LEFT(B1110,2),'Humanitarian codes'!$A$2:$A$10,1,FALSE)=LEFT(B1110,2),"Yes","Error"),"No")</f>
        <v>No</v>
      </c>
    </row>
    <row r="1111" spans="1:13" x14ac:dyDescent="0.25">
      <c r="A1111">
        <v>2022</v>
      </c>
      <c r="B1111" t="s">
        <v>5417</v>
      </c>
      <c r="C1111" t="s">
        <v>5418</v>
      </c>
      <c r="D1111" t="s">
        <v>543</v>
      </c>
      <c r="E1111" t="s">
        <v>1166</v>
      </c>
      <c r="F1111">
        <v>4500203019</v>
      </c>
      <c r="G1111" t="s">
        <v>5419</v>
      </c>
      <c r="H1111" t="s">
        <v>3334</v>
      </c>
      <c r="I1111" t="s">
        <v>5420</v>
      </c>
      <c r="J1111" t="s">
        <v>4407</v>
      </c>
      <c r="K1111" s="2">
        <v>12471</v>
      </c>
      <c r="L1111" s="2">
        <v>12471</v>
      </c>
      <c r="M1111" t="str">
        <f>IFERROR(IF(VLOOKUP(LEFT(B1111,2),'Humanitarian codes'!$A$2:$A$10,1,FALSE)=LEFT(B1111,2),"Yes","Error"),"No")</f>
        <v>No</v>
      </c>
    </row>
    <row r="1112" spans="1:13" x14ac:dyDescent="0.25">
      <c r="A1112">
        <v>2022</v>
      </c>
      <c r="B1112" t="s">
        <v>5421</v>
      </c>
      <c r="C1112" t="s">
        <v>5422</v>
      </c>
      <c r="D1112" t="s">
        <v>543</v>
      </c>
      <c r="E1112" t="s">
        <v>20</v>
      </c>
      <c r="F1112">
        <v>4500194029</v>
      </c>
      <c r="G1112" t="s">
        <v>5423</v>
      </c>
      <c r="H1112" t="s">
        <v>3334</v>
      </c>
      <c r="I1112" t="s">
        <v>5424</v>
      </c>
      <c r="J1112" t="s">
        <v>20</v>
      </c>
      <c r="K1112" s="2">
        <v>308043</v>
      </c>
      <c r="L1112" s="2">
        <v>308043</v>
      </c>
      <c r="M1112" t="str">
        <f>IFERROR(IF(VLOOKUP(LEFT(B1112,2),'Humanitarian codes'!$A$2:$A$10,1,FALSE)=LEFT(B1112,2),"Yes","Error"),"No")</f>
        <v>No</v>
      </c>
    </row>
    <row r="1113" spans="1:13" x14ac:dyDescent="0.25">
      <c r="A1113">
        <v>2022</v>
      </c>
      <c r="B1113" t="s">
        <v>5425</v>
      </c>
      <c r="C1113" t="s">
        <v>5426</v>
      </c>
      <c r="D1113" t="s">
        <v>543</v>
      </c>
      <c r="E1113" t="s">
        <v>356</v>
      </c>
      <c r="F1113">
        <v>4500195385</v>
      </c>
      <c r="G1113" t="s">
        <v>5427</v>
      </c>
      <c r="H1113" t="s">
        <v>3334</v>
      </c>
      <c r="I1113" t="s">
        <v>5428</v>
      </c>
      <c r="J1113" t="s">
        <v>356</v>
      </c>
      <c r="K1113" s="2">
        <v>12138</v>
      </c>
      <c r="L1113" s="2">
        <v>12138</v>
      </c>
      <c r="M1113" t="str">
        <f>IFERROR(IF(VLOOKUP(LEFT(B1113,2),'Humanitarian codes'!$A$2:$A$10,1,FALSE)=LEFT(B1113,2),"Yes","Error"),"No")</f>
        <v>No</v>
      </c>
    </row>
    <row r="1114" spans="1:13" x14ac:dyDescent="0.25">
      <c r="A1114">
        <v>2022</v>
      </c>
      <c r="B1114" t="s">
        <v>5429</v>
      </c>
      <c r="C1114" t="s">
        <v>5430</v>
      </c>
      <c r="D1114" t="s">
        <v>543</v>
      </c>
      <c r="E1114" t="s">
        <v>1376</v>
      </c>
      <c r="F1114">
        <v>4500253866</v>
      </c>
      <c r="G1114" t="s">
        <v>5431</v>
      </c>
      <c r="H1114" t="s">
        <v>3334</v>
      </c>
      <c r="I1114" t="s">
        <v>5432</v>
      </c>
      <c r="J1114" t="s">
        <v>5433</v>
      </c>
      <c r="K1114" s="2">
        <v>68871</v>
      </c>
      <c r="L1114" s="2">
        <v>68871</v>
      </c>
      <c r="M1114" t="str">
        <f>IFERROR(IF(VLOOKUP(LEFT(B1114,2),'Humanitarian codes'!$A$2:$A$10,1,FALSE)=LEFT(B1114,2),"Yes","Error"),"No")</f>
        <v>No</v>
      </c>
    </row>
    <row r="1115" spans="1:13" x14ac:dyDescent="0.25">
      <c r="A1115">
        <v>2022</v>
      </c>
      <c r="B1115" t="s">
        <v>1447</v>
      </c>
      <c r="C1115" t="s">
        <v>1448</v>
      </c>
      <c r="D1115" t="s">
        <v>543</v>
      </c>
      <c r="E1115" t="s">
        <v>523</v>
      </c>
      <c r="F1115">
        <v>4500274763</v>
      </c>
      <c r="G1115" t="s">
        <v>5434</v>
      </c>
      <c r="H1115" t="s">
        <v>3334</v>
      </c>
      <c r="I1115" t="s">
        <v>1449</v>
      </c>
      <c r="J1115" t="s">
        <v>523</v>
      </c>
      <c r="K1115" s="2">
        <v>34015</v>
      </c>
      <c r="L1115" s="2">
        <v>34015</v>
      </c>
      <c r="M1115" t="str">
        <f>IFERROR(IF(VLOOKUP(LEFT(B1115,2),'Humanitarian codes'!$A$2:$A$10,1,FALSE)=LEFT(B1115,2),"Yes","Error"),"No")</f>
        <v>No</v>
      </c>
    </row>
    <row r="1116" spans="1:13" x14ac:dyDescent="0.25">
      <c r="A1116">
        <v>2022</v>
      </c>
      <c r="B1116" t="s">
        <v>1447</v>
      </c>
      <c r="C1116" t="s">
        <v>1448</v>
      </c>
      <c r="D1116" t="s">
        <v>543</v>
      </c>
      <c r="E1116" t="s">
        <v>523</v>
      </c>
      <c r="F1116">
        <v>4500274765</v>
      </c>
      <c r="G1116" t="s">
        <v>5435</v>
      </c>
      <c r="H1116" t="s">
        <v>3334</v>
      </c>
      <c r="I1116" t="s">
        <v>1450</v>
      </c>
      <c r="J1116" t="s">
        <v>523</v>
      </c>
      <c r="K1116" s="2">
        <v>37004</v>
      </c>
      <c r="L1116" s="2">
        <v>37004</v>
      </c>
      <c r="M1116" t="str">
        <f>IFERROR(IF(VLOOKUP(LEFT(B1116,2),'Humanitarian codes'!$A$2:$A$10,1,FALSE)=LEFT(B1116,2),"Yes","Error"),"No")</f>
        <v>No</v>
      </c>
    </row>
    <row r="1117" spans="1:13" x14ac:dyDescent="0.25">
      <c r="A1117">
        <v>2022</v>
      </c>
      <c r="B1117" t="s">
        <v>3849</v>
      </c>
      <c r="C1117" t="s">
        <v>3850</v>
      </c>
      <c r="D1117" t="s">
        <v>466</v>
      </c>
      <c r="E1117" t="s">
        <v>534</v>
      </c>
      <c r="F1117">
        <v>4500244810</v>
      </c>
      <c r="G1117" t="s">
        <v>5436</v>
      </c>
      <c r="H1117" t="s">
        <v>3334</v>
      </c>
      <c r="I1117" t="s">
        <v>5437</v>
      </c>
      <c r="J1117" t="s">
        <v>534</v>
      </c>
      <c r="K1117" s="2">
        <v>1599</v>
      </c>
      <c r="L1117" s="2">
        <v>5321</v>
      </c>
      <c r="M1117" t="str">
        <f>IFERROR(IF(VLOOKUP(LEFT(B1117,2),'Humanitarian codes'!$A$2:$A$10,1,FALSE)=LEFT(B1117,2),"Yes","Error"),"No")</f>
        <v>No</v>
      </c>
    </row>
    <row r="1118" spans="1:13" x14ac:dyDescent="0.25">
      <c r="A1118">
        <v>2022</v>
      </c>
      <c r="B1118" t="s">
        <v>3849</v>
      </c>
      <c r="C1118" t="s">
        <v>3850</v>
      </c>
      <c r="D1118" t="s">
        <v>466</v>
      </c>
      <c r="E1118" t="s">
        <v>25</v>
      </c>
      <c r="F1118">
        <v>4500223341</v>
      </c>
      <c r="G1118" t="s">
        <v>5438</v>
      </c>
      <c r="H1118" t="s">
        <v>3334</v>
      </c>
      <c r="I1118" t="s">
        <v>5439</v>
      </c>
      <c r="J1118" t="s">
        <v>25</v>
      </c>
      <c r="K1118" s="2">
        <v>62807</v>
      </c>
      <c r="L1118" s="2">
        <v>62807</v>
      </c>
      <c r="M1118" t="str">
        <f>IFERROR(IF(VLOOKUP(LEFT(B1118,2),'Humanitarian codes'!$A$2:$A$10,1,FALSE)=LEFT(B1118,2),"Yes","Error"),"No")</f>
        <v>No</v>
      </c>
    </row>
    <row r="1119" spans="1:13" x14ac:dyDescent="0.25">
      <c r="A1119">
        <v>2022</v>
      </c>
      <c r="B1119" t="s">
        <v>3849</v>
      </c>
      <c r="C1119" t="s">
        <v>3850</v>
      </c>
      <c r="D1119" t="s">
        <v>466</v>
      </c>
      <c r="E1119" t="s">
        <v>25</v>
      </c>
      <c r="F1119">
        <v>4500229647</v>
      </c>
      <c r="G1119" t="s">
        <v>5440</v>
      </c>
      <c r="H1119" t="s">
        <v>3334</v>
      </c>
      <c r="I1119" t="s">
        <v>1588</v>
      </c>
      <c r="J1119" t="s">
        <v>25</v>
      </c>
      <c r="K1119" s="2">
        <v>51999</v>
      </c>
      <c r="L1119" s="2">
        <v>51999</v>
      </c>
      <c r="M1119" t="str">
        <f>IFERROR(IF(VLOOKUP(LEFT(B1119,2),'Humanitarian codes'!$A$2:$A$10,1,FALSE)=LEFT(B1119,2),"Yes","Error"),"No")</f>
        <v>No</v>
      </c>
    </row>
    <row r="1120" spans="1:13" x14ac:dyDescent="0.25">
      <c r="A1120">
        <v>2022</v>
      </c>
      <c r="B1120" t="s">
        <v>3849</v>
      </c>
      <c r="C1120" t="s">
        <v>3850</v>
      </c>
      <c r="D1120" t="s">
        <v>466</v>
      </c>
      <c r="E1120" t="s">
        <v>25</v>
      </c>
      <c r="F1120">
        <v>4500248091</v>
      </c>
      <c r="G1120" t="s">
        <v>3938</v>
      </c>
      <c r="H1120" t="s">
        <v>3334</v>
      </c>
      <c r="I1120" t="s">
        <v>5441</v>
      </c>
      <c r="J1120" t="s">
        <v>25</v>
      </c>
      <c r="K1120" s="2">
        <v>8799</v>
      </c>
      <c r="L1120" s="2">
        <v>8799</v>
      </c>
      <c r="M1120" t="str">
        <f>IFERROR(IF(VLOOKUP(LEFT(B1120,2),'Humanitarian codes'!$A$2:$A$10,1,FALSE)=LEFT(B1120,2),"Yes","Error"),"No")</f>
        <v>No</v>
      </c>
    </row>
    <row r="1121" spans="1:13" x14ac:dyDescent="0.25">
      <c r="A1121">
        <v>2022</v>
      </c>
      <c r="B1121" t="s">
        <v>3849</v>
      </c>
      <c r="C1121" t="s">
        <v>3850</v>
      </c>
      <c r="D1121" t="s">
        <v>466</v>
      </c>
      <c r="E1121" t="s">
        <v>25</v>
      </c>
      <c r="F1121">
        <v>4500250927</v>
      </c>
      <c r="G1121" t="s">
        <v>5442</v>
      </c>
      <c r="H1121" t="s">
        <v>3334</v>
      </c>
      <c r="I1121" t="s">
        <v>1587</v>
      </c>
      <c r="J1121" t="s">
        <v>25</v>
      </c>
      <c r="K1121" s="2">
        <v>40387</v>
      </c>
      <c r="L1121" s="2">
        <v>40387</v>
      </c>
      <c r="M1121" t="str">
        <f>IFERROR(IF(VLOOKUP(LEFT(B1121,2),'Humanitarian codes'!$A$2:$A$10,1,FALSE)=LEFT(B1121,2),"Yes","Error"),"No")</f>
        <v>No</v>
      </c>
    </row>
    <row r="1122" spans="1:13" x14ac:dyDescent="0.25">
      <c r="A1122">
        <v>2022</v>
      </c>
      <c r="B1122" t="s">
        <v>3849</v>
      </c>
      <c r="C1122" t="s">
        <v>3850</v>
      </c>
      <c r="D1122" t="s">
        <v>466</v>
      </c>
      <c r="E1122" t="s">
        <v>25</v>
      </c>
      <c r="F1122">
        <v>4500257352</v>
      </c>
      <c r="G1122" t="s">
        <v>5443</v>
      </c>
      <c r="H1122" t="s">
        <v>3334</v>
      </c>
      <c r="I1122" t="s">
        <v>526</v>
      </c>
      <c r="J1122" t="s">
        <v>25</v>
      </c>
      <c r="K1122" s="2">
        <v>24036</v>
      </c>
      <c r="L1122" s="2">
        <v>24036</v>
      </c>
      <c r="M1122" t="str">
        <f>IFERROR(IF(VLOOKUP(LEFT(B1122,2),'Humanitarian codes'!$A$2:$A$10,1,FALSE)=LEFT(B1122,2),"Yes","Error"),"No")</f>
        <v>No</v>
      </c>
    </row>
    <row r="1123" spans="1:13" x14ac:dyDescent="0.25">
      <c r="A1123">
        <v>2022</v>
      </c>
      <c r="B1123" t="s">
        <v>5444</v>
      </c>
      <c r="C1123" t="s">
        <v>5445</v>
      </c>
      <c r="D1123" t="s">
        <v>466</v>
      </c>
      <c r="E1123" t="s">
        <v>649</v>
      </c>
      <c r="F1123">
        <v>4500180640</v>
      </c>
      <c r="G1123" t="s">
        <v>5446</v>
      </c>
      <c r="H1123" t="s">
        <v>3334</v>
      </c>
      <c r="I1123" t="s">
        <v>5447</v>
      </c>
      <c r="J1123" t="s">
        <v>649</v>
      </c>
      <c r="K1123" s="2">
        <v>316435</v>
      </c>
      <c r="L1123" s="2">
        <v>316435</v>
      </c>
      <c r="M1123" t="str">
        <f>IFERROR(IF(VLOOKUP(LEFT(B1123,2),'Humanitarian codes'!$A$2:$A$10,1,FALSE)=LEFT(B1123,2),"Yes","Error"),"No")</f>
        <v>No</v>
      </c>
    </row>
    <row r="1124" spans="1:13" x14ac:dyDescent="0.25">
      <c r="A1124">
        <v>2022</v>
      </c>
      <c r="B1124" t="s">
        <v>5444</v>
      </c>
      <c r="C1124" t="s">
        <v>5445</v>
      </c>
      <c r="D1124" t="s">
        <v>466</v>
      </c>
      <c r="E1124" t="s">
        <v>649</v>
      </c>
      <c r="F1124">
        <v>4500180654</v>
      </c>
      <c r="G1124" t="s">
        <v>5448</v>
      </c>
      <c r="H1124" t="s">
        <v>3334</v>
      </c>
      <c r="I1124" t="s">
        <v>5449</v>
      </c>
      <c r="J1124" t="s">
        <v>649</v>
      </c>
      <c r="K1124" s="2">
        <v>182970</v>
      </c>
      <c r="L1124" s="2">
        <v>182970</v>
      </c>
      <c r="M1124" t="str">
        <f>IFERROR(IF(VLOOKUP(LEFT(B1124,2),'Humanitarian codes'!$A$2:$A$10,1,FALSE)=LEFT(B1124,2),"Yes","Error"),"No")</f>
        <v>No</v>
      </c>
    </row>
    <row r="1125" spans="1:13" x14ac:dyDescent="0.25">
      <c r="A1125">
        <v>2022</v>
      </c>
      <c r="B1125" t="s">
        <v>5444</v>
      </c>
      <c r="C1125" t="s">
        <v>5445</v>
      </c>
      <c r="D1125" t="s">
        <v>466</v>
      </c>
      <c r="E1125" t="s">
        <v>649</v>
      </c>
      <c r="F1125">
        <v>4500180656</v>
      </c>
      <c r="G1125" t="s">
        <v>5450</v>
      </c>
      <c r="H1125" t="s">
        <v>3334</v>
      </c>
      <c r="I1125" t="s">
        <v>5451</v>
      </c>
      <c r="J1125" t="s">
        <v>649</v>
      </c>
      <c r="K1125" s="2">
        <v>909829</v>
      </c>
      <c r="L1125" s="2">
        <v>909829</v>
      </c>
      <c r="M1125" t="str">
        <f>IFERROR(IF(VLOOKUP(LEFT(B1125,2),'Humanitarian codes'!$A$2:$A$10,1,FALSE)=LEFT(B1125,2),"Yes","Error"),"No")</f>
        <v>No</v>
      </c>
    </row>
    <row r="1126" spans="1:13" x14ac:dyDescent="0.25">
      <c r="A1126">
        <v>2022</v>
      </c>
      <c r="B1126" t="s">
        <v>5444</v>
      </c>
      <c r="C1126" t="s">
        <v>5445</v>
      </c>
      <c r="D1126" t="s">
        <v>466</v>
      </c>
      <c r="E1126" t="s">
        <v>649</v>
      </c>
      <c r="F1126">
        <v>4500180658</v>
      </c>
      <c r="G1126" t="s">
        <v>5452</v>
      </c>
      <c r="H1126" t="s">
        <v>3334</v>
      </c>
      <c r="I1126" t="s">
        <v>156</v>
      </c>
      <c r="J1126" t="s">
        <v>649</v>
      </c>
      <c r="K1126" s="2">
        <v>995326</v>
      </c>
      <c r="L1126" s="2">
        <v>995326</v>
      </c>
      <c r="M1126" t="str">
        <f>IFERROR(IF(VLOOKUP(LEFT(B1126,2),'Humanitarian codes'!$A$2:$A$10,1,FALSE)=LEFT(B1126,2),"Yes","Error"),"No")</f>
        <v>No</v>
      </c>
    </row>
    <row r="1127" spans="1:13" x14ac:dyDescent="0.25">
      <c r="A1127">
        <v>2022</v>
      </c>
      <c r="B1127" t="s">
        <v>5444</v>
      </c>
      <c r="C1127" t="s">
        <v>5445</v>
      </c>
      <c r="D1127" t="s">
        <v>466</v>
      </c>
      <c r="E1127" t="s">
        <v>649</v>
      </c>
      <c r="F1127">
        <v>4500180660</v>
      </c>
      <c r="G1127" t="s">
        <v>5453</v>
      </c>
      <c r="H1127" t="s">
        <v>3334</v>
      </c>
      <c r="I1127" t="s">
        <v>3876</v>
      </c>
      <c r="J1127" t="s">
        <v>649</v>
      </c>
      <c r="K1127" s="2">
        <v>275864</v>
      </c>
      <c r="L1127" s="2">
        <v>275864</v>
      </c>
      <c r="M1127" t="str">
        <f>IFERROR(IF(VLOOKUP(LEFT(B1127,2),'Humanitarian codes'!$A$2:$A$10,1,FALSE)=LEFT(B1127,2),"Yes","Error"),"No")</f>
        <v>No</v>
      </c>
    </row>
    <row r="1128" spans="1:13" x14ac:dyDescent="0.25">
      <c r="A1128">
        <v>2022</v>
      </c>
      <c r="B1128" t="s">
        <v>5444</v>
      </c>
      <c r="C1128" t="s">
        <v>5445</v>
      </c>
      <c r="D1128" t="s">
        <v>466</v>
      </c>
      <c r="E1128" t="s">
        <v>649</v>
      </c>
      <c r="F1128">
        <v>4500188467</v>
      </c>
      <c r="G1128" t="s">
        <v>5454</v>
      </c>
      <c r="H1128" t="s">
        <v>3334</v>
      </c>
      <c r="I1128" t="s">
        <v>5455</v>
      </c>
      <c r="J1128" t="s">
        <v>649</v>
      </c>
      <c r="K1128" s="2">
        <v>673469</v>
      </c>
      <c r="L1128" s="2">
        <v>673469</v>
      </c>
      <c r="M1128" t="str">
        <f>IFERROR(IF(VLOOKUP(LEFT(B1128,2),'Humanitarian codes'!$A$2:$A$10,1,FALSE)=LEFT(B1128,2),"Yes","Error"),"No")</f>
        <v>No</v>
      </c>
    </row>
    <row r="1129" spans="1:13" x14ac:dyDescent="0.25">
      <c r="A1129">
        <v>2022</v>
      </c>
      <c r="B1129" t="s">
        <v>5444</v>
      </c>
      <c r="C1129" t="s">
        <v>5445</v>
      </c>
      <c r="D1129" t="s">
        <v>466</v>
      </c>
      <c r="E1129" t="s">
        <v>649</v>
      </c>
      <c r="F1129">
        <v>4500188479</v>
      </c>
      <c r="G1129" t="s">
        <v>5456</v>
      </c>
      <c r="H1129" t="s">
        <v>3334</v>
      </c>
      <c r="I1129" t="s">
        <v>5457</v>
      </c>
      <c r="J1129" t="s">
        <v>649</v>
      </c>
      <c r="K1129" s="2">
        <v>217348</v>
      </c>
      <c r="L1129" s="2">
        <v>217348</v>
      </c>
      <c r="M1129" t="str">
        <f>IFERROR(IF(VLOOKUP(LEFT(B1129,2),'Humanitarian codes'!$A$2:$A$10,1,FALSE)=LEFT(B1129,2),"Yes","Error"),"No")</f>
        <v>No</v>
      </c>
    </row>
    <row r="1130" spans="1:13" x14ac:dyDescent="0.25">
      <c r="A1130">
        <v>2022</v>
      </c>
      <c r="B1130" t="s">
        <v>5444</v>
      </c>
      <c r="C1130" t="s">
        <v>5445</v>
      </c>
      <c r="D1130" t="s">
        <v>466</v>
      </c>
      <c r="E1130" t="s">
        <v>649</v>
      </c>
      <c r="F1130">
        <v>4500196820</v>
      </c>
      <c r="G1130" t="s">
        <v>5458</v>
      </c>
      <c r="H1130" t="s">
        <v>3334</v>
      </c>
      <c r="I1130" t="s">
        <v>5459</v>
      </c>
      <c r="J1130" t="s">
        <v>649</v>
      </c>
      <c r="K1130" s="2">
        <v>52952</v>
      </c>
      <c r="L1130" s="2">
        <v>52952</v>
      </c>
      <c r="M1130" t="str">
        <f>IFERROR(IF(VLOOKUP(LEFT(B1130,2),'Humanitarian codes'!$A$2:$A$10,1,FALSE)=LEFT(B1130,2),"Yes","Error"),"No")</f>
        <v>No</v>
      </c>
    </row>
    <row r="1131" spans="1:13" x14ac:dyDescent="0.25">
      <c r="A1131">
        <v>2022</v>
      </c>
      <c r="B1131" t="s">
        <v>5444</v>
      </c>
      <c r="C1131" t="s">
        <v>5445</v>
      </c>
      <c r="D1131" t="s">
        <v>466</v>
      </c>
      <c r="E1131" t="s">
        <v>649</v>
      </c>
      <c r="F1131">
        <v>4500214944</v>
      </c>
      <c r="G1131" t="s">
        <v>5460</v>
      </c>
      <c r="H1131" t="s">
        <v>3334</v>
      </c>
      <c r="I1131" t="s">
        <v>5461</v>
      </c>
      <c r="J1131" t="s">
        <v>649</v>
      </c>
      <c r="K1131" s="2">
        <v>2037873</v>
      </c>
      <c r="L1131" s="2">
        <v>2037873</v>
      </c>
      <c r="M1131" t="str">
        <f>IFERROR(IF(VLOOKUP(LEFT(B1131,2),'Humanitarian codes'!$A$2:$A$10,1,FALSE)=LEFT(B1131,2),"Yes","Error"),"No")</f>
        <v>No</v>
      </c>
    </row>
    <row r="1132" spans="1:13" x14ac:dyDescent="0.25">
      <c r="A1132">
        <v>2022</v>
      </c>
      <c r="B1132" t="s">
        <v>1459</v>
      </c>
      <c r="C1132" t="s">
        <v>3644</v>
      </c>
      <c r="D1132" t="s">
        <v>466</v>
      </c>
      <c r="E1132" t="s">
        <v>1278</v>
      </c>
      <c r="F1132">
        <v>4500199173</v>
      </c>
      <c r="G1132" t="s">
        <v>2200</v>
      </c>
      <c r="H1132" t="s">
        <v>3334</v>
      </c>
      <c r="I1132" t="s">
        <v>3650</v>
      </c>
      <c r="J1132" t="s">
        <v>1278</v>
      </c>
      <c r="K1132" s="2">
        <v>13394</v>
      </c>
      <c r="L1132" s="2">
        <v>37675</v>
      </c>
      <c r="M1132" t="str">
        <f>IFERROR(IF(VLOOKUP(LEFT(B1132,2),'Humanitarian codes'!$A$2:$A$10,1,FALSE)=LEFT(B1132,2),"Yes","Error"),"No")</f>
        <v>No</v>
      </c>
    </row>
    <row r="1133" spans="1:13" x14ac:dyDescent="0.25">
      <c r="A1133">
        <v>2022</v>
      </c>
      <c r="B1133" t="s">
        <v>1459</v>
      </c>
      <c r="C1133" t="s">
        <v>3644</v>
      </c>
      <c r="D1133" t="s">
        <v>466</v>
      </c>
      <c r="E1133" t="s">
        <v>1278</v>
      </c>
      <c r="F1133">
        <v>4500199173</v>
      </c>
      <c r="G1133" t="s">
        <v>2200</v>
      </c>
      <c r="H1133" t="s">
        <v>3334</v>
      </c>
      <c r="I1133" t="s">
        <v>3650</v>
      </c>
      <c r="J1133" t="s">
        <v>1278</v>
      </c>
      <c r="K1133" s="2">
        <v>24281</v>
      </c>
      <c r="L1133" s="2">
        <v>37675</v>
      </c>
      <c r="M1133" t="str">
        <f>IFERROR(IF(VLOOKUP(LEFT(B1133,2),'Humanitarian codes'!$A$2:$A$10,1,FALSE)=LEFT(B1133,2),"Yes","Error"),"No")</f>
        <v>No</v>
      </c>
    </row>
    <row r="1134" spans="1:13" x14ac:dyDescent="0.25">
      <c r="A1134">
        <v>2022</v>
      </c>
      <c r="B1134" t="s">
        <v>1459</v>
      </c>
      <c r="C1134" t="s">
        <v>3644</v>
      </c>
      <c r="D1134" t="s">
        <v>466</v>
      </c>
      <c r="E1134" t="s">
        <v>1278</v>
      </c>
      <c r="F1134">
        <v>4500201729</v>
      </c>
      <c r="G1134" t="s">
        <v>2200</v>
      </c>
      <c r="H1134" t="s">
        <v>3334</v>
      </c>
      <c r="I1134" t="s">
        <v>5462</v>
      </c>
      <c r="J1134" t="s">
        <v>1278</v>
      </c>
      <c r="K1134" s="2">
        <v>8106</v>
      </c>
      <c r="L1134" s="2">
        <v>8106</v>
      </c>
      <c r="M1134" t="str">
        <f>IFERROR(IF(VLOOKUP(LEFT(B1134,2),'Humanitarian codes'!$A$2:$A$10,1,FALSE)=LEFT(B1134,2),"Yes","Error"),"No")</f>
        <v>No</v>
      </c>
    </row>
    <row r="1135" spans="1:13" x14ac:dyDescent="0.25">
      <c r="A1135">
        <v>2022</v>
      </c>
      <c r="B1135" t="s">
        <v>1459</v>
      </c>
      <c r="C1135" t="s">
        <v>3644</v>
      </c>
      <c r="D1135" t="s">
        <v>466</v>
      </c>
      <c r="E1135" t="s">
        <v>1278</v>
      </c>
      <c r="F1135">
        <v>4500203390</v>
      </c>
      <c r="G1135" t="s">
        <v>2200</v>
      </c>
      <c r="H1135" t="s">
        <v>3334</v>
      </c>
      <c r="I1135" t="s">
        <v>5463</v>
      </c>
      <c r="J1135" t="s">
        <v>1278</v>
      </c>
      <c r="K1135" s="2">
        <v>15326</v>
      </c>
      <c r="L1135" s="2">
        <v>15326</v>
      </c>
      <c r="M1135" t="str">
        <f>IFERROR(IF(VLOOKUP(LEFT(B1135,2),'Humanitarian codes'!$A$2:$A$10,1,FALSE)=LEFT(B1135,2),"Yes","Error"),"No")</f>
        <v>No</v>
      </c>
    </row>
    <row r="1136" spans="1:13" x14ac:dyDescent="0.25">
      <c r="A1136">
        <v>2022</v>
      </c>
      <c r="B1136" t="s">
        <v>1459</v>
      </c>
      <c r="C1136" t="s">
        <v>3644</v>
      </c>
      <c r="D1136" t="s">
        <v>466</v>
      </c>
      <c r="E1136" t="s">
        <v>1278</v>
      </c>
      <c r="F1136">
        <v>4500203443</v>
      </c>
      <c r="G1136" t="s">
        <v>2200</v>
      </c>
      <c r="H1136" t="s">
        <v>3334</v>
      </c>
      <c r="I1136" t="s">
        <v>5464</v>
      </c>
      <c r="J1136" t="s">
        <v>1278</v>
      </c>
      <c r="K1136" s="2">
        <v>33906</v>
      </c>
      <c r="L1136" s="2">
        <v>33906</v>
      </c>
      <c r="M1136" t="str">
        <f>IFERROR(IF(VLOOKUP(LEFT(B1136,2),'Humanitarian codes'!$A$2:$A$10,1,FALSE)=LEFT(B1136,2),"Yes","Error"),"No")</f>
        <v>No</v>
      </c>
    </row>
    <row r="1137" spans="1:13" x14ac:dyDescent="0.25">
      <c r="A1137">
        <v>2022</v>
      </c>
      <c r="B1137" t="s">
        <v>5465</v>
      </c>
      <c r="C1137" t="s">
        <v>5466</v>
      </c>
      <c r="D1137" t="s">
        <v>466</v>
      </c>
      <c r="E1137" t="s">
        <v>123</v>
      </c>
      <c r="F1137">
        <v>4500216762</v>
      </c>
      <c r="G1137" t="s">
        <v>5467</v>
      </c>
      <c r="H1137" t="s">
        <v>3334</v>
      </c>
      <c r="I1137" t="s">
        <v>5468</v>
      </c>
      <c r="J1137" t="s">
        <v>123</v>
      </c>
      <c r="K1137" s="2">
        <v>159479</v>
      </c>
      <c r="L1137" s="2">
        <v>159479</v>
      </c>
      <c r="M1137" t="str">
        <f>IFERROR(IF(VLOOKUP(LEFT(B1137,2),'Humanitarian codes'!$A$2:$A$10,1,FALSE)=LEFT(B1137,2),"Yes","Error"),"No")</f>
        <v>No</v>
      </c>
    </row>
    <row r="1138" spans="1:13" x14ac:dyDescent="0.25">
      <c r="A1138">
        <v>2022</v>
      </c>
      <c r="B1138" t="s">
        <v>5465</v>
      </c>
      <c r="C1138" t="s">
        <v>5466</v>
      </c>
      <c r="D1138" t="s">
        <v>466</v>
      </c>
      <c r="E1138" t="s">
        <v>123</v>
      </c>
      <c r="F1138">
        <v>4500216779</v>
      </c>
      <c r="G1138" t="s">
        <v>5469</v>
      </c>
      <c r="H1138" t="s">
        <v>3334</v>
      </c>
      <c r="I1138" t="s">
        <v>5470</v>
      </c>
      <c r="J1138" t="s">
        <v>123</v>
      </c>
      <c r="K1138" s="2">
        <v>60000</v>
      </c>
      <c r="L1138" s="2">
        <v>60000</v>
      </c>
      <c r="M1138" t="str">
        <f>IFERROR(IF(VLOOKUP(LEFT(B1138,2),'Humanitarian codes'!$A$2:$A$10,1,FALSE)=LEFT(B1138,2),"Yes","Error"),"No")</f>
        <v>No</v>
      </c>
    </row>
    <row r="1139" spans="1:13" x14ac:dyDescent="0.25">
      <c r="A1139">
        <v>2022</v>
      </c>
      <c r="B1139" t="s">
        <v>5465</v>
      </c>
      <c r="C1139" t="s">
        <v>5466</v>
      </c>
      <c r="D1139" t="s">
        <v>466</v>
      </c>
      <c r="E1139" t="s">
        <v>123</v>
      </c>
      <c r="F1139">
        <v>4500216792</v>
      </c>
      <c r="G1139" t="s">
        <v>3938</v>
      </c>
      <c r="H1139" t="s">
        <v>3334</v>
      </c>
      <c r="I1139" t="s">
        <v>5471</v>
      </c>
      <c r="J1139" t="s">
        <v>123</v>
      </c>
      <c r="K1139" s="2">
        <v>6856</v>
      </c>
      <c r="L1139" s="2">
        <v>6856</v>
      </c>
      <c r="M1139" t="str">
        <f>IFERROR(IF(VLOOKUP(LEFT(B1139,2),'Humanitarian codes'!$A$2:$A$10,1,FALSE)=LEFT(B1139,2),"Yes","Error"),"No")</f>
        <v>No</v>
      </c>
    </row>
    <row r="1140" spans="1:13" x14ac:dyDescent="0.25">
      <c r="A1140">
        <v>2022</v>
      </c>
      <c r="B1140" t="s">
        <v>5465</v>
      </c>
      <c r="C1140" t="s">
        <v>5466</v>
      </c>
      <c r="D1140" t="s">
        <v>466</v>
      </c>
      <c r="E1140" t="s">
        <v>123</v>
      </c>
      <c r="F1140">
        <v>4500216803</v>
      </c>
      <c r="G1140" t="s">
        <v>3938</v>
      </c>
      <c r="H1140" t="s">
        <v>3334</v>
      </c>
      <c r="I1140" t="s">
        <v>5472</v>
      </c>
      <c r="J1140" t="s">
        <v>123</v>
      </c>
      <c r="K1140" s="2">
        <v>29136</v>
      </c>
      <c r="L1140" s="2">
        <v>29136</v>
      </c>
      <c r="M1140" t="str">
        <f>IFERROR(IF(VLOOKUP(LEFT(B1140,2),'Humanitarian codes'!$A$2:$A$10,1,FALSE)=LEFT(B1140,2),"Yes","Error"),"No")</f>
        <v>No</v>
      </c>
    </row>
    <row r="1141" spans="1:13" x14ac:dyDescent="0.25">
      <c r="A1141">
        <v>2022</v>
      </c>
      <c r="B1141" t="s">
        <v>5465</v>
      </c>
      <c r="C1141" t="s">
        <v>5466</v>
      </c>
      <c r="D1141" t="s">
        <v>466</v>
      </c>
      <c r="E1141" t="s">
        <v>123</v>
      </c>
      <c r="F1141">
        <v>4500216816</v>
      </c>
      <c r="G1141" t="s">
        <v>5473</v>
      </c>
      <c r="H1141" t="s">
        <v>3334</v>
      </c>
      <c r="I1141" t="s">
        <v>5474</v>
      </c>
      <c r="J1141" t="s">
        <v>123</v>
      </c>
      <c r="K1141" s="2">
        <v>77974</v>
      </c>
      <c r="L1141" s="2">
        <v>77974</v>
      </c>
      <c r="M1141" t="str">
        <f>IFERROR(IF(VLOOKUP(LEFT(B1141,2),'Humanitarian codes'!$A$2:$A$10,1,FALSE)=LEFT(B1141,2),"Yes","Error"),"No")</f>
        <v>No</v>
      </c>
    </row>
    <row r="1142" spans="1:13" x14ac:dyDescent="0.25">
      <c r="A1142">
        <v>2022</v>
      </c>
      <c r="B1142" t="s">
        <v>5475</v>
      </c>
      <c r="C1142" t="s">
        <v>5476</v>
      </c>
      <c r="D1142" t="s">
        <v>466</v>
      </c>
      <c r="E1142" t="s">
        <v>1151</v>
      </c>
      <c r="F1142">
        <v>4500181437</v>
      </c>
      <c r="G1142" t="s">
        <v>5477</v>
      </c>
      <c r="H1142" t="s">
        <v>3334</v>
      </c>
      <c r="I1142" t="s">
        <v>5478</v>
      </c>
      <c r="J1142" t="s">
        <v>1151</v>
      </c>
      <c r="K1142" s="2">
        <v>51884</v>
      </c>
      <c r="L1142" s="2">
        <v>51884</v>
      </c>
      <c r="M1142" t="str">
        <f>IFERROR(IF(VLOOKUP(LEFT(B1142,2),'Humanitarian codes'!$A$2:$A$10,1,FALSE)=LEFT(B1142,2),"Yes","Error"),"No")</f>
        <v>No</v>
      </c>
    </row>
    <row r="1143" spans="1:13" x14ac:dyDescent="0.25">
      <c r="A1143">
        <v>2022</v>
      </c>
      <c r="B1143" t="s">
        <v>5479</v>
      </c>
      <c r="C1143" t="s">
        <v>5480</v>
      </c>
      <c r="D1143" t="s">
        <v>466</v>
      </c>
      <c r="E1143" t="s">
        <v>649</v>
      </c>
      <c r="F1143">
        <v>4500199407</v>
      </c>
      <c r="G1143" t="s">
        <v>5481</v>
      </c>
      <c r="H1143" t="s">
        <v>3334</v>
      </c>
      <c r="I1143" t="s">
        <v>5447</v>
      </c>
      <c r="J1143" t="s">
        <v>649</v>
      </c>
      <c r="K1143" s="2">
        <v>697990</v>
      </c>
      <c r="L1143" s="2">
        <v>697990</v>
      </c>
      <c r="M1143" t="str">
        <f>IFERROR(IF(VLOOKUP(LEFT(B1143,2),'Humanitarian codes'!$A$2:$A$10,1,FALSE)=LEFT(B1143,2),"Yes","Error"),"No")</f>
        <v>No</v>
      </c>
    </row>
    <row r="1144" spans="1:13" x14ac:dyDescent="0.25">
      <c r="A1144">
        <v>2022</v>
      </c>
      <c r="B1144" t="s">
        <v>5479</v>
      </c>
      <c r="C1144" t="s">
        <v>5480</v>
      </c>
      <c r="D1144" t="s">
        <v>466</v>
      </c>
      <c r="E1144" t="s">
        <v>649</v>
      </c>
      <c r="F1144">
        <v>4500199409</v>
      </c>
      <c r="G1144" t="s">
        <v>5482</v>
      </c>
      <c r="H1144" t="s">
        <v>3334</v>
      </c>
      <c r="I1144" t="s">
        <v>3876</v>
      </c>
      <c r="J1144" t="s">
        <v>649</v>
      </c>
      <c r="K1144" s="2">
        <v>221261</v>
      </c>
      <c r="L1144" s="2">
        <v>221261</v>
      </c>
      <c r="M1144" t="str">
        <f>IFERROR(IF(VLOOKUP(LEFT(B1144,2),'Humanitarian codes'!$A$2:$A$10,1,FALSE)=LEFT(B1144,2),"Yes","Error"),"No")</f>
        <v>No</v>
      </c>
    </row>
    <row r="1145" spans="1:13" x14ac:dyDescent="0.25">
      <c r="A1145">
        <v>2022</v>
      </c>
      <c r="B1145" t="s">
        <v>5479</v>
      </c>
      <c r="C1145" t="s">
        <v>5480</v>
      </c>
      <c r="D1145" t="s">
        <v>466</v>
      </c>
      <c r="E1145" t="s">
        <v>649</v>
      </c>
      <c r="F1145">
        <v>4500199412</v>
      </c>
      <c r="G1145" t="s">
        <v>5483</v>
      </c>
      <c r="H1145" t="s">
        <v>3334</v>
      </c>
      <c r="I1145" t="s">
        <v>5449</v>
      </c>
      <c r="J1145" t="s">
        <v>649</v>
      </c>
      <c r="K1145" s="2">
        <v>694178</v>
      </c>
      <c r="L1145" s="2">
        <v>694178</v>
      </c>
      <c r="M1145" t="str">
        <f>IFERROR(IF(VLOOKUP(LEFT(B1145,2),'Humanitarian codes'!$A$2:$A$10,1,FALSE)=LEFT(B1145,2),"Yes","Error"),"No")</f>
        <v>No</v>
      </c>
    </row>
    <row r="1146" spans="1:13" x14ac:dyDescent="0.25">
      <c r="A1146">
        <v>2022</v>
      </c>
      <c r="B1146" t="s">
        <v>5479</v>
      </c>
      <c r="C1146" t="s">
        <v>5480</v>
      </c>
      <c r="D1146" t="s">
        <v>466</v>
      </c>
      <c r="E1146" t="s">
        <v>649</v>
      </c>
      <c r="F1146">
        <v>4500199415</v>
      </c>
      <c r="G1146" t="s">
        <v>5484</v>
      </c>
      <c r="H1146" t="s">
        <v>3334</v>
      </c>
      <c r="I1146" t="s">
        <v>5455</v>
      </c>
      <c r="J1146" t="s">
        <v>649</v>
      </c>
      <c r="K1146" s="2">
        <v>1222767</v>
      </c>
      <c r="L1146" s="2">
        <v>1222767</v>
      </c>
      <c r="M1146" t="str">
        <f>IFERROR(IF(VLOOKUP(LEFT(B1146,2),'Humanitarian codes'!$A$2:$A$10,1,FALSE)=LEFT(B1146,2),"Yes","Error"),"No")</f>
        <v>No</v>
      </c>
    </row>
    <row r="1147" spans="1:13" x14ac:dyDescent="0.25">
      <c r="A1147">
        <v>2022</v>
      </c>
      <c r="B1147" t="s">
        <v>5479</v>
      </c>
      <c r="C1147" t="s">
        <v>5480</v>
      </c>
      <c r="D1147" t="s">
        <v>466</v>
      </c>
      <c r="E1147" t="s">
        <v>649</v>
      </c>
      <c r="F1147">
        <v>4500199419</v>
      </c>
      <c r="G1147" t="s">
        <v>5485</v>
      </c>
      <c r="H1147" t="s">
        <v>3334</v>
      </c>
      <c r="I1147" t="s">
        <v>5459</v>
      </c>
      <c r="J1147" t="s">
        <v>649</v>
      </c>
      <c r="K1147" s="2">
        <v>166965</v>
      </c>
      <c r="L1147" s="2">
        <v>166965</v>
      </c>
      <c r="M1147" t="str">
        <f>IFERROR(IF(VLOOKUP(LEFT(B1147,2),'Humanitarian codes'!$A$2:$A$10,1,FALSE)=LEFT(B1147,2),"Yes","Error"),"No")</f>
        <v>No</v>
      </c>
    </row>
    <row r="1148" spans="1:13" x14ac:dyDescent="0.25">
      <c r="A1148">
        <v>2022</v>
      </c>
      <c r="B1148" t="s">
        <v>5479</v>
      </c>
      <c r="C1148" t="s">
        <v>5480</v>
      </c>
      <c r="D1148" t="s">
        <v>466</v>
      </c>
      <c r="E1148" t="s">
        <v>649</v>
      </c>
      <c r="F1148">
        <v>4500202424</v>
      </c>
      <c r="G1148" t="s">
        <v>3938</v>
      </c>
      <c r="H1148" t="s">
        <v>3334</v>
      </c>
      <c r="I1148" t="s">
        <v>5451</v>
      </c>
      <c r="J1148" t="s">
        <v>649</v>
      </c>
      <c r="K1148" s="2">
        <v>173210</v>
      </c>
      <c r="L1148" s="2">
        <v>173210</v>
      </c>
      <c r="M1148" t="str">
        <f>IFERROR(IF(VLOOKUP(LEFT(B1148,2),'Humanitarian codes'!$A$2:$A$10,1,FALSE)=LEFT(B1148,2),"Yes","Error"),"No")</f>
        <v>No</v>
      </c>
    </row>
    <row r="1149" spans="1:13" x14ac:dyDescent="0.25">
      <c r="A1149">
        <v>2022</v>
      </c>
      <c r="B1149" t="s">
        <v>5479</v>
      </c>
      <c r="C1149" t="s">
        <v>5480</v>
      </c>
      <c r="D1149" t="s">
        <v>466</v>
      </c>
      <c r="E1149" t="s">
        <v>649</v>
      </c>
      <c r="F1149">
        <v>4500205875</v>
      </c>
      <c r="G1149" t="s">
        <v>5486</v>
      </c>
      <c r="H1149" t="s">
        <v>3334</v>
      </c>
      <c r="I1149" t="s">
        <v>5487</v>
      </c>
      <c r="J1149" t="s">
        <v>649</v>
      </c>
      <c r="K1149" s="2">
        <v>287674</v>
      </c>
      <c r="L1149" s="2">
        <v>287674</v>
      </c>
      <c r="M1149" t="str">
        <f>IFERROR(IF(VLOOKUP(LEFT(B1149,2),'Humanitarian codes'!$A$2:$A$10,1,FALSE)=LEFT(B1149,2),"Yes","Error"),"No")</f>
        <v>No</v>
      </c>
    </row>
    <row r="1150" spans="1:13" x14ac:dyDescent="0.25">
      <c r="A1150">
        <v>2022</v>
      </c>
      <c r="B1150" t="s">
        <v>5479</v>
      </c>
      <c r="C1150" t="s">
        <v>5480</v>
      </c>
      <c r="D1150" t="s">
        <v>466</v>
      </c>
      <c r="E1150" t="s">
        <v>649</v>
      </c>
      <c r="F1150">
        <v>4500206039</v>
      </c>
      <c r="G1150" t="s">
        <v>5488</v>
      </c>
      <c r="H1150" t="s">
        <v>3334</v>
      </c>
      <c r="I1150" t="s">
        <v>5461</v>
      </c>
      <c r="J1150" t="s">
        <v>649</v>
      </c>
      <c r="K1150" s="2">
        <v>2327926</v>
      </c>
      <c r="L1150" s="2">
        <v>2327926</v>
      </c>
      <c r="M1150" t="str">
        <f>IFERROR(IF(VLOOKUP(LEFT(B1150,2),'Humanitarian codes'!$A$2:$A$10,1,FALSE)=LEFT(B1150,2),"Yes","Error"),"No")</f>
        <v>No</v>
      </c>
    </row>
    <row r="1151" spans="1:13" x14ac:dyDescent="0.25">
      <c r="A1151">
        <v>2022</v>
      </c>
      <c r="B1151" t="s">
        <v>5479</v>
      </c>
      <c r="C1151" t="s">
        <v>5480</v>
      </c>
      <c r="D1151" t="s">
        <v>466</v>
      </c>
      <c r="E1151" t="s">
        <v>649</v>
      </c>
      <c r="F1151">
        <v>4500206081</v>
      </c>
      <c r="G1151" t="s">
        <v>5489</v>
      </c>
      <c r="H1151" t="s">
        <v>3334</v>
      </c>
      <c r="I1151" t="s">
        <v>156</v>
      </c>
      <c r="J1151" t="s">
        <v>649</v>
      </c>
      <c r="K1151" s="2">
        <v>317688</v>
      </c>
      <c r="L1151" s="2">
        <v>317688</v>
      </c>
      <c r="M1151" t="str">
        <f>IFERROR(IF(VLOOKUP(LEFT(B1151,2),'Humanitarian codes'!$A$2:$A$10,1,FALSE)=LEFT(B1151,2),"Yes","Error"),"No")</f>
        <v>No</v>
      </c>
    </row>
    <row r="1152" spans="1:13" x14ac:dyDescent="0.25">
      <c r="A1152">
        <v>2022</v>
      </c>
      <c r="B1152" t="s">
        <v>5490</v>
      </c>
      <c r="C1152" t="s">
        <v>5491</v>
      </c>
      <c r="D1152" t="s">
        <v>466</v>
      </c>
      <c r="E1152" t="s">
        <v>210</v>
      </c>
      <c r="F1152">
        <v>4500267607</v>
      </c>
      <c r="G1152" t="s">
        <v>5492</v>
      </c>
      <c r="H1152" t="s">
        <v>3334</v>
      </c>
      <c r="I1152" t="s">
        <v>211</v>
      </c>
      <c r="J1152" t="s">
        <v>210</v>
      </c>
      <c r="K1152" s="2">
        <v>128000</v>
      </c>
      <c r="L1152" s="2">
        <v>128000</v>
      </c>
      <c r="M1152" t="str">
        <f>IFERROR(IF(VLOOKUP(LEFT(B1152,2),'Humanitarian codes'!$A$2:$A$10,1,FALSE)=LEFT(B1152,2),"Yes","Error"),"No")</f>
        <v>No</v>
      </c>
    </row>
    <row r="1153" spans="1:13" x14ac:dyDescent="0.25">
      <c r="A1153">
        <v>2022</v>
      </c>
      <c r="B1153" t="s">
        <v>5493</v>
      </c>
      <c r="C1153" t="s">
        <v>5494</v>
      </c>
      <c r="D1153" t="s">
        <v>466</v>
      </c>
      <c r="E1153" t="s">
        <v>704</v>
      </c>
      <c r="F1153">
        <v>4500254149</v>
      </c>
      <c r="G1153" t="s">
        <v>5495</v>
      </c>
      <c r="H1153" t="s">
        <v>3334</v>
      </c>
      <c r="I1153" t="s">
        <v>5496</v>
      </c>
      <c r="J1153" t="s">
        <v>5497</v>
      </c>
      <c r="K1153" s="2">
        <v>34137</v>
      </c>
      <c r="L1153" s="2">
        <v>34137</v>
      </c>
      <c r="M1153" t="str">
        <f>IFERROR(IF(VLOOKUP(LEFT(B1153,2),'Humanitarian codes'!$A$2:$A$10,1,FALSE)=LEFT(B1153,2),"Yes","Error"),"No")</f>
        <v>No</v>
      </c>
    </row>
    <row r="1154" spans="1:13" x14ac:dyDescent="0.25">
      <c r="A1154">
        <v>2022</v>
      </c>
      <c r="B1154" t="s">
        <v>2531</v>
      </c>
      <c r="C1154" t="s">
        <v>2532</v>
      </c>
      <c r="D1154" t="s">
        <v>466</v>
      </c>
      <c r="E1154" t="s">
        <v>1339</v>
      </c>
      <c r="F1154">
        <v>4500184480</v>
      </c>
      <c r="G1154" t="s">
        <v>5498</v>
      </c>
      <c r="H1154" t="s">
        <v>3334</v>
      </c>
      <c r="I1154" t="s">
        <v>5499</v>
      </c>
      <c r="J1154" t="s">
        <v>1339</v>
      </c>
      <c r="K1154" s="2">
        <v>18603</v>
      </c>
      <c r="L1154" s="2">
        <v>18603</v>
      </c>
      <c r="M1154" t="str">
        <f>IFERROR(IF(VLOOKUP(LEFT(B1154,2),'Humanitarian codes'!$A$2:$A$10,1,FALSE)=LEFT(B1154,2),"Yes","Error"),"No")</f>
        <v>No</v>
      </c>
    </row>
    <row r="1155" spans="1:13" x14ac:dyDescent="0.25">
      <c r="A1155">
        <v>2022</v>
      </c>
      <c r="B1155" t="s">
        <v>2531</v>
      </c>
      <c r="C1155" t="s">
        <v>2532</v>
      </c>
      <c r="D1155" t="s">
        <v>466</v>
      </c>
      <c r="E1155" t="s">
        <v>1339</v>
      </c>
      <c r="F1155">
        <v>4500184486</v>
      </c>
      <c r="G1155" t="s">
        <v>5498</v>
      </c>
      <c r="H1155" t="s">
        <v>3334</v>
      </c>
      <c r="I1155" t="s">
        <v>5500</v>
      </c>
      <c r="J1155" t="s">
        <v>1484</v>
      </c>
      <c r="K1155" s="2">
        <v>1847</v>
      </c>
      <c r="L1155" s="2">
        <v>1847</v>
      </c>
      <c r="M1155" t="str">
        <f>IFERROR(IF(VLOOKUP(LEFT(B1155,2),'Humanitarian codes'!$A$2:$A$10,1,FALSE)=LEFT(B1155,2),"Yes","Error"),"No")</f>
        <v>No</v>
      </c>
    </row>
    <row r="1156" spans="1:13" x14ac:dyDescent="0.25">
      <c r="A1156">
        <v>2022</v>
      </c>
      <c r="B1156" t="s">
        <v>2531</v>
      </c>
      <c r="C1156" t="s">
        <v>2532</v>
      </c>
      <c r="D1156" t="s">
        <v>466</v>
      </c>
      <c r="E1156" t="s">
        <v>1339</v>
      </c>
      <c r="F1156">
        <v>4500184492</v>
      </c>
      <c r="G1156" t="s">
        <v>5498</v>
      </c>
      <c r="H1156" t="s">
        <v>3334</v>
      </c>
      <c r="I1156" t="s">
        <v>5501</v>
      </c>
      <c r="J1156" t="s">
        <v>1484</v>
      </c>
      <c r="K1156" s="2">
        <v>18597</v>
      </c>
      <c r="L1156" s="2">
        <v>18597</v>
      </c>
      <c r="M1156" t="str">
        <f>IFERROR(IF(VLOOKUP(LEFT(B1156,2),'Humanitarian codes'!$A$2:$A$10,1,FALSE)=LEFT(B1156,2),"Yes","Error"),"No")</f>
        <v>No</v>
      </c>
    </row>
    <row r="1157" spans="1:13" x14ac:dyDescent="0.25">
      <c r="A1157">
        <v>2022</v>
      </c>
      <c r="B1157" t="s">
        <v>2531</v>
      </c>
      <c r="C1157" t="s">
        <v>2532</v>
      </c>
      <c r="D1157" t="s">
        <v>466</v>
      </c>
      <c r="E1157" t="s">
        <v>1339</v>
      </c>
      <c r="F1157">
        <v>4500184497</v>
      </c>
      <c r="G1157" t="s">
        <v>5498</v>
      </c>
      <c r="H1157" t="s">
        <v>3334</v>
      </c>
      <c r="I1157" t="s">
        <v>5502</v>
      </c>
      <c r="J1157" t="s">
        <v>1484</v>
      </c>
      <c r="K1157" s="2">
        <v>18588</v>
      </c>
      <c r="L1157" s="2">
        <v>18588</v>
      </c>
      <c r="M1157" t="str">
        <f>IFERROR(IF(VLOOKUP(LEFT(B1157,2),'Humanitarian codes'!$A$2:$A$10,1,FALSE)=LEFT(B1157,2),"Yes","Error"),"No")</f>
        <v>No</v>
      </c>
    </row>
    <row r="1158" spans="1:13" x14ac:dyDescent="0.25">
      <c r="A1158">
        <v>2022</v>
      </c>
      <c r="B1158" t="s">
        <v>2531</v>
      </c>
      <c r="C1158" t="s">
        <v>2532</v>
      </c>
      <c r="D1158" t="s">
        <v>466</v>
      </c>
      <c r="E1158" t="s">
        <v>1339</v>
      </c>
      <c r="F1158">
        <v>4500184500</v>
      </c>
      <c r="G1158" t="s">
        <v>5498</v>
      </c>
      <c r="H1158" t="s">
        <v>3334</v>
      </c>
      <c r="I1158" t="s">
        <v>5503</v>
      </c>
      <c r="J1158" t="s">
        <v>1484</v>
      </c>
      <c r="K1158" s="2">
        <v>1860</v>
      </c>
      <c r="L1158" s="2">
        <v>1860</v>
      </c>
      <c r="M1158" t="str">
        <f>IFERROR(IF(VLOOKUP(LEFT(B1158,2),'Humanitarian codes'!$A$2:$A$10,1,FALSE)=LEFT(B1158,2),"Yes","Error"),"No")</f>
        <v>No</v>
      </c>
    </row>
    <row r="1159" spans="1:13" x14ac:dyDescent="0.25">
      <c r="A1159">
        <v>2022</v>
      </c>
      <c r="B1159" t="s">
        <v>2531</v>
      </c>
      <c r="C1159" t="s">
        <v>2532</v>
      </c>
      <c r="D1159" t="s">
        <v>466</v>
      </c>
      <c r="E1159" t="s">
        <v>1504</v>
      </c>
      <c r="F1159">
        <v>4500182669</v>
      </c>
      <c r="G1159" t="s">
        <v>5504</v>
      </c>
      <c r="H1159" t="s">
        <v>3334</v>
      </c>
      <c r="I1159" t="s">
        <v>5505</v>
      </c>
      <c r="J1159" t="s">
        <v>1504</v>
      </c>
      <c r="K1159" s="2">
        <v>15298</v>
      </c>
      <c r="L1159" s="2">
        <v>15298</v>
      </c>
      <c r="M1159" t="str">
        <f>IFERROR(IF(VLOOKUP(LEFT(B1159,2),'Humanitarian codes'!$A$2:$A$10,1,FALSE)=LEFT(B1159,2),"Yes","Error"),"No")</f>
        <v>No</v>
      </c>
    </row>
    <row r="1160" spans="1:13" x14ac:dyDescent="0.25">
      <c r="A1160">
        <v>2022</v>
      </c>
      <c r="B1160" t="s">
        <v>2531</v>
      </c>
      <c r="C1160" t="s">
        <v>2532</v>
      </c>
      <c r="D1160" t="s">
        <v>466</v>
      </c>
      <c r="E1160" t="s">
        <v>1504</v>
      </c>
      <c r="F1160">
        <v>4500182681</v>
      </c>
      <c r="G1160" t="s">
        <v>5506</v>
      </c>
      <c r="H1160" t="s">
        <v>3334</v>
      </c>
      <c r="I1160" t="s">
        <v>5507</v>
      </c>
      <c r="J1160" t="s">
        <v>1504</v>
      </c>
      <c r="K1160" s="2">
        <v>14950</v>
      </c>
      <c r="L1160" s="2">
        <v>14950</v>
      </c>
      <c r="M1160" t="str">
        <f>IFERROR(IF(VLOOKUP(LEFT(B1160,2),'Humanitarian codes'!$A$2:$A$10,1,FALSE)=LEFT(B1160,2),"Yes","Error"),"No")</f>
        <v>No</v>
      </c>
    </row>
    <row r="1161" spans="1:13" x14ac:dyDescent="0.25">
      <c r="A1161">
        <v>2022</v>
      </c>
      <c r="B1161" t="s">
        <v>2531</v>
      </c>
      <c r="C1161" t="s">
        <v>2532</v>
      </c>
      <c r="D1161" t="s">
        <v>466</v>
      </c>
      <c r="E1161" t="s">
        <v>1504</v>
      </c>
      <c r="F1161">
        <v>4500184442</v>
      </c>
      <c r="G1161" t="s">
        <v>5508</v>
      </c>
      <c r="H1161" t="s">
        <v>3334</v>
      </c>
      <c r="I1161" t="s">
        <v>5509</v>
      </c>
      <c r="J1161" t="s">
        <v>1504</v>
      </c>
      <c r="K1161" s="2">
        <v>14255</v>
      </c>
      <c r="L1161" s="2">
        <v>14255</v>
      </c>
      <c r="M1161" t="str">
        <f>IFERROR(IF(VLOOKUP(LEFT(B1161,2),'Humanitarian codes'!$A$2:$A$10,1,FALSE)=LEFT(B1161,2),"Yes","Error"),"No")</f>
        <v>No</v>
      </c>
    </row>
    <row r="1162" spans="1:13" x14ac:dyDescent="0.25">
      <c r="A1162">
        <v>2022</v>
      </c>
      <c r="B1162" t="s">
        <v>2531</v>
      </c>
      <c r="C1162" t="s">
        <v>2532</v>
      </c>
      <c r="D1162" t="s">
        <v>466</v>
      </c>
      <c r="E1162" t="s">
        <v>1504</v>
      </c>
      <c r="F1162">
        <v>4500201525</v>
      </c>
      <c r="G1162" t="s">
        <v>5510</v>
      </c>
      <c r="H1162" t="s">
        <v>3334</v>
      </c>
      <c r="I1162" t="s">
        <v>5511</v>
      </c>
      <c r="J1162" t="s">
        <v>1504</v>
      </c>
      <c r="K1162" s="2">
        <v>29000</v>
      </c>
      <c r="L1162" s="2">
        <v>29000</v>
      </c>
      <c r="M1162" t="str">
        <f>IFERROR(IF(VLOOKUP(LEFT(B1162,2),'Humanitarian codes'!$A$2:$A$10,1,FALSE)=LEFT(B1162,2),"Yes","Error"),"No")</f>
        <v>No</v>
      </c>
    </row>
    <row r="1163" spans="1:13" x14ac:dyDescent="0.25">
      <c r="A1163">
        <v>2022</v>
      </c>
      <c r="B1163" t="s">
        <v>2531</v>
      </c>
      <c r="C1163" t="s">
        <v>2532</v>
      </c>
      <c r="D1163" t="s">
        <v>466</v>
      </c>
      <c r="E1163" t="s">
        <v>1504</v>
      </c>
      <c r="F1163">
        <v>4500201547</v>
      </c>
      <c r="G1163" t="s">
        <v>5512</v>
      </c>
      <c r="H1163" t="s">
        <v>3334</v>
      </c>
      <c r="I1163" t="s">
        <v>5513</v>
      </c>
      <c r="J1163" t="s">
        <v>1504</v>
      </c>
      <c r="K1163" s="2">
        <v>28720</v>
      </c>
      <c r="L1163" s="2">
        <v>28720</v>
      </c>
      <c r="M1163" t="str">
        <f>IFERROR(IF(VLOOKUP(LEFT(B1163,2),'Humanitarian codes'!$A$2:$A$10,1,FALSE)=LEFT(B1163,2),"Yes","Error"),"No")</f>
        <v>No</v>
      </c>
    </row>
    <row r="1164" spans="1:13" x14ac:dyDescent="0.25">
      <c r="A1164">
        <v>2022</v>
      </c>
      <c r="B1164" t="s">
        <v>2531</v>
      </c>
      <c r="C1164" t="s">
        <v>2532</v>
      </c>
      <c r="D1164" t="s">
        <v>466</v>
      </c>
      <c r="E1164" t="s">
        <v>594</v>
      </c>
      <c r="F1164">
        <v>4500189934</v>
      </c>
      <c r="G1164" t="s">
        <v>5514</v>
      </c>
      <c r="H1164" t="s">
        <v>3334</v>
      </c>
      <c r="I1164" t="s">
        <v>5515</v>
      </c>
      <c r="J1164" t="s">
        <v>594</v>
      </c>
      <c r="K1164" s="2">
        <v>25383</v>
      </c>
      <c r="L1164" s="2">
        <v>25383</v>
      </c>
      <c r="M1164" t="str">
        <f>IFERROR(IF(VLOOKUP(LEFT(B1164,2),'Humanitarian codes'!$A$2:$A$10,1,FALSE)=LEFT(B1164,2),"Yes","Error"),"No")</f>
        <v>No</v>
      </c>
    </row>
    <row r="1165" spans="1:13" x14ac:dyDescent="0.25">
      <c r="A1165">
        <v>2022</v>
      </c>
      <c r="B1165" t="s">
        <v>2531</v>
      </c>
      <c r="C1165" t="s">
        <v>2532</v>
      </c>
      <c r="D1165" t="s">
        <v>466</v>
      </c>
      <c r="E1165" t="s">
        <v>594</v>
      </c>
      <c r="F1165">
        <v>4500192005</v>
      </c>
      <c r="G1165" t="s">
        <v>5516</v>
      </c>
      <c r="H1165" t="s">
        <v>3334</v>
      </c>
      <c r="I1165" t="s">
        <v>3780</v>
      </c>
      <c r="J1165" t="s">
        <v>594</v>
      </c>
      <c r="K1165" s="2">
        <v>25383</v>
      </c>
      <c r="L1165" s="2">
        <v>25383</v>
      </c>
      <c r="M1165" t="str">
        <f>IFERROR(IF(VLOOKUP(LEFT(B1165,2),'Humanitarian codes'!$A$2:$A$10,1,FALSE)=LEFT(B1165,2),"Yes","Error"),"No")</f>
        <v>No</v>
      </c>
    </row>
    <row r="1166" spans="1:13" x14ac:dyDescent="0.25">
      <c r="A1166">
        <v>2022</v>
      </c>
      <c r="B1166" t="s">
        <v>2531</v>
      </c>
      <c r="C1166" t="s">
        <v>2532</v>
      </c>
      <c r="D1166" t="s">
        <v>466</v>
      </c>
      <c r="E1166" t="s">
        <v>594</v>
      </c>
      <c r="F1166">
        <v>4500254685</v>
      </c>
      <c r="G1166" t="s">
        <v>5517</v>
      </c>
      <c r="H1166" t="s">
        <v>3334</v>
      </c>
      <c r="I1166" t="s">
        <v>5518</v>
      </c>
      <c r="J1166" t="s">
        <v>594</v>
      </c>
      <c r="K1166" s="2">
        <v>11628</v>
      </c>
      <c r="L1166" s="2">
        <v>11628</v>
      </c>
      <c r="M1166" t="str">
        <f>IFERROR(IF(VLOOKUP(LEFT(B1166,2),'Humanitarian codes'!$A$2:$A$10,1,FALSE)=LEFT(B1166,2),"Yes","Error"),"No")</f>
        <v>No</v>
      </c>
    </row>
    <row r="1167" spans="1:13" x14ac:dyDescent="0.25">
      <c r="A1167">
        <v>2022</v>
      </c>
      <c r="B1167" t="s">
        <v>2531</v>
      </c>
      <c r="C1167" t="s">
        <v>2532</v>
      </c>
      <c r="D1167" t="s">
        <v>466</v>
      </c>
      <c r="E1167" t="s">
        <v>594</v>
      </c>
      <c r="F1167">
        <v>4500254978</v>
      </c>
      <c r="G1167" t="s">
        <v>5519</v>
      </c>
      <c r="H1167" t="s">
        <v>3334</v>
      </c>
      <c r="I1167" t="s">
        <v>5520</v>
      </c>
      <c r="J1167" t="s">
        <v>594</v>
      </c>
      <c r="K1167" s="2">
        <v>12928</v>
      </c>
      <c r="L1167" s="2">
        <v>12928</v>
      </c>
      <c r="M1167" t="str">
        <f>IFERROR(IF(VLOOKUP(LEFT(B1167,2),'Humanitarian codes'!$A$2:$A$10,1,FALSE)=LEFT(B1167,2),"Yes","Error"),"No")</f>
        <v>No</v>
      </c>
    </row>
    <row r="1168" spans="1:13" x14ac:dyDescent="0.25">
      <c r="A1168">
        <v>2022</v>
      </c>
      <c r="B1168" t="s">
        <v>2531</v>
      </c>
      <c r="C1168" t="s">
        <v>2532</v>
      </c>
      <c r="D1168" t="s">
        <v>466</v>
      </c>
      <c r="E1168" t="s">
        <v>167</v>
      </c>
      <c r="F1168">
        <v>4500193746</v>
      </c>
      <c r="G1168" t="s">
        <v>3938</v>
      </c>
      <c r="H1168" t="s">
        <v>3334</v>
      </c>
      <c r="I1168" t="s">
        <v>516</v>
      </c>
      <c r="J1168" t="s">
        <v>167</v>
      </c>
      <c r="K1168" s="2">
        <v>61839</v>
      </c>
      <c r="L1168" s="2">
        <v>61839</v>
      </c>
      <c r="M1168" t="str">
        <f>IFERROR(IF(VLOOKUP(LEFT(B1168,2),'Humanitarian codes'!$A$2:$A$10,1,FALSE)=LEFT(B1168,2),"Yes","Error"),"No")</f>
        <v>No</v>
      </c>
    </row>
    <row r="1169" spans="1:13" x14ac:dyDescent="0.25">
      <c r="A1169">
        <v>2022</v>
      </c>
      <c r="B1169" t="s">
        <v>2531</v>
      </c>
      <c r="C1169" t="s">
        <v>2532</v>
      </c>
      <c r="D1169" t="s">
        <v>466</v>
      </c>
      <c r="E1169" t="s">
        <v>167</v>
      </c>
      <c r="F1169">
        <v>4500213335</v>
      </c>
      <c r="G1169" t="s">
        <v>5521</v>
      </c>
      <c r="H1169" t="s">
        <v>3334</v>
      </c>
      <c r="I1169" t="s">
        <v>2354</v>
      </c>
      <c r="J1169" t="s">
        <v>167</v>
      </c>
      <c r="K1169" s="2">
        <v>54862</v>
      </c>
      <c r="L1169" s="2">
        <v>54862</v>
      </c>
      <c r="M1169" t="str">
        <f>IFERROR(IF(VLOOKUP(LEFT(B1169,2),'Humanitarian codes'!$A$2:$A$10,1,FALSE)=LEFT(B1169,2),"Yes","Error"),"No")</f>
        <v>No</v>
      </c>
    </row>
    <row r="1170" spans="1:13" x14ac:dyDescent="0.25">
      <c r="A1170">
        <v>2022</v>
      </c>
      <c r="B1170" t="s">
        <v>2531</v>
      </c>
      <c r="C1170" t="s">
        <v>2532</v>
      </c>
      <c r="D1170" t="s">
        <v>466</v>
      </c>
      <c r="E1170" t="s">
        <v>167</v>
      </c>
      <c r="F1170">
        <v>4500239758</v>
      </c>
      <c r="G1170" t="s">
        <v>5522</v>
      </c>
      <c r="H1170" t="s">
        <v>3334</v>
      </c>
      <c r="I1170" t="s">
        <v>516</v>
      </c>
      <c r="J1170" t="s">
        <v>167</v>
      </c>
      <c r="K1170" s="2">
        <v>99630</v>
      </c>
      <c r="L1170" s="2">
        <v>104873</v>
      </c>
      <c r="M1170" t="str">
        <f>IFERROR(IF(VLOOKUP(LEFT(B1170,2),'Humanitarian codes'!$A$2:$A$10,1,FALSE)=LEFT(B1170,2),"Yes","Error"),"No")</f>
        <v>No</v>
      </c>
    </row>
    <row r="1171" spans="1:13" x14ac:dyDescent="0.25">
      <c r="A1171">
        <v>2022</v>
      </c>
      <c r="B1171" t="s">
        <v>2531</v>
      </c>
      <c r="C1171" t="s">
        <v>2532</v>
      </c>
      <c r="D1171" t="s">
        <v>466</v>
      </c>
      <c r="E1171" t="s">
        <v>523</v>
      </c>
      <c r="F1171">
        <v>4500192417</v>
      </c>
      <c r="G1171" t="s">
        <v>5523</v>
      </c>
      <c r="H1171" t="s">
        <v>3334</v>
      </c>
      <c r="I1171" t="s">
        <v>5524</v>
      </c>
      <c r="J1171" t="s">
        <v>523</v>
      </c>
      <c r="K1171" s="2">
        <v>19753</v>
      </c>
      <c r="L1171" s="2">
        <v>19753</v>
      </c>
      <c r="M1171" t="str">
        <f>IFERROR(IF(VLOOKUP(LEFT(B1171,2),'Humanitarian codes'!$A$2:$A$10,1,FALSE)=LEFT(B1171,2),"Yes","Error"),"No")</f>
        <v>No</v>
      </c>
    </row>
    <row r="1172" spans="1:13" x14ac:dyDescent="0.25">
      <c r="A1172">
        <v>2022</v>
      </c>
      <c r="B1172" t="s">
        <v>2531</v>
      </c>
      <c r="C1172" t="s">
        <v>2532</v>
      </c>
      <c r="D1172" t="s">
        <v>466</v>
      </c>
      <c r="E1172" t="s">
        <v>523</v>
      </c>
      <c r="F1172">
        <v>4500195313</v>
      </c>
      <c r="G1172" t="s">
        <v>5525</v>
      </c>
      <c r="H1172" t="s">
        <v>3334</v>
      </c>
      <c r="I1172" t="s">
        <v>5526</v>
      </c>
      <c r="J1172" t="s">
        <v>594</v>
      </c>
      <c r="K1172" s="2">
        <v>494000</v>
      </c>
      <c r="L1172" s="2">
        <v>494000</v>
      </c>
      <c r="M1172" t="str">
        <f>IFERROR(IF(VLOOKUP(LEFT(B1172,2),'Humanitarian codes'!$A$2:$A$10,1,FALSE)=LEFT(B1172,2),"Yes","Error"),"No")</f>
        <v>No</v>
      </c>
    </row>
    <row r="1173" spans="1:13" x14ac:dyDescent="0.25">
      <c r="A1173">
        <v>2022</v>
      </c>
      <c r="B1173" t="s">
        <v>2531</v>
      </c>
      <c r="C1173" t="s">
        <v>2532</v>
      </c>
      <c r="D1173" t="s">
        <v>466</v>
      </c>
      <c r="E1173" t="s">
        <v>523</v>
      </c>
      <c r="F1173">
        <v>4500221821</v>
      </c>
      <c r="G1173" t="s">
        <v>5527</v>
      </c>
      <c r="H1173" t="s">
        <v>3334</v>
      </c>
      <c r="I1173" t="s">
        <v>5528</v>
      </c>
      <c r="J1173" t="s">
        <v>523</v>
      </c>
      <c r="K1173" s="2">
        <v>11107</v>
      </c>
      <c r="L1173" s="2">
        <v>11107</v>
      </c>
      <c r="M1173" t="str">
        <f>IFERROR(IF(VLOOKUP(LEFT(B1173,2),'Humanitarian codes'!$A$2:$A$10,1,FALSE)=LEFT(B1173,2),"Yes","Error"),"No")</f>
        <v>No</v>
      </c>
    </row>
    <row r="1174" spans="1:13" x14ac:dyDescent="0.25">
      <c r="A1174">
        <v>2022</v>
      </c>
      <c r="B1174" t="s">
        <v>2531</v>
      </c>
      <c r="C1174" t="s">
        <v>2532</v>
      </c>
      <c r="D1174" t="s">
        <v>466</v>
      </c>
      <c r="E1174" t="s">
        <v>523</v>
      </c>
      <c r="F1174">
        <v>4500235077</v>
      </c>
      <c r="G1174" t="s">
        <v>5529</v>
      </c>
      <c r="H1174" t="s">
        <v>3334</v>
      </c>
      <c r="I1174" t="s">
        <v>5530</v>
      </c>
      <c r="J1174" t="s">
        <v>523</v>
      </c>
      <c r="K1174" s="2">
        <v>1491</v>
      </c>
      <c r="L1174" s="2">
        <v>9942</v>
      </c>
      <c r="M1174" t="str">
        <f>IFERROR(IF(VLOOKUP(LEFT(B1174,2),'Humanitarian codes'!$A$2:$A$10,1,FALSE)=LEFT(B1174,2),"Yes","Error"),"No")</f>
        <v>No</v>
      </c>
    </row>
    <row r="1175" spans="1:13" x14ac:dyDescent="0.25">
      <c r="A1175">
        <v>2022</v>
      </c>
      <c r="B1175" t="s">
        <v>2531</v>
      </c>
      <c r="C1175" t="s">
        <v>2532</v>
      </c>
      <c r="D1175" t="s">
        <v>466</v>
      </c>
      <c r="E1175" t="s">
        <v>523</v>
      </c>
      <c r="F1175">
        <v>4500275643</v>
      </c>
      <c r="G1175" t="s">
        <v>5531</v>
      </c>
      <c r="H1175" t="s">
        <v>3334</v>
      </c>
      <c r="I1175" t="s">
        <v>3065</v>
      </c>
      <c r="J1175" t="s">
        <v>523</v>
      </c>
      <c r="K1175" s="2">
        <v>6636</v>
      </c>
      <c r="L1175" s="2">
        <v>6636</v>
      </c>
      <c r="M1175" t="str">
        <f>IFERROR(IF(VLOOKUP(LEFT(B1175,2),'Humanitarian codes'!$A$2:$A$10,1,FALSE)=LEFT(B1175,2),"Yes","Error"),"No")</f>
        <v>No</v>
      </c>
    </row>
    <row r="1176" spans="1:13" x14ac:dyDescent="0.25">
      <c r="A1176">
        <v>2022</v>
      </c>
      <c r="B1176" t="s">
        <v>5532</v>
      </c>
      <c r="C1176" t="s">
        <v>5533</v>
      </c>
      <c r="D1176" t="s">
        <v>466</v>
      </c>
      <c r="E1176" t="s">
        <v>1355</v>
      </c>
      <c r="F1176">
        <v>4500195339</v>
      </c>
      <c r="G1176" t="s">
        <v>5534</v>
      </c>
      <c r="H1176" t="s">
        <v>3334</v>
      </c>
      <c r="I1176" t="s">
        <v>5535</v>
      </c>
      <c r="J1176" t="s">
        <v>1355</v>
      </c>
      <c r="K1176" s="2">
        <v>12500</v>
      </c>
      <c r="L1176" s="2">
        <v>12500</v>
      </c>
      <c r="M1176" t="str">
        <f>IFERROR(IF(VLOOKUP(LEFT(B1176,2),'Humanitarian codes'!$A$2:$A$10,1,FALSE)=LEFT(B1176,2),"Yes","Error"),"No")</f>
        <v>No</v>
      </c>
    </row>
    <row r="1177" spans="1:13" x14ac:dyDescent="0.25">
      <c r="A1177">
        <v>2022</v>
      </c>
      <c r="B1177" t="s">
        <v>5536</v>
      </c>
      <c r="C1177" t="s">
        <v>5537</v>
      </c>
      <c r="D1177" t="s">
        <v>466</v>
      </c>
      <c r="E1177" t="s">
        <v>594</v>
      </c>
      <c r="F1177">
        <v>4500258431</v>
      </c>
      <c r="G1177" t="s">
        <v>5538</v>
      </c>
      <c r="H1177" t="s">
        <v>3334</v>
      </c>
      <c r="I1177" t="s">
        <v>5515</v>
      </c>
      <c r="J1177" t="s">
        <v>594</v>
      </c>
      <c r="K1177" s="2">
        <v>17763</v>
      </c>
      <c r="L1177" s="2">
        <v>17763</v>
      </c>
      <c r="M1177" t="str">
        <f>IFERROR(IF(VLOOKUP(LEFT(B1177,2),'Humanitarian codes'!$A$2:$A$10,1,FALSE)=LEFT(B1177,2),"Yes","Error"),"No")</f>
        <v>No</v>
      </c>
    </row>
    <row r="1178" spans="1:13" x14ac:dyDescent="0.25">
      <c r="A1178">
        <v>2022</v>
      </c>
      <c r="B1178" t="s">
        <v>5539</v>
      </c>
      <c r="C1178" t="s">
        <v>5540</v>
      </c>
      <c r="D1178" t="s">
        <v>466</v>
      </c>
      <c r="E1178" t="s">
        <v>561</v>
      </c>
      <c r="F1178">
        <v>4500273422</v>
      </c>
      <c r="G1178" t="s">
        <v>5541</v>
      </c>
      <c r="H1178" t="s">
        <v>3334</v>
      </c>
      <c r="I1178" t="s">
        <v>5542</v>
      </c>
      <c r="J1178" t="s">
        <v>561</v>
      </c>
      <c r="K1178" s="2">
        <v>8096</v>
      </c>
      <c r="L1178" s="2">
        <v>8096</v>
      </c>
      <c r="M1178" t="str">
        <f>IFERROR(IF(VLOOKUP(LEFT(B1178,2),'Humanitarian codes'!$A$2:$A$10,1,FALSE)=LEFT(B1178,2),"Yes","Error"),"No")</f>
        <v>No</v>
      </c>
    </row>
    <row r="1179" spans="1:13" x14ac:dyDescent="0.25">
      <c r="A1179">
        <v>2022</v>
      </c>
      <c r="B1179" t="s">
        <v>5543</v>
      </c>
      <c r="C1179" t="s">
        <v>5544</v>
      </c>
      <c r="D1179" t="s">
        <v>466</v>
      </c>
      <c r="E1179" t="s">
        <v>2076</v>
      </c>
      <c r="F1179">
        <v>4500182001</v>
      </c>
      <c r="G1179" t="s">
        <v>5545</v>
      </c>
      <c r="H1179" t="s">
        <v>3334</v>
      </c>
      <c r="I1179" t="s">
        <v>5546</v>
      </c>
      <c r="J1179" t="s">
        <v>5547</v>
      </c>
      <c r="K1179" s="2">
        <v>36045</v>
      </c>
      <c r="L1179" s="2">
        <v>36045</v>
      </c>
      <c r="M1179" t="str">
        <f>IFERROR(IF(VLOOKUP(LEFT(B1179,2),'Humanitarian codes'!$A$2:$A$10,1,FALSE)=LEFT(B1179,2),"Yes","Error"),"No")</f>
        <v>No</v>
      </c>
    </row>
    <row r="1180" spans="1:13" x14ac:dyDescent="0.25">
      <c r="A1180">
        <v>2022</v>
      </c>
      <c r="B1180" t="s">
        <v>5543</v>
      </c>
      <c r="C1180" t="s">
        <v>5544</v>
      </c>
      <c r="D1180" t="s">
        <v>466</v>
      </c>
      <c r="E1180" t="s">
        <v>2076</v>
      </c>
      <c r="F1180">
        <v>4500182602</v>
      </c>
      <c r="G1180" t="s">
        <v>5548</v>
      </c>
      <c r="H1180" t="s">
        <v>3334</v>
      </c>
      <c r="I1180" t="s">
        <v>5549</v>
      </c>
      <c r="J1180" t="s">
        <v>5547</v>
      </c>
      <c r="K1180" s="2">
        <v>59249</v>
      </c>
      <c r="L1180" s="2">
        <v>59249</v>
      </c>
      <c r="M1180" t="str">
        <f>IFERROR(IF(VLOOKUP(LEFT(B1180,2),'Humanitarian codes'!$A$2:$A$10,1,FALSE)=LEFT(B1180,2),"Yes","Error"),"No")</f>
        <v>No</v>
      </c>
    </row>
    <row r="1181" spans="1:13" x14ac:dyDescent="0.25">
      <c r="A1181">
        <v>2022</v>
      </c>
      <c r="B1181" t="s">
        <v>3659</v>
      </c>
      <c r="C1181" t="s">
        <v>3660</v>
      </c>
      <c r="D1181" t="s">
        <v>466</v>
      </c>
      <c r="E1181" t="s">
        <v>523</v>
      </c>
      <c r="F1181">
        <v>4500268960</v>
      </c>
      <c r="G1181" t="s">
        <v>5550</v>
      </c>
      <c r="H1181" t="s">
        <v>3334</v>
      </c>
      <c r="I1181" t="s">
        <v>5551</v>
      </c>
      <c r="J1181" t="s">
        <v>523</v>
      </c>
      <c r="K1181" s="2">
        <v>43335</v>
      </c>
      <c r="L1181" s="2">
        <v>43335</v>
      </c>
      <c r="M1181" t="str">
        <f>IFERROR(IF(VLOOKUP(LEFT(B1181,2),'Humanitarian codes'!$A$2:$A$10,1,FALSE)=LEFT(B1181,2),"Yes","Error"),"No")</f>
        <v>No</v>
      </c>
    </row>
    <row r="1182" spans="1:13" x14ac:dyDescent="0.25">
      <c r="A1182">
        <v>2022</v>
      </c>
      <c r="B1182" t="s">
        <v>732</v>
      </c>
      <c r="C1182" t="s">
        <v>733</v>
      </c>
      <c r="D1182" t="s">
        <v>466</v>
      </c>
      <c r="E1182" t="s">
        <v>1453</v>
      </c>
      <c r="F1182">
        <v>4500233528</v>
      </c>
      <c r="G1182" t="s">
        <v>5552</v>
      </c>
      <c r="H1182" t="s">
        <v>3334</v>
      </c>
      <c r="I1182" t="s">
        <v>2543</v>
      </c>
      <c r="J1182" t="s">
        <v>1453</v>
      </c>
      <c r="K1182" s="2">
        <v>2800</v>
      </c>
      <c r="L1182" s="2">
        <v>2800</v>
      </c>
      <c r="M1182" t="str">
        <f>IFERROR(IF(VLOOKUP(LEFT(B1182,2),'Humanitarian codes'!$A$2:$A$10,1,FALSE)=LEFT(B1182,2),"Yes","Error"),"No")</f>
        <v>No</v>
      </c>
    </row>
    <row r="1183" spans="1:13" x14ac:dyDescent="0.25">
      <c r="A1183">
        <v>2022</v>
      </c>
      <c r="B1183" t="s">
        <v>732</v>
      </c>
      <c r="C1183" t="s">
        <v>733</v>
      </c>
      <c r="D1183" t="s">
        <v>466</v>
      </c>
      <c r="E1183" t="s">
        <v>2076</v>
      </c>
      <c r="F1183">
        <v>4500213018</v>
      </c>
      <c r="G1183" t="s">
        <v>5553</v>
      </c>
      <c r="H1183" t="s">
        <v>3334</v>
      </c>
      <c r="I1183" t="s">
        <v>5554</v>
      </c>
      <c r="J1183" t="s">
        <v>5547</v>
      </c>
      <c r="K1183" s="2">
        <v>10000</v>
      </c>
      <c r="L1183" s="2">
        <v>10000</v>
      </c>
      <c r="M1183" t="str">
        <f>IFERROR(IF(VLOOKUP(LEFT(B1183,2),'Humanitarian codes'!$A$2:$A$10,1,FALSE)=LEFT(B1183,2),"Yes","Error"),"No")</f>
        <v>No</v>
      </c>
    </row>
    <row r="1184" spans="1:13" x14ac:dyDescent="0.25">
      <c r="A1184">
        <v>2022</v>
      </c>
      <c r="B1184" t="s">
        <v>732</v>
      </c>
      <c r="C1184" t="s">
        <v>733</v>
      </c>
      <c r="D1184" t="s">
        <v>466</v>
      </c>
      <c r="E1184" t="s">
        <v>2076</v>
      </c>
      <c r="F1184">
        <v>4500240094</v>
      </c>
      <c r="G1184" t="s">
        <v>5555</v>
      </c>
      <c r="H1184" t="s">
        <v>3334</v>
      </c>
      <c r="I1184" t="s">
        <v>5556</v>
      </c>
      <c r="J1184" t="s">
        <v>5547</v>
      </c>
      <c r="K1184" s="2">
        <v>10420</v>
      </c>
      <c r="L1184" s="2">
        <v>10420</v>
      </c>
      <c r="M1184" t="str">
        <f>IFERROR(IF(VLOOKUP(LEFT(B1184,2),'Humanitarian codes'!$A$2:$A$10,1,FALSE)=LEFT(B1184,2),"Yes","Error"),"No")</f>
        <v>No</v>
      </c>
    </row>
    <row r="1185" spans="1:13" x14ac:dyDescent="0.25">
      <c r="A1185">
        <v>2022</v>
      </c>
      <c r="B1185" t="s">
        <v>732</v>
      </c>
      <c r="C1185" t="s">
        <v>733</v>
      </c>
      <c r="D1185" t="s">
        <v>466</v>
      </c>
      <c r="E1185" t="s">
        <v>2076</v>
      </c>
      <c r="F1185">
        <v>4500261634</v>
      </c>
      <c r="G1185" t="s">
        <v>5557</v>
      </c>
      <c r="H1185" t="s">
        <v>3334</v>
      </c>
      <c r="I1185" t="s">
        <v>5558</v>
      </c>
      <c r="J1185" t="s">
        <v>5547</v>
      </c>
      <c r="K1185" s="2">
        <v>154000</v>
      </c>
      <c r="L1185" s="2">
        <v>154000</v>
      </c>
      <c r="M1185" t="str">
        <f>IFERROR(IF(VLOOKUP(LEFT(B1185,2),'Humanitarian codes'!$A$2:$A$10,1,FALSE)=LEFT(B1185,2),"Yes","Error"),"No")</f>
        <v>No</v>
      </c>
    </row>
    <row r="1186" spans="1:13" x14ac:dyDescent="0.25">
      <c r="A1186">
        <v>2022</v>
      </c>
      <c r="B1186" t="s">
        <v>732</v>
      </c>
      <c r="C1186" t="s">
        <v>733</v>
      </c>
      <c r="D1186" t="s">
        <v>466</v>
      </c>
      <c r="E1186" t="s">
        <v>167</v>
      </c>
      <c r="F1186">
        <v>4500204110</v>
      </c>
      <c r="G1186" t="s">
        <v>5559</v>
      </c>
      <c r="H1186" t="s">
        <v>3334</v>
      </c>
      <c r="I1186" t="s">
        <v>5560</v>
      </c>
      <c r="J1186" t="s">
        <v>167</v>
      </c>
      <c r="K1186" s="2">
        <v>39851</v>
      </c>
      <c r="L1186" s="2">
        <v>39851</v>
      </c>
      <c r="M1186" t="str">
        <f>IFERROR(IF(VLOOKUP(LEFT(B1186,2),'Humanitarian codes'!$A$2:$A$10,1,FALSE)=LEFT(B1186,2),"Yes","Error"),"No")</f>
        <v>No</v>
      </c>
    </row>
    <row r="1187" spans="1:13" x14ac:dyDescent="0.25">
      <c r="A1187">
        <v>2022</v>
      </c>
      <c r="B1187" t="s">
        <v>732</v>
      </c>
      <c r="C1187" t="s">
        <v>733</v>
      </c>
      <c r="D1187" t="s">
        <v>466</v>
      </c>
      <c r="E1187" t="s">
        <v>167</v>
      </c>
      <c r="F1187">
        <v>4500214564</v>
      </c>
      <c r="G1187" t="s">
        <v>5561</v>
      </c>
      <c r="H1187" t="s">
        <v>3334</v>
      </c>
      <c r="I1187" t="s">
        <v>734</v>
      </c>
      <c r="J1187" t="s">
        <v>167</v>
      </c>
      <c r="K1187" s="2">
        <v>26260</v>
      </c>
      <c r="L1187" s="2">
        <v>26260</v>
      </c>
      <c r="M1187" t="str">
        <f>IFERROR(IF(VLOOKUP(LEFT(B1187,2),'Humanitarian codes'!$A$2:$A$10,1,FALSE)=LEFT(B1187,2),"Yes","Error"),"No")</f>
        <v>No</v>
      </c>
    </row>
    <row r="1188" spans="1:13" x14ac:dyDescent="0.25">
      <c r="A1188">
        <v>2022</v>
      </c>
      <c r="B1188" t="s">
        <v>732</v>
      </c>
      <c r="C1188" t="s">
        <v>733</v>
      </c>
      <c r="D1188" t="s">
        <v>466</v>
      </c>
      <c r="E1188" t="s">
        <v>167</v>
      </c>
      <c r="F1188">
        <v>4500215795</v>
      </c>
      <c r="G1188" t="s">
        <v>5562</v>
      </c>
      <c r="H1188" t="s">
        <v>3334</v>
      </c>
      <c r="I1188" t="s">
        <v>973</v>
      </c>
      <c r="J1188" t="s">
        <v>167</v>
      </c>
      <c r="K1188" s="2">
        <v>65672</v>
      </c>
      <c r="L1188" s="2">
        <v>65672</v>
      </c>
      <c r="M1188" t="str">
        <f>IFERROR(IF(VLOOKUP(LEFT(B1188,2),'Humanitarian codes'!$A$2:$A$10,1,FALSE)=LEFT(B1188,2),"Yes","Error"),"No")</f>
        <v>No</v>
      </c>
    </row>
    <row r="1189" spans="1:13" x14ac:dyDescent="0.25">
      <c r="A1189">
        <v>2022</v>
      </c>
      <c r="B1189" t="s">
        <v>732</v>
      </c>
      <c r="C1189" t="s">
        <v>733</v>
      </c>
      <c r="D1189" t="s">
        <v>466</v>
      </c>
      <c r="E1189" t="s">
        <v>167</v>
      </c>
      <c r="F1189">
        <v>4500265300</v>
      </c>
      <c r="G1189" t="s">
        <v>5563</v>
      </c>
      <c r="H1189" t="s">
        <v>3334</v>
      </c>
      <c r="I1189" t="s">
        <v>734</v>
      </c>
      <c r="J1189" t="s">
        <v>167</v>
      </c>
      <c r="K1189" s="2">
        <v>29457</v>
      </c>
      <c r="L1189" s="2">
        <v>29457</v>
      </c>
      <c r="M1189" t="str">
        <f>IFERROR(IF(VLOOKUP(LEFT(B1189,2),'Humanitarian codes'!$A$2:$A$10,1,FALSE)=LEFT(B1189,2),"Yes","Error"),"No")</f>
        <v>No</v>
      </c>
    </row>
    <row r="1190" spans="1:13" x14ac:dyDescent="0.25">
      <c r="A1190">
        <v>2022</v>
      </c>
      <c r="B1190" t="s">
        <v>5564</v>
      </c>
      <c r="C1190" t="s">
        <v>548</v>
      </c>
      <c r="D1190" t="s">
        <v>466</v>
      </c>
      <c r="E1190" t="s">
        <v>549</v>
      </c>
      <c r="F1190">
        <v>4500201372</v>
      </c>
      <c r="G1190" t="s">
        <v>5565</v>
      </c>
      <c r="H1190" t="s">
        <v>3334</v>
      </c>
      <c r="I1190" t="s">
        <v>2555</v>
      </c>
      <c r="J1190" t="s">
        <v>549</v>
      </c>
      <c r="K1190" s="2">
        <v>3000</v>
      </c>
      <c r="L1190" s="2">
        <v>3000</v>
      </c>
      <c r="M1190" t="str">
        <f>IFERROR(IF(VLOOKUP(LEFT(B1190,2),'Humanitarian codes'!$A$2:$A$10,1,FALSE)=LEFT(B1190,2),"Yes","Error"),"No")</f>
        <v>No</v>
      </c>
    </row>
    <row r="1191" spans="1:13" x14ac:dyDescent="0.25">
      <c r="A1191">
        <v>2022</v>
      </c>
      <c r="B1191" t="s">
        <v>5564</v>
      </c>
      <c r="C1191" t="s">
        <v>548</v>
      </c>
      <c r="D1191" t="s">
        <v>466</v>
      </c>
      <c r="E1191" t="s">
        <v>549</v>
      </c>
      <c r="F1191">
        <v>4500218006</v>
      </c>
      <c r="G1191" t="s">
        <v>5566</v>
      </c>
      <c r="H1191" t="s">
        <v>3334</v>
      </c>
      <c r="I1191" t="s">
        <v>2088</v>
      </c>
      <c r="J1191" t="s">
        <v>549</v>
      </c>
      <c r="K1191" s="2">
        <v>2500</v>
      </c>
      <c r="L1191" s="2">
        <v>2500</v>
      </c>
      <c r="M1191" t="str">
        <f>IFERROR(IF(VLOOKUP(LEFT(B1191,2),'Humanitarian codes'!$A$2:$A$10,1,FALSE)=LEFT(B1191,2),"Yes","Error"),"No")</f>
        <v>No</v>
      </c>
    </row>
    <row r="1192" spans="1:13" x14ac:dyDescent="0.25">
      <c r="A1192">
        <v>2022</v>
      </c>
      <c r="B1192" t="s">
        <v>5564</v>
      </c>
      <c r="C1192" t="s">
        <v>548</v>
      </c>
      <c r="D1192" t="s">
        <v>466</v>
      </c>
      <c r="E1192" t="s">
        <v>549</v>
      </c>
      <c r="F1192">
        <v>4500231815</v>
      </c>
      <c r="G1192" t="s">
        <v>5567</v>
      </c>
      <c r="H1192" t="s">
        <v>3334</v>
      </c>
      <c r="I1192" t="s">
        <v>5568</v>
      </c>
      <c r="J1192" t="s">
        <v>549</v>
      </c>
      <c r="K1192" s="2">
        <v>2001</v>
      </c>
      <c r="L1192" s="2">
        <v>2001</v>
      </c>
      <c r="M1192" t="str">
        <f>IFERROR(IF(VLOOKUP(LEFT(B1192,2),'Humanitarian codes'!$A$2:$A$10,1,FALSE)=LEFT(B1192,2),"Yes","Error"),"No")</f>
        <v>No</v>
      </c>
    </row>
    <row r="1193" spans="1:13" x14ac:dyDescent="0.25">
      <c r="A1193">
        <v>2022</v>
      </c>
      <c r="B1193" t="s">
        <v>5564</v>
      </c>
      <c r="C1193" t="s">
        <v>548</v>
      </c>
      <c r="D1193" t="s">
        <v>466</v>
      </c>
      <c r="E1193" t="s">
        <v>549</v>
      </c>
      <c r="F1193">
        <v>4500231817</v>
      </c>
      <c r="G1193" t="s">
        <v>5567</v>
      </c>
      <c r="H1193" t="s">
        <v>3334</v>
      </c>
      <c r="I1193" t="s">
        <v>2090</v>
      </c>
      <c r="J1193" t="s">
        <v>549</v>
      </c>
      <c r="K1193" s="2">
        <v>1965</v>
      </c>
      <c r="L1193" s="2">
        <v>1965</v>
      </c>
      <c r="M1193" t="str">
        <f>IFERROR(IF(VLOOKUP(LEFT(B1193,2),'Humanitarian codes'!$A$2:$A$10,1,FALSE)=LEFT(B1193,2),"Yes","Error"),"No")</f>
        <v>No</v>
      </c>
    </row>
    <row r="1194" spans="1:13" x14ac:dyDescent="0.25">
      <c r="A1194">
        <v>2022</v>
      </c>
      <c r="B1194" t="s">
        <v>5564</v>
      </c>
      <c r="C1194" t="s">
        <v>548</v>
      </c>
      <c r="D1194" t="s">
        <v>466</v>
      </c>
      <c r="E1194" t="s">
        <v>449</v>
      </c>
      <c r="F1194">
        <v>4500193029</v>
      </c>
      <c r="G1194" t="s">
        <v>5569</v>
      </c>
      <c r="H1194" t="s">
        <v>3334</v>
      </c>
      <c r="I1194" t="s">
        <v>5570</v>
      </c>
      <c r="J1194" t="s">
        <v>449</v>
      </c>
      <c r="K1194" s="2">
        <v>39069</v>
      </c>
      <c r="L1194" s="2">
        <v>39069</v>
      </c>
      <c r="M1194" t="str">
        <f>IFERROR(IF(VLOOKUP(LEFT(B1194,2),'Humanitarian codes'!$A$2:$A$10,1,FALSE)=LEFT(B1194,2),"Yes","Error"),"No")</f>
        <v>No</v>
      </c>
    </row>
    <row r="1195" spans="1:13" x14ac:dyDescent="0.25">
      <c r="A1195">
        <v>2022</v>
      </c>
      <c r="B1195" t="s">
        <v>5564</v>
      </c>
      <c r="C1195" t="s">
        <v>548</v>
      </c>
      <c r="D1195" t="s">
        <v>466</v>
      </c>
      <c r="E1195" t="s">
        <v>449</v>
      </c>
      <c r="F1195">
        <v>4500246206</v>
      </c>
      <c r="G1195" t="s">
        <v>5571</v>
      </c>
      <c r="H1195" t="s">
        <v>3334</v>
      </c>
      <c r="I1195" t="s">
        <v>5572</v>
      </c>
      <c r="J1195" t="s">
        <v>449</v>
      </c>
      <c r="K1195" s="2">
        <v>126967</v>
      </c>
      <c r="L1195" s="2">
        <v>126967</v>
      </c>
      <c r="M1195" t="str">
        <f>IFERROR(IF(VLOOKUP(LEFT(B1195,2),'Humanitarian codes'!$A$2:$A$10,1,FALSE)=LEFT(B1195,2),"Yes","Error"),"No")</f>
        <v>No</v>
      </c>
    </row>
    <row r="1196" spans="1:13" x14ac:dyDescent="0.25">
      <c r="A1196">
        <v>2022</v>
      </c>
      <c r="B1196" t="s">
        <v>5564</v>
      </c>
      <c r="C1196" t="s">
        <v>548</v>
      </c>
      <c r="D1196" t="s">
        <v>466</v>
      </c>
      <c r="E1196" t="s">
        <v>831</v>
      </c>
      <c r="F1196">
        <v>4500192980</v>
      </c>
      <c r="G1196" t="s">
        <v>4382</v>
      </c>
      <c r="H1196" t="s">
        <v>3334</v>
      </c>
      <c r="I1196" t="s">
        <v>558</v>
      </c>
      <c r="J1196" t="s">
        <v>350</v>
      </c>
      <c r="K1196" s="2">
        <v>3051</v>
      </c>
      <c r="L1196" s="2">
        <v>12205</v>
      </c>
      <c r="M1196" t="str">
        <f>IFERROR(IF(VLOOKUP(LEFT(B1196,2),'Humanitarian codes'!$A$2:$A$10,1,FALSE)=LEFT(B1196,2),"Yes","Error"),"No")</f>
        <v>No</v>
      </c>
    </row>
    <row r="1197" spans="1:13" x14ac:dyDescent="0.25">
      <c r="A1197">
        <v>2022</v>
      </c>
      <c r="B1197" t="s">
        <v>5564</v>
      </c>
      <c r="C1197" t="s">
        <v>548</v>
      </c>
      <c r="D1197" t="s">
        <v>466</v>
      </c>
      <c r="E1197" t="s">
        <v>831</v>
      </c>
      <c r="F1197">
        <v>4500193070</v>
      </c>
      <c r="G1197" t="s">
        <v>4382</v>
      </c>
      <c r="H1197" t="s">
        <v>3334</v>
      </c>
      <c r="I1197" t="s">
        <v>4383</v>
      </c>
      <c r="J1197" t="s">
        <v>350</v>
      </c>
      <c r="K1197" s="2">
        <v>6344</v>
      </c>
      <c r="L1197" s="2">
        <v>25376</v>
      </c>
      <c r="M1197" t="str">
        <f>IFERROR(IF(VLOOKUP(LEFT(B1197,2),'Humanitarian codes'!$A$2:$A$10,1,FALSE)=LEFT(B1197,2),"Yes","Error"),"No")</f>
        <v>No</v>
      </c>
    </row>
    <row r="1198" spans="1:13" x14ac:dyDescent="0.25">
      <c r="A1198">
        <v>2022</v>
      </c>
      <c r="B1198" t="s">
        <v>5564</v>
      </c>
      <c r="C1198" t="s">
        <v>548</v>
      </c>
      <c r="D1198" t="s">
        <v>466</v>
      </c>
      <c r="E1198" t="s">
        <v>831</v>
      </c>
      <c r="F1198">
        <v>4500193072</v>
      </c>
      <c r="G1198" t="s">
        <v>4384</v>
      </c>
      <c r="H1198" t="s">
        <v>3334</v>
      </c>
      <c r="I1198" t="s">
        <v>554</v>
      </c>
      <c r="J1198" t="s">
        <v>350</v>
      </c>
      <c r="K1198" s="2">
        <v>4761</v>
      </c>
      <c r="L1198" s="2">
        <v>19042</v>
      </c>
      <c r="M1198" t="str">
        <f>IFERROR(IF(VLOOKUP(LEFT(B1198,2),'Humanitarian codes'!$A$2:$A$10,1,FALSE)=LEFT(B1198,2),"Yes","Error"),"No")</f>
        <v>No</v>
      </c>
    </row>
    <row r="1199" spans="1:13" x14ac:dyDescent="0.25">
      <c r="A1199">
        <v>2022</v>
      </c>
      <c r="B1199" t="s">
        <v>5564</v>
      </c>
      <c r="C1199" t="s">
        <v>548</v>
      </c>
      <c r="D1199" t="s">
        <v>466</v>
      </c>
      <c r="E1199" t="s">
        <v>831</v>
      </c>
      <c r="F1199">
        <v>4500193073</v>
      </c>
      <c r="G1199" t="s">
        <v>4384</v>
      </c>
      <c r="H1199" t="s">
        <v>3334</v>
      </c>
      <c r="I1199" t="s">
        <v>556</v>
      </c>
      <c r="J1199" t="s">
        <v>350</v>
      </c>
      <c r="K1199" s="2">
        <v>6408</v>
      </c>
      <c r="L1199" s="2">
        <v>25633</v>
      </c>
      <c r="M1199" t="str">
        <f>IFERROR(IF(VLOOKUP(LEFT(B1199,2),'Humanitarian codes'!$A$2:$A$10,1,FALSE)=LEFT(B1199,2),"Yes","Error"),"No")</f>
        <v>No</v>
      </c>
    </row>
    <row r="1200" spans="1:13" x14ac:dyDescent="0.25">
      <c r="A1200">
        <v>2022</v>
      </c>
      <c r="B1200" t="s">
        <v>5564</v>
      </c>
      <c r="C1200" t="s">
        <v>548</v>
      </c>
      <c r="D1200" t="s">
        <v>466</v>
      </c>
      <c r="E1200" t="s">
        <v>831</v>
      </c>
      <c r="F1200">
        <v>4500193480</v>
      </c>
      <c r="G1200" t="s">
        <v>4382</v>
      </c>
      <c r="H1200" t="s">
        <v>3334</v>
      </c>
      <c r="I1200" t="s">
        <v>557</v>
      </c>
      <c r="J1200" t="s">
        <v>350</v>
      </c>
      <c r="K1200" s="2">
        <v>2864</v>
      </c>
      <c r="L1200" s="2">
        <v>11454</v>
      </c>
      <c r="M1200" t="str">
        <f>IFERROR(IF(VLOOKUP(LEFT(B1200,2),'Humanitarian codes'!$A$2:$A$10,1,FALSE)=LEFT(B1200,2),"Yes","Error"),"No")</f>
        <v>No</v>
      </c>
    </row>
    <row r="1201" spans="1:13" x14ac:dyDescent="0.25">
      <c r="A1201">
        <v>2022</v>
      </c>
      <c r="B1201" t="s">
        <v>5564</v>
      </c>
      <c r="C1201" t="s">
        <v>548</v>
      </c>
      <c r="D1201" t="s">
        <v>466</v>
      </c>
      <c r="E1201" t="s">
        <v>1987</v>
      </c>
      <c r="F1201">
        <v>4500228579</v>
      </c>
      <c r="G1201" t="s">
        <v>5573</v>
      </c>
      <c r="H1201" t="s">
        <v>3334</v>
      </c>
      <c r="I1201" t="s">
        <v>5574</v>
      </c>
      <c r="J1201" t="s">
        <v>1987</v>
      </c>
      <c r="K1201" s="2">
        <v>20523</v>
      </c>
      <c r="L1201" s="2">
        <v>20523</v>
      </c>
      <c r="M1201" t="str">
        <f>IFERROR(IF(VLOOKUP(LEFT(B1201,2),'Humanitarian codes'!$A$2:$A$10,1,FALSE)=LEFT(B1201,2),"Yes","Error"),"No")</f>
        <v>No</v>
      </c>
    </row>
    <row r="1202" spans="1:13" x14ac:dyDescent="0.25">
      <c r="A1202">
        <v>2022</v>
      </c>
      <c r="B1202" t="s">
        <v>5575</v>
      </c>
      <c r="C1202" t="s">
        <v>5576</v>
      </c>
      <c r="D1202" t="s">
        <v>466</v>
      </c>
      <c r="E1202" t="s">
        <v>717</v>
      </c>
      <c r="F1202">
        <v>4500246746</v>
      </c>
      <c r="G1202" t="s">
        <v>5577</v>
      </c>
      <c r="H1202" t="s">
        <v>3334</v>
      </c>
      <c r="I1202" t="s">
        <v>1036</v>
      </c>
      <c r="J1202" t="s">
        <v>717</v>
      </c>
      <c r="K1202" s="2">
        <v>2440704</v>
      </c>
      <c r="L1202" s="2">
        <v>2440704</v>
      </c>
      <c r="M1202" t="str">
        <f>IFERROR(IF(VLOOKUP(LEFT(B1202,2),'Humanitarian codes'!$A$2:$A$10,1,FALSE)=LEFT(B1202,2),"Yes","Error"),"No")</f>
        <v>No</v>
      </c>
    </row>
    <row r="1203" spans="1:13" x14ac:dyDescent="0.25">
      <c r="A1203">
        <v>2022</v>
      </c>
      <c r="B1203" t="s">
        <v>2553</v>
      </c>
      <c r="C1203" t="s">
        <v>2554</v>
      </c>
      <c r="D1203" t="s">
        <v>466</v>
      </c>
      <c r="E1203" t="s">
        <v>549</v>
      </c>
      <c r="F1203">
        <v>4500256682</v>
      </c>
      <c r="G1203" t="s">
        <v>5578</v>
      </c>
      <c r="H1203" t="s">
        <v>3334</v>
      </c>
      <c r="I1203" t="s">
        <v>5568</v>
      </c>
      <c r="J1203" t="s">
        <v>549</v>
      </c>
      <c r="K1203" s="2">
        <v>5000</v>
      </c>
      <c r="L1203" s="2">
        <v>5000</v>
      </c>
      <c r="M1203" t="str">
        <f>IFERROR(IF(VLOOKUP(LEFT(B1203,2),'Humanitarian codes'!$A$2:$A$10,1,FALSE)=LEFT(B1203,2),"Yes","Error"),"No")</f>
        <v>No</v>
      </c>
    </row>
    <row r="1204" spans="1:13" x14ac:dyDescent="0.25">
      <c r="A1204">
        <v>2022</v>
      </c>
      <c r="B1204" t="s">
        <v>2553</v>
      </c>
      <c r="C1204" t="s">
        <v>2554</v>
      </c>
      <c r="D1204" t="s">
        <v>466</v>
      </c>
      <c r="E1204" t="s">
        <v>549</v>
      </c>
      <c r="F1204">
        <v>4500256684</v>
      </c>
      <c r="G1204" t="s">
        <v>5578</v>
      </c>
      <c r="H1204" t="s">
        <v>3334</v>
      </c>
      <c r="I1204" t="s">
        <v>2090</v>
      </c>
      <c r="J1204" t="s">
        <v>549</v>
      </c>
      <c r="K1204" s="2">
        <v>3500</v>
      </c>
      <c r="L1204" s="2">
        <v>3500</v>
      </c>
      <c r="M1204" t="str">
        <f>IFERROR(IF(VLOOKUP(LEFT(B1204,2),'Humanitarian codes'!$A$2:$A$10,1,FALSE)=LEFT(B1204,2),"Yes","Error"),"No")</f>
        <v>No</v>
      </c>
    </row>
    <row r="1205" spans="1:13" x14ac:dyDescent="0.25">
      <c r="A1205">
        <v>2022</v>
      </c>
      <c r="B1205" t="s">
        <v>2553</v>
      </c>
      <c r="C1205" t="s">
        <v>2554</v>
      </c>
      <c r="D1205" t="s">
        <v>466</v>
      </c>
      <c r="E1205" t="s">
        <v>549</v>
      </c>
      <c r="F1205">
        <v>4500258355</v>
      </c>
      <c r="G1205" t="s">
        <v>5579</v>
      </c>
      <c r="H1205" t="s">
        <v>3334</v>
      </c>
      <c r="I1205" t="s">
        <v>5580</v>
      </c>
      <c r="J1205" t="s">
        <v>549</v>
      </c>
      <c r="K1205" s="2">
        <v>17500</v>
      </c>
      <c r="L1205" s="2">
        <v>17500</v>
      </c>
      <c r="M1205" t="str">
        <f>IFERROR(IF(VLOOKUP(LEFT(B1205,2),'Humanitarian codes'!$A$2:$A$10,1,FALSE)=LEFT(B1205,2),"Yes","Error"),"No")</f>
        <v>No</v>
      </c>
    </row>
    <row r="1206" spans="1:13" x14ac:dyDescent="0.25">
      <c r="A1206">
        <v>2022</v>
      </c>
      <c r="B1206" t="s">
        <v>2553</v>
      </c>
      <c r="C1206" t="s">
        <v>2554</v>
      </c>
      <c r="D1206" t="s">
        <v>466</v>
      </c>
      <c r="E1206" t="s">
        <v>549</v>
      </c>
      <c r="F1206">
        <v>4500258713</v>
      </c>
      <c r="G1206" t="s">
        <v>5581</v>
      </c>
      <c r="H1206" t="s">
        <v>3334</v>
      </c>
      <c r="I1206" t="s">
        <v>2088</v>
      </c>
      <c r="J1206" t="s">
        <v>549</v>
      </c>
      <c r="K1206" s="2">
        <v>4000</v>
      </c>
      <c r="L1206" s="2">
        <v>4000</v>
      </c>
      <c r="M1206" t="str">
        <f>IFERROR(IF(VLOOKUP(LEFT(B1206,2),'Humanitarian codes'!$A$2:$A$10,1,FALSE)=LEFT(B1206,2),"Yes","Error"),"No")</f>
        <v>No</v>
      </c>
    </row>
    <row r="1207" spans="1:13" x14ac:dyDescent="0.25">
      <c r="A1207">
        <v>2022</v>
      </c>
      <c r="B1207" t="s">
        <v>2553</v>
      </c>
      <c r="C1207" t="s">
        <v>2554</v>
      </c>
      <c r="D1207" t="s">
        <v>466</v>
      </c>
      <c r="E1207" t="s">
        <v>549</v>
      </c>
      <c r="F1207">
        <v>4500265581</v>
      </c>
      <c r="G1207" t="s">
        <v>5582</v>
      </c>
      <c r="H1207" t="s">
        <v>3334</v>
      </c>
      <c r="I1207" t="s">
        <v>5583</v>
      </c>
      <c r="J1207" t="s">
        <v>549</v>
      </c>
      <c r="K1207" s="2">
        <v>24250</v>
      </c>
      <c r="L1207" s="2">
        <v>24250</v>
      </c>
      <c r="M1207" t="str">
        <f>IFERROR(IF(VLOOKUP(LEFT(B1207,2),'Humanitarian codes'!$A$2:$A$10,1,FALSE)=LEFT(B1207,2),"Yes","Error"),"No")</f>
        <v>No</v>
      </c>
    </row>
    <row r="1208" spans="1:13" x14ac:dyDescent="0.25">
      <c r="A1208">
        <v>2022</v>
      </c>
      <c r="B1208" t="s">
        <v>511</v>
      </c>
      <c r="C1208" t="s">
        <v>513</v>
      </c>
      <c r="D1208" t="s">
        <v>512</v>
      </c>
      <c r="E1208" t="s">
        <v>167</v>
      </c>
      <c r="F1208">
        <v>4500196366</v>
      </c>
      <c r="G1208" t="s">
        <v>5584</v>
      </c>
      <c r="H1208" t="s">
        <v>3334</v>
      </c>
      <c r="I1208" t="s">
        <v>514</v>
      </c>
      <c r="J1208" t="s">
        <v>5547</v>
      </c>
      <c r="K1208" s="2">
        <v>533612</v>
      </c>
      <c r="L1208" s="2">
        <v>533612</v>
      </c>
      <c r="M1208" t="str">
        <f>IFERROR(IF(VLOOKUP(LEFT(B1208,2),'Humanitarian codes'!$A$2:$A$10,1,FALSE)=LEFT(B1208,2),"Yes","Error"),"No")</f>
        <v>No</v>
      </c>
    </row>
    <row r="1209" spans="1:13" x14ac:dyDescent="0.25">
      <c r="A1209">
        <v>2022</v>
      </c>
      <c r="B1209" t="s">
        <v>511</v>
      </c>
      <c r="C1209" t="s">
        <v>513</v>
      </c>
      <c r="D1209" t="s">
        <v>512</v>
      </c>
      <c r="E1209" t="s">
        <v>167</v>
      </c>
      <c r="F1209">
        <v>4500196368</v>
      </c>
      <c r="G1209" t="s">
        <v>5585</v>
      </c>
      <c r="H1209" t="s">
        <v>3334</v>
      </c>
      <c r="I1209" t="s">
        <v>520</v>
      </c>
      <c r="J1209" t="s">
        <v>167</v>
      </c>
      <c r="K1209" s="2">
        <v>212441</v>
      </c>
      <c r="L1209" s="2">
        <v>212441</v>
      </c>
      <c r="M1209" t="str">
        <f>IFERROR(IF(VLOOKUP(LEFT(B1209,2),'Humanitarian codes'!$A$2:$A$10,1,FALSE)=LEFT(B1209,2),"Yes","Error"),"No")</f>
        <v>No</v>
      </c>
    </row>
    <row r="1210" spans="1:13" x14ac:dyDescent="0.25">
      <c r="A1210">
        <v>2022</v>
      </c>
      <c r="B1210" t="s">
        <v>511</v>
      </c>
      <c r="C1210" t="s">
        <v>513</v>
      </c>
      <c r="D1210" t="s">
        <v>512</v>
      </c>
      <c r="E1210" t="s">
        <v>167</v>
      </c>
      <c r="F1210">
        <v>4500196371</v>
      </c>
      <c r="G1210" t="s">
        <v>5586</v>
      </c>
      <c r="H1210" t="s">
        <v>3334</v>
      </c>
      <c r="I1210" t="s">
        <v>521</v>
      </c>
      <c r="J1210" t="s">
        <v>167</v>
      </c>
      <c r="K1210" s="2">
        <v>20209</v>
      </c>
      <c r="L1210" s="2">
        <v>20209</v>
      </c>
      <c r="M1210" t="str">
        <f>IFERROR(IF(VLOOKUP(LEFT(B1210,2),'Humanitarian codes'!$A$2:$A$10,1,FALSE)=LEFT(B1210,2),"Yes","Error"),"No")</f>
        <v>No</v>
      </c>
    </row>
    <row r="1211" spans="1:13" x14ac:dyDescent="0.25">
      <c r="A1211">
        <v>2022</v>
      </c>
      <c r="B1211" t="s">
        <v>511</v>
      </c>
      <c r="C1211" t="s">
        <v>513</v>
      </c>
      <c r="D1211" t="s">
        <v>512</v>
      </c>
      <c r="E1211" t="s">
        <v>167</v>
      </c>
      <c r="F1211">
        <v>4500196388</v>
      </c>
      <c r="G1211" t="s">
        <v>5587</v>
      </c>
      <c r="H1211" t="s">
        <v>3334</v>
      </c>
      <c r="I1211" t="s">
        <v>2077</v>
      </c>
      <c r="J1211" t="s">
        <v>167</v>
      </c>
      <c r="K1211" s="2">
        <v>201060</v>
      </c>
      <c r="L1211" s="2">
        <v>201060</v>
      </c>
      <c r="M1211" t="str">
        <f>IFERROR(IF(VLOOKUP(LEFT(B1211,2),'Humanitarian codes'!$A$2:$A$10,1,FALSE)=LEFT(B1211,2),"Yes","Error"),"No")</f>
        <v>No</v>
      </c>
    </row>
    <row r="1212" spans="1:13" x14ac:dyDescent="0.25">
      <c r="A1212">
        <v>2022</v>
      </c>
      <c r="B1212" t="s">
        <v>511</v>
      </c>
      <c r="C1212" t="s">
        <v>513</v>
      </c>
      <c r="D1212" t="s">
        <v>512</v>
      </c>
      <c r="E1212" t="s">
        <v>167</v>
      </c>
      <c r="F1212">
        <v>4500196393</v>
      </c>
      <c r="G1212" t="s">
        <v>5588</v>
      </c>
      <c r="H1212" t="s">
        <v>3334</v>
      </c>
      <c r="I1212" t="s">
        <v>520</v>
      </c>
      <c r="J1212" t="s">
        <v>167</v>
      </c>
      <c r="K1212" s="2">
        <v>364289</v>
      </c>
      <c r="L1212" s="2">
        <v>364289</v>
      </c>
      <c r="M1212" t="str">
        <f>IFERROR(IF(VLOOKUP(LEFT(B1212,2),'Humanitarian codes'!$A$2:$A$10,1,FALSE)=LEFT(B1212,2),"Yes","Error"),"No")</f>
        <v>No</v>
      </c>
    </row>
    <row r="1213" spans="1:13" x14ac:dyDescent="0.25">
      <c r="A1213">
        <v>2022</v>
      </c>
      <c r="B1213" t="s">
        <v>511</v>
      </c>
      <c r="C1213" t="s">
        <v>513</v>
      </c>
      <c r="D1213" t="s">
        <v>512</v>
      </c>
      <c r="E1213" t="s">
        <v>167</v>
      </c>
      <c r="F1213">
        <v>4500196405</v>
      </c>
      <c r="G1213" t="s">
        <v>5589</v>
      </c>
      <c r="H1213" t="s">
        <v>3334</v>
      </c>
      <c r="I1213" t="s">
        <v>516</v>
      </c>
      <c r="J1213" t="s">
        <v>167</v>
      </c>
      <c r="K1213" s="2">
        <v>180269</v>
      </c>
      <c r="L1213" s="2">
        <v>180269</v>
      </c>
      <c r="M1213" t="str">
        <f>IFERROR(IF(VLOOKUP(LEFT(B1213,2),'Humanitarian codes'!$A$2:$A$10,1,FALSE)=LEFT(B1213,2),"Yes","Error"),"No")</f>
        <v>No</v>
      </c>
    </row>
    <row r="1214" spans="1:13" x14ac:dyDescent="0.25">
      <c r="A1214">
        <v>2022</v>
      </c>
      <c r="B1214" t="s">
        <v>511</v>
      </c>
      <c r="C1214" t="s">
        <v>513</v>
      </c>
      <c r="D1214" t="s">
        <v>512</v>
      </c>
      <c r="E1214" t="s">
        <v>167</v>
      </c>
      <c r="F1214">
        <v>4500200976</v>
      </c>
      <c r="G1214" t="s">
        <v>5590</v>
      </c>
      <c r="H1214" t="s">
        <v>3334</v>
      </c>
      <c r="I1214" t="s">
        <v>519</v>
      </c>
      <c r="J1214" t="s">
        <v>518</v>
      </c>
      <c r="K1214" s="2">
        <v>85451</v>
      </c>
      <c r="L1214" s="2">
        <v>85451</v>
      </c>
      <c r="M1214" t="str">
        <f>IFERROR(IF(VLOOKUP(LEFT(B1214,2),'Humanitarian codes'!$A$2:$A$10,1,FALSE)=LEFT(B1214,2),"Yes","Error"),"No")</f>
        <v>No</v>
      </c>
    </row>
    <row r="1215" spans="1:13" x14ac:dyDescent="0.25">
      <c r="A1215">
        <v>2022</v>
      </c>
      <c r="B1215" t="s">
        <v>511</v>
      </c>
      <c r="C1215" t="s">
        <v>513</v>
      </c>
      <c r="D1215" t="s">
        <v>512</v>
      </c>
      <c r="E1215" t="s">
        <v>167</v>
      </c>
      <c r="F1215">
        <v>4500201112</v>
      </c>
      <c r="G1215" t="s">
        <v>5591</v>
      </c>
      <c r="H1215" t="s">
        <v>3334</v>
      </c>
      <c r="I1215" t="s">
        <v>517</v>
      </c>
      <c r="J1215" t="s">
        <v>518</v>
      </c>
      <c r="K1215" s="2">
        <v>80080</v>
      </c>
      <c r="L1215" s="2">
        <v>80080</v>
      </c>
      <c r="M1215" t="str">
        <f>IFERROR(IF(VLOOKUP(LEFT(B1215,2),'Humanitarian codes'!$A$2:$A$10,1,FALSE)=LEFT(B1215,2),"Yes","Error"),"No")</f>
        <v>No</v>
      </c>
    </row>
    <row r="1216" spans="1:13" x14ac:dyDescent="0.25">
      <c r="A1216">
        <v>2022</v>
      </c>
      <c r="B1216" t="s">
        <v>511</v>
      </c>
      <c r="C1216" t="s">
        <v>513</v>
      </c>
      <c r="D1216" t="s">
        <v>512</v>
      </c>
      <c r="E1216" t="s">
        <v>167</v>
      </c>
      <c r="F1216">
        <v>4500204602</v>
      </c>
      <c r="G1216" t="s">
        <v>5592</v>
      </c>
      <c r="H1216" t="s">
        <v>3334</v>
      </c>
      <c r="I1216" t="s">
        <v>522</v>
      </c>
      <c r="J1216" t="s">
        <v>523</v>
      </c>
      <c r="K1216" s="2">
        <v>562188</v>
      </c>
      <c r="L1216" s="2">
        <v>562188</v>
      </c>
      <c r="M1216" t="str">
        <f>IFERROR(IF(VLOOKUP(LEFT(B1216,2),'Humanitarian codes'!$A$2:$A$10,1,FALSE)=LEFT(B1216,2),"Yes","Error"),"No")</f>
        <v>No</v>
      </c>
    </row>
    <row r="1217" spans="1:13" x14ac:dyDescent="0.25">
      <c r="A1217">
        <v>2022</v>
      </c>
      <c r="B1217" t="s">
        <v>511</v>
      </c>
      <c r="C1217" t="s">
        <v>513</v>
      </c>
      <c r="D1217" t="s">
        <v>512</v>
      </c>
      <c r="E1217" t="s">
        <v>167</v>
      </c>
      <c r="F1217">
        <v>4500204612</v>
      </c>
      <c r="G1217" t="s">
        <v>5593</v>
      </c>
      <c r="H1217" t="s">
        <v>3334</v>
      </c>
      <c r="I1217" t="s">
        <v>5594</v>
      </c>
      <c r="J1217" t="s">
        <v>1354</v>
      </c>
      <c r="K1217" s="2">
        <v>100408</v>
      </c>
      <c r="L1217" s="2">
        <v>100408</v>
      </c>
      <c r="M1217" t="str">
        <f>IFERROR(IF(VLOOKUP(LEFT(B1217,2),'Humanitarian codes'!$A$2:$A$10,1,FALSE)=LEFT(B1217,2),"Yes","Error"),"No")</f>
        <v>No</v>
      </c>
    </row>
    <row r="1218" spans="1:13" x14ac:dyDescent="0.25">
      <c r="A1218">
        <v>2022</v>
      </c>
      <c r="B1218" t="s">
        <v>5595</v>
      </c>
      <c r="C1218" t="s">
        <v>5596</v>
      </c>
      <c r="D1218" t="s">
        <v>512</v>
      </c>
      <c r="E1218" t="s">
        <v>54</v>
      </c>
      <c r="F1218">
        <v>4500223321</v>
      </c>
      <c r="G1218" t="s">
        <v>5003</v>
      </c>
      <c r="H1218" t="s">
        <v>3334</v>
      </c>
      <c r="I1218" t="s">
        <v>1405</v>
      </c>
      <c r="J1218" t="s">
        <v>972</v>
      </c>
      <c r="K1218" s="2">
        <v>458100</v>
      </c>
      <c r="L1218" s="2">
        <v>2501286</v>
      </c>
      <c r="M1218" t="str">
        <f>IFERROR(IF(VLOOKUP(LEFT(B1218,2),'Humanitarian codes'!$A$2:$A$10,1,FALSE)=LEFT(B1218,2),"Yes","Error"),"No")</f>
        <v>No</v>
      </c>
    </row>
    <row r="1219" spans="1:13" x14ac:dyDescent="0.25">
      <c r="A1219">
        <v>2022</v>
      </c>
      <c r="B1219" t="s">
        <v>5595</v>
      </c>
      <c r="C1219" t="s">
        <v>5596</v>
      </c>
      <c r="D1219" t="s">
        <v>512</v>
      </c>
      <c r="E1219" t="s">
        <v>54</v>
      </c>
      <c r="F1219">
        <v>4500225861</v>
      </c>
      <c r="G1219" t="s">
        <v>5004</v>
      </c>
      <c r="H1219" t="s">
        <v>3334</v>
      </c>
      <c r="I1219" t="s">
        <v>5005</v>
      </c>
      <c r="J1219" t="s">
        <v>54</v>
      </c>
      <c r="K1219" s="2">
        <v>904580</v>
      </c>
      <c r="L1219" s="2">
        <v>1613184</v>
      </c>
      <c r="M1219" t="str">
        <f>IFERROR(IF(VLOOKUP(LEFT(B1219,2),'Humanitarian codes'!$A$2:$A$10,1,FALSE)=LEFT(B1219,2),"Yes","Error"),"No")</f>
        <v>No</v>
      </c>
    </row>
    <row r="1220" spans="1:13" x14ac:dyDescent="0.25">
      <c r="A1220">
        <v>2022</v>
      </c>
      <c r="B1220" t="s">
        <v>5595</v>
      </c>
      <c r="C1220" t="s">
        <v>5596</v>
      </c>
      <c r="D1220" t="s">
        <v>512</v>
      </c>
      <c r="E1220" t="s">
        <v>54</v>
      </c>
      <c r="F1220">
        <v>4500226302</v>
      </c>
      <c r="G1220" t="s">
        <v>5597</v>
      </c>
      <c r="H1220" t="s">
        <v>3334</v>
      </c>
      <c r="I1220" t="s">
        <v>5598</v>
      </c>
      <c r="J1220" t="s">
        <v>54</v>
      </c>
      <c r="K1220" s="2">
        <v>48750</v>
      </c>
      <c r="L1220" s="2">
        <v>48750</v>
      </c>
      <c r="M1220" t="str">
        <f>IFERROR(IF(VLOOKUP(LEFT(B1220,2),'Humanitarian codes'!$A$2:$A$10,1,FALSE)=LEFT(B1220,2),"Yes","Error"),"No")</f>
        <v>No</v>
      </c>
    </row>
    <row r="1221" spans="1:13" x14ac:dyDescent="0.25">
      <c r="A1221">
        <v>2022</v>
      </c>
      <c r="B1221" t="s">
        <v>5595</v>
      </c>
      <c r="C1221" t="s">
        <v>5596</v>
      </c>
      <c r="D1221" t="s">
        <v>512</v>
      </c>
      <c r="E1221" t="s">
        <v>54</v>
      </c>
      <c r="F1221">
        <v>4500241416</v>
      </c>
      <c r="G1221" t="s">
        <v>5178</v>
      </c>
      <c r="H1221" t="s">
        <v>3334</v>
      </c>
      <c r="I1221" t="s">
        <v>5179</v>
      </c>
      <c r="J1221" t="s">
        <v>54</v>
      </c>
      <c r="K1221" s="2">
        <v>269546</v>
      </c>
      <c r="L1221" s="2">
        <v>539091</v>
      </c>
      <c r="M1221" t="str">
        <f>IFERROR(IF(VLOOKUP(LEFT(B1221,2),'Humanitarian codes'!$A$2:$A$10,1,FALSE)=LEFT(B1221,2),"Yes","Error"),"No")</f>
        <v>No</v>
      </c>
    </row>
    <row r="1222" spans="1:13" x14ac:dyDescent="0.25">
      <c r="A1222">
        <v>2022</v>
      </c>
      <c r="B1222" t="s">
        <v>2078</v>
      </c>
      <c r="C1222" t="s">
        <v>2079</v>
      </c>
      <c r="D1222" t="s">
        <v>512</v>
      </c>
      <c r="E1222" t="s">
        <v>1866</v>
      </c>
      <c r="F1222">
        <v>4500265534</v>
      </c>
      <c r="G1222" t="s">
        <v>5599</v>
      </c>
      <c r="H1222" t="s">
        <v>3334</v>
      </c>
      <c r="I1222" t="s">
        <v>2564</v>
      </c>
      <c r="J1222" t="s">
        <v>1866</v>
      </c>
      <c r="K1222" s="2">
        <v>110724</v>
      </c>
      <c r="L1222" s="2">
        <v>110724</v>
      </c>
      <c r="M1222" t="str">
        <f>IFERROR(IF(VLOOKUP(LEFT(B1222,2),'Humanitarian codes'!$A$2:$A$10,1,FALSE)=LEFT(B1222,2),"Yes","Error"),"No")</f>
        <v>No</v>
      </c>
    </row>
    <row r="1223" spans="1:13" x14ac:dyDescent="0.25">
      <c r="A1223">
        <v>2022</v>
      </c>
      <c r="B1223" t="s">
        <v>2078</v>
      </c>
      <c r="C1223" t="s">
        <v>2079</v>
      </c>
      <c r="D1223" t="s">
        <v>512</v>
      </c>
      <c r="E1223" t="s">
        <v>1866</v>
      </c>
      <c r="F1223">
        <v>4500268006</v>
      </c>
      <c r="G1223" t="s">
        <v>5600</v>
      </c>
      <c r="H1223" t="s">
        <v>3334</v>
      </c>
      <c r="I1223" t="s">
        <v>2080</v>
      </c>
      <c r="J1223" t="s">
        <v>1866</v>
      </c>
      <c r="K1223" s="2">
        <v>89972</v>
      </c>
      <c r="L1223" s="2">
        <v>89972</v>
      </c>
      <c r="M1223" t="str">
        <f>IFERROR(IF(VLOOKUP(LEFT(B1223,2),'Humanitarian codes'!$A$2:$A$10,1,FALSE)=LEFT(B1223,2),"Yes","Error"),"No")</f>
        <v>No</v>
      </c>
    </row>
    <row r="1224" spans="1:13" x14ac:dyDescent="0.25">
      <c r="A1224">
        <v>2022</v>
      </c>
      <c r="B1224" t="s">
        <v>524</v>
      </c>
      <c r="C1224" t="s">
        <v>525</v>
      </c>
      <c r="D1224" t="s">
        <v>512</v>
      </c>
      <c r="E1224" t="s">
        <v>534</v>
      </c>
      <c r="F1224">
        <v>4500254313</v>
      </c>
      <c r="G1224" t="s">
        <v>5601</v>
      </c>
      <c r="H1224" t="s">
        <v>3334</v>
      </c>
      <c r="I1224" t="s">
        <v>5602</v>
      </c>
      <c r="J1224" t="s">
        <v>534</v>
      </c>
      <c r="K1224" s="2">
        <v>68160</v>
      </c>
      <c r="L1224" s="2">
        <v>68160</v>
      </c>
      <c r="M1224" t="str">
        <f>IFERROR(IF(VLOOKUP(LEFT(B1224,2),'Humanitarian codes'!$A$2:$A$10,1,FALSE)=LEFT(B1224,2),"Yes","Error"),"No")</f>
        <v>No</v>
      </c>
    </row>
    <row r="1225" spans="1:13" x14ac:dyDescent="0.25">
      <c r="A1225">
        <v>2022</v>
      </c>
      <c r="B1225" t="s">
        <v>524</v>
      </c>
      <c r="C1225" t="s">
        <v>525</v>
      </c>
      <c r="D1225" t="s">
        <v>512</v>
      </c>
      <c r="E1225" t="s">
        <v>25</v>
      </c>
      <c r="F1225">
        <v>4500243229</v>
      </c>
      <c r="G1225" t="s">
        <v>4283</v>
      </c>
      <c r="H1225" t="s">
        <v>3334</v>
      </c>
      <c r="I1225" t="s">
        <v>3243</v>
      </c>
      <c r="J1225" t="s">
        <v>25</v>
      </c>
      <c r="K1225" s="2">
        <v>20040</v>
      </c>
      <c r="L1225" s="2">
        <v>20040</v>
      </c>
      <c r="M1225" t="str">
        <f>IFERROR(IF(VLOOKUP(LEFT(B1225,2),'Humanitarian codes'!$A$2:$A$10,1,FALSE)=LEFT(B1225,2),"Yes","Error"),"No")</f>
        <v>No</v>
      </c>
    </row>
    <row r="1226" spans="1:13" x14ac:dyDescent="0.25">
      <c r="A1226">
        <v>2022</v>
      </c>
      <c r="B1226" t="s">
        <v>988</v>
      </c>
      <c r="C1226" t="s">
        <v>989</v>
      </c>
      <c r="D1226" t="s">
        <v>512</v>
      </c>
      <c r="E1226" t="s">
        <v>992</v>
      </c>
      <c r="F1226">
        <v>4500208099</v>
      </c>
      <c r="G1226" t="s">
        <v>3935</v>
      </c>
      <c r="H1226" t="s">
        <v>3334</v>
      </c>
      <c r="I1226" t="s">
        <v>993</v>
      </c>
      <c r="J1226" t="s">
        <v>992</v>
      </c>
      <c r="K1226" s="2">
        <v>56842</v>
      </c>
      <c r="L1226" s="2">
        <v>56842</v>
      </c>
      <c r="M1226" t="str">
        <f>IFERROR(IF(VLOOKUP(LEFT(B1226,2),'Humanitarian codes'!$A$2:$A$10,1,FALSE)=LEFT(B1226,2),"Yes","Error"),"No")</f>
        <v>No</v>
      </c>
    </row>
    <row r="1227" spans="1:13" x14ac:dyDescent="0.25">
      <c r="A1227">
        <v>2022</v>
      </c>
      <c r="B1227" t="s">
        <v>988</v>
      </c>
      <c r="C1227" t="s">
        <v>989</v>
      </c>
      <c r="D1227" t="s">
        <v>512</v>
      </c>
      <c r="E1227" t="s">
        <v>83</v>
      </c>
      <c r="F1227">
        <v>4500194419</v>
      </c>
      <c r="G1227" t="s">
        <v>5603</v>
      </c>
      <c r="H1227" t="s">
        <v>3334</v>
      </c>
      <c r="I1227" t="s">
        <v>1495</v>
      </c>
      <c r="J1227" t="s">
        <v>83</v>
      </c>
      <c r="K1227" s="2">
        <v>45655</v>
      </c>
      <c r="L1227" s="2">
        <v>45655</v>
      </c>
      <c r="M1227" t="str">
        <f>IFERROR(IF(VLOOKUP(LEFT(B1227,2),'Humanitarian codes'!$A$2:$A$10,1,FALSE)=LEFT(B1227,2),"Yes","Error"),"No")</f>
        <v>No</v>
      </c>
    </row>
    <row r="1228" spans="1:13" x14ac:dyDescent="0.25">
      <c r="A1228">
        <v>2022</v>
      </c>
      <c r="B1228" t="s">
        <v>988</v>
      </c>
      <c r="C1228" t="s">
        <v>989</v>
      </c>
      <c r="D1228" t="s">
        <v>512</v>
      </c>
      <c r="E1228" t="s">
        <v>83</v>
      </c>
      <c r="F1228">
        <v>4500194424</v>
      </c>
      <c r="G1228" t="s">
        <v>5604</v>
      </c>
      <c r="H1228" t="s">
        <v>3334</v>
      </c>
      <c r="I1228" t="s">
        <v>5605</v>
      </c>
      <c r="J1228" t="s">
        <v>83</v>
      </c>
      <c r="K1228" s="2">
        <v>7174</v>
      </c>
      <c r="L1228" s="2">
        <v>7174</v>
      </c>
      <c r="M1228" t="str">
        <f>IFERROR(IF(VLOOKUP(LEFT(B1228,2),'Humanitarian codes'!$A$2:$A$10,1,FALSE)=LEFT(B1228,2),"Yes","Error"),"No")</f>
        <v>No</v>
      </c>
    </row>
    <row r="1229" spans="1:13" x14ac:dyDescent="0.25">
      <c r="A1229">
        <v>2022</v>
      </c>
      <c r="B1229" t="s">
        <v>988</v>
      </c>
      <c r="C1229" t="s">
        <v>989</v>
      </c>
      <c r="D1229" t="s">
        <v>512</v>
      </c>
      <c r="E1229" t="s">
        <v>83</v>
      </c>
      <c r="F1229">
        <v>4500194434</v>
      </c>
      <c r="G1229" t="s">
        <v>5606</v>
      </c>
      <c r="H1229" t="s">
        <v>3334</v>
      </c>
      <c r="I1229" t="s">
        <v>1496</v>
      </c>
      <c r="J1229" t="s">
        <v>83</v>
      </c>
      <c r="K1229" s="2">
        <v>8377</v>
      </c>
      <c r="L1229" s="2">
        <v>8377</v>
      </c>
      <c r="M1229" t="str">
        <f>IFERROR(IF(VLOOKUP(LEFT(B1229,2),'Humanitarian codes'!$A$2:$A$10,1,FALSE)=LEFT(B1229,2),"Yes","Error"),"No")</f>
        <v>No</v>
      </c>
    </row>
    <row r="1230" spans="1:13" x14ac:dyDescent="0.25">
      <c r="A1230">
        <v>2022</v>
      </c>
      <c r="B1230" t="s">
        <v>988</v>
      </c>
      <c r="C1230" t="s">
        <v>989</v>
      </c>
      <c r="D1230" t="s">
        <v>512</v>
      </c>
      <c r="E1230" t="s">
        <v>83</v>
      </c>
      <c r="F1230">
        <v>4500210668</v>
      </c>
      <c r="G1230" t="s">
        <v>5607</v>
      </c>
      <c r="H1230" t="s">
        <v>3334</v>
      </c>
      <c r="I1230" t="s">
        <v>5605</v>
      </c>
      <c r="J1230" t="s">
        <v>83</v>
      </c>
      <c r="K1230" s="2">
        <v>2029</v>
      </c>
      <c r="L1230" s="2">
        <v>2029</v>
      </c>
      <c r="M1230" t="str">
        <f>IFERROR(IF(VLOOKUP(LEFT(B1230,2),'Humanitarian codes'!$A$2:$A$10,1,FALSE)=LEFT(B1230,2),"Yes","Error"),"No")</f>
        <v>No</v>
      </c>
    </row>
    <row r="1231" spans="1:13" x14ac:dyDescent="0.25">
      <c r="A1231">
        <v>2022</v>
      </c>
      <c r="B1231" t="s">
        <v>988</v>
      </c>
      <c r="C1231" t="s">
        <v>989</v>
      </c>
      <c r="D1231" t="s">
        <v>512</v>
      </c>
      <c r="E1231" t="s">
        <v>1508</v>
      </c>
      <c r="F1231">
        <v>4500228881</v>
      </c>
      <c r="G1231" t="s">
        <v>5608</v>
      </c>
      <c r="H1231" t="s">
        <v>3334</v>
      </c>
      <c r="I1231" t="s">
        <v>3673</v>
      </c>
      <c r="J1231" t="s">
        <v>1508</v>
      </c>
      <c r="K1231" s="2">
        <v>28914</v>
      </c>
      <c r="L1231" s="2">
        <v>28914</v>
      </c>
      <c r="M1231" t="str">
        <f>IFERROR(IF(VLOOKUP(LEFT(B1231,2),'Humanitarian codes'!$A$2:$A$10,1,FALSE)=LEFT(B1231,2),"Yes","Error"),"No")</f>
        <v>No</v>
      </c>
    </row>
    <row r="1232" spans="1:13" x14ac:dyDescent="0.25">
      <c r="A1232">
        <v>2022</v>
      </c>
      <c r="B1232" t="s">
        <v>5609</v>
      </c>
      <c r="C1232" t="s">
        <v>5610</v>
      </c>
      <c r="D1232" t="s">
        <v>512</v>
      </c>
      <c r="E1232" t="s">
        <v>504</v>
      </c>
      <c r="F1232">
        <v>4500201117</v>
      </c>
      <c r="G1232" t="s">
        <v>5611</v>
      </c>
      <c r="H1232" t="s">
        <v>3334</v>
      </c>
      <c r="I1232" t="s">
        <v>5612</v>
      </c>
      <c r="J1232" t="s">
        <v>504</v>
      </c>
      <c r="K1232" s="2">
        <v>27542</v>
      </c>
      <c r="L1232" s="2">
        <v>27542</v>
      </c>
      <c r="M1232" t="str">
        <f>IFERROR(IF(VLOOKUP(LEFT(B1232,2),'Humanitarian codes'!$A$2:$A$10,1,FALSE)=LEFT(B1232,2),"Yes","Error"),"No")</f>
        <v>No</v>
      </c>
    </row>
    <row r="1233" spans="1:13" x14ac:dyDescent="0.25">
      <c r="A1233">
        <v>2022</v>
      </c>
      <c r="B1233" t="s">
        <v>5609</v>
      </c>
      <c r="C1233" t="s">
        <v>5610</v>
      </c>
      <c r="D1233" t="s">
        <v>512</v>
      </c>
      <c r="E1233" t="s">
        <v>504</v>
      </c>
      <c r="F1233">
        <v>4500208399</v>
      </c>
      <c r="G1233" t="s">
        <v>5613</v>
      </c>
      <c r="H1233" t="s">
        <v>3334</v>
      </c>
      <c r="I1233" t="s">
        <v>2107</v>
      </c>
      <c r="J1233" t="s">
        <v>504</v>
      </c>
      <c r="K1233" s="2">
        <v>28800</v>
      </c>
      <c r="L1233" s="2">
        <v>28800</v>
      </c>
      <c r="M1233" t="str">
        <f>IFERROR(IF(VLOOKUP(LEFT(B1233,2),'Humanitarian codes'!$A$2:$A$10,1,FALSE)=LEFT(B1233,2),"Yes","Error"),"No")</f>
        <v>No</v>
      </c>
    </row>
    <row r="1234" spans="1:13" x14ac:dyDescent="0.25">
      <c r="A1234">
        <v>2022</v>
      </c>
      <c r="B1234" t="s">
        <v>5614</v>
      </c>
      <c r="C1234" t="s">
        <v>5615</v>
      </c>
      <c r="D1234" t="s">
        <v>512</v>
      </c>
      <c r="E1234" t="s">
        <v>155</v>
      </c>
      <c r="F1234">
        <v>4500207842</v>
      </c>
      <c r="G1234" t="s">
        <v>5616</v>
      </c>
      <c r="H1234" t="s">
        <v>3334</v>
      </c>
      <c r="I1234" t="s">
        <v>5617</v>
      </c>
      <c r="J1234" t="s">
        <v>4446</v>
      </c>
      <c r="K1234" s="2">
        <v>78125</v>
      </c>
      <c r="L1234" s="2">
        <v>78125</v>
      </c>
      <c r="M1234" t="str">
        <f>IFERROR(IF(VLOOKUP(LEFT(B1234,2),'Humanitarian codes'!$A$2:$A$10,1,FALSE)=LEFT(B1234,2),"Yes","Error"),"No")</f>
        <v>No</v>
      </c>
    </row>
    <row r="1235" spans="1:13" x14ac:dyDescent="0.25">
      <c r="A1235">
        <v>2022</v>
      </c>
      <c r="B1235" t="s">
        <v>5614</v>
      </c>
      <c r="C1235" t="s">
        <v>5615</v>
      </c>
      <c r="D1235" t="s">
        <v>512</v>
      </c>
      <c r="E1235" t="s">
        <v>155</v>
      </c>
      <c r="F1235">
        <v>4500210094</v>
      </c>
      <c r="G1235" t="s">
        <v>5618</v>
      </c>
      <c r="H1235" t="s">
        <v>3334</v>
      </c>
      <c r="I1235" t="s">
        <v>5619</v>
      </c>
      <c r="J1235" t="s">
        <v>155</v>
      </c>
      <c r="K1235" s="2">
        <v>50223</v>
      </c>
      <c r="L1235" s="2">
        <v>50223</v>
      </c>
      <c r="M1235" t="str">
        <f>IFERROR(IF(VLOOKUP(LEFT(B1235,2),'Humanitarian codes'!$A$2:$A$10,1,FALSE)=LEFT(B1235,2),"Yes","Error"),"No")</f>
        <v>No</v>
      </c>
    </row>
    <row r="1236" spans="1:13" x14ac:dyDescent="0.25">
      <c r="A1236">
        <v>2022</v>
      </c>
      <c r="B1236" t="s">
        <v>5620</v>
      </c>
      <c r="C1236" t="s">
        <v>5621</v>
      </c>
      <c r="D1236" t="s">
        <v>512</v>
      </c>
      <c r="E1236" t="s">
        <v>1423</v>
      </c>
      <c r="F1236">
        <v>4500186030</v>
      </c>
      <c r="G1236" t="s">
        <v>5622</v>
      </c>
      <c r="H1236" t="s">
        <v>3334</v>
      </c>
      <c r="I1236" t="s">
        <v>5623</v>
      </c>
      <c r="J1236" t="s">
        <v>1423</v>
      </c>
      <c r="K1236" s="2">
        <v>36538</v>
      </c>
      <c r="L1236" s="2">
        <v>36538</v>
      </c>
      <c r="M1236" t="str">
        <f>IFERROR(IF(VLOOKUP(LEFT(B1236,2),'Humanitarian codes'!$A$2:$A$10,1,FALSE)=LEFT(B1236,2),"Yes","Error"),"No")</f>
        <v>No</v>
      </c>
    </row>
    <row r="1237" spans="1:13" x14ac:dyDescent="0.25">
      <c r="A1237">
        <v>2022</v>
      </c>
      <c r="B1237" t="s">
        <v>5624</v>
      </c>
      <c r="C1237" t="s">
        <v>5625</v>
      </c>
      <c r="D1237" t="s">
        <v>512</v>
      </c>
      <c r="E1237" t="s">
        <v>40</v>
      </c>
      <c r="F1237">
        <v>4500259603</v>
      </c>
      <c r="G1237" t="s">
        <v>5626</v>
      </c>
      <c r="H1237" t="s">
        <v>3334</v>
      </c>
      <c r="I1237" t="s">
        <v>5627</v>
      </c>
      <c r="J1237" t="s">
        <v>40</v>
      </c>
      <c r="K1237" s="2">
        <v>8104</v>
      </c>
      <c r="L1237" s="2">
        <v>8104</v>
      </c>
      <c r="M1237" t="str">
        <f>IFERROR(IF(VLOOKUP(LEFT(B1237,2),'Humanitarian codes'!$A$2:$A$10,1,FALSE)=LEFT(B1237,2),"Yes","Error"),"No")</f>
        <v>No</v>
      </c>
    </row>
    <row r="1238" spans="1:13" x14ac:dyDescent="0.25">
      <c r="A1238">
        <v>2022</v>
      </c>
      <c r="B1238" t="s">
        <v>5628</v>
      </c>
      <c r="C1238" t="s">
        <v>5629</v>
      </c>
      <c r="D1238" t="s">
        <v>512</v>
      </c>
      <c r="E1238" t="s">
        <v>1650</v>
      </c>
      <c r="F1238">
        <v>4500199258</v>
      </c>
      <c r="G1238" t="s">
        <v>5630</v>
      </c>
      <c r="H1238" t="s">
        <v>3334</v>
      </c>
      <c r="I1238" t="s">
        <v>5631</v>
      </c>
      <c r="J1238" t="s">
        <v>402</v>
      </c>
      <c r="K1238" s="2">
        <v>175000</v>
      </c>
      <c r="L1238" s="2">
        <v>175000</v>
      </c>
      <c r="M1238" t="str">
        <f>IFERROR(IF(VLOOKUP(LEFT(B1238,2),'Humanitarian codes'!$A$2:$A$10,1,FALSE)=LEFT(B1238,2),"Yes","Error"),"No")</f>
        <v>No</v>
      </c>
    </row>
    <row r="1239" spans="1:13" x14ac:dyDescent="0.25">
      <c r="A1239">
        <v>2022</v>
      </c>
      <c r="B1239" t="s">
        <v>5632</v>
      </c>
      <c r="C1239" t="s">
        <v>5633</v>
      </c>
      <c r="D1239" t="s">
        <v>512</v>
      </c>
      <c r="E1239" t="s">
        <v>940</v>
      </c>
      <c r="F1239">
        <v>4500264130</v>
      </c>
      <c r="G1239" t="s">
        <v>5634</v>
      </c>
      <c r="H1239" t="s">
        <v>3334</v>
      </c>
      <c r="I1239" t="s">
        <v>1259</v>
      </c>
      <c r="J1239" t="s">
        <v>940</v>
      </c>
      <c r="K1239" s="2">
        <v>50000</v>
      </c>
      <c r="L1239" s="2">
        <v>179379</v>
      </c>
      <c r="M1239" t="str">
        <f>IFERROR(IF(VLOOKUP(LEFT(B1239,2),'Humanitarian codes'!$A$2:$A$10,1,FALSE)=LEFT(B1239,2),"Yes","Error"),"No")</f>
        <v>No</v>
      </c>
    </row>
    <row r="1240" spans="1:13" x14ac:dyDescent="0.25">
      <c r="A1240">
        <v>2022</v>
      </c>
      <c r="B1240" t="s">
        <v>5632</v>
      </c>
      <c r="C1240" t="s">
        <v>5633</v>
      </c>
      <c r="D1240" t="s">
        <v>512</v>
      </c>
      <c r="E1240" t="s">
        <v>940</v>
      </c>
      <c r="F1240">
        <v>4500276117</v>
      </c>
      <c r="G1240" t="s">
        <v>5635</v>
      </c>
      <c r="H1240" t="s">
        <v>3334</v>
      </c>
      <c r="I1240" t="s">
        <v>5636</v>
      </c>
      <c r="J1240" t="s">
        <v>940</v>
      </c>
      <c r="K1240" s="2">
        <v>8128</v>
      </c>
      <c r="L1240" s="2">
        <v>16934</v>
      </c>
      <c r="M1240" t="str">
        <f>IFERROR(IF(VLOOKUP(LEFT(B1240,2),'Humanitarian codes'!$A$2:$A$10,1,FALSE)=LEFT(B1240,2),"Yes","Error"),"No")</f>
        <v>No</v>
      </c>
    </row>
    <row r="1241" spans="1:13" x14ac:dyDescent="0.25">
      <c r="A1241">
        <v>2022</v>
      </c>
      <c r="B1241" t="s">
        <v>5632</v>
      </c>
      <c r="C1241" t="s">
        <v>5633</v>
      </c>
      <c r="D1241" t="s">
        <v>512</v>
      </c>
      <c r="E1241" t="s">
        <v>940</v>
      </c>
      <c r="F1241">
        <v>4500276376</v>
      </c>
      <c r="G1241" t="s">
        <v>5637</v>
      </c>
      <c r="H1241" t="s">
        <v>3334</v>
      </c>
      <c r="I1241" t="s">
        <v>5638</v>
      </c>
      <c r="J1241" t="s">
        <v>940</v>
      </c>
      <c r="K1241" s="2">
        <v>12414</v>
      </c>
      <c r="L1241" s="2">
        <v>14502</v>
      </c>
      <c r="M1241" t="str">
        <f>IFERROR(IF(VLOOKUP(LEFT(B1241,2),'Humanitarian codes'!$A$2:$A$10,1,FALSE)=LEFT(B1241,2),"Yes","Error"),"No")</f>
        <v>No</v>
      </c>
    </row>
    <row r="1242" spans="1:13" x14ac:dyDescent="0.25">
      <c r="A1242">
        <v>2022</v>
      </c>
      <c r="B1242" t="s">
        <v>5639</v>
      </c>
      <c r="C1242" t="s">
        <v>5640</v>
      </c>
      <c r="D1242" t="s">
        <v>512</v>
      </c>
      <c r="E1242" t="s">
        <v>940</v>
      </c>
      <c r="F1242">
        <v>4500264130</v>
      </c>
      <c r="G1242" t="s">
        <v>5634</v>
      </c>
      <c r="H1242" t="s">
        <v>3334</v>
      </c>
      <c r="I1242" t="s">
        <v>1259</v>
      </c>
      <c r="J1242" t="s">
        <v>940</v>
      </c>
      <c r="K1242" s="2">
        <v>129379</v>
      </c>
      <c r="L1242" s="2">
        <v>179379</v>
      </c>
      <c r="M1242" t="str">
        <f>IFERROR(IF(VLOOKUP(LEFT(B1242,2),'Humanitarian codes'!$A$2:$A$10,1,FALSE)=LEFT(B1242,2),"Yes","Error"),"No")</f>
        <v>No</v>
      </c>
    </row>
    <row r="1243" spans="1:13" x14ac:dyDescent="0.25">
      <c r="A1243">
        <v>2022</v>
      </c>
      <c r="B1243" t="s">
        <v>5639</v>
      </c>
      <c r="C1243" t="s">
        <v>5640</v>
      </c>
      <c r="D1243" t="s">
        <v>512</v>
      </c>
      <c r="E1243" t="s">
        <v>940</v>
      </c>
      <c r="F1243">
        <v>4500264182</v>
      </c>
      <c r="G1243" t="s">
        <v>5641</v>
      </c>
      <c r="H1243" t="s">
        <v>3334</v>
      </c>
      <c r="I1243" t="s">
        <v>5642</v>
      </c>
      <c r="J1243" t="s">
        <v>940</v>
      </c>
      <c r="K1243" s="2">
        <v>149935</v>
      </c>
      <c r="L1243" s="2">
        <v>149935</v>
      </c>
      <c r="M1243" t="str">
        <f>IFERROR(IF(VLOOKUP(LEFT(B1243,2),'Humanitarian codes'!$A$2:$A$10,1,FALSE)=LEFT(B1243,2),"Yes","Error"),"No")</f>
        <v>No</v>
      </c>
    </row>
    <row r="1244" spans="1:13" x14ac:dyDescent="0.25">
      <c r="A1244">
        <v>2022</v>
      </c>
      <c r="B1244" t="s">
        <v>5639</v>
      </c>
      <c r="C1244" t="s">
        <v>5640</v>
      </c>
      <c r="D1244" t="s">
        <v>512</v>
      </c>
      <c r="E1244" t="s">
        <v>940</v>
      </c>
      <c r="F1244">
        <v>4500276108</v>
      </c>
      <c r="G1244" t="s">
        <v>5643</v>
      </c>
      <c r="H1244" t="s">
        <v>3334</v>
      </c>
      <c r="I1244" t="s">
        <v>5636</v>
      </c>
      <c r="J1244" t="s">
        <v>940</v>
      </c>
      <c r="K1244" s="2">
        <v>45000</v>
      </c>
      <c r="L1244" s="2">
        <v>45000</v>
      </c>
      <c r="M1244" t="str">
        <f>IFERROR(IF(VLOOKUP(LEFT(B1244,2),'Humanitarian codes'!$A$2:$A$10,1,FALSE)=LEFT(B1244,2),"Yes","Error"),"No")</f>
        <v>No</v>
      </c>
    </row>
    <row r="1245" spans="1:13" x14ac:dyDescent="0.25">
      <c r="A1245">
        <v>2022</v>
      </c>
      <c r="B1245" t="s">
        <v>5639</v>
      </c>
      <c r="C1245" t="s">
        <v>5640</v>
      </c>
      <c r="D1245" t="s">
        <v>512</v>
      </c>
      <c r="E1245" t="s">
        <v>940</v>
      </c>
      <c r="F1245">
        <v>4500276117</v>
      </c>
      <c r="G1245" t="s">
        <v>5635</v>
      </c>
      <c r="H1245" t="s">
        <v>3334</v>
      </c>
      <c r="I1245" t="s">
        <v>5636</v>
      </c>
      <c r="J1245" t="s">
        <v>940</v>
      </c>
      <c r="K1245" s="2">
        <v>8806</v>
      </c>
      <c r="L1245" s="2">
        <v>16934</v>
      </c>
      <c r="M1245" t="str">
        <f>IFERROR(IF(VLOOKUP(LEFT(B1245,2),'Humanitarian codes'!$A$2:$A$10,1,FALSE)=LEFT(B1245,2),"Yes","Error"),"No")</f>
        <v>No</v>
      </c>
    </row>
    <row r="1246" spans="1:13" x14ac:dyDescent="0.25">
      <c r="A1246">
        <v>2022</v>
      </c>
      <c r="B1246" t="s">
        <v>5639</v>
      </c>
      <c r="C1246" t="s">
        <v>5640</v>
      </c>
      <c r="D1246" t="s">
        <v>512</v>
      </c>
      <c r="E1246" t="s">
        <v>940</v>
      </c>
      <c r="F1246">
        <v>4500276376</v>
      </c>
      <c r="G1246" t="s">
        <v>5637</v>
      </c>
      <c r="H1246" t="s">
        <v>3334</v>
      </c>
      <c r="I1246" t="s">
        <v>5638</v>
      </c>
      <c r="J1246" t="s">
        <v>940</v>
      </c>
      <c r="K1246" s="2">
        <v>2088</v>
      </c>
      <c r="L1246" s="2">
        <v>14502</v>
      </c>
      <c r="M1246" t="str">
        <f>IFERROR(IF(VLOOKUP(LEFT(B1246,2),'Humanitarian codes'!$A$2:$A$10,1,FALSE)=LEFT(B1246,2),"Yes","Error"),"No")</f>
        <v>No</v>
      </c>
    </row>
    <row r="1247" spans="1:13" x14ac:dyDescent="0.25">
      <c r="A1247">
        <v>2022</v>
      </c>
      <c r="B1247" t="s">
        <v>3113</v>
      </c>
      <c r="C1247" t="s">
        <v>5644</v>
      </c>
      <c r="D1247" t="s">
        <v>9</v>
      </c>
      <c r="E1247" t="s">
        <v>3115</v>
      </c>
      <c r="F1247">
        <v>4500182614</v>
      </c>
      <c r="G1247" t="s">
        <v>5645</v>
      </c>
      <c r="H1247" t="s">
        <v>3334</v>
      </c>
      <c r="I1247" t="s">
        <v>5646</v>
      </c>
      <c r="J1247" t="s">
        <v>3115</v>
      </c>
      <c r="K1247" s="2">
        <v>64867</v>
      </c>
      <c r="L1247" s="2">
        <v>64867</v>
      </c>
      <c r="M1247" t="str">
        <f>IFERROR(IF(VLOOKUP(LEFT(B1247,2),'Humanitarian codes'!$A$2:$A$10,1,FALSE)=LEFT(B1247,2),"Yes","Error"),"No")</f>
        <v>No</v>
      </c>
    </row>
    <row r="1248" spans="1:13" x14ac:dyDescent="0.25">
      <c r="A1248">
        <v>2022</v>
      </c>
      <c r="B1248" t="s">
        <v>3113</v>
      </c>
      <c r="C1248" t="s">
        <v>5644</v>
      </c>
      <c r="D1248" t="s">
        <v>9</v>
      </c>
      <c r="E1248" t="s">
        <v>3115</v>
      </c>
      <c r="F1248">
        <v>4500201074</v>
      </c>
      <c r="G1248" t="s">
        <v>5647</v>
      </c>
      <c r="H1248" t="s">
        <v>3334</v>
      </c>
      <c r="I1248" t="s">
        <v>5648</v>
      </c>
      <c r="J1248" t="s">
        <v>3115</v>
      </c>
      <c r="K1248" s="2">
        <v>6651</v>
      </c>
      <c r="L1248" s="2">
        <v>6651</v>
      </c>
      <c r="M1248" t="str">
        <f>IFERROR(IF(VLOOKUP(LEFT(B1248,2),'Humanitarian codes'!$A$2:$A$10,1,FALSE)=LEFT(B1248,2),"Yes","Error"),"No")</f>
        <v>No</v>
      </c>
    </row>
    <row r="1249" spans="1:13" x14ac:dyDescent="0.25">
      <c r="A1249">
        <v>2022</v>
      </c>
      <c r="B1249" t="s">
        <v>3113</v>
      </c>
      <c r="C1249" t="s">
        <v>5644</v>
      </c>
      <c r="D1249" t="s">
        <v>9</v>
      </c>
      <c r="E1249" t="s">
        <v>3115</v>
      </c>
      <c r="F1249">
        <v>4500201101</v>
      </c>
      <c r="G1249" t="s">
        <v>5649</v>
      </c>
      <c r="H1249" t="s">
        <v>3334</v>
      </c>
      <c r="I1249" t="s">
        <v>5650</v>
      </c>
      <c r="J1249" t="s">
        <v>3115</v>
      </c>
      <c r="K1249" s="2">
        <v>9355</v>
      </c>
      <c r="L1249" s="2">
        <v>9355</v>
      </c>
      <c r="M1249" t="str">
        <f>IFERROR(IF(VLOOKUP(LEFT(B1249,2),'Humanitarian codes'!$A$2:$A$10,1,FALSE)=LEFT(B1249,2),"Yes","Error"),"No")</f>
        <v>No</v>
      </c>
    </row>
    <row r="1250" spans="1:13" x14ac:dyDescent="0.25">
      <c r="A1250">
        <v>2022</v>
      </c>
      <c r="B1250" t="s">
        <v>3113</v>
      </c>
      <c r="C1250" t="s">
        <v>5644</v>
      </c>
      <c r="D1250" t="s">
        <v>9</v>
      </c>
      <c r="E1250" t="s">
        <v>3115</v>
      </c>
      <c r="F1250">
        <v>4500201110</v>
      </c>
      <c r="G1250" t="s">
        <v>5651</v>
      </c>
      <c r="H1250" t="s">
        <v>3334</v>
      </c>
      <c r="I1250" t="s">
        <v>5652</v>
      </c>
      <c r="J1250" t="s">
        <v>3115</v>
      </c>
      <c r="K1250" s="2">
        <v>7817</v>
      </c>
      <c r="L1250" s="2">
        <v>7817</v>
      </c>
      <c r="M1250" t="str">
        <f>IFERROR(IF(VLOOKUP(LEFT(B1250,2),'Humanitarian codes'!$A$2:$A$10,1,FALSE)=LEFT(B1250,2),"Yes","Error"),"No")</f>
        <v>No</v>
      </c>
    </row>
    <row r="1251" spans="1:13" x14ac:dyDescent="0.25">
      <c r="A1251">
        <v>2022</v>
      </c>
      <c r="B1251" t="s">
        <v>3113</v>
      </c>
      <c r="C1251" t="s">
        <v>5644</v>
      </c>
      <c r="D1251" t="s">
        <v>9</v>
      </c>
      <c r="E1251" t="s">
        <v>3115</v>
      </c>
      <c r="F1251">
        <v>4500201116</v>
      </c>
      <c r="G1251" t="s">
        <v>5653</v>
      </c>
      <c r="H1251" t="s">
        <v>3334</v>
      </c>
      <c r="I1251" t="s">
        <v>5654</v>
      </c>
      <c r="J1251" t="s">
        <v>3115</v>
      </c>
      <c r="K1251" s="2">
        <v>8729</v>
      </c>
      <c r="L1251" s="2">
        <v>8729</v>
      </c>
      <c r="M1251" t="str">
        <f>IFERROR(IF(VLOOKUP(LEFT(B1251,2),'Humanitarian codes'!$A$2:$A$10,1,FALSE)=LEFT(B1251,2),"Yes","Error"),"No")</f>
        <v>No</v>
      </c>
    </row>
    <row r="1252" spans="1:13" x14ac:dyDescent="0.25">
      <c r="A1252">
        <v>2022</v>
      </c>
      <c r="B1252" t="s">
        <v>3113</v>
      </c>
      <c r="C1252" t="s">
        <v>5644</v>
      </c>
      <c r="D1252" t="s">
        <v>9</v>
      </c>
      <c r="E1252" t="s">
        <v>3115</v>
      </c>
      <c r="F1252">
        <v>4500201131</v>
      </c>
      <c r="G1252" t="s">
        <v>5655</v>
      </c>
      <c r="H1252" t="s">
        <v>3334</v>
      </c>
      <c r="I1252" t="s">
        <v>3117</v>
      </c>
      <c r="J1252" t="s">
        <v>3115</v>
      </c>
      <c r="K1252" s="2">
        <v>10193</v>
      </c>
      <c r="L1252" s="2">
        <v>10193</v>
      </c>
      <c r="M1252" t="str">
        <f>IFERROR(IF(VLOOKUP(LEFT(B1252,2),'Humanitarian codes'!$A$2:$A$10,1,FALSE)=LEFT(B1252,2),"Yes","Error"),"No")</f>
        <v>No</v>
      </c>
    </row>
    <row r="1253" spans="1:13" x14ac:dyDescent="0.25">
      <c r="A1253">
        <v>2022</v>
      </c>
      <c r="B1253" t="s">
        <v>3113</v>
      </c>
      <c r="C1253" t="s">
        <v>5644</v>
      </c>
      <c r="D1253" t="s">
        <v>9</v>
      </c>
      <c r="E1253" t="s">
        <v>3115</v>
      </c>
      <c r="F1253">
        <v>4500201143</v>
      </c>
      <c r="G1253" t="s">
        <v>5656</v>
      </c>
      <c r="H1253" t="s">
        <v>3334</v>
      </c>
      <c r="I1253" t="s">
        <v>5657</v>
      </c>
      <c r="J1253" t="s">
        <v>3115</v>
      </c>
      <c r="K1253" s="2">
        <v>7471</v>
      </c>
      <c r="L1253" s="2">
        <v>7471</v>
      </c>
      <c r="M1253" t="str">
        <f>IFERROR(IF(VLOOKUP(LEFT(B1253,2),'Humanitarian codes'!$A$2:$A$10,1,FALSE)=LEFT(B1253,2),"Yes","Error"),"No")</f>
        <v>No</v>
      </c>
    </row>
    <row r="1254" spans="1:13" x14ac:dyDescent="0.25">
      <c r="A1254">
        <v>2022</v>
      </c>
      <c r="B1254" t="s">
        <v>3113</v>
      </c>
      <c r="C1254" t="s">
        <v>5644</v>
      </c>
      <c r="D1254" t="s">
        <v>9</v>
      </c>
      <c r="E1254" t="s">
        <v>3115</v>
      </c>
      <c r="F1254">
        <v>4500201419</v>
      </c>
      <c r="G1254" t="s">
        <v>5658</v>
      </c>
      <c r="H1254" t="s">
        <v>3334</v>
      </c>
      <c r="I1254" t="s">
        <v>5659</v>
      </c>
      <c r="J1254" t="s">
        <v>3115</v>
      </c>
      <c r="K1254" s="2">
        <v>7550</v>
      </c>
      <c r="L1254" s="2">
        <v>7550</v>
      </c>
      <c r="M1254" t="str">
        <f>IFERROR(IF(VLOOKUP(LEFT(B1254,2),'Humanitarian codes'!$A$2:$A$10,1,FALSE)=LEFT(B1254,2),"Yes","Error"),"No")</f>
        <v>No</v>
      </c>
    </row>
    <row r="1255" spans="1:13" x14ac:dyDescent="0.25">
      <c r="A1255">
        <v>2022</v>
      </c>
      <c r="B1255" t="s">
        <v>3113</v>
      </c>
      <c r="C1255" t="s">
        <v>5644</v>
      </c>
      <c r="D1255" t="s">
        <v>9</v>
      </c>
      <c r="E1255" t="s">
        <v>3115</v>
      </c>
      <c r="F1255">
        <v>4500201424</v>
      </c>
      <c r="G1255" t="s">
        <v>5660</v>
      </c>
      <c r="H1255" t="s">
        <v>3334</v>
      </c>
      <c r="I1255" t="s">
        <v>5661</v>
      </c>
      <c r="J1255" t="s">
        <v>3115</v>
      </c>
      <c r="K1255" s="2">
        <v>5278</v>
      </c>
      <c r="L1255" s="2">
        <v>5278</v>
      </c>
      <c r="M1255" t="str">
        <f>IFERROR(IF(VLOOKUP(LEFT(B1255,2),'Humanitarian codes'!$A$2:$A$10,1,FALSE)=LEFT(B1255,2),"Yes","Error"),"No")</f>
        <v>No</v>
      </c>
    </row>
    <row r="1256" spans="1:13" x14ac:dyDescent="0.25">
      <c r="A1256">
        <v>2022</v>
      </c>
      <c r="B1256" t="s">
        <v>3113</v>
      </c>
      <c r="C1256" t="s">
        <v>5644</v>
      </c>
      <c r="D1256" t="s">
        <v>9</v>
      </c>
      <c r="E1256" t="s">
        <v>3115</v>
      </c>
      <c r="F1256">
        <v>4500201428</v>
      </c>
      <c r="G1256" t="s">
        <v>5662</v>
      </c>
      <c r="H1256" t="s">
        <v>3334</v>
      </c>
      <c r="I1256" t="s">
        <v>5663</v>
      </c>
      <c r="J1256" t="s">
        <v>3115</v>
      </c>
      <c r="K1256" s="2">
        <v>6302</v>
      </c>
      <c r="L1256" s="2">
        <v>6302</v>
      </c>
      <c r="M1256" t="str">
        <f>IFERROR(IF(VLOOKUP(LEFT(B1256,2),'Humanitarian codes'!$A$2:$A$10,1,FALSE)=LEFT(B1256,2),"Yes","Error"),"No")</f>
        <v>No</v>
      </c>
    </row>
    <row r="1257" spans="1:13" x14ac:dyDescent="0.25">
      <c r="A1257">
        <v>2022</v>
      </c>
      <c r="B1257" t="s">
        <v>3113</v>
      </c>
      <c r="C1257" t="s">
        <v>5644</v>
      </c>
      <c r="D1257" t="s">
        <v>9</v>
      </c>
      <c r="E1257" t="s">
        <v>3115</v>
      </c>
      <c r="F1257">
        <v>4500201433</v>
      </c>
      <c r="G1257" t="s">
        <v>5664</v>
      </c>
      <c r="H1257" t="s">
        <v>3334</v>
      </c>
      <c r="I1257" t="s">
        <v>5665</v>
      </c>
      <c r="J1257" t="s">
        <v>3115</v>
      </c>
      <c r="K1257" s="2">
        <v>7605</v>
      </c>
      <c r="L1257" s="2">
        <v>7605</v>
      </c>
      <c r="M1257" t="str">
        <f>IFERROR(IF(VLOOKUP(LEFT(B1257,2),'Humanitarian codes'!$A$2:$A$10,1,FALSE)=LEFT(B1257,2),"Yes","Error"),"No")</f>
        <v>No</v>
      </c>
    </row>
    <row r="1258" spans="1:13" x14ac:dyDescent="0.25">
      <c r="A1258">
        <v>2022</v>
      </c>
      <c r="B1258" t="s">
        <v>3113</v>
      </c>
      <c r="C1258" t="s">
        <v>5644</v>
      </c>
      <c r="D1258" t="s">
        <v>9</v>
      </c>
      <c r="E1258" t="s">
        <v>3115</v>
      </c>
      <c r="F1258">
        <v>4500201437</v>
      </c>
      <c r="G1258" t="s">
        <v>5666</v>
      </c>
      <c r="H1258" t="s">
        <v>3334</v>
      </c>
      <c r="I1258" t="s">
        <v>5667</v>
      </c>
      <c r="J1258" t="s">
        <v>3115</v>
      </c>
      <c r="K1258" s="2">
        <v>8273</v>
      </c>
      <c r="L1258" s="2">
        <v>8273</v>
      </c>
      <c r="M1258" t="str">
        <f>IFERROR(IF(VLOOKUP(LEFT(B1258,2),'Humanitarian codes'!$A$2:$A$10,1,FALSE)=LEFT(B1258,2),"Yes","Error"),"No")</f>
        <v>No</v>
      </c>
    </row>
    <row r="1259" spans="1:13" x14ac:dyDescent="0.25">
      <c r="A1259">
        <v>2022</v>
      </c>
      <c r="B1259" t="s">
        <v>3113</v>
      </c>
      <c r="C1259" t="s">
        <v>5644</v>
      </c>
      <c r="D1259" t="s">
        <v>9</v>
      </c>
      <c r="E1259" t="s">
        <v>3115</v>
      </c>
      <c r="F1259">
        <v>4500201439</v>
      </c>
      <c r="G1259" t="s">
        <v>5668</v>
      </c>
      <c r="H1259" t="s">
        <v>3334</v>
      </c>
      <c r="I1259" t="s">
        <v>5669</v>
      </c>
      <c r="J1259" t="s">
        <v>3115</v>
      </c>
      <c r="K1259" s="2">
        <v>4130</v>
      </c>
      <c r="L1259" s="2">
        <v>4130</v>
      </c>
      <c r="M1259" t="str">
        <f>IFERROR(IF(VLOOKUP(LEFT(B1259,2),'Humanitarian codes'!$A$2:$A$10,1,FALSE)=LEFT(B1259,2),"Yes","Error"),"No")</f>
        <v>No</v>
      </c>
    </row>
    <row r="1260" spans="1:13" x14ac:dyDescent="0.25">
      <c r="A1260">
        <v>2022</v>
      </c>
      <c r="B1260" t="s">
        <v>3113</v>
      </c>
      <c r="C1260" t="s">
        <v>5644</v>
      </c>
      <c r="D1260" t="s">
        <v>9</v>
      </c>
      <c r="E1260" t="s">
        <v>3115</v>
      </c>
      <c r="F1260">
        <v>4500201442</v>
      </c>
      <c r="G1260" t="s">
        <v>5656</v>
      </c>
      <c r="H1260" t="s">
        <v>3334</v>
      </c>
      <c r="I1260" t="s">
        <v>5670</v>
      </c>
      <c r="J1260" t="s">
        <v>3115</v>
      </c>
      <c r="K1260" s="2">
        <v>7057</v>
      </c>
      <c r="L1260" s="2">
        <v>7057</v>
      </c>
      <c r="M1260" t="str">
        <f>IFERROR(IF(VLOOKUP(LEFT(B1260,2),'Humanitarian codes'!$A$2:$A$10,1,FALSE)=LEFT(B1260,2),"Yes","Error"),"No")</f>
        <v>No</v>
      </c>
    </row>
    <row r="1261" spans="1:13" x14ac:dyDescent="0.25">
      <c r="A1261">
        <v>2022</v>
      </c>
      <c r="B1261" t="s">
        <v>3113</v>
      </c>
      <c r="C1261" t="s">
        <v>5644</v>
      </c>
      <c r="D1261" t="s">
        <v>9</v>
      </c>
      <c r="E1261" t="s">
        <v>3115</v>
      </c>
      <c r="F1261">
        <v>4500251466</v>
      </c>
      <c r="G1261" t="s">
        <v>5671</v>
      </c>
      <c r="H1261" t="s">
        <v>3334</v>
      </c>
      <c r="I1261" t="s">
        <v>5672</v>
      </c>
      <c r="J1261" t="s">
        <v>3115</v>
      </c>
      <c r="K1261" s="2">
        <v>3797</v>
      </c>
      <c r="L1261" s="2">
        <v>3797</v>
      </c>
      <c r="M1261" t="str">
        <f>IFERROR(IF(VLOOKUP(LEFT(B1261,2),'Humanitarian codes'!$A$2:$A$10,1,FALSE)=LEFT(B1261,2),"Yes","Error"),"No")</f>
        <v>No</v>
      </c>
    </row>
    <row r="1262" spans="1:13" x14ac:dyDescent="0.25">
      <c r="A1262">
        <v>2022</v>
      </c>
      <c r="B1262" t="s">
        <v>3113</v>
      </c>
      <c r="C1262" t="s">
        <v>5644</v>
      </c>
      <c r="D1262" t="s">
        <v>9</v>
      </c>
      <c r="E1262" t="s">
        <v>3115</v>
      </c>
      <c r="F1262">
        <v>4500251467</v>
      </c>
      <c r="G1262" t="s">
        <v>5673</v>
      </c>
      <c r="H1262" t="s">
        <v>3334</v>
      </c>
      <c r="I1262" t="s">
        <v>5674</v>
      </c>
      <c r="J1262" t="s">
        <v>3115</v>
      </c>
      <c r="K1262" s="2">
        <v>8189</v>
      </c>
      <c r="L1262" s="2">
        <v>8189</v>
      </c>
      <c r="M1262" t="str">
        <f>IFERROR(IF(VLOOKUP(LEFT(B1262,2),'Humanitarian codes'!$A$2:$A$10,1,FALSE)=LEFT(B1262,2),"Yes","Error"),"No")</f>
        <v>No</v>
      </c>
    </row>
    <row r="1263" spans="1:13" x14ac:dyDescent="0.25">
      <c r="A1263">
        <v>2022</v>
      </c>
      <c r="B1263" t="s">
        <v>3113</v>
      </c>
      <c r="C1263" t="s">
        <v>5644</v>
      </c>
      <c r="D1263" t="s">
        <v>9</v>
      </c>
      <c r="E1263" t="s">
        <v>3115</v>
      </c>
      <c r="F1263">
        <v>4500251468</v>
      </c>
      <c r="G1263" t="s">
        <v>5675</v>
      </c>
      <c r="H1263" t="s">
        <v>3334</v>
      </c>
      <c r="I1263" t="s">
        <v>5676</v>
      </c>
      <c r="J1263" t="s">
        <v>3115</v>
      </c>
      <c r="K1263" s="2">
        <v>6045</v>
      </c>
      <c r="L1263" s="2">
        <v>6045</v>
      </c>
      <c r="M1263" t="str">
        <f>IFERROR(IF(VLOOKUP(LEFT(B1263,2),'Humanitarian codes'!$A$2:$A$10,1,FALSE)=LEFT(B1263,2),"Yes","Error"),"No")</f>
        <v>No</v>
      </c>
    </row>
    <row r="1264" spans="1:13" x14ac:dyDescent="0.25">
      <c r="A1264">
        <v>2022</v>
      </c>
      <c r="B1264" t="s">
        <v>3113</v>
      </c>
      <c r="C1264" t="s">
        <v>5644</v>
      </c>
      <c r="D1264" t="s">
        <v>9</v>
      </c>
      <c r="E1264" t="s">
        <v>3115</v>
      </c>
      <c r="F1264">
        <v>4500251469</v>
      </c>
      <c r="G1264" t="s">
        <v>5677</v>
      </c>
      <c r="H1264" t="s">
        <v>3334</v>
      </c>
      <c r="I1264" t="s">
        <v>5678</v>
      </c>
      <c r="J1264" t="s">
        <v>3115</v>
      </c>
      <c r="K1264" s="2">
        <v>6710</v>
      </c>
      <c r="L1264" s="2">
        <v>6710</v>
      </c>
      <c r="M1264" t="str">
        <f>IFERROR(IF(VLOOKUP(LEFT(B1264,2),'Humanitarian codes'!$A$2:$A$10,1,FALSE)=LEFT(B1264,2),"Yes","Error"),"No")</f>
        <v>No</v>
      </c>
    </row>
    <row r="1265" spans="1:13" x14ac:dyDescent="0.25">
      <c r="A1265">
        <v>2022</v>
      </c>
      <c r="B1265" t="s">
        <v>2569</v>
      </c>
      <c r="C1265" t="s">
        <v>2570</v>
      </c>
      <c r="D1265" t="s">
        <v>9</v>
      </c>
      <c r="E1265" t="s">
        <v>205</v>
      </c>
      <c r="F1265">
        <v>4500261136</v>
      </c>
      <c r="G1265" t="s">
        <v>5096</v>
      </c>
      <c r="H1265" t="s">
        <v>3334</v>
      </c>
      <c r="I1265" t="s">
        <v>878</v>
      </c>
      <c r="J1265" t="s">
        <v>205</v>
      </c>
      <c r="K1265" s="2">
        <v>8037</v>
      </c>
      <c r="L1265" s="2">
        <v>119960</v>
      </c>
      <c r="M1265" t="str">
        <f>IFERROR(IF(VLOOKUP(LEFT(B1265,2),'Humanitarian codes'!$A$2:$A$10,1,FALSE)=LEFT(B1265,2),"Yes","Error"),"No")</f>
        <v>No</v>
      </c>
    </row>
    <row r="1266" spans="1:13" x14ac:dyDescent="0.25">
      <c r="A1266">
        <v>2022</v>
      </c>
      <c r="B1266" t="s">
        <v>2569</v>
      </c>
      <c r="C1266" t="s">
        <v>2570</v>
      </c>
      <c r="D1266" t="s">
        <v>9</v>
      </c>
      <c r="E1266" t="s">
        <v>25</v>
      </c>
      <c r="F1266">
        <v>4500218270</v>
      </c>
      <c r="G1266" t="s">
        <v>5679</v>
      </c>
      <c r="H1266" t="s">
        <v>3334</v>
      </c>
      <c r="I1266" t="s">
        <v>3733</v>
      </c>
      <c r="J1266" t="s">
        <v>25</v>
      </c>
      <c r="K1266" s="2">
        <v>37635</v>
      </c>
      <c r="L1266" s="2">
        <v>37635</v>
      </c>
      <c r="M1266" t="str">
        <f>IFERROR(IF(VLOOKUP(LEFT(B1266,2),'Humanitarian codes'!$A$2:$A$10,1,FALSE)=LEFT(B1266,2),"Yes","Error"),"No")</f>
        <v>No</v>
      </c>
    </row>
    <row r="1267" spans="1:13" x14ac:dyDescent="0.25">
      <c r="A1267">
        <v>2022</v>
      </c>
      <c r="B1267" t="s">
        <v>2569</v>
      </c>
      <c r="C1267" t="s">
        <v>2570</v>
      </c>
      <c r="D1267" t="s">
        <v>9</v>
      </c>
      <c r="E1267" t="s">
        <v>25</v>
      </c>
      <c r="F1267">
        <v>4500218418</v>
      </c>
      <c r="G1267" t="s">
        <v>5680</v>
      </c>
      <c r="H1267" t="s">
        <v>3334</v>
      </c>
      <c r="I1267" t="s">
        <v>3242</v>
      </c>
      <c r="J1267" t="s">
        <v>25</v>
      </c>
      <c r="K1267" s="2">
        <v>50597</v>
      </c>
      <c r="L1267" s="2">
        <v>50597</v>
      </c>
      <c r="M1267" t="str">
        <f>IFERROR(IF(VLOOKUP(LEFT(B1267,2),'Humanitarian codes'!$A$2:$A$10,1,FALSE)=LEFT(B1267,2),"Yes","Error"),"No")</f>
        <v>No</v>
      </c>
    </row>
    <row r="1268" spans="1:13" x14ac:dyDescent="0.25">
      <c r="A1268">
        <v>2022</v>
      </c>
      <c r="B1268" t="s">
        <v>5681</v>
      </c>
      <c r="C1268" t="s">
        <v>5682</v>
      </c>
      <c r="D1268" t="s">
        <v>9</v>
      </c>
      <c r="E1268" t="s">
        <v>402</v>
      </c>
      <c r="F1268">
        <v>4500235176</v>
      </c>
      <c r="G1268" t="s">
        <v>5683</v>
      </c>
      <c r="H1268" t="s">
        <v>3334</v>
      </c>
      <c r="I1268" t="s">
        <v>5684</v>
      </c>
      <c r="J1268" t="s">
        <v>402</v>
      </c>
      <c r="K1268" s="2">
        <v>37273</v>
      </c>
      <c r="L1268" s="2">
        <v>37273</v>
      </c>
      <c r="M1268" t="str">
        <f>IFERROR(IF(VLOOKUP(LEFT(B1268,2),'Humanitarian codes'!$A$2:$A$10,1,FALSE)=LEFT(B1268,2),"Yes","Error"),"No")</f>
        <v>No</v>
      </c>
    </row>
    <row r="1269" spans="1:13" x14ac:dyDescent="0.25">
      <c r="A1269">
        <v>2022</v>
      </c>
      <c r="B1269" t="s">
        <v>5681</v>
      </c>
      <c r="C1269" t="s">
        <v>5682</v>
      </c>
      <c r="D1269" t="s">
        <v>9</v>
      </c>
      <c r="E1269" t="s">
        <v>402</v>
      </c>
      <c r="F1269">
        <v>4500235187</v>
      </c>
      <c r="G1269" t="s">
        <v>5683</v>
      </c>
      <c r="H1269" t="s">
        <v>3334</v>
      </c>
      <c r="I1269" t="s">
        <v>5685</v>
      </c>
      <c r="J1269" t="s">
        <v>402</v>
      </c>
      <c r="K1269" s="2">
        <v>45639</v>
      </c>
      <c r="L1269" s="2">
        <v>45639</v>
      </c>
      <c r="M1269" t="str">
        <f>IFERROR(IF(VLOOKUP(LEFT(B1269,2),'Humanitarian codes'!$A$2:$A$10,1,FALSE)=LEFT(B1269,2),"Yes","Error"),"No")</f>
        <v>No</v>
      </c>
    </row>
    <row r="1270" spans="1:13" x14ac:dyDescent="0.25">
      <c r="A1270">
        <v>2022</v>
      </c>
      <c r="B1270" t="s">
        <v>5686</v>
      </c>
      <c r="C1270" t="s">
        <v>5687</v>
      </c>
      <c r="D1270" t="s">
        <v>512</v>
      </c>
      <c r="E1270" t="s">
        <v>205</v>
      </c>
      <c r="F1270">
        <v>4500212014</v>
      </c>
      <c r="G1270" t="s">
        <v>5688</v>
      </c>
      <c r="H1270" t="s">
        <v>3334</v>
      </c>
      <c r="I1270" t="s">
        <v>2407</v>
      </c>
      <c r="J1270" t="s">
        <v>205</v>
      </c>
      <c r="K1270" s="2">
        <v>126752</v>
      </c>
      <c r="L1270" s="2">
        <v>126752</v>
      </c>
      <c r="M1270" t="str">
        <f>IFERROR(IF(VLOOKUP(LEFT(B1270,2),'Humanitarian codes'!$A$2:$A$10,1,FALSE)=LEFT(B1270,2),"Yes","Error"),"No")</f>
        <v>Yes</v>
      </c>
    </row>
    <row r="1271" spans="1:13" x14ac:dyDescent="0.25">
      <c r="A1271">
        <v>2022</v>
      </c>
      <c r="B1271" t="s">
        <v>5686</v>
      </c>
      <c r="C1271" t="s">
        <v>5687</v>
      </c>
      <c r="D1271" t="s">
        <v>512</v>
      </c>
      <c r="E1271" t="s">
        <v>205</v>
      </c>
      <c r="F1271">
        <v>4500237635</v>
      </c>
      <c r="G1271" t="s">
        <v>5689</v>
      </c>
      <c r="H1271" t="s">
        <v>3334</v>
      </c>
      <c r="I1271" t="s">
        <v>5071</v>
      </c>
      <c r="J1271" t="s">
        <v>205</v>
      </c>
      <c r="K1271" s="2">
        <v>26000</v>
      </c>
      <c r="L1271" s="2">
        <v>26000</v>
      </c>
      <c r="M1271" t="str">
        <f>IFERROR(IF(VLOOKUP(LEFT(B1271,2),'Humanitarian codes'!$A$2:$A$10,1,FALSE)=LEFT(B1271,2),"Yes","Error"),"No")</f>
        <v>Yes</v>
      </c>
    </row>
    <row r="1272" spans="1:13" x14ac:dyDescent="0.25">
      <c r="A1272">
        <v>2022</v>
      </c>
      <c r="B1272" t="s">
        <v>5686</v>
      </c>
      <c r="C1272" t="s">
        <v>5687</v>
      </c>
      <c r="D1272" t="s">
        <v>512</v>
      </c>
      <c r="E1272" t="s">
        <v>205</v>
      </c>
      <c r="F1272">
        <v>4500240465</v>
      </c>
      <c r="G1272" t="s">
        <v>5072</v>
      </c>
      <c r="H1272" t="s">
        <v>3334</v>
      </c>
      <c r="I1272" t="s">
        <v>869</v>
      </c>
      <c r="J1272" t="s">
        <v>205</v>
      </c>
      <c r="K1272" s="2">
        <v>5000</v>
      </c>
      <c r="L1272" s="2">
        <v>30000</v>
      </c>
      <c r="M1272" t="str">
        <f>IFERROR(IF(VLOOKUP(LEFT(B1272,2),'Humanitarian codes'!$A$2:$A$10,1,FALSE)=LEFT(B1272,2),"Yes","Error"),"No")</f>
        <v>Yes</v>
      </c>
    </row>
    <row r="1273" spans="1:13" x14ac:dyDescent="0.25">
      <c r="A1273">
        <v>2022</v>
      </c>
      <c r="B1273" t="s">
        <v>5686</v>
      </c>
      <c r="C1273" t="s">
        <v>5687</v>
      </c>
      <c r="D1273" t="s">
        <v>512</v>
      </c>
      <c r="E1273" t="s">
        <v>676</v>
      </c>
      <c r="F1273">
        <v>4500200473</v>
      </c>
      <c r="G1273" t="s">
        <v>5690</v>
      </c>
      <c r="H1273" t="s">
        <v>3334</v>
      </c>
      <c r="I1273" t="s">
        <v>1834</v>
      </c>
      <c r="J1273" t="s">
        <v>751</v>
      </c>
      <c r="K1273" s="2">
        <v>14000</v>
      </c>
      <c r="L1273" s="2">
        <v>14000</v>
      </c>
      <c r="M1273" t="str">
        <f>IFERROR(IF(VLOOKUP(LEFT(B1273,2),'Humanitarian codes'!$A$2:$A$10,1,FALSE)=LEFT(B1273,2),"Yes","Error"),"No")</f>
        <v>Yes</v>
      </c>
    </row>
    <row r="1274" spans="1:13" x14ac:dyDescent="0.25">
      <c r="A1274">
        <v>2022</v>
      </c>
      <c r="B1274" t="s">
        <v>5686</v>
      </c>
      <c r="C1274" t="s">
        <v>5687</v>
      </c>
      <c r="D1274" t="s">
        <v>512</v>
      </c>
      <c r="E1274" t="s">
        <v>676</v>
      </c>
      <c r="F1274">
        <v>4500201854</v>
      </c>
      <c r="G1274" t="s">
        <v>5691</v>
      </c>
      <c r="H1274" t="s">
        <v>3334</v>
      </c>
      <c r="I1274" t="s">
        <v>1834</v>
      </c>
      <c r="J1274" t="s">
        <v>751</v>
      </c>
      <c r="K1274" s="2">
        <v>20000</v>
      </c>
      <c r="L1274" s="2">
        <v>20000</v>
      </c>
      <c r="M1274" t="str">
        <f>IFERROR(IF(VLOOKUP(LEFT(B1274,2),'Humanitarian codes'!$A$2:$A$10,1,FALSE)=LEFT(B1274,2),"Yes","Error"),"No")</f>
        <v>Yes</v>
      </c>
    </row>
    <row r="1275" spans="1:13" x14ac:dyDescent="0.25">
      <c r="A1275">
        <v>2022</v>
      </c>
      <c r="B1275" t="s">
        <v>5686</v>
      </c>
      <c r="C1275" t="s">
        <v>5687</v>
      </c>
      <c r="D1275" t="s">
        <v>512</v>
      </c>
      <c r="E1275" t="s">
        <v>890</v>
      </c>
      <c r="F1275">
        <v>4500221379</v>
      </c>
      <c r="G1275" t="s">
        <v>5692</v>
      </c>
      <c r="H1275" t="s">
        <v>3334</v>
      </c>
      <c r="I1275" t="s">
        <v>247</v>
      </c>
      <c r="J1275" t="s">
        <v>4686</v>
      </c>
      <c r="K1275" s="2">
        <v>16800</v>
      </c>
      <c r="L1275" s="2">
        <v>16800</v>
      </c>
      <c r="M1275" t="str">
        <f>IFERROR(IF(VLOOKUP(LEFT(B1275,2),'Humanitarian codes'!$A$2:$A$10,1,FALSE)=LEFT(B1275,2),"Yes","Error"),"No")</f>
        <v>Yes</v>
      </c>
    </row>
    <row r="1276" spans="1:13" x14ac:dyDescent="0.25">
      <c r="A1276">
        <v>2022</v>
      </c>
      <c r="B1276" t="s">
        <v>5686</v>
      </c>
      <c r="C1276" t="s">
        <v>5687</v>
      </c>
      <c r="D1276" t="s">
        <v>512</v>
      </c>
      <c r="E1276" t="s">
        <v>890</v>
      </c>
      <c r="F1276">
        <v>4500221810</v>
      </c>
      <c r="G1276" t="s">
        <v>5693</v>
      </c>
      <c r="H1276" t="s">
        <v>3334</v>
      </c>
      <c r="I1276" t="s">
        <v>1088</v>
      </c>
      <c r="J1276" t="s">
        <v>4686</v>
      </c>
      <c r="K1276" s="2">
        <v>19032</v>
      </c>
      <c r="L1276" s="2">
        <v>19032</v>
      </c>
      <c r="M1276" t="str">
        <f>IFERROR(IF(VLOOKUP(LEFT(B1276,2),'Humanitarian codes'!$A$2:$A$10,1,FALSE)=LEFT(B1276,2),"Yes","Error"),"No")</f>
        <v>Yes</v>
      </c>
    </row>
    <row r="1277" spans="1:13" x14ac:dyDescent="0.25">
      <c r="A1277">
        <v>2022</v>
      </c>
      <c r="B1277" t="s">
        <v>3679</v>
      </c>
      <c r="C1277" t="s">
        <v>3680</v>
      </c>
      <c r="D1277" t="s">
        <v>512</v>
      </c>
      <c r="E1277" t="s">
        <v>132</v>
      </c>
      <c r="F1277">
        <v>4500244683</v>
      </c>
      <c r="G1277" t="s">
        <v>4793</v>
      </c>
      <c r="H1277" t="s">
        <v>3334</v>
      </c>
      <c r="I1277" t="s">
        <v>3520</v>
      </c>
      <c r="J1277" t="s">
        <v>132</v>
      </c>
      <c r="K1277" s="2">
        <v>6323</v>
      </c>
      <c r="L1277" s="2">
        <v>21076</v>
      </c>
      <c r="M1277" t="str">
        <f>IFERROR(IF(VLOOKUP(LEFT(B1277,2),'Humanitarian codes'!$A$2:$A$10,1,FALSE)=LEFT(B1277,2),"Yes","Error"),"No")</f>
        <v>Yes</v>
      </c>
    </row>
    <row r="1278" spans="1:13" x14ac:dyDescent="0.25">
      <c r="A1278">
        <v>2022</v>
      </c>
      <c r="B1278" t="s">
        <v>5694</v>
      </c>
      <c r="C1278" t="s">
        <v>5695</v>
      </c>
      <c r="D1278" t="s">
        <v>512</v>
      </c>
      <c r="E1278" t="s">
        <v>123</v>
      </c>
      <c r="F1278">
        <v>4600629156</v>
      </c>
      <c r="G1278" t="s">
        <v>5696</v>
      </c>
      <c r="H1278" t="s">
        <v>3334</v>
      </c>
      <c r="I1278" t="s">
        <v>5697</v>
      </c>
      <c r="J1278" t="s">
        <v>123</v>
      </c>
      <c r="K1278" s="2">
        <v>95233</v>
      </c>
      <c r="L1278" s="2">
        <v>95233</v>
      </c>
      <c r="M1278" t="str">
        <f>IFERROR(IF(VLOOKUP(LEFT(B1278,2),'Humanitarian codes'!$A$2:$A$10,1,FALSE)=LEFT(B1278,2),"Yes","Error"),"No")</f>
        <v>Yes</v>
      </c>
    </row>
    <row r="1279" spans="1:13" x14ac:dyDescent="0.25">
      <c r="A1279">
        <v>2022</v>
      </c>
      <c r="B1279" t="s">
        <v>5698</v>
      </c>
      <c r="C1279" t="s">
        <v>5699</v>
      </c>
      <c r="D1279" t="s">
        <v>512</v>
      </c>
      <c r="E1279" t="s">
        <v>717</v>
      </c>
      <c r="F1279">
        <v>4500271891</v>
      </c>
      <c r="G1279" t="s">
        <v>5700</v>
      </c>
      <c r="H1279" t="s">
        <v>3334</v>
      </c>
      <c r="I1279" t="s">
        <v>5701</v>
      </c>
      <c r="J1279" t="s">
        <v>717</v>
      </c>
      <c r="K1279" s="2">
        <v>220338</v>
      </c>
      <c r="L1279" s="2">
        <v>220338</v>
      </c>
      <c r="M1279" t="str">
        <f>IFERROR(IF(VLOOKUP(LEFT(B1279,2),'Humanitarian codes'!$A$2:$A$10,1,FALSE)=LEFT(B1279,2),"Yes","Error"),"No")</f>
        <v>Yes</v>
      </c>
    </row>
    <row r="1280" spans="1:13" x14ac:dyDescent="0.25">
      <c r="A1280">
        <v>2022</v>
      </c>
      <c r="B1280" t="s">
        <v>5698</v>
      </c>
      <c r="C1280" t="s">
        <v>5699</v>
      </c>
      <c r="D1280" t="s">
        <v>512</v>
      </c>
      <c r="E1280" t="s">
        <v>210</v>
      </c>
      <c r="F1280">
        <v>4500229050</v>
      </c>
      <c r="G1280" t="s">
        <v>5702</v>
      </c>
      <c r="H1280" t="s">
        <v>3334</v>
      </c>
      <c r="I1280" t="s">
        <v>5703</v>
      </c>
      <c r="J1280" t="s">
        <v>210</v>
      </c>
      <c r="K1280" s="2">
        <v>140605</v>
      </c>
      <c r="L1280" s="2">
        <v>140605</v>
      </c>
      <c r="M1280" t="str">
        <f>IFERROR(IF(VLOOKUP(LEFT(B1280,2),'Humanitarian codes'!$A$2:$A$10,1,FALSE)=LEFT(B1280,2),"Yes","Error"),"No")</f>
        <v>Yes</v>
      </c>
    </row>
    <row r="1281" spans="1:13" x14ac:dyDescent="0.25">
      <c r="A1281">
        <v>2022</v>
      </c>
      <c r="B1281" t="s">
        <v>5698</v>
      </c>
      <c r="C1281" t="s">
        <v>5699</v>
      </c>
      <c r="D1281" t="s">
        <v>512</v>
      </c>
      <c r="E1281" t="s">
        <v>477</v>
      </c>
      <c r="F1281">
        <v>4500212551</v>
      </c>
      <c r="G1281" t="s">
        <v>5704</v>
      </c>
      <c r="H1281" t="s">
        <v>3334</v>
      </c>
      <c r="I1281" t="s">
        <v>1566</v>
      </c>
      <c r="J1281" t="s">
        <v>477</v>
      </c>
      <c r="K1281">
        <v>522</v>
      </c>
      <c r="L1281">
        <v>522</v>
      </c>
      <c r="M1281" t="str">
        <f>IFERROR(IF(VLOOKUP(LEFT(B1281,2),'Humanitarian codes'!$A$2:$A$10,1,FALSE)=LEFT(B1281,2),"Yes","Error"),"No")</f>
        <v>Yes</v>
      </c>
    </row>
    <row r="1282" spans="1:13" x14ac:dyDescent="0.25">
      <c r="A1282">
        <v>2022</v>
      </c>
      <c r="B1282" t="s">
        <v>5698</v>
      </c>
      <c r="C1282" t="s">
        <v>5699</v>
      </c>
      <c r="D1282" t="s">
        <v>512</v>
      </c>
      <c r="E1282" t="s">
        <v>477</v>
      </c>
      <c r="F1282">
        <v>4500212553</v>
      </c>
      <c r="G1282" t="s">
        <v>5705</v>
      </c>
      <c r="H1282" t="s">
        <v>3334</v>
      </c>
      <c r="I1282" t="s">
        <v>612</v>
      </c>
      <c r="J1282" t="s">
        <v>477</v>
      </c>
      <c r="K1282">
        <v>215</v>
      </c>
      <c r="L1282">
        <v>215</v>
      </c>
      <c r="M1282" t="str">
        <f>IFERROR(IF(VLOOKUP(LEFT(B1282,2),'Humanitarian codes'!$A$2:$A$10,1,FALSE)=LEFT(B1282,2),"Yes","Error"),"No")</f>
        <v>Yes</v>
      </c>
    </row>
    <row r="1283" spans="1:13" x14ac:dyDescent="0.25">
      <c r="A1283">
        <v>2022</v>
      </c>
      <c r="B1283" t="s">
        <v>5698</v>
      </c>
      <c r="C1283" t="s">
        <v>5699</v>
      </c>
      <c r="D1283" t="s">
        <v>512</v>
      </c>
      <c r="E1283" t="s">
        <v>167</v>
      </c>
      <c r="F1283">
        <v>4500212986</v>
      </c>
      <c r="G1283" t="s">
        <v>5706</v>
      </c>
      <c r="H1283" t="s">
        <v>3334</v>
      </c>
      <c r="I1283" t="s">
        <v>516</v>
      </c>
      <c r="J1283" t="s">
        <v>167</v>
      </c>
      <c r="K1283" s="2">
        <v>6967</v>
      </c>
      <c r="L1283" s="2">
        <v>6967</v>
      </c>
      <c r="M1283" t="str">
        <f>IFERROR(IF(VLOOKUP(LEFT(B1283,2),'Humanitarian codes'!$A$2:$A$10,1,FALSE)=LEFT(B1283,2),"Yes","Error"),"No")</f>
        <v>Yes</v>
      </c>
    </row>
    <row r="1284" spans="1:13" x14ac:dyDescent="0.25">
      <c r="A1284">
        <v>2022</v>
      </c>
      <c r="B1284" t="s">
        <v>1513</v>
      </c>
      <c r="C1284" t="s">
        <v>1514</v>
      </c>
      <c r="D1284" t="s">
        <v>512</v>
      </c>
      <c r="E1284" t="s">
        <v>545</v>
      </c>
      <c r="F1284">
        <v>4500190416</v>
      </c>
      <c r="G1284" t="s">
        <v>5707</v>
      </c>
      <c r="H1284" t="s">
        <v>3334</v>
      </c>
      <c r="I1284" t="s">
        <v>5708</v>
      </c>
      <c r="J1284" t="s">
        <v>534</v>
      </c>
      <c r="K1284" s="2">
        <v>1316408</v>
      </c>
      <c r="L1284" s="2">
        <v>1316408</v>
      </c>
      <c r="M1284" t="str">
        <f>IFERROR(IF(VLOOKUP(LEFT(B1284,2),'Humanitarian codes'!$A$2:$A$10,1,FALSE)=LEFT(B1284,2),"Yes","Error"),"No")</f>
        <v>Yes</v>
      </c>
    </row>
    <row r="1285" spans="1:13" x14ac:dyDescent="0.25">
      <c r="A1285">
        <v>2022</v>
      </c>
      <c r="B1285" t="s">
        <v>1513</v>
      </c>
      <c r="C1285" t="s">
        <v>1514</v>
      </c>
      <c r="D1285" t="s">
        <v>512</v>
      </c>
      <c r="E1285" t="s">
        <v>545</v>
      </c>
      <c r="F1285">
        <v>4500200960</v>
      </c>
      <c r="G1285" t="s">
        <v>5709</v>
      </c>
      <c r="H1285" t="s">
        <v>3334</v>
      </c>
      <c r="I1285" t="s">
        <v>5710</v>
      </c>
      <c r="J1285" t="s">
        <v>534</v>
      </c>
      <c r="K1285" s="2">
        <v>2795160</v>
      </c>
      <c r="L1285" s="2">
        <v>2795160</v>
      </c>
      <c r="M1285" t="str">
        <f>IFERROR(IF(VLOOKUP(LEFT(B1285,2),'Humanitarian codes'!$A$2:$A$10,1,FALSE)=LEFT(B1285,2),"Yes","Error"),"No")</f>
        <v>Yes</v>
      </c>
    </row>
    <row r="1286" spans="1:13" x14ac:dyDescent="0.25">
      <c r="A1286">
        <v>2022</v>
      </c>
      <c r="B1286" t="s">
        <v>1513</v>
      </c>
      <c r="C1286" t="s">
        <v>1514</v>
      </c>
      <c r="D1286" t="s">
        <v>512</v>
      </c>
      <c r="E1286" t="s">
        <v>545</v>
      </c>
      <c r="F1286">
        <v>4500205253</v>
      </c>
      <c r="G1286" t="s">
        <v>5711</v>
      </c>
      <c r="H1286" t="s">
        <v>3334</v>
      </c>
      <c r="I1286" t="s">
        <v>5712</v>
      </c>
      <c r="J1286" t="s">
        <v>545</v>
      </c>
      <c r="K1286" s="2">
        <v>359996</v>
      </c>
      <c r="L1286" s="2">
        <v>359996</v>
      </c>
      <c r="M1286" t="str">
        <f>IFERROR(IF(VLOOKUP(LEFT(B1286,2),'Humanitarian codes'!$A$2:$A$10,1,FALSE)=LEFT(B1286,2),"Yes","Error"),"No")</f>
        <v>Yes</v>
      </c>
    </row>
    <row r="1287" spans="1:13" x14ac:dyDescent="0.25">
      <c r="A1287">
        <v>2022</v>
      </c>
      <c r="B1287" t="s">
        <v>1513</v>
      </c>
      <c r="C1287" t="s">
        <v>1514</v>
      </c>
      <c r="D1287" t="s">
        <v>512</v>
      </c>
      <c r="E1287" t="s">
        <v>45</v>
      </c>
      <c r="F1287">
        <v>4500195004</v>
      </c>
      <c r="G1287" t="s">
        <v>5713</v>
      </c>
      <c r="H1287" t="s">
        <v>3334</v>
      </c>
      <c r="I1287" t="s">
        <v>5714</v>
      </c>
      <c r="J1287" t="s">
        <v>45</v>
      </c>
      <c r="K1287" s="2">
        <v>777399</v>
      </c>
      <c r="L1287" s="2">
        <v>777399</v>
      </c>
      <c r="M1287" t="str">
        <f>IFERROR(IF(VLOOKUP(LEFT(B1287,2),'Humanitarian codes'!$A$2:$A$10,1,FALSE)=LEFT(B1287,2),"Yes","Error"),"No")</f>
        <v>Yes</v>
      </c>
    </row>
    <row r="1288" spans="1:13" x14ac:dyDescent="0.25">
      <c r="A1288">
        <v>2022</v>
      </c>
      <c r="B1288" t="s">
        <v>1515</v>
      </c>
      <c r="C1288" t="s">
        <v>1516</v>
      </c>
      <c r="D1288" t="s">
        <v>512</v>
      </c>
      <c r="E1288" t="s">
        <v>175</v>
      </c>
      <c r="F1288">
        <v>4500183469</v>
      </c>
      <c r="G1288" t="s">
        <v>5715</v>
      </c>
      <c r="H1288" t="s">
        <v>3334</v>
      </c>
      <c r="I1288" t="s">
        <v>1833</v>
      </c>
      <c r="J1288" t="s">
        <v>175</v>
      </c>
      <c r="K1288" s="2">
        <v>500000</v>
      </c>
      <c r="L1288" s="2">
        <v>500000</v>
      </c>
      <c r="M1288" t="str">
        <f>IFERROR(IF(VLOOKUP(LEFT(B1288,2),'Humanitarian codes'!$A$2:$A$10,1,FALSE)=LEFT(B1288,2),"Yes","Error"),"No")</f>
        <v>Yes</v>
      </c>
    </row>
    <row r="1289" spans="1:13" x14ac:dyDescent="0.25">
      <c r="A1289">
        <v>2022</v>
      </c>
      <c r="B1289" t="s">
        <v>1515</v>
      </c>
      <c r="C1289" t="s">
        <v>1516</v>
      </c>
      <c r="D1289" t="s">
        <v>512</v>
      </c>
      <c r="E1289" t="s">
        <v>175</v>
      </c>
      <c r="F1289">
        <v>4500183470</v>
      </c>
      <c r="G1289" t="s">
        <v>5716</v>
      </c>
      <c r="H1289" t="s">
        <v>3334</v>
      </c>
      <c r="I1289" t="s">
        <v>1831</v>
      </c>
      <c r="J1289" t="s">
        <v>175</v>
      </c>
      <c r="K1289" s="2">
        <v>350000</v>
      </c>
      <c r="L1289" s="2">
        <v>350000</v>
      </c>
      <c r="M1289" t="str">
        <f>IFERROR(IF(VLOOKUP(LEFT(B1289,2),'Humanitarian codes'!$A$2:$A$10,1,FALSE)=LEFT(B1289,2),"Yes","Error"),"No")</f>
        <v>Yes</v>
      </c>
    </row>
    <row r="1290" spans="1:13" x14ac:dyDescent="0.25">
      <c r="A1290">
        <v>2022</v>
      </c>
      <c r="B1290" t="s">
        <v>1515</v>
      </c>
      <c r="C1290" t="s">
        <v>1516</v>
      </c>
      <c r="D1290" t="s">
        <v>512</v>
      </c>
      <c r="E1290" t="s">
        <v>175</v>
      </c>
      <c r="F1290">
        <v>4500234657</v>
      </c>
      <c r="G1290" t="s">
        <v>4616</v>
      </c>
      <c r="H1290" t="s">
        <v>3334</v>
      </c>
      <c r="I1290" t="s">
        <v>1832</v>
      </c>
      <c r="J1290" t="s">
        <v>175</v>
      </c>
      <c r="K1290" s="2">
        <v>39678</v>
      </c>
      <c r="L1290" s="2">
        <v>413998</v>
      </c>
      <c r="M1290" t="str">
        <f>IFERROR(IF(VLOOKUP(LEFT(B1290,2),'Humanitarian codes'!$A$2:$A$10,1,FALSE)=LEFT(B1290,2),"Yes","Error"),"No")</f>
        <v>Yes</v>
      </c>
    </row>
    <row r="1291" spans="1:13" x14ac:dyDescent="0.25">
      <c r="A1291">
        <v>2022</v>
      </c>
      <c r="B1291" t="s">
        <v>5717</v>
      </c>
      <c r="C1291" t="s">
        <v>5718</v>
      </c>
      <c r="D1291" t="s">
        <v>512</v>
      </c>
      <c r="E1291" t="s">
        <v>253</v>
      </c>
      <c r="F1291">
        <v>4500188498</v>
      </c>
      <c r="G1291" t="s">
        <v>4627</v>
      </c>
      <c r="H1291" t="s">
        <v>3334</v>
      </c>
      <c r="I1291" t="s">
        <v>1362</v>
      </c>
      <c r="J1291" t="s">
        <v>253</v>
      </c>
      <c r="K1291" s="2">
        <v>17427</v>
      </c>
      <c r="L1291" s="2">
        <v>126530</v>
      </c>
      <c r="M1291" t="str">
        <f>IFERROR(IF(VLOOKUP(LEFT(B1291,2),'Humanitarian codes'!$A$2:$A$10,1,FALSE)=LEFT(B1291,2),"Yes","Error"),"No")</f>
        <v>Yes</v>
      </c>
    </row>
    <row r="1292" spans="1:13" x14ac:dyDescent="0.25">
      <c r="A1292">
        <v>2022</v>
      </c>
      <c r="B1292" t="s">
        <v>5719</v>
      </c>
      <c r="C1292" t="s">
        <v>5720</v>
      </c>
      <c r="D1292" t="s">
        <v>512</v>
      </c>
      <c r="E1292" t="s">
        <v>518</v>
      </c>
      <c r="F1292">
        <v>4500238843</v>
      </c>
      <c r="G1292" t="s">
        <v>5721</v>
      </c>
      <c r="H1292" t="s">
        <v>3334</v>
      </c>
      <c r="I1292" t="s">
        <v>5722</v>
      </c>
      <c r="J1292" t="s">
        <v>518</v>
      </c>
      <c r="K1292" s="2">
        <v>49022</v>
      </c>
      <c r="L1292" s="2">
        <v>49022</v>
      </c>
      <c r="M1292" t="str">
        <f>IFERROR(IF(VLOOKUP(LEFT(B1292,2),'Humanitarian codes'!$A$2:$A$10,1,FALSE)=LEFT(B1292,2),"Yes","Error"),"No")</f>
        <v>Yes</v>
      </c>
    </row>
    <row r="1293" spans="1:13" x14ac:dyDescent="0.25">
      <c r="A1293">
        <v>2022</v>
      </c>
      <c r="B1293" t="s">
        <v>5719</v>
      </c>
      <c r="C1293" t="s">
        <v>5720</v>
      </c>
      <c r="D1293" t="s">
        <v>512</v>
      </c>
      <c r="E1293" t="s">
        <v>518</v>
      </c>
      <c r="F1293">
        <v>4500239752</v>
      </c>
      <c r="G1293" t="s">
        <v>5723</v>
      </c>
      <c r="H1293" t="s">
        <v>3334</v>
      </c>
      <c r="I1293" t="s">
        <v>5724</v>
      </c>
      <c r="J1293" t="s">
        <v>518</v>
      </c>
      <c r="K1293" s="2">
        <v>27841</v>
      </c>
      <c r="L1293" s="2">
        <v>27841</v>
      </c>
      <c r="M1293" t="str">
        <f>IFERROR(IF(VLOOKUP(LEFT(B1293,2),'Humanitarian codes'!$A$2:$A$10,1,FALSE)=LEFT(B1293,2),"Yes","Error"),"No")</f>
        <v>Yes</v>
      </c>
    </row>
    <row r="1294" spans="1:13" x14ac:dyDescent="0.25">
      <c r="A1294">
        <v>2022</v>
      </c>
      <c r="B1294" t="s">
        <v>5719</v>
      </c>
      <c r="C1294" t="s">
        <v>5720</v>
      </c>
      <c r="D1294" t="s">
        <v>512</v>
      </c>
      <c r="E1294" t="s">
        <v>518</v>
      </c>
      <c r="F1294">
        <v>4500239815</v>
      </c>
      <c r="G1294" t="s">
        <v>5725</v>
      </c>
      <c r="H1294" t="s">
        <v>3334</v>
      </c>
      <c r="I1294" t="s">
        <v>5726</v>
      </c>
      <c r="J1294" t="s">
        <v>518</v>
      </c>
      <c r="K1294" s="2">
        <v>148912</v>
      </c>
      <c r="L1294" s="2">
        <v>148912</v>
      </c>
      <c r="M1294" t="str">
        <f>IFERROR(IF(VLOOKUP(LEFT(B1294,2),'Humanitarian codes'!$A$2:$A$10,1,FALSE)=LEFT(B1294,2),"Yes","Error"),"No")</f>
        <v>Yes</v>
      </c>
    </row>
    <row r="1295" spans="1:13" x14ac:dyDescent="0.25">
      <c r="A1295">
        <v>2022</v>
      </c>
      <c r="B1295" t="s">
        <v>5719</v>
      </c>
      <c r="C1295" t="s">
        <v>5720</v>
      </c>
      <c r="D1295" t="s">
        <v>512</v>
      </c>
      <c r="E1295" t="s">
        <v>518</v>
      </c>
      <c r="F1295">
        <v>4500240960</v>
      </c>
      <c r="G1295" t="s">
        <v>5727</v>
      </c>
      <c r="H1295" t="s">
        <v>3334</v>
      </c>
      <c r="I1295" t="s">
        <v>5728</v>
      </c>
      <c r="J1295" t="s">
        <v>518</v>
      </c>
      <c r="K1295" s="2">
        <v>105908</v>
      </c>
      <c r="L1295" s="2">
        <v>105908</v>
      </c>
      <c r="M1295" t="str">
        <f>IFERROR(IF(VLOOKUP(LEFT(B1295,2),'Humanitarian codes'!$A$2:$A$10,1,FALSE)=LEFT(B1295,2),"Yes","Error"),"No")</f>
        <v>Yes</v>
      </c>
    </row>
    <row r="1296" spans="1:13" x14ac:dyDescent="0.25">
      <c r="A1296">
        <v>2022</v>
      </c>
      <c r="B1296" t="s">
        <v>5719</v>
      </c>
      <c r="C1296" t="s">
        <v>5720</v>
      </c>
      <c r="D1296" t="s">
        <v>512</v>
      </c>
      <c r="E1296" t="s">
        <v>518</v>
      </c>
      <c r="F1296">
        <v>4500241315</v>
      </c>
      <c r="G1296" t="s">
        <v>5729</v>
      </c>
      <c r="H1296" t="s">
        <v>3334</v>
      </c>
      <c r="I1296" t="s">
        <v>5730</v>
      </c>
      <c r="J1296" t="s">
        <v>167</v>
      </c>
      <c r="K1296" s="2">
        <v>168345</v>
      </c>
      <c r="L1296" s="2">
        <v>168345</v>
      </c>
      <c r="M1296" t="str">
        <f>IFERROR(IF(VLOOKUP(LEFT(B1296,2),'Humanitarian codes'!$A$2:$A$10,1,FALSE)=LEFT(B1296,2),"Yes","Error"),"No")</f>
        <v>Yes</v>
      </c>
    </row>
    <row r="1297" spans="1:13" x14ac:dyDescent="0.25">
      <c r="A1297">
        <v>2022</v>
      </c>
      <c r="B1297" t="s">
        <v>5719</v>
      </c>
      <c r="C1297" t="s">
        <v>5720</v>
      </c>
      <c r="D1297" t="s">
        <v>512</v>
      </c>
      <c r="E1297" t="s">
        <v>518</v>
      </c>
      <c r="F1297">
        <v>4500247444</v>
      </c>
      <c r="G1297" t="s">
        <v>5731</v>
      </c>
      <c r="H1297" t="s">
        <v>3334</v>
      </c>
      <c r="I1297" t="s">
        <v>5724</v>
      </c>
      <c r="J1297" t="s">
        <v>518</v>
      </c>
      <c r="K1297" s="2">
        <v>50514</v>
      </c>
      <c r="L1297" s="2">
        <v>50514</v>
      </c>
      <c r="M1297" t="str">
        <f>IFERROR(IF(VLOOKUP(LEFT(B1297,2),'Humanitarian codes'!$A$2:$A$10,1,FALSE)=LEFT(B1297,2),"Yes","Error"),"No")</f>
        <v>Yes</v>
      </c>
    </row>
    <row r="1298" spans="1:13" x14ac:dyDescent="0.25">
      <c r="A1298">
        <v>2022</v>
      </c>
      <c r="B1298" t="s">
        <v>5732</v>
      </c>
      <c r="C1298" t="s">
        <v>5733</v>
      </c>
      <c r="D1298" t="s">
        <v>512</v>
      </c>
      <c r="E1298" t="s">
        <v>123</v>
      </c>
      <c r="F1298">
        <v>4600628438</v>
      </c>
      <c r="G1298" t="s">
        <v>5734</v>
      </c>
      <c r="H1298" t="s">
        <v>3334</v>
      </c>
      <c r="I1298" t="s">
        <v>813</v>
      </c>
      <c r="J1298" t="s">
        <v>123</v>
      </c>
      <c r="K1298" s="2">
        <v>193175</v>
      </c>
      <c r="L1298" s="2">
        <v>193175</v>
      </c>
      <c r="M1298" t="str">
        <f>IFERROR(IF(VLOOKUP(LEFT(B1298,2),'Humanitarian codes'!$A$2:$A$10,1,FALSE)=LEFT(B1298,2),"Yes","Error"),"No")</f>
        <v>Yes</v>
      </c>
    </row>
    <row r="1299" spans="1:13" x14ac:dyDescent="0.25">
      <c r="A1299">
        <v>2022</v>
      </c>
      <c r="B1299" t="s">
        <v>5735</v>
      </c>
      <c r="C1299" t="s">
        <v>5736</v>
      </c>
      <c r="D1299" t="s">
        <v>512</v>
      </c>
      <c r="E1299" t="s">
        <v>751</v>
      </c>
      <c r="F1299">
        <v>4500236375</v>
      </c>
      <c r="G1299" t="s">
        <v>5737</v>
      </c>
      <c r="H1299" t="s">
        <v>3334</v>
      </c>
      <c r="I1299" t="s">
        <v>5738</v>
      </c>
      <c r="J1299" t="s">
        <v>985</v>
      </c>
      <c r="K1299" s="2">
        <v>79488</v>
      </c>
      <c r="L1299" s="2">
        <v>79488</v>
      </c>
      <c r="M1299" t="str">
        <f>IFERROR(IF(VLOOKUP(LEFT(B1299,2),'Humanitarian codes'!$A$2:$A$10,1,FALSE)=LEFT(B1299,2),"Yes","Error"),"No")</f>
        <v>Yes</v>
      </c>
    </row>
    <row r="1300" spans="1:13" x14ac:dyDescent="0.25">
      <c r="A1300">
        <v>2022</v>
      </c>
      <c r="B1300" t="s">
        <v>5735</v>
      </c>
      <c r="C1300" t="s">
        <v>5736</v>
      </c>
      <c r="D1300" t="s">
        <v>512</v>
      </c>
      <c r="E1300" t="s">
        <v>751</v>
      </c>
      <c r="F1300">
        <v>4500236378</v>
      </c>
      <c r="G1300" t="s">
        <v>5739</v>
      </c>
      <c r="H1300" t="s">
        <v>3334</v>
      </c>
      <c r="I1300" t="s">
        <v>5740</v>
      </c>
      <c r="J1300" t="s">
        <v>49</v>
      </c>
      <c r="K1300" s="2">
        <v>62402</v>
      </c>
      <c r="L1300" s="2">
        <v>62402</v>
      </c>
      <c r="M1300" t="str">
        <f>IFERROR(IF(VLOOKUP(LEFT(B1300,2),'Humanitarian codes'!$A$2:$A$10,1,FALSE)=LEFT(B1300,2),"Yes","Error"),"No")</f>
        <v>Yes</v>
      </c>
    </row>
    <row r="1301" spans="1:13" x14ac:dyDescent="0.25">
      <c r="A1301">
        <v>2022</v>
      </c>
      <c r="B1301" t="s">
        <v>5735</v>
      </c>
      <c r="C1301" t="s">
        <v>5736</v>
      </c>
      <c r="D1301" t="s">
        <v>512</v>
      </c>
      <c r="E1301" t="s">
        <v>751</v>
      </c>
      <c r="F1301">
        <v>4500236380</v>
      </c>
      <c r="G1301" t="s">
        <v>5741</v>
      </c>
      <c r="H1301" t="s">
        <v>3334</v>
      </c>
      <c r="I1301" t="s">
        <v>5742</v>
      </c>
      <c r="J1301" t="s">
        <v>751</v>
      </c>
      <c r="K1301" s="2">
        <v>77602</v>
      </c>
      <c r="L1301" s="2">
        <v>77602</v>
      </c>
      <c r="M1301" t="str">
        <f>IFERROR(IF(VLOOKUP(LEFT(B1301,2),'Humanitarian codes'!$A$2:$A$10,1,FALSE)=LEFT(B1301,2),"Yes","Error"),"No")</f>
        <v>Yes</v>
      </c>
    </row>
    <row r="1302" spans="1:13" x14ac:dyDescent="0.25">
      <c r="A1302">
        <v>2022</v>
      </c>
      <c r="B1302" t="s">
        <v>5735</v>
      </c>
      <c r="C1302" t="s">
        <v>5736</v>
      </c>
      <c r="D1302" t="s">
        <v>512</v>
      </c>
      <c r="E1302" t="s">
        <v>751</v>
      </c>
      <c r="F1302">
        <v>4500236387</v>
      </c>
      <c r="G1302" t="s">
        <v>5743</v>
      </c>
      <c r="H1302" t="s">
        <v>3334</v>
      </c>
      <c r="I1302" t="s">
        <v>5744</v>
      </c>
      <c r="J1302" t="s">
        <v>751</v>
      </c>
      <c r="K1302" s="2">
        <v>85127</v>
      </c>
      <c r="L1302" s="2">
        <v>85127</v>
      </c>
      <c r="M1302" t="str">
        <f>IFERROR(IF(VLOOKUP(LEFT(B1302,2),'Humanitarian codes'!$A$2:$A$10,1,FALSE)=LEFT(B1302,2),"Yes","Error"),"No")</f>
        <v>Yes</v>
      </c>
    </row>
    <row r="1303" spans="1:13" x14ac:dyDescent="0.25">
      <c r="A1303">
        <v>2022</v>
      </c>
      <c r="B1303" t="s">
        <v>5735</v>
      </c>
      <c r="C1303" t="s">
        <v>5736</v>
      </c>
      <c r="D1303" t="s">
        <v>512</v>
      </c>
      <c r="E1303" t="s">
        <v>751</v>
      </c>
      <c r="F1303">
        <v>4500236391</v>
      </c>
      <c r="G1303" t="s">
        <v>5745</v>
      </c>
      <c r="H1303" t="s">
        <v>3334</v>
      </c>
      <c r="I1303" t="s">
        <v>5746</v>
      </c>
      <c r="J1303" t="s">
        <v>751</v>
      </c>
      <c r="K1303" s="2">
        <v>89900</v>
      </c>
      <c r="L1303" s="2">
        <v>89900</v>
      </c>
      <c r="M1303" t="str">
        <f>IFERROR(IF(VLOOKUP(LEFT(B1303,2),'Humanitarian codes'!$A$2:$A$10,1,FALSE)=LEFT(B1303,2),"Yes","Error"),"No")</f>
        <v>Yes</v>
      </c>
    </row>
    <row r="1304" spans="1:13" x14ac:dyDescent="0.25">
      <c r="A1304">
        <v>2022</v>
      </c>
      <c r="B1304" t="s">
        <v>5735</v>
      </c>
      <c r="C1304" t="s">
        <v>5736</v>
      </c>
      <c r="D1304" t="s">
        <v>512</v>
      </c>
      <c r="E1304" t="s">
        <v>751</v>
      </c>
      <c r="F1304">
        <v>4500237226</v>
      </c>
      <c r="G1304" t="s">
        <v>5747</v>
      </c>
      <c r="H1304" t="s">
        <v>3334</v>
      </c>
      <c r="I1304" t="s">
        <v>5748</v>
      </c>
      <c r="J1304" t="s">
        <v>402</v>
      </c>
      <c r="K1304" s="2">
        <v>92896</v>
      </c>
      <c r="L1304" s="2">
        <v>92896</v>
      </c>
      <c r="M1304" t="str">
        <f>IFERROR(IF(VLOOKUP(LEFT(B1304,2),'Humanitarian codes'!$A$2:$A$10,1,FALSE)=LEFT(B1304,2),"Yes","Error"),"No")</f>
        <v>Yes</v>
      </c>
    </row>
    <row r="1305" spans="1:13" x14ac:dyDescent="0.25">
      <c r="A1305">
        <v>2022</v>
      </c>
      <c r="B1305" t="s">
        <v>5735</v>
      </c>
      <c r="C1305" t="s">
        <v>5736</v>
      </c>
      <c r="D1305" t="s">
        <v>512</v>
      </c>
      <c r="E1305" t="s">
        <v>751</v>
      </c>
      <c r="F1305">
        <v>4500237612</v>
      </c>
      <c r="G1305" t="s">
        <v>5749</v>
      </c>
      <c r="H1305" t="s">
        <v>3334</v>
      </c>
      <c r="I1305" t="s">
        <v>5750</v>
      </c>
      <c r="J1305" t="s">
        <v>751</v>
      </c>
      <c r="K1305" s="2">
        <v>88707</v>
      </c>
      <c r="L1305" s="2">
        <v>88707</v>
      </c>
      <c r="M1305" t="str">
        <f>IFERROR(IF(VLOOKUP(LEFT(B1305,2),'Humanitarian codes'!$A$2:$A$10,1,FALSE)=LEFT(B1305,2),"Yes","Error"),"No")</f>
        <v>Yes</v>
      </c>
    </row>
    <row r="1306" spans="1:13" x14ac:dyDescent="0.25">
      <c r="A1306">
        <v>2022</v>
      </c>
      <c r="B1306" t="s">
        <v>5751</v>
      </c>
      <c r="C1306" t="s">
        <v>5752</v>
      </c>
      <c r="D1306" t="s">
        <v>512</v>
      </c>
      <c r="E1306" t="s">
        <v>890</v>
      </c>
      <c r="F1306">
        <v>4500186566</v>
      </c>
      <c r="G1306" t="s">
        <v>5753</v>
      </c>
      <c r="H1306" t="s">
        <v>3334</v>
      </c>
      <c r="I1306" t="s">
        <v>5754</v>
      </c>
      <c r="J1306" t="s">
        <v>4686</v>
      </c>
      <c r="K1306" s="2">
        <v>180894</v>
      </c>
      <c r="L1306" s="2">
        <v>180894</v>
      </c>
      <c r="M1306" t="str">
        <f>IFERROR(IF(VLOOKUP(LEFT(B1306,2),'Humanitarian codes'!$A$2:$A$10,1,FALSE)=LEFT(B1306,2),"Yes","Error"),"No")</f>
        <v>Yes</v>
      </c>
    </row>
    <row r="1307" spans="1:13" x14ac:dyDescent="0.25">
      <c r="A1307">
        <v>2022</v>
      </c>
      <c r="B1307" t="s">
        <v>5755</v>
      </c>
      <c r="C1307" t="s">
        <v>5756</v>
      </c>
      <c r="D1307" t="s">
        <v>512</v>
      </c>
      <c r="E1307" t="s">
        <v>523</v>
      </c>
      <c r="F1307">
        <v>4500274478</v>
      </c>
      <c r="G1307" t="s">
        <v>5757</v>
      </c>
      <c r="H1307" t="s">
        <v>3334</v>
      </c>
      <c r="I1307" t="s">
        <v>5758</v>
      </c>
      <c r="J1307" t="s">
        <v>523</v>
      </c>
      <c r="K1307" s="2">
        <v>6419</v>
      </c>
      <c r="L1307" s="2">
        <v>6419</v>
      </c>
      <c r="M1307" t="str">
        <f>IFERROR(IF(VLOOKUP(LEFT(B1307,2),'Humanitarian codes'!$A$2:$A$10,1,FALSE)=LEFT(B1307,2),"Yes","Error"),"No")</f>
        <v>Yes</v>
      </c>
    </row>
    <row r="1308" spans="1:13" x14ac:dyDescent="0.25">
      <c r="A1308">
        <v>2022</v>
      </c>
      <c r="B1308" t="s">
        <v>5759</v>
      </c>
      <c r="C1308" t="s">
        <v>5760</v>
      </c>
      <c r="D1308" t="s">
        <v>512</v>
      </c>
      <c r="E1308" t="s">
        <v>1453</v>
      </c>
      <c r="F1308">
        <v>4500219357</v>
      </c>
      <c r="G1308" t="s">
        <v>5761</v>
      </c>
      <c r="H1308" t="s">
        <v>3334</v>
      </c>
      <c r="I1308" t="s">
        <v>5762</v>
      </c>
      <c r="J1308" t="s">
        <v>1453</v>
      </c>
      <c r="K1308" s="2">
        <v>115988</v>
      </c>
      <c r="L1308" s="2">
        <v>115988</v>
      </c>
      <c r="M1308" t="str">
        <f>IFERROR(IF(VLOOKUP(LEFT(B1308,2),'Humanitarian codes'!$A$2:$A$10,1,FALSE)=LEFT(B1308,2),"Yes","Error"),"No")</f>
        <v>Yes</v>
      </c>
    </row>
    <row r="1309" spans="1:13" x14ac:dyDescent="0.25">
      <c r="A1309">
        <v>2022</v>
      </c>
      <c r="B1309" t="s">
        <v>5759</v>
      </c>
      <c r="C1309" t="s">
        <v>5760</v>
      </c>
      <c r="D1309" t="s">
        <v>512</v>
      </c>
      <c r="E1309" t="s">
        <v>1453</v>
      </c>
      <c r="F1309">
        <v>4500219371</v>
      </c>
      <c r="G1309" t="s">
        <v>5763</v>
      </c>
      <c r="H1309" t="s">
        <v>3334</v>
      </c>
      <c r="I1309" t="s">
        <v>771</v>
      </c>
      <c r="J1309" t="s">
        <v>1453</v>
      </c>
      <c r="K1309" s="2">
        <v>104135</v>
      </c>
      <c r="L1309" s="2">
        <v>104135</v>
      </c>
      <c r="M1309" t="str">
        <f>IFERROR(IF(VLOOKUP(LEFT(B1309,2),'Humanitarian codes'!$A$2:$A$10,1,FALSE)=LEFT(B1309,2),"Yes","Error"),"No")</f>
        <v>Yes</v>
      </c>
    </row>
    <row r="1310" spans="1:13" x14ac:dyDescent="0.25">
      <c r="A1310">
        <v>2022</v>
      </c>
      <c r="B1310" t="s">
        <v>5759</v>
      </c>
      <c r="C1310" t="s">
        <v>5760</v>
      </c>
      <c r="D1310" t="s">
        <v>512</v>
      </c>
      <c r="E1310" t="s">
        <v>1453</v>
      </c>
      <c r="F1310">
        <v>4500224897</v>
      </c>
      <c r="G1310" t="s">
        <v>5764</v>
      </c>
      <c r="H1310" t="s">
        <v>3334</v>
      </c>
      <c r="I1310" t="s">
        <v>5765</v>
      </c>
      <c r="J1310" t="s">
        <v>1453</v>
      </c>
      <c r="K1310" s="2">
        <v>128400</v>
      </c>
      <c r="L1310" s="2">
        <v>128400</v>
      </c>
      <c r="M1310" t="str">
        <f>IFERROR(IF(VLOOKUP(LEFT(B1310,2),'Humanitarian codes'!$A$2:$A$10,1,FALSE)=LEFT(B1310,2),"Yes","Error"),"No")</f>
        <v>Yes</v>
      </c>
    </row>
    <row r="1311" spans="1:13" x14ac:dyDescent="0.25">
      <c r="A1311">
        <v>2022</v>
      </c>
      <c r="B1311" t="s">
        <v>5766</v>
      </c>
      <c r="C1311" t="s">
        <v>5767</v>
      </c>
      <c r="D1311" t="s">
        <v>512</v>
      </c>
      <c r="E1311" t="s">
        <v>909</v>
      </c>
      <c r="F1311">
        <v>4500232718</v>
      </c>
      <c r="G1311" t="s">
        <v>5768</v>
      </c>
      <c r="H1311" t="s">
        <v>3334</v>
      </c>
      <c r="I1311" t="s">
        <v>2700</v>
      </c>
      <c r="J1311" t="s">
        <v>909</v>
      </c>
      <c r="K1311" s="2">
        <v>15693</v>
      </c>
      <c r="L1311" s="2">
        <v>15693</v>
      </c>
      <c r="M1311" t="str">
        <f>IFERROR(IF(VLOOKUP(LEFT(B1311,2),'Humanitarian codes'!$A$2:$A$10,1,FALSE)=LEFT(B1311,2),"Yes","Error"),"No")</f>
        <v>Yes</v>
      </c>
    </row>
    <row r="1312" spans="1:13" x14ac:dyDescent="0.25">
      <c r="A1312">
        <v>2022</v>
      </c>
      <c r="B1312" t="s">
        <v>5766</v>
      </c>
      <c r="C1312" t="s">
        <v>5767</v>
      </c>
      <c r="D1312" t="s">
        <v>512</v>
      </c>
      <c r="E1312" t="s">
        <v>909</v>
      </c>
      <c r="F1312">
        <v>4500240114</v>
      </c>
      <c r="G1312" t="s">
        <v>5769</v>
      </c>
      <c r="H1312" t="s">
        <v>3334</v>
      </c>
      <c r="I1312" t="s">
        <v>2700</v>
      </c>
      <c r="J1312" t="s">
        <v>909</v>
      </c>
      <c r="K1312" s="2">
        <v>23019</v>
      </c>
      <c r="L1312" s="2">
        <v>23019</v>
      </c>
      <c r="M1312" t="str">
        <f>IFERROR(IF(VLOOKUP(LEFT(B1312,2),'Humanitarian codes'!$A$2:$A$10,1,FALSE)=LEFT(B1312,2),"Yes","Error"),"No")</f>
        <v>Yes</v>
      </c>
    </row>
    <row r="1313" spans="1:13" x14ac:dyDescent="0.25">
      <c r="A1313">
        <v>2022</v>
      </c>
      <c r="B1313" t="s">
        <v>5766</v>
      </c>
      <c r="C1313" t="s">
        <v>5767</v>
      </c>
      <c r="D1313" t="s">
        <v>512</v>
      </c>
      <c r="E1313" t="s">
        <v>909</v>
      </c>
      <c r="F1313">
        <v>4500250559</v>
      </c>
      <c r="G1313" t="s">
        <v>5770</v>
      </c>
      <c r="H1313" t="s">
        <v>3334</v>
      </c>
      <c r="I1313" t="s">
        <v>2700</v>
      </c>
      <c r="J1313" t="s">
        <v>909</v>
      </c>
      <c r="K1313" s="2">
        <v>30724</v>
      </c>
      <c r="L1313" s="2">
        <v>30724</v>
      </c>
      <c r="M1313" t="str">
        <f>IFERROR(IF(VLOOKUP(LEFT(B1313,2),'Humanitarian codes'!$A$2:$A$10,1,FALSE)=LEFT(B1313,2),"Yes","Error"),"No")</f>
        <v>Yes</v>
      </c>
    </row>
    <row r="1314" spans="1:13" x14ac:dyDescent="0.25">
      <c r="A1314">
        <v>2022</v>
      </c>
      <c r="B1314" t="s">
        <v>5766</v>
      </c>
      <c r="C1314" t="s">
        <v>5767</v>
      </c>
      <c r="D1314" t="s">
        <v>512</v>
      </c>
      <c r="E1314" t="s">
        <v>909</v>
      </c>
      <c r="F1314">
        <v>4500252865</v>
      </c>
      <c r="G1314" t="s">
        <v>5771</v>
      </c>
      <c r="H1314" t="s">
        <v>3334</v>
      </c>
      <c r="I1314" t="s">
        <v>2700</v>
      </c>
      <c r="J1314" t="s">
        <v>909</v>
      </c>
      <c r="K1314" s="2">
        <v>30724</v>
      </c>
      <c r="L1314" s="2">
        <v>30724</v>
      </c>
      <c r="M1314" t="str">
        <f>IFERROR(IF(VLOOKUP(LEFT(B1314,2),'Humanitarian codes'!$A$2:$A$10,1,FALSE)=LEFT(B1314,2),"Yes","Error"),"No")</f>
        <v>Yes</v>
      </c>
    </row>
    <row r="1315" spans="1:13" x14ac:dyDescent="0.25">
      <c r="A1315">
        <v>2022</v>
      </c>
      <c r="B1315" t="s">
        <v>5766</v>
      </c>
      <c r="C1315" t="s">
        <v>5767</v>
      </c>
      <c r="D1315" t="s">
        <v>512</v>
      </c>
      <c r="E1315" t="s">
        <v>909</v>
      </c>
      <c r="F1315">
        <v>4500264154</v>
      </c>
      <c r="G1315" t="s">
        <v>5772</v>
      </c>
      <c r="H1315" t="s">
        <v>3334</v>
      </c>
      <c r="I1315" t="s">
        <v>2700</v>
      </c>
      <c r="J1315" t="s">
        <v>909</v>
      </c>
      <c r="K1315">
        <v>236</v>
      </c>
      <c r="L1315">
        <v>236</v>
      </c>
      <c r="M1315" t="str">
        <f>IFERROR(IF(VLOOKUP(LEFT(B1315,2),'Humanitarian codes'!$A$2:$A$10,1,FALSE)=LEFT(B1315,2),"Yes","Error"),"No")</f>
        <v>Yes</v>
      </c>
    </row>
    <row r="1316" spans="1:13" x14ac:dyDescent="0.25">
      <c r="A1316">
        <v>2022</v>
      </c>
      <c r="B1316" t="s">
        <v>5766</v>
      </c>
      <c r="C1316" t="s">
        <v>5767</v>
      </c>
      <c r="D1316" t="s">
        <v>512</v>
      </c>
      <c r="E1316" t="s">
        <v>909</v>
      </c>
      <c r="F1316">
        <v>4500266908</v>
      </c>
      <c r="G1316" t="s">
        <v>5773</v>
      </c>
      <c r="H1316" t="s">
        <v>3334</v>
      </c>
      <c r="I1316" t="s">
        <v>2700</v>
      </c>
      <c r="J1316" t="s">
        <v>909</v>
      </c>
      <c r="K1316" s="2">
        <v>3613</v>
      </c>
      <c r="L1316" s="2">
        <v>3613</v>
      </c>
      <c r="M1316" t="str">
        <f>IFERROR(IF(VLOOKUP(LEFT(B1316,2),'Humanitarian codes'!$A$2:$A$10,1,FALSE)=LEFT(B1316,2),"Yes","Error"),"No")</f>
        <v>Yes</v>
      </c>
    </row>
    <row r="1317" spans="1:13" x14ac:dyDescent="0.25">
      <c r="A1317">
        <v>2022</v>
      </c>
      <c r="B1317" t="s">
        <v>5774</v>
      </c>
      <c r="C1317" t="s">
        <v>5775</v>
      </c>
      <c r="D1317" t="s">
        <v>512</v>
      </c>
      <c r="E1317" t="s">
        <v>940</v>
      </c>
      <c r="F1317">
        <v>4500244315</v>
      </c>
      <c r="G1317" t="s">
        <v>5776</v>
      </c>
      <c r="H1317" t="s">
        <v>3334</v>
      </c>
      <c r="I1317" t="s">
        <v>5777</v>
      </c>
      <c r="J1317" t="s">
        <v>940</v>
      </c>
      <c r="K1317" s="2">
        <v>25896</v>
      </c>
      <c r="L1317" s="2">
        <v>25896</v>
      </c>
      <c r="M1317" t="str">
        <f>IFERROR(IF(VLOOKUP(LEFT(B1317,2),'Humanitarian codes'!$A$2:$A$10,1,FALSE)=LEFT(B1317,2),"Yes","Error"),"No")</f>
        <v>Yes</v>
      </c>
    </row>
    <row r="1318" spans="1:13" x14ac:dyDescent="0.25">
      <c r="A1318">
        <v>2022</v>
      </c>
      <c r="B1318" t="s">
        <v>5778</v>
      </c>
      <c r="C1318" t="s">
        <v>5779</v>
      </c>
      <c r="D1318" t="s">
        <v>543</v>
      </c>
      <c r="E1318" t="s">
        <v>20</v>
      </c>
      <c r="F1318">
        <v>4500237988</v>
      </c>
      <c r="G1318" t="s">
        <v>5780</v>
      </c>
      <c r="H1318" t="s">
        <v>3334</v>
      </c>
      <c r="I1318" t="s">
        <v>2514</v>
      </c>
      <c r="J1318" t="s">
        <v>20</v>
      </c>
      <c r="K1318" s="2">
        <v>72246</v>
      </c>
      <c r="L1318" s="2">
        <v>72246</v>
      </c>
      <c r="M1318" t="str">
        <f>IFERROR(IF(VLOOKUP(LEFT(B1318,2),'Humanitarian codes'!$A$2:$A$10,1,FALSE)=LEFT(B1318,2),"Yes","Error"),"No")</f>
        <v>No</v>
      </c>
    </row>
    <row r="1319" spans="1:13" x14ac:dyDescent="0.25">
      <c r="A1319">
        <v>2022</v>
      </c>
      <c r="B1319" t="s">
        <v>3135</v>
      </c>
      <c r="C1319" t="s">
        <v>5781</v>
      </c>
      <c r="D1319" t="s">
        <v>543</v>
      </c>
      <c r="E1319" t="s">
        <v>1128</v>
      </c>
      <c r="F1319">
        <v>4500233583</v>
      </c>
      <c r="G1319" t="s">
        <v>5782</v>
      </c>
      <c r="H1319" t="s">
        <v>3334</v>
      </c>
      <c r="I1319" t="s">
        <v>3138</v>
      </c>
      <c r="J1319" t="s">
        <v>1128</v>
      </c>
      <c r="K1319" s="2">
        <v>35725</v>
      </c>
      <c r="L1319" s="2">
        <v>35725</v>
      </c>
      <c r="M1319" t="str">
        <f>IFERROR(IF(VLOOKUP(LEFT(B1319,2),'Humanitarian codes'!$A$2:$A$10,1,FALSE)=LEFT(B1319,2),"Yes","Error"),"No")</f>
        <v>No</v>
      </c>
    </row>
    <row r="1320" spans="1:13" x14ac:dyDescent="0.25">
      <c r="A1320">
        <v>2022</v>
      </c>
      <c r="B1320" t="s">
        <v>3139</v>
      </c>
      <c r="C1320" t="s">
        <v>5783</v>
      </c>
      <c r="D1320" t="s">
        <v>543</v>
      </c>
      <c r="E1320" t="s">
        <v>1395</v>
      </c>
      <c r="F1320">
        <v>4500190461</v>
      </c>
      <c r="G1320" t="s">
        <v>5784</v>
      </c>
      <c r="H1320" t="s">
        <v>3334</v>
      </c>
      <c r="I1320" t="s">
        <v>1837</v>
      </c>
      <c r="J1320" t="s">
        <v>1395</v>
      </c>
      <c r="K1320" s="2">
        <v>97746</v>
      </c>
      <c r="L1320" s="2">
        <v>97746</v>
      </c>
      <c r="M1320" t="str">
        <f>IFERROR(IF(VLOOKUP(LEFT(B1320,2),'Humanitarian codes'!$A$2:$A$10,1,FALSE)=LEFT(B1320,2),"Yes","Error"),"No")</f>
        <v>No</v>
      </c>
    </row>
    <row r="1321" spans="1:13" x14ac:dyDescent="0.25">
      <c r="A1321">
        <v>2022</v>
      </c>
      <c r="B1321" t="s">
        <v>5785</v>
      </c>
      <c r="C1321" t="s">
        <v>5786</v>
      </c>
      <c r="D1321" t="s">
        <v>9</v>
      </c>
      <c r="E1321" t="s">
        <v>16</v>
      </c>
      <c r="F1321">
        <v>4500261849</v>
      </c>
      <c r="G1321" t="s">
        <v>3957</v>
      </c>
      <c r="H1321" t="s">
        <v>3334</v>
      </c>
      <c r="I1321" t="s">
        <v>3958</v>
      </c>
      <c r="J1321" t="s">
        <v>16</v>
      </c>
      <c r="K1321" s="2">
        <v>8463</v>
      </c>
      <c r="L1321" s="2">
        <v>211572</v>
      </c>
      <c r="M1321" t="str">
        <f>IFERROR(IF(VLOOKUP(LEFT(B1321,2),'Humanitarian codes'!$A$2:$A$10,1,FALSE)=LEFT(B1321,2),"Yes","Error"),"No")</f>
        <v>No</v>
      </c>
    </row>
    <row r="1322" spans="1:13" x14ac:dyDescent="0.25">
      <c r="A1322">
        <v>2022</v>
      </c>
      <c r="B1322" t="s">
        <v>5787</v>
      </c>
      <c r="C1322" t="s">
        <v>5788</v>
      </c>
      <c r="D1322" t="s">
        <v>9</v>
      </c>
      <c r="E1322" t="s">
        <v>1454</v>
      </c>
      <c r="F1322">
        <v>4500218389</v>
      </c>
      <c r="G1322" t="s">
        <v>5789</v>
      </c>
      <c r="H1322" t="s">
        <v>3334</v>
      </c>
      <c r="I1322" t="s">
        <v>5790</v>
      </c>
      <c r="J1322" t="s">
        <v>1454</v>
      </c>
      <c r="K1322" s="2">
        <v>58772</v>
      </c>
      <c r="L1322" s="2">
        <v>58772</v>
      </c>
      <c r="M1322" t="str">
        <f>IFERROR(IF(VLOOKUP(LEFT(B1322,2),'Humanitarian codes'!$A$2:$A$10,1,FALSE)=LEFT(B1322,2),"Yes","Error"),"No")</f>
        <v>No</v>
      </c>
    </row>
    <row r="1323" spans="1:13" x14ac:dyDescent="0.25">
      <c r="A1323">
        <v>2022</v>
      </c>
      <c r="B1323" t="s">
        <v>5791</v>
      </c>
      <c r="C1323" t="s">
        <v>5792</v>
      </c>
      <c r="D1323" t="s">
        <v>9</v>
      </c>
      <c r="E1323" t="s">
        <v>155</v>
      </c>
      <c r="F1323">
        <v>4500224334</v>
      </c>
      <c r="G1323" t="s">
        <v>5793</v>
      </c>
      <c r="H1323" t="s">
        <v>3334</v>
      </c>
      <c r="I1323" t="s">
        <v>5794</v>
      </c>
      <c r="J1323" t="s">
        <v>155</v>
      </c>
      <c r="K1323" s="2">
        <v>81707</v>
      </c>
      <c r="L1323" s="2">
        <v>81707</v>
      </c>
      <c r="M1323" t="str">
        <f>IFERROR(IF(VLOOKUP(LEFT(B1323,2),'Humanitarian codes'!$A$2:$A$10,1,FALSE)=LEFT(B1323,2),"Yes","Error"),"No")</f>
        <v>No</v>
      </c>
    </row>
    <row r="1324" spans="1:13" x14ac:dyDescent="0.25">
      <c r="A1324">
        <v>2022</v>
      </c>
      <c r="B1324" t="s">
        <v>5791</v>
      </c>
      <c r="C1324" t="s">
        <v>5792</v>
      </c>
      <c r="D1324" t="s">
        <v>9</v>
      </c>
      <c r="E1324" t="s">
        <v>155</v>
      </c>
      <c r="F1324">
        <v>4500224338</v>
      </c>
      <c r="G1324" t="s">
        <v>5793</v>
      </c>
      <c r="H1324" t="s">
        <v>3334</v>
      </c>
      <c r="I1324" t="s">
        <v>5794</v>
      </c>
      <c r="J1324" t="s">
        <v>155</v>
      </c>
      <c r="K1324" s="2">
        <v>81506</v>
      </c>
      <c r="L1324" s="2">
        <v>81506</v>
      </c>
      <c r="M1324" t="str">
        <f>IFERROR(IF(VLOOKUP(LEFT(B1324,2),'Humanitarian codes'!$A$2:$A$10,1,FALSE)=LEFT(B1324,2),"Yes","Error"),"No")</f>
        <v>No</v>
      </c>
    </row>
    <row r="1325" spans="1:13" x14ac:dyDescent="0.25">
      <c r="A1325">
        <v>2022</v>
      </c>
      <c r="B1325" t="s">
        <v>5795</v>
      </c>
      <c r="C1325" t="s">
        <v>5796</v>
      </c>
      <c r="D1325" t="s">
        <v>9</v>
      </c>
      <c r="E1325" t="s">
        <v>594</v>
      </c>
      <c r="F1325">
        <v>4500256397</v>
      </c>
      <c r="G1325" t="s">
        <v>5797</v>
      </c>
      <c r="H1325" t="s">
        <v>3334</v>
      </c>
      <c r="I1325" t="s">
        <v>2601</v>
      </c>
      <c r="J1325" t="s">
        <v>594</v>
      </c>
      <c r="K1325" s="2">
        <v>24182</v>
      </c>
      <c r="L1325" s="2">
        <v>24182</v>
      </c>
      <c r="M1325" t="str">
        <f>IFERROR(IF(VLOOKUP(LEFT(B1325,2),'Humanitarian codes'!$A$2:$A$10,1,FALSE)=LEFT(B1325,2),"Yes","Error"),"No")</f>
        <v>No</v>
      </c>
    </row>
    <row r="1326" spans="1:13" x14ac:dyDescent="0.25">
      <c r="A1326">
        <v>2022</v>
      </c>
      <c r="B1326" t="s">
        <v>5798</v>
      </c>
      <c r="C1326" t="s">
        <v>5799</v>
      </c>
      <c r="D1326" t="s">
        <v>30</v>
      </c>
      <c r="E1326" t="s">
        <v>261</v>
      </c>
      <c r="F1326">
        <v>4500207115</v>
      </c>
      <c r="G1326" t="s">
        <v>5800</v>
      </c>
      <c r="H1326" t="s">
        <v>3334</v>
      </c>
      <c r="I1326" t="s">
        <v>5801</v>
      </c>
      <c r="J1326" t="s">
        <v>261</v>
      </c>
      <c r="K1326" s="2">
        <v>26717</v>
      </c>
      <c r="L1326" s="2">
        <v>26717</v>
      </c>
      <c r="M1326" t="str">
        <f>IFERROR(IF(VLOOKUP(LEFT(B1326,2),'Humanitarian codes'!$A$2:$A$10,1,FALSE)=LEFT(B1326,2),"Yes","Error"),"No")</f>
        <v>No</v>
      </c>
    </row>
    <row r="1327" spans="1:13" x14ac:dyDescent="0.25">
      <c r="A1327">
        <v>2022</v>
      </c>
      <c r="B1327" t="s">
        <v>5798</v>
      </c>
      <c r="C1327" t="s">
        <v>5799</v>
      </c>
      <c r="D1327" t="s">
        <v>30</v>
      </c>
      <c r="E1327" t="s">
        <v>261</v>
      </c>
      <c r="F1327">
        <v>4500207925</v>
      </c>
      <c r="G1327" t="s">
        <v>5802</v>
      </c>
      <c r="H1327" t="s">
        <v>3334</v>
      </c>
      <c r="I1327" t="s">
        <v>5803</v>
      </c>
      <c r="J1327" t="s">
        <v>261</v>
      </c>
      <c r="K1327" s="2">
        <v>2672</v>
      </c>
      <c r="L1327" s="2">
        <v>2672</v>
      </c>
      <c r="M1327" t="str">
        <f>IFERROR(IF(VLOOKUP(LEFT(B1327,2),'Humanitarian codes'!$A$2:$A$10,1,FALSE)=LEFT(B1327,2),"Yes","Error"),"No")</f>
        <v>No</v>
      </c>
    </row>
    <row r="1328" spans="1:13" x14ac:dyDescent="0.25">
      <c r="A1328">
        <v>2022</v>
      </c>
      <c r="B1328" t="s">
        <v>5798</v>
      </c>
      <c r="C1328" t="s">
        <v>5799</v>
      </c>
      <c r="D1328" t="s">
        <v>30</v>
      </c>
      <c r="E1328" t="s">
        <v>261</v>
      </c>
      <c r="F1328">
        <v>4500239949</v>
      </c>
      <c r="G1328" t="s">
        <v>5804</v>
      </c>
      <c r="H1328" t="s">
        <v>3334</v>
      </c>
      <c r="I1328" t="s">
        <v>5805</v>
      </c>
      <c r="J1328" t="s">
        <v>261</v>
      </c>
      <c r="K1328" s="2">
        <v>57052</v>
      </c>
      <c r="L1328" s="2">
        <v>57052</v>
      </c>
      <c r="M1328" t="str">
        <f>IFERROR(IF(VLOOKUP(LEFT(B1328,2),'Humanitarian codes'!$A$2:$A$10,1,FALSE)=LEFT(B1328,2),"Yes","Error"),"No")</f>
        <v>No</v>
      </c>
    </row>
    <row r="1329" spans="1:13" x14ac:dyDescent="0.25">
      <c r="A1329">
        <v>2022</v>
      </c>
      <c r="B1329" t="s">
        <v>3701</v>
      </c>
      <c r="C1329" t="s">
        <v>5806</v>
      </c>
      <c r="D1329" t="s">
        <v>30</v>
      </c>
      <c r="E1329" t="s">
        <v>1128</v>
      </c>
      <c r="F1329">
        <v>4500275773</v>
      </c>
      <c r="G1329" t="s">
        <v>5807</v>
      </c>
      <c r="H1329" t="s">
        <v>3334</v>
      </c>
      <c r="I1329" t="s">
        <v>5808</v>
      </c>
      <c r="J1329" t="s">
        <v>1128</v>
      </c>
      <c r="K1329" s="2">
        <v>174926</v>
      </c>
      <c r="L1329" s="2">
        <v>174926</v>
      </c>
      <c r="M1329" t="str">
        <f>IFERROR(IF(VLOOKUP(LEFT(B1329,2),'Humanitarian codes'!$A$2:$A$10,1,FALSE)=LEFT(B1329,2),"Yes","Error"),"No")</f>
        <v>No</v>
      </c>
    </row>
    <row r="1330" spans="1:13" x14ac:dyDescent="0.25">
      <c r="A1330">
        <v>2022</v>
      </c>
      <c r="B1330" t="s">
        <v>5809</v>
      </c>
      <c r="C1330" t="s">
        <v>5810</v>
      </c>
      <c r="D1330" t="s">
        <v>30</v>
      </c>
      <c r="E1330" t="s">
        <v>261</v>
      </c>
      <c r="F1330">
        <v>4500250592</v>
      </c>
      <c r="G1330" t="s">
        <v>5811</v>
      </c>
      <c r="H1330" t="s">
        <v>3334</v>
      </c>
      <c r="I1330" t="s">
        <v>5812</v>
      </c>
      <c r="J1330" t="s">
        <v>261</v>
      </c>
      <c r="K1330" s="2">
        <v>228584</v>
      </c>
      <c r="L1330" s="2">
        <v>228584</v>
      </c>
      <c r="M1330" t="str">
        <f>IFERROR(IF(VLOOKUP(LEFT(B1330,2),'Humanitarian codes'!$A$2:$A$10,1,FALSE)=LEFT(B1330,2),"Yes","Error"),"No")</f>
        <v>No</v>
      </c>
    </row>
    <row r="1331" spans="1:13" x14ac:dyDescent="0.25">
      <c r="A1331">
        <v>2022</v>
      </c>
      <c r="B1331" t="s">
        <v>2595</v>
      </c>
      <c r="C1331" t="s">
        <v>2596</v>
      </c>
      <c r="D1331" t="s">
        <v>30</v>
      </c>
      <c r="E1331" t="s">
        <v>257</v>
      </c>
      <c r="F1331">
        <v>4500211571</v>
      </c>
      <c r="G1331" t="s">
        <v>5813</v>
      </c>
      <c r="H1331" t="s">
        <v>3334</v>
      </c>
      <c r="I1331" t="s">
        <v>5814</v>
      </c>
      <c r="J1331" t="s">
        <v>257</v>
      </c>
      <c r="K1331" s="2">
        <v>9080</v>
      </c>
      <c r="L1331" s="2">
        <v>9080</v>
      </c>
      <c r="M1331" t="str">
        <f>IFERROR(IF(VLOOKUP(LEFT(B1331,2),'Humanitarian codes'!$A$2:$A$10,1,FALSE)=LEFT(B1331,2),"Yes","Error"),"No")</f>
        <v>No</v>
      </c>
    </row>
    <row r="1332" spans="1:13" x14ac:dyDescent="0.25">
      <c r="A1332">
        <v>2022</v>
      </c>
      <c r="B1332" t="s">
        <v>2595</v>
      </c>
      <c r="C1332" t="s">
        <v>2596</v>
      </c>
      <c r="D1332" t="s">
        <v>30</v>
      </c>
      <c r="E1332" t="s">
        <v>257</v>
      </c>
      <c r="F1332">
        <v>4500261126</v>
      </c>
      <c r="G1332" t="s">
        <v>5815</v>
      </c>
      <c r="H1332" t="s">
        <v>3334</v>
      </c>
      <c r="I1332" t="s">
        <v>1672</v>
      </c>
      <c r="J1332" t="s">
        <v>257</v>
      </c>
      <c r="K1332" s="2">
        <v>58365</v>
      </c>
      <c r="L1332" s="2">
        <v>58365</v>
      </c>
      <c r="M1332" t="str">
        <f>IFERROR(IF(VLOOKUP(LEFT(B1332,2),'Humanitarian codes'!$A$2:$A$10,1,FALSE)=LEFT(B1332,2),"Yes","Error"),"No")</f>
        <v>No</v>
      </c>
    </row>
    <row r="1333" spans="1:13" x14ac:dyDescent="0.25">
      <c r="A1333">
        <v>2022</v>
      </c>
      <c r="B1333" t="s">
        <v>2595</v>
      </c>
      <c r="C1333" t="s">
        <v>2596</v>
      </c>
      <c r="D1333" t="s">
        <v>30</v>
      </c>
      <c r="E1333" t="s">
        <v>257</v>
      </c>
      <c r="F1333">
        <v>4500261128</v>
      </c>
      <c r="G1333" t="s">
        <v>5816</v>
      </c>
      <c r="H1333" t="s">
        <v>3334</v>
      </c>
      <c r="I1333" t="s">
        <v>2338</v>
      </c>
      <c r="J1333" t="s">
        <v>257</v>
      </c>
      <c r="K1333" s="2">
        <v>51066</v>
      </c>
      <c r="L1333" s="2">
        <v>51066</v>
      </c>
      <c r="M1333" t="str">
        <f>IFERROR(IF(VLOOKUP(LEFT(B1333,2),'Humanitarian codes'!$A$2:$A$10,1,FALSE)=LEFT(B1333,2),"Yes","Error"),"No")</f>
        <v>No</v>
      </c>
    </row>
    <row r="1334" spans="1:13" x14ac:dyDescent="0.25">
      <c r="A1334">
        <v>2022</v>
      </c>
      <c r="B1334" t="s">
        <v>2595</v>
      </c>
      <c r="C1334" t="s">
        <v>2596</v>
      </c>
      <c r="D1334" t="s">
        <v>30</v>
      </c>
      <c r="E1334" t="s">
        <v>257</v>
      </c>
      <c r="F1334">
        <v>4500268726</v>
      </c>
      <c r="G1334" t="s">
        <v>5817</v>
      </c>
      <c r="H1334" t="s">
        <v>3334</v>
      </c>
      <c r="I1334" t="s">
        <v>1672</v>
      </c>
      <c r="J1334" t="s">
        <v>257</v>
      </c>
      <c r="K1334" s="2">
        <v>142019</v>
      </c>
      <c r="L1334" s="2">
        <v>142019</v>
      </c>
      <c r="M1334" t="str">
        <f>IFERROR(IF(VLOOKUP(LEFT(B1334,2),'Humanitarian codes'!$A$2:$A$10,1,FALSE)=LEFT(B1334,2),"Yes","Error"),"No")</f>
        <v>No</v>
      </c>
    </row>
    <row r="1335" spans="1:13" x14ac:dyDescent="0.25">
      <c r="A1335">
        <v>2022</v>
      </c>
      <c r="B1335" t="s">
        <v>2595</v>
      </c>
      <c r="C1335" t="s">
        <v>2596</v>
      </c>
      <c r="D1335" t="s">
        <v>30</v>
      </c>
      <c r="E1335" t="s">
        <v>257</v>
      </c>
      <c r="F1335">
        <v>4500270318</v>
      </c>
      <c r="G1335" t="s">
        <v>5818</v>
      </c>
      <c r="H1335" t="s">
        <v>3334</v>
      </c>
      <c r="I1335" t="s">
        <v>5819</v>
      </c>
      <c r="J1335" t="s">
        <v>257</v>
      </c>
      <c r="K1335" s="2">
        <v>104059</v>
      </c>
      <c r="L1335" s="2">
        <v>104059</v>
      </c>
      <c r="M1335" t="str">
        <f>IFERROR(IF(VLOOKUP(LEFT(B1335,2),'Humanitarian codes'!$A$2:$A$10,1,FALSE)=LEFT(B1335,2),"Yes","Error"),"No")</f>
        <v>No</v>
      </c>
    </row>
    <row r="1336" spans="1:13" x14ac:dyDescent="0.25">
      <c r="A1336">
        <v>2022</v>
      </c>
      <c r="B1336" t="s">
        <v>3706</v>
      </c>
      <c r="C1336" t="s">
        <v>3707</v>
      </c>
      <c r="D1336" t="s">
        <v>30</v>
      </c>
      <c r="E1336" t="s">
        <v>261</v>
      </c>
      <c r="F1336">
        <v>4500268159</v>
      </c>
      <c r="G1336" t="s">
        <v>5820</v>
      </c>
      <c r="H1336" t="s">
        <v>3334</v>
      </c>
      <c r="I1336" t="s">
        <v>5821</v>
      </c>
      <c r="J1336" t="s">
        <v>261</v>
      </c>
      <c r="K1336" s="2">
        <v>196530</v>
      </c>
      <c r="L1336" s="2">
        <v>196530</v>
      </c>
      <c r="M1336" t="str">
        <f>IFERROR(IF(VLOOKUP(LEFT(B1336,2),'Humanitarian codes'!$A$2:$A$10,1,FALSE)=LEFT(B1336,2),"Yes","Error"),"No")</f>
        <v>No</v>
      </c>
    </row>
    <row r="1337" spans="1:13" x14ac:dyDescent="0.25">
      <c r="A1337">
        <v>2022</v>
      </c>
      <c r="B1337" t="s">
        <v>5822</v>
      </c>
      <c r="C1337" t="s">
        <v>5823</v>
      </c>
      <c r="D1337" t="s">
        <v>30</v>
      </c>
      <c r="E1337" t="s">
        <v>132</v>
      </c>
      <c r="F1337">
        <v>4500202233</v>
      </c>
      <c r="G1337" t="s">
        <v>5824</v>
      </c>
      <c r="H1337" t="s">
        <v>3334</v>
      </c>
      <c r="I1337" t="s">
        <v>3719</v>
      </c>
      <c r="J1337" t="s">
        <v>509</v>
      </c>
      <c r="K1337" s="2">
        <v>317263</v>
      </c>
      <c r="L1337" s="2">
        <v>317263</v>
      </c>
      <c r="M1337" t="str">
        <f>IFERROR(IF(VLOOKUP(LEFT(B1337,2),'Humanitarian codes'!$A$2:$A$10,1,FALSE)=LEFT(B1337,2),"Yes","Error"),"No")</f>
        <v>No</v>
      </c>
    </row>
    <row r="1338" spans="1:13" x14ac:dyDescent="0.25">
      <c r="A1338">
        <v>2022</v>
      </c>
      <c r="B1338" t="s">
        <v>5825</v>
      </c>
      <c r="C1338" t="s">
        <v>5826</v>
      </c>
      <c r="D1338" t="s">
        <v>30</v>
      </c>
      <c r="E1338" t="s">
        <v>594</v>
      </c>
      <c r="F1338">
        <v>4500193824</v>
      </c>
      <c r="G1338" t="s">
        <v>5827</v>
      </c>
      <c r="H1338" t="s">
        <v>3334</v>
      </c>
      <c r="I1338" t="s">
        <v>2601</v>
      </c>
      <c r="J1338" t="s">
        <v>594</v>
      </c>
      <c r="K1338" s="2">
        <v>63128</v>
      </c>
      <c r="L1338" s="2">
        <v>63128</v>
      </c>
      <c r="M1338" t="str">
        <f>IFERROR(IF(VLOOKUP(LEFT(B1338,2),'Humanitarian codes'!$A$2:$A$10,1,FALSE)=LEFT(B1338,2),"Yes","Error"),"No")</f>
        <v>No</v>
      </c>
    </row>
    <row r="1339" spans="1:13" x14ac:dyDescent="0.25">
      <c r="A1339">
        <v>2022</v>
      </c>
      <c r="B1339" t="s">
        <v>5825</v>
      </c>
      <c r="C1339" t="s">
        <v>5826</v>
      </c>
      <c r="D1339" t="s">
        <v>30</v>
      </c>
      <c r="E1339" t="s">
        <v>594</v>
      </c>
      <c r="F1339">
        <v>4500209528</v>
      </c>
      <c r="G1339" t="s">
        <v>5828</v>
      </c>
      <c r="H1339" t="s">
        <v>3334</v>
      </c>
      <c r="I1339" t="s">
        <v>5829</v>
      </c>
      <c r="J1339" t="s">
        <v>594</v>
      </c>
      <c r="K1339" s="2">
        <v>27256</v>
      </c>
      <c r="L1339" s="2">
        <v>27256</v>
      </c>
      <c r="M1339" t="str">
        <f>IFERROR(IF(VLOOKUP(LEFT(B1339,2),'Humanitarian codes'!$A$2:$A$10,1,FALSE)=LEFT(B1339,2),"Yes","Error"),"No")</f>
        <v>No</v>
      </c>
    </row>
    <row r="1340" spans="1:13" x14ac:dyDescent="0.25">
      <c r="A1340">
        <v>2022</v>
      </c>
      <c r="B1340" t="s">
        <v>5825</v>
      </c>
      <c r="C1340" t="s">
        <v>5826</v>
      </c>
      <c r="D1340" t="s">
        <v>30</v>
      </c>
      <c r="E1340" t="s">
        <v>594</v>
      </c>
      <c r="F1340">
        <v>4500209530</v>
      </c>
      <c r="G1340" t="s">
        <v>5830</v>
      </c>
      <c r="H1340" t="s">
        <v>3334</v>
      </c>
      <c r="I1340" t="s">
        <v>5831</v>
      </c>
      <c r="J1340" t="s">
        <v>594</v>
      </c>
      <c r="K1340" s="2">
        <v>1538</v>
      </c>
      <c r="L1340" s="2">
        <v>1538</v>
      </c>
      <c r="M1340" t="str">
        <f>IFERROR(IF(VLOOKUP(LEFT(B1340,2),'Humanitarian codes'!$A$2:$A$10,1,FALSE)=LEFT(B1340,2),"Yes","Error"),"No")</f>
        <v>No</v>
      </c>
    </row>
    <row r="1341" spans="1:13" x14ac:dyDescent="0.25">
      <c r="A1341">
        <v>2022</v>
      </c>
      <c r="B1341" t="s">
        <v>5825</v>
      </c>
      <c r="C1341" t="s">
        <v>5826</v>
      </c>
      <c r="D1341" t="s">
        <v>30</v>
      </c>
      <c r="E1341" t="s">
        <v>594</v>
      </c>
      <c r="F1341">
        <v>4500209531</v>
      </c>
      <c r="G1341" t="s">
        <v>5832</v>
      </c>
      <c r="H1341" t="s">
        <v>3334</v>
      </c>
      <c r="I1341" t="s">
        <v>5833</v>
      </c>
      <c r="J1341" t="s">
        <v>594</v>
      </c>
      <c r="K1341" s="2">
        <v>1538</v>
      </c>
      <c r="L1341" s="2">
        <v>1538</v>
      </c>
      <c r="M1341" t="str">
        <f>IFERROR(IF(VLOOKUP(LEFT(B1341,2),'Humanitarian codes'!$A$2:$A$10,1,FALSE)=LEFT(B1341,2),"Yes","Error"),"No")</f>
        <v>No</v>
      </c>
    </row>
    <row r="1342" spans="1:13" x14ac:dyDescent="0.25">
      <c r="A1342">
        <v>2022</v>
      </c>
      <c r="B1342" t="s">
        <v>5825</v>
      </c>
      <c r="C1342" t="s">
        <v>5826</v>
      </c>
      <c r="D1342" t="s">
        <v>30</v>
      </c>
      <c r="E1342" t="s">
        <v>594</v>
      </c>
      <c r="F1342">
        <v>4500209533</v>
      </c>
      <c r="G1342" t="s">
        <v>5834</v>
      </c>
      <c r="H1342" t="s">
        <v>3334</v>
      </c>
      <c r="I1342" t="s">
        <v>5835</v>
      </c>
      <c r="J1342" t="s">
        <v>594</v>
      </c>
      <c r="K1342" s="2">
        <v>1538</v>
      </c>
      <c r="L1342" s="2">
        <v>1538</v>
      </c>
      <c r="M1342" t="str">
        <f>IFERROR(IF(VLOOKUP(LEFT(B1342,2),'Humanitarian codes'!$A$2:$A$10,1,FALSE)=LEFT(B1342,2),"Yes","Error"),"No")</f>
        <v>No</v>
      </c>
    </row>
    <row r="1343" spans="1:13" x14ac:dyDescent="0.25">
      <c r="A1343">
        <v>2022</v>
      </c>
      <c r="B1343" t="s">
        <v>5825</v>
      </c>
      <c r="C1343" t="s">
        <v>5826</v>
      </c>
      <c r="D1343" t="s">
        <v>30</v>
      </c>
      <c r="E1343" t="s">
        <v>594</v>
      </c>
      <c r="F1343">
        <v>4500209535</v>
      </c>
      <c r="G1343" t="s">
        <v>5836</v>
      </c>
      <c r="H1343" t="s">
        <v>3334</v>
      </c>
      <c r="I1343" t="s">
        <v>5837</v>
      </c>
      <c r="J1343" t="s">
        <v>594</v>
      </c>
      <c r="K1343" s="2">
        <v>1538</v>
      </c>
      <c r="L1343" s="2">
        <v>1538</v>
      </c>
      <c r="M1343" t="str">
        <f>IFERROR(IF(VLOOKUP(LEFT(B1343,2),'Humanitarian codes'!$A$2:$A$10,1,FALSE)=LEFT(B1343,2),"Yes","Error"),"No")</f>
        <v>No</v>
      </c>
    </row>
    <row r="1344" spans="1:13" x14ac:dyDescent="0.25">
      <c r="A1344">
        <v>2022</v>
      </c>
      <c r="B1344" t="s">
        <v>5825</v>
      </c>
      <c r="C1344" t="s">
        <v>5826</v>
      </c>
      <c r="D1344" t="s">
        <v>30</v>
      </c>
      <c r="E1344" t="s">
        <v>594</v>
      </c>
      <c r="F1344">
        <v>4500209536</v>
      </c>
      <c r="G1344" t="s">
        <v>5838</v>
      </c>
      <c r="H1344" t="s">
        <v>3334</v>
      </c>
      <c r="I1344" t="s">
        <v>5839</v>
      </c>
      <c r="J1344" t="s">
        <v>594</v>
      </c>
      <c r="K1344" s="2">
        <v>1154</v>
      </c>
      <c r="L1344" s="2">
        <v>1154</v>
      </c>
      <c r="M1344" t="str">
        <f>IFERROR(IF(VLOOKUP(LEFT(B1344,2),'Humanitarian codes'!$A$2:$A$10,1,FALSE)=LEFT(B1344,2),"Yes","Error"),"No")</f>
        <v>No</v>
      </c>
    </row>
    <row r="1345" spans="1:13" x14ac:dyDescent="0.25">
      <c r="A1345">
        <v>2022</v>
      </c>
      <c r="B1345" t="s">
        <v>5825</v>
      </c>
      <c r="C1345" t="s">
        <v>5826</v>
      </c>
      <c r="D1345" t="s">
        <v>30</v>
      </c>
      <c r="E1345" t="s">
        <v>594</v>
      </c>
      <c r="F1345">
        <v>4500209537</v>
      </c>
      <c r="G1345" t="s">
        <v>5840</v>
      </c>
      <c r="H1345" t="s">
        <v>3334</v>
      </c>
      <c r="I1345" t="s">
        <v>5841</v>
      </c>
      <c r="J1345" t="s">
        <v>594</v>
      </c>
      <c r="K1345" s="2">
        <v>1154</v>
      </c>
      <c r="L1345" s="2">
        <v>1154</v>
      </c>
      <c r="M1345" t="str">
        <f>IFERROR(IF(VLOOKUP(LEFT(B1345,2),'Humanitarian codes'!$A$2:$A$10,1,FALSE)=LEFT(B1345,2),"Yes","Error"),"No")</f>
        <v>No</v>
      </c>
    </row>
    <row r="1346" spans="1:13" x14ac:dyDescent="0.25">
      <c r="A1346">
        <v>2022</v>
      </c>
      <c r="B1346" t="s">
        <v>5825</v>
      </c>
      <c r="C1346" t="s">
        <v>5826</v>
      </c>
      <c r="D1346" t="s">
        <v>30</v>
      </c>
      <c r="E1346" t="s">
        <v>594</v>
      </c>
      <c r="F1346">
        <v>4500209538</v>
      </c>
      <c r="G1346" t="s">
        <v>5842</v>
      </c>
      <c r="H1346" t="s">
        <v>3334</v>
      </c>
      <c r="I1346" t="s">
        <v>5843</v>
      </c>
      <c r="J1346" t="s">
        <v>594</v>
      </c>
      <c r="K1346">
        <v>769</v>
      </c>
      <c r="L1346">
        <v>769</v>
      </c>
      <c r="M1346" t="str">
        <f>IFERROR(IF(VLOOKUP(LEFT(B1346,2),'Humanitarian codes'!$A$2:$A$10,1,FALSE)=LEFT(B1346,2),"Yes","Error"),"No")</f>
        <v>No</v>
      </c>
    </row>
    <row r="1347" spans="1:13" x14ac:dyDescent="0.25">
      <c r="A1347">
        <v>2022</v>
      </c>
      <c r="B1347" t="s">
        <v>5825</v>
      </c>
      <c r="C1347" t="s">
        <v>5826</v>
      </c>
      <c r="D1347" t="s">
        <v>30</v>
      </c>
      <c r="E1347" t="s">
        <v>594</v>
      </c>
      <c r="F1347">
        <v>4500209539</v>
      </c>
      <c r="G1347" t="s">
        <v>5844</v>
      </c>
      <c r="H1347" t="s">
        <v>3334</v>
      </c>
      <c r="I1347" t="s">
        <v>5845</v>
      </c>
      <c r="J1347" t="s">
        <v>594</v>
      </c>
      <c r="K1347">
        <v>769</v>
      </c>
      <c r="L1347">
        <v>769</v>
      </c>
      <c r="M1347" t="str">
        <f>IFERROR(IF(VLOOKUP(LEFT(B1347,2),'Humanitarian codes'!$A$2:$A$10,1,FALSE)=LEFT(B1347,2),"Yes","Error"),"No")</f>
        <v>No</v>
      </c>
    </row>
    <row r="1348" spans="1:13" x14ac:dyDescent="0.25">
      <c r="A1348">
        <v>2022</v>
      </c>
      <c r="B1348" t="s">
        <v>5846</v>
      </c>
      <c r="C1348" t="s">
        <v>5847</v>
      </c>
      <c r="D1348" t="s">
        <v>30</v>
      </c>
      <c r="E1348" t="s">
        <v>226</v>
      </c>
      <c r="F1348">
        <v>4500206148</v>
      </c>
      <c r="G1348" t="s">
        <v>5848</v>
      </c>
      <c r="H1348" t="s">
        <v>3334</v>
      </c>
      <c r="I1348" t="s">
        <v>1840</v>
      </c>
      <c r="J1348" t="s">
        <v>226</v>
      </c>
      <c r="K1348" s="2">
        <v>24457</v>
      </c>
      <c r="L1348" s="2">
        <v>24457</v>
      </c>
      <c r="M1348" t="str">
        <f>IFERROR(IF(VLOOKUP(LEFT(B1348,2),'Humanitarian codes'!$A$2:$A$10,1,FALSE)=LEFT(B1348,2),"Yes","Error"),"No")</f>
        <v>No</v>
      </c>
    </row>
    <row r="1349" spans="1:13" x14ac:dyDescent="0.25">
      <c r="A1349">
        <v>2022</v>
      </c>
      <c r="B1349" t="s">
        <v>5849</v>
      </c>
      <c r="C1349" t="s">
        <v>5850</v>
      </c>
      <c r="D1349" t="s">
        <v>30</v>
      </c>
      <c r="E1349" t="s">
        <v>2130</v>
      </c>
      <c r="F1349">
        <v>4500181759</v>
      </c>
      <c r="G1349" t="s">
        <v>5851</v>
      </c>
      <c r="H1349" t="s">
        <v>3334</v>
      </c>
      <c r="I1349" t="s">
        <v>5852</v>
      </c>
      <c r="J1349" t="s">
        <v>2130</v>
      </c>
      <c r="K1349" s="2">
        <v>75000</v>
      </c>
      <c r="L1349" s="2">
        <v>75000</v>
      </c>
      <c r="M1349" t="str">
        <f>IFERROR(IF(VLOOKUP(LEFT(B1349,2),'Humanitarian codes'!$A$2:$A$10,1,FALSE)=LEFT(B1349,2),"Yes","Error"),"No")</f>
        <v>No</v>
      </c>
    </row>
    <row r="1350" spans="1:13" x14ac:dyDescent="0.25">
      <c r="A1350">
        <v>2022</v>
      </c>
      <c r="B1350" t="s">
        <v>5849</v>
      </c>
      <c r="C1350" t="s">
        <v>5850</v>
      </c>
      <c r="D1350" t="s">
        <v>30</v>
      </c>
      <c r="E1350" t="s">
        <v>2130</v>
      </c>
      <c r="F1350">
        <v>4500242094</v>
      </c>
      <c r="G1350" t="s">
        <v>5853</v>
      </c>
      <c r="H1350" t="s">
        <v>3334</v>
      </c>
      <c r="I1350" t="s">
        <v>5854</v>
      </c>
      <c r="J1350" t="s">
        <v>2130</v>
      </c>
      <c r="K1350" s="2">
        <v>391512</v>
      </c>
      <c r="L1350" s="2">
        <v>391512</v>
      </c>
      <c r="M1350" t="str">
        <f>IFERROR(IF(VLOOKUP(LEFT(B1350,2),'Humanitarian codes'!$A$2:$A$10,1,FALSE)=LEFT(B1350,2),"Yes","Error"),"No")</f>
        <v>No</v>
      </c>
    </row>
    <row r="1351" spans="1:13" x14ac:dyDescent="0.25">
      <c r="A1351">
        <v>2022</v>
      </c>
      <c r="B1351" t="s">
        <v>5855</v>
      </c>
      <c r="C1351" t="s">
        <v>5856</v>
      </c>
      <c r="D1351" t="s">
        <v>30</v>
      </c>
      <c r="E1351" t="s">
        <v>1128</v>
      </c>
      <c r="F1351">
        <v>4500180546</v>
      </c>
      <c r="G1351" t="s">
        <v>5857</v>
      </c>
      <c r="H1351" t="s">
        <v>3334</v>
      </c>
      <c r="I1351" t="s">
        <v>5858</v>
      </c>
      <c r="J1351" t="s">
        <v>1128</v>
      </c>
      <c r="K1351" s="2">
        <v>80803</v>
      </c>
      <c r="L1351" s="2">
        <v>80803</v>
      </c>
      <c r="M1351" t="str">
        <f>IFERROR(IF(VLOOKUP(LEFT(B1351,2),'Humanitarian codes'!$A$2:$A$10,1,FALSE)=LEFT(B1351,2),"Yes","Error"),"No")</f>
        <v>No</v>
      </c>
    </row>
    <row r="1352" spans="1:13" x14ac:dyDescent="0.25">
      <c r="A1352">
        <v>2022</v>
      </c>
      <c r="B1352" t="s">
        <v>5855</v>
      </c>
      <c r="C1352" t="s">
        <v>5856</v>
      </c>
      <c r="D1352" t="s">
        <v>30</v>
      </c>
      <c r="E1352" t="s">
        <v>1128</v>
      </c>
      <c r="F1352">
        <v>4500190961</v>
      </c>
      <c r="G1352" t="s">
        <v>5859</v>
      </c>
      <c r="H1352" t="s">
        <v>3334</v>
      </c>
      <c r="I1352" t="s">
        <v>5860</v>
      </c>
      <c r="J1352" t="s">
        <v>1128</v>
      </c>
      <c r="K1352" s="2">
        <v>20752</v>
      </c>
      <c r="L1352" s="2">
        <v>20752</v>
      </c>
      <c r="M1352" t="str">
        <f>IFERROR(IF(VLOOKUP(LEFT(B1352,2),'Humanitarian codes'!$A$2:$A$10,1,FALSE)=LEFT(B1352,2),"Yes","Error"),"No")</f>
        <v>No</v>
      </c>
    </row>
    <row r="1353" spans="1:13" x14ac:dyDescent="0.25">
      <c r="A1353">
        <v>2022</v>
      </c>
      <c r="B1353" t="s">
        <v>5855</v>
      </c>
      <c r="C1353" t="s">
        <v>5856</v>
      </c>
      <c r="D1353" t="s">
        <v>30</v>
      </c>
      <c r="E1353" t="s">
        <v>1128</v>
      </c>
      <c r="F1353">
        <v>4500205623</v>
      </c>
      <c r="G1353" t="s">
        <v>5861</v>
      </c>
      <c r="H1353" t="s">
        <v>3334</v>
      </c>
      <c r="I1353" t="s">
        <v>5858</v>
      </c>
      <c r="J1353" t="s">
        <v>1128</v>
      </c>
      <c r="K1353" s="2">
        <v>141408</v>
      </c>
      <c r="L1353" s="2">
        <v>141408</v>
      </c>
      <c r="M1353" t="str">
        <f>IFERROR(IF(VLOOKUP(LEFT(B1353,2),'Humanitarian codes'!$A$2:$A$10,1,FALSE)=LEFT(B1353,2),"Yes","Error"),"No")</f>
        <v>No</v>
      </c>
    </row>
    <row r="1354" spans="1:13" x14ac:dyDescent="0.25">
      <c r="A1354">
        <v>2022</v>
      </c>
      <c r="B1354" t="s">
        <v>5862</v>
      </c>
      <c r="C1354" t="s">
        <v>5863</v>
      </c>
      <c r="D1354" t="s">
        <v>30</v>
      </c>
      <c r="E1354" t="s">
        <v>257</v>
      </c>
      <c r="F1354">
        <v>4500193273</v>
      </c>
      <c r="G1354" t="s">
        <v>5864</v>
      </c>
      <c r="H1354" t="s">
        <v>3334</v>
      </c>
      <c r="I1354" t="s">
        <v>5865</v>
      </c>
      <c r="J1354" t="s">
        <v>257</v>
      </c>
      <c r="K1354" s="2">
        <v>85953</v>
      </c>
      <c r="L1354" s="2">
        <v>85953</v>
      </c>
      <c r="M1354" t="str">
        <f>IFERROR(IF(VLOOKUP(LEFT(B1354,2),'Humanitarian codes'!$A$2:$A$10,1,FALSE)=LEFT(B1354,2),"Yes","Error"),"No")</f>
        <v>No</v>
      </c>
    </row>
    <row r="1355" spans="1:13" x14ac:dyDescent="0.25">
      <c r="A1355">
        <v>2022</v>
      </c>
      <c r="B1355" t="s">
        <v>5862</v>
      </c>
      <c r="C1355" t="s">
        <v>5863</v>
      </c>
      <c r="D1355" t="s">
        <v>30</v>
      </c>
      <c r="E1355" t="s">
        <v>257</v>
      </c>
      <c r="F1355">
        <v>4500193293</v>
      </c>
      <c r="G1355" t="s">
        <v>5866</v>
      </c>
      <c r="H1355" t="s">
        <v>3334</v>
      </c>
      <c r="I1355" t="s">
        <v>5867</v>
      </c>
      <c r="J1355" t="s">
        <v>257</v>
      </c>
      <c r="K1355" s="2">
        <v>66810</v>
      </c>
      <c r="L1355" s="2">
        <v>66810</v>
      </c>
      <c r="M1355" t="str">
        <f>IFERROR(IF(VLOOKUP(LEFT(B1355,2),'Humanitarian codes'!$A$2:$A$10,1,FALSE)=LEFT(B1355,2),"Yes","Error"),"No")</f>
        <v>No</v>
      </c>
    </row>
    <row r="1356" spans="1:13" x14ac:dyDescent="0.25">
      <c r="A1356">
        <v>2022</v>
      </c>
      <c r="B1356" t="s">
        <v>5862</v>
      </c>
      <c r="C1356" t="s">
        <v>5863</v>
      </c>
      <c r="D1356" t="s">
        <v>30</v>
      </c>
      <c r="E1356" t="s">
        <v>257</v>
      </c>
      <c r="F1356">
        <v>4500193896</v>
      </c>
      <c r="G1356" t="s">
        <v>5868</v>
      </c>
      <c r="H1356" t="s">
        <v>3334</v>
      </c>
      <c r="I1356" t="s">
        <v>3042</v>
      </c>
      <c r="J1356" t="s">
        <v>257</v>
      </c>
      <c r="K1356" s="2">
        <v>59674</v>
      </c>
      <c r="L1356" s="2">
        <v>59674</v>
      </c>
      <c r="M1356" t="str">
        <f>IFERROR(IF(VLOOKUP(LEFT(B1356,2),'Humanitarian codes'!$A$2:$A$10,1,FALSE)=LEFT(B1356,2),"Yes","Error"),"No")</f>
        <v>No</v>
      </c>
    </row>
    <row r="1357" spans="1:13" x14ac:dyDescent="0.25">
      <c r="A1357">
        <v>2022</v>
      </c>
      <c r="B1357" t="s">
        <v>5862</v>
      </c>
      <c r="C1357" t="s">
        <v>5863</v>
      </c>
      <c r="D1357" t="s">
        <v>30</v>
      </c>
      <c r="E1357" t="s">
        <v>257</v>
      </c>
      <c r="F1357">
        <v>4500193919</v>
      </c>
      <c r="G1357" t="s">
        <v>5869</v>
      </c>
      <c r="H1357" t="s">
        <v>3334</v>
      </c>
      <c r="I1357" t="s">
        <v>1931</v>
      </c>
      <c r="J1357" t="s">
        <v>257</v>
      </c>
      <c r="K1357" s="2">
        <v>47452</v>
      </c>
      <c r="L1357" s="2">
        <v>47452</v>
      </c>
      <c r="M1357" t="str">
        <f>IFERROR(IF(VLOOKUP(LEFT(B1357,2),'Humanitarian codes'!$A$2:$A$10,1,FALSE)=LEFT(B1357,2),"Yes","Error"),"No")</f>
        <v>No</v>
      </c>
    </row>
    <row r="1358" spans="1:13" x14ac:dyDescent="0.25">
      <c r="A1358">
        <v>2022</v>
      </c>
      <c r="B1358" t="s">
        <v>5862</v>
      </c>
      <c r="C1358" t="s">
        <v>5863</v>
      </c>
      <c r="D1358" t="s">
        <v>30</v>
      </c>
      <c r="E1358" t="s">
        <v>257</v>
      </c>
      <c r="F1358">
        <v>4500193966</v>
      </c>
      <c r="G1358" t="s">
        <v>5870</v>
      </c>
      <c r="H1358" t="s">
        <v>3334</v>
      </c>
      <c r="I1358" t="s">
        <v>2055</v>
      </c>
      <c r="J1358" t="s">
        <v>257</v>
      </c>
      <c r="K1358" s="2">
        <v>63354</v>
      </c>
      <c r="L1358" s="2">
        <v>63354</v>
      </c>
      <c r="M1358" t="str">
        <f>IFERROR(IF(VLOOKUP(LEFT(B1358,2),'Humanitarian codes'!$A$2:$A$10,1,FALSE)=LEFT(B1358,2),"Yes","Error"),"No")</f>
        <v>No</v>
      </c>
    </row>
    <row r="1359" spans="1:13" x14ac:dyDescent="0.25">
      <c r="A1359">
        <v>2022</v>
      </c>
      <c r="B1359" t="s">
        <v>5862</v>
      </c>
      <c r="C1359" t="s">
        <v>5863</v>
      </c>
      <c r="D1359" t="s">
        <v>30</v>
      </c>
      <c r="E1359" t="s">
        <v>257</v>
      </c>
      <c r="F1359">
        <v>4500194018</v>
      </c>
      <c r="G1359" t="s">
        <v>5871</v>
      </c>
      <c r="H1359" t="s">
        <v>3334</v>
      </c>
      <c r="I1359" t="s">
        <v>1671</v>
      </c>
      <c r="J1359" t="s">
        <v>257</v>
      </c>
      <c r="K1359" s="2">
        <v>77020</v>
      </c>
      <c r="L1359" s="2">
        <v>77020</v>
      </c>
      <c r="M1359" t="str">
        <f>IFERROR(IF(VLOOKUP(LEFT(B1359,2),'Humanitarian codes'!$A$2:$A$10,1,FALSE)=LEFT(B1359,2),"Yes","Error"),"No")</f>
        <v>No</v>
      </c>
    </row>
    <row r="1360" spans="1:13" x14ac:dyDescent="0.25">
      <c r="A1360">
        <v>2022</v>
      </c>
      <c r="B1360" t="s">
        <v>5862</v>
      </c>
      <c r="C1360" t="s">
        <v>5863</v>
      </c>
      <c r="D1360" t="s">
        <v>30</v>
      </c>
      <c r="E1360" t="s">
        <v>257</v>
      </c>
      <c r="F1360">
        <v>4500194022</v>
      </c>
      <c r="G1360" t="s">
        <v>5872</v>
      </c>
      <c r="H1360" t="s">
        <v>3334</v>
      </c>
      <c r="I1360" t="s">
        <v>5873</v>
      </c>
      <c r="J1360" t="s">
        <v>257</v>
      </c>
      <c r="K1360" s="2">
        <v>44542</v>
      </c>
      <c r="L1360" s="2">
        <v>44542</v>
      </c>
      <c r="M1360" t="str">
        <f>IFERROR(IF(VLOOKUP(LEFT(B1360,2),'Humanitarian codes'!$A$2:$A$10,1,FALSE)=LEFT(B1360,2),"Yes","Error"),"No")</f>
        <v>No</v>
      </c>
    </row>
    <row r="1361" spans="1:13" x14ac:dyDescent="0.25">
      <c r="A1361">
        <v>2022</v>
      </c>
      <c r="B1361" t="s">
        <v>5874</v>
      </c>
      <c r="C1361" t="s">
        <v>5875</v>
      </c>
      <c r="D1361" t="s">
        <v>30</v>
      </c>
      <c r="E1361" t="s">
        <v>11</v>
      </c>
      <c r="F1361">
        <v>4500212480</v>
      </c>
      <c r="G1361" t="s">
        <v>5876</v>
      </c>
      <c r="H1361" t="s">
        <v>3334</v>
      </c>
      <c r="I1361" t="s">
        <v>5877</v>
      </c>
      <c r="J1361" t="s">
        <v>11</v>
      </c>
      <c r="K1361" s="2">
        <v>108910</v>
      </c>
      <c r="L1361" s="2">
        <v>108910</v>
      </c>
      <c r="M1361" t="str">
        <f>IFERROR(IF(VLOOKUP(LEFT(B1361,2),'Humanitarian codes'!$A$2:$A$10,1,FALSE)=LEFT(B1361,2),"Yes","Error"),"No")</f>
        <v>No</v>
      </c>
    </row>
    <row r="1362" spans="1:13" x14ac:dyDescent="0.25">
      <c r="A1362">
        <v>2022</v>
      </c>
      <c r="B1362" t="s">
        <v>5878</v>
      </c>
      <c r="C1362" t="s">
        <v>5879</v>
      </c>
      <c r="D1362" t="s">
        <v>30</v>
      </c>
      <c r="E1362" t="s">
        <v>261</v>
      </c>
      <c r="F1362">
        <v>4500197410</v>
      </c>
      <c r="G1362" t="s">
        <v>5880</v>
      </c>
      <c r="H1362" t="s">
        <v>3334</v>
      </c>
      <c r="I1362" t="s">
        <v>5881</v>
      </c>
      <c r="J1362" t="s">
        <v>261</v>
      </c>
      <c r="K1362" s="2">
        <v>301485</v>
      </c>
      <c r="L1362" s="2">
        <v>301485</v>
      </c>
      <c r="M1362" t="str">
        <f>IFERROR(IF(VLOOKUP(LEFT(B1362,2),'Humanitarian codes'!$A$2:$A$10,1,FALSE)=LEFT(B1362,2),"Yes","Error"),"No")</f>
        <v>No</v>
      </c>
    </row>
    <row r="1363" spans="1:13" x14ac:dyDescent="0.25">
      <c r="A1363">
        <v>2022</v>
      </c>
      <c r="B1363" t="s">
        <v>5878</v>
      </c>
      <c r="C1363" t="s">
        <v>5879</v>
      </c>
      <c r="D1363" t="s">
        <v>30</v>
      </c>
      <c r="E1363" t="s">
        <v>261</v>
      </c>
      <c r="F1363">
        <v>4500216575</v>
      </c>
      <c r="G1363" t="s">
        <v>5882</v>
      </c>
      <c r="H1363" t="s">
        <v>3334</v>
      </c>
      <c r="I1363" t="s">
        <v>784</v>
      </c>
      <c r="J1363" t="s">
        <v>261</v>
      </c>
      <c r="K1363" s="2">
        <v>832936</v>
      </c>
      <c r="L1363" s="2">
        <v>832936</v>
      </c>
      <c r="M1363" t="str">
        <f>IFERROR(IF(VLOOKUP(LEFT(B1363,2),'Humanitarian codes'!$A$2:$A$10,1,FALSE)=LEFT(B1363,2),"Yes","Error"),"No")</f>
        <v>No</v>
      </c>
    </row>
    <row r="1364" spans="1:13" x14ac:dyDescent="0.25">
      <c r="A1364">
        <v>2022</v>
      </c>
      <c r="B1364" t="s">
        <v>5878</v>
      </c>
      <c r="C1364" t="s">
        <v>5879</v>
      </c>
      <c r="D1364" t="s">
        <v>30</v>
      </c>
      <c r="E1364" t="s">
        <v>261</v>
      </c>
      <c r="F1364">
        <v>4500250931</v>
      </c>
      <c r="G1364" t="s">
        <v>5883</v>
      </c>
      <c r="H1364" t="s">
        <v>3334</v>
      </c>
      <c r="I1364" t="s">
        <v>784</v>
      </c>
      <c r="J1364" t="s">
        <v>261</v>
      </c>
      <c r="K1364" s="2">
        <v>109991</v>
      </c>
      <c r="L1364" s="2">
        <v>109991</v>
      </c>
      <c r="M1364" t="str">
        <f>IFERROR(IF(VLOOKUP(LEFT(B1364,2),'Humanitarian codes'!$A$2:$A$10,1,FALSE)=LEFT(B1364,2),"Yes","Error"),"No")</f>
        <v>No</v>
      </c>
    </row>
    <row r="1365" spans="1:13" x14ac:dyDescent="0.25">
      <c r="A1365">
        <v>2022</v>
      </c>
      <c r="B1365" t="s">
        <v>1545</v>
      </c>
      <c r="C1365" t="s">
        <v>1546</v>
      </c>
      <c r="D1365" t="s">
        <v>30</v>
      </c>
      <c r="E1365" t="s">
        <v>32</v>
      </c>
      <c r="F1365">
        <v>4500244555</v>
      </c>
      <c r="G1365" t="s">
        <v>5884</v>
      </c>
      <c r="H1365" t="s">
        <v>3334</v>
      </c>
      <c r="I1365" t="s">
        <v>61</v>
      </c>
      <c r="J1365" t="s">
        <v>32</v>
      </c>
      <c r="K1365" s="2">
        <v>269500</v>
      </c>
      <c r="L1365" s="2">
        <v>269500</v>
      </c>
      <c r="M1365" t="str">
        <f>IFERROR(IF(VLOOKUP(LEFT(B1365,2),'Humanitarian codes'!$A$2:$A$10,1,FALSE)=LEFT(B1365,2),"Yes","Error"),"No")</f>
        <v>No</v>
      </c>
    </row>
    <row r="1366" spans="1:13" x14ac:dyDescent="0.25">
      <c r="A1366">
        <v>2022</v>
      </c>
      <c r="B1366" t="s">
        <v>5885</v>
      </c>
      <c r="C1366" t="s">
        <v>5806</v>
      </c>
      <c r="D1366" t="s">
        <v>30</v>
      </c>
      <c r="E1366" t="s">
        <v>1443</v>
      </c>
      <c r="F1366">
        <v>4500219506</v>
      </c>
      <c r="G1366" t="s">
        <v>5886</v>
      </c>
      <c r="H1366" t="s">
        <v>3334</v>
      </c>
      <c r="I1366" t="s">
        <v>2233</v>
      </c>
      <c r="J1366" t="s">
        <v>20</v>
      </c>
      <c r="K1366" s="2">
        <v>242752</v>
      </c>
      <c r="L1366" s="2">
        <v>242752</v>
      </c>
      <c r="M1366" t="str">
        <f>IFERROR(IF(VLOOKUP(LEFT(B1366,2),'Humanitarian codes'!$A$2:$A$10,1,FALSE)=LEFT(B1366,2),"Yes","Error"),"No")</f>
        <v>No</v>
      </c>
    </row>
    <row r="1367" spans="1:13" x14ac:dyDescent="0.25">
      <c r="A1367">
        <v>2022</v>
      </c>
      <c r="B1367" t="s">
        <v>5887</v>
      </c>
      <c r="C1367" t="s">
        <v>5888</v>
      </c>
      <c r="D1367" t="s">
        <v>30</v>
      </c>
      <c r="E1367" t="s">
        <v>150</v>
      </c>
      <c r="F1367">
        <v>4500181079</v>
      </c>
      <c r="G1367" t="s">
        <v>5889</v>
      </c>
      <c r="H1367" t="s">
        <v>3334</v>
      </c>
      <c r="I1367" t="s">
        <v>5890</v>
      </c>
      <c r="J1367" t="s">
        <v>150</v>
      </c>
      <c r="K1367" s="2">
        <v>53326</v>
      </c>
      <c r="L1367" s="2">
        <v>53326</v>
      </c>
      <c r="M1367" t="str">
        <f>IFERROR(IF(VLOOKUP(LEFT(B1367,2),'Humanitarian codes'!$A$2:$A$10,1,FALSE)=LEFT(B1367,2),"Yes","Error"),"No")</f>
        <v>No</v>
      </c>
    </row>
    <row r="1368" spans="1:13" x14ac:dyDescent="0.25">
      <c r="A1368">
        <v>2022</v>
      </c>
      <c r="B1368" t="s">
        <v>5887</v>
      </c>
      <c r="C1368" t="s">
        <v>5888</v>
      </c>
      <c r="D1368" t="s">
        <v>30</v>
      </c>
      <c r="E1368" t="s">
        <v>150</v>
      </c>
      <c r="F1368">
        <v>4500181323</v>
      </c>
      <c r="G1368" t="s">
        <v>5891</v>
      </c>
      <c r="H1368" t="s">
        <v>3334</v>
      </c>
      <c r="I1368" t="s">
        <v>5890</v>
      </c>
      <c r="J1368" t="s">
        <v>150</v>
      </c>
      <c r="K1368" s="2">
        <v>50368</v>
      </c>
      <c r="L1368" s="2">
        <v>50368</v>
      </c>
      <c r="M1368" t="str">
        <f>IFERROR(IF(VLOOKUP(LEFT(B1368,2),'Humanitarian codes'!$A$2:$A$10,1,FALSE)=LEFT(B1368,2),"Yes","Error"),"No")</f>
        <v>No</v>
      </c>
    </row>
    <row r="1369" spans="1:13" x14ac:dyDescent="0.25">
      <c r="A1369">
        <v>2022</v>
      </c>
      <c r="B1369" t="s">
        <v>5887</v>
      </c>
      <c r="C1369" t="s">
        <v>5888</v>
      </c>
      <c r="D1369" t="s">
        <v>30</v>
      </c>
      <c r="E1369" t="s">
        <v>150</v>
      </c>
      <c r="F1369">
        <v>4500191079</v>
      </c>
      <c r="G1369" t="s">
        <v>5892</v>
      </c>
      <c r="H1369" t="s">
        <v>3334</v>
      </c>
      <c r="I1369" t="s">
        <v>5893</v>
      </c>
      <c r="J1369" t="s">
        <v>150</v>
      </c>
      <c r="K1369" s="2">
        <v>67458</v>
      </c>
      <c r="L1369" s="2">
        <v>67458</v>
      </c>
      <c r="M1369" t="str">
        <f>IFERROR(IF(VLOOKUP(LEFT(B1369,2),'Humanitarian codes'!$A$2:$A$10,1,FALSE)=LEFT(B1369,2),"Yes","Error"),"No")</f>
        <v>No</v>
      </c>
    </row>
    <row r="1370" spans="1:13" x14ac:dyDescent="0.25">
      <c r="A1370">
        <v>2022</v>
      </c>
      <c r="B1370" t="s">
        <v>5887</v>
      </c>
      <c r="C1370" t="s">
        <v>5888</v>
      </c>
      <c r="D1370" t="s">
        <v>30</v>
      </c>
      <c r="E1370" t="s">
        <v>150</v>
      </c>
      <c r="F1370">
        <v>4500191200</v>
      </c>
      <c r="G1370" t="s">
        <v>5894</v>
      </c>
      <c r="H1370" t="s">
        <v>3334</v>
      </c>
      <c r="I1370" t="s">
        <v>5893</v>
      </c>
      <c r="J1370" t="s">
        <v>150</v>
      </c>
      <c r="K1370" s="2">
        <v>67569</v>
      </c>
      <c r="L1370" s="2">
        <v>67569</v>
      </c>
      <c r="M1370" t="str">
        <f>IFERROR(IF(VLOOKUP(LEFT(B1370,2),'Humanitarian codes'!$A$2:$A$10,1,FALSE)=LEFT(B1370,2),"Yes","Error"),"No")</f>
        <v>No</v>
      </c>
    </row>
    <row r="1371" spans="1:13" x14ac:dyDescent="0.25">
      <c r="A1371">
        <v>2022</v>
      </c>
      <c r="B1371" t="s">
        <v>5887</v>
      </c>
      <c r="C1371" t="s">
        <v>5888</v>
      </c>
      <c r="D1371" t="s">
        <v>30</v>
      </c>
      <c r="E1371" t="s">
        <v>150</v>
      </c>
      <c r="F1371">
        <v>4500195615</v>
      </c>
      <c r="G1371" t="s">
        <v>5895</v>
      </c>
      <c r="H1371" t="s">
        <v>3334</v>
      </c>
      <c r="I1371" t="s">
        <v>5896</v>
      </c>
      <c r="J1371" t="s">
        <v>150</v>
      </c>
      <c r="K1371" s="2">
        <v>87575</v>
      </c>
      <c r="L1371" s="2">
        <v>87575</v>
      </c>
      <c r="M1371" t="str">
        <f>IFERROR(IF(VLOOKUP(LEFT(B1371,2),'Humanitarian codes'!$A$2:$A$10,1,FALSE)=LEFT(B1371,2),"Yes","Error"),"No")</f>
        <v>No</v>
      </c>
    </row>
    <row r="1372" spans="1:13" x14ac:dyDescent="0.25">
      <c r="A1372">
        <v>2022</v>
      </c>
      <c r="B1372" t="s">
        <v>5887</v>
      </c>
      <c r="C1372" t="s">
        <v>5888</v>
      </c>
      <c r="D1372" t="s">
        <v>30</v>
      </c>
      <c r="E1372" t="s">
        <v>150</v>
      </c>
      <c r="F1372">
        <v>4500195625</v>
      </c>
      <c r="G1372" t="s">
        <v>5897</v>
      </c>
      <c r="H1372" t="s">
        <v>3334</v>
      </c>
      <c r="I1372" t="s">
        <v>5896</v>
      </c>
      <c r="J1372" t="s">
        <v>150</v>
      </c>
      <c r="K1372" s="2">
        <v>97976</v>
      </c>
      <c r="L1372" s="2">
        <v>97976</v>
      </c>
      <c r="M1372" t="str">
        <f>IFERROR(IF(VLOOKUP(LEFT(B1372,2),'Humanitarian codes'!$A$2:$A$10,1,FALSE)=LEFT(B1372,2),"Yes","Error"),"No")</f>
        <v>No</v>
      </c>
    </row>
    <row r="1373" spans="1:13" x14ac:dyDescent="0.25">
      <c r="A1373">
        <v>2022</v>
      </c>
      <c r="B1373" t="s">
        <v>5887</v>
      </c>
      <c r="C1373" t="s">
        <v>5888</v>
      </c>
      <c r="D1373" t="s">
        <v>30</v>
      </c>
      <c r="E1373" t="s">
        <v>150</v>
      </c>
      <c r="F1373">
        <v>4500206741</v>
      </c>
      <c r="G1373" t="s">
        <v>3938</v>
      </c>
      <c r="H1373" t="s">
        <v>3334</v>
      </c>
      <c r="I1373" t="s">
        <v>5898</v>
      </c>
      <c r="J1373" t="s">
        <v>150</v>
      </c>
      <c r="K1373" s="2">
        <v>48101</v>
      </c>
      <c r="L1373" s="2">
        <v>48101</v>
      </c>
      <c r="M1373" t="str">
        <f>IFERROR(IF(VLOOKUP(LEFT(B1373,2),'Humanitarian codes'!$A$2:$A$10,1,FALSE)=LEFT(B1373,2),"Yes","Error"),"No")</f>
        <v>No</v>
      </c>
    </row>
    <row r="1374" spans="1:13" x14ac:dyDescent="0.25">
      <c r="A1374">
        <v>2022</v>
      </c>
      <c r="B1374" t="s">
        <v>5887</v>
      </c>
      <c r="C1374" t="s">
        <v>5888</v>
      </c>
      <c r="D1374" t="s">
        <v>30</v>
      </c>
      <c r="E1374" t="s">
        <v>150</v>
      </c>
      <c r="F1374">
        <v>4500208422</v>
      </c>
      <c r="G1374" t="s">
        <v>3938</v>
      </c>
      <c r="H1374" t="s">
        <v>3334</v>
      </c>
      <c r="I1374" t="s">
        <v>5898</v>
      </c>
      <c r="J1374" t="s">
        <v>150</v>
      </c>
      <c r="K1374" s="2">
        <v>28747</v>
      </c>
      <c r="L1374" s="2">
        <v>28747</v>
      </c>
      <c r="M1374" t="str">
        <f>IFERROR(IF(VLOOKUP(LEFT(B1374,2),'Humanitarian codes'!$A$2:$A$10,1,FALSE)=LEFT(B1374,2),"Yes","Error"),"No")</f>
        <v>No</v>
      </c>
    </row>
    <row r="1375" spans="1:13" x14ac:dyDescent="0.25">
      <c r="A1375">
        <v>2022</v>
      </c>
      <c r="B1375" t="s">
        <v>5887</v>
      </c>
      <c r="C1375" t="s">
        <v>5888</v>
      </c>
      <c r="D1375" t="s">
        <v>30</v>
      </c>
      <c r="E1375" t="s">
        <v>150</v>
      </c>
      <c r="F1375">
        <v>4500209584</v>
      </c>
      <c r="G1375" t="s">
        <v>5899</v>
      </c>
      <c r="H1375" t="s">
        <v>3334</v>
      </c>
      <c r="I1375" t="s">
        <v>5900</v>
      </c>
      <c r="J1375" t="s">
        <v>150</v>
      </c>
      <c r="K1375" s="2">
        <v>6501</v>
      </c>
      <c r="L1375" s="2">
        <v>6501</v>
      </c>
      <c r="M1375" t="str">
        <f>IFERROR(IF(VLOOKUP(LEFT(B1375,2),'Humanitarian codes'!$A$2:$A$10,1,FALSE)=LEFT(B1375,2),"Yes","Error"),"No")</f>
        <v>No</v>
      </c>
    </row>
    <row r="1376" spans="1:13" x14ac:dyDescent="0.25">
      <c r="A1376">
        <v>2022</v>
      </c>
      <c r="B1376" t="s">
        <v>5887</v>
      </c>
      <c r="C1376" t="s">
        <v>5888</v>
      </c>
      <c r="D1376" t="s">
        <v>30</v>
      </c>
      <c r="E1376" t="s">
        <v>150</v>
      </c>
      <c r="F1376">
        <v>4500209957</v>
      </c>
      <c r="G1376" t="s">
        <v>5901</v>
      </c>
      <c r="H1376" t="s">
        <v>3334</v>
      </c>
      <c r="I1376" t="s">
        <v>5902</v>
      </c>
      <c r="J1376" t="s">
        <v>150</v>
      </c>
      <c r="K1376" s="2">
        <v>80286</v>
      </c>
      <c r="L1376" s="2">
        <v>80286</v>
      </c>
      <c r="M1376" t="str">
        <f>IFERROR(IF(VLOOKUP(LEFT(B1376,2),'Humanitarian codes'!$A$2:$A$10,1,FALSE)=LEFT(B1376,2),"Yes","Error"),"No")</f>
        <v>No</v>
      </c>
    </row>
    <row r="1377" spans="1:13" x14ac:dyDescent="0.25">
      <c r="A1377">
        <v>2022</v>
      </c>
      <c r="B1377" t="s">
        <v>5887</v>
      </c>
      <c r="C1377" t="s">
        <v>5888</v>
      </c>
      <c r="D1377" t="s">
        <v>30</v>
      </c>
      <c r="E1377" t="s">
        <v>150</v>
      </c>
      <c r="F1377">
        <v>4500214131</v>
      </c>
      <c r="G1377" t="s">
        <v>5903</v>
      </c>
      <c r="H1377" t="s">
        <v>3334</v>
      </c>
      <c r="I1377" t="s">
        <v>5904</v>
      </c>
      <c r="J1377" t="s">
        <v>150</v>
      </c>
      <c r="K1377" s="2">
        <v>8110</v>
      </c>
      <c r="L1377" s="2">
        <v>8110</v>
      </c>
      <c r="M1377" t="str">
        <f>IFERROR(IF(VLOOKUP(LEFT(B1377,2),'Humanitarian codes'!$A$2:$A$10,1,FALSE)=LEFT(B1377,2),"Yes","Error"),"No")</f>
        <v>No</v>
      </c>
    </row>
    <row r="1378" spans="1:13" x14ac:dyDescent="0.25">
      <c r="A1378">
        <v>2022</v>
      </c>
      <c r="B1378" t="s">
        <v>5887</v>
      </c>
      <c r="C1378" t="s">
        <v>5888</v>
      </c>
      <c r="D1378" t="s">
        <v>30</v>
      </c>
      <c r="E1378" t="s">
        <v>150</v>
      </c>
      <c r="F1378">
        <v>4500223132</v>
      </c>
      <c r="G1378" t="s">
        <v>5905</v>
      </c>
      <c r="H1378" t="s">
        <v>3334</v>
      </c>
      <c r="I1378" t="s">
        <v>5906</v>
      </c>
      <c r="J1378" t="s">
        <v>150</v>
      </c>
      <c r="K1378" s="2">
        <v>171533</v>
      </c>
      <c r="L1378" s="2">
        <v>171533</v>
      </c>
      <c r="M1378" t="str">
        <f>IFERROR(IF(VLOOKUP(LEFT(B1378,2),'Humanitarian codes'!$A$2:$A$10,1,FALSE)=LEFT(B1378,2),"Yes","Error"),"No")</f>
        <v>No</v>
      </c>
    </row>
    <row r="1379" spans="1:13" x14ac:dyDescent="0.25">
      <c r="A1379">
        <v>2022</v>
      </c>
      <c r="B1379" t="s">
        <v>5887</v>
      </c>
      <c r="C1379" t="s">
        <v>5888</v>
      </c>
      <c r="D1379" t="s">
        <v>30</v>
      </c>
      <c r="E1379" t="s">
        <v>150</v>
      </c>
      <c r="F1379">
        <v>4500245187</v>
      </c>
      <c r="G1379" t="s">
        <v>5907</v>
      </c>
      <c r="H1379" t="s">
        <v>3334</v>
      </c>
      <c r="I1379" t="s">
        <v>5902</v>
      </c>
      <c r="J1379" t="s">
        <v>150</v>
      </c>
      <c r="K1379" s="2">
        <v>117526</v>
      </c>
      <c r="L1379" s="2">
        <v>117526</v>
      </c>
      <c r="M1379" t="str">
        <f>IFERROR(IF(VLOOKUP(LEFT(B1379,2),'Humanitarian codes'!$A$2:$A$10,1,FALSE)=LEFT(B1379,2),"Yes","Error"),"No")</f>
        <v>No</v>
      </c>
    </row>
    <row r="1380" spans="1:13" x14ac:dyDescent="0.25">
      <c r="A1380">
        <v>2022</v>
      </c>
      <c r="B1380" t="s">
        <v>5887</v>
      </c>
      <c r="C1380" t="s">
        <v>5888</v>
      </c>
      <c r="D1380" t="s">
        <v>30</v>
      </c>
      <c r="E1380" t="s">
        <v>150</v>
      </c>
      <c r="F1380">
        <v>4500245193</v>
      </c>
      <c r="G1380" t="s">
        <v>5908</v>
      </c>
      <c r="H1380" t="s">
        <v>3334</v>
      </c>
      <c r="I1380" t="s">
        <v>5902</v>
      </c>
      <c r="J1380" t="s">
        <v>150</v>
      </c>
      <c r="K1380" s="2">
        <v>93701</v>
      </c>
      <c r="L1380" s="2">
        <v>93701</v>
      </c>
      <c r="M1380" t="str">
        <f>IFERROR(IF(VLOOKUP(LEFT(B1380,2),'Humanitarian codes'!$A$2:$A$10,1,FALSE)=LEFT(B1380,2),"Yes","Error"),"No")</f>
        <v>No</v>
      </c>
    </row>
    <row r="1381" spans="1:13" x14ac:dyDescent="0.25">
      <c r="A1381">
        <v>2022</v>
      </c>
      <c r="B1381" t="s">
        <v>5887</v>
      </c>
      <c r="C1381" t="s">
        <v>5888</v>
      </c>
      <c r="D1381" t="s">
        <v>30</v>
      </c>
      <c r="E1381" t="s">
        <v>150</v>
      </c>
      <c r="F1381">
        <v>4500245216</v>
      </c>
      <c r="G1381" t="s">
        <v>5909</v>
      </c>
      <c r="H1381" t="s">
        <v>3334</v>
      </c>
      <c r="I1381" t="s">
        <v>5902</v>
      </c>
      <c r="J1381" t="s">
        <v>150</v>
      </c>
      <c r="K1381" s="2">
        <v>112867</v>
      </c>
      <c r="L1381" s="2">
        <v>112867</v>
      </c>
      <c r="M1381" t="str">
        <f>IFERROR(IF(VLOOKUP(LEFT(B1381,2),'Humanitarian codes'!$A$2:$A$10,1,FALSE)=LEFT(B1381,2),"Yes","Error"),"No")</f>
        <v>No</v>
      </c>
    </row>
    <row r="1382" spans="1:13" x14ac:dyDescent="0.25">
      <c r="A1382">
        <v>2022</v>
      </c>
      <c r="B1382" t="s">
        <v>5887</v>
      </c>
      <c r="C1382" t="s">
        <v>5888</v>
      </c>
      <c r="D1382" t="s">
        <v>30</v>
      </c>
      <c r="E1382" t="s">
        <v>150</v>
      </c>
      <c r="F1382">
        <v>4500245228</v>
      </c>
      <c r="G1382" t="s">
        <v>5910</v>
      </c>
      <c r="H1382" t="s">
        <v>3334</v>
      </c>
      <c r="I1382" t="s">
        <v>5902</v>
      </c>
      <c r="J1382" t="s">
        <v>150</v>
      </c>
      <c r="K1382" s="2">
        <v>118352</v>
      </c>
      <c r="L1382" s="2">
        <v>118352</v>
      </c>
      <c r="M1382" t="str">
        <f>IFERROR(IF(VLOOKUP(LEFT(B1382,2),'Humanitarian codes'!$A$2:$A$10,1,FALSE)=LEFT(B1382,2),"Yes","Error"),"No")</f>
        <v>No</v>
      </c>
    </row>
    <row r="1383" spans="1:13" x14ac:dyDescent="0.25">
      <c r="A1383">
        <v>2022</v>
      </c>
      <c r="B1383" t="s">
        <v>5887</v>
      </c>
      <c r="C1383" t="s">
        <v>5888</v>
      </c>
      <c r="D1383" t="s">
        <v>30</v>
      </c>
      <c r="E1383" t="s">
        <v>150</v>
      </c>
      <c r="F1383">
        <v>4500255426</v>
      </c>
      <c r="G1383" t="s">
        <v>5911</v>
      </c>
      <c r="H1383" t="s">
        <v>3334</v>
      </c>
      <c r="I1383" t="s">
        <v>5900</v>
      </c>
      <c r="J1383" t="s">
        <v>150</v>
      </c>
      <c r="K1383" s="2">
        <v>57313</v>
      </c>
      <c r="L1383" s="2">
        <v>57313</v>
      </c>
      <c r="M1383" t="str">
        <f>IFERROR(IF(VLOOKUP(LEFT(B1383,2),'Humanitarian codes'!$A$2:$A$10,1,FALSE)=LEFT(B1383,2),"Yes","Error"),"No")</f>
        <v>No</v>
      </c>
    </row>
    <row r="1384" spans="1:13" x14ac:dyDescent="0.25">
      <c r="A1384">
        <v>2022</v>
      </c>
      <c r="B1384" t="s">
        <v>3721</v>
      </c>
      <c r="C1384" t="s">
        <v>3722</v>
      </c>
      <c r="D1384" t="s">
        <v>30</v>
      </c>
      <c r="E1384" t="s">
        <v>128</v>
      </c>
      <c r="F1384">
        <v>4500191805</v>
      </c>
      <c r="G1384" t="s">
        <v>3982</v>
      </c>
      <c r="H1384" t="s">
        <v>3334</v>
      </c>
      <c r="I1384" t="s">
        <v>2642</v>
      </c>
      <c r="J1384" t="s">
        <v>581</v>
      </c>
      <c r="K1384" s="2">
        <v>42477</v>
      </c>
      <c r="L1384" s="2">
        <v>92340</v>
      </c>
      <c r="M1384" t="str">
        <f>IFERROR(IF(VLOOKUP(LEFT(B1384,2),'Humanitarian codes'!$A$2:$A$10,1,FALSE)=LEFT(B1384,2),"Yes","Error"),"No")</f>
        <v>No</v>
      </c>
    </row>
    <row r="1385" spans="1:13" x14ac:dyDescent="0.25">
      <c r="A1385">
        <v>2022</v>
      </c>
      <c r="B1385" t="s">
        <v>3721</v>
      </c>
      <c r="C1385" t="s">
        <v>3722</v>
      </c>
      <c r="D1385" t="s">
        <v>30</v>
      </c>
      <c r="E1385" t="s">
        <v>128</v>
      </c>
      <c r="F1385">
        <v>4500274890</v>
      </c>
      <c r="G1385" t="s">
        <v>5912</v>
      </c>
      <c r="H1385" t="s">
        <v>3334</v>
      </c>
      <c r="I1385" t="s">
        <v>5913</v>
      </c>
      <c r="J1385" t="s">
        <v>128</v>
      </c>
      <c r="K1385" s="2">
        <v>25920</v>
      </c>
      <c r="L1385" s="2">
        <v>120000</v>
      </c>
      <c r="M1385" t="str">
        <f>IFERROR(IF(VLOOKUP(LEFT(B1385,2),'Humanitarian codes'!$A$2:$A$10,1,FALSE)=LEFT(B1385,2),"Yes","Error"),"No")</f>
        <v>No</v>
      </c>
    </row>
    <row r="1386" spans="1:13" x14ac:dyDescent="0.25">
      <c r="A1386">
        <v>2022</v>
      </c>
      <c r="B1386" t="s">
        <v>2635</v>
      </c>
      <c r="C1386" t="s">
        <v>2636</v>
      </c>
      <c r="D1386" t="s">
        <v>30</v>
      </c>
      <c r="E1386" t="s">
        <v>1166</v>
      </c>
      <c r="F1386">
        <v>4500187849</v>
      </c>
      <c r="G1386" t="s">
        <v>5914</v>
      </c>
      <c r="H1386" t="s">
        <v>3334</v>
      </c>
      <c r="I1386" t="s">
        <v>5915</v>
      </c>
      <c r="J1386" t="s">
        <v>4407</v>
      </c>
      <c r="K1386" s="2">
        <v>26235</v>
      </c>
      <c r="L1386" s="2">
        <v>26235</v>
      </c>
      <c r="M1386" t="str">
        <f>IFERROR(IF(VLOOKUP(LEFT(B1386,2),'Humanitarian codes'!$A$2:$A$10,1,FALSE)=LEFT(B1386,2),"Yes","Error"),"No")</f>
        <v>No</v>
      </c>
    </row>
    <row r="1387" spans="1:13" x14ac:dyDescent="0.25">
      <c r="A1387">
        <v>2022</v>
      </c>
      <c r="B1387" t="s">
        <v>2635</v>
      </c>
      <c r="C1387" t="s">
        <v>2636</v>
      </c>
      <c r="D1387" t="s">
        <v>30</v>
      </c>
      <c r="E1387" t="s">
        <v>1166</v>
      </c>
      <c r="F1387">
        <v>4500188046</v>
      </c>
      <c r="G1387" t="s">
        <v>5916</v>
      </c>
      <c r="H1387" t="s">
        <v>3334</v>
      </c>
      <c r="I1387" t="s">
        <v>2640</v>
      </c>
      <c r="J1387" t="s">
        <v>4407</v>
      </c>
      <c r="K1387" s="2">
        <v>21797</v>
      </c>
      <c r="L1387" s="2">
        <v>21797</v>
      </c>
      <c r="M1387" t="str">
        <f>IFERROR(IF(VLOOKUP(LEFT(B1387,2),'Humanitarian codes'!$A$2:$A$10,1,FALSE)=LEFT(B1387,2),"Yes","Error"),"No")</f>
        <v>No</v>
      </c>
    </row>
    <row r="1388" spans="1:13" x14ac:dyDescent="0.25">
      <c r="A1388">
        <v>2022</v>
      </c>
      <c r="B1388" t="s">
        <v>2635</v>
      </c>
      <c r="C1388" t="s">
        <v>2636</v>
      </c>
      <c r="D1388" t="s">
        <v>30</v>
      </c>
      <c r="E1388" t="s">
        <v>1166</v>
      </c>
      <c r="F1388">
        <v>4500188832</v>
      </c>
      <c r="G1388" t="s">
        <v>5917</v>
      </c>
      <c r="H1388" t="s">
        <v>3334</v>
      </c>
      <c r="I1388" t="s">
        <v>5918</v>
      </c>
      <c r="J1388" t="s">
        <v>4407</v>
      </c>
      <c r="K1388" s="2">
        <v>21615</v>
      </c>
      <c r="L1388" s="2">
        <v>21615</v>
      </c>
      <c r="M1388" t="str">
        <f>IFERROR(IF(VLOOKUP(LEFT(B1388,2),'Humanitarian codes'!$A$2:$A$10,1,FALSE)=LEFT(B1388,2),"Yes","Error"),"No")</f>
        <v>No</v>
      </c>
    </row>
    <row r="1389" spans="1:13" x14ac:dyDescent="0.25">
      <c r="A1389">
        <v>2022</v>
      </c>
      <c r="B1389" t="s">
        <v>2635</v>
      </c>
      <c r="C1389" t="s">
        <v>2636</v>
      </c>
      <c r="D1389" t="s">
        <v>30</v>
      </c>
      <c r="E1389" t="s">
        <v>1166</v>
      </c>
      <c r="F1389">
        <v>4500188841</v>
      </c>
      <c r="G1389" t="s">
        <v>5919</v>
      </c>
      <c r="H1389" t="s">
        <v>3334</v>
      </c>
      <c r="I1389" t="s">
        <v>3177</v>
      </c>
      <c r="J1389" t="s">
        <v>4407</v>
      </c>
      <c r="K1389" s="2">
        <v>22233</v>
      </c>
      <c r="L1389" s="2">
        <v>22233</v>
      </c>
      <c r="M1389" t="str">
        <f>IFERROR(IF(VLOOKUP(LEFT(B1389,2),'Humanitarian codes'!$A$2:$A$10,1,FALSE)=LEFT(B1389,2),"Yes","Error"),"No")</f>
        <v>No</v>
      </c>
    </row>
    <row r="1390" spans="1:13" x14ac:dyDescent="0.25">
      <c r="A1390">
        <v>2022</v>
      </c>
      <c r="B1390" t="s">
        <v>2635</v>
      </c>
      <c r="C1390" t="s">
        <v>2636</v>
      </c>
      <c r="D1390" t="s">
        <v>30</v>
      </c>
      <c r="E1390" t="s">
        <v>1166</v>
      </c>
      <c r="F1390">
        <v>4500188846</v>
      </c>
      <c r="G1390" t="s">
        <v>5920</v>
      </c>
      <c r="H1390" t="s">
        <v>3334</v>
      </c>
      <c r="I1390" t="s">
        <v>5921</v>
      </c>
      <c r="J1390" t="s">
        <v>4407</v>
      </c>
      <c r="K1390" s="2">
        <v>22646</v>
      </c>
      <c r="L1390" s="2">
        <v>22646</v>
      </c>
      <c r="M1390" t="str">
        <f>IFERROR(IF(VLOOKUP(LEFT(B1390,2),'Humanitarian codes'!$A$2:$A$10,1,FALSE)=LEFT(B1390,2),"Yes","Error"),"No")</f>
        <v>No</v>
      </c>
    </row>
    <row r="1391" spans="1:13" x14ac:dyDescent="0.25">
      <c r="A1391">
        <v>2022</v>
      </c>
      <c r="B1391" t="s">
        <v>2635</v>
      </c>
      <c r="C1391" t="s">
        <v>2636</v>
      </c>
      <c r="D1391" t="s">
        <v>30</v>
      </c>
      <c r="E1391" t="s">
        <v>1166</v>
      </c>
      <c r="F1391">
        <v>4500189583</v>
      </c>
      <c r="G1391" t="s">
        <v>5922</v>
      </c>
      <c r="H1391" t="s">
        <v>3334</v>
      </c>
      <c r="I1391" t="s">
        <v>5923</v>
      </c>
      <c r="J1391" t="s">
        <v>4407</v>
      </c>
      <c r="K1391" s="2">
        <v>5705</v>
      </c>
      <c r="L1391" s="2">
        <v>5705</v>
      </c>
      <c r="M1391" t="str">
        <f>IFERROR(IF(VLOOKUP(LEFT(B1391,2),'Humanitarian codes'!$A$2:$A$10,1,FALSE)=LEFT(B1391,2),"Yes","Error"),"No")</f>
        <v>No</v>
      </c>
    </row>
    <row r="1392" spans="1:13" x14ac:dyDescent="0.25">
      <c r="A1392">
        <v>2022</v>
      </c>
      <c r="B1392" t="s">
        <v>2635</v>
      </c>
      <c r="C1392" t="s">
        <v>2636</v>
      </c>
      <c r="D1392" t="s">
        <v>30</v>
      </c>
      <c r="E1392" t="s">
        <v>1166</v>
      </c>
      <c r="F1392">
        <v>4500190117</v>
      </c>
      <c r="G1392" t="s">
        <v>5924</v>
      </c>
      <c r="H1392" t="s">
        <v>3334</v>
      </c>
      <c r="I1392" t="s">
        <v>3175</v>
      </c>
      <c r="J1392" t="s">
        <v>4407</v>
      </c>
      <c r="K1392" s="2">
        <v>10618</v>
      </c>
      <c r="L1392" s="2">
        <v>10618</v>
      </c>
      <c r="M1392" t="str">
        <f>IFERROR(IF(VLOOKUP(LEFT(B1392,2),'Humanitarian codes'!$A$2:$A$10,1,FALSE)=LEFT(B1392,2),"Yes","Error"),"No")</f>
        <v>No</v>
      </c>
    </row>
    <row r="1393" spans="1:13" x14ac:dyDescent="0.25">
      <c r="A1393">
        <v>2022</v>
      </c>
      <c r="B1393" t="s">
        <v>2635</v>
      </c>
      <c r="C1393" t="s">
        <v>2636</v>
      </c>
      <c r="D1393" t="s">
        <v>30</v>
      </c>
      <c r="E1393" t="s">
        <v>1166</v>
      </c>
      <c r="F1393">
        <v>4500190898</v>
      </c>
      <c r="G1393" t="s">
        <v>5925</v>
      </c>
      <c r="H1393" t="s">
        <v>3334</v>
      </c>
      <c r="I1393" t="s">
        <v>5926</v>
      </c>
      <c r="J1393" t="s">
        <v>4407</v>
      </c>
      <c r="K1393" s="2">
        <v>13481</v>
      </c>
      <c r="L1393" s="2">
        <v>13481</v>
      </c>
      <c r="M1393" t="str">
        <f>IFERROR(IF(VLOOKUP(LEFT(B1393,2),'Humanitarian codes'!$A$2:$A$10,1,FALSE)=LEFT(B1393,2),"Yes","Error"),"No")</f>
        <v>No</v>
      </c>
    </row>
    <row r="1394" spans="1:13" x14ac:dyDescent="0.25">
      <c r="A1394">
        <v>2022</v>
      </c>
      <c r="B1394" t="s">
        <v>2635</v>
      </c>
      <c r="C1394" t="s">
        <v>2636</v>
      </c>
      <c r="D1394" t="s">
        <v>30</v>
      </c>
      <c r="E1394" t="s">
        <v>1166</v>
      </c>
      <c r="F1394">
        <v>4500191353</v>
      </c>
      <c r="G1394" t="s">
        <v>5927</v>
      </c>
      <c r="H1394" t="s">
        <v>3334</v>
      </c>
      <c r="I1394" t="s">
        <v>5928</v>
      </c>
      <c r="J1394" t="s">
        <v>4407</v>
      </c>
      <c r="K1394" s="2">
        <v>11398</v>
      </c>
      <c r="L1394" s="2">
        <v>11398</v>
      </c>
      <c r="M1394" t="str">
        <f>IFERROR(IF(VLOOKUP(LEFT(B1394,2),'Humanitarian codes'!$A$2:$A$10,1,FALSE)=LEFT(B1394,2),"Yes","Error"),"No")</f>
        <v>No</v>
      </c>
    </row>
    <row r="1395" spans="1:13" x14ac:dyDescent="0.25">
      <c r="A1395">
        <v>2022</v>
      </c>
      <c r="B1395" t="s">
        <v>2635</v>
      </c>
      <c r="C1395" t="s">
        <v>2636</v>
      </c>
      <c r="D1395" t="s">
        <v>30</v>
      </c>
      <c r="E1395" t="s">
        <v>1166</v>
      </c>
      <c r="F1395">
        <v>4500193037</v>
      </c>
      <c r="G1395" t="s">
        <v>5929</v>
      </c>
      <c r="H1395" t="s">
        <v>3334</v>
      </c>
      <c r="I1395" t="s">
        <v>5930</v>
      </c>
      <c r="J1395" t="s">
        <v>4407</v>
      </c>
      <c r="K1395" s="2">
        <v>8384</v>
      </c>
      <c r="L1395" s="2">
        <v>8384</v>
      </c>
      <c r="M1395" t="str">
        <f>IFERROR(IF(VLOOKUP(LEFT(B1395,2),'Humanitarian codes'!$A$2:$A$10,1,FALSE)=LEFT(B1395,2),"Yes","Error"),"No")</f>
        <v>No</v>
      </c>
    </row>
    <row r="1396" spans="1:13" x14ac:dyDescent="0.25">
      <c r="A1396">
        <v>2022</v>
      </c>
      <c r="B1396" t="s">
        <v>2635</v>
      </c>
      <c r="C1396" t="s">
        <v>2636</v>
      </c>
      <c r="D1396" t="s">
        <v>30</v>
      </c>
      <c r="E1396" t="s">
        <v>1166</v>
      </c>
      <c r="F1396">
        <v>4500205900</v>
      </c>
      <c r="G1396" t="s">
        <v>5931</v>
      </c>
      <c r="H1396" t="s">
        <v>3334</v>
      </c>
      <c r="I1396" t="s">
        <v>3173</v>
      </c>
      <c r="J1396" t="s">
        <v>4407</v>
      </c>
      <c r="K1396" s="2">
        <v>5647</v>
      </c>
      <c r="L1396" s="2">
        <v>5647</v>
      </c>
      <c r="M1396" t="str">
        <f>IFERROR(IF(VLOOKUP(LEFT(B1396,2),'Humanitarian codes'!$A$2:$A$10,1,FALSE)=LEFT(B1396,2),"Yes","Error"),"No")</f>
        <v>No</v>
      </c>
    </row>
    <row r="1397" spans="1:13" x14ac:dyDescent="0.25">
      <c r="A1397">
        <v>2022</v>
      </c>
      <c r="B1397" t="s">
        <v>2635</v>
      </c>
      <c r="C1397" t="s">
        <v>2636</v>
      </c>
      <c r="D1397" t="s">
        <v>30</v>
      </c>
      <c r="E1397" t="s">
        <v>1166</v>
      </c>
      <c r="F1397">
        <v>4500207202</v>
      </c>
      <c r="G1397" t="s">
        <v>5932</v>
      </c>
      <c r="H1397" t="s">
        <v>3334</v>
      </c>
      <c r="I1397" t="s">
        <v>5933</v>
      </c>
      <c r="J1397" t="s">
        <v>4407</v>
      </c>
      <c r="K1397" s="2">
        <v>11358</v>
      </c>
      <c r="L1397" s="2">
        <v>11358</v>
      </c>
      <c r="M1397" t="str">
        <f>IFERROR(IF(VLOOKUP(LEFT(B1397,2),'Humanitarian codes'!$A$2:$A$10,1,FALSE)=LEFT(B1397,2),"Yes","Error"),"No")</f>
        <v>No</v>
      </c>
    </row>
    <row r="1398" spans="1:13" x14ac:dyDescent="0.25">
      <c r="A1398">
        <v>2022</v>
      </c>
      <c r="B1398" t="s">
        <v>2635</v>
      </c>
      <c r="C1398" t="s">
        <v>2636</v>
      </c>
      <c r="D1398" t="s">
        <v>30</v>
      </c>
      <c r="E1398" t="s">
        <v>1166</v>
      </c>
      <c r="F1398">
        <v>4500262460</v>
      </c>
      <c r="G1398" t="s">
        <v>3938</v>
      </c>
      <c r="H1398" t="s">
        <v>3334</v>
      </c>
      <c r="I1398" t="s">
        <v>5915</v>
      </c>
      <c r="J1398" t="s">
        <v>4407</v>
      </c>
      <c r="K1398" s="2">
        <v>46585</v>
      </c>
      <c r="L1398" s="2">
        <v>46585</v>
      </c>
      <c r="M1398" t="str">
        <f>IFERROR(IF(VLOOKUP(LEFT(B1398,2),'Humanitarian codes'!$A$2:$A$10,1,FALSE)=LEFT(B1398,2),"Yes","Error"),"No")</f>
        <v>No</v>
      </c>
    </row>
    <row r="1399" spans="1:13" x14ac:dyDescent="0.25">
      <c r="A1399">
        <v>2022</v>
      </c>
      <c r="B1399" t="s">
        <v>2118</v>
      </c>
      <c r="C1399" t="s">
        <v>2119</v>
      </c>
      <c r="D1399" t="s">
        <v>30</v>
      </c>
      <c r="E1399" t="s">
        <v>128</v>
      </c>
      <c r="F1399">
        <v>4500274890</v>
      </c>
      <c r="G1399" t="s">
        <v>5912</v>
      </c>
      <c r="H1399" t="s">
        <v>3334</v>
      </c>
      <c r="I1399" t="s">
        <v>5913</v>
      </c>
      <c r="J1399" t="s">
        <v>128</v>
      </c>
      <c r="K1399" s="2">
        <v>94080</v>
      </c>
      <c r="L1399" s="2">
        <v>120000</v>
      </c>
      <c r="M1399" t="str">
        <f>IFERROR(IF(VLOOKUP(LEFT(B1399,2),'Humanitarian codes'!$A$2:$A$10,1,FALSE)=LEFT(B1399,2),"Yes","Error"),"No")</f>
        <v>No</v>
      </c>
    </row>
    <row r="1400" spans="1:13" x14ac:dyDescent="0.25">
      <c r="A1400">
        <v>2022</v>
      </c>
      <c r="B1400" t="s">
        <v>2118</v>
      </c>
      <c r="C1400" t="s">
        <v>2119</v>
      </c>
      <c r="D1400" t="s">
        <v>30</v>
      </c>
      <c r="E1400" t="s">
        <v>128</v>
      </c>
      <c r="F1400">
        <v>4500275687</v>
      </c>
      <c r="G1400" t="s">
        <v>5934</v>
      </c>
      <c r="H1400" t="s">
        <v>3334</v>
      </c>
      <c r="I1400" t="s">
        <v>2259</v>
      </c>
      <c r="J1400" t="s">
        <v>128</v>
      </c>
      <c r="K1400" s="2">
        <v>60000</v>
      </c>
      <c r="L1400" s="2">
        <v>60000</v>
      </c>
      <c r="M1400" t="str">
        <f>IFERROR(IF(VLOOKUP(LEFT(B1400,2),'Humanitarian codes'!$A$2:$A$10,1,FALSE)=LEFT(B1400,2),"Yes","Error"),"No")</f>
        <v>No</v>
      </c>
    </row>
    <row r="1401" spans="1:13" x14ac:dyDescent="0.25">
      <c r="A1401">
        <v>2022</v>
      </c>
      <c r="B1401" t="s">
        <v>2118</v>
      </c>
      <c r="C1401" t="s">
        <v>2119</v>
      </c>
      <c r="D1401" t="s">
        <v>30</v>
      </c>
      <c r="E1401" t="s">
        <v>128</v>
      </c>
      <c r="F1401">
        <v>4500275693</v>
      </c>
      <c r="G1401" t="s">
        <v>5935</v>
      </c>
      <c r="H1401" t="s">
        <v>3334</v>
      </c>
      <c r="I1401" t="s">
        <v>2645</v>
      </c>
      <c r="J1401" t="s">
        <v>128</v>
      </c>
      <c r="K1401" s="2">
        <v>60000</v>
      </c>
      <c r="L1401" s="2">
        <v>60000</v>
      </c>
      <c r="M1401" t="str">
        <f>IFERROR(IF(VLOOKUP(LEFT(B1401,2),'Humanitarian codes'!$A$2:$A$10,1,FALSE)=LEFT(B1401,2),"Yes","Error"),"No")</f>
        <v>No</v>
      </c>
    </row>
    <row r="1402" spans="1:13" x14ac:dyDescent="0.25">
      <c r="A1402">
        <v>2022</v>
      </c>
      <c r="B1402" t="s">
        <v>2118</v>
      </c>
      <c r="C1402" t="s">
        <v>2119</v>
      </c>
      <c r="D1402" t="s">
        <v>30</v>
      </c>
      <c r="E1402" t="s">
        <v>128</v>
      </c>
      <c r="F1402">
        <v>4500275699</v>
      </c>
      <c r="G1402" t="s">
        <v>5936</v>
      </c>
      <c r="H1402" t="s">
        <v>3334</v>
      </c>
      <c r="I1402" t="s">
        <v>2050</v>
      </c>
      <c r="J1402" t="s">
        <v>128</v>
      </c>
      <c r="K1402" s="2">
        <v>60000</v>
      </c>
      <c r="L1402" s="2">
        <v>60000</v>
      </c>
      <c r="M1402" t="str">
        <f>IFERROR(IF(VLOOKUP(LEFT(B1402,2),'Humanitarian codes'!$A$2:$A$10,1,FALSE)=LEFT(B1402,2),"Yes","Error"),"No")</f>
        <v>No</v>
      </c>
    </row>
    <row r="1403" spans="1:13" x14ac:dyDescent="0.25">
      <c r="A1403">
        <v>2022</v>
      </c>
      <c r="B1403" t="s">
        <v>2118</v>
      </c>
      <c r="C1403" t="s">
        <v>2119</v>
      </c>
      <c r="D1403" t="s">
        <v>30</v>
      </c>
      <c r="E1403" t="s">
        <v>128</v>
      </c>
      <c r="F1403">
        <v>4500275706</v>
      </c>
      <c r="G1403" t="s">
        <v>5935</v>
      </c>
      <c r="H1403" t="s">
        <v>3334</v>
      </c>
      <c r="I1403" t="s">
        <v>2825</v>
      </c>
      <c r="J1403" t="s">
        <v>128</v>
      </c>
      <c r="K1403" s="2">
        <v>60000</v>
      </c>
      <c r="L1403" s="2">
        <v>60000</v>
      </c>
      <c r="M1403" t="str">
        <f>IFERROR(IF(VLOOKUP(LEFT(B1403,2),'Humanitarian codes'!$A$2:$A$10,1,FALSE)=LEFT(B1403,2),"Yes","Error"),"No")</f>
        <v>No</v>
      </c>
    </row>
    <row r="1404" spans="1:13" x14ac:dyDescent="0.25">
      <c r="A1404">
        <v>2022</v>
      </c>
      <c r="B1404" t="s">
        <v>2118</v>
      </c>
      <c r="C1404" t="s">
        <v>2119</v>
      </c>
      <c r="D1404" t="s">
        <v>30</v>
      </c>
      <c r="E1404" t="s">
        <v>128</v>
      </c>
      <c r="F1404">
        <v>4500275708</v>
      </c>
      <c r="G1404" t="s">
        <v>5935</v>
      </c>
      <c r="H1404" t="s">
        <v>3334</v>
      </c>
      <c r="I1404" t="s">
        <v>599</v>
      </c>
      <c r="J1404" t="s">
        <v>128</v>
      </c>
      <c r="K1404" s="2">
        <v>60000</v>
      </c>
      <c r="L1404" s="2">
        <v>60000</v>
      </c>
      <c r="M1404" t="str">
        <f>IFERROR(IF(VLOOKUP(LEFT(B1404,2),'Humanitarian codes'!$A$2:$A$10,1,FALSE)=LEFT(B1404,2),"Yes","Error"),"No")</f>
        <v>No</v>
      </c>
    </row>
    <row r="1405" spans="1:13" x14ac:dyDescent="0.25">
      <c r="A1405">
        <v>2022</v>
      </c>
      <c r="B1405" t="s">
        <v>2118</v>
      </c>
      <c r="C1405" t="s">
        <v>2119</v>
      </c>
      <c r="D1405" t="s">
        <v>30</v>
      </c>
      <c r="E1405" t="s">
        <v>128</v>
      </c>
      <c r="F1405">
        <v>4500275732</v>
      </c>
      <c r="G1405" t="s">
        <v>5935</v>
      </c>
      <c r="H1405" t="s">
        <v>3334</v>
      </c>
      <c r="I1405" t="s">
        <v>2827</v>
      </c>
      <c r="J1405" t="s">
        <v>128</v>
      </c>
      <c r="K1405" s="2">
        <v>60000</v>
      </c>
      <c r="L1405" s="2">
        <v>60000</v>
      </c>
      <c r="M1405" t="str">
        <f>IFERROR(IF(VLOOKUP(LEFT(B1405,2),'Humanitarian codes'!$A$2:$A$10,1,FALSE)=LEFT(B1405,2),"Yes","Error"),"No")</f>
        <v>No</v>
      </c>
    </row>
    <row r="1406" spans="1:13" x14ac:dyDescent="0.25">
      <c r="A1406">
        <v>2022</v>
      </c>
      <c r="B1406" t="s">
        <v>2118</v>
      </c>
      <c r="C1406" t="s">
        <v>2119</v>
      </c>
      <c r="D1406" t="s">
        <v>30</v>
      </c>
      <c r="E1406" t="s">
        <v>128</v>
      </c>
      <c r="F1406">
        <v>4500275743</v>
      </c>
      <c r="G1406" t="s">
        <v>5937</v>
      </c>
      <c r="H1406" t="s">
        <v>3334</v>
      </c>
      <c r="I1406" t="s">
        <v>5938</v>
      </c>
      <c r="J1406" t="s">
        <v>128</v>
      </c>
      <c r="K1406" s="2">
        <v>60000</v>
      </c>
      <c r="L1406" s="2">
        <v>60000</v>
      </c>
      <c r="M1406" t="str">
        <f>IFERROR(IF(VLOOKUP(LEFT(B1406,2),'Humanitarian codes'!$A$2:$A$10,1,FALSE)=LEFT(B1406,2),"Yes","Error"),"No")</f>
        <v>No</v>
      </c>
    </row>
    <row r="1407" spans="1:13" x14ac:dyDescent="0.25">
      <c r="A1407">
        <v>2022</v>
      </c>
      <c r="B1407" t="s">
        <v>2118</v>
      </c>
      <c r="C1407" t="s">
        <v>2119</v>
      </c>
      <c r="D1407" t="s">
        <v>30</v>
      </c>
      <c r="E1407" t="s">
        <v>128</v>
      </c>
      <c r="F1407">
        <v>4500275749</v>
      </c>
      <c r="G1407" t="s">
        <v>5937</v>
      </c>
      <c r="H1407" t="s">
        <v>3334</v>
      </c>
      <c r="I1407" t="s">
        <v>1676</v>
      </c>
      <c r="J1407" t="s">
        <v>128</v>
      </c>
      <c r="K1407" s="2">
        <v>60000</v>
      </c>
      <c r="L1407" s="2">
        <v>60000</v>
      </c>
      <c r="M1407" t="str">
        <f>IFERROR(IF(VLOOKUP(LEFT(B1407,2),'Humanitarian codes'!$A$2:$A$10,1,FALSE)=LEFT(B1407,2),"Yes","Error"),"No")</f>
        <v>No</v>
      </c>
    </row>
    <row r="1408" spans="1:13" x14ac:dyDescent="0.25">
      <c r="A1408">
        <v>2022</v>
      </c>
      <c r="B1408" t="s">
        <v>2118</v>
      </c>
      <c r="C1408" t="s">
        <v>2119</v>
      </c>
      <c r="D1408" t="s">
        <v>30</v>
      </c>
      <c r="E1408" t="s">
        <v>128</v>
      </c>
      <c r="F1408">
        <v>4500275754</v>
      </c>
      <c r="G1408" t="s">
        <v>5937</v>
      </c>
      <c r="H1408" t="s">
        <v>3334</v>
      </c>
      <c r="I1408" t="s">
        <v>5939</v>
      </c>
      <c r="J1408" t="s">
        <v>128</v>
      </c>
      <c r="K1408" s="2">
        <v>60000</v>
      </c>
      <c r="L1408" s="2">
        <v>60000</v>
      </c>
      <c r="M1408" t="str">
        <f>IFERROR(IF(VLOOKUP(LEFT(B1408,2),'Humanitarian codes'!$A$2:$A$10,1,FALSE)=LEFT(B1408,2),"Yes","Error"),"No")</f>
        <v>No</v>
      </c>
    </row>
    <row r="1409" spans="1:13" x14ac:dyDescent="0.25">
      <c r="A1409">
        <v>2022</v>
      </c>
      <c r="B1409" t="s">
        <v>5940</v>
      </c>
      <c r="C1409" t="s">
        <v>5941</v>
      </c>
      <c r="D1409" t="s">
        <v>484</v>
      </c>
      <c r="E1409" t="s">
        <v>40</v>
      </c>
      <c r="F1409">
        <v>4500214223</v>
      </c>
      <c r="G1409" t="s">
        <v>5942</v>
      </c>
      <c r="H1409" t="s">
        <v>3334</v>
      </c>
      <c r="I1409" t="s">
        <v>5943</v>
      </c>
      <c r="J1409" t="s">
        <v>40</v>
      </c>
      <c r="K1409" s="2">
        <v>16674</v>
      </c>
      <c r="L1409" s="2">
        <v>16674</v>
      </c>
      <c r="M1409" t="str">
        <f>IFERROR(IF(VLOOKUP(LEFT(B1409,2),'Humanitarian codes'!$A$2:$A$10,1,FALSE)=LEFT(B1409,2),"Yes","Error"),"No")</f>
        <v>No</v>
      </c>
    </row>
    <row r="1410" spans="1:13" x14ac:dyDescent="0.25">
      <c r="A1410">
        <v>2022</v>
      </c>
      <c r="B1410" t="s">
        <v>5944</v>
      </c>
      <c r="C1410" t="s">
        <v>5945</v>
      </c>
      <c r="D1410" t="s">
        <v>484</v>
      </c>
      <c r="E1410" t="s">
        <v>330</v>
      </c>
      <c r="F1410">
        <v>4500211616</v>
      </c>
      <c r="G1410" t="s">
        <v>5946</v>
      </c>
      <c r="H1410" t="s">
        <v>3334</v>
      </c>
      <c r="I1410" t="s">
        <v>1722</v>
      </c>
      <c r="J1410" t="s">
        <v>330</v>
      </c>
      <c r="K1410" s="2">
        <v>4004</v>
      </c>
      <c r="L1410" s="2">
        <v>4004</v>
      </c>
      <c r="M1410" t="str">
        <f>IFERROR(IF(VLOOKUP(LEFT(B1410,2),'Humanitarian codes'!$A$2:$A$10,1,FALSE)=LEFT(B1410,2),"Yes","Error"),"No")</f>
        <v>No</v>
      </c>
    </row>
    <row r="1411" spans="1:13" x14ac:dyDescent="0.25">
      <c r="A1411">
        <v>2022</v>
      </c>
      <c r="B1411" t="s">
        <v>5947</v>
      </c>
      <c r="C1411" t="s">
        <v>5948</v>
      </c>
      <c r="D1411" t="s">
        <v>543</v>
      </c>
      <c r="E1411" t="s">
        <v>518</v>
      </c>
      <c r="F1411">
        <v>4500216632</v>
      </c>
      <c r="G1411" t="s">
        <v>5949</v>
      </c>
      <c r="H1411" t="s">
        <v>3334</v>
      </c>
      <c r="I1411" t="s">
        <v>5950</v>
      </c>
      <c r="J1411" t="s">
        <v>518</v>
      </c>
      <c r="K1411" s="2">
        <v>24739</v>
      </c>
      <c r="L1411" s="2">
        <v>24739</v>
      </c>
      <c r="M1411" t="str">
        <f>IFERROR(IF(VLOOKUP(LEFT(B1411,2),'Humanitarian codes'!$A$2:$A$10,1,FALSE)=LEFT(B1411,2),"Yes","Error"),"No")</f>
        <v>No</v>
      </c>
    </row>
    <row r="1412" spans="1:13" x14ac:dyDescent="0.25">
      <c r="A1412">
        <v>2022</v>
      </c>
      <c r="B1412" t="s">
        <v>5947</v>
      </c>
      <c r="C1412" t="s">
        <v>5948</v>
      </c>
      <c r="D1412" t="s">
        <v>543</v>
      </c>
      <c r="E1412" t="s">
        <v>518</v>
      </c>
      <c r="F1412">
        <v>4500235707</v>
      </c>
      <c r="G1412" t="s">
        <v>5951</v>
      </c>
      <c r="H1412" t="s">
        <v>3334</v>
      </c>
      <c r="I1412" t="s">
        <v>5950</v>
      </c>
      <c r="J1412" t="s">
        <v>518</v>
      </c>
      <c r="K1412" s="2">
        <v>78876</v>
      </c>
      <c r="L1412" s="2">
        <v>78876</v>
      </c>
      <c r="M1412" t="str">
        <f>IFERROR(IF(VLOOKUP(LEFT(B1412,2),'Humanitarian codes'!$A$2:$A$10,1,FALSE)=LEFT(B1412,2),"Yes","Error"),"No")</f>
        <v>No</v>
      </c>
    </row>
    <row r="1413" spans="1:13" x14ac:dyDescent="0.25">
      <c r="A1413">
        <v>2022</v>
      </c>
      <c r="B1413" t="s">
        <v>5947</v>
      </c>
      <c r="C1413" t="s">
        <v>5948</v>
      </c>
      <c r="D1413" t="s">
        <v>543</v>
      </c>
      <c r="E1413" t="s">
        <v>518</v>
      </c>
      <c r="F1413">
        <v>4500268617</v>
      </c>
      <c r="G1413" t="s">
        <v>3938</v>
      </c>
      <c r="H1413" t="s">
        <v>3334</v>
      </c>
      <c r="I1413" t="s">
        <v>5950</v>
      </c>
      <c r="J1413" t="s">
        <v>518</v>
      </c>
      <c r="K1413" s="2">
        <v>528284</v>
      </c>
      <c r="L1413" s="2">
        <v>528284</v>
      </c>
      <c r="M1413" t="str">
        <f>IFERROR(IF(VLOOKUP(LEFT(B1413,2),'Humanitarian codes'!$A$2:$A$10,1,FALSE)=LEFT(B1413,2),"Yes","Error"),"No")</f>
        <v>No</v>
      </c>
    </row>
    <row r="1414" spans="1:13" x14ac:dyDescent="0.25">
      <c r="A1414">
        <v>2022</v>
      </c>
      <c r="B1414" t="s">
        <v>2123</v>
      </c>
      <c r="C1414" t="s">
        <v>2124</v>
      </c>
      <c r="D1414" t="s">
        <v>543</v>
      </c>
      <c r="E1414" t="s">
        <v>25</v>
      </c>
      <c r="F1414">
        <v>4500204440</v>
      </c>
      <c r="G1414" t="s">
        <v>5952</v>
      </c>
      <c r="H1414" t="s">
        <v>3334</v>
      </c>
      <c r="I1414" t="s">
        <v>1587</v>
      </c>
      <c r="J1414" t="s">
        <v>25</v>
      </c>
      <c r="K1414" s="2">
        <v>87804</v>
      </c>
      <c r="L1414" s="2">
        <v>87804</v>
      </c>
      <c r="M1414" t="str">
        <f>IFERROR(IF(VLOOKUP(LEFT(B1414,2),'Humanitarian codes'!$A$2:$A$10,1,FALSE)=LEFT(B1414,2),"Yes","Error"),"No")</f>
        <v>No</v>
      </c>
    </row>
    <row r="1415" spans="1:13" x14ac:dyDescent="0.25">
      <c r="A1415">
        <v>2022</v>
      </c>
      <c r="B1415" t="s">
        <v>5953</v>
      </c>
      <c r="C1415" t="s">
        <v>5954</v>
      </c>
      <c r="D1415" t="s">
        <v>543</v>
      </c>
      <c r="E1415" t="s">
        <v>530</v>
      </c>
      <c r="F1415">
        <v>4500183175</v>
      </c>
      <c r="G1415" t="s">
        <v>5955</v>
      </c>
      <c r="H1415" t="s">
        <v>3334</v>
      </c>
      <c r="I1415" t="s">
        <v>3246</v>
      </c>
      <c r="J1415" t="s">
        <v>11</v>
      </c>
      <c r="K1415" s="2">
        <v>196000</v>
      </c>
      <c r="L1415" s="2">
        <v>196000</v>
      </c>
      <c r="M1415" t="str">
        <f>IFERROR(IF(VLOOKUP(LEFT(B1415,2),'Humanitarian codes'!$A$2:$A$10,1,FALSE)=LEFT(B1415,2),"Yes","Error"),"No")</f>
        <v>No</v>
      </c>
    </row>
    <row r="1416" spans="1:13" x14ac:dyDescent="0.25">
      <c r="A1416">
        <v>2022</v>
      </c>
      <c r="B1416" t="s">
        <v>5953</v>
      </c>
      <c r="C1416" t="s">
        <v>5954</v>
      </c>
      <c r="D1416" t="s">
        <v>543</v>
      </c>
      <c r="E1416" t="s">
        <v>530</v>
      </c>
      <c r="F1416">
        <v>4500188272</v>
      </c>
      <c r="G1416" t="s">
        <v>5956</v>
      </c>
      <c r="H1416" t="s">
        <v>3334</v>
      </c>
      <c r="I1416" t="s">
        <v>5957</v>
      </c>
      <c r="J1416" t="s">
        <v>530</v>
      </c>
      <c r="K1416" s="2">
        <v>40000</v>
      </c>
      <c r="L1416" s="2">
        <v>40000</v>
      </c>
      <c r="M1416" t="str">
        <f>IFERROR(IF(VLOOKUP(LEFT(B1416,2),'Humanitarian codes'!$A$2:$A$10,1,FALSE)=LEFT(B1416,2),"Yes","Error"),"No")</f>
        <v>No</v>
      </c>
    </row>
    <row r="1417" spans="1:13" x14ac:dyDescent="0.25">
      <c r="A1417">
        <v>2022</v>
      </c>
      <c r="B1417" t="s">
        <v>5953</v>
      </c>
      <c r="C1417" t="s">
        <v>5954</v>
      </c>
      <c r="D1417" t="s">
        <v>543</v>
      </c>
      <c r="E1417" t="s">
        <v>530</v>
      </c>
      <c r="F1417">
        <v>4500231779</v>
      </c>
      <c r="G1417" t="s">
        <v>5958</v>
      </c>
      <c r="H1417" t="s">
        <v>3334</v>
      </c>
      <c r="I1417" t="s">
        <v>5959</v>
      </c>
      <c r="J1417" t="s">
        <v>11</v>
      </c>
      <c r="K1417" s="2">
        <v>27677</v>
      </c>
      <c r="L1417" s="2">
        <v>27677</v>
      </c>
      <c r="M1417" t="str">
        <f>IFERROR(IF(VLOOKUP(LEFT(B1417,2),'Humanitarian codes'!$A$2:$A$10,1,FALSE)=LEFT(B1417,2),"Yes","Error"),"No")</f>
        <v>No</v>
      </c>
    </row>
    <row r="1418" spans="1:13" x14ac:dyDescent="0.25">
      <c r="A1418">
        <v>2022</v>
      </c>
      <c r="B1418" t="s">
        <v>5953</v>
      </c>
      <c r="C1418" t="s">
        <v>5954</v>
      </c>
      <c r="D1418" t="s">
        <v>543</v>
      </c>
      <c r="E1418" t="s">
        <v>530</v>
      </c>
      <c r="F1418">
        <v>4500241240</v>
      </c>
      <c r="G1418" t="s">
        <v>5960</v>
      </c>
      <c r="H1418" t="s">
        <v>3334</v>
      </c>
      <c r="I1418" t="s">
        <v>5957</v>
      </c>
      <c r="J1418" t="s">
        <v>530</v>
      </c>
      <c r="K1418" s="2">
        <v>24080</v>
      </c>
      <c r="L1418" s="2">
        <v>24080</v>
      </c>
      <c r="M1418" t="str">
        <f>IFERROR(IF(VLOOKUP(LEFT(B1418,2),'Humanitarian codes'!$A$2:$A$10,1,FALSE)=LEFT(B1418,2),"Yes","Error"),"No")</f>
        <v>No</v>
      </c>
    </row>
    <row r="1419" spans="1:13" x14ac:dyDescent="0.25">
      <c r="A1419">
        <v>2022</v>
      </c>
      <c r="B1419" t="s">
        <v>5961</v>
      </c>
      <c r="C1419" t="s">
        <v>5962</v>
      </c>
      <c r="D1419" t="s">
        <v>543</v>
      </c>
      <c r="E1419" t="s">
        <v>649</v>
      </c>
      <c r="F1419">
        <v>4500218053</v>
      </c>
      <c r="G1419" t="s">
        <v>5963</v>
      </c>
      <c r="H1419" t="s">
        <v>3334</v>
      </c>
      <c r="I1419" t="s">
        <v>1597</v>
      </c>
      <c r="J1419" t="s">
        <v>649</v>
      </c>
      <c r="K1419" s="2">
        <v>52560</v>
      </c>
      <c r="L1419" s="2">
        <v>52560</v>
      </c>
      <c r="M1419" t="str">
        <f>IFERROR(IF(VLOOKUP(LEFT(B1419,2),'Humanitarian codes'!$A$2:$A$10,1,FALSE)=LEFT(B1419,2),"Yes","Error"),"No")</f>
        <v>No</v>
      </c>
    </row>
    <row r="1420" spans="1:13" x14ac:dyDescent="0.25">
      <c r="A1420">
        <v>2022</v>
      </c>
      <c r="B1420" t="s">
        <v>5964</v>
      </c>
      <c r="C1420" t="s">
        <v>5965</v>
      </c>
      <c r="D1420" t="s">
        <v>543</v>
      </c>
      <c r="E1420" t="s">
        <v>1395</v>
      </c>
      <c r="F1420">
        <v>4500199812</v>
      </c>
      <c r="G1420" t="s">
        <v>5966</v>
      </c>
      <c r="H1420" t="s">
        <v>3334</v>
      </c>
      <c r="I1420" t="s">
        <v>5967</v>
      </c>
      <c r="J1420" t="s">
        <v>1395</v>
      </c>
      <c r="K1420" s="2">
        <v>41698</v>
      </c>
      <c r="L1420" s="2">
        <v>41698</v>
      </c>
      <c r="M1420" t="str">
        <f>IFERROR(IF(VLOOKUP(LEFT(B1420,2),'Humanitarian codes'!$A$2:$A$10,1,FALSE)=LEFT(B1420,2),"Yes","Error"),"No")</f>
        <v>No</v>
      </c>
    </row>
    <row r="1421" spans="1:13" x14ac:dyDescent="0.25">
      <c r="A1421">
        <v>2022</v>
      </c>
      <c r="B1421" t="s">
        <v>5964</v>
      </c>
      <c r="C1421" t="s">
        <v>5965</v>
      </c>
      <c r="D1421" t="s">
        <v>543</v>
      </c>
      <c r="E1421" t="s">
        <v>1395</v>
      </c>
      <c r="F1421">
        <v>4500208798</v>
      </c>
      <c r="G1421" t="s">
        <v>5968</v>
      </c>
      <c r="H1421" t="s">
        <v>3334</v>
      </c>
      <c r="I1421" t="s">
        <v>5969</v>
      </c>
      <c r="J1421" t="s">
        <v>1395</v>
      </c>
      <c r="K1421" s="2">
        <v>11289</v>
      </c>
      <c r="L1421" s="2">
        <v>11289</v>
      </c>
      <c r="M1421" t="str">
        <f>IFERROR(IF(VLOOKUP(LEFT(B1421,2),'Humanitarian codes'!$A$2:$A$10,1,FALSE)=LEFT(B1421,2),"Yes","Error"),"No")</f>
        <v>No</v>
      </c>
    </row>
    <row r="1422" spans="1:13" x14ac:dyDescent="0.25">
      <c r="A1422">
        <v>2022</v>
      </c>
      <c r="B1422" t="s">
        <v>5970</v>
      </c>
      <c r="C1422" t="s">
        <v>5971</v>
      </c>
      <c r="D1422" t="s">
        <v>543</v>
      </c>
      <c r="E1422" t="s">
        <v>518</v>
      </c>
      <c r="F1422">
        <v>4500197150</v>
      </c>
      <c r="G1422" t="s">
        <v>5972</v>
      </c>
      <c r="H1422" t="s">
        <v>3334</v>
      </c>
      <c r="I1422" t="s">
        <v>5730</v>
      </c>
      <c r="J1422" t="s">
        <v>167</v>
      </c>
      <c r="K1422" s="2">
        <v>48309</v>
      </c>
      <c r="L1422" s="2">
        <v>48309</v>
      </c>
      <c r="M1422" t="str">
        <f>IFERROR(IF(VLOOKUP(LEFT(B1422,2),'Humanitarian codes'!$A$2:$A$10,1,FALSE)=LEFT(B1422,2),"Yes","Error"),"No")</f>
        <v>No</v>
      </c>
    </row>
    <row r="1423" spans="1:13" x14ac:dyDescent="0.25">
      <c r="A1423">
        <v>2022</v>
      </c>
      <c r="B1423" t="s">
        <v>5973</v>
      </c>
      <c r="C1423" t="s">
        <v>5974</v>
      </c>
      <c r="D1423" t="s">
        <v>543</v>
      </c>
      <c r="E1423" t="s">
        <v>3115</v>
      </c>
      <c r="F1423">
        <v>4500194608</v>
      </c>
      <c r="G1423" t="s">
        <v>5975</v>
      </c>
      <c r="H1423" t="s">
        <v>3334</v>
      </c>
      <c r="I1423" t="s">
        <v>5976</v>
      </c>
      <c r="J1423" t="s">
        <v>3115</v>
      </c>
      <c r="K1423" s="2">
        <v>23007</v>
      </c>
      <c r="L1423" s="2">
        <v>23007</v>
      </c>
      <c r="M1423" t="str">
        <f>IFERROR(IF(VLOOKUP(LEFT(B1423,2),'Humanitarian codes'!$A$2:$A$10,1,FALSE)=LEFT(B1423,2),"Yes","Error"),"No")</f>
        <v>No</v>
      </c>
    </row>
    <row r="1424" spans="1:13" x14ac:dyDescent="0.25">
      <c r="A1424">
        <v>2022</v>
      </c>
      <c r="B1424" t="s">
        <v>5977</v>
      </c>
      <c r="C1424" t="s">
        <v>5978</v>
      </c>
      <c r="D1424" t="s">
        <v>543</v>
      </c>
      <c r="E1424" t="s">
        <v>1866</v>
      </c>
      <c r="F1424">
        <v>4500253955</v>
      </c>
      <c r="G1424" t="s">
        <v>5979</v>
      </c>
      <c r="H1424" t="s">
        <v>3334</v>
      </c>
      <c r="I1424" t="s">
        <v>2564</v>
      </c>
      <c r="J1424" t="s">
        <v>1866</v>
      </c>
      <c r="K1424" s="2">
        <v>57224</v>
      </c>
      <c r="L1424" s="2">
        <v>57224</v>
      </c>
      <c r="M1424" t="str">
        <f>IFERROR(IF(VLOOKUP(LEFT(B1424,2),'Humanitarian codes'!$A$2:$A$10,1,FALSE)=LEFT(B1424,2),"Yes","Error"),"No")</f>
        <v>No</v>
      </c>
    </row>
    <row r="1425" spans="1:13" x14ac:dyDescent="0.25">
      <c r="A1425">
        <v>2022</v>
      </c>
      <c r="B1425" t="s">
        <v>5977</v>
      </c>
      <c r="C1425" t="s">
        <v>5978</v>
      </c>
      <c r="D1425" t="s">
        <v>543</v>
      </c>
      <c r="E1425" t="s">
        <v>1866</v>
      </c>
      <c r="F1425">
        <v>4500255900</v>
      </c>
      <c r="G1425" t="s">
        <v>5980</v>
      </c>
      <c r="H1425" t="s">
        <v>3334</v>
      </c>
      <c r="I1425" t="s">
        <v>2080</v>
      </c>
      <c r="J1425" t="s">
        <v>1866</v>
      </c>
      <c r="K1425" s="2">
        <v>18454</v>
      </c>
      <c r="L1425" s="2">
        <v>18454</v>
      </c>
      <c r="M1425" t="str">
        <f>IFERROR(IF(VLOOKUP(LEFT(B1425,2),'Humanitarian codes'!$A$2:$A$10,1,FALSE)=LEFT(B1425,2),"Yes","Error"),"No")</f>
        <v>No</v>
      </c>
    </row>
    <row r="1426" spans="1:13" x14ac:dyDescent="0.25">
      <c r="A1426">
        <v>2022</v>
      </c>
      <c r="B1426" t="s">
        <v>5981</v>
      </c>
      <c r="C1426" t="s">
        <v>5982</v>
      </c>
      <c r="D1426" t="s">
        <v>543</v>
      </c>
      <c r="E1426" t="s">
        <v>175</v>
      </c>
      <c r="F1426">
        <v>4500188214</v>
      </c>
      <c r="G1426" t="s">
        <v>5983</v>
      </c>
      <c r="H1426" t="s">
        <v>3334</v>
      </c>
      <c r="I1426" t="s">
        <v>185</v>
      </c>
      <c r="J1426" t="s">
        <v>175</v>
      </c>
      <c r="K1426" s="2">
        <v>25409</v>
      </c>
      <c r="L1426" s="2">
        <v>25409</v>
      </c>
      <c r="M1426" t="str">
        <f>IFERROR(IF(VLOOKUP(LEFT(B1426,2),'Humanitarian codes'!$A$2:$A$10,1,FALSE)=LEFT(B1426,2),"Yes","Error"),"No")</f>
        <v>No</v>
      </c>
    </row>
    <row r="1427" spans="1:13" x14ac:dyDescent="0.25">
      <c r="A1427">
        <v>2022</v>
      </c>
      <c r="B1427" t="s">
        <v>5981</v>
      </c>
      <c r="C1427" t="s">
        <v>5982</v>
      </c>
      <c r="D1427" t="s">
        <v>543</v>
      </c>
      <c r="E1427" t="s">
        <v>128</v>
      </c>
      <c r="F1427">
        <v>4500217335</v>
      </c>
      <c r="G1427" t="s">
        <v>5984</v>
      </c>
      <c r="H1427" t="s">
        <v>3334</v>
      </c>
      <c r="I1427" t="s">
        <v>3981</v>
      </c>
      <c r="J1427" t="s">
        <v>128</v>
      </c>
      <c r="K1427" s="2">
        <v>33210</v>
      </c>
      <c r="L1427" s="2">
        <v>33210</v>
      </c>
      <c r="M1427" t="str">
        <f>IFERROR(IF(VLOOKUP(LEFT(B1427,2),'Humanitarian codes'!$A$2:$A$10,1,FALSE)=LEFT(B1427,2),"Yes","Error"),"No")</f>
        <v>No</v>
      </c>
    </row>
    <row r="1428" spans="1:13" x14ac:dyDescent="0.25">
      <c r="A1428">
        <v>2022</v>
      </c>
      <c r="B1428" t="s">
        <v>1043</v>
      </c>
      <c r="C1428" t="s">
        <v>1044</v>
      </c>
      <c r="D1428" t="s">
        <v>543</v>
      </c>
      <c r="E1428" t="s">
        <v>175</v>
      </c>
      <c r="F1428">
        <v>4500214261</v>
      </c>
      <c r="G1428" t="s">
        <v>5985</v>
      </c>
      <c r="H1428" t="s">
        <v>3334</v>
      </c>
      <c r="I1428" t="s">
        <v>1045</v>
      </c>
      <c r="J1428" t="s">
        <v>175</v>
      </c>
      <c r="K1428" s="2">
        <v>490202</v>
      </c>
      <c r="L1428" s="2">
        <v>490202</v>
      </c>
      <c r="M1428" t="str">
        <f>IFERROR(IF(VLOOKUP(LEFT(B1428,2),'Humanitarian codes'!$A$2:$A$10,1,FALSE)=LEFT(B1428,2),"Yes","Error"),"No")</f>
        <v>No</v>
      </c>
    </row>
    <row r="1429" spans="1:13" x14ac:dyDescent="0.25">
      <c r="A1429">
        <v>2022</v>
      </c>
      <c r="B1429" t="s">
        <v>1043</v>
      </c>
      <c r="C1429" t="s">
        <v>1044</v>
      </c>
      <c r="D1429" t="s">
        <v>543</v>
      </c>
      <c r="E1429" t="s">
        <v>175</v>
      </c>
      <c r="F1429">
        <v>4500214493</v>
      </c>
      <c r="G1429" t="s">
        <v>5986</v>
      </c>
      <c r="H1429" t="s">
        <v>3334</v>
      </c>
      <c r="I1429" t="s">
        <v>5987</v>
      </c>
      <c r="J1429" t="s">
        <v>175</v>
      </c>
      <c r="K1429" s="2">
        <v>535926</v>
      </c>
      <c r="L1429" s="2">
        <v>535926</v>
      </c>
      <c r="M1429" t="str">
        <f>IFERROR(IF(VLOOKUP(LEFT(B1429,2),'Humanitarian codes'!$A$2:$A$10,1,FALSE)=LEFT(B1429,2),"Yes","Error"),"No")</f>
        <v>No</v>
      </c>
    </row>
    <row r="1430" spans="1:13" x14ac:dyDescent="0.25">
      <c r="A1430">
        <v>2022</v>
      </c>
      <c r="B1430" t="s">
        <v>5988</v>
      </c>
      <c r="C1430" t="s">
        <v>5989</v>
      </c>
      <c r="D1430" t="s">
        <v>543</v>
      </c>
      <c r="E1430" t="s">
        <v>2076</v>
      </c>
      <c r="F1430">
        <v>4500193778</v>
      </c>
      <c r="G1430" t="s">
        <v>5990</v>
      </c>
      <c r="H1430" t="s">
        <v>3334</v>
      </c>
      <c r="I1430" t="s">
        <v>5991</v>
      </c>
      <c r="J1430" t="s">
        <v>5547</v>
      </c>
      <c r="K1430" s="2">
        <v>22690</v>
      </c>
      <c r="L1430" s="2">
        <v>22690</v>
      </c>
      <c r="M1430" t="str">
        <f>IFERROR(IF(VLOOKUP(LEFT(B1430,2),'Humanitarian codes'!$A$2:$A$10,1,FALSE)=LEFT(B1430,2),"Yes","Error"),"No")</f>
        <v>No</v>
      </c>
    </row>
    <row r="1431" spans="1:13" x14ac:dyDescent="0.25">
      <c r="A1431">
        <v>2022</v>
      </c>
      <c r="B1431" t="s">
        <v>5992</v>
      </c>
      <c r="C1431" t="s">
        <v>5993</v>
      </c>
      <c r="D1431" t="s">
        <v>543</v>
      </c>
      <c r="E1431" t="s">
        <v>940</v>
      </c>
      <c r="F1431">
        <v>4500227564</v>
      </c>
      <c r="G1431" t="s">
        <v>5994</v>
      </c>
      <c r="H1431" t="s">
        <v>3334</v>
      </c>
      <c r="I1431" t="s">
        <v>5995</v>
      </c>
      <c r="J1431" t="s">
        <v>940</v>
      </c>
      <c r="K1431" s="2">
        <v>65214</v>
      </c>
      <c r="L1431" s="2">
        <v>65214</v>
      </c>
      <c r="M1431" t="str">
        <f>IFERROR(IF(VLOOKUP(LEFT(B1431,2),'Humanitarian codes'!$A$2:$A$10,1,FALSE)=LEFT(B1431,2),"Yes","Error"),"No")</f>
        <v>No</v>
      </c>
    </row>
    <row r="1432" spans="1:13" x14ac:dyDescent="0.25">
      <c r="A1432">
        <v>2022</v>
      </c>
      <c r="B1432" t="s">
        <v>5996</v>
      </c>
      <c r="C1432" t="s">
        <v>5997</v>
      </c>
      <c r="D1432" t="s">
        <v>543</v>
      </c>
      <c r="E1432" t="s">
        <v>1504</v>
      </c>
      <c r="F1432">
        <v>4500180618</v>
      </c>
      <c r="G1432" t="s">
        <v>5998</v>
      </c>
      <c r="H1432" t="s">
        <v>3334</v>
      </c>
      <c r="I1432" t="s">
        <v>5999</v>
      </c>
      <c r="J1432" t="s">
        <v>1504</v>
      </c>
      <c r="K1432">
        <v>464</v>
      </c>
      <c r="L1432">
        <v>464</v>
      </c>
      <c r="M1432" t="str">
        <f>IFERROR(IF(VLOOKUP(LEFT(B1432,2),'Humanitarian codes'!$A$2:$A$10,1,FALSE)=LEFT(B1432,2),"Yes","Error"),"No")</f>
        <v>No</v>
      </c>
    </row>
    <row r="1433" spans="1:13" x14ac:dyDescent="0.25">
      <c r="A1433">
        <v>2022</v>
      </c>
      <c r="B1433" t="s">
        <v>5996</v>
      </c>
      <c r="C1433" t="s">
        <v>5997</v>
      </c>
      <c r="D1433" t="s">
        <v>543</v>
      </c>
      <c r="E1433" t="s">
        <v>1504</v>
      </c>
      <c r="F1433">
        <v>4500182321</v>
      </c>
      <c r="G1433" t="s">
        <v>6000</v>
      </c>
      <c r="H1433" t="s">
        <v>3334</v>
      </c>
      <c r="I1433" t="s">
        <v>6001</v>
      </c>
      <c r="J1433" t="s">
        <v>1504</v>
      </c>
      <c r="K1433" s="2">
        <v>1164</v>
      </c>
      <c r="L1433" s="2">
        <v>1164</v>
      </c>
      <c r="M1433" t="str">
        <f>IFERROR(IF(VLOOKUP(LEFT(B1433,2),'Humanitarian codes'!$A$2:$A$10,1,FALSE)=LEFT(B1433,2),"Yes","Error"),"No")</f>
        <v>No</v>
      </c>
    </row>
    <row r="1434" spans="1:13" x14ac:dyDescent="0.25">
      <c r="A1434">
        <v>2022</v>
      </c>
      <c r="B1434" t="s">
        <v>5996</v>
      </c>
      <c r="C1434" t="s">
        <v>5997</v>
      </c>
      <c r="D1434" t="s">
        <v>543</v>
      </c>
      <c r="E1434" t="s">
        <v>1504</v>
      </c>
      <c r="F1434">
        <v>4500187598</v>
      </c>
      <c r="G1434" t="s">
        <v>6002</v>
      </c>
      <c r="H1434" t="s">
        <v>3334</v>
      </c>
      <c r="I1434" t="s">
        <v>6003</v>
      </c>
      <c r="J1434" t="s">
        <v>1504</v>
      </c>
      <c r="K1434" s="2">
        <v>1882</v>
      </c>
      <c r="L1434" s="2">
        <v>1882</v>
      </c>
      <c r="M1434" t="str">
        <f>IFERROR(IF(VLOOKUP(LEFT(B1434,2),'Humanitarian codes'!$A$2:$A$10,1,FALSE)=LEFT(B1434,2),"Yes","Error"),"No")</f>
        <v>No</v>
      </c>
    </row>
    <row r="1435" spans="1:13" x14ac:dyDescent="0.25">
      <c r="A1435">
        <v>2022</v>
      </c>
      <c r="B1435" t="s">
        <v>5996</v>
      </c>
      <c r="C1435" t="s">
        <v>5997</v>
      </c>
      <c r="D1435" t="s">
        <v>543</v>
      </c>
      <c r="E1435" t="s">
        <v>1504</v>
      </c>
      <c r="F1435">
        <v>4500191553</v>
      </c>
      <c r="G1435" t="s">
        <v>6004</v>
      </c>
      <c r="H1435" t="s">
        <v>3334</v>
      </c>
      <c r="I1435" t="s">
        <v>6005</v>
      </c>
      <c r="J1435" t="s">
        <v>1504</v>
      </c>
      <c r="K1435">
        <v>436</v>
      </c>
      <c r="L1435">
        <v>436</v>
      </c>
      <c r="M1435" t="str">
        <f>IFERROR(IF(VLOOKUP(LEFT(B1435,2),'Humanitarian codes'!$A$2:$A$10,1,FALSE)=LEFT(B1435,2),"Yes","Error"),"No")</f>
        <v>No</v>
      </c>
    </row>
    <row r="1436" spans="1:13" x14ac:dyDescent="0.25">
      <c r="A1436">
        <v>2022</v>
      </c>
      <c r="B1436" t="s">
        <v>5996</v>
      </c>
      <c r="C1436" t="s">
        <v>5997</v>
      </c>
      <c r="D1436" t="s">
        <v>543</v>
      </c>
      <c r="E1436" t="s">
        <v>1504</v>
      </c>
      <c r="F1436">
        <v>4500209974</v>
      </c>
      <c r="G1436" t="s">
        <v>6006</v>
      </c>
      <c r="H1436" t="s">
        <v>3334</v>
      </c>
      <c r="I1436" t="s">
        <v>6007</v>
      </c>
      <c r="J1436" t="s">
        <v>1504</v>
      </c>
      <c r="K1436">
        <v>999</v>
      </c>
      <c r="L1436">
        <v>999</v>
      </c>
      <c r="M1436" t="str">
        <f>IFERROR(IF(VLOOKUP(LEFT(B1436,2),'Humanitarian codes'!$A$2:$A$10,1,FALSE)=LEFT(B1436,2),"Yes","Error"),"No")</f>
        <v>No</v>
      </c>
    </row>
    <row r="1437" spans="1:13" x14ac:dyDescent="0.25">
      <c r="A1437">
        <v>2022</v>
      </c>
      <c r="B1437" t="s">
        <v>6008</v>
      </c>
      <c r="C1437" t="s">
        <v>6009</v>
      </c>
      <c r="D1437" t="s">
        <v>543</v>
      </c>
      <c r="E1437" t="s">
        <v>518</v>
      </c>
      <c r="F1437">
        <v>4500247899</v>
      </c>
      <c r="G1437" t="s">
        <v>6010</v>
      </c>
      <c r="H1437" t="s">
        <v>3334</v>
      </c>
      <c r="I1437" t="s">
        <v>6011</v>
      </c>
      <c r="J1437" t="s">
        <v>518</v>
      </c>
      <c r="K1437" s="2">
        <v>25000</v>
      </c>
      <c r="L1437" s="2">
        <v>25000</v>
      </c>
      <c r="M1437" t="str">
        <f>IFERROR(IF(VLOOKUP(LEFT(B1437,2),'Humanitarian codes'!$A$2:$A$10,1,FALSE)=LEFT(B1437,2),"Yes","Error"),"No")</f>
        <v>No</v>
      </c>
    </row>
    <row r="1438" spans="1:13" x14ac:dyDescent="0.25">
      <c r="A1438">
        <v>2022</v>
      </c>
      <c r="B1438" t="s">
        <v>6008</v>
      </c>
      <c r="C1438" t="s">
        <v>6009</v>
      </c>
      <c r="D1438" t="s">
        <v>543</v>
      </c>
      <c r="E1438" t="s">
        <v>518</v>
      </c>
      <c r="F1438">
        <v>4500249521</v>
      </c>
      <c r="G1438" t="s">
        <v>6012</v>
      </c>
      <c r="H1438" t="s">
        <v>3334</v>
      </c>
      <c r="I1438" t="s">
        <v>2094</v>
      </c>
      <c r="J1438" t="s">
        <v>518</v>
      </c>
      <c r="K1438" s="2">
        <v>5000</v>
      </c>
      <c r="L1438" s="2">
        <v>5000</v>
      </c>
      <c r="M1438" t="str">
        <f>IFERROR(IF(VLOOKUP(LEFT(B1438,2),'Humanitarian codes'!$A$2:$A$10,1,FALSE)=LEFT(B1438,2),"Yes","Error"),"No")</f>
        <v>No</v>
      </c>
    </row>
    <row r="1439" spans="1:13" x14ac:dyDescent="0.25">
      <c r="A1439">
        <v>2022</v>
      </c>
      <c r="B1439" t="s">
        <v>6008</v>
      </c>
      <c r="C1439" t="s">
        <v>6009</v>
      </c>
      <c r="D1439" t="s">
        <v>543</v>
      </c>
      <c r="E1439" t="s">
        <v>167</v>
      </c>
      <c r="F1439">
        <v>4500239758</v>
      </c>
      <c r="G1439" t="s">
        <v>5522</v>
      </c>
      <c r="H1439" t="s">
        <v>3334</v>
      </c>
      <c r="I1439" t="s">
        <v>516</v>
      </c>
      <c r="J1439" t="s">
        <v>167</v>
      </c>
      <c r="K1439" s="2">
        <v>5244</v>
      </c>
      <c r="L1439" s="2">
        <v>104873</v>
      </c>
      <c r="M1439" t="str">
        <f>IFERROR(IF(VLOOKUP(LEFT(B1439,2),'Humanitarian codes'!$A$2:$A$10,1,FALSE)=LEFT(B1439,2),"Yes","Error"),"No")</f>
        <v>No</v>
      </c>
    </row>
    <row r="1440" spans="1:13" x14ac:dyDescent="0.25">
      <c r="A1440">
        <v>2022</v>
      </c>
      <c r="B1440" t="s">
        <v>6013</v>
      </c>
      <c r="C1440" t="s">
        <v>6014</v>
      </c>
      <c r="D1440" t="s">
        <v>543</v>
      </c>
      <c r="E1440" t="s">
        <v>523</v>
      </c>
      <c r="F1440">
        <v>4500182940</v>
      </c>
      <c r="G1440" t="s">
        <v>6015</v>
      </c>
      <c r="H1440" t="s">
        <v>3334</v>
      </c>
      <c r="I1440" t="s">
        <v>6016</v>
      </c>
      <c r="J1440" t="s">
        <v>523</v>
      </c>
      <c r="K1440" s="2">
        <v>16088</v>
      </c>
      <c r="L1440" s="2">
        <v>16088</v>
      </c>
      <c r="M1440" t="str">
        <f>IFERROR(IF(VLOOKUP(LEFT(B1440,2),'Humanitarian codes'!$A$2:$A$10,1,FALSE)=LEFT(B1440,2),"Yes","Error"),"No")</f>
        <v>No</v>
      </c>
    </row>
    <row r="1441" spans="1:13" x14ac:dyDescent="0.25">
      <c r="A1441">
        <v>2022</v>
      </c>
      <c r="B1441" t="s">
        <v>6013</v>
      </c>
      <c r="C1441" t="s">
        <v>6014</v>
      </c>
      <c r="D1441" t="s">
        <v>543</v>
      </c>
      <c r="E1441" t="s">
        <v>523</v>
      </c>
      <c r="F1441">
        <v>4500218662</v>
      </c>
      <c r="G1441" t="s">
        <v>6017</v>
      </c>
      <c r="H1441" t="s">
        <v>3334</v>
      </c>
      <c r="I1441" t="s">
        <v>6016</v>
      </c>
      <c r="J1441" t="s">
        <v>523</v>
      </c>
      <c r="K1441" s="2">
        <v>137926</v>
      </c>
      <c r="L1441" s="2">
        <v>137926</v>
      </c>
      <c r="M1441" t="str">
        <f>IFERROR(IF(VLOOKUP(LEFT(B1441,2),'Humanitarian codes'!$A$2:$A$10,1,FALSE)=LEFT(B1441,2),"Yes","Error"),"No")</f>
        <v>No</v>
      </c>
    </row>
    <row r="1442" spans="1:13" x14ac:dyDescent="0.25">
      <c r="A1442">
        <v>2022</v>
      </c>
      <c r="B1442" t="s">
        <v>6013</v>
      </c>
      <c r="C1442" t="s">
        <v>6014</v>
      </c>
      <c r="D1442" t="s">
        <v>543</v>
      </c>
      <c r="E1442" t="s">
        <v>523</v>
      </c>
      <c r="F1442">
        <v>4500241019</v>
      </c>
      <c r="G1442" t="s">
        <v>6018</v>
      </c>
      <c r="H1442" t="s">
        <v>3334</v>
      </c>
      <c r="I1442" t="s">
        <v>6016</v>
      </c>
      <c r="J1442" t="s">
        <v>523</v>
      </c>
      <c r="K1442" s="2">
        <v>255435</v>
      </c>
      <c r="L1442" s="2">
        <v>255435</v>
      </c>
      <c r="M1442" t="str">
        <f>IFERROR(IF(VLOOKUP(LEFT(B1442,2),'Humanitarian codes'!$A$2:$A$10,1,FALSE)=LEFT(B1442,2),"Yes","Error"),"No")</f>
        <v>No</v>
      </c>
    </row>
    <row r="1443" spans="1:13" x14ac:dyDescent="0.25">
      <c r="A1443">
        <v>2022</v>
      </c>
      <c r="B1443" t="s">
        <v>6019</v>
      </c>
      <c r="C1443" t="s">
        <v>6020</v>
      </c>
      <c r="D1443" t="s">
        <v>543</v>
      </c>
      <c r="E1443" t="s">
        <v>477</v>
      </c>
      <c r="F1443">
        <v>4500201591</v>
      </c>
      <c r="G1443" t="s">
        <v>6021</v>
      </c>
      <c r="H1443" t="s">
        <v>3334</v>
      </c>
      <c r="I1443" t="s">
        <v>745</v>
      </c>
      <c r="J1443" t="s">
        <v>477</v>
      </c>
      <c r="K1443">
        <v>758</v>
      </c>
      <c r="L1443">
        <v>758</v>
      </c>
      <c r="M1443" t="str">
        <f>IFERROR(IF(VLOOKUP(LEFT(B1443,2),'Humanitarian codes'!$A$2:$A$10,1,FALSE)=LEFT(B1443,2),"Yes","Error"),"No")</f>
        <v>No</v>
      </c>
    </row>
    <row r="1444" spans="1:13" x14ac:dyDescent="0.25">
      <c r="A1444">
        <v>2022</v>
      </c>
      <c r="B1444" t="s">
        <v>6019</v>
      </c>
      <c r="C1444" t="s">
        <v>6020</v>
      </c>
      <c r="D1444" t="s">
        <v>543</v>
      </c>
      <c r="E1444" t="s">
        <v>477</v>
      </c>
      <c r="F1444">
        <v>4500220253</v>
      </c>
      <c r="G1444" t="s">
        <v>6022</v>
      </c>
      <c r="H1444" t="s">
        <v>3334</v>
      </c>
      <c r="I1444" t="s">
        <v>745</v>
      </c>
      <c r="J1444" t="s">
        <v>477</v>
      </c>
      <c r="K1444">
        <v>938</v>
      </c>
      <c r="L1444">
        <v>938</v>
      </c>
      <c r="M1444" t="str">
        <f>IFERROR(IF(VLOOKUP(LEFT(B1444,2),'Humanitarian codes'!$A$2:$A$10,1,FALSE)=LEFT(B1444,2),"Yes","Error"),"No")</f>
        <v>No</v>
      </c>
    </row>
    <row r="1445" spans="1:13" x14ac:dyDescent="0.25">
      <c r="A1445">
        <v>2022</v>
      </c>
      <c r="B1445" t="s">
        <v>6019</v>
      </c>
      <c r="C1445" t="s">
        <v>6020</v>
      </c>
      <c r="D1445" t="s">
        <v>543</v>
      </c>
      <c r="E1445" t="s">
        <v>477</v>
      </c>
      <c r="F1445">
        <v>4500220255</v>
      </c>
      <c r="G1445" t="s">
        <v>6023</v>
      </c>
      <c r="H1445" t="s">
        <v>3334</v>
      </c>
      <c r="I1445" t="s">
        <v>1566</v>
      </c>
      <c r="J1445" t="s">
        <v>477</v>
      </c>
      <c r="K1445">
        <v>894</v>
      </c>
      <c r="L1445">
        <v>894</v>
      </c>
      <c r="M1445" t="str">
        <f>IFERROR(IF(VLOOKUP(LEFT(B1445,2),'Humanitarian codes'!$A$2:$A$10,1,FALSE)=LEFT(B1445,2),"Yes","Error"),"No")</f>
        <v>No</v>
      </c>
    </row>
    <row r="1446" spans="1:13" x14ac:dyDescent="0.25">
      <c r="A1446">
        <v>2022</v>
      </c>
      <c r="B1446" t="s">
        <v>6019</v>
      </c>
      <c r="C1446" t="s">
        <v>6020</v>
      </c>
      <c r="D1446" t="s">
        <v>543</v>
      </c>
      <c r="E1446" t="s">
        <v>477</v>
      </c>
      <c r="F1446">
        <v>4500228224</v>
      </c>
      <c r="G1446" t="s">
        <v>6024</v>
      </c>
      <c r="H1446" t="s">
        <v>3334</v>
      </c>
      <c r="I1446" t="s">
        <v>745</v>
      </c>
      <c r="J1446" t="s">
        <v>477</v>
      </c>
      <c r="K1446" s="2">
        <v>2893</v>
      </c>
      <c r="L1446" s="2">
        <v>2893</v>
      </c>
      <c r="M1446" t="str">
        <f>IFERROR(IF(VLOOKUP(LEFT(B1446,2),'Humanitarian codes'!$A$2:$A$10,1,FALSE)=LEFT(B1446,2),"Yes","Error"),"No")</f>
        <v>No</v>
      </c>
    </row>
    <row r="1447" spans="1:13" x14ac:dyDescent="0.25">
      <c r="A1447">
        <v>2022</v>
      </c>
      <c r="B1447" t="s">
        <v>6019</v>
      </c>
      <c r="C1447" t="s">
        <v>6020</v>
      </c>
      <c r="D1447" t="s">
        <v>543</v>
      </c>
      <c r="E1447" t="s">
        <v>477</v>
      </c>
      <c r="F1447">
        <v>4500264746</v>
      </c>
      <c r="G1447" t="s">
        <v>6025</v>
      </c>
      <c r="H1447" t="s">
        <v>3334</v>
      </c>
      <c r="I1447" t="s">
        <v>1566</v>
      </c>
      <c r="J1447" t="s">
        <v>477</v>
      </c>
      <c r="K1447">
        <v>910</v>
      </c>
      <c r="L1447">
        <v>910</v>
      </c>
      <c r="M1447" t="str">
        <f>IFERROR(IF(VLOOKUP(LEFT(B1447,2),'Humanitarian codes'!$A$2:$A$10,1,FALSE)=LEFT(B1447,2),"Yes","Error"),"No")</f>
        <v>No</v>
      </c>
    </row>
    <row r="1448" spans="1:13" x14ac:dyDescent="0.25">
      <c r="A1448">
        <v>2022</v>
      </c>
      <c r="B1448" t="s">
        <v>6019</v>
      </c>
      <c r="C1448" t="s">
        <v>6020</v>
      </c>
      <c r="D1448" t="s">
        <v>543</v>
      </c>
      <c r="E1448" t="s">
        <v>477</v>
      </c>
      <c r="F1448">
        <v>4500272061</v>
      </c>
      <c r="G1448" t="s">
        <v>6026</v>
      </c>
      <c r="H1448" t="s">
        <v>3334</v>
      </c>
      <c r="I1448" t="s">
        <v>745</v>
      </c>
      <c r="J1448" t="s">
        <v>477</v>
      </c>
      <c r="K1448" s="2">
        <v>59478</v>
      </c>
      <c r="L1448" s="2">
        <v>59478</v>
      </c>
      <c r="M1448" t="str">
        <f>IFERROR(IF(VLOOKUP(LEFT(B1448,2),'Humanitarian codes'!$A$2:$A$10,1,FALSE)=LEFT(B1448,2),"Yes","Error"),"No")</f>
        <v>No</v>
      </c>
    </row>
    <row r="1449" spans="1:13" x14ac:dyDescent="0.25">
      <c r="A1449">
        <v>2022</v>
      </c>
      <c r="B1449" t="s">
        <v>6019</v>
      </c>
      <c r="C1449" t="s">
        <v>6020</v>
      </c>
      <c r="D1449" t="s">
        <v>543</v>
      </c>
      <c r="E1449" t="s">
        <v>477</v>
      </c>
      <c r="F1449">
        <v>4500272072</v>
      </c>
      <c r="G1449" t="s">
        <v>6026</v>
      </c>
      <c r="H1449" t="s">
        <v>3334</v>
      </c>
      <c r="I1449" t="s">
        <v>1566</v>
      </c>
      <c r="J1449" t="s">
        <v>477</v>
      </c>
      <c r="K1449" s="2">
        <v>59849</v>
      </c>
      <c r="L1449" s="2">
        <v>59849</v>
      </c>
      <c r="M1449" t="str">
        <f>IFERROR(IF(VLOOKUP(LEFT(B1449,2),'Humanitarian codes'!$A$2:$A$10,1,FALSE)=LEFT(B1449,2),"Yes","Error"),"No")</f>
        <v>No</v>
      </c>
    </row>
    <row r="1450" spans="1:13" x14ac:dyDescent="0.25">
      <c r="A1450">
        <v>2022</v>
      </c>
      <c r="B1450" t="s">
        <v>6027</v>
      </c>
      <c r="C1450" t="s">
        <v>6028</v>
      </c>
      <c r="D1450" t="s">
        <v>543</v>
      </c>
      <c r="E1450" t="s">
        <v>1481</v>
      </c>
      <c r="F1450">
        <v>4500259206</v>
      </c>
      <c r="G1450" t="s">
        <v>6029</v>
      </c>
      <c r="H1450" t="s">
        <v>3334</v>
      </c>
      <c r="I1450" t="s">
        <v>6030</v>
      </c>
      <c r="J1450" t="s">
        <v>1481</v>
      </c>
      <c r="K1450" s="2">
        <v>8263</v>
      </c>
      <c r="L1450" s="2">
        <v>8263</v>
      </c>
      <c r="M1450" t="str">
        <f>IFERROR(IF(VLOOKUP(LEFT(B1450,2),'Humanitarian codes'!$A$2:$A$10,1,FALSE)=LEFT(B1450,2),"Yes","Error"),"No")</f>
        <v>No</v>
      </c>
    </row>
    <row r="1451" spans="1:13" x14ac:dyDescent="0.25">
      <c r="A1451">
        <v>2022</v>
      </c>
      <c r="B1451" t="s">
        <v>2128</v>
      </c>
      <c r="C1451" t="s">
        <v>2129</v>
      </c>
      <c r="D1451" t="s">
        <v>543</v>
      </c>
      <c r="E1451" t="s">
        <v>2130</v>
      </c>
      <c r="F1451">
        <v>4500199237</v>
      </c>
      <c r="G1451" t="s">
        <v>6031</v>
      </c>
      <c r="H1451" t="s">
        <v>3334</v>
      </c>
      <c r="I1451" t="s">
        <v>1036</v>
      </c>
      <c r="J1451" t="s">
        <v>616</v>
      </c>
      <c r="K1451" s="2">
        <v>937749</v>
      </c>
      <c r="L1451" s="2">
        <v>937749</v>
      </c>
      <c r="M1451" t="str">
        <f>IFERROR(IF(VLOOKUP(LEFT(B1451,2),'Humanitarian codes'!$A$2:$A$10,1,FALSE)=LEFT(B1451,2),"Yes","Error"),"No")</f>
        <v>No</v>
      </c>
    </row>
    <row r="1452" spans="1:13" x14ac:dyDescent="0.25">
      <c r="A1452">
        <v>2022</v>
      </c>
      <c r="B1452" t="s">
        <v>3187</v>
      </c>
      <c r="C1452" t="s">
        <v>2133</v>
      </c>
      <c r="D1452" t="s">
        <v>543</v>
      </c>
      <c r="E1452" t="s">
        <v>330</v>
      </c>
      <c r="F1452">
        <v>4500214244</v>
      </c>
      <c r="G1452" t="s">
        <v>6032</v>
      </c>
      <c r="H1452" t="s">
        <v>3334</v>
      </c>
      <c r="I1452" t="s">
        <v>1722</v>
      </c>
      <c r="J1452" t="s">
        <v>330</v>
      </c>
      <c r="K1452" s="2">
        <v>16313</v>
      </c>
      <c r="L1452" s="2">
        <v>233049</v>
      </c>
      <c r="M1452" t="str">
        <f>IFERROR(IF(VLOOKUP(LEFT(B1452,2),'Humanitarian codes'!$A$2:$A$10,1,FALSE)=LEFT(B1452,2),"Yes","Error"),"No")</f>
        <v>No</v>
      </c>
    </row>
    <row r="1453" spans="1:13" x14ac:dyDescent="0.25">
      <c r="A1453">
        <v>2022</v>
      </c>
      <c r="B1453" t="s">
        <v>3187</v>
      </c>
      <c r="C1453" t="s">
        <v>2133</v>
      </c>
      <c r="D1453" t="s">
        <v>543</v>
      </c>
      <c r="E1453" t="s">
        <v>330</v>
      </c>
      <c r="F1453">
        <v>4500216036</v>
      </c>
      <c r="G1453" t="s">
        <v>5299</v>
      </c>
      <c r="H1453" t="s">
        <v>3334</v>
      </c>
      <c r="I1453" t="s">
        <v>2689</v>
      </c>
      <c r="J1453" t="s">
        <v>330</v>
      </c>
      <c r="K1453" s="2">
        <v>34385</v>
      </c>
      <c r="L1453" s="2">
        <v>137541</v>
      </c>
      <c r="M1453" t="str">
        <f>IFERROR(IF(VLOOKUP(LEFT(B1453,2),'Humanitarian codes'!$A$2:$A$10,1,FALSE)=LEFT(B1453,2),"Yes","Error"),"No")</f>
        <v>No</v>
      </c>
    </row>
    <row r="1454" spans="1:13" x14ac:dyDescent="0.25">
      <c r="A1454">
        <v>2022</v>
      </c>
      <c r="B1454" t="s">
        <v>3187</v>
      </c>
      <c r="C1454" t="s">
        <v>2133</v>
      </c>
      <c r="D1454" t="s">
        <v>543</v>
      </c>
      <c r="E1454" t="s">
        <v>534</v>
      </c>
      <c r="F1454">
        <v>4500250801</v>
      </c>
      <c r="G1454" t="s">
        <v>6033</v>
      </c>
      <c r="H1454" t="s">
        <v>3334</v>
      </c>
      <c r="I1454" t="s">
        <v>6034</v>
      </c>
      <c r="J1454" t="s">
        <v>534</v>
      </c>
      <c r="K1454" s="2">
        <v>40228</v>
      </c>
      <c r="L1454" s="2">
        <v>40228</v>
      </c>
      <c r="M1454" t="str">
        <f>IFERROR(IF(VLOOKUP(LEFT(B1454,2),'Humanitarian codes'!$A$2:$A$10,1,FALSE)=LEFT(B1454,2),"Yes","Error"),"No")</f>
        <v>No</v>
      </c>
    </row>
    <row r="1455" spans="1:13" x14ac:dyDescent="0.25">
      <c r="A1455">
        <v>2022</v>
      </c>
      <c r="B1455" t="s">
        <v>3187</v>
      </c>
      <c r="C1455" t="s">
        <v>2133</v>
      </c>
      <c r="D1455" t="s">
        <v>543</v>
      </c>
      <c r="E1455" t="s">
        <v>717</v>
      </c>
      <c r="F1455">
        <v>4500208600</v>
      </c>
      <c r="G1455" t="s">
        <v>6035</v>
      </c>
      <c r="H1455" t="s">
        <v>3334</v>
      </c>
      <c r="I1455" t="s">
        <v>6036</v>
      </c>
      <c r="J1455" t="s">
        <v>717</v>
      </c>
      <c r="K1455" s="2">
        <v>112567</v>
      </c>
      <c r="L1455" s="2">
        <v>112567</v>
      </c>
      <c r="M1455" t="str">
        <f>IFERROR(IF(VLOOKUP(LEFT(B1455,2),'Humanitarian codes'!$A$2:$A$10,1,FALSE)=LEFT(B1455,2),"Yes","Error"),"No")</f>
        <v>No</v>
      </c>
    </row>
    <row r="1456" spans="1:13" x14ac:dyDescent="0.25">
      <c r="A1456">
        <v>2022</v>
      </c>
      <c r="B1456" t="s">
        <v>3187</v>
      </c>
      <c r="C1456" t="s">
        <v>2133</v>
      </c>
      <c r="D1456" t="s">
        <v>543</v>
      </c>
      <c r="E1456" t="s">
        <v>717</v>
      </c>
      <c r="F1456">
        <v>4500226477</v>
      </c>
      <c r="G1456" t="s">
        <v>4859</v>
      </c>
      <c r="H1456" t="s">
        <v>3334</v>
      </c>
      <c r="I1456" t="s">
        <v>2903</v>
      </c>
      <c r="J1456" t="s">
        <v>717</v>
      </c>
      <c r="K1456" s="2">
        <v>34784</v>
      </c>
      <c r="L1456" s="2">
        <v>40581</v>
      </c>
      <c r="M1456" t="str">
        <f>IFERROR(IF(VLOOKUP(LEFT(B1456,2),'Humanitarian codes'!$A$2:$A$10,1,FALSE)=LEFT(B1456,2),"Yes","Error"),"No")</f>
        <v>No</v>
      </c>
    </row>
    <row r="1457" spans="1:13" x14ac:dyDescent="0.25">
      <c r="A1457">
        <v>2022</v>
      </c>
      <c r="B1457" t="s">
        <v>3187</v>
      </c>
      <c r="C1457" t="s">
        <v>2133</v>
      </c>
      <c r="D1457" t="s">
        <v>543</v>
      </c>
      <c r="E1457" t="s">
        <v>717</v>
      </c>
      <c r="F1457">
        <v>4500252612</v>
      </c>
      <c r="G1457" t="s">
        <v>5206</v>
      </c>
      <c r="H1457" t="s">
        <v>3334</v>
      </c>
      <c r="I1457" t="s">
        <v>720</v>
      </c>
      <c r="J1457" t="s">
        <v>717</v>
      </c>
      <c r="K1457" s="2">
        <v>63928</v>
      </c>
      <c r="L1457" s="2">
        <v>79910</v>
      </c>
      <c r="M1457" t="str">
        <f>IFERROR(IF(VLOOKUP(LEFT(B1457,2),'Humanitarian codes'!$A$2:$A$10,1,FALSE)=LEFT(B1457,2),"Yes","Error"),"No")</f>
        <v>No</v>
      </c>
    </row>
    <row r="1458" spans="1:13" x14ac:dyDescent="0.25">
      <c r="A1458">
        <v>2022</v>
      </c>
      <c r="B1458" t="s">
        <v>3187</v>
      </c>
      <c r="C1458" t="s">
        <v>2133</v>
      </c>
      <c r="D1458" t="s">
        <v>543</v>
      </c>
      <c r="E1458" t="s">
        <v>717</v>
      </c>
      <c r="F1458">
        <v>4500253056</v>
      </c>
      <c r="G1458" t="s">
        <v>5207</v>
      </c>
      <c r="H1458" t="s">
        <v>3334</v>
      </c>
      <c r="I1458" t="s">
        <v>3233</v>
      </c>
      <c r="J1458" t="s">
        <v>717</v>
      </c>
      <c r="K1458" s="2">
        <v>75202</v>
      </c>
      <c r="L1458" s="2">
        <v>90048</v>
      </c>
      <c r="M1458" t="str">
        <f>IFERROR(IF(VLOOKUP(LEFT(B1458,2),'Humanitarian codes'!$A$2:$A$10,1,FALSE)=LEFT(B1458,2),"Yes","Error"),"No")</f>
        <v>No</v>
      </c>
    </row>
    <row r="1459" spans="1:13" x14ac:dyDescent="0.25">
      <c r="A1459">
        <v>2022</v>
      </c>
      <c r="B1459" t="s">
        <v>3187</v>
      </c>
      <c r="C1459" t="s">
        <v>2133</v>
      </c>
      <c r="D1459" t="s">
        <v>543</v>
      </c>
      <c r="E1459" t="s">
        <v>45</v>
      </c>
      <c r="F1459">
        <v>4500232335</v>
      </c>
      <c r="G1459" t="s">
        <v>4843</v>
      </c>
      <c r="H1459" t="s">
        <v>3334</v>
      </c>
      <c r="I1459" t="s">
        <v>3736</v>
      </c>
      <c r="J1459" t="s">
        <v>45</v>
      </c>
      <c r="K1459" s="2">
        <v>20000</v>
      </c>
      <c r="L1459" s="2">
        <v>103003</v>
      </c>
      <c r="M1459" t="str">
        <f>IFERROR(IF(VLOOKUP(LEFT(B1459,2),'Humanitarian codes'!$A$2:$A$10,1,FALSE)=LEFT(B1459,2),"Yes","Error"),"No")</f>
        <v>No</v>
      </c>
    </row>
    <row r="1460" spans="1:13" x14ac:dyDescent="0.25">
      <c r="A1460">
        <v>2022</v>
      </c>
      <c r="B1460" t="s">
        <v>3187</v>
      </c>
      <c r="C1460" t="s">
        <v>2133</v>
      </c>
      <c r="D1460" t="s">
        <v>543</v>
      </c>
      <c r="E1460" t="s">
        <v>45</v>
      </c>
      <c r="F1460">
        <v>4500246111</v>
      </c>
      <c r="G1460" t="s">
        <v>4954</v>
      </c>
      <c r="H1460" t="s">
        <v>3334</v>
      </c>
      <c r="I1460" t="s">
        <v>1109</v>
      </c>
      <c r="J1460" t="s">
        <v>45</v>
      </c>
      <c r="K1460" s="2">
        <v>25000</v>
      </c>
      <c r="L1460" s="2">
        <v>25000</v>
      </c>
      <c r="M1460" t="str">
        <f>IFERROR(IF(VLOOKUP(LEFT(B1460,2),'Humanitarian codes'!$A$2:$A$10,1,FALSE)=LEFT(B1460,2),"Yes","Error"),"No")</f>
        <v>No</v>
      </c>
    </row>
    <row r="1461" spans="1:13" x14ac:dyDescent="0.25">
      <c r="A1461">
        <v>2022</v>
      </c>
      <c r="B1461" t="s">
        <v>3187</v>
      </c>
      <c r="C1461" t="s">
        <v>2133</v>
      </c>
      <c r="D1461" t="s">
        <v>543</v>
      </c>
      <c r="E1461" t="s">
        <v>226</v>
      </c>
      <c r="F1461">
        <v>4500213119</v>
      </c>
      <c r="G1461" t="s">
        <v>6037</v>
      </c>
      <c r="H1461" t="s">
        <v>3334</v>
      </c>
      <c r="I1461" t="s">
        <v>2514</v>
      </c>
      <c r="J1461" t="s">
        <v>226</v>
      </c>
      <c r="K1461" s="2">
        <v>40794</v>
      </c>
      <c r="L1461" s="2">
        <v>40794</v>
      </c>
      <c r="M1461" t="str">
        <f>IFERROR(IF(VLOOKUP(LEFT(B1461,2),'Humanitarian codes'!$A$2:$A$10,1,FALSE)=LEFT(B1461,2),"Yes","Error"),"No")</f>
        <v>No</v>
      </c>
    </row>
    <row r="1462" spans="1:13" x14ac:dyDescent="0.25">
      <c r="A1462">
        <v>2022</v>
      </c>
      <c r="B1462" t="s">
        <v>3187</v>
      </c>
      <c r="C1462" t="s">
        <v>2133</v>
      </c>
      <c r="D1462" t="s">
        <v>543</v>
      </c>
      <c r="E1462" t="s">
        <v>226</v>
      </c>
      <c r="F1462">
        <v>4500254788</v>
      </c>
      <c r="G1462" t="s">
        <v>6038</v>
      </c>
      <c r="H1462" t="s">
        <v>3334</v>
      </c>
      <c r="I1462" t="s">
        <v>2514</v>
      </c>
      <c r="J1462" t="s">
        <v>226</v>
      </c>
      <c r="K1462" s="2">
        <v>37823</v>
      </c>
      <c r="L1462" s="2">
        <v>37823</v>
      </c>
      <c r="M1462" t="str">
        <f>IFERROR(IF(VLOOKUP(LEFT(B1462,2),'Humanitarian codes'!$A$2:$A$10,1,FALSE)=LEFT(B1462,2),"Yes","Error"),"No")</f>
        <v>No</v>
      </c>
    </row>
    <row r="1463" spans="1:13" x14ac:dyDescent="0.25">
      <c r="A1463">
        <v>2022</v>
      </c>
      <c r="B1463" t="s">
        <v>3187</v>
      </c>
      <c r="C1463" t="s">
        <v>2133</v>
      </c>
      <c r="D1463" t="s">
        <v>543</v>
      </c>
      <c r="E1463" t="s">
        <v>25</v>
      </c>
      <c r="F1463">
        <v>4500235498</v>
      </c>
      <c r="G1463" t="s">
        <v>6039</v>
      </c>
      <c r="H1463" t="s">
        <v>3334</v>
      </c>
      <c r="I1463" t="s">
        <v>1876</v>
      </c>
      <c r="J1463" t="s">
        <v>25</v>
      </c>
      <c r="K1463" s="2">
        <v>24880</v>
      </c>
      <c r="L1463" s="2">
        <v>24880</v>
      </c>
      <c r="M1463" t="str">
        <f>IFERROR(IF(VLOOKUP(LEFT(B1463,2),'Humanitarian codes'!$A$2:$A$10,1,FALSE)=LEFT(B1463,2),"Yes","Error"),"No")</f>
        <v>No</v>
      </c>
    </row>
    <row r="1464" spans="1:13" x14ac:dyDescent="0.25">
      <c r="A1464">
        <v>2022</v>
      </c>
      <c r="B1464" t="s">
        <v>3187</v>
      </c>
      <c r="C1464" t="s">
        <v>2133</v>
      </c>
      <c r="D1464" t="s">
        <v>543</v>
      </c>
      <c r="E1464" t="s">
        <v>132</v>
      </c>
      <c r="F1464">
        <v>4500257589</v>
      </c>
      <c r="G1464" t="s">
        <v>6040</v>
      </c>
      <c r="H1464" t="s">
        <v>3334</v>
      </c>
      <c r="I1464" t="s">
        <v>6041</v>
      </c>
      <c r="J1464" t="s">
        <v>132</v>
      </c>
      <c r="K1464" s="2">
        <v>41815</v>
      </c>
      <c r="L1464" s="2">
        <v>41815</v>
      </c>
      <c r="M1464" t="str">
        <f>IFERROR(IF(VLOOKUP(LEFT(B1464,2),'Humanitarian codes'!$A$2:$A$10,1,FALSE)=LEFT(B1464,2),"Yes","Error"),"No")</f>
        <v>No</v>
      </c>
    </row>
    <row r="1465" spans="1:13" x14ac:dyDescent="0.25">
      <c r="A1465">
        <v>2022</v>
      </c>
      <c r="B1465" t="s">
        <v>3187</v>
      </c>
      <c r="C1465" t="s">
        <v>2133</v>
      </c>
      <c r="D1465" t="s">
        <v>543</v>
      </c>
      <c r="E1465" t="s">
        <v>132</v>
      </c>
      <c r="F1465">
        <v>4500257596</v>
      </c>
      <c r="G1465" t="s">
        <v>6042</v>
      </c>
      <c r="H1465" t="s">
        <v>3334</v>
      </c>
      <c r="I1465" t="s">
        <v>1908</v>
      </c>
      <c r="J1465" t="s">
        <v>132</v>
      </c>
      <c r="K1465" s="2">
        <v>89604</v>
      </c>
      <c r="L1465" s="2">
        <v>89604</v>
      </c>
      <c r="M1465" t="str">
        <f>IFERROR(IF(VLOOKUP(LEFT(B1465,2),'Humanitarian codes'!$A$2:$A$10,1,FALSE)=LEFT(B1465,2),"Yes","Error"),"No")</f>
        <v>No</v>
      </c>
    </row>
    <row r="1466" spans="1:13" x14ac:dyDescent="0.25">
      <c r="A1466">
        <v>2022</v>
      </c>
      <c r="B1466" t="s">
        <v>6043</v>
      </c>
      <c r="C1466" t="s">
        <v>6044</v>
      </c>
      <c r="D1466" t="s">
        <v>543</v>
      </c>
      <c r="E1466" t="s">
        <v>477</v>
      </c>
      <c r="F1466">
        <v>4500206808</v>
      </c>
      <c r="G1466" t="s">
        <v>6045</v>
      </c>
      <c r="H1466" t="s">
        <v>3334</v>
      </c>
      <c r="I1466" t="s">
        <v>1566</v>
      </c>
      <c r="J1466" t="s">
        <v>477</v>
      </c>
      <c r="K1466" s="2">
        <v>4188</v>
      </c>
      <c r="L1466" s="2">
        <v>4188</v>
      </c>
      <c r="M1466" t="str">
        <f>IFERROR(IF(VLOOKUP(LEFT(B1466,2),'Humanitarian codes'!$A$2:$A$10,1,FALSE)=LEFT(B1466,2),"Yes","Error"),"No")</f>
        <v>No</v>
      </c>
    </row>
    <row r="1467" spans="1:13" x14ac:dyDescent="0.25">
      <c r="A1467">
        <v>2022</v>
      </c>
      <c r="B1467" t="s">
        <v>6043</v>
      </c>
      <c r="C1467" t="s">
        <v>6044</v>
      </c>
      <c r="D1467" t="s">
        <v>543</v>
      </c>
      <c r="E1467" t="s">
        <v>477</v>
      </c>
      <c r="F1467">
        <v>4500206823</v>
      </c>
      <c r="G1467" t="s">
        <v>6046</v>
      </c>
      <c r="H1467" t="s">
        <v>3334</v>
      </c>
      <c r="I1467" t="s">
        <v>506</v>
      </c>
      <c r="J1467" t="s">
        <v>477</v>
      </c>
      <c r="K1467" s="2">
        <v>3532</v>
      </c>
      <c r="L1467" s="2">
        <v>3532</v>
      </c>
      <c r="M1467" t="str">
        <f>IFERROR(IF(VLOOKUP(LEFT(B1467,2),'Humanitarian codes'!$A$2:$A$10,1,FALSE)=LEFT(B1467,2),"Yes","Error"),"No")</f>
        <v>No</v>
      </c>
    </row>
    <row r="1468" spans="1:13" x14ac:dyDescent="0.25">
      <c r="A1468">
        <v>2022</v>
      </c>
      <c r="B1468" t="s">
        <v>6043</v>
      </c>
      <c r="C1468" t="s">
        <v>6044</v>
      </c>
      <c r="D1468" t="s">
        <v>543</v>
      </c>
      <c r="E1468" t="s">
        <v>477</v>
      </c>
      <c r="F1468">
        <v>4500206886</v>
      </c>
      <c r="G1468" t="s">
        <v>6047</v>
      </c>
      <c r="H1468" t="s">
        <v>3334</v>
      </c>
      <c r="I1468" t="s">
        <v>745</v>
      </c>
      <c r="J1468" t="s">
        <v>477</v>
      </c>
      <c r="K1468" s="2">
        <v>4321</v>
      </c>
      <c r="L1468" s="2">
        <v>4321</v>
      </c>
      <c r="M1468" t="str">
        <f>IFERROR(IF(VLOOKUP(LEFT(B1468,2),'Humanitarian codes'!$A$2:$A$10,1,FALSE)=LEFT(B1468,2),"Yes","Error"),"No")</f>
        <v>No</v>
      </c>
    </row>
    <row r="1469" spans="1:13" x14ac:dyDescent="0.25">
      <c r="A1469">
        <v>2022</v>
      </c>
      <c r="B1469" t="s">
        <v>6043</v>
      </c>
      <c r="C1469" t="s">
        <v>6044</v>
      </c>
      <c r="D1469" t="s">
        <v>543</v>
      </c>
      <c r="E1469" t="s">
        <v>477</v>
      </c>
      <c r="F1469">
        <v>4500207138</v>
      </c>
      <c r="G1469" t="s">
        <v>6048</v>
      </c>
      <c r="H1469" t="s">
        <v>3334</v>
      </c>
      <c r="I1469" t="s">
        <v>744</v>
      </c>
      <c r="J1469" t="s">
        <v>477</v>
      </c>
      <c r="K1469" s="2">
        <v>3889</v>
      </c>
      <c r="L1469" s="2">
        <v>3889</v>
      </c>
      <c r="M1469" t="str">
        <f>IFERROR(IF(VLOOKUP(LEFT(B1469,2),'Humanitarian codes'!$A$2:$A$10,1,FALSE)=LEFT(B1469,2),"Yes","Error"),"No")</f>
        <v>No</v>
      </c>
    </row>
    <row r="1470" spans="1:13" x14ac:dyDescent="0.25">
      <c r="A1470">
        <v>2022</v>
      </c>
      <c r="B1470" t="s">
        <v>6043</v>
      </c>
      <c r="C1470" t="s">
        <v>6044</v>
      </c>
      <c r="D1470" t="s">
        <v>543</v>
      </c>
      <c r="E1470" t="s">
        <v>477</v>
      </c>
      <c r="F1470">
        <v>4500207139</v>
      </c>
      <c r="G1470" t="s">
        <v>6049</v>
      </c>
      <c r="H1470" t="s">
        <v>3334</v>
      </c>
      <c r="I1470" t="s">
        <v>3200</v>
      </c>
      <c r="J1470" t="s">
        <v>477</v>
      </c>
      <c r="K1470" s="2">
        <v>4621</v>
      </c>
      <c r="L1470" s="2">
        <v>4621</v>
      </c>
      <c r="M1470" t="str">
        <f>IFERROR(IF(VLOOKUP(LEFT(B1470,2),'Humanitarian codes'!$A$2:$A$10,1,FALSE)=LEFT(B1470,2),"Yes","Error"),"No")</f>
        <v>No</v>
      </c>
    </row>
    <row r="1471" spans="1:13" x14ac:dyDescent="0.25">
      <c r="A1471">
        <v>2022</v>
      </c>
      <c r="B1471" t="s">
        <v>6043</v>
      </c>
      <c r="C1471" t="s">
        <v>6044</v>
      </c>
      <c r="D1471" t="s">
        <v>543</v>
      </c>
      <c r="E1471" t="s">
        <v>477</v>
      </c>
      <c r="F1471">
        <v>4500207143</v>
      </c>
      <c r="G1471" t="s">
        <v>6050</v>
      </c>
      <c r="H1471" t="s">
        <v>3334</v>
      </c>
      <c r="I1471" t="s">
        <v>1565</v>
      </c>
      <c r="J1471" t="s">
        <v>477</v>
      </c>
      <c r="K1471" s="2">
        <v>3065</v>
      </c>
      <c r="L1471" s="2">
        <v>3065</v>
      </c>
      <c r="M1471" t="str">
        <f>IFERROR(IF(VLOOKUP(LEFT(B1471,2),'Humanitarian codes'!$A$2:$A$10,1,FALSE)=LEFT(B1471,2),"Yes","Error"),"No")</f>
        <v>No</v>
      </c>
    </row>
    <row r="1472" spans="1:13" x14ac:dyDescent="0.25">
      <c r="A1472">
        <v>2022</v>
      </c>
      <c r="B1472" t="s">
        <v>6043</v>
      </c>
      <c r="C1472" t="s">
        <v>6044</v>
      </c>
      <c r="D1472" t="s">
        <v>543</v>
      </c>
      <c r="E1472" t="s">
        <v>477</v>
      </c>
      <c r="F1472">
        <v>4500212547</v>
      </c>
      <c r="G1472" t="s">
        <v>6051</v>
      </c>
      <c r="H1472" t="s">
        <v>3334</v>
      </c>
      <c r="I1472" t="s">
        <v>3216</v>
      </c>
      <c r="J1472" t="s">
        <v>477</v>
      </c>
      <c r="K1472" s="2">
        <v>2921</v>
      </c>
      <c r="L1472" s="2">
        <v>2921</v>
      </c>
      <c r="M1472" t="str">
        <f>IFERROR(IF(VLOOKUP(LEFT(B1472,2),'Humanitarian codes'!$A$2:$A$10,1,FALSE)=LEFT(B1472,2),"Yes","Error"),"No")</f>
        <v>No</v>
      </c>
    </row>
    <row r="1473" spans="1:13" x14ac:dyDescent="0.25">
      <c r="A1473">
        <v>2022</v>
      </c>
      <c r="B1473" t="s">
        <v>6052</v>
      </c>
      <c r="C1473" t="s">
        <v>6053</v>
      </c>
      <c r="D1473" t="s">
        <v>543</v>
      </c>
      <c r="E1473" t="s">
        <v>159</v>
      </c>
      <c r="F1473">
        <v>4500181896</v>
      </c>
      <c r="G1473" t="s">
        <v>6054</v>
      </c>
      <c r="H1473" t="s">
        <v>3334</v>
      </c>
      <c r="I1473" t="s">
        <v>6055</v>
      </c>
      <c r="J1473" t="s">
        <v>616</v>
      </c>
      <c r="K1473" s="2">
        <v>108023</v>
      </c>
      <c r="L1473" s="2">
        <v>108023</v>
      </c>
      <c r="M1473" t="str">
        <f>IFERROR(IF(VLOOKUP(LEFT(B1473,2),'Humanitarian codes'!$A$2:$A$10,1,FALSE)=LEFT(B1473,2),"Yes","Error"),"No")</f>
        <v>No</v>
      </c>
    </row>
    <row r="1474" spans="1:13" x14ac:dyDescent="0.25">
      <c r="A1474">
        <v>2022</v>
      </c>
      <c r="B1474" t="s">
        <v>6052</v>
      </c>
      <c r="C1474" t="s">
        <v>6053</v>
      </c>
      <c r="D1474" t="s">
        <v>543</v>
      </c>
      <c r="E1474" t="s">
        <v>159</v>
      </c>
      <c r="F1474">
        <v>4500206609</v>
      </c>
      <c r="G1474" t="s">
        <v>6056</v>
      </c>
      <c r="H1474" t="s">
        <v>3334</v>
      </c>
      <c r="I1474" t="s">
        <v>3887</v>
      </c>
      <c r="J1474" t="s">
        <v>159</v>
      </c>
      <c r="K1474" s="2">
        <v>70000</v>
      </c>
      <c r="L1474" s="2">
        <v>70000</v>
      </c>
      <c r="M1474" t="str">
        <f>IFERROR(IF(VLOOKUP(LEFT(B1474,2),'Humanitarian codes'!$A$2:$A$10,1,FALSE)=LEFT(B1474,2),"Yes","Error"),"No")</f>
        <v>No</v>
      </c>
    </row>
    <row r="1475" spans="1:13" x14ac:dyDescent="0.25">
      <c r="A1475">
        <v>2022</v>
      </c>
      <c r="B1475" t="s">
        <v>6057</v>
      </c>
      <c r="C1475" t="s">
        <v>6058</v>
      </c>
      <c r="D1475" t="s">
        <v>543</v>
      </c>
      <c r="E1475" t="s">
        <v>717</v>
      </c>
      <c r="F1475">
        <v>4500266837</v>
      </c>
      <c r="G1475" t="s">
        <v>6059</v>
      </c>
      <c r="H1475" t="s">
        <v>3334</v>
      </c>
      <c r="I1475" t="s">
        <v>6060</v>
      </c>
      <c r="J1475" t="s">
        <v>717</v>
      </c>
      <c r="K1475" s="2">
        <v>82922</v>
      </c>
      <c r="L1475" s="2">
        <v>82922</v>
      </c>
      <c r="M1475" t="str">
        <f>IFERROR(IF(VLOOKUP(LEFT(B1475,2),'Humanitarian codes'!$A$2:$A$10,1,FALSE)=LEFT(B1475,2),"Yes","Error"),"No")</f>
        <v>No</v>
      </c>
    </row>
    <row r="1476" spans="1:13" x14ac:dyDescent="0.25">
      <c r="A1476">
        <v>2022</v>
      </c>
      <c r="B1476" t="s">
        <v>6061</v>
      </c>
      <c r="C1476" t="s">
        <v>6062</v>
      </c>
      <c r="D1476" t="s">
        <v>543</v>
      </c>
      <c r="E1476" t="s">
        <v>1455</v>
      </c>
      <c r="F1476">
        <v>4500203525</v>
      </c>
      <c r="G1476" t="s">
        <v>6063</v>
      </c>
      <c r="H1476" t="s">
        <v>3334</v>
      </c>
      <c r="I1476" t="s">
        <v>6064</v>
      </c>
      <c r="J1476" t="s">
        <v>1455</v>
      </c>
      <c r="K1476" s="2">
        <v>16411</v>
      </c>
      <c r="L1476" s="2">
        <v>16411</v>
      </c>
      <c r="M1476" t="str">
        <f>IFERROR(IF(VLOOKUP(LEFT(B1476,2),'Humanitarian codes'!$A$2:$A$10,1,FALSE)=LEFT(B1476,2),"Yes","Error"),"No")</f>
        <v>No</v>
      </c>
    </row>
    <row r="1477" spans="1:13" x14ac:dyDescent="0.25">
      <c r="A1477">
        <v>2022</v>
      </c>
      <c r="B1477" t="s">
        <v>6065</v>
      </c>
      <c r="C1477" t="s">
        <v>6066</v>
      </c>
      <c r="D1477" t="s">
        <v>543</v>
      </c>
      <c r="E1477" t="s">
        <v>523</v>
      </c>
      <c r="F1477">
        <v>4500189197</v>
      </c>
      <c r="G1477" t="s">
        <v>6067</v>
      </c>
      <c r="H1477" t="s">
        <v>3334</v>
      </c>
      <c r="I1477" t="s">
        <v>6068</v>
      </c>
      <c r="J1477" t="s">
        <v>523</v>
      </c>
      <c r="K1477" s="2">
        <v>26666</v>
      </c>
      <c r="L1477" s="2">
        <v>30458</v>
      </c>
      <c r="M1477" t="str">
        <f>IFERROR(IF(VLOOKUP(LEFT(B1477,2),'Humanitarian codes'!$A$2:$A$10,1,FALSE)=LEFT(B1477,2),"Yes","Error"),"No")</f>
        <v>No</v>
      </c>
    </row>
    <row r="1478" spans="1:13" x14ac:dyDescent="0.25">
      <c r="A1478">
        <v>2022</v>
      </c>
      <c r="B1478" t="s">
        <v>6065</v>
      </c>
      <c r="C1478" t="s">
        <v>6066</v>
      </c>
      <c r="D1478" t="s">
        <v>543</v>
      </c>
      <c r="E1478" t="s">
        <v>523</v>
      </c>
      <c r="F1478">
        <v>4500193182</v>
      </c>
      <c r="G1478" t="s">
        <v>6069</v>
      </c>
      <c r="H1478" t="s">
        <v>3334</v>
      </c>
      <c r="I1478" t="s">
        <v>3223</v>
      </c>
      <c r="J1478" t="s">
        <v>523</v>
      </c>
      <c r="K1478" s="2">
        <v>14344</v>
      </c>
      <c r="L1478" s="2">
        <v>14344</v>
      </c>
      <c r="M1478" t="str">
        <f>IFERROR(IF(VLOOKUP(LEFT(B1478,2),'Humanitarian codes'!$A$2:$A$10,1,FALSE)=LEFT(B1478,2),"Yes","Error"),"No")</f>
        <v>No</v>
      </c>
    </row>
    <row r="1479" spans="1:13" x14ac:dyDescent="0.25">
      <c r="A1479">
        <v>2022</v>
      </c>
      <c r="B1479" t="s">
        <v>6065</v>
      </c>
      <c r="C1479" t="s">
        <v>6066</v>
      </c>
      <c r="D1479" t="s">
        <v>543</v>
      </c>
      <c r="E1479" t="s">
        <v>523</v>
      </c>
      <c r="F1479">
        <v>4500203919</v>
      </c>
      <c r="G1479" t="s">
        <v>6070</v>
      </c>
      <c r="H1479" t="s">
        <v>3334</v>
      </c>
      <c r="I1479" t="s">
        <v>6071</v>
      </c>
      <c r="J1479" t="s">
        <v>523</v>
      </c>
      <c r="K1479" s="2">
        <v>26782</v>
      </c>
      <c r="L1479" s="2">
        <v>26782</v>
      </c>
      <c r="M1479" t="str">
        <f>IFERROR(IF(VLOOKUP(LEFT(B1479,2),'Humanitarian codes'!$A$2:$A$10,1,FALSE)=LEFT(B1479,2),"Yes","Error"),"No")</f>
        <v>No</v>
      </c>
    </row>
    <row r="1480" spans="1:13" x14ac:dyDescent="0.25">
      <c r="A1480">
        <v>2022</v>
      </c>
      <c r="B1480" t="s">
        <v>6065</v>
      </c>
      <c r="C1480" t="s">
        <v>6066</v>
      </c>
      <c r="D1480" t="s">
        <v>543</v>
      </c>
      <c r="E1480" t="s">
        <v>523</v>
      </c>
      <c r="F1480">
        <v>4500235077</v>
      </c>
      <c r="G1480" t="s">
        <v>5529</v>
      </c>
      <c r="H1480" t="s">
        <v>3334</v>
      </c>
      <c r="I1480" t="s">
        <v>5530</v>
      </c>
      <c r="J1480" t="s">
        <v>523</v>
      </c>
      <c r="K1480" s="2">
        <v>4971</v>
      </c>
      <c r="L1480" s="2">
        <v>9942</v>
      </c>
      <c r="M1480" t="str">
        <f>IFERROR(IF(VLOOKUP(LEFT(B1480,2),'Humanitarian codes'!$A$2:$A$10,1,FALSE)=LEFT(B1480,2),"Yes","Error"),"No")</f>
        <v>No</v>
      </c>
    </row>
    <row r="1481" spans="1:13" x14ac:dyDescent="0.25">
      <c r="A1481">
        <v>2022</v>
      </c>
      <c r="B1481" t="s">
        <v>6072</v>
      </c>
      <c r="C1481" t="s">
        <v>1010</v>
      </c>
      <c r="D1481" t="s">
        <v>543</v>
      </c>
      <c r="E1481" t="s">
        <v>518</v>
      </c>
      <c r="F1481">
        <v>4500225340</v>
      </c>
      <c r="G1481" t="s">
        <v>6073</v>
      </c>
      <c r="H1481" t="s">
        <v>3334</v>
      </c>
      <c r="I1481" t="s">
        <v>6074</v>
      </c>
      <c r="J1481" t="s">
        <v>518</v>
      </c>
      <c r="K1481" s="2">
        <v>10000</v>
      </c>
      <c r="L1481" s="2">
        <v>10000</v>
      </c>
      <c r="M1481" t="str">
        <f>IFERROR(IF(VLOOKUP(LEFT(B1481,2),'Humanitarian codes'!$A$2:$A$10,1,FALSE)=LEFT(B1481,2),"Yes","Error"),"No")</f>
        <v>No</v>
      </c>
    </row>
    <row r="1482" spans="1:13" x14ac:dyDescent="0.25">
      <c r="A1482">
        <v>2022</v>
      </c>
      <c r="B1482" t="s">
        <v>6072</v>
      </c>
      <c r="C1482" t="s">
        <v>1010</v>
      </c>
      <c r="D1482" t="s">
        <v>543</v>
      </c>
      <c r="E1482" t="s">
        <v>518</v>
      </c>
      <c r="F1482">
        <v>4500242550</v>
      </c>
      <c r="G1482" t="s">
        <v>6075</v>
      </c>
      <c r="H1482" t="s">
        <v>3334</v>
      </c>
      <c r="I1482" t="s">
        <v>6076</v>
      </c>
      <c r="J1482" t="s">
        <v>518</v>
      </c>
      <c r="K1482" s="2">
        <v>10000</v>
      </c>
      <c r="L1482" s="2">
        <v>10000</v>
      </c>
      <c r="M1482" t="str">
        <f>IFERROR(IF(VLOOKUP(LEFT(B1482,2),'Humanitarian codes'!$A$2:$A$10,1,FALSE)=LEFT(B1482,2),"Yes","Error"),"No")</f>
        <v>No</v>
      </c>
    </row>
    <row r="1483" spans="1:13" x14ac:dyDescent="0.25">
      <c r="A1483">
        <v>2022</v>
      </c>
      <c r="B1483" t="s">
        <v>6072</v>
      </c>
      <c r="C1483" t="s">
        <v>1010</v>
      </c>
      <c r="D1483" t="s">
        <v>543</v>
      </c>
      <c r="E1483" t="s">
        <v>518</v>
      </c>
      <c r="F1483">
        <v>4500244767</v>
      </c>
      <c r="G1483" t="s">
        <v>6077</v>
      </c>
      <c r="H1483" t="s">
        <v>3334</v>
      </c>
      <c r="I1483" t="s">
        <v>6078</v>
      </c>
      <c r="J1483" t="s">
        <v>518</v>
      </c>
      <c r="K1483" s="2">
        <v>10000</v>
      </c>
      <c r="L1483" s="2">
        <v>10000</v>
      </c>
      <c r="M1483" t="str">
        <f>IFERROR(IF(VLOOKUP(LEFT(B1483,2),'Humanitarian codes'!$A$2:$A$10,1,FALSE)=LEFT(B1483,2),"Yes","Error"),"No")</f>
        <v>No</v>
      </c>
    </row>
    <row r="1484" spans="1:13" x14ac:dyDescent="0.25">
      <c r="A1484">
        <v>2022</v>
      </c>
      <c r="B1484" t="s">
        <v>6072</v>
      </c>
      <c r="C1484" t="s">
        <v>1010</v>
      </c>
      <c r="D1484" t="s">
        <v>543</v>
      </c>
      <c r="E1484" t="s">
        <v>518</v>
      </c>
      <c r="F1484">
        <v>4500244886</v>
      </c>
      <c r="G1484" t="s">
        <v>6079</v>
      </c>
      <c r="H1484" t="s">
        <v>3334</v>
      </c>
      <c r="I1484" t="s">
        <v>6080</v>
      </c>
      <c r="J1484" t="s">
        <v>518</v>
      </c>
      <c r="K1484" s="2">
        <v>10000</v>
      </c>
      <c r="L1484" s="2">
        <v>10000</v>
      </c>
      <c r="M1484" t="str">
        <f>IFERROR(IF(VLOOKUP(LEFT(B1484,2),'Humanitarian codes'!$A$2:$A$10,1,FALSE)=LEFT(B1484,2),"Yes","Error"),"No")</f>
        <v>No</v>
      </c>
    </row>
    <row r="1485" spans="1:13" x14ac:dyDescent="0.25">
      <c r="A1485">
        <v>2022</v>
      </c>
      <c r="B1485" t="s">
        <v>6072</v>
      </c>
      <c r="C1485" t="s">
        <v>1010</v>
      </c>
      <c r="D1485" t="s">
        <v>543</v>
      </c>
      <c r="E1485" t="s">
        <v>518</v>
      </c>
      <c r="F1485">
        <v>4500244889</v>
      </c>
      <c r="G1485" t="s">
        <v>6081</v>
      </c>
      <c r="H1485" t="s">
        <v>3334</v>
      </c>
      <c r="I1485" t="s">
        <v>6082</v>
      </c>
      <c r="J1485" t="s">
        <v>518</v>
      </c>
      <c r="K1485" s="2">
        <v>10000</v>
      </c>
      <c r="L1485" s="2">
        <v>10000</v>
      </c>
      <c r="M1485" t="str">
        <f>IFERROR(IF(VLOOKUP(LEFT(B1485,2),'Humanitarian codes'!$A$2:$A$10,1,FALSE)=LEFT(B1485,2),"Yes","Error"),"No")</f>
        <v>No</v>
      </c>
    </row>
    <row r="1486" spans="1:13" x14ac:dyDescent="0.25">
      <c r="A1486">
        <v>2022</v>
      </c>
      <c r="B1486" t="s">
        <v>6072</v>
      </c>
      <c r="C1486" t="s">
        <v>1010</v>
      </c>
      <c r="D1486" t="s">
        <v>543</v>
      </c>
      <c r="E1486" t="s">
        <v>523</v>
      </c>
      <c r="F1486">
        <v>4500189197</v>
      </c>
      <c r="G1486" t="s">
        <v>6067</v>
      </c>
      <c r="H1486" t="s">
        <v>3334</v>
      </c>
      <c r="I1486" t="s">
        <v>6068</v>
      </c>
      <c r="J1486" t="s">
        <v>523</v>
      </c>
      <c r="K1486" s="2">
        <v>3792</v>
      </c>
      <c r="L1486" s="2">
        <v>30458</v>
      </c>
      <c r="M1486" t="str">
        <f>IFERROR(IF(VLOOKUP(LEFT(B1486,2),'Humanitarian codes'!$A$2:$A$10,1,FALSE)=LEFT(B1486,2),"Yes","Error"),"No")</f>
        <v>No</v>
      </c>
    </row>
    <row r="1487" spans="1:13" x14ac:dyDescent="0.25">
      <c r="A1487">
        <v>2022</v>
      </c>
      <c r="B1487" t="s">
        <v>6072</v>
      </c>
      <c r="C1487" t="s">
        <v>1010</v>
      </c>
      <c r="D1487" t="s">
        <v>543</v>
      </c>
      <c r="E1487" t="s">
        <v>523</v>
      </c>
      <c r="F1487">
        <v>4500219034</v>
      </c>
      <c r="G1487" t="s">
        <v>6083</v>
      </c>
      <c r="H1487" t="s">
        <v>3334</v>
      </c>
      <c r="I1487" t="s">
        <v>6084</v>
      </c>
      <c r="J1487" t="s">
        <v>523</v>
      </c>
      <c r="K1487" s="2">
        <v>55577</v>
      </c>
      <c r="L1487" s="2">
        <v>55577</v>
      </c>
      <c r="M1487" t="str">
        <f>IFERROR(IF(VLOOKUP(LEFT(B1487,2),'Humanitarian codes'!$A$2:$A$10,1,FALSE)=LEFT(B1487,2),"Yes","Error"),"No")</f>
        <v>No</v>
      </c>
    </row>
    <row r="1488" spans="1:13" x14ac:dyDescent="0.25">
      <c r="A1488">
        <v>2022</v>
      </c>
      <c r="B1488" t="s">
        <v>6072</v>
      </c>
      <c r="C1488" t="s">
        <v>1010</v>
      </c>
      <c r="D1488" t="s">
        <v>543</v>
      </c>
      <c r="E1488" t="s">
        <v>523</v>
      </c>
      <c r="F1488">
        <v>4500235077</v>
      </c>
      <c r="G1488" t="s">
        <v>5529</v>
      </c>
      <c r="H1488" t="s">
        <v>3334</v>
      </c>
      <c r="I1488" t="s">
        <v>5530</v>
      </c>
      <c r="J1488" t="s">
        <v>523</v>
      </c>
      <c r="K1488" s="2">
        <v>1491</v>
      </c>
      <c r="L1488" s="2">
        <v>9942</v>
      </c>
      <c r="M1488" t="str">
        <f>IFERROR(IF(VLOOKUP(LEFT(B1488,2),'Humanitarian codes'!$A$2:$A$10,1,FALSE)=LEFT(B1488,2),"Yes","Error"),"No")</f>
        <v>No</v>
      </c>
    </row>
    <row r="1489" spans="1:13" x14ac:dyDescent="0.25">
      <c r="A1489">
        <v>2022</v>
      </c>
      <c r="B1489" t="s">
        <v>6085</v>
      </c>
      <c r="C1489" t="s">
        <v>1531</v>
      </c>
      <c r="D1489" t="s">
        <v>543</v>
      </c>
      <c r="E1489" t="s">
        <v>500</v>
      </c>
      <c r="F1489">
        <v>4500200008</v>
      </c>
      <c r="G1489" t="s">
        <v>6086</v>
      </c>
      <c r="H1489" t="s">
        <v>3334</v>
      </c>
      <c r="I1489" t="s">
        <v>6087</v>
      </c>
      <c r="J1489" t="s">
        <v>500</v>
      </c>
      <c r="K1489" s="2">
        <v>55402</v>
      </c>
      <c r="L1489" s="2">
        <v>55402</v>
      </c>
      <c r="M1489" t="str">
        <f>IFERROR(IF(VLOOKUP(LEFT(B1489,2),'Humanitarian codes'!$A$2:$A$10,1,FALSE)=LEFT(B1489,2),"Yes","Error"),"No")</f>
        <v>No</v>
      </c>
    </row>
    <row r="1490" spans="1:13" x14ac:dyDescent="0.25">
      <c r="A1490">
        <v>2022</v>
      </c>
      <c r="B1490" t="s">
        <v>6085</v>
      </c>
      <c r="C1490" t="s">
        <v>1531</v>
      </c>
      <c r="D1490" t="s">
        <v>543</v>
      </c>
      <c r="E1490" t="s">
        <v>500</v>
      </c>
      <c r="F1490">
        <v>4500205307</v>
      </c>
      <c r="G1490" t="s">
        <v>6088</v>
      </c>
      <c r="H1490" t="s">
        <v>3334</v>
      </c>
      <c r="I1490" t="s">
        <v>6089</v>
      </c>
      <c r="J1490" t="s">
        <v>500</v>
      </c>
      <c r="K1490" s="2">
        <v>16197</v>
      </c>
      <c r="L1490" s="2">
        <v>16197</v>
      </c>
      <c r="M1490" t="str">
        <f>IFERROR(IF(VLOOKUP(LEFT(B1490,2),'Humanitarian codes'!$A$2:$A$10,1,FALSE)=LEFT(B1490,2),"Yes","Error"),"No")</f>
        <v>No</v>
      </c>
    </row>
    <row r="1491" spans="1:13" x14ac:dyDescent="0.25">
      <c r="A1491">
        <v>2022</v>
      </c>
      <c r="B1491" t="s">
        <v>6085</v>
      </c>
      <c r="C1491" t="s">
        <v>1531</v>
      </c>
      <c r="D1491" t="s">
        <v>543</v>
      </c>
      <c r="E1491" t="s">
        <v>774</v>
      </c>
      <c r="F1491">
        <v>4500206926</v>
      </c>
      <c r="G1491" t="s">
        <v>6090</v>
      </c>
      <c r="H1491" t="s">
        <v>3334</v>
      </c>
      <c r="I1491" t="s">
        <v>6091</v>
      </c>
      <c r="J1491" t="s">
        <v>774</v>
      </c>
      <c r="K1491" s="2">
        <v>19955</v>
      </c>
      <c r="L1491" s="2">
        <v>19955</v>
      </c>
      <c r="M1491" t="str">
        <f>IFERROR(IF(VLOOKUP(LEFT(B1491,2),'Humanitarian codes'!$A$2:$A$10,1,FALSE)=LEFT(B1491,2),"Yes","Error"),"No")</f>
        <v>No</v>
      </c>
    </row>
    <row r="1492" spans="1:13" x14ac:dyDescent="0.25">
      <c r="A1492">
        <v>2022</v>
      </c>
      <c r="B1492" t="s">
        <v>6085</v>
      </c>
      <c r="C1492" t="s">
        <v>1531</v>
      </c>
      <c r="D1492" t="s">
        <v>543</v>
      </c>
      <c r="E1492" t="s">
        <v>774</v>
      </c>
      <c r="F1492">
        <v>4500207475</v>
      </c>
      <c r="G1492" t="s">
        <v>6092</v>
      </c>
      <c r="H1492" t="s">
        <v>3334</v>
      </c>
      <c r="I1492" t="s">
        <v>6093</v>
      </c>
      <c r="J1492" t="s">
        <v>774</v>
      </c>
      <c r="K1492" s="2">
        <v>39127</v>
      </c>
      <c r="L1492" s="2">
        <v>39127</v>
      </c>
      <c r="M1492" t="str">
        <f>IFERROR(IF(VLOOKUP(LEFT(B1492,2),'Humanitarian codes'!$A$2:$A$10,1,FALSE)=LEFT(B1492,2),"Yes","Error"),"No")</f>
        <v>No</v>
      </c>
    </row>
    <row r="1493" spans="1:13" x14ac:dyDescent="0.25">
      <c r="A1493">
        <v>2022</v>
      </c>
      <c r="B1493" t="s">
        <v>6085</v>
      </c>
      <c r="C1493" t="s">
        <v>1531</v>
      </c>
      <c r="D1493" t="s">
        <v>543</v>
      </c>
      <c r="E1493" t="s">
        <v>774</v>
      </c>
      <c r="F1493">
        <v>4500207483</v>
      </c>
      <c r="G1493" t="s">
        <v>6094</v>
      </c>
      <c r="H1493" t="s">
        <v>3334</v>
      </c>
      <c r="I1493" t="s">
        <v>6095</v>
      </c>
      <c r="J1493" t="s">
        <v>774</v>
      </c>
      <c r="K1493" s="2">
        <v>17012</v>
      </c>
      <c r="L1493" s="2">
        <v>17012</v>
      </c>
      <c r="M1493" t="str">
        <f>IFERROR(IF(VLOOKUP(LEFT(B1493,2),'Humanitarian codes'!$A$2:$A$10,1,FALSE)=LEFT(B1493,2),"Yes","Error"),"No")</f>
        <v>No</v>
      </c>
    </row>
    <row r="1494" spans="1:13" x14ac:dyDescent="0.25">
      <c r="A1494">
        <v>2022</v>
      </c>
      <c r="B1494" t="s">
        <v>6096</v>
      </c>
      <c r="C1494" t="s">
        <v>6097</v>
      </c>
      <c r="D1494" t="s">
        <v>543</v>
      </c>
      <c r="E1494" t="s">
        <v>940</v>
      </c>
      <c r="F1494">
        <v>4500184378</v>
      </c>
      <c r="G1494" t="s">
        <v>6098</v>
      </c>
      <c r="H1494" t="s">
        <v>3334</v>
      </c>
      <c r="I1494" t="s">
        <v>6099</v>
      </c>
      <c r="J1494" t="s">
        <v>940</v>
      </c>
      <c r="K1494" s="2">
        <v>453888</v>
      </c>
      <c r="L1494" s="2">
        <v>453888</v>
      </c>
      <c r="M1494" t="str">
        <f>IFERROR(IF(VLOOKUP(LEFT(B1494,2),'Humanitarian codes'!$A$2:$A$10,1,FALSE)=LEFT(B1494,2),"Yes","Error"),"No")</f>
        <v>No</v>
      </c>
    </row>
    <row r="1495" spans="1:13" x14ac:dyDescent="0.25">
      <c r="A1495">
        <v>2022</v>
      </c>
      <c r="B1495" t="s">
        <v>6100</v>
      </c>
      <c r="C1495" t="s">
        <v>6101</v>
      </c>
      <c r="D1495" t="s">
        <v>543</v>
      </c>
      <c r="E1495" t="s">
        <v>226</v>
      </c>
      <c r="F1495">
        <v>4500193302</v>
      </c>
      <c r="G1495" t="s">
        <v>6102</v>
      </c>
      <c r="H1495" t="s">
        <v>3334</v>
      </c>
      <c r="I1495" t="s">
        <v>842</v>
      </c>
      <c r="J1495" t="s">
        <v>226</v>
      </c>
      <c r="K1495" s="2">
        <v>90373</v>
      </c>
      <c r="L1495" s="2">
        <v>90373</v>
      </c>
      <c r="M1495" t="str">
        <f>IFERROR(IF(VLOOKUP(LEFT(B1495,2),'Humanitarian codes'!$A$2:$A$10,1,FALSE)=LEFT(B1495,2),"Yes","Error"),"No")</f>
        <v>No</v>
      </c>
    </row>
    <row r="1496" spans="1:13" x14ac:dyDescent="0.25">
      <c r="A1496">
        <v>2022</v>
      </c>
      <c r="B1496" t="s">
        <v>6100</v>
      </c>
      <c r="C1496" t="s">
        <v>6101</v>
      </c>
      <c r="D1496" t="s">
        <v>543</v>
      </c>
      <c r="E1496" t="s">
        <v>226</v>
      </c>
      <c r="F1496">
        <v>4500230833</v>
      </c>
      <c r="G1496" t="s">
        <v>6103</v>
      </c>
      <c r="H1496" t="s">
        <v>3334</v>
      </c>
      <c r="I1496" t="s">
        <v>842</v>
      </c>
      <c r="J1496" t="s">
        <v>226</v>
      </c>
      <c r="K1496" s="2">
        <v>252985</v>
      </c>
      <c r="L1496" s="2">
        <v>252985</v>
      </c>
      <c r="M1496" t="str">
        <f>IFERROR(IF(VLOOKUP(LEFT(B1496,2),'Humanitarian codes'!$A$2:$A$10,1,FALSE)=LEFT(B1496,2),"Yes","Error"),"No")</f>
        <v>No</v>
      </c>
    </row>
    <row r="1497" spans="1:13" x14ac:dyDescent="0.25">
      <c r="A1497">
        <v>2022</v>
      </c>
      <c r="B1497" t="s">
        <v>6100</v>
      </c>
      <c r="C1497" t="s">
        <v>6101</v>
      </c>
      <c r="D1497" t="s">
        <v>543</v>
      </c>
      <c r="E1497" t="s">
        <v>20</v>
      </c>
      <c r="F1497">
        <v>4500218393</v>
      </c>
      <c r="G1497" t="s">
        <v>6104</v>
      </c>
      <c r="H1497" t="s">
        <v>3334</v>
      </c>
      <c r="I1497" t="s">
        <v>6105</v>
      </c>
      <c r="J1497" t="s">
        <v>20</v>
      </c>
      <c r="K1497" s="2">
        <v>24284</v>
      </c>
      <c r="L1497" s="2">
        <v>24284</v>
      </c>
      <c r="M1497" t="str">
        <f>IFERROR(IF(VLOOKUP(LEFT(B1497,2),'Humanitarian codes'!$A$2:$A$10,1,FALSE)=LEFT(B1497,2),"Yes","Error"),"No")</f>
        <v>No</v>
      </c>
    </row>
    <row r="1498" spans="1:13" x14ac:dyDescent="0.25">
      <c r="A1498">
        <v>2022</v>
      </c>
      <c r="B1498" t="s">
        <v>6100</v>
      </c>
      <c r="C1498" t="s">
        <v>6101</v>
      </c>
      <c r="D1498" t="s">
        <v>543</v>
      </c>
      <c r="E1498" t="s">
        <v>20</v>
      </c>
      <c r="F1498">
        <v>4500220471</v>
      </c>
      <c r="G1498" t="s">
        <v>6106</v>
      </c>
      <c r="H1498" t="s">
        <v>3334</v>
      </c>
      <c r="I1498" t="s">
        <v>6107</v>
      </c>
      <c r="J1498" t="s">
        <v>20</v>
      </c>
      <c r="K1498" s="2">
        <v>8570</v>
      </c>
      <c r="L1498" s="2">
        <v>8570</v>
      </c>
      <c r="M1498" t="str">
        <f>IFERROR(IF(VLOOKUP(LEFT(B1498,2),'Humanitarian codes'!$A$2:$A$10,1,FALSE)=LEFT(B1498,2),"Yes","Error"),"No")</f>
        <v>No</v>
      </c>
    </row>
    <row r="1499" spans="1:13" x14ac:dyDescent="0.25">
      <c r="A1499">
        <v>2022</v>
      </c>
      <c r="B1499" t="s">
        <v>2672</v>
      </c>
      <c r="C1499" t="s">
        <v>2673</v>
      </c>
      <c r="D1499" t="s">
        <v>543</v>
      </c>
      <c r="E1499" t="s">
        <v>523</v>
      </c>
      <c r="F1499">
        <v>4500196500</v>
      </c>
      <c r="G1499" t="s">
        <v>6108</v>
      </c>
      <c r="H1499" t="s">
        <v>3334</v>
      </c>
      <c r="I1499" t="s">
        <v>771</v>
      </c>
      <c r="J1499" t="s">
        <v>523</v>
      </c>
      <c r="K1499" s="2">
        <v>400372</v>
      </c>
      <c r="L1499" s="2">
        <v>400372</v>
      </c>
      <c r="M1499" t="str">
        <f>IFERROR(IF(VLOOKUP(LEFT(B1499,2),'Humanitarian codes'!$A$2:$A$10,1,FALSE)=LEFT(B1499,2),"Yes","Error"),"No")</f>
        <v>No</v>
      </c>
    </row>
    <row r="1500" spans="1:13" x14ac:dyDescent="0.25">
      <c r="A1500">
        <v>2022</v>
      </c>
      <c r="B1500" t="s">
        <v>1046</v>
      </c>
      <c r="C1500" t="s">
        <v>1047</v>
      </c>
      <c r="D1500" t="s">
        <v>543</v>
      </c>
      <c r="E1500" t="s">
        <v>1048</v>
      </c>
      <c r="F1500">
        <v>4500219643</v>
      </c>
      <c r="G1500" t="s">
        <v>6109</v>
      </c>
      <c r="H1500" t="s">
        <v>3334</v>
      </c>
      <c r="I1500" t="s">
        <v>222</v>
      </c>
      <c r="J1500" t="s">
        <v>3932</v>
      </c>
      <c r="K1500" s="2">
        <v>68397</v>
      </c>
      <c r="L1500" s="2">
        <v>68397</v>
      </c>
      <c r="M1500" t="str">
        <f>IFERROR(IF(VLOOKUP(LEFT(B1500,2),'Humanitarian codes'!$A$2:$A$10,1,FALSE)=LEFT(B1500,2),"Yes","Error"),"No")</f>
        <v>No</v>
      </c>
    </row>
    <row r="1501" spans="1:13" x14ac:dyDescent="0.25">
      <c r="A1501">
        <v>2022</v>
      </c>
      <c r="B1501" t="s">
        <v>1046</v>
      </c>
      <c r="C1501" t="s">
        <v>1047</v>
      </c>
      <c r="D1501" t="s">
        <v>543</v>
      </c>
      <c r="E1501" t="s">
        <v>1048</v>
      </c>
      <c r="F1501">
        <v>4500252113</v>
      </c>
      <c r="G1501" t="s">
        <v>5128</v>
      </c>
      <c r="H1501" t="s">
        <v>3334</v>
      </c>
      <c r="I1501" t="s">
        <v>222</v>
      </c>
      <c r="J1501" t="s">
        <v>3932</v>
      </c>
      <c r="K1501" s="2">
        <v>39992</v>
      </c>
      <c r="L1501" s="2">
        <v>39992</v>
      </c>
      <c r="M1501" t="str">
        <f>IFERROR(IF(VLOOKUP(LEFT(B1501,2),'Humanitarian codes'!$A$2:$A$10,1,FALSE)=LEFT(B1501,2),"Yes","Error"),"No")</f>
        <v>No</v>
      </c>
    </row>
    <row r="1502" spans="1:13" x14ac:dyDescent="0.25">
      <c r="A1502">
        <v>2022</v>
      </c>
      <c r="B1502" t="s">
        <v>607</v>
      </c>
      <c r="C1502" t="s">
        <v>608</v>
      </c>
      <c r="D1502" t="s">
        <v>543</v>
      </c>
      <c r="E1502" t="s">
        <v>474</v>
      </c>
      <c r="F1502">
        <v>4500259871</v>
      </c>
      <c r="G1502" t="s">
        <v>6110</v>
      </c>
      <c r="H1502" t="s">
        <v>3334</v>
      </c>
      <c r="I1502" t="s">
        <v>6111</v>
      </c>
      <c r="J1502" t="s">
        <v>474</v>
      </c>
      <c r="K1502" s="2">
        <v>20000</v>
      </c>
      <c r="L1502" s="2">
        <v>20000</v>
      </c>
      <c r="M1502" t="str">
        <f>IFERROR(IF(VLOOKUP(LEFT(B1502,2),'Humanitarian codes'!$A$2:$A$10,1,FALSE)=LEFT(B1502,2),"Yes","Error"),"No")</f>
        <v>No</v>
      </c>
    </row>
    <row r="1503" spans="1:13" x14ac:dyDescent="0.25">
      <c r="A1503">
        <v>2022</v>
      </c>
      <c r="B1503" t="s">
        <v>607</v>
      </c>
      <c r="C1503" t="s">
        <v>608</v>
      </c>
      <c r="D1503" t="s">
        <v>543</v>
      </c>
      <c r="E1503" t="s">
        <v>474</v>
      </c>
      <c r="F1503">
        <v>4500259875</v>
      </c>
      <c r="G1503" t="s">
        <v>6110</v>
      </c>
      <c r="H1503" t="s">
        <v>3334</v>
      </c>
      <c r="I1503" t="s">
        <v>1562</v>
      </c>
      <c r="J1503" t="s">
        <v>474</v>
      </c>
      <c r="K1503" s="2">
        <v>20000</v>
      </c>
      <c r="L1503" s="2">
        <v>20000</v>
      </c>
      <c r="M1503" t="str">
        <f>IFERROR(IF(VLOOKUP(LEFT(B1503,2),'Humanitarian codes'!$A$2:$A$10,1,FALSE)=LEFT(B1503,2),"Yes","Error"),"No")</f>
        <v>No</v>
      </c>
    </row>
    <row r="1504" spans="1:13" x14ac:dyDescent="0.25">
      <c r="A1504">
        <v>2022</v>
      </c>
      <c r="B1504" t="s">
        <v>607</v>
      </c>
      <c r="C1504" t="s">
        <v>608</v>
      </c>
      <c r="D1504" t="s">
        <v>543</v>
      </c>
      <c r="E1504" t="s">
        <v>477</v>
      </c>
      <c r="F1504">
        <v>4500232675</v>
      </c>
      <c r="G1504" t="s">
        <v>6112</v>
      </c>
      <c r="H1504" t="s">
        <v>3334</v>
      </c>
      <c r="I1504" t="s">
        <v>612</v>
      </c>
      <c r="J1504" t="s">
        <v>477</v>
      </c>
      <c r="K1504" s="2">
        <v>8536</v>
      </c>
      <c r="L1504" s="2">
        <v>8536</v>
      </c>
      <c r="M1504" t="str">
        <f>IFERROR(IF(VLOOKUP(LEFT(B1504,2),'Humanitarian codes'!$A$2:$A$10,1,FALSE)=LEFT(B1504,2),"Yes","Error"),"No")</f>
        <v>No</v>
      </c>
    </row>
    <row r="1505" spans="1:13" x14ac:dyDescent="0.25">
      <c r="A1505">
        <v>2022</v>
      </c>
      <c r="B1505" t="s">
        <v>607</v>
      </c>
      <c r="C1505" t="s">
        <v>608</v>
      </c>
      <c r="D1505" t="s">
        <v>543</v>
      </c>
      <c r="E1505" t="s">
        <v>477</v>
      </c>
      <c r="F1505">
        <v>4500232676</v>
      </c>
      <c r="G1505" t="s">
        <v>6112</v>
      </c>
      <c r="H1505" t="s">
        <v>3334</v>
      </c>
      <c r="I1505" t="s">
        <v>1566</v>
      </c>
      <c r="J1505" t="s">
        <v>477</v>
      </c>
      <c r="K1505" s="2">
        <v>4268</v>
      </c>
      <c r="L1505" s="2">
        <v>4268</v>
      </c>
      <c r="M1505" t="str">
        <f>IFERROR(IF(VLOOKUP(LEFT(B1505,2),'Humanitarian codes'!$A$2:$A$10,1,FALSE)=LEFT(B1505,2),"Yes","Error"),"No")</f>
        <v>No</v>
      </c>
    </row>
    <row r="1506" spans="1:13" x14ac:dyDescent="0.25">
      <c r="A1506">
        <v>2022</v>
      </c>
      <c r="B1506" t="s">
        <v>607</v>
      </c>
      <c r="C1506" t="s">
        <v>608</v>
      </c>
      <c r="D1506" t="s">
        <v>543</v>
      </c>
      <c r="E1506" t="s">
        <v>477</v>
      </c>
      <c r="F1506">
        <v>4500232677</v>
      </c>
      <c r="G1506" t="s">
        <v>6112</v>
      </c>
      <c r="H1506" t="s">
        <v>3334</v>
      </c>
      <c r="I1506" t="s">
        <v>1564</v>
      </c>
      <c r="J1506" t="s">
        <v>477</v>
      </c>
      <c r="K1506" s="2">
        <v>8536</v>
      </c>
      <c r="L1506" s="2">
        <v>8536</v>
      </c>
      <c r="M1506" t="str">
        <f>IFERROR(IF(VLOOKUP(LEFT(B1506,2),'Humanitarian codes'!$A$2:$A$10,1,FALSE)=LEFT(B1506,2),"Yes","Error"),"No")</f>
        <v>No</v>
      </c>
    </row>
    <row r="1507" spans="1:13" x14ac:dyDescent="0.25">
      <c r="A1507">
        <v>2022</v>
      </c>
      <c r="B1507" t="s">
        <v>607</v>
      </c>
      <c r="C1507" t="s">
        <v>608</v>
      </c>
      <c r="D1507" t="s">
        <v>543</v>
      </c>
      <c r="E1507" t="s">
        <v>477</v>
      </c>
      <c r="F1507">
        <v>4500232678</v>
      </c>
      <c r="G1507" t="s">
        <v>6112</v>
      </c>
      <c r="H1507" t="s">
        <v>3334</v>
      </c>
      <c r="I1507" t="s">
        <v>3200</v>
      </c>
      <c r="J1507" t="s">
        <v>477</v>
      </c>
      <c r="K1507" s="2">
        <v>4268</v>
      </c>
      <c r="L1507" s="2">
        <v>4268</v>
      </c>
      <c r="M1507" t="str">
        <f>IFERROR(IF(VLOOKUP(LEFT(B1507,2),'Humanitarian codes'!$A$2:$A$10,1,FALSE)=LEFT(B1507,2),"Yes","Error"),"No")</f>
        <v>No</v>
      </c>
    </row>
    <row r="1508" spans="1:13" x14ac:dyDescent="0.25">
      <c r="A1508">
        <v>2022</v>
      </c>
      <c r="B1508" t="s">
        <v>607</v>
      </c>
      <c r="C1508" t="s">
        <v>608</v>
      </c>
      <c r="D1508" t="s">
        <v>543</v>
      </c>
      <c r="E1508" t="s">
        <v>477</v>
      </c>
      <c r="F1508">
        <v>4500232679</v>
      </c>
      <c r="G1508" t="s">
        <v>6113</v>
      </c>
      <c r="H1508" t="s">
        <v>3334</v>
      </c>
      <c r="I1508" t="s">
        <v>1900</v>
      </c>
      <c r="J1508" t="s">
        <v>477</v>
      </c>
      <c r="K1508" s="2">
        <v>5004</v>
      </c>
      <c r="L1508" s="2">
        <v>5004</v>
      </c>
      <c r="M1508" t="str">
        <f>IFERROR(IF(VLOOKUP(LEFT(B1508,2),'Humanitarian codes'!$A$2:$A$10,1,FALSE)=LEFT(B1508,2),"Yes","Error"),"No")</f>
        <v>No</v>
      </c>
    </row>
    <row r="1509" spans="1:13" x14ac:dyDescent="0.25">
      <c r="A1509">
        <v>2022</v>
      </c>
      <c r="B1509" t="s">
        <v>607</v>
      </c>
      <c r="C1509" t="s">
        <v>608</v>
      </c>
      <c r="D1509" t="s">
        <v>543</v>
      </c>
      <c r="E1509" t="s">
        <v>477</v>
      </c>
      <c r="F1509">
        <v>4500232685</v>
      </c>
      <c r="G1509" t="s">
        <v>6112</v>
      </c>
      <c r="H1509" t="s">
        <v>3334</v>
      </c>
      <c r="I1509" t="s">
        <v>1050</v>
      </c>
      <c r="J1509" t="s">
        <v>477</v>
      </c>
      <c r="K1509" s="2">
        <v>7042</v>
      </c>
      <c r="L1509" s="2">
        <v>7042</v>
      </c>
      <c r="M1509" t="str">
        <f>IFERROR(IF(VLOOKUP(LEFT(B1509,2),'Humanitarian codes'!$A$2:$A$10,1,FALSE)=LEFT(B1509,2),"Yes","Error"),"No")</f>
        <v>No</v>
      </c>
    </row>
    <row r="1510" spans="1:13" x14ac:dyDescent="0.25">
      <c r="A1510">
        <v>2022</v>
      </c>
      <c r="B1510" t="s">
        <v>607</v>
      </c>
      <c r="C1510" t="s">
        <v>608</v>
      </c>
      <c r="D1510" t="s">
        <v>543</v>
      </c>
      <c r="E1510" t="s">
        <v>477</v>
      </c>
      <c r="F1510">
        <v>4500232687</v>
      </c>
      <c r="G1510" t="s">
        <v>6112</v>
      </c>
      <c r="H1510" t="s">
        <v>3334</v>
      </c>
      <c r="I1510" t="s">
        <v>1565</v>
      </c>
      <c r="J1510" t="s">
        <v>477</v>
      </c>
      <c r="K1510" s="2">
        <v>3384</v>
      </c>
      <c r="L1510" s="2">
        <v>3384</v>
      </c>
      <c r="M1510" t="str">
        <f>IFERROR(IF(VLOOKUP(LEFT(B1510,2),'Humanitarian codes'!$A$2:$A$10,1,FALSE)=LEFT(B1510,2),"Yes","Error"),"No")</f>
        <v>No</v>
      </c>
    </row>
    <row r="1511" spans="1:13" x14ac:dyDescent="0.25">
      <c r="A1511">
        <v>2022</v>
      </c>
      <c r="B1511" t="s">
        <v>607</v>
      </c>
      <c r="C1511" t="s">
        <v>608</v>
      </c>
      <c r="D1511" t="s">
        <v>543</v>
      </c>
      <c r="E1511" t="s">
        <v>477</v>
      </c>
      <c r="F1511">
        <v>4500232707</v>
      </c>
      <c r="G1511" t="s">
        <v>6112</v>
      </c>
      <c r="H1511" t="s">
        <v>3334</v>
      </c>
      <c r="I1511" t="s">
        <v>506</v>
      </c>
      <c r="J1511" t="s">
        <v>477</v>
      </c>
      <c r="K1511" s="2">
        <v>7042</v>
      </c>
      <c r="L1511" s="2">
        <v>7042</v>
      </c>
      <c r="M1511" t="str">
        <f>IFERROR(IF(VLOOKUP(LEFT(B1511,2),'Humanitarian codes'!$A$2:$A$10,1,FALSE)=LEFT(B1511,2),"Yes","Error"),"No")</f>
        <v>No</v>
      </c>
    </row>
    <row r="1512" spans="1:13" x14ac:dyDescent="0.25">
      <c r="A1512">
        <v>2022</v>
      </c>
      <c r="B1512" t="s">
        <v>607</v>
      </c>
      <c r="C1512" t="s">
        <v>608</v>
      </c>
      <c r="D1512" t="s">
        <v>543</v>
      </c>
      <c r="E1512" t="s">
        <v>477</v>
      </c>
      <c r="F1512">
        <v>4500234629</v>
      </c>
      <c r="G1512" t="s">
        <v>6114</v>
      </c>
      <c r="H1512" t="s">
        <v>3334</v>
      </c>
      <c r="I1512" t="s">
        <v>3216</v>
      </c>
      <c r="J1512" t="s">
        <v>477</v>
      </c>
      <c r="K1512" s="2">
        <v>28684</v>
      </c>
      <c r="L1512" s="2">
        <v>28684</v>
      </c>
      <c r="M1512" t="str">
        <f>IFERROR(IF(VLOOKUP(LEFT(B1512,2),'Humanitarian codes'!$A$2:$A$10,1,FALSE)=LEFT(B1512,2),"Yes","Error"),"No")</f>
        <v>No</v>
      </c>
    </row>
    <row r="1513" spans="1:13" x14ac:dyDescent="0.25">
      <c r="A1513">
        <v>2022</v>
      </c>
      <c r="B1513" t="s">
        <v>607</v>
      </c>
      <c r="C1513" t="s">
        <v>608</v>
      </c>
      <c r="D1513" t="s">
        <v>543</v>
      </c>
      <c r="E1513" t="s">
        <v>477</v>
      </c>
      <c r="F1513">
        <v>4500256142</v>
      </c>
      <c r="G1513" t="s">
        <v>6115</v>
      </c>
      <c r="H1513" t="s">
        <v>3334</v>
      </c>
      <c r="I1513" t="s">
        <v>3200</v>
      </c>
      <c r="J1513" t="s">
        <v>477</v>
      </c>
      <c r="K1513" s="2">
        <v>2040</v>
      </c>
      <c r="L1513" s="2">
        <v>2040</v>
      </c>
      <c r="M1513" t="str">
        <f>IFERROR(IF(VLOOKUP(LEFT(B1513,2),'Humanitarian codes'!$A$2:$A$10,1,FALSE)=LEFT(B1513,2),"Yes","Error"),"No")</f>
        <v>No</v>
      </c>
    </row>
    <row r="1514" spans="1:13" x14ac:dyDescent="0.25">
      <c r="A1514">
        <v>2022</v>
      </c>
      <c r="B1514" t="s">
        <v>607</v>
      </c>
      <c r="C1514" t="s">
        <v>608</v>
      </c>
      <c r="D1514" t="s">
        <v>543</v>
      </c>
      <c r="E1514" t="s">
        <v>477</v>
      </c>
      <c r="F1514">
        <v>4500259281</v>
      </c>
      <c r="G1514" t="s">
        <v>6116</v>
      </c>
      <c r="H1514" t="s">
        <v>3334</v>
      </c>
      <c r="I1514" t="s">
        <v>1568</v>
      </c>
      <c r="J1514" t="s">
        <v>477</v>
      </c>
      <c r="K1514" s="2">
        <v>3200</v>
      </c>
      <c r="L1514" s="2">
        <v>3200</v>
      </c>
      <c r="M1514" t="str">
        <f>IFERROR(IF(VLOOKUP(LEFT(B1514,2),'Humanitarian codes'!$A$2:$A$10,1,FALSE)=LEFT(B1514,2),"Yes","Error"),"No")</f>
        <v>No</v>
      </c>
    </row>
    <row r="1515" spans="1:13" x14ac:dyDescent="0.25">
      <c r="A1515">
        <v>2022</v>
      </c>
      <c r="B1515" t="s">
        <v>607</v>
      </c>
      <c r="C1515" t="s">
        <v>608</v>
      </c>
      <c r="D1515" t="s">
        <v>543</v>
      </c>
      <c r="E1515" t="s">
        <v>477</v>
      </c>
      <c r="F1515">
        <v>4500259543</v>
      </c>
      <c r="G1515" t="s">
        <v>6117</v>
      </c>
      <c r="H1515" t="s">
        <v>3334</v>
      </c>
      <c r="I1515" t="s">
        <v>3200</v>
      </c>
      <c r="J1515" t="s">
        <v>477</v>
      </c>
      <c r="K1515" s="2">
        <v>4020</v>
      </c>
      <c r="L1515" s="2">
        <v>4020</v>
      </c>
      <c r="M1515" t="str">
        <f>IFERROR(IF(VLOOKUP(LEFT(B1515,2),'Humanitarian codes'!$A$2:$A$10,1,FALSE)=LEFT(B1515,2),"Yes","Error"),"No")</f>
        <v>No</v>
      </c>
    </row>
    <row r="1516" spans="1:13" x14ac:dyDescent="0.25">
      <c r="A1516">
        <v>2022</v>
      </c>
      <c r="B1516" t="s">
        <v>607</v>
      </c>
      <c r="C1516" t="s">
        <v>608</v>
      </c>
      <c r="D1516" t="s">
        <v>543</v>
      </c>
      <c r="E1516" t="s">
        <v>477</v>
      </c>
      <c r="F1516">
        <v>4500259546</v>
      </c>
      <c r="G1516" t="s">
        <v>6118</v>
      </c>
      <c r="H1516" t="s">
        <v>3334</v>
      </c>
      <c r="I1516" t="s">
        <v>612</v>
      </c>
      <c r="J1516" t="s">
        <v>477</v>
      </c>
      <c r="K1516" s="2">
        <v>2503</v>
      </c>
      <c r="L1516" s="2">
        <v>2503</v>
      </c>
      <c r="M1516" t="str">
        <f>IFERROR(IF(VLOOKUP(LEFT(B1516,2),'Humanitarian codes'!$A$2:$A$10,1,FALSE)=LEFT(B1516,2),"Yes","Error"),"No")</f>
        <v>No</v>
      </c>
    </row>
    <row r="1517" spans="1:13" x14ac:dyDescent="0.25">
      <c r="A1517">
        <v>2022</v>
      </c>
      <c r="B1517" t="s">
        <v>607</v>
      </c>
      <c r="C1517" t="s">
        <v>608</v>
      </c>
      <c r="D1517" t="s">
        <v>543</v>
      </c>
      <c r="E1517" t="s">
        <v>477</v>
      </c>
      <c r="F1517">
        <v>4500260511</v>
      </c>
      <c r="G1517" t="s">
        <v>6116</v>
      </c>
      <c r="H1517" t="s">
        <v>3334</v>
      </c>
      <c r="I1517" t="s">
        <v>1567</v>
      </c>
      <c r="J1517" t="s">
        <v>477</v>
      </c>
      <c r="K1517" s="2">
        <v>3200</v>
      </c>
      <c r="L1517" s="2">
        <v>3200</v>
      </c>
      <c r="M1517" t="str">
        <f>IFERROR(IF(VLOOKUP(LEFT(B1517,2),'Humanitarian codes'!$A$2:$A$10,1,FALSE)=LEFT(B1517,2),"Yes","Error"),"No")</f>
        <v>No</v>
      </c>
    </row>
    <row r="1518" spans="1:13" x14ac:dyDescent="0.25">
      <c r="A1518">
        <v>2022</v>
      </c>
      <c r="B1518" t="s">
        <v>607</v>
      </c>
      <c r="C1518" t="s">
        <v>608</v>
      </c>
      <c r="D1518" t="s">
        <v>543</v>
      </c>
      <c r="E1518" t="s">
        <v>477</v>
      </c>
      <c r="F1518">
        <v>4500261748</v>
      </c>
      <c r="G1518" t="s">
        <v>6119</v>
      </c>
      <c r="H1518" t="s">
        <v>3334</v>
      </c>
      <c r="I1518" t="s">
        <v>1050</v>
      </c>
      <c r="J1518" t="s">
        <v>477</v>
      </c>
      <c r="K1518" s="2">
        <v>2143</v>
      </c>
      <c r="L1518" s="2">
        <v>2143</v>
      </c>
      <c r="M1518" t="str">
        <f>IFERROR(IF(VLOOKUP(LEFT(B1518,2),'Humanitarian codes'!$A$2:$A$10,1,FALSE)=LEFT(B1518,2),"Yes","Error"),"No")</f>
        <v>No</v>
      </c>
    </row>
    <row r="1519" spans="1:13" x14ac:dyDescent="0.25">
      <c r="A1519">
        <v>2022</v>
      </c>
      <c r="B1519" t="s">
        <v>607</v>
      </c>
      <c r="C1519" t="s">
        <v>608</v>
      </c>
      <c r="D1519" t="s">
        <v>543</v>
      </c>
      <c r="E1519" t="s">
        <v>477</v>
      </c>
      <c r="F1519">
        <v>4500265250</v>
      </c>
      <c r="G1519" t="s">
        <v>6120</v>
      </c>
      <c r="H1519" t="s">
        <v>3334</v>
      </c>
      <c r="I1519" t="s">
        <v>3200</v>
      </c>
      <c r="J1519" t="s">
        <v>477</v>
      </c>
      <c r="K1519" s="2">
        <v>2148</v>
      </c>
      <c r="L1519" s="2">
        <v>2148</v>
      </c>
      <c r="M1519" t="str">
        <f>IFERROR(IF(VLOOKUP(LEFT(B1519,2),'Humanitarian codes'!$A$2:$A$10,1,FALSE)=LEFT(B1519,2),"Yes","Error"),"No")</f>
        <v>No</v>
      </c>
    </row>
    <row r="1520" spans="1:13" x14ac:dyDescent="0.25">
      <c r="A1520">
        <v>2022</v>
      </c>
      <c r="B1520" t="s">
        <v>607</v>
      </c>
      <c r="C1520" t="s">
        <v>608</v>
      </c>
      <c r="D1520" t="s">
        <v>543</v>
      </c>
      <c r="E1520" t="s">
        <v>477</v>
      </c>
      <c r="F1520">
        <v>4500268560</v>
      </c>
      <c r="G1520" t="s">
        <v>6112</v>
      </c>
      <c r="H1520" t="s">
        <v>3334</v>
      </c>
      <c r="I1520" t="s">
        <v>612</v>
      </c>
      <c r="J1520" t="s">
        <v>477</v>
      </c>
      <c r="K1520" s="2">
        <v>4296</v>
      </c>
      <c r="L1520" s="2">
        <v>4296</v>
      </c>
      <c r="M1520" t="str">
        <f>IFERROR(IF(VLOOKUP(LEFT(B1520,2),'Humanitarian codes'!$A$2:$A$10,1,FALSE)=LEFT(B1520,2),"Yes","Error"),"No")</f>
        <v>No</v>
      </c>
    </row>
    <row r="1521" spans="1:13" x14ac:dyDescent="0.25">
      <c r="A1521">
        <v>2022</v>
      </c>
      <c r="B1521" t="s">
        <v>607</v>
      </c>
      <c r="C1521" t="s">
        <v>608</v>
      </c>
      <c r="D1521" t="s">
        <v>543</v>
      </c>
      <c r="E1521" t="s">
        <v>477</v>
      </c>
      <c r="F1521">
        <v>4500271077</v>
      </c>
      <c r="G1521" t="s">
        <v>6121</v>
      </c>
      <c r="H1521" t="s">
        <v>3334</v>
      </c>
      <c r="I1521" t="s">
        <v>506</v>
      </c>
      <c r="J1521" t="s">
        <v>477</v>
      </c>
      <c r="K1521" s="2">
        <v>4296</v>
      </c>
      <c r="L1521" s="2">
        <v>4296</v>
      </c>
      <c r="M1521" t="str">
        <f>IFERROR(IF(VLOOKUP(LEFT(B1521,2),'Humanitarian codes'!$A$2:$A$10,1,FALSE)=LEFT(B1521,2),"Yes","Error"),"No")</f>
        <v>No</v>
      </c>
    </row>
    <row r="1522" spans="1:13" x14ac:dyDescent="0.25">
      <c r="A1522">
        <v>2022</v>
      </c>
      <c r="B1522" t="s">
        <v>607</v>
      </c>
      <c r="C1522" t="s">
        <v>608</v>
      </c>
      <c r="D1522" t="s">
        <v>543</v>
      </c>
      <c r="E1522" t="s">
        <v>477</v>
      </c>
      <c r="F1522">
        <v>4500271816</v>
      </c>
      <c r="G1522" t="s">
        <v>6122</v>
      </c>
      <c r="H1522" t="s">
        <v>3334</v>
      </c>
      <c r="I1522" t="s">
        <v>1565</v>
      </c>
      <c r="J1522" t="s">
        <v>477</v>
      </c>
      <c r="K1522" s="2">
        <v>4121</v>
      </c>
      <c r="L1522" s="2">
        <v>4121</v>
      </c>
      <c r="M1522" t="str">
        <f>IFERROR(IF(VLOOKUP(LEFT(B1522,2),'Humanitarian codes'!$A$2:$A$10,1,FALSE)=LEFT(B1522,2),"Yes","Error"),"No")</f>
        <v>No</v>
      </c>
    </row>
    <row r="1523" spans="1:13" x14ac:dyDescent="0.25">
      <c r="A1523">
        <v>2022</v>
      </c>
      <c r="B1523" t="s">
        <v>607</v>
      </c>
      <c r="C1523" t="s">
        <v>608</v>
      </c>
      <c r="D1523" t="s">
        <v>543</v>
      </c>
      <c r="E1523" t="s">
        <v>477</v>
      </c>
      <c r="F1523">
        <v>4500274554</v>
      </c>
      <c r="G1523" t="s">
        <v>6123</v>
      </c>
      <c r="H1523" t="s">
        <v>3334</v>
      </c>
      <c r="I1523" t="s">
        <v>1566</v>
      </c>
      <c r="J1523" t="s">
        <v>477</v>
      </c>
      <c r="K1523" s="2">
        <v>4361</v>
      </c>
      <c r="L1523" s="2">
        <v>4361</v>
      </c>
      <c r="M1523" t="str">
        <f>IFERROR(IF(VLOOKUP(LEFT(B1523,2),'Humanitarian codes'!$A$2:$A$10,1,FALSE)=LEFT(B1523,2),"Yes","Error"),"No")</f>
        <v>No</v>
      </c>
    </row>
    <row r="1524" spans="1:13" x14ac:dyDescent="0.25">
      <c r="A1524">
        <v>2022</v>
      </c>
      <c r="B1524" t="s">
        <v>1569</v>
      </c>
      <c r="C1524" t="s">
        <v>1570</v>
      </c>
      <c r="D1524" t="s">
        <v>543</v>
      </c>
      <c r="E1524" t="s">
        <v>159</v>
      </c>
      <c r="F1524">
        <v>4500268093</v>
      </c>
      <c r="G1524" t="s">
        <v>6124</v>
      </c>
      <c r="H1524" t="s">
        <v>3334</v>
      </c>
      <c r="I1524" t="s">
        <v>6125</v>
      </c>
      <c r="J1524" t="s">
        <v>159</v>
      </c>
      <c r="K1524" s="2">
        <v>65916</v>
      </c>
      <c r="L1524" s="2">
        <v>65916</v>
      </c>
      <c r="M1524" t="str">
        <f>IFERROR(IF(VLOOKUP(LEFT(B1524,2),'Humanitarian codes'!$A$2:$A$10,1,FALSE)=LEFT(B1524,2),"Yes","Error"),"No")</f>
        <v>No</v>
      </c>
    </row>
    <row r="1525" spans="1:13" x14ac:dyDescent="0.25">
      <c r="A1525">
        <v>2022</v>
      </c>
      <c r="B1525" t="s">
        <v>1569</v>
      </c>
      <c r="C1525" t="s">
        <v>1570</v>
      </c>
      <c r="D1525" t="s">
        <v>543</v>
      </c>
      <c r="E1525" t="s">
        <v>159</v>
      </c>
      <c r="F1525">
        <v>4500271748</v>
      </c>
      <c r="G1525" t="s">
        <v>6126</v>
      </c>
      <c r="H1525" t="s">
        <v>3334</v>
      </c>
      <c r="I1525" t="s">
        <v>6127</v>
      </c>
      <c r="J1525" t="s">
        <v>159</v>
      </c>
      <c r="K1525" s="2">
        <v>372285</v>
      </c>
      <c r="L1525" s="2">
        <v>372285</v>
      </c>
      <c r="M1525" t="str">
        <f>IFERROR(IF(VLOOKUP(LEFT(B1525,2),'Humanitarian codes'!$A$2:$A$10,1,FALSE)=LEFT(B1525,2),"Yes","Error"),"No")</f>
        <v>No</v>
      </c>
    </row>
    <row r="1526" spans="1:13" x14ac:dyDescent="0.25">
      <c r="A1526">
        <v>2022</v>
      </c>
      <c r="B1526" t="s">
        <v>6128</v>
      </c>
      <c r="C1526" t="s">
        <v>6129</v>
      </c>
      <c r="D1526" t="s">
        <v>543</v>
      </c>
      <c r="E1526" t="s">
        <v>1454</v>
      </c>
      <c r="F1526">
        <v>4500220079</v>
      </c>
      <c r="G1526" t="s">
        <v>6130</v>
      </c>
      <c r="H1526" t="s">
        <v>3334</v>
      </c>
      <c r="I1526" t="s">
        <v>6131</v>
      </c>
      <c r="J1526" t="s">
        <v>616</v>
      </c>
      <c r="K1526" s="2">
        <v>200000</v>
      </c>
      <c r="L1526" s="2">
        <v>200000</v>
      </c>
      <c r="M1526" t="str">
        <f>IFERROR(IF(VLOOKUP(LEFT(B1526,2),'Humanitarian codes'!$A$2:$A$10,1,FALSE)=LEFT(B1526,2),"Yes","Error"),"No")</f>
        <v>No</v>
      </c>
    </row>
    <row r="1527" spans="1:13" x14ac:dyDescent="0.25">
      <c r="A1527">
        <v>2022</v>
      </c>
      <c r="B1527" t="s">
        <v>6128</v>
      </c>
      <c r="C1527" t="s">
        <v>6129</v>
      </c>
      <c r="D1527" t="s">
        <v>543</v>
      </c>
      <c r="E1527" t="s">
        <v>1454</v>
      </c>
      <c r="F1527">
        <v>4500224605</v>
      </c>
      <c r="G1527" t="s">
        <v>6132</v>
      </c>
      <c r="H1527" t="s">
        <v>3334</v>
      </c>
      <c r="I1527" t="s">
        <v>6133</v>
      </c>
      <c r="J1527" t="s">
        <v>1454</v>
      </c>
      <c r="K1527" s="2">
        <v>48903</v>
      </c>
      <c r="L1527" s="2">
        <v>48903</v>
      </c>
      <c r="M1527" t="str">
        <f>IFERROR(IF(VLOOKUP(LEFT(B1527,2),'Humanitarian codes'!$A$2:$A$10,1,FALSE)=LEFT(B1527,2),"Yes","Error"),"No")</f>
        <v>No</v>
      </c>
    </row>
    <row r="1528" spans="1:13" x14ac:dyDescent="0.25">
      <c r="A1528">
        <v>2022</v>
      </c>
      <c r="B1528" t="s">
        <v>6128</v>
      </c>
      <c r="C1528" t="s">
        <v>6129</v>
      </c>
      <c r="D1528" t="s">
        <v>543</v>
      </c>
      <c r="E1528" t="s">
        <v>1454</v>
      </c>
      <c r="F1528">
        <v>4500224983</v>
      </c>
      <c r="G1528" t="s">
        <v>6134</v>
      </c>
      <c r="H1528" t="s">
        <v>3334</v>
      </c>
      <c r="I1528" t="s">
        <v>6135</v>
      </c>
      <c r="J1528" t="s">
        <v>1454</v>
      </c>
      <c r="K1528" s="2">
        <v>44167</v>
      </c>
      <c r="L1528" s="2">
        <v>44167</v>
      </c>
      <c r="M1528" t="str">
        <f>IFERROR(IF(VLOOKUP(LEFT(B1528,2),'Humanitarian codes'!$A$2:$A$10,1,FALSE)=LEFT(B1528,2),"Yes","Error"),"No")</f>
        <v>No</v>
      </c>
    </row>
    <row r="1529" spans="1:13" x14ac:dyDescent="0.25">
      <c r="A1529">
        <v>2022</v>
      </c>
      <c r="B1529" t="s">
        <v>6128</v>
      </c>
      <c r="C1529" t="s">
        <v>6129</v>
      </c>
      <c r="D1529" t="s">
        <v>543</v>
      </c>
      <c r="E1529" t="s">
        <v>1454</v>
      </c>
      <c r="F1529">
        <v>4500224989</v>
      </c>
      <c r="G1529" t="s">
        <v>6136</v>
      </c>
      <c r="H1529" t="s">
        <v>3334</v>
      </c>
      <c r="I1529" t="s">
        <v>6137</v>
      </c>
      <c r="J1529" t="s">
        <v>1454</v>
      </c>
      <c r="K1529" s="2">
        <v>42940</v>
      </c>
      <c r="L1529" s="2">
        <v>42940</v>
      </c>
      <c r="M1529" t="str">
        <f>IFERROR(IF(VLOOKUP(LEFT(B1529,2),'Humanitarian codes'!$A$2:$A$10,1,FALSE)=LEFT(B1529,2),"Yes","Error"),"No")</f>
        <v>No</v>
      </c>
    </row>
    <row r="1530" spans="1:13" x14ac:dyDescent="0.25">
      <c r="A1530">
        <v>2022</v>
      </c>
      <c r="B1530" t="s">
        <v>6128</v>
      </c>
      <c r="C1530" t="s">
        <v>6129</v>
      </c>
      <c r="D1530" t="s">
        <v>543</v>
      </c>
      <c r="E1530" t="s">
        <v>1454</v>
      </c>
      <c r="F1530">
        <v>4500229063</v>
      </c>
      <c r="G1530" t="s">
        <v>6138</v>
      </c>
      <c r="H1530" t="s">
        <v>3334</v>
      </c>
      <c r="I1530" t="s">
        <v>6137</v>
      </c>
      <c r="J1530" t="s">
        <v>1454</v>
      </c>
      <c r="K1530" s="2">
        <v>13211</v>
      </c>
      <c r="L1530" s="2">
        <v>13211</v>
      </c>
      <c r="M1530" t="str">
        <f>IFERROR(IF(VLOOKUP(LEFT(B1530,2),'Humanitarian codes'!$A$2:$A$10,1,FALSE)=LEFT(B1530,2),"Yes","Error"),"No")</f>
        <v>No</v>
      </c>
    </row>
    <row r="1531" spans="1:13" x14ac:dyDescent="0.25">
      <c r="A1531">
        <v>2022</v>
      </c>
      <c r="B1531" t="s">
        <v>6128</v>
      </c>
      <c r="C1531" t="s">
        <v>6129</v>
      </c>
      <c r="D1531" t="s">
        <v>543</v>
      </c>
      <c r="E1531" t="s">
        <v>1454</v>
      </c>
      <c r="F1531">
        <v>4500229068</v>
      </c>
      <c r="G1531" t="s">
        <v>6138</v>
      </c>
      <c r="H1531" t="s">
        <v>3334</v>
      </c>
      <c r="I1531" t="s">
        <v>6135</v>
      </c>
      <c r="J1531" t="s">
        <v>1454</v>
      </c>
      <c r="K1531" s="2">
        <v>13211</v>
      </c>
      <c r="L1531" s="2">
        <v>13211</v>
      </c>
      <c r="M1531" t="str">
        <f>IFERROR(IF(VLOOKUP(LEFT(B1531,2),'Humanitarian codes'!$A$2:$A$10,1,FALSE)=LEFT(B1531,2),"Yes","Error"),"No")</f>
        <v>No</v>
      </c>
    </row>
    <row r="1532" spans="1:13" x14ac:dyDescent="0.25">
      <c r="A1532">
        <v>2022</v>
      </c>
      <c r="B1532" t="s">
        <v>6128</v>
      </c>
      <c r="C1532" t="s">
        <v>6129</v>
      </c>
      <c r="D1532" t="s">
        <v>543</v>
      </c>
      <c r="E1532" t="s">
        <v>1454</v>
      </c>
      <c r="F1532">
        <v>4500229404</v>
      </c>
      <c r="G1532" t="s">
        <v>6139</v>
      </c>
      <c r="H1532" t="s">
        <v>3334</v>
      </c>
      <c r="I1532" t="s">
        <v>6133</v>
      </c>
      <c r="J1532" t="s">
        <v>1454</v>
      </c>
      <c r="K1532" s="2">
        <v>13211</v>
      </c>
      <c r="L1532" s="2">
        <v>13211</v>
      </c>
      <c r="M1532" t="str">
        <f>IFERROR(IF(VLOOKUP(LEFT(B1532,2),'Humanitarian codes'!$A$2:$A$10,1,FALSE)=LEFT(B1532,2),"Yes","Error"),"No")</f>
        <v>No</v>
      </c>
    </row>
    <row r="1533" spans="1:13" x14ac:dyDescent="0.25">
      <c r="A1533">
        <v>2022</v>
      </c>
      <c r="B1533" t="s">
        <v>6128</v>
      </c>
      <c r="C1533" t="s">
        <v>6129</v>
      </c>
      <c r="D1533" t="s">
        <v>543</v>
      </c>
      <c r="E1533" t="s">
        <v>1454</v>
      </c>
      <c r="F1533">
        <v>4500229409</v>
      </c>
      <c r="G1533" t="s">
        <v>6140</v>
      </c>
      <c r="H1533" t="s">
        <v>3334</v>
      </c>
      <c r="I1533" t="s">
        <v>6141</v>
      </c>
      <c r="J1533" t="s">
        <v>1454</v>
      </c>
      <c r="K1533" s="2">
        <v>13211</v>
      </c>
      <c r="L1533" s="2">
        <v>13211</v>
      </c>
      <c r="M1533" t="str">
        <f>IFERROR(IF(VLOOKUP(LEFT(B1533,2),'Humanitarian codes'!$A$2:$A$10,1,FALSE)=LEFT(B1533,2),"Yes","Error"),"No")</f>
        <v>No</v>
      </c>
    </row>
    <row r="1534" spans="1:13" x14ac:dyDescent="0.25">
      <c r="A1534">
        <v>2022</v>
      </c>
      <c r="B1534" t="s">
        <v>6128</v>
      </c>
      <c r="C1534" t="s">
        <v>6129</v>
      </c>
      <c r="D1534" t="s">
        <v>543</v>
      </c>
      <c r="E1534" t="s">
        <v>1454</v>
      </c>
      <c r="F1534">
        <v>4500232273</v>
      </c>
      <c r="G1534" t="s">
        <v>6142</v>
      </c>
      <c r="H1534" t="s">
        <v>3334</v>
      </c>
      <c r="I1534" t="s">
        <v>6141</v>
      </c>
      <c r="J1534" t="s">
        <v>1454</v>
      </c>
      <c r="K1534" s="2">
        <v>67131</v>
      </c>
      <c r="L1534" s="2">
        <v>67131</v>
      </c>
      <c r="M1534" t="str">
        <f>IFERROR(IF(VLOOKUP(LEFT(B1534,2),'Humanitarian codes'!$A$2:$A$10,1,FALSE)=LEFT(B1534,2),"Yes","Error"),"No")</f>
        <v>No</v>
      </c>
    </row>
    <row r="1535" spans="1:13" x14ac:dyDescent="0.25">
      <c r="A1535">
        <v>2022</v>
      </c>
      <c r="B1535" t="s">
        <v>6143</v>
      </c>
      <c r="C1535" t="s">
        <v>6144</v>
      </c>
      <c r="D1535" t="s">
        <v>543</v>
      </c>
      <c r="E1535" t="s">
        <v>20</v>
      </c>
      <c r="F1535">
        <v>4500261295</v>
      </c>
      <c r="G1535" t="s">
        <v>6145</v>
      </c>
      <c r="H1535" t="s">
        <v>3334</v>
      </c>
      <c r="I1535" t="s">
        <v>2154</v>
      </c>
      <c r="J1535" t="s">
        <v>20</v>
      </c>
      <c r="K1535" s="2">
        <v>4256</v>
      </c>
      <c r="L1535" s="2">
        <v>4256</v>
      </c>
      <c r="M1535" t="str">
        <f>IFERROR(IF(VLOOKUP(LEFT(B1535,2),'Humanitarian codes'!$A$2:$A$10,1,FALSE)=LEFT(B1535,2),"Yes","Error"),"No")</f>
        <v>No</v>
      </c>
    </row>
    <row r="1536" spans="1:13" x14ac:dyDescent="0.25">
      <c r="A1536">
        <v>2022</v>
      </c>
      <c r="B1536" t="s">
        <v>6146</v>
      </c>
      <c r="C1536" t="s">
        <v>6147</v>
      </c>
      <c r="D1536" t="s">
        <v>543</v>
      </c>
      <c r="E1536" t="s">
        <v>449</v>
      </c>
      <c r="F1536">
        <v>4500254199</v>
      </c>
      <c r="G1536" t="s">
        <v>6148</v>
      </c>
      <c r="H1536" t="s">
        <v>3334</v>
      </c>
      <c r="I1536" t="s">
        <v>2518</v>
      </c>
      <c r="J1536" t="s">
        <v>449</v>
      </c>
      <c r="K1536" s="2">
        <v>6855</v>
      </c>
      <c r="L1536" s="2">
        <v>6855</v>
      </c>
      <c r="M1536" t="str">
        <f>IFERROR(IF(VLOOKUP(LEFT(B1536,2),'Humanitarian codes'!$A$2:$A$10,1,FALSE)=LEFT(B1536,2),"Yes","Error"),"No")</f>
        <v>No</v>
      </c>
    </row>
    <row r="1537" spans="1:13" x14ac:dyDescent="0.25">
      <c r="A1537">
        <v>2022</v>
      </c>
      <c r="B1537" t="s">
        <v>6146</v>
      </c>
      <c r="C1537" t="s">
        <v>6147</v>
      </c>
      <c r="D1537" t="s">
        <v>543</v>
      </c>
      <c r="E1537" t="s">
        <v>449</v>
      </c>
      <c r="F1537">
        <v>4500268123</v>
      </c>
      <c r="G1537" t="s">
        <v>6149</v>
      </c>
      <c r="H1537" t="s">
        <v>3334</v>
      </c>
      <c r="I1537" t="s">
        <v>2518</v>
      </c>
      <c r="J1537" t="s">
        <v>449</v>
      </c>
      <c r="K1537" s="2">
        <v>10875</v>
      </c>
      <c r="L1537" s="2">
        <v>10875</v>
      </c>
      <c r="M1537" t="str">
        <f>IFERROR(IF(VLOOKUP(LEFT(B1537,2),'Humanitarian codes'!$A$2:$A$10,1,FALSE)=LEFT(B1537,2),"Yes","Error"),"No")</f>
        <v>No</v>
      </c>
    </row>
    <row r="1538" spans="1:13" x14ac:dyDescent="0.25">
      <c r="A1538">
        <v>2022</v>
      </c>
      <c r="B1538" t="s">
        <v>3748</v>
      </c>
      <c r="C1538" t="s">
        <v>3749</v>
      </c>
      <c r="D1538" t="s">
        <v>543</v>
      </c>
      <c r="E1538" t="s">
        <v>1453</v>
      </c>
      <c r="F1538">
        <v>4500255192</v>
      </c>
      <c r="G1538" t="s">
        <v>6150</v>
      </c>
      <c r="H1538" t="s">
        <v>3334</v>
      </c>
      <c r="I1538" t="s">
        <v>6151</v>
      </c>
      <c r="J1538" t="s">
        <v>1453</v>
      </c>
      <c r="K1538" s="2">
        <v>138104</v>
      </c>
      <c r="L1538" s="2">
        <v>138104</v>
      </c>
      <c r="M1538" t="str">
        <f>IFERROR(IF(VLOOKUP(LEFT(B1538,2),'Humanitarian codes'!$A$2:$A$10,1,FALSE)=LEFT(B1538,2),"Yes","Error"),"No")</f>
        <v>No</v>
      </c>
    </row>
    <row r="1539" spans="1:13" x14ac:dyDescent="0.25">
      <c r="A1539">
        <v>2022</v>
      </c>
      <c r="B1539" t="s">
        <v>1062</v>
      </c>
      <c r="C1539" t="s">
        <v>1063</v>
      </c>
      <c r="D1539" t="s">
        <v>543</v>
      </c>
      <c r="E1539" t="s">
        <v>523</v>
      </c>
      <c r="F1539">
        <v>4500257226</v>
      </c>
      <c r="G1539" t="s">
        <v>6152</v>
      </c>
      <c r="H1539" t="s">
        <v>3334</v>
      </c>
      <c r="I1539" t="s">
        <v>1064</v>
      </c>
      <c r="J1539" t="s">
        <v>523</v>
      </c>
      <c r="K1539" s="2">
        <v>27908</v>
      </c>
      <c r="L1539" s="2">
        <v>27908</v>
      </c>
      <c r="M1539" t="str">
        <f>IFERROR(IF(VLOOKUP(LEFT(B1539,2),'Humanitarian codes'!$A$2:$A$10,1,FALSE)=LEFT(B1539,2),"Yes","Error"),"No")</f>
        <v>No</v>
      </c>
    </row>
    <row r="1540" spans="1:13" x14ac:dyDescent="0.25">
      <c r="A1540">
        <v>2022</v>
      </c>
      <c r="B1540" t="s">
        <v>1062</v>
      </c>
      <c r="C1540" t="s">
        <v>1063</v>
      </c>
      <c r="D1540" t="s">
        <v>543</v>
      </c>
      <c r="E1540" t="s">
        <v>523</v>
      </c>
      <c r="F1540">
        <v>4500260153</v>
      </c>
      <c r="G1540" t="s">
        <v>6152</v>
      </c>
      <c r="H1540" t="s">
        <v>3334</v>
      </c>
      <c r="I1540" t="s">
        <v>6153</v>
      </c>
      <c r="J1540" t="s">
        <v>523</v>
      </c>
      <c r="K1540" s="2">
        <v>314231</v>
      </c>
      <c r="L1540" s="2">
        <v>314231</v>
      </c>
      <c r="M1540" t="str">
        <f>IFERROR(IF(VLOOKUP(LEFT(B1540,2),'Humanitarian codes'!$A$2:$A$10,1,FALSE)=LEFT(B1540,2),"Yes","Error"),"No")</f>
        <v>No</v>
      </c>
    </row>
    <row r="1541" spans="1:13" x14ac:dyDescent="0.25">
      <c r="A1541">
        <v>2022</v>
      </c>
      <c r="B1541" t="s">
        <v>1062</v>
      </c>
      <c r="C1541" t="s">
        <v>1063</v>
      </c>
      <c r="D1541" t="s">
        <v>543</v>
      </c>
      <c r="E1541" t="s">
        <v>523</v>
      </c>
      <c r="F1541">
        <v>4500260437</v>
      </c>
      <c r="G1541" t="s">
        <v>4283</v>
      </c>
      <c r="H1541" t="s">
        <v>3334</v>
      </c>
      <c r="I1541" t="s">
        <v>5524</v>
      </c>
      <c r="J1541" t="s">
        <v>523</v>
      </c>
      <c r="K1541" s="2">
        <v>96401</v>
      </c>
      <c r="L1541" s="2">
        <v>96401</v>
      </c>
      <c r="M1541" t="str">
        <f>IFERROR(IF(VLOOKUP(LEFT(B1541,2),'Humanitarian codes'!$A$2:$A$10,1,FALSE)=LEFT(B1541,2),"Yes","Error"),"No")</f>
        <v>No</v>
      </c>
    </row>
    <row r="1542" spans="1:13" x14ac:dyDescent="0.25">
      <c r="A1542">
        <v>2022</v>
      </c>
      <c r="B1542" t="s">
        <v>3224</v>
      </c>
      <c r="C1542" t="s">
        <v>3753</v>
      </c>
      <c r="D1542" t="s">
        <v>543</v>
      </c>
      <c r="E1542" t="s">
        <v>54</v>
      </c>
      <c r="F1542">
        <v>4500247615</v>
      </c>
      <c r="G1542" t="s">
        <v>5326</v>
      </c>
      <c r="H1542" t="s">
        <v>3334</v>
      </c>
      <c r="I1542" t="s">
        <v>271</v>
      </c>
      <c r="J1542" t="s">
        <v>54</v>
      </c>
      <c r="K1542" s="2">
        <v>89634</v>
      </c>
      <c r="L1542" s="2">
        <v>116408</v>
      </c>
      <c r="M1542" t="str">
        <f>IFERROR(IF(VLOOKUP(LEFT(B1542,2),'Humanitarian codes'!$A$2:$A$10,1,FALSE)=LEFT(B1542,2),"Yes","Error"),"No")</f>
        <v>No</v>
      </c>
    </row>
    <row r="1543" spans="1:13" x14ac:dyDescent="0.25">
      <c r="A1543">
        <v>2022</v>
      </c>
      <c r="B1543" t="s">
        <v>3224</v>
      </c>
      <c r="C1543" t="s">
        <v>3753</v>
      </c>
      <c r="D1543" t="s">
        <v>543</v>
      </c>
      <c r="E1543" t="s">
        <v>54</v>
      </c>
      <c r="F1543">
        <v>4500248975</v>
      </c>
      <c r="G1543" t="s">
        <v>5329</v>
      </c>
      <c r="H1543" t="s">
        <v>3334</v>
      </c>
      <c r="I1543" t="s">
        <v>5330</v>
      </c>
      <c r="J1543" t="s">
        <v>54</v>
      </c>
      <c r="K1543" s="2">
        <v>77375</v>
      </c>
      <c r="L1543" s="2">
        <v>103166</v>
      </c>
      <c r="M1543" t="str">
        <f>IFERROR(IF(VLOOKUP(LEFT(B1543,2),'Humanitarian codes'!$A$2:$A$10,1,FALSE)=LEFT(B1543,2),"Yes","Error"),"No")</f>
        <v>No</v>
      </c>
    </row>
    <row r="1544" spans="1:13" x14ac:dyDescent="0.25">
      <c r="A1544">
        <v>2022</v>
      </c>
      <c r="B1544" t="s">
        <v>3224</v>
      </c>
      <c r="C1544" t="s">
        <v>3753</v>
      </c>
      <c r="D1544" t="s">
        <v>543</v>
      </c>
      <c r="E1544" t="s">
        <v>54</v>
      </c>
      <c r="F1544">
        <v>4500249921</v>
      </c>
      <c r="G1544" t="s">
        <v>5184</v>
      </c>
      <c r="H1544" t="s">
        <v>3334</v>
      </c>
      <c r="I1544" t="s">
        <v>280</v>
      </c>
      <c r="J1544" t="s">
        <v>54</v>
      </c>
      <c r="K1544" s="2">
        <v>83553</v>
      </c>
      <c r="L1544" s="2">
        <v>124706</v>
      </c>
      <c r="M1544" t="str">
        <f>IFERROR(IF(VLOOKUP(LEFT(B1544,2),'Humanitarian codes'!$A$2:$A$10,1,FALSE)=LEFT(B1544,2),"Yes","Error"),"No")</f>
        <v>No</v>
      </c>
    </row>
    <row r="1545" spans="1:13" x14ac:dyDescent="0.25">
      <c r="A1545">
        <v>2022</v>
      </c>
      <c r="B1545" t="s">
        <v>3224</v>
      </c>
      <c r="C1545" t="s">
        <v>3753</v>
      </c>
      <c r="D1545" t="s">
        <v>543</v>
      </c>
      <c r="E1545" t="s">
        <v>54</v>
      </c>
      <c r="F1545">
        <v>4500274173</v>
      </c>
      <c r="G1545" t="s">
        <v>6154</v>
      </c>
      <c r="H1545" t="s">
        <v>3334</v>
      </c>
      <c r="I1545" t="s">
        <v>790</v>
      </c>
      <c r="J1545" t="s">
        <v>54</v>
      </c>
      <c r="K1545" s="2">
        <v>133294</v>
      </c>
      <c r="L1545" s="2">
        <v>333235</v>
      </c>
      <c r="M1545" t="str">
        <f>IFERROR(IF(VLOOKUP(LEFT(B1545,2),'Humanitarian codes'!$A$2:$A$10,1,FALSE)=LEFT(B1545,2),"Yes","Error"),"No")</f>
        <v>No</v>
      </c>
    </row>
    <row r="1546" spans="1:13" x14ac:dyDescent="0.25">
      <c r="A1546">
        <v>2022</v>
      </c>
      <c r="B1546" t="s">
        <v>3861</v>
      </c>
      <c r="C1546" t="s">
        <v>3862</v>
      </c>
      <c r="D1546" t="s">
        <v>543</v>
      </c>
      <c r="E1546" t="s">
        <v>3396</v>
      </c>
      <c r="F1546">
        <v>4500274058</v>
      </c>
      <c r="G1546" t="s">
        <v>4442</v>
      </c>
      <c r="H1546" t="s">
        <v>3334</v>
      </c>
      <c r="I1546" t="s">
        <v>3402</v>
      </c>
      <c r="J1546" t="s">
        <v>3396</v>
      </c>
      <c r="K1546" s="2">
        <v>32649</v>
      </c>
      <c r="L1546" s="2">
        <v>125015</v>
      </c>
      <c r="M1546" t="str">
        <f>IFERROR(IF(VLOOKUP(LEFT(B1546,2),'Humanitarian codes'!$A$2:$A$10,1,FALSE)=LEFT(B1546,2),"Yes","Error"),"No")</f>
        <v>No</v>
      </c>
    </row>
    <row r="1547" spans="1:13" x14ac:dyDescent="0.25">
      <c r="A1547">
        <v>2022</v>
      </c>
      <c r="B1547" t="s">
        <v>1602</v>
      </c>
      <c r="C1547" t="s">
        <v>1603</v>
      </c>
      <c r="D1547" t="s">
        <v>30</v>
      </c>
      <c r="E1547" t="s">
        <v>793</v>
      </c>
      <c r="F1547">
        <v>4500273519</v>
      </c>
      <c r="G1547" t="s">
        <v>5221</v>
      </c>
      <c r="H1547" t="s">
        <v>3334</v>
      </c>
      <c r="I1547" t="s">
        <v>1993</v>
      </c>
      <c r="J1547" t="s">
        <v>793</v>
      </c>
      <c r="K1547" s="2">
        <v>8000</v>
      </c>
      <c r="L1547" s="2">
        <v>40000</v>
      </c>
      <c r="M1547" t="str">
        <f>IFERROR(IF(VLOOKUP(LEFT(B1547,2),'Humanitarian codes'!$A$2:$A$10,1,FALSE)=LEFT(B1547,2),"Yes","Error"),"No")</f>
        <v>Yes</v>
      </c>
    </row>
    <row r="1548" spans="1:13" x14ac:dyDescent="0.25">
      <c r="A1548">
        <v>2022</v>
      </c>
      <c r="B1548" t="s">
        <v>6155</v>
      </c>
      <c r="C1548" t="s">
        <v>1606</v>
      </c>
      <c r="D1548" t="s">
        <v>30</v>
      </c>
      <c r="E1548" t="s">
        <v>717</v>
      </c>
      <c r="F1548">
        <v>4500227925</v>
      </c>
      <c r="G1548" t="s">
        <v>6156</v>
      </c>
      <c r="H1548" t="s">
        <v>3334</v>
      </c>
      <c r="I1548" t="s">
        <v>1608</v>
      </c>
      <c r="J1548" t="s">
        <v>717</v>
      </c>
      <c r="K1548" s="2">
        <v>7492</v>
      </c>
      <c r="L1548" s="2">
        <v>14983</v>
      </c>
      <c r="M1548" t="str">
        <f>IFERROR(IF(VLOOKUP(LEFT(B1548,2),'Humanitarian codes'!$A$2:$A$10,1,FALSE)=LEFT(B1548,2),"Yes","Error"),"No")</f>
        <v>No</v>
      </c>
    </row>
    <row r="1549" spans="1:13" x14ac:dyDescent="0.25">
      <c r="A1549">
        <v>2022</v>
      </c>
      <c r="B1549" t="s">
        <v>6155</v>
      </c>
      <c r="C1549" t="s">
        <v>1606</v>
      </c>
      <c r="D1549" t="s">
        <v>30</v>
      </c>
      <c r="E1549" t="s">
        <v>155</v>
      </c>
      <c r="F1549">
        <v>4500181498</v>
      </c>
      <c r="G1549" t="s">
        <v>6157</v>
      </c>
      <c r="H1549" t="s">
        <v>3334</v>
      </c>
      <c r="I1549" t="s">
        <v>3770</v>
      </c>
      <c r="J1549" t="s">
        <v>155</v>
      </c>
      <c r="K1549">
        <v>272</v>
      </c>
      <c r="L1549">
        <v>272</v>
      </c>
      <c r="M1549" t="str">
        <f>IFERROR(IF(VLOOKUP(LEFT(B1549,2),'Humanitarian codes'!$A$2:$A$10,1,FALSE)=LEFT(B1549,2),"Yes","Error"),"No")</f>
        <v>No</v>
      </c>
    </row>
    <row r="1550" spans="1:13" x14ac:dyDescent="0.25">
      <c r="A1550">
        <v>2022</v>
      </c>
      <c r="B1550" t="s">
        <v>6158</v>
      </c>
      <c r="C1550" t="s">
        <v>1604</v>
      </c>
      <c r="D1550" t="s">
        <v>30</v>
      </c>
      <c r="E1550" t="s">
        <v>1346</v>
      </c>
      <c r="F1550">
        <v>4500192882</v>
      </c>
      <c r="G1550" t="s">
        <v>4900</v>
      </c>
      <c r="H1550" t="s">
        <v>3334</v>
      </c>
      <c r="I1550" t="s">
        <v>2041</v>
      </c>
      <c r="J1550" t="s">
        <v>1346</v>
      </c>
      <c r="K1550" s="2">
        <v>46200</v>
      </c>
      <c r="L1550" s="2">
        <v>222200</v>
      </c>
      <c r="M1550" t="str">
        <f>IFERROR(IF(VLOOKUP(LEFT(B1550,2),'Humanitarian codes'!$A$2:$A$10,1,FALSE)=LEFT(B1550,2),"Yes","Error"),"No")</f>
        <v>No</v>
      </c>
    </row>
    <row r="1551" spans="1:13" x14ac:dyDescent="0.25">
      <c r="A1551">
        <v>2022</v>
      </c>
      <c r="B1551" t="s">
        <v>6159</v>
      </c>
      <c r="C1551" t="s">
        <v>6160</v>
      </c>
      <c r="D1551" t="s">
        <v>30</v>
      </c>
      <c r="E1551" t="s">
        <v>909</v>
      </c>
      <c r="F1551">
        <v>4500268974</v>
      </c>
      <c r="G1551" t="s">
        <v>6161</v>
      </c>
      <c r="H1551" t="s">
        <v>3334</v>
      </c>
      <c r="I1551" t="s">
        <v>2700</v>
      </c>
      <c r="J1551" t="s">
        <v>909</v>
      </c>
      <c r="K1551" s="2">
        <v>2126</v>
      </c>
      <c r="L1551" s="2">
        <v>2126</v>
      </c>
      <c r="M1551" t="str">
        <f>IFERROR(IF(VLOOKUP(LEFT(B1551,2),'Humanitarian codes'!$A$2:$A$10,1,FALSE)=LEFT(B1551,2),"Yes","Error"),"No")</f>
        <v>No</v>
      </c>
    </row>
    <row r="1552" spans="1:13" x14ac:dyDescent="0.25">
      <c r="A1552">
        <v>2022</v>
      </c>
      <c r="B1552" t="s">
        <v>6159</v>
      </c>
      <c r="C1552" t="s">
        <v>6160</v>
      </c>
      <c r="D1552" t="s">
        <v>30</v>
      </c>
      <c r="E1552" t="s">
        <v>909</v>
      </c>
      <c r="F1552">
        <v>4500268976</v>
      </c>
      <c r="G1552" t="s">
        <v>6162</v>
      </c>
      <c r="H1552" t="s">
        <v>3334</v>
      </c>
      <c r="I1552" t="s">
        <v>2700</v>
      </c>
      <c r="J1552" t="s">
        <v>909</v>
      </c>
      <c r="K1552" s="2">
        <v>6961</v>
      </c>
      <c r="L1552" s="2">
        <v>6961</v>
      </c>
      <c r="M1552" t="str">
        <f>IFERROR(IF(VLOOKUP(LEFT(B1552,2),'Humanitarian codes'!$A$2:$A$10,1,FALSE)=LEFT(B1552,2),"Yes","Error"),"No")</f>
        <v>No</v>
      </c>
    </row>
    <row r="1553" spans="1:13" x14ac:dyDescent="0.25">
      <c r="A1553">
        <v>2022</v>
      </c>
      <c r="B1553" t="s">
        <v>6159</v>
      </c>
      <c r="C1553" t="s">
        <v>6160</v>
      </c>
      <c r="D1553" t="s">
        <v>30</v>
      </c>
      <c r="E1553" t="s">
        <v>909</v>
      </c>
      <c r="F1553">
        <v>4500268979</v>
      </c>
      <c r="G1553" t="s">
        <v>6163</v>
      </c>
      <c r="H1553" t="s">
        <v>3334</v>
      </c>
      <c r="I1553" t="s">
        <v>2700</v>
      </c>
      <c r="J1553" t="s">
        <v>909</v>
      </c>
      <c r="K1553" s="2">
        <v>9741</v>
      </c>
      <c r="L1553" s="2">
        <v>9741</v>
      </c>
      <c r="M1553" t="str">
        <f>IFERROR(IF(VLOOKUP(LEFT(B1553,2),'Humanitarian codes'!$A$2:$A$10,1,FALSE)=LEFT(B1553,2),"Yes","Error"),"No")</f>
        <v>No</v>
      </c>
    </row>
    <row r="1554" spans="1:13" x14ac:dyDescent="0.25">
      <c r="A1554">
        <v>2022</v>
      </c>
      <c r="B1554" t="s">
        <v>6159</v>
      </c>
      <c r="C1554" t="s">
        <v>6160</v>
      </c>
      <c r="D1554" t="s">
        <v>30</v>
      </c>
      <c r="E1554" t="s">
        <v>909</v>
      </c>
      <c r="F1554">
        <v>4500268981</v>
      </c>
      <c r="G1554" t="s">
        <v>6164</v>
      </c>
      <c r="H1554" t="s">
        <v>3334</v>
      </c>
      <c r="I1554" t="s">
        <v>2700</v>
      </c>
      <c r="J1554" t="s">
        <v>909</v>
      </c>
      <c r="K1554" s="2">
        <v>9726</v>
      </c>
      <c r="L1554" s="2">
        <v>9726</v>
      </c>
      <c r="M1554" t="str">
        <f>IFERROR(IF(VLOOKUP(LEFT(B1554,2),'Humanitarian codes'!$A$2:$A$10,1,FALSE)=LEFT(B1554,2),"Yes","Error"),"No")</f>
        <v>No</v>
      </c>
    </row>
    <row r="1555" spans="1:13" x14ac:dyDescent="0.25">
      <c r="A1555">
        <v>2022</v>
      </c>
      <c r="B1555" t="s">
        <v>6159</v>
      </c>
      <c r="C1555" t="s">
        <v>6160</v>
      </c>
      <c r="D1555" t="s">
        <v>30</v>
      </c>
      <c r="E1555" t="s">
        <v>909</v>
      </c>
      <c r="F1555">
        <v>4500274305</v>
      </c>
      <c r="G1555" t="s">
        <v>6165</v>
      </c>
      <c r="H1555" t="s">
        <v>3334</v>
      </c>
      <c r="I1555" t="s">
        <v>2700</v>
      </c>
      <c r="J1555" t="s">
        <v>909</v>
      </c>
      <c r="K1555" s="2">
        <v>23489</v>
      </c>
      <c r="L1555" s="2">
        <v>23489</v>
      </c>
      <c r="M1555" t="str">
        <f>IFERROR(IF(VLOOKUP(LEFT(B1555,2),'Humanitarian codes'!$A$2:$A$10,1,FALSE)=LEFT(B1555,2),"Yes","Error"),"No")</f>
        <v>No</v>
      </c>
    </row>
    <row r="1556" spans="1:13" x14ac:dyDescent="0.25">
      <c r="A1556">
        <v>2022</v>
      </c>
      <c r="B1556" t="s">
        <v>6159</v>
      </c>
      <c r="C1556" t="s">
        <v>6160</v>
      </c>
      <c r="D1556" t="s">
        <v>30</v>
      </c>
      <c r="E1556" t="s">
        <v>909</v>
      </c>
      <c r="F1556">
        <v>4500275088</v>
      </c>
      <c r="G1556" t="s">
        <v>6166</v>
      </c>
      <c r="H1556" t="s">
        <v>3334</v>
      </c>
      <c r="I1556" t="s">
        <v>2700</v>
      </c>
      <c r="J1556" t="s">
        <v>909</v>
      </c>
      <c r="K1556" s="2">
        <v>7295</v>
      </c>
      <c r="L1556" s="2">
        <v>7295</v>
      </c>
      <c r="M1556" t="str">
        <f>IFERROR(IF(VLOOKUP(LEFT(B1556,2),'Humanitarian codes'!$A$2:$A$10,1,FALSE)=LEFT(B1556,2),"Yes","Error"),"No")</f>
        <v>No</v>
      </c>
    </row>
    <row r="1557" spans="1:13" x14ac:dyDescent="0.25">
      <c r="A1557">
        <v>2022</v>
      </c>
      <c r="B1557" t="s">
        <v>6167</v>
      </c>
      <c r="C1557" t="s">
        <v>6168</v>
      </c>
      <c r="D1557" t="s">
        <v>30</v>
      </c>
      <c r="E1557" t="s">
        <v>649</v>
      </c>
      <c r="F1557">
        <v>4500190135</v>
      </c>
      <c r="G1557" t="s">
        <v>6169</v>
      </c>
      <c r="H1557" t="s">
        <v>3334</v>
      </c>
      <c r="I1557" t="s">
        <v>771</v>
      </c>
      <c r="J1557" t="s">
        <v>616</v>
      </c>
      <c r="K1557" s="2">
        <v>218061</v>
      </c>
      <c r="L1557" s="2">
        <v>218061</v>
      </c>
      <c r="M1557" t="str">
        <f>IFERROR(IF(VLOOKUP(LEFT(B1557,2),'Humanitarian codes'!$A$2:$A$10,1,FALSE)=LEFT(B1557,2),"Yes","Error"),"No")</f>
        <v>No</v>
      </c>
    </row>
    <row r="1558" spans="1:13" x14ac:dyDescent="0.25">
      <c r="A1558">
        <v>2022</v>
      </c>
      <c r="B1558" t="s">
        <v>6167</v>
      </c>
      <c r="C1558" t="s">
        <v>6168</v>
      </c>
      <c r="D1558" t="s">
        <v>30</v>
      </c>
      <c r="E1558" t="s">
        <v>649</v>
      </c>
      <c r="F1558">
        <v>4500212359</v>
      </c>
      <c r="G1558" t="s">
        <v>6170</v>
      </c>
      <c r="H1558" t="s">
        <v>3334</v>
      </c>
      <c r="I1558" t="s">
        <v>1837</v>
      </c>
      <c r="J1558" t="s">
        <v>649</v>
      </c>
      <c r="K1558" s="2">
        <v>2257501</v>
      </c>
      <c r="L1558" s="2">
        <v>2257501</v>
      </c>
      <c r="M1558" t="str">
        <f>IFERROR(IF(VLOOKUP(LEFT(B1558,2),'Humanitarian codes'!$A$2:$A$10,1,FALSE)=LEFT(B1558,2),"Yes","Error"),"No")</f>
        <v>No</v>
      </c>
    </row>
    <row r="1559" spans="1:13" x14ac:dyDescent="0.25">
      <c r="A1559">
        <v>2022</v>
      </c>
      <c r="B1559" t="s">
        <v>1609</v>
      </c>
      <c r="C1559" t="s">
        <v>1610</v>
      </c>
      <c r="D1559" t="s">
        <v>30</v>
      </c>
      <c r="E1559" t="s">
        <v>717</v>
      </c>
      <c r="F1559">
        <v>4500227925</v>
      </c>
      <c r="G1559" t="s">
        <v>6156</v>
      </c>
      <c r="H1559" t="s">
        <v>3334</v>
      </c>
      <c r="I1559" t="s">
        <v>1608</v>
      </c>
      <c r="J1559" t="s">
        <v>717</v>
      </c>
      <c r="K1559" s="2">
        <v>7492</v>
      </c>
      <c r="L1559" s="2">
        <v>14983</v>
      </c>
      <c r="M1559" t="str">
        <f>IFERROR(IF(VLOOKUP(LEFT(B1559,2),'Humanitarian codes'!$A$2:$A$10,1,FALSE)=LEFT(B1559,2),"Yes","Error"),"No")</f>
        <v>No</v>
      </c>
    </row>
    <row r="1560" spans="1:13" x14ac:dyDescent="0.25">
      <c r="A1560">
        <v>2022</v>
      </c>
      <c r="B1560" t="s">
        <v>6171</v>
      </c>
      <c r="C1560" t="s">
        <v>6172</v>
      </c>
      <c r="D1560" t="s">
        <v>30</v>
      </c>
      <c r="E1560" t="s">
        <v>909</v>
      </c>
      <c r="F1560">
        <v>4500191260</v>
      </c>
      <c r="G1560" t="s">
        <v>6173</v>
      </c>
      <c r="H1560" t="s">
        <v>3334</v>
      </c>
      <c r="I1560" t="s">
        <v>2700</v>
      </c>
      <c r="J1560" t="s">
        <v>909</v>
      </c>
      <c r="K1560" s="2">
        <v>30190</v>
      </c>
      <c r="L1560" s="2">
        <v>30190</v>
      </c>
      <c r="M1560" t="str">
        <f>IFERROR(IF(VLOOKUP(LEFT(B1560,2),'Humanitarian codes'!$A$2:$A$10,1,FALSE)=LEFT(B1560,2),"Yes","Error"),"No")</f>
        <v>No</v>
      </c>
    </row>
    <row r="1561" spans="1:13" x14ac:dyDescent="0.25">
      <c r="A1561">
        <v>2022</v>
      </c>
      <c r="B1561" t="s">
        <v>6171</v>
      </c>
      <c r="C1561" t="s">
        <v>6172</v>
      </c>
      <c r="D1561" t="s">
        <v>30</v>
      </c>
      <c r="E1561" t="s">
        <v>909</v>
      </c>
      <c r="F1561">
        <v>4500204433</v>
      </c>
      <c r="G1561" t="s">
        <v>6174</v>
      </c>
      <c r="H1561" t="s">
        <v>3334</v>
      </c>
      <c r="I1561" t="s">
        <v>2700</v>
      </c>
      <c r="J1561" t="s">
        <v>909</v>
      </c>
      <c r="K1561" s="2">
        <v>18917</v>
      </c>
      <c r="L1561" s="2">
        <v>18917</v>
      </c>
      <c r="M1561" t="str">
        <f>IFERROR(IF(VLOOKUP(LEFT(B1561,2),'Humanitarian codes'!$A$2:$A$10,1,FALSE)=LEFT(B1561,2),"Yes","Error"),"No")</f>
        <v>No</v>
      </c>
    </row>
    <row r="1562" spans="1:13" x14ac:dyDescent="0.25">
      <c r="A1562">
        <v>2022</v>
      </c>
      <c r="B1562" t="s">
        <v>6171</v>
      </c>
      <c r="C1562" t="s">
        <v>6172</v>
      </c>
      <c r="D1562" t="s">
        <v>30</v>
      </c>
      <c r="E1562" t="s">
        <v>909</v>
      </c>
      <c r="F1562">
        <v>4500204442</v>
      </c>
      <c r="G1562" t="s">
        <v>6175</v>
      </c>
      <c r="H1562" t="s">
        <v>3334</v>
      </c>
      <c r="I1562" t="s">
        <v>2700</v>
      </c>
      <c r="J1562" t="s">
        <v>909</v>
      </c>
      <c r="K1562" s="2">
        <v>9808</v>
      </c>
      <c r="L1562" s="2">
        <v>9808</v>
      </c>
      <c r="M1562" t="str">
        <f>IFERROR(IF(VLOOKUP(LEFT(B1562,2),'Humanitarian codes'!$A$2:$A$10,1,FALSE)=LEFT(B1562,2),"Yes","Error"),"No")</f>
        <v>No</v>
      </c>
    </row>
    <row r="1563" spans="1:13" x14ac:dyDescent="0.25">
      <c r="A1563">
        <v>2022</v>
      </c>
      <c r="B1563" t="s">
        <v>6171</v>
      </c>
      <c r="C1563" t="s">
        <v>6172</v>
      </c>
      <c r="D1563" t="s">
        <v>30</v>
      </c>
      <c r="E1563" t="s">
        <v>909</v>
      </c>
      <c r="F1563">
        <v>4500205692</v>
      </c>
      <c r="G1563" t="s">
        <v>6176</v>
      </c>
      <c r="H1563" t="s">
        <v>3334</v>
      </c>
      <c r="I1563" t="s">
        <v>2700</v>
      </c>
      <c r="J1563" t="s">
        <v>909</v>
      </c>
      <c r="K1563" s="2">
        <v>8051</v>
      </c>
      <c r="L1563" s="2">
        <v>8051</v>
      </c>
      <c r="M1563" t="str">
        <f>IFERROR(IF(VLOOKUP(LEFT(B1563,2),'Humanitarian codes'!$A$2:$A$10,1,FALSE)=LEFT(B1563,2),"Yes","Error"),"No")</f>
        <v>No</v>
      </c>
    </row>
    <row r="1564" spans="1:13" x14ac:dyDescent="0.25">
      <c r="A1564">
        <v>2022</v>
      </c>
      <c r="B1564" t="s">
        <v>6171</v>
      </c>
      <c r="C1564" t="s">
        <v>6172</v>
      </c>
      <c r="D1564" t="s">
        <v>30</v>
      </c>
      <c r="E1564" t="s">
        <v>909</v>
      </c>
      <c r="F1564">
        <v>4500221851</v>
      </c>
      <c r="G1564" t="s">
        <v>6177</v>
      </c>
      <c r="H1564" t="s">
        <v>3334</v>
      </c>
      <c r="I1564" t="s">
        <v>2700</v>
      </c>
      <c r="J1564" t="s">
        <v>909</v>
      </c>
      <c r="K1564" s="2">
        <v>16383</v>
      </c>
      <c r="L1564" s="2">
        <v>16383</v>
      </c>
      <c r="M1564" t="str">
        <f>IFERROR(IF(VLOOKUP(LEFT(B1564,2),'Humanitarian codes'!$A$2:$A$10,1,FALSE)=LEFT(B1564,2),"Yes","Error"),"No")</f>
        <v>No</v>
      </c>
    </row>
    <row r="1565" spans="1:13" x14ac:dyDescent="0.25">
      <c r="A1565">
        <v>2022</v>
      </c>
      <c r="B1565" t="s">
        <v>6171</v>
      </c>
      <c r="C1565" t="s">
        <v>6172</v>
      </c>
      <c r="D1565" t="s">
        <v>30</v>
      </c>
      <c r="E1565" t="s">
        <v>909</v>
      </c>
      <c r="F1565">
        <v>4500223949</v>
      </c>
      <c r="G1565" t="s">
        <v>6178</v>
      </c>
      <c r="H1565" t="s">
        <v>3334</v>
      </c>
      <c r="I1565" t="s">
        <v>2700</v>
      </c>
      <c r="J1565" t="s">
        <v>909</v>
      </c>
      <c r="K1565" s="2">
        <v>19343</v>
      </c>
      <c r="L1565" s="2">
        <v>19343</v>
      </c>
      <c r="M1565" t="str">
        <f>IFERROR(IF(VLOOKUP(LEFT(B1565,2),'Humanitarian codes'!$A$2:$A$10,1,FALSE)=LEFT(B1565,2),"Yes","Error"),"No")</f>
        <v>No</v>
      </c>
    </row>
    <row r="1566" spans="1:13" x14ac:dyDescent="0.25">
      <c r="A1566">
        <v>2022</v>
      </c>
      <c r="B1566" t="s">
        <v>6171</v>
      </c>
      <c r="C1566" t="s">
        <v>6172</v>
      </c>
      <c r="D1566" t="s">
        <v>30</v>
      </c>
      <c r="E1566" t="s">
        <v>909</v>
      </c>
      <c r="F1566">
        <v>4500224471</v>
      </c>
      <c r="G1566" t="s">
        <v>6179</v>
      </c>
      <c r="H1566" t="s">
        <v>3334</v>
      </c>
      <c r="I1566" t="s">
        <v>2700</v>
      </c>
      <c r="J1566" t="s">
        <v>909</v>
      </c>
      <c r="K1566" s="2">
        <v>16542</v>
      </c>
      <c r="L1566" s="2">
        <v>16542</v>
      </c>
      <c r="M1566" t="str">
        <f>IFERROR(IF(VLOOKUP(LEFT(B1566,2),'Humanitarian codes'!$A$2:$A$10,1,FALSE)=LEFT(B1566,2),"Yes","Error"),"No")</f>
        <v>No</v>
      </c>
    </row>
    <row r="1567" spans="1:13" x14ac:dyDescent="0.25">
      <c r="A1567">
        <v>2022</v>
      </c>
      <c r="B1567" t="s">
        <v>6180</v>
      </c>
      <c r="C1567" t="s">
        <v>6181</v>
      </c>
      <c r="D1567" t="s">
        <v>1112</v>
      </c>
      <c r="E1567" t="s">
        <v>1454</v>
      </c>
      <c r="F1567">
        <v>4500183949</v>
      </c>
      <c r="G1567" t="s">
        <v>6182</v>
      </c>
      <c r="H1567" t="s">
        <v>3334</v>
      </c>
      <c r="I1567" t="s">
        <v>6183</v>
      </c>
      <c r="J1567" t="s">
        <v>1454</v>
      </c>
      <c r="K1567" s="2">
        <v>25386</v>
      </c>
      <c r="L1567" s="2">
        <v>25386</v>
      </c>
      <c r="M1567" t="str">
        <f>IFERROR(IF(VLOOKUP(LEFT(B1567,2),'Humanitarian codes'!$A$2:$A$10,1,FALSE)=LEFT(B1567,2),"Yes","Error"),"No")</f>
        <v>No</v>
      </c>
    </row>
    <row r="1568" spans="1:13" x14ac:dyDescent="0.25">
      <c r="A1568">
        <v>2022</v>
      </c>
      <c r="B1568" t="s">
        <v>6180</v>
      </c>
      <c r="C1568" t="s">
        <v>6181</v>
      </c>
      <c r="D1568" t="s">
        <v>1112</v>
      </c>
      <c r="E1568" t="s">
        <v>1454</v>
      </c>
      <c r="F1568">
        <v>4500185271</v>
      </c>
      <c r="G1568" t="s">
        <v>6184</v>
      </c>
      <c r="H1568" t="s">
        <v>3334</v>
      </c>
      <c r="I1568" t="s">
        <v>6185</v>
      </c>
      <c r="J1568" t="s">
        <v>1454</v>
      </c>
      <c r="K1568" s="2">
        <v>41371</v>
      </c>
      <c r="L1568" s="2">
        <v>41371</v>
      </c>
      <c r="M1568" t="str">
        <f>IFERROR(IF(VLOOKUP(LEFT(B1568,2),'Humanitarian codes'!$A$2:$A$10,1,FALSE)=LEFT(B1568,2),"Yes","Error"),"No")</f>
        <v>No</v>
      </c>
    </row>
    <row r="1569" spans="1:13" x14ac:dyDescent="0.25">
      <c r="A1569">
        <v>2022</v>
      </c>
      <c r="B1569" t="s">
        <v>6180</v>
      </c>
      <c r="C1569" t="s">
        <v>6181</v>
      </c>
      <c r="D1569" t="s">
        <v>1112</v>
      </c>
      <c r="E1569" t="s">
        <v>1454</v>
      </c>
      <c r="F1569">
        <v>4500187957</v>
      </c>
      <c r="G1569" t="s">
        <v>6186</v>
      </c>
      <c r="H1569" t="s">
        <v>3334</v>
      </c>
      <c r="I1569" t="s">
        <v>3271</v>
      </c>
      <c r="J1569" t="s">
        <v>1454</v>
      </c>
      <c r="K1569" s="2">
        <v>29513</v>
      </c>
      <c r="L1569" s="2">
        <v>29513</v>
      </c>
      <c r="M1569" t="str">
        <f>IFERROR(IF(VLOOKUP(LEFT(B1569,2),'Humanitarian codes'!$A$2:$A$10,1,FALSE)=LEFT(B1569,2),"Yes","Error"),"No")</f>
        <v>No</v>
      </c>
    </row>
    <row r="1570" spans="1:13" x14ac:dyDescent="0.25">
      <c r="A1570">
        <v>2022</v>
      </c>
      <c r="B1570" t="s">
        <v>6187</v>
      </c>
      <c r="C1570" t="s">
        <v>6188</v>
      </c>
      <c r="D1570" t="s">
        <v>1112</v>
      </c>
      <c r="E1570" t="s">
        <v>261</v>
      </c>
      <c r="F1570">
        <v>4500217176</v>
      </c>
      <c r="G1570" t="s">
        <v>6189</v>
      </c>
      <c r="H1570" t="s">
        <v>3334</v>
      </c>
      <c r="I1570" t="s">
        <v>784</v>
      </c>
      <c r="J1570" t="s">
        <v>261</v>
      </c>
      <c r="K1570" s="2">
        <v>62893</v>
      </c>
      <c r="L1570" s="2">
        <v>62893</v>
      </c>
      <c r="M1570" t="str">
        <f>IFERROR(IF(VLOOKUP(LEFT(B1570,2),'Humanitarian codes'!$A$2:$A$10,1,FALSE)=LEFT(B1570,2),"Yes","Error"),"No")</f>
        <v>No</v>
      </c>
    </row>
    <row r="1571" spans="1:13" x14ac:dyDescent="0.25">
      <c r="A1571">
        <v>2022</v>
      </c>
      <c r="B1571" t="s">
        <v>6190</v>
      </c>
      <c r="C1571" t="s">
        <v>1626</v>
      </c>
      <c r="D1571" t="s">
        <v>543</v>
      </c>
      <c r="E1571" t="s">
        <v>504</v>
      </c>
      <c r="F1571">
        <v>4500192823</v>
      </c>
      <c r="G1571" t="s">
        <v>6191</v>
      </c>
      <c r="H1571" t="s">
        <v>3334</v>
      </c>
      <c r="I1571" t="s">
        <v>6192</v>
      </c>
      <c r="J1571" t="s">
        <v>504</v>
      </c>
      <c r="K1571">
        <v>224</v>
      </c>
      <c r="L1571">
        <v>224</v>
      </c>
      <c r="M1571" t="str">
        <f>IFERROR(IF(VLOOKUP(LEFT(B1571,2),'Humanitarian codes'!$A$2:$A$10,1,FALSE)=LEFT(B1571,2),"Yes","Error"),"No")</f>
        <v>No</v>
      </c>
    </row>
    <row r="1572" spans="1:13" x14ac:dyDescent="0.25">
      <c r="A1572">
        <v>2022</v>
      </c>
      <c r="B1572" t="s">
        <v>3771</v>
      </c>
      <c r="C1572" t="s">
        <v>3772</v>
      </c>
      <c r="D1572" t="s">
        <v>543</v>
      </c>
      <c r="E1572" t="s">
        <v>493</v>
      </c>
      <c r="F1572">
        <v>4500212027</v>
      </c>
      <c r="G1572" t="s">
        <v>6193</v>
      </c>
      <c r="H1572" t="s">
        <v>3334</v>
      </c>
      <c r="I1572" t="s">
        <v>3092</v>
      </c>
      <c r="J1572" t="s">
        <v>493</v>
      </c>
      <c r="K1572" s="2">
        <v>31956</v>
      </c>
      <c r="L1572" s="2">
        <v>31956</v>
      </c>
      <c r="M1572" t="str">
        <f>IFERROR(IF(VLOOKUP(LEFT(B1572,2),'Humanitarian codes'!$A$2:$A$10,1,FALSE)=LEFT(B1572,2),"Yes","Error"),"No")</f>
        <v>No</v>
      </c>
    </row>
    <row r="1573" spans="1:13" x14ac:dyDescent="0.25">
      <c r="A1573">
        <v>2022</v>
      </c>
      <c r="B1573" t="s">
        <v>3771</v>
      </c>
      <c r="C1573" t="s">
        <v>3772</v>
      </c>
      <c r="D1573" t="s">
        <v>543</v>
      </c>
      <c r="E1573" t="s">
        <v>257</v>
      </c>
      <c r="F1573">
        <v>4500193376</v>
      </c>
      <c r="G1573" t="s">
        <v>6194</v>
      </c>
      <c r="H1573" t="s">
        <v>3334</v>
      </c>
      <c r="I1573" t="s">
        <v>6195</v>
      </c>
      <c r="J1573" t="s">
        <v>257</v>
      </c>
      <c r="K1573" s="2">
        <v>3363</v>
      </c>
      <c r="L1573" s="2">
        <v>3363</v>
      </c>
      <c r="M1573" t="str">
        <f>IFERROR(IF(VLOOKUP(LEFT(B1573,2),'Humanitarian codes'!$A$2:$A$10,1,FALSE)=LEFT(B1573,2),"Yes","Error"),"No")</f>
        <v>No</v>
      </c>
    </row>
    <row r="1574" spans="1:13" x14ac:dyDescent="0.25">
      <c r="A1574">
        <v>2022</v>
      </c>
      <c r="B1574" t="s">
        <v>3771</v>
      </c>
      <c r="C1574" t="s">
        <v>3772</v>
      </c>
      <c r="D1574" t="s">
        <v>543</v>
      </c>
      <c r="E1574" t="s">
        <v>257</v>
      </c>
      <c r="F1574">
        <v>4500194447</v>
      </c>
      <c r="G1574" t="s">
        <v>6196</v>
      </c>
      <c r="H1574" t="s">
        <v>3334</v>
      </c>
      <c r="I1574" t="s">
        <v>6197</v>
      </c>
      <c r="J1574" t="s">
        <v>257</v>
      </c>
      <c r="K1574" s="2">
        <v>2640</v>
      </c>
      <c r="L1574" s="2">
        <v>2640</v>
      </c>
      <c r="M1574" t="str">
        <f>IFERROR(IF(VLOOKUP(LEFT(B1574,2),'Humanitarian codes'!$A$2:$A$10,1,FALSE)=LEFT(B1574,2),"Yes","Error"),"No")</f>
        <v>No</v>
      </c>
    </row>
    <row r="1575" spans="1:13" x14ac:dyDescent="0.25">
      <c r="A1575">
        <v>2022</v>
      </c>
      <c r="B1575" t="s">
        <v>3771</v>
      </c>
      <c r="C1575" t="s">
        <v>3772</v>
      </c>
      <c r="D1575" t="s">
        <v>543</v>
      </c>
      <c r="E1575" t="s">
        <v>257</v>
      </c>
      <c r="F1575">
        <v>4500194455</v>
      </c>
      <c r="G1575" t="s">
        <v>6198</v>
      </c>
      <c r="H1575" t="s">
        <v>3334</v>
      </c>
      <c r="I1575" t="s">
        <v>3625</v>
      </c>
      <c r="J1575" t="s">
        <v>257</v>
      </c>
      <c r="K1575" s="2">
        <v>15162</v>
      </c>
      <c r="L1575" s="2">
        <v>15162</v>
      </c>
      <c r="M1575" t="str">
        <f>IFERROR(IF(VLOOKUP(LEFT(B1575,2),'Humanitarian codes'!$A$2:$A$10,1,FALSE)=LEFT(B1575,2),"Yes","Error"),"No")</f>
        <v>No</v>
      </c>
    </row>
    <row r="1576" spans="1:13" x14ac:dyDescent="0.25">
      <c r="A1576">
        <v>2022</v>
      </c>
      <c r="B1576" t="s">
        <v>3771</v>
      </c>
      <c r="C1576" t="s">
        <v>3772</v>
      </c>
      <c r="D1576" t="s">
        <v>543</v>
      </c>
      <c r="E1576" t="s">
        <v>330</v>
      </c>
      <c r="F1576">
        <v>4500214244</v>
      </c>
      <c r="G1576" t="s">
        <v>6032</v>
      </c>
      <c r="H1576" t="s">
        <v>3334</v>
      </c>
      <c r="I1576" t="s">
        <v>1722</v>
      </c>
      <c r="J1576" t="s">
        <v>330</v>
      </c>
      <c r="K1576" s="2">
        <v>216735</v>
      </c>
      <c r="L1576" s="2">
        <v>233049</v>
      </c>
      <c r="M1576" t="str">
        <f>IFERROR(IF(VLOOKUP(LEFT(B1576,2),'Humanitarian codes'!$A$2:$A$10,1,FALSE)=LEFT(B1576,2),"Yes","Error"),"No")</f>
        <v>No</v>
      </c>
    </row>
    <row r="1577" spans="1:13" x14ac:dyDescent="0.25">
      <c r="A1577">
        <v>2022</v>
      </c>
      <c r="B1577" t="s">
        <v>3771</v>
      </c>
      <c r="C1577" t="s">
        <v>3772</v>
      </c>
      <c r="D1577" t="s">
        <v>543</v>
      </c>
      <c r="E1577" t="s">
        <v>40</v>
      </c>
      <c r="F1577">
        <v>4500230574</v>
      </c>
      <c r="G1577" t="s">
        <v>6199</v>
      </c>
      <c r="H1577" t="s">
        <v>3334</v>
      </c>
      <c r="I1577" t="s">
        <v>6200</v>
      </c>
      <c r="J1577" t="s">
        <v>40</v>
      </c>
      <c r="K1577" s="2">
        <v>68588</v>
      </c>
      <c r="L1577" s="2">
        <v>68588</v>
      </c>
      <c r="M1577" t="str">
        <f>IFERROR(IF(VLOOKUP(LEFT(B1577,2),'Humanitarian codes'!$A$2:$A$10,1,FALSE)=LEFT(B1577,2),"Yes","Error"),"No")</f>
        <v>No</v>
      </c>
    </row>
    <row r="1578" spans="1:13" x14ac:dyDescent="0.25">
      <c r="A1578">
        <v>2022</v>
      </c>
      <c r="B1578" t="s">
        <v>3771</v>
      </c>
      <c r="C1578" t="s">
        <v>3772</v>
      </c>
      <c r="D1578" t="s">
        <v>543</v>
      </c>
      <c r="E1578" t="s">
        <v>40</v>
      </c>
      <c r="F1578">
        <v>4500245505</v>
      </c>
      <c r="G1578" t="s">
        <v>6201</v>
      </c>
      <c r="H1578" t="s">
        <v>3334</v>
      </c>
      <c r="I1578" t="s">
        <v>6202</v>
      </c>
      <c r="J1578" t="s">
        <v>40</v>
      </c>
      <c r="K1578" s="2">
        <v>120080</v>
      </c>
      <c r="L1578" s="2">
        <v>120080</v>
      </c>
      <c r="M1578" t="str">
        <f>IFERROR(IF(VLOOKUP(LEFT(B1578,2),'Humanitarian codes'!$A$2:$A$10,1,FALSE)=LEFT(B1578,2),"Yes","Error"),"No")</f>
        <v>No</v>
      </c>
    </row>
    <row r="1579" spans="1:13" x14ac:dyDescent="0.25">
      <c r="A1579">
        <v>2022</v>
      </c>
      <c r="B1579" t="s">
        <v>3771</v>
      </c>
      <c r="C1579" t="s">
        <v>3772</v>
      </c>
      <c r="D1579" t="s">
        <v>543</v>
      </c>
      <c r="E1579" t="s">
        <v>1128</v>
      </c>
      <c r="F1579">
        <v>4500228371</v>
      </c>
      <c r="G1579" t="s">
        <v>6203</v>
      </c>
      <c r="H1579" t="s">
        <v>3334</v>
      </c>
      <c r="I1579" t="s">
        <v>6204</v>
      </c>
      <c r="J1579" t="s">
        <v>1128</v>
      </c>
      <c r="K1579" s="2">
        <v>7293</v>
      </c>
      <c r="L1579" s="2">
        <v>7293</v>
      </c>
      <c r="M1579" t="str">
        <f>IFERROR(IF(VLOOKUP(LEFT(B1579,2),'Humanitarian codes'!$A$2:$A$10,1,FALSE)=LEFT(B1579,2),"Yes","Error"),"No")</f>
        <v>No</v>
      </c>
    </row>
    <row r="1580" spans="1:13" x14ac:dyDescent="0.25">
      <c r="A1580">
        <v>2022</v>
      </c>
      <c r="B1580" t="s">
        <v>3771</v>
      </c>
      <c r="C1580" t="s">
        <v>3772</v>
      </c>
      <c r="D1580" t="s">
        <v>543</v>
      </c>
      <c r="E1580" t="s">
        <v>500</v>
      </c>
      <c r="F1580">
        <v>4500184083</v>
      </c>
      <c r="G1580" t="s">
        <v>6205</v>
      </c>
      <c r="H1580" t="s">
        <v>3334</v>
      </c>
      <c r="I1580" t="s">
        <v>6206</v>
      </c>
      <c r="J1580" t="s">
        <v>500</v>
      </c>
      <c r="K1580" s="2">
        <v>107832</v>
      </c>
      <c r="L1580" s="2">
        <v>107832</v>
      </c>
      <c r="M1580" t="str">
        <f>IFERROR(IF(VLOOKUP(LEFT(B1580,2),'Humanitarian codes'!$A$2:$A$10,1,FALSE)=LEFT(B1580,2),"Yes","Error"),"No")</f>
        <v>No</v>
      </c>
    </row>
    <row r="1581" spans="1:13" x14ac:dyDescent="0.25">
      <c r="A1581">
        <v>2022</v>
      </c>
      <c r="B1581" t="s">
        <v>3771</v>
      </c>
      <c r="C1581" t="s">
        <v>3772</v>
      </c>
      <c r="D1581" t="s">
        <v>543</v>
      </c>
      <c r="E1581" t="s">
        <v>20</v>
      </c>
      <c r="F1581">
        <v>4500258606</v>
      </c>
      <c r="G1581" t="s">
        <v>6207</v>
      </c>
      <c r="H1581" t="s">
        <v>3334</v>
      </c>
      <c r="I1581" t="s">
        <v>6208</v>
      </c>
      <c r="J1581" t="s">
        <v>20</v>
      </c>
      <c r="K1581" s="2">
        <v>133121</v>
      </c>
      <c r="L1581" s="2">
        <v>133121</v>
      </c>
      <c r="M1581" t="str">
        <f>IFERROR(IF(VLOOKUP(LEFT(B1581,2),'Humanitarian codes'!$A$2:$A$10,1,FALSE)=LEFT(B1581,2),"Yes","Error"),"No")</f>
        <v>No</v>
      </c>
    </row>
    <row r="1582" spans="1:13" x14ac:dyDescent="0.25">
      <c r="A1582">
        <v>2022</v>
      </c>
      <c r="B1582" t="s">
        <v>3771</v>
      </c>
      <c r="C1582" t="s">
        <v>3772</v>
      </c>
      <c r="D1582" t="s">
        <v>543</v>
      </c>
      <c r="E1582" t="s">
        <v>20</v>
      </c>
      <c r="F1582">
        <v>4500258638</v>
      </c>
      <c r="G1582" t="s">
        <v>6209</v>
      </c>
      <c r="H1582" t="s">
        <v>3334</v>
      </c>
      <c r="I1582" t="s">
        <v>2247</v>
      </c>
      <c r="J1582" t="s">
        <v>20</v>
      </c>
      <c r="K1582" s="2">
        <v>97235</v>
      </c>
      <c r="L1582" s="2">
        <v>97235</v>
      </c>
      <c r="M1582" t="str">
        <f>IFERROR(IF(VLOOKUP(LEFT(B1582,2),'Humanitarian codes'!$A$2:$A$10,1,FALSE)=LEFT(B1582,2),"Yes","Error"),"No")</f>
        <v>No</v>
      </c>
    </row>
    <row r="1583" spans="1:13" x14ac:dyDescent="0.25">
      <c r="A1583">
        <v>2022</v>
      </c>
      <c r="B1583" t="s">
        <v>3771</v>
      </c>
      <c r="C1583" t="s">
        <v>3772</v>
      </c>
      <c r="D1583" t="s">
        <v>543</v>
      </c>
      <c r="E1583" t="s">
        <v>132</v>
      </c>
      <c r="F1583">
        <v>4500257307</v>
      </c>
      <c r="G1583" t="s">
        <v>6210</v>
      </c>
      <c r="H1583" t="s">
        <v>3334</v>
      </c>
      <c r="I1583" t="s">
        <v>1909</v>
      </c>
      <c r="J1583" t="s">
        <v>132</v>
      </c>
      <c r="K1583" s="2">
        <v>53763</v>
      </c>
      <c r="L1583" s="2">
        <v>53763</v>
      </c>
      <c r="M1583" t="str">
        <f>IFERROR(IF(VLOOKUP(LEFT(B1583,2),'Humanitarian codes'!$A$2:$A$10,1,FALSE)=LEFT(B1583,2),"Yes","Error"),"No")</f>
        <v>No</v>
      </c>
    </row>
    <row r="1584" spans="1:13" x14ac:dyDescent="0.25">
      <c r="A1584">
        <v>2022</v>
      </c>
      <c r="B1584" t="s">
        <v>3771</v>
      </c>
      <c r="C1584" t="s">
        <v>3772</v>
      </c>
      <c r="D1584" t="s">
        <v>543</v>
      </c>
      <c r="E1584" t="s">
        <v>132</v>
      </c>
      <c r="F1584">
        <v>4500257331</v>
      </c>
      <c r="G1584" t="s">
        <v>6211</v>
      </c>
      <c r="H1584" t="s">
        <v>3334</v>
      </c>
      <c r="I1584" t="s">
        <v>6212</v>
      </c>
      <c r="J1584" t="s">
        <v>132</v>
      </c>
      <c r="K1584" s="2">
        <v>53763</v>
      </c>
      <c r="L1584" s="2">
        <v>53763</v>
      </c>
      <c r="M1584" t="str">
        <f>IFERROR(IF(VLOOKUP(LEFT(B1584,2),'Humanitarian codes'!$A$2:$A$10,1,FALSE)=LEFT(B1584,2),"Yes","Error"),"No")</f>
        <v>No</v>
      </c>
    </row>
    <row r="1585" spans="1:13" x14ac:dyDescent="0.25">
      <c r="A1585">
        <v>2022</v>
      </c>
      <c r="B1585" t="s">
        <v>3771</v>
      </c>
      <c r="C1585" t="s">
        <v>3772</v>
      </c>
      <c r="D1585" t="s">
        <v>543</v>
      </c>
      <c r="E1585" t="s">
        <v>132</v>
      </c>
      <c r="F1585">
        <v>4500257403</v>
      </c>
      <c r="G1585" t="s">
        <v>6213</v>
      </c>
      <c r="H1585" t="s">
        <v>3334</v>
      </c>
      <c r="I1585" t="s">
        <v>6214</v>
      </c>
      <c r="J1585" t="s">
        <v>132</v>
      </c>
      <c r="K1585" s="2">
        <v>107525</v>
      </c>
      <c r="L1585" s="2">
        <v>107525</v>
      </c>
      <c r="M1585" t="str">
        <f>IFERROR(IF(VLOOKUP(LEFT(B1585,2),'Humanitarian codes'!$A$2:$A$10,1,FALSE)=LEFT(B1585,2),"Yes","Error"),"No")</f>
        <v>No</v>
      </c>
    </row>
    <row r="1586" spans="1:13" x14ac:dyDescent="0.25">
      <c r="A1586">
        <v>2022</v>
      </c>
      <c r="B1586" t="s">
        <v>3771</v>
      </c>
      <c r="C1586" t="s">
        <v>3772</v>
      </c>
      <c r="D1586" t="s">
        <v>543</v>
      </c>
      <c r="E1586" t="s">
        <v>132</v>
      </c>
      <c r="F1586">
        <v>4500258082</v>
      </c>
      <c r="G1586" t="s">
        <v>6215</v>
      </c>
      <c r="H1586" t="s">
        <v>3334</v>
      </c>
      <c r="I1586" t="s">
        <v>6216</v>
      </c>
      <c r="J1586" t="s">
        <v>132</v>
      </c>
      <c r="K1586" s="2">
        <v>89604</v>
      </c>
      <c r="L1586" s="2">
        <v>89604</v>
      </c>
      <c r="M1586" t="str">
        <f>IFERROR(IF(VLOOKUP(LEFT(B1586,2),'Humanitarian codes'!$A$2:$A$10,1,FALSE)=LEFT(B1586,2),"Yes","Error"),"No")</f>
        <v>No</v>
      </c>
    </row>
    <row r="1587" spans="1:13" x14ac:dyDescent="0.25">
      <c r="A1587">
        <v>2022</v>
      </c>
      <c r="B1587" t="s">
        <v>3771</v>
      </c>
      <c r="C1587" t="s">
        <v>3772</v>
      </c>
      <c r="D1587" t="s">
        <v>543</v>
      </c>
      <c r="E1587" t="s">
        <v>132</v>
      </c>
      <c r="F1587">
        <v>4500258791</v>
      </c>
      <c r="G1587" t="s">
        <v>6217</v>
      </c>
      <c r="H1587" t="s">
        <v>3334</v>
      </c>
      <c r="I1587" t="s">
        <v>6218</v>
      </c>
      <c r="J1587" t="s">
        <v>132</v>
      </c>
      <c r="K1587" s="2">
        <v>53763</v>
      </c>
      <c r="L1587" s="2">
        <v>53763</v>
      </c>
      <c r="M1587" t="str">
        <f>IFERROR(IF(VLOOKUP(LEFT(B1587,2),'Humanitarian codes'!$A$2:$A$10,1,FALSE)=LEFT(B1587,2),"Yes","Error"),"No")</f>
        <v>No</v>
      </c>
    </row>
    <row r="1588" spans="1:13" x14ac:dyDescent="0.25">
      <c r="A1588">
        <v>2022</v>
      </c>
      <c r="B1588" t="s">
        <v>3771</v>
      </c>
      <c r="C1588" t="s">
        <v>3772</v>
      </c>
      <c r="D1588" t="s">
        <v>543</v>
      </c>
      <c r="E1588" t="s">
        <v>16</v>
      </c>
      <c r="F1588">
        <v>4500234059</v>
      </c>
      <c r="G1588" t="s">
        <v>3956</v>
      </c>
      <c r="H1588" t="s">
        <v>3334</v>
      </c>
      <c r="I1588" t="s">
        <v>17</v>
      </c>
      <c r="J1588" t="s">
        <v>16</v>
      </c>
      <c r="K1588" s="2">
        <v>303707</v>
      </c>
      <c r="L1588" s="2">
        <v>330117</v>
      </c>
      <c r="M1588" t="str">
        <f>IFERROR(IF(VLOOKUP(LEFT(B1588,2),'Humanitarian codes'!$A$2:$A$10,1,FALSE)=LEFT(B1588,2),"Yes","Error"),"No")</f>
        <v>No</v>
      </c>
    </row>
    <row r="1589" spans="1:13" x14ac:dyDescent="0.25">
      <c r="A1589">
        <v>2022</v>
      </c>
      <c r="B1589" t="s">
        <v>3771</v>
      </c>
      <c r="C1589" t="s">
        <v>3772</v>
      </c>
      <c r="D1589" t="s">
        <v>543</v>
      </c>
      <c r="E1589" t="s">
        <v>16</v>
      </c>
      <c r="F1589">
        <v>4500261849</v>
      </c>
      <c r="G1589" t="s">
        <v>3957</v>
      </c>
      <c r="H1589" t="s">
        <v>3334</v>
      </c>
      <c r="I1589" t="s">
        <v>3958</v>
      </c>
      <c r="J1589" t="s">
        <v>16</v>
      </c>
      <c r="K1589" s="2">
        <v>184068</v>
      </c>
      <c r="L1589" s="2">
        <v>211572</v>
      </c>
      <c r="M1589" t="str">
        <f>IFERROR(IF(VLOOKUP(LEFT(B1589,2),'Humanitarian codes'!$A$2:$A$10,1,FALSE)=LEFT(B1589,2),"Yes","Error"),"No")</f>
        <v>No</v>
      </c>
    </row>
    <row r="1590" spans="1:13" x14ac:dyDescent="0.25">
      <c r="A1590">
        <v>2022</v>
      </c>
      <c r="B1590" t="s">
        <v>6219</v>
      </c>
      <c r="C1590" t="s">
        <v>6220</v>
      </c>
      <c r="D1590" t="s">
        <v>543</v>
      </c>
      <c r="E1590" t="s">
        <v>175</v>
      </c>
      <c r="F1590">
        <v>4500200875</v>
      </c>
      <c r="G1590" t="s">
        <v>6221</v>
      </c>
      <c r="H1590" t="s">
        <v>3334</v>
      </c>
      <c r="I1590" t="s">
        <v>1120</v>
      </c>
      <c r="J1590" t="s">
        <v>175</v>
      </c>
      <c r="K1590" s="2">
        <v>26054</v>
      </c>
      <c r="L1590" s="2">
        <v>26054</v>
      </c>
      <c r="M1590" t="str">
        <f>IFERROR(IF(VLOOKUP(LEFT(B1590,2),'Humanitarian codes'!$A$2:$A$10,1,FALSE)=LEFT(B1590,2),"Yes","Error"),"No")</f>
        <v>No</v>
      </c>
    </row>
    <row r="1591" spans="1:13" x14ac:dyDescent="0.25">
      <c r="A1591">
        <v>2022</v>
      </c>
      <c r="B1591" t="s">
        <v>671</v>
      </c>
      <c r="C1591" t="s">
        <v>672</v>
      </c>
      <c r="D1591" t="s">
        <v>543</v>
      </c>
      <c r="E1591" t="s">
        <v>549</v>
      </c>
      <c r="F1591">
        <v>4500254908</v>
      </c>
      <c r="G1591" t="s">
        <v>6222</v>
      </c>
      <c r="H1591" t="s">
        <v>3334</v>
      </c>
      <c r="I1591" t="s">
        <v>2088</v>
      </c>
      <c r="J1591" t="s">
        <v>549</v>
      </c>
      <c r="K1591" s="2">
        <v>1500</v>
      </c>
      <c r="L1591" s="2">
        <v>1500</v>
      </c>
      <c r="M1591" t="str">
        <f>IFERROR(IF(VLOOKUP(LEFT(B1591,2),'Humanitarian codes'!$A$2:$A$10,1,FALSE)=LEFT(B1591,2),"Yes","Error"),"No")</f>
        <v>No</v>
      </c>
    </row>
    <row r="1592" spans="1:13" x14ac:dyDescent="0.25">
      <c r="A1592">
        <v>2022</v>
      </c>
      <c r="B1592" t="s">
        <v>671</v>
      </c>
      <c r="C1592" t="s">
        <v>672</v>
      </c>
      <c r="D1592" t="s">
        <v>543</v>
      </c>
      <c r="E1592" t="s">
        <v>549</v>
      </c>
      <c r="F1592">
        <v>4500254910</v>
      </c>
      <c r="G1592" t="s">
        <v>6222</v>
      </c>
      <c r="H1592" t="s">
        <v>3334</v>
      </c>
      <c r="I1592" t="s">
        <v>2555</v>
      </c>
      <c r="J1592" t="s">
        <v>549</v>
      </c>
      <c r="K1592" s="2">
        <v>1500</v>
      </c>
      <c r="L1592" s="2">
        <v>1500</v>
      </c>
      <c r="M1592" t="str">
        <f>IFERROR(IF(VLOOKUP(LEFT(B1592,2),'Humanitarian codes'!$A$2:$A$10,1,FALSE)=LEFT(B1592,2),"Yes","Error"),"No")</f>
        <v>No</v>
      </c>
    </row>
    <row r="1593" spans="1:13" x14ac:dyDescent="0.25">
      <c r="A1593">
        <v>2022</v>
      </c>
      <c r="B1593" t="s">
        <v>671</v>
      </c>
      <c r="C1593" t="s">
        <v>672</v>
      </c>
      <c r="D1593" t="s">
        <v>543</v>
      </c>
      <c r="E1593" t="s">
        <v>549</v>
      </c>
      <c r="F1593">
        <v>4500254930</v>
      </c>
      <c r="G1593" t="s">
        <v>6222</v>
      </c>
      <c r="H1593" t="s">
        <v>3334</v>
      </c>
      <c r="I1593" t="s">
        <v>5568</v>
      </c>
      <c r="J1593" t="s">
        <v>549</v>
      </c>
      <c r="K1593" s="2">
        <v>1800</v>
      </c>
      <c r="L1593" s="2">
        <v>1800</v>
      </c>
      <c r="M1593" t="str">
        <f>IFERROR(IF(VLOOKUP(LEFT(B1593,2),'Humanitarian codes'!$A$2:$A$10,1,FALSE)=LEFT(B1593,2),"Yes","Error"),"No")</f>
        <v>No</v>
      </c>
    </row>
    <row r="1594" spans="1:13" x14ac:dyDescent="0.25">
      <c r="A1594">
        <v>2022</v>
      </c>
      <c r="B1594" t="s">
        <v>671</v>
      </c>
      <c r="C1594" t="s">
        <v>672</v>
      </c>
      <c r="D1594" t="s">
        <v>543</v>
      </c>
      <c r="E1594" t="s">
        <v>549</v>
      </c>
      <c r="F1594">
        <v>4500254932</v>
      </c>
      <c r="G1594" t="s">
        <v>6222</v>
      </c>
      <c r="H1594" t="s">
        <v>3334</v>
      </c>
      <c r="I1594" t="s">
        <v>2090</v>
      </c>
      <c r="J1594" t="s">
        <v>549</v>
      </c>
      <c r="K1594" s="2">
        <v>1500</v>
      </c>
      <c r="L1594" s="2">
        <v>1500</v>
      </c>
      <c r="M1594" t="str">
        <f>IFERROR(IF(VLOOKUP(LEFT(B1594,2),'Humanitarian codes'!$A$2:$A$10,1,FALSE)=LEFT(B1594,2),"Yes","Error"),"No")</f>
        <v>No</v>
      </c>
    </row>
    <row r="1595" spans="1:13" x14ac:dyDescent="0.25">
      <c r="A1595">
        <v>2022</v>
      </c>
      <c r="B1595" t="s">
        <v>671</v>
      </c>
      <c r="C1595" t="s">
        <v>672</v>
      </c>
      <c r="D1595" t="s">
        <v>543</v>
      </c>
      <c r="E1595" t="s">
        <v>549</v>
      </c>
      <c r="F1595">
        <v>4500269319</v>
      </c>
      <c r="G1595" t="s">
        <v>3938</v>
      </c>
      <c r="H1595" t="s">
        <v>3334</v>
      </c>
      <c r="I1595" t="s">
        <v>2090</v>
      </c>
      <c r="J1595" t="s">
        <v>549</v>
      </c>
      <c r="K1595" s="2">
        <v>34275</v>
      </c>
      <c r="L1595" s="2">
        <v>34275</v>
      </c>
      <c r="M1595" t="str">
        <f>IFERROR(IF(VLOOKUP(LEFT(B1595,2),'Humanitarian codes'!$A$2:$A$10,1,FALSE)=LEFT(B1595,2),"Yes","Error"),"No")</f>
        <v>No</v>
      </c>
    </row>
    <row r="1596" spans="1:13" x14ac:dyDescent="0.25">
      <c r="A1596">
        <v>2022</v>
      </c>
      <c r="B1596" t="s">
        <v>671</v>
      </c>
      <c r="C1596" t="s">
        <v>672</v>
      </c>
      <c r="D1596" t="s">
        <v>543</v>
      </c>
      <c r="E1596" t="s">
        <v>549</v>
      </c>
      <c r="F1596">
        <v>4500269321</v>
      </c>
      <c r="G1596" t="s">
        <v>6223</v>
      </c>
      <c r="H1596" t="s">
        <v>3334</v>
      </c>
      <c r="I1596" t="s">
        <v>5568</v>
      </c>
      <c r="J1596" t="s">
        <v>549</v>
      </c>
      <c r="K1596" s="2">
        <v>28275</v>
      </c>
      <c r="L1596" s="2">
        <v>28275</v>
      </c>
      <c r="M1596" t="str">
        <f>IFERROR(IF(VLOOKUP(LEFT(B1596,2),'Humanitarian codes'!$A$2:$A$10,1,FALSE)=LEFT(B1596,2),"Yes","Error"),"No")</f>
        <v>No</v>
      </c>
    </row>
    <row r="1597" spans="1:13" x14ac:dyDescent="0.25">
      <c r="A1597">
        <v>2022</v>
      </c>
      <c r="B1597" t="s">
        <v>671</v>
      </c>
      <c r="C1597" t="s">
        <v>672</v>
      </c>
      <c r="D1597" t="s">
        <v>543</v>
      </c>
      <c r="E1597" t="s">
        <v>549</v>
      </c>
      <c r="F1597">
        <v>4500269322</v>
      </c>
      <c r="G1597" t="s">
        <v>6224</v>
      </c>
      <c r="H1597" t="s">
        <v>3334</v>
      </c>
      <c r="I1597" t="s">
        <v>2088</v>
      </c>
      <c r="J1597" t="s">
        <v>549</v>
      </c>
      <c r="K1597" s="2">
        <v>34275</v>
      </c>
      <c r="L1597" s="2">
        <v>34275</v>
      </c>
      <c r="M1597" t="str">
        <f>IFERROR(IF(VLOOKUP(LEFT(B1597,2),'Humanitarian codes'!$A$2:$A$10,1,FALSE)=LEFT(B1597,2),"Yes","Error"),"No")</f>
        <v>No</v>
      </c>
    </row>
    <row r="1598" spans="1:13" x14ac:dyDescent="0.25">
      <c r="A1598">
        <v>2022</v>
      </c>
      <c r="B1598" t="s">
        <v>671</v>
      </c>
      <c r="C1598" t="s">
        <v>672</v>
      </c>
      <c r="D1598" t="s">
        <v>543</v>
      </c>
      <c r="E1598" t="s">
        <v>549</v>
      </c>
      <c r="F1598">
        <v>4500270199</v>
      </c>
      <c r="G1598" t="s">
        <v>6224</v>
      </c>
      <c r="H1598" t="s">
        <v>3334</v>
      </c>
      <c r="I1598" t="s">
        <v>2555</v>
      </c>
      <c r="J1598" t="s">
        <v>549</v>
      </c>
      <c r="K1598" s="2">
        <v>34275</v>
      </c>
      <c r="L1598" s="2">
        <v>34275</v>
      </c>
      <c r="M1598" t="str">
        <f>IFERROR(IF(VLOOKUP(LEFT(B1598,2),'Humanitarian codes'!$A$2:$A$10,1,FALSE)=LEFT(B1598,2),"Yes","Error"),"No")</f>
        <v>No</v>
      </c>
    </row>
    <row r="1599" spans="1:13" x14ac:dyDescent="0.25">
      <c r="A1599">
        <v>2022</v>
      </c>
      <c r="B1599" t="s">
        <v>671</v>
      </c>
      <c r="C1599" t="s">
        <v>672</v>
      </c>
      <c r="D1599" t="s">
        <v>543</v>
      </c>
      <c r="E1599" t="s">
        <v>11</v>
      </c>
      <c r="F1599">
        <v>4500207958</v>
      </c>
      <c r="G1599" t="s">
        <v>6225</v>
      </c>
      <c r="H1599" t="s">
        <v>3334</v>
      </c>
      <c r="I1599" t="s">
        <v>6226</v>
      </c>
      <c r="J1599" t="s">
        <v>11</v>
      </c>
      <c r="K1599" s="2">
        <v>55000</v>
      </c>
      <c r="L1599" s="2">
        <v>55000</v>
      </c>
      <c r="M1599" t="str">
        <f>IFERROR(IF(VLOOKUP(LEFT(B1599,2),'Humanitarian codes'!$A$2:$A$10,1,FALSE)=LEFT(B1599,2),"Yes","Error"),"No")</f>
        <v>No</v>
      </c>
    </row>
    <row r="1600" spans="1:13" x14ac:dyDescent="0.25">
      <c r="A1600">
        <v>2022</v>
      </c>
      <c r="B1600" t="s">
        <v>671</v>
      </c>
      <c r="C1600" t="s">
        <v>672</v>
      </c>
      <c r="D1600" t="s">
        <v>543</v>
      </c>
      <c r="E1600" t="s">
        <v>11</v>
      </c>
      <c r="F1600">
        <v>4500211354</v>
      </c>
      <c r="G1600" t="s">
        <v>6227</v>
      </c>
      <c r="H1600" t="s">
        <v>3334</v>
      </c>
      <c r="I1600" t="s">
        <v>6228</v>
      </c>
      <c r="J1600" t="s">
        <v>11</v>
      </c>
      <c r="K1600" s="2">
        <v>50000</v>
      </c>
      <c r="L1600" s="2">
        <v>50000</v>
      </c>
      <c r="M1600" t="str">
        <f>IFERROR(IF(VLOOKUP(LEFT(B1600,2),'Humanitarian codes'!$A$2:$A$10,1,FALSE)=LEFT(B1600,2),"Yes","Error"),"No")</f>
        <v>No</v>
      </c>
    </row>
    <row r="1601" spans="1:13" x14ac:dyDescent="0.25">
      <c r="A1601">
        <v>2022</v>
      </c>
      <c r="B1601" t="s">
        <v>671</v>
      </c>
      <c r="C1601" t="s">
        <v>672</v>
      </c>
      <c r="D1601" t="s">
        <v>543</v>
      </c>
      <c r="E1601" t="s">
        <v>11</v>
      </c>
      <c r="F1601">
        <v>4500220043</v>
      </c>
      <c r="G1601" t="s">
        <v>6229</v>
      </c>
      <c r="H1601" t="s">
        <v>3334</v>
      </c>
      <c r="I1601" t="s">
        <v>6230</v>
      </c>
      <c r="J1601" t="s">
        <v>11</v>
      </c>
      <c r="K1601" s="2">
        <v>52500</v>
      </c>
      <c r="L1601" s="2">
        <v>52500</v>
      </c>
      <c r="M1601" t="str">
        <f>IFERROR(IF(VLOOKUP(LEFT(B1601,2),'Humanitarian codes'!$A$2:$A$10,1,FALSE)=LEFT(B1601,2),"Yes","Error"),"No")</f>
        <v>No</v>
      </c>
    </row>
    <row r="1602" spans="1:13" x14ac:dyDescent="0.25">
      <c r="A1602">
        <v>2022</v>
      </c>
      <c r="B1602" t="s">
        <v>671</v>
      </c>
      <c r="C1602" t="s">
        <v>672</v>
      </c>
      <c r="D1602" t="s">
        <v>543</v>
      </c>
      <c r="E1602" t="s">
        <v>11</v>
      </c>
      <c r="F1602">
        <v>4500240472</v>
      </c>
      <c r="G1602" t="s">
        <v>6231</v>
      </c>
      <c r="H1602" t="s">
        <v>3334</v>
      </c>
      <c r="I1602" t="s">
        <v>6232</v>
      </c>
      <c r="J1602" t="s">
        <v>11</v>
      </c>
      <c r="K1602" s="2">
        <v>198000</v>
      </c>
      <c r="L1602" s="2">
        <v>198000</v>
      </c>
      <c r="M1602" t="str">
        <f>IFERROR(IF(VLOOKUP(LEFT(B1602,2),'Humanitarian codes'!$A$2:$A$10,1,FALSE)=LEFT(B1602,2),"Yes","Error"),"No")</f>
        <v>No</v>
      </c>
    </row>
    <row r="1603" spans="1:13" x14ac:dyDescent="0.25">
      <c r="A1603">
        <v>2022</v>
      </c>
      <c r="B1603" t="s">
        <v>671</v>
      </c>
      <c r="C1603" t="s">
        <v>672</v>
      </c>
      <c r="D1603" t="s">
        <v>543</v>
      </c>
      <c r="E1603" t="s">
        <v>11</v>
      </c>
      <c r="F1603">
        <v>4500240520</v>
      </c>
      <c r="G1603" t="s">
        <v>6233</v>
      </c>
      <c r="H1603" t="s">
        <v>3334</v>
      </c>
      <c r="I1603" t="s">
        <v>6234</v>
      </c>
      <c r="J1603" t="s">
        <v>11</v>
      </c>
      <c r="K1603" s="2">
        <v>260000</v>
      </c>
      <c r="L1603" s="2">
        <v>260000</v>
      </c>
      <c r="M1603" t="str">
        <f>IFERROR(IF(VLOOKUP(LEFT(B1603,2),'Humanitarian codes'!$A$2:$A$10,1,FALSE)=LEFT(B1603,2),"Yes","Error"),"No")</f>
        <v>No</v>
      </c>
    </row>
    <row r="1604" spans="1:13" x14ac:dyDescent="0.25">
      <c r="A1604">
        <v>2022</v>
      </c>
      <c r="B1604" t="s">
        <v>671</v>
      </c>
      <c r="C1604" t="s">
        <v>672</v>
      </c>
      <c r="D1604" t="s">
        <v>543</v>
      </c>
      <c r="E1604" t="s">
        <v>11</v>
      </c>
      <c r="F1604">
        <v>4500263418</v>
      </c>
      <c r="G1604" t="s">
        <v>6235</v>
      </c>
      <c r="H1604" t="s">
        <v>3334</v>
      </c>
      <c r="I1604" t="s">
        <v>1882</v>
      </c>
      <c r="J1604" t="s">
        <v>11</v>
      </c>
      <c r="K1604" s="2">
        <v>95000</v>
      </c>
      <c r="L1604" s="2">
        <v>95000</v>
      </c>
      <c r="M1604" t="str">
        <f>IFERROR(IF(VLOOKUP(LEFT(B1604,2),'Humanitarian codes'!$A$2:$A$10,1,FALSE)=LEFT(B1604,2),"Yes","Error"),"No")</f>
        <v>No</v>
      </c>
    </row>
    <row r="1605" spans="1:13" x14ac:dyDescent="0.25">
      <c r="A1605">
        <v>2022</v>
      </c>
      <c r="B1605" t="s">
        <v>671</v>
      </c>
      <c r="C1605" t="s">
        <v>672</v>
      </c>
      <c r="D1605" t="s">
        <v>543</v>
      </c>
      <c r="E1605" t="s">
        <v>11</v>
      </c>
      <c r="F1605">
        <v>4500264380</v>
      </c>
      <c r="G1605" t="s">
        <v>6236</v>
      </c>
      <c r="H1605" t="s">
        <v>3334</v>
      </c>
      <c r="I1605" t="s">
        <v>1177</v>
      </c>
      <c r="J1605" t="s">
        <v>11</v>
      </c>
      <c r="K1605" s="2">
        <v>290000</v>
      </c>
      <c r="L1605" s="2">
        <v>290000</v>
      </c>
      <c r="M1605" t="str">
        <f>IFERROR(IF(VLOOKUP(LEFT(B1605,2),'Humanitarian codes'!$A$2:$A$10,1,FALSE)=LEFT(B1605,2),"Yes","Error"),"No")</f>
        <v>No</v>
      </c>
    </row>
    <row r="1606" spans="1:13" x14ac:dyDescent="0.25">
      <c r="A1606">
        <v>2022</v>
      </c>
      <c r="B1606" t="s">
        <v>671</v>
      </c>
      <c r="C1606" t="s">
        <v>672</v>
      </c>
      <c r="D1606" t="s">
        <v>543</v>
      </c>
      <c r="E1606" t="s">
        <v>663</v>
      </c>
      <c r="F1606">
        <v>4500229853</v>
      </c>
      <c r="G1606" t="s">
        <v>6237</v>
      </c>
      <c r="H1606" t="s">
        <v>3334</v>
      </c>
      <c r="I1606" t="s">
        <v>6238</v>
      </c>
      <c r="J1606" t="s">
        <v>663</v>
      </c>
      <c r="K1606" s="2">
        <v>141140</v>
      </c>
      <c r="L1606" s="2">
        <v>141140</v>
      </c>
      <c r="M1606" t="str">
        <f>IFERROR(IF(VLOOKUP(LEFT(B1606,2),'Humanitarian codes'!$A$2:$A$10,1,FALSE)=LEFT(B1606,2),"Yes","Error"),"No")</f>
        <v>No</v>
      </c>
    </row>
    <row r="1607" spans="1:13" x14ac:dyDescent="0.25">
      <c r="A1607">
        <v>2022</v>
      </c>
      <c r="B1607" t="s">
        <v>671</v>
      </c>
      <c r="C1607" t="s">
        <v>672</v>
      </c>
      <c r="D1607" t="s">
        <v>543</v>
      </c>
      <c r="E1607" t="s">
        <v>663</v>
      </c>
      <c r="F1607">
        <v>4500230179</v>
      </c>
      <c r="G1607" t="s">
        <v>6239</v>
      </c>
      <c r="H1607" t="s">
        <v>3334</v>
      </c>
      <c r="I1607" t="s">
        <v>6240</v>
      </c>
      <c r="J1607" t="s">
        <v>663</v>
      </c>
      <c r="K1607" s="2">
        <v>65496</v>
      </c>
      <c r="L1607" s="2">
        <v>65496</v>
      </c>
      <c r="M1607" t="str">
        <f>IFERROR(IF(VLOOKUP(LEFT(B1607,2),'Humanitarian codes'!$A$2:$A$10,1,FALSE)=LEFT(B1607,2),"Yes","Error"),"No")</f>
        <v>No</v>
      </c>
    </row>
    <row r="1608" spans="1:13" x14ac:dyDescent="0.25">
      <c r="A1608">
        <v>2022</v>
      </c>
      <c r="B1608" t="s">
        <v>671</v>
      </c>
      <c r="C1608" t="s">
        <v>672</v>
      </c>
      <c r="D1608" t="s">
        <v>543</v>
      </c>
      <c r="E1608" t="s">
        <v>676</v>
      </c>
      <c r="F1608">
        <v>4500188682</v>
      </c>
      <c r="G1608" t="s">
        <v>6241</v>
      </c>
      <c r="H1608" t="s">
        <v>3334</v>
      </c>
      <c r="I1608" t="s">
        <v>1118</v>
      </c>
      <c r="J1608" t="s">
        <v>676</v>
      </c>
      <c r="K1608" s="2">
        <v>83548</v>
      </c>
      <c r="L1608" s="2">
        <v>83548</v>
      </c>
      <c r="M1608" t="str">
        <f>IFERROR(IF(VLOOKUP(LEFT(B1608,2),'Humanitarian codes'!$A$2:$A$10,1,FALSE)=LEFT(B1608,2),"Yes","Error"),"No")</f>
        <v>No</v>
      </c>
    </row>
    <row r="1609" spans="1:13" x14ac:dyDescent="0.25">
      <c r="A1609">
        <v>2022</v>
      </c>
      <c r="B1609" t="s">
        <v>671</v>
      </c>
      <c r="C1609" t="s">
        <v>672</v>
      </c>
      <c r="D1609" t="s">
        <v>543</v>
      </c>
      <c r="E1609" t="s">
        <v>676</v>
      </c>
      <c r="F1609">
        <v>4500220872</v>
      </c>
      <c r="G1609" t="s">
        <v>3965</v>
      </c>
      <c r="H1609" t="s">
        <v>3334</v>
      </c>
      <c r="I1609" t="s">
        <v>1625</v>
      </c>
      <c r="J1609" t="s">
        <v>676</v>
      </c>
      <c r="K1609" s="2">
        <v>154951</v>
      </c>
      <c r="L1609" s="2">
        <v>204661</v>
      </c>
      <c r="M1609" t="str">
        <f>IFERROR(IF(VLOOKUP(LEFT(B1609,2),'Humanitarian codes'!$A$2:$A$10,1,FALSE)=LEFT(B1609,2),"Yes","Error"),"No")</f>
        <v>No</v>
      </c>
    </row>
    <row r="1610" spans="1:13" x14ac:dyDescent="0.25">
      <c r="A1610">
        <v>2022</v>
      </c>
      <c r="B1610" t="s">
        <v>671</v>
      </c>
      <c r="C1610" t="s">
        <v>672</v>
      </c>
      <c r="D1610" t="s">
        <v>543</v>
      </c>
      <c r="E1610" t="s">
        <v>676</v>
      </c>
      <c r="F1610">
        <v>4500238515</v>
      </c>
      <c r="G1610" t="s">
        <v>6242</v>
      </c>
      <c r="H1610" t="s">
        <v>3334</v>
      </c>
      <c r="I1610" t="s">
        <v>3929</v>
      </c>
      <c r="J1610" t="s">
        <v>676</v>
      </c>
      <c r="K1610" s="2">
        <v>236963</v>
      </c>
      <c r="L1610" s="2">
        <v>236963</v>
      </c>
      <c r="M1610" t="str">
        <f>IFERROR(IF(VLOOKUP(LEFT(B1610,2),'Humanitarian codes'!$A$2:$A$10,1,FALSE)=LEFT(B1610,2),"Yes","Error"),"No")</f>
        <v>No</v>
      </c>
    </row>
    <row r="1611" spans="1:13" x14ac:dyDescent="0.25">
      <c r="A1611">
        <v>2022</v>
      </c>
      <c r="B1611" t="s">
        <v>3274</v>
      </c>
      <c r="C1611" t="s">
        <v>6243</v>
      </c>
      <c r="D1611" t="s">
        <v>543</v>
      </c>
      <c r="E1611" t="s">
        <v>11</v>
      </c>
      <c r="F1611">
        <v>4500199188</v>
      </c>
      <c r="G1611" t="s">
        <v>6244</v>
      </c>
      <c r="H1611" t="s">
        <v>3334</v>
      </c>
      <c r="I1611" t="s">
        <v>1659</v>
      </c>
      <c r="J1611" t="s">
        <v>11</v>
      </c>
      <c r="K1611" s="2">
        <v>227083</v>
      </c>
      <c r="L1611" s="2">
        <v>227083</v>
      </c>
      <c r="M1611" t="str">
        <f>IFERROR(IF(VLOOKUP(LEFT(B1611,2),'Humanitarian codes'!$A$2:$A$10,1,FALSE)=LEFT(B1611,2),"Yes","Error"),"No")</f>
        <v>No</v>
      </c>
    </row>
    <row r="1612" spans="1:13" x14ac:dyDescent="0.25">
      <c r="A1612">
        <v>2022</v>
      </c>
      <c r="B1612" t="s">
        <v>6245</v>
      </c>
      <c r="C1612" t="s">
        <v>6246</v>
      </c>
      <c r="D1612" t="s">
        <v>543</v>
      </c>
      <c r="E1612" t="s">
        <v>40</v>
      </c>
      <c r="F1612">
        <v>4500209858</v>
      </c>
      <c r="G1612" t="s">
        <v>6247</v>
      </c>
      <c r="H1612" t="s">
        <v>3334</v>
      </c>
      <c r="I1612" t="s">
        <v>6200</v>
      </c>
      <c r="J1612" t="s">
        <v>40</v>
      </c>
      <c r="K1612" s="2">
        <v>45322</v>
      </c>
      <c r="L1612" s="2">
        <v>45322</v>
      </c>
      <c r="M1612" t="str">
        <f>IFERROR(IF(VLOOKUP(LEFT(B1612,2),'Humanitarian codes'!$A$2:$A$10,1,FALSE)=LEFT(B1612,2),"Yes","Error"),"No")</f>
        <v>No</v>
      </c>
    </row>
    <row r="1613" spans="1:13" x14ac:dyDescent="0.25">
      <c r="A1613">
        <v>2022</v>
      </c>
      <c r="B1613" t="s">
        <v>6248</v>
      </c>
      <c r="C1613" t="s">
        <v>6249</v>
      </c>
      <c r="D1613" t="s">
        <v>543</v>
      </c>
      <c r="E1613" t="s">
        <v>25</v>
      </c>
      <c r="F1613">
        <v>4500197837</v>
      </c>
      <c r="G1613" t="s">
        <v>6250</v>
      </c>
      <c r="H1613" t="s">
        <v>3334</v>
      </c>
      <c r="I1613" t="s">
        <v>1874</v>
      </c>
      <c r="J1613" t="s">
        <v>25</v>
      </c>
      <c r="K1613" s="2">
        <v>6899</v>
      </c>
      <c r="L1613" s="2">
        <v>96928</v>
      </c>
      <c r="M1613" t="str">
        <f>IFERROR(IF(VLOOKUP(LEFT(B1613,2),'Humanitarian codes'!$A$2:$A$10,1,FALSE)=LEFT(B1613,2),"Yes","Error"),"No")</f>
        <v>No</v>
      </c>
    </row>
    <row r="1614" spans="1:13" x14ac:dyDescent="0.25">
      <c r="A1614">
        <v>2022</v>
      </c>
      <c r="B1614" t="s">
        <v>6251</v>
      </c>
      <c r="C1614" t="s">
        <v>6252</v>
      </c>
      <c r="D1614" t="s">
        <v>543</v>
      </c>
      <c r="E1614" t="s">
        <v>1454</v>
      </c>
      <c r="F1614">
        <v>4500222886</v>
      </c>
      <c r="G1614" t="s">
        <v>6253</v>
      </c>
      <c r="H1614" t="s">
        <v>3334</v>
      </c>
      <c r="I1614" t="s">
        <v>6141</v>
      </c>
      <c r="J1614" t="s">
        <v>1454</v>
      </c>
      <c r="K1614" s="2">
        <v>13565</v>
      </c>
      <c r="L1614" s="2">
        <v>13565</v>
      </c>
      <c r="M1614" t="str">
        <f>IFERROR(IF(VLOOKUP(LEFT(B1614,2),'Humanitarian codes'!$A$2:$A$10,1,FALSE)=LEFT(B1614,2),"Yes","Error"),"No")</f>
        <v>No</v>
      </c>
    </row>
    <row r="1615" spans="1:13" x14ac:dyDescent="0.25">
      <c r="A1615">
        <v>2022</v>
      </c>
      <c r="B1615" t="s">
        <v>6251</v>
      </c>
      <c r="C1615" t="s">
        <v>6252</v>
      </c>
      <c r="D1615" t="s">
        <v>543</v>
      </c>
      <c r="E1615" t="s">
        <v>1454</v>
      </c>
      <c r="F1615">
        <v>4500227298</v>
      </c>
      <c r="G1615" t="s">
        <v>6254</v>
      </c>
      <c r="H1615" t="s">
        <v>3334</v>
      </c>
      <c r="I1615" t="s">
        <v>5790</v>
      </c>
      <c r="J1615" t="s">
        <v>1454</v>
      </c>
      <c r="K1615" s="2">
        <v>11796</v>
      </c>
      <c r="L1615" s="2">
        <v>11796</v>
      </c>
      <c r="M1615" t="str">
        <f>IFERROR(IF(VLOOKUP(LEFT(B1615,2),'Humanitarian codes'!$A$2:$A$10,1,FALSE)=LEFT(B1615,2),"Yes","Error"),"No")</f>
        <v>No</v>
      </c>
    </row>
    <row r="1616" spans="1:13" x14ac:dyDescent="0.25">
      <c r="A1616">
        <v>2022</v>
      </c>
      <c r="B1616" t="s">
        <v>6251</v>
      </c>
      <c r="C1616" t="s">
        <v>6252</v>
      </c>
      <c r="D1616" t="s">
        <v>543</v>
      </c>
      <c r="E1616" t="s">
        <v>1454</v>
      </c>
      <c r="F1616">
        <v>4500247934</v>
      </c>
      <c r="G1616" t="s">
        <v>6255</v>
      </c>
      <c r="H1616" t="s">
        <v>3334</v>
      </c>
      <c r="I1616" t="s">
        <v>2537</v>
      </c>
      <c r="J1616" t="s">
        <v>1454</v>
      </c>
      <c r="K1616" s="2">
        <v>16734</v>
      </c>
      <c r="L1616" s="2">
        <v>16734</v>
      </c>
      <c r="M1616" t="str">
        <f>IFERROR(IF(VLOOKUP(LEFT(B1616,2),'Humanitarian codes'!$A$2:$A$10,1,FALSE)=LEFT(B1616,2),"Yes","Error"),"No")</f>
        <v>No</v>
      </c>
    </row>
    <row r="1617" spans="1:13" x14ac:dyDescent="0.25">
      <c r="A1617">
        <v>2022</v>
      </c>
      <c r="B1617" t="s">
        <v>6256</v>
      </c>
      <c r="C1617" t="s">
        <v>6257</v>
      </c>
      <c r="D1617" t="s">
        <v>543</v>
      </c>
      <c r="E1617" t="s">
        <v>909</v>
      </c>
      <c r="F1617">
        <v>4500182621</v>
      </c>
      <c r="G1617" t="s">
        <v>6258</v>
      </c>
      <c r="H1617" t="s">
        <v>3334</v>
      </c>
      <c r="I1617" t="s">
        <v>2718</v>
      </c>
      <c r="J1617" t="s">
        <v>909</v>
      </c>
      <c r="K1617" s="2">
        <v>2120</v>
      </c>
      <c r="L1617" s="2">
        <v>2120</v>
      </c>
      <c r="M1617" t="str">
        <f>IFERROR(IF(VLOOKUP(LEFT(B1617,2),'Humanitarian codes'!$A$2:$A$10,1,FALSE)=LEFT(B1617,2),"Yes","Error"),"No")</f>
        <v>No</v>
      </c>
    </row>
    <row r="1618" spans="1:13" x14ac:dyDescent="0.25">
      <c r="A1618">
        <v>2022</v>
      </c>
      <c r="B1618" t="s">
        <v>6256</v>
      </c>
      <c r="C1618" t="s">
        <v>6257</v>
      </c>
      <c r="D1618" t="s">
        <v>543</v>
      </c>
      <c r="E1618" t="s">
        <v>909</v>
      </c>
      <c r="F1618">
        <v>4500189201</v>
      </c>
      <c r="G1618" t="s">
        <v>6259</v>
      </c>
      <c r="H1618" t="s">
        <v>3334</v>
      </c>
      <c r="I1618" t="s">
        <v>2718</v>
      </c>
      <c r="J1618" t="s">
        <v>909</v>
      </c>
      <c r="K1618" s="2">
        <v>2353</v>
      </c>
      <c r="L1618" s="2">
        <v>2353</v>
      </c>
      <c r="M1618" t="str">
        <f>IFERROR(IF(VLOOKUP(LEFT(B1618,2),'Humanitarian codes'!$A$2:$A$10,1,FALSE)=LEFT(B1618,2),"Yes","Error"),"No")</f>
        <v>No</v>
      </c>
    </row>
    <row r="1619" spans="1:13" x14ac:dyDescent="0.25">
      <c r="A1619">
        <v>2022</v>
      </c>
      <c r="B1619" t="s">
        <v>6256</v>
      </c>
      <c r="C1619" t="s">
        <v>6257</v>
      </c>
      <c r="D1619" t="s">
        <v>543</v>
      </c>
      <c r="E1619" t="s">
        <v>909</v>
      </c>
      <c r="F1619">
        <v>4500197094</v>
      </c>
      <c r="G1619" t="s">
        <v>6260</v>
      </c>
      <c r="H1619" t="s">
        <v>3334</v>
      </c>
      <c r="I1619" t="s">
        <v>2718</v>
      </c>
      <c r="J1619" t="s">
        <v>909</v>
      </c>
      <c r="K1619" s="2">
        <v>2131</v>
      </c>
      <c r="L1619" s="2">
        <v>2131</v>
      </c>
      <c r="M1619" t="str">
        <f>IFERROR(IF(VLOOKUP(LEFT(B1619,2),'Humanitarian codes'!$A$2:$A$10,1,FALSE)=LEFT(B1619,2),"Yes","Error"),"No")</f>
        <v>No</v>
      </c>
    </row>
    <row r="1620" spans="1:13" x14ac:dyDescent="0.25">
      <c r="A1620">
        <v>2022</v>
      </c>
      <c r="B1620" t="s">
        <v>6256</v>
      </c>
      <c r="C1620" t="s">
        <v>6257</v>
      </c>
      <c r="D1620" t="s">
        <v>543</v>
      </c>
      <c r="E1620" t="s">
        <v>909</v>
      </c>
      <c r="F1620">
        <v>4500205058</v>
      </c>
      <c r="G1620" t="s">
        <v>6261</v>
      </c>
      <c r="H1620" t="s">
        <v>3334</v>
      </c>
      <c r="I1620" t="s">
        <v>2718</v>
      </c>
      <c r="J1620" t="s">
        <v>909</v>
      </c>
      <c r="K1620" s="2">
        <v>1987</v>
      </c>
      <c r="L1620" s="2">
        <v>1987</v>
      </c>
      <c r="M1620" t="str">
        <f>IFERROR(IF(VLOOKUP(LEFT(B1620,2),'Humanitarian codes'!$A$2:$A$10,1,FALSE)=LEFT(B1620,2),"Yes","Error"),"No")</f>
        <v>No</v>
      </c>
    </row>
    <row r="1621" spans="1:13" x14ac:dyDescent="0.25">
      <c r="A1621">
        <v>2022</v>
      </c>
      <c r="B1621" t="s">
        <v>6256</v>
      </c>
      <c r="C1621" t="s">
        <v>6257</v>
      </c>
      <c r="D1621" t="s">
        <v>543</v>
      </c>
      <c r="E1621" t="s">
        <v>909</v>
      </c>
      <c r="F1621">
        <v>4500212381</v>
      </c>
      <c r="G1621" t="s">
        <v>6262</v>
      </c>
      <c r="H1621" t="s">
        <v>3334</v>
      </c>
      <c r="I1621" t="s">
        <v>2718</v>
      </c>
      <c r="J1621" t="s">
        <v>909</v>
      </c>
      <c r="K1621" s="2">
        <v>2103</v>
      </c>
      <c r="L1621" s="2">
        <v>2103</v>
      </c>
      <c r="M1621" t="str">
        <f>IFERROR(IF(VLOOKUP(LEFT(B1621,2),'Humanitarian codes'!$A$2:$A$10,1,FALSE)=LEFT(B1621,2),"Yes","Error"),"No")</f>
        <v>No</v>
      </c>
    </row>
    <row r="1622" spans="1:13" x14ac:dyDescent="0.25">
      <c r="A1622">
        <v>2022</v>
      </c>
      <c r="B1622" t="s">
        <v>6256</v>
      </c>
      <c r="C1622" t="s">
        <v>6257</v>
      </c>
      <c r="D1622" t="s">
        <v>543</v>
      </c>
      <c r="E1622" t="s">
        <v>909</v>
      </c>
      <c r="F1622">
        <v>4500219796</v>
      </c>
      <c r="G1622" t="s">
        <v>6263</v>
      </c>
      <c r="H1622" t="s">
        <v>3334</v>
      </c>
      <c r="I1622" t="s">
        <v>2718</v>
      </c>
      <c r="J1622" t="s">
        <v>909</v>
      </c>
      <c r="K1622" s="2">
        <v>2064</v>
      </c>
      <c r="L1622" s="2">
        <v>2064</v>
      </c>
      <c r="M1622" t="str">
        <f>IFERROR(IF(VLOOKUP(LEFT(B1622,2),'Humanitarian codes'!$A$2:$A$10,1,FALSE)=LEFT(B1622,2),"Yes","Error"),"No")</f>
        <v>No</v>
      </c>
    </row>
    <row r="1623" spans="1:13" x14ac:dyDescent="0.25">
      <c r="A1623">
        <v>2022</v>
      </c>
      <c r="B1623" t="s">
        <v>6256</v>
      </c>
      <c r="C1623" t="s">
        <v>6257</v>
      </c>
      <c r="D1623" t="s">
        <v>543</v>
      </c>
      <c r="E1623" t="s">
        <v>909</v>
      </c>
      <c r="F1623">
        <v>4500220212</v>
      </c>
      <c r="G1623" t="s">
        <v>6264</v>
      </c>
      <c r="H1623" t="s">
        <v>3334</v>
      </c>
      <c r="I1623" t="s">
        <v>2718</v>
      </c>
      <c r="J1623" t="s">
        <v>909</v>
      </c>
      <c r="K1623">
        <v>911</v>
      </c>
      <c r="L1623">
        <v>911</v>
      </c>
      <c r="M1623" t="str">
        <f>IFERROR(IF(VLOOKUP(LEFT(B1623,2),'Humanitarian codes'!$A$2:$A$10,1,FALSE)=LEFT(B1623,2),"Yes","Error"),"No")</f>
        <v>No</v>
      </c>
    </row>
    <row r="1624" spans="1:13" x14ac:dyDescent="0.25">
      <c r="A1624">
        <v>2022</v>
      </c>
      <c r="B1624" t="s">
        <v>6265</v>
      </c>
      <c r="C1624" t="s">
        <v>6266</v>
      </c>
      <c r="D1624" t="s">
        <v>543</v>
      </c>
      <c r="E1624" t="s">
        <v>523</v>
      </c>
      <c r="F1624">
        <v>4500182937</v>
      </c>
      <c r="G1624" t="s">
        <v>6267</v>
      </c>
      <c r="H1624" t="s">
        <v>3334</v>
      </c>
      <c r="I1624" t="s">
        <v>6268</v>
      </c>
      <c r="J1624" t="s">
        <v>523</v>
      </c>
      <c r="K1624" s="2">
        <v>55885</v>
      </c>
      <c r="L1624" s="2">
        <v>55885</v>
      </c>
      <c r="M1624" t="str">
        <f>IFERROR(IF(VLOOKUP(LEFT(B1624,2),'Humanitarian codes'!$A$2:$A$10,1,FALSE)=LEFT(B1624,2),"Yes","Error"),"No")</f>
        <v>No</v>
      </c>
    </row>
    <row r="1625" spans="1:13" x14ac:dyDescent="0.25">
      <c r="A1625">
        <v>2022</v>
      </c>
      <c r="B1625" t="s">
        <v>6269</v>
      </c>
      <c r="C1625" t="s">
        <v>6270</v>
      </c>
      <c r="D1625" t="s">
        <v>543</v>
      </c>
      <c r="E1625" t="s">
        <v>581</v>
      </c>
      <c r="F1625">
        <v>4500227115</v>
      </c>
      <c r="G1625" t="s">
        <v>6271</v>
      </c>
      <c r="H1625" t="s">
        <v>3334</v>
      </c>
      <c r="I1625" t="s">
        <v>6272</v>
      </c>
      <c r="J1625" t="s">
        <v>6273</v>
      </c>
      <c r="K1625" s="2">
        <v>169220</v>
      </c>
      <c r="L1625" s="2">
        <v>169220</v>
      </c>
      <c r="M1625" t="str">
        <f>IFERROR(IF(VLOOKUP(LEFT(B1625,2),'Humanitarian codes'!$A$2:$A$10,1,FALSE)=LEFT(B1625,2),"Yes","Error"),"No")</f>
        <v>No</v>
      </c>
    </row>
    <row r="1626" spans="1:13" x14ac:dyDescent="0.25">
      <c r="A1626">
        <v>2022</v>
      </c>
      <c r="B1626" t="s">
        <v>3277</v>
      </c>
      <c r="C1626" t="s">
        <v>1631</v>
      </c>
      <c r="D1626" t="s">
        <v>543</v>
      </c>
      <c r="E1626" t="s">
        <v>663</v>
      </c>
      <c r="F1626">
        <v>4500228776</v>
      </c>
      <c r="G1626" t="s">
        <v>6274</v>
      </c>
      <c r="H1626" t="s">
        <v>3334</v>
      </c>
      <c r="I1626" t="s">
        <v>6275</v>
      </c>
      <c r="J1626" t="s">
        <v>663</v>
      </c>
      <c r="K1626" s="2">
        <v>88000</v>
      </c>
      <c r="L1626" s="2">
        <v>88000</v>
      </c>
      <c r="M1626" t="str">
        <f>IFERROR(IF(VLOOKUP(LEFT(B1626,2),'Humanitarian codes'!$A$2:$A$10,1,FALSE)=LEFT(B1626,2),"Yes","Error"),"No")</f>
        <v>No</v>
      </c>
    </row>
    <row r="1627" spans="1:13" x14ac:dyDescent="0.25">
      <c r="A1627">
        <v>2022</v>
      </c>
      <c r="B1627" t="s">
        <v>3277</v>
      </c>
      <c r="C1627" t="s">
        <v>1631</v>
      </c>
      <c r="D1627" t="s">
        <v>543</v>
      </c>
      <c r="E1627" t="s">
        <v>561</v>
      </c>
      <c r="F1627">
        <v>4500227610</v>
      </c>
      <c r="G1627" t="s">
        <v>6276</v>
      </c>
      <c r="H1627" t="s">
        <v>3334</v>
      </c>
      <c r="I1627" t="s">
        <v>6277</v>
      </c>
      <c r="J1627" t="s">
        <v>561</v>
      </c>
      <c r="K1627" s="2">
        <v>9009</v>
      </c>
      <c r="L1627" s="2">
        <v>9009</v>
      </c>
      <c r="M1627" t="str">
        <f>IFERROR(IF(VLOOKUP(LEFT(B1627,2),'Humanitarian codes'!$A$2:$A$10,1,FALSE)=LEFT(B1627,2),"Yes","Error"),"No")</f>
        <v>No</v>
      </c>
    </row>
    <row r="1628" spans="1:13" x14ac:dyDescent="0.25">
      <c r="A1628">
        <v>2022</v>
      </c>
      <c r="B1628" t="s">
        <v>6278</v>
      </c>
      <c r="C1628" t="s">
        <v>6249</v>
      </c>
      <c r="D1628" t="s">
        <v>543</v>
      </c>
      <c r="E1628" t="s">
        <v>25</v>
      </c>
      <c r="F1628">
        <v>4500197837</v>
      </c>
      <c r="G1628" t="s">
        <v>6250</v>
      </c>
      <c r="H1628" t="s">
        <v>3334</v>
      </c>
      <c r="I1628" t="s">
        <v>1874</v>
      </c>
      <c r="J1628" t="s">
        <v>25</v>
      </c>
      <c r="K1628" s="2">
        <v>89910</v>
      </c>
      <c r="L1628" s="2">
        <v>96928</v>
      </c>
      <c r="M1628" t="str">
        <f>IFERROR(IF(VLOOKUP(LEFT(B1628,2),'Humanitarian codes'!$A$2:$A$10,1,FALSE)=LEFT(B1628,2),"Yes","Error"),"No")</f>
        <v>No</v>
      </c>
    </row>
    <row r="1629" spans="1:13" x14ac:dyDescent="0.25">
      <c r="A1629">
        <v>2022</v>
      </c>
      <c r="B1629" t="s">
        <v>6279</v>
      </c>
      <c r="C1629" t="s">
        <v>6280</v>
      </c>
      <c r="D1629" t="s">
        <v>543</v>
      </c>
      <c r="E1629" t="s">
        <v>72</v>
      </c>
      <c r="F1629">
        <v>4500195330</v>
      </c>
      <c r="G1629" t="s">
        <v>6281</v>
      </c>
      <c r="H1629" t="s">
        <v>3334</v>
      </c>
      <c r="I1629" t="s">
        <v>6282</v>
      </c>
      <c r="J1629" t="s">
        <v>72</v>
      </c>
      <c r="K1629" s="2">
        <v>35292</v>
      </c>
      <c r="L1629" s="2">
        <v>35292</v>
      </c>
      <c r="M1629" t="str">
        <f>IFERROR(IF(VLOOKUP(LEFT(B1629,2),'Humanitarian codes'!$A$2:$A$10,1,FALSE)=LEFT(B1629,2),"Yes","Error"),"No")</f>
        <v>No</v>
      </c>
    </row>
    <row r="1630" spans="1:13" x14ac:dyDescent="0.25">
      <c r="A1630">
        <v>2022</v>
      </c>
      <c r="B1630" t="s">
        <v>6279</v>
      </c>
      <c r="C1630" t="s">
        <v>6280</v>
      </c>
      <c r="D1630" t="s">
        <v>543</v>
      </c>
      <c r="E1630" t="s">
        <v>72</v>
      </c>
      <c r="F1630">
        <v>4500224976</v>
      </c>
      <c r="G1630" t="s">
        <v>4549</v>
      </c>
      <c r="H1630" t="s">
        <v>3334</v>
      </c>
      <c r="I1630" t="s">
        <v>4550</v>
      </c>
      <c r="J1630" t="s">
        <v>72</v>
      </c>
      <c r="K1630" s="2">
        <v>510761</v>
      </c>
      <c r="L1630" s="2">
        <v>1140099</v>
      </c>
      <c r="M1630" t="str">
        <f>IFERROR(IF(VLOOKUP(LEFT(B1630,2),'Humanitarian codes'!$A$2:$A$10,1,FALSE)=LEFT(B1630,2),"Yes","Error"),"No")</f>
        <v>No</v>
      </c>
    </row>
    <row r="1631" spans="1:13" x14ac:dyDescent="0.25">
      <c r="A1631">
        <v>2022</v>
      </c>
      <c r="B1631" t="s">
        <v>6279</v>
      </c>
      <c r="C1631" t="s">
        <v>6280</v>
      </c>
      <c r="D1631" t="s">
        <v>543</v>
      </c>
      <c r="E1631" t="s">
        <v>72</v>
      </c>
      <c r="F1631">
        <v>4500224978</v>
      </c>
      <c r="G1631" t="s">
        <v>4551</v>
      </c>
      <c r="H1631" t="s">
        <v>3334</v>
      </c>
      <c r="I1631" t="s">
        <v>4552</v>
      </c>
      <c r="J1631" t="s">
        <v>72</v>
      </c>
      <c r="K1631" s="2">
        <v>372032</v>
      </c>
      <c r="L1631" s="2">
        <v>1336066</v>
      </c>
      <c r="M1631" t="str">
        <f>IFERROR(IF(VLOOKUP(LEFT(B1631,2),'Humanitarian codes'!$A$2:$A$10,1,FALSE)=LEFT(B1631,2),"Yes","Error"),"No")</f>
        <v>No</v>
      </c>
    </row>
    <row r="1632" spans="1:13" x14ac:dyDescent="0.25">
      <c r="A1632">
        <v>2022</v>
      </c>
      <c r="B1632" t="s">
        <v>6283</v>
      </c>
      <c r="C1632" t="s">
        <v>6284</v>
      </c>
      <c r="D1632" t="s">
        <v>543</v>
      </c>
      <c r="E1632" t="s">
        <v>175</v>
      </c>
      <c r="F1632">
        <v>4500219127</v>
      </c>
      <c r="G1632" t="s">
        <v>6285</v>
      </c>
      <c r="H1632" t="s">
        <v>3334</v>
      </c>
      <c r="I1632" t="s">
        <v>685</v>
      </c>
      <c r="J1632" t="s">
        <v>175</v>
      </c>
      <c r="K1632" s="2">
        <v>1344738</v>
      </c>
      <c r="L1632" s="2">
        <v>1344738</v>
      </c>
      <c r="M1632" t="str">
        <f>IFERROR(IF(VLOOKUP(LEFT(B1632,2),'Humanitarian codes'!$A$2:$A$10,1,FALSE)=LEFT(B1632,2),"Yes","Error"),"No")</f>
        <v>No</v>
      </c>
    </row>
    <row r="1633" spans="1:13" x14ac:dyDescent="0.25">
      <c r="A1633">
        <v>2022</v>
      </c>
      <c r="B1633" t="s">
        <v>6286</v>
      </c>
      <c r="C1633" t="s">
        <v>6287</v>
      </c>
      <c r="D1633" t="s">
        <v>543</v>
      </c>
      <c r="E1633" t="s">
        <v>717</v>
      </c>
      <c r="F1633">
        <v>4500233797</v>
      </c>
      <c r="G1633" t="s">
        <v>6288</v>
      </c>
      <c r="H1633" t="s">
        <v>3334</v>
      </c>
      <c r="I1633" t="s">
        <v>3235</v>
      </c>
      <c r="J1633" t="s">
        <v>717</v>
      </c>
      <c r="K1633" s="2">
        <v>366716</v>
      </c>
      <c r="L1633" s="2">
        <v>366716</v>
      </c>
      <c r="M1633" t="str">
        <f>IFERROR(IF(VLOOKUP(LEFT(B1633,2),'Humanitarian codes'!$A$2:$A$10,1,FALSE)=LEFT(B1633,2),"Yes","Error"),"No")</f>
        <v>No</v>
      </c>
    </row>
    <row r="1634" spans="1:13" x14ac:dyDescent="0.25">
      <c r="A1634">
        <v>2022</v>
      </c>
      <c r="B1634" t="s">
        <v>6289</v>
      </c>
      <c r="C1634" t="s">
        <v>6290</v>
      </c>
      <c r="D1634" t="s">
        <v>30</v>
      </c>
      <c r="E1634" t="s">
        <v>123</v>
      </c>
      <c r="F1634">
        <v>4600628972</v>
      </c>
      <c r="G1634" t="s">
        <v>4706</v>
      </c>
      <c r="H1634" t="s">
        <v>3334</v>
      </c>
      <c r="I1634" t="s">
        <v>4707</v>
      </c>
      <c r="J1634" t="s">
        <v>123</v>
      </c>
      <c r="K1634" s="2">
        <v>3759</v>
      </c>
      <c r="L1634" s="2">
        <v>1700000</v>
      </c>
      <c r="M1634" t="str">
        <f>IFERROR(IF(VLOOKUP(LEFT(B1634,2),'Humanitarian codes'!$A$2:$A$10,1,FALSE)=LEFT(B1634,2),"Yes","Error"),"No")</f>
        <v>Yes</v>
      </c>
    </row>
    <row r="1635" spans="1:13" x14ac:dyDescent="0.25">
      <c r="A1635">
        <v>2022</v>
      </c>
      <c r="B1635" t="s">
        <v>6291</v>
      </c>
      <c r="C1635" t="s">
        <v>6292</v>
      </c>
      <c r="D1635" t="s">
        <v>30</v>
      </c>
      <c r="E1635" t="s">
        <v>72</v>
      </c>
      <c r="F1635">
        <v>4500224976</v>
      </c>
      <c r="G1635" t="s">
        <v>4549</v>
      </c>
      <c r="H1635" t="s">
        <v>3334</v>
      </c>
      <c r="I1635" t="s">
        <v>4550</v>
      </c>
      <c r="J1635" t="s">
        <v>72</v>
      </c>
      <c r="K1635" s="2">
        <v>171763</v>
      </c>
      <c r="L1635" s="2">
        <v>1140099</v>
      </c>
      <c r="M1635" t="str">
        <f>IFERROR(IF(VLOOKUP(LEFT(B1635,2),'Humanitarian codes'!$A$2:$A$10,1,FALSE)=LEFT(B1635,2),"Yes","Error"),"No")</f>
        <v>Yes</v>
      </c>
    </row>
    <row r="1636" spans="1:13" x14ac:dyDescent="0.25">
      <c r="A1636">
        <v>2022</v>
      </c>
      <c r="B1636" t="s">
        <v>6291</v>
      </c>
      <c r="C1636" t="s">
        <v>6292</v>
      </c>
      <c r="D1636" t="s">
        <v>30</v>
      </c>
      <c r="E1636" t="s">
        <v>72</v>
      </c>
      <c r="F1636">
        <v>4500224978</v>
      </c>
      <c r="G1636" t="s">
        <v>4551</v>
      </c>
      <c r="H1636" t="s">
        <v>3334</v>
      </c>
      <c r="I1636" t="s">
        <v>4552</v>
      </c>
      <c r="J1636" t="s">
        <v>72</v>
      </c>
      <c r="K1636" s="2">
        <v>286487</v>
      </c>
      <c r="L1636" s="2">
        <v>1336066</v>
      </c>
      <c r="M1636" t="str">
        <f>IFERROR(IF(VLOOKUP(LEFT(B1636,2),'Humanitarian codes'!$A$2:$A$10,1,FALSE)=LEFT(B1636,2),"Yes","Error"),"No")</f>
        <v>Yes</v>
      </c>
    </row>
    <row r="1637" spans="1:13" x14ac:dyDescent="0.25">
      <c r="A1637">
        <v>2022</v>
      </c>
      <c r="B1637" t="s">
        <v>6293</v>
      </c>
      <c r="C1637" t="s">
        <v>6294</v>
      </c>
      <c r="D1637" t="s">
        <v>30</v>
      </c>
      <c r="E1637" t="s">
        <v>561</v>
      </c>
      <c r="F1637">
        <v>4500227325</v>
      </c>
      <c r="G1637" t="s">
        <v>6295</v>
      </c>
      <c r="H1637" t="s">
        <v>3334</v>
      </c>
      <c r="I1637" t="s">
        <v>6277</v>
      </c>
      <c r="J1637" t="s">
        <v>561</v>
      </c>
      <c r="K1637" s="2">
        <v>165165</v>
      </c>
      <c r="L1637" s="2">
        <v>165165</v>
      </c>
      <c r="M1637" t="str">
        <f>IFERROR(IF(VLOOKUP(LEFT(B1637,2),'Humanitarian codes'!$A$2:$A$10,1,FALSE)=LEFT(B1637,2),"Yes","Error"),"No")</f>
        <v>Yes</v>
      </c>
    </row>
    <row r="1638" spans="1:13" x14ac:dyDescent="0.25">
      <c r="A1638">
        <v>2022</v>
      </c>
      <c r="B1638" t="s">
        <v>6296</v>
      </c>
      <c r="C1638" t="s">
        <v>6297</v>
      </c>
      <c r="D1638" t="s">
        <v>30</v>
      </c>
      <c r="E1638" t="s">
        <v>320</v>
      </c>
      <c r="F1638">
        <v>4500179864</v>
      </c>
      <c r="G1638" t="s">
        <v>3938</v>
      </c>
      <c r="H1638" t="s">
        <v>3334</v>
      </c>
      <c r="I1638" t="s">
        <v>6298</v>
      </c>
      <c r="J1638" t="s">
        <v>320</v>
      </c>
      <c r="K1638" s="2">
        <v>2131</v>
      </c>
      <c r="L1638" s="2">
        <v>2131</v>
      </c>
      <c r="M1638" t="str">
        <f>IFERROR(IF(VLOOKUP(LEFT(B1638,2),'Humanitarian codes'!$A$2:$A$10,1,FALSE)=LEFT(B1638,2),"Yes","Error"),"No")</f>
        <v>Yes</v>
      </c>
    </row>
    <row r="1639" spans="1:13" x14ac:dyDescent="0.25">
      <c r="A1639">
        <v>2022</v>
      </c>
      <c r="B1639" t="s">
        <v>6299</v>
      </c>
      <c r="C1639" t="s">
        <v>6300</v>
      </c>
      <c r="D1639" t="s">
        <v>30</v>
      </c>
      <c r="E1639" t="s">
        <v>1987</v>
      </c>
      <c r="F1639">
        <v>4500188549</v>
      </c>
      <c r="G1639" t="s">
        <v>6301</v>
      </c>
      <c r="H1639" t="s">
        <v>3334</v>
      </c>
      <c r="I1639" t="s">
        <v>6302</v>
      </c>
      <c r="J1639" t="s">
        <v>751</v>
      </c>
      <c r="K1639" s="2">
        <v>64494</v>
      </c>
      <c r="L1639" s="2">
        <v>64494</v>
      </c>
      <c r="M1639" t="str">
        <f>IFERROR(IF(VLOOKUP(LEFT(B1639,2),'Humanitarian codes'!$A$2:$A$10,1,FALSE)=LEFT(B1639,2),"Yes","Error"),"No")</f>
        <v>Yes</v>
      </c>
    </row>
    <row r="1640" spans="1:13" x14ac:dyDescent="0.25">
      <c r="A1640">
        <v>2022</v>
      </c>
      <c r="B1640" t="s">
        <v>6303</v>
      </c>
      <c r="C1640" t="s">
        <v>6304</v>
      </c>
      <c r="D1640" t="s">
        <v>30</v>
      </c>
      <c r="E1640" t="s">
        <v>940</v>
      </c>
      <c r="F1640">
        <v>4500182133</v>
      </c>
      <c r="G1640" t="s">
        <v>6305</v>
      </c>
      <c r="H1640" t="s">
        <v>3334</v>
      </c>
      <c r="I1640" t="s">
        <v>338</v>
      </c>
      <c r="J1640" t="s">
        <v>940</v>
      </c>
      <c r="K1640" s="2">
        <v>44100</v>
      </c>
      <c r="L1640" s="2">
        <v>44100</v>
      </c>
      <c r="M1640" t="str">
        <f>IFERROR(IF(VLOOKUP(LEFT(B1640,2),'Humanitarian codes'!$A$2:$A$10,1,FALSE)=LEFT(B1640,2),"Yes","Error"),"No")</f>
        <v>Yes</v>
      </c>
    </row>
    <row r="1641" spans="1:13" x14ac:dyDescent="0.25">
      <c r="A1641">
        <v>2022</v>
      </c>
      <c r="B1641" t="s">
        <v>6303</v>
      </c>
      <c r="C1641" t="s">
        <v>6304</v>
      </c>
      <c r="D1641" t="s">
        <v>30</v>
      </c>
      <c r="E1641" t="s">
        <v>940</v>
      </c>
      <c r="F1641">
        <v>4500227442</v>
      </c>
      <c r="G1641" t="s">
        <v>6306</v>
      </c>
      <c r="H1641" t="s">
        <v>3334</v>
      </c>
      <c r="I1641" t="s">
        <v>6307</v>
      </c>
      <c r="J1641" t="s">
        <v>940</v>
      </c>
      <c r="K1641" s="2">
        <v>580218</v>
      </c>
      <c r="L1641" s="2">
        <v>580218</v>
      </c>
      <c r="M1641" t="str">
        <f>IFERROR(IF(VLOOKUP(LEFT(B1641,2),'Humanitarian codes'!$A$2:$A$10,1,FALSE)=LEFT(B1641,2),"Yes","Error"),"No")</f>
        <v>Yes</v>
      </c>
    </row>
    <row r="1642" spans="1:13" x14ac:dyDescent="0.25">
      <c r="A1642">
        <v>2022</v>
      </c>
      <c r="B1642" t="s">
        <v>6308</v>
      </c>
      <c r="C1642" t="s">
        <v>6309</v>
      </c>
      <c r="D1642" t="s">
        <v>30</v>
      </c>
      <c r="E1642" t="s">
        <v>20</v>
      </c>
      <c r="F1642">
        <v>4500201250</v>
      </c>
      <c r="G1642" t="s">
        <v>6310</v>
      </c>
      <c r="H1642" t="s">
        <v>3334</v>
      </c>
      <c r="I1642" t="s">
        <v>5216</v>
      </c>
      <c r="J1642" t="s">
        <v>20</v>
      </c>
      <c r="K1642" s="2">
        <v>44754</v>
      </c>
      <c r="L1642" s="2">
        <v>44754</v>
      </c>
      <c r="M1642" t="str">
        <f>IFERROR(IF(VLOOKUP(LEFT(B1642,2),'Humanitarian codes'!$A$2:$A$10,1,FALSE)=LEFT(B1642,2),"Yes","Error"),"No")</f>
        <v>Yes</v>
      </c>
    </row>
    <row r="1643" spans="1:13" x14ac:dyDescent="0.25">
      <c r="A1643">
        <v>2022</v>
      </c>
      <c r="B1643" t="s">
        <v>6311</v>
      </c>
      <c r="C1643" t="s">
        <v>6312</v>
      </c>
      <c r="D1643" t="s">
        <v>30</v>
      </c>
      <c r="E1643" t="s">
        <v>54</v>
      </c>
      <c r="F1643">
        <v>4500250820</v>
      </c>
      <c r="G1643" t="s">
        <v>6313</v>
      </c>
      <c r="H1643" t="s">
        <v>3334</v>
      </c>
      <c r="I1643" t="s">
        <v>277</v>
      </c>
      <c r="J1643" t="s">
        <v>54</v>
      </c>
      <c r="K1643" s="2">
        <v>4425</v>
      </c>
      <c r="L1643" s="2">
        <v>4425</v>
      </c>
      <c r="M1643" t="str">
        <f>IFERROR(IF(VLOOKUP(LEFT(B1643,2),'Humanitarian codes'!$A$2:$A$10,1,FALSE)=LEFT(B1643,2),"Yes","Error"),"No")</f>
        <v>Yes</v>
      </c>
    </row>
    <row r="1644" spans="1:13" x14ac:dyDescent="0.25">
      <c r="A1644">
        <v>2022</v>
      </c>
      <c r="B1644" t="s">
        <v>6311</v>
      </c>
      <c r="C1644" t="s">
        <v>6312</v>
      </c>
      <c r="D1644" t="s">
        <v>30</v>
      </c>
      <c r="E1644" t="s">
        <v>54</v>
      </c>
      <c r="F1644">
        <v>4500250836</v>
      </c>
      <c r="G1644" t="s">
        <v>6314</v>
      </c>
      <c r="H1644" t="s">
        <v>3334</v>
      </c>
      <c r="I1644" t="s">
        <v>277</v>
      </c>
      <c r="J1644" t="s">
        <v>54</v>
      </c>
      <c r="K1644" s="2">
        <v>2950</v>
      </c>
      <c r="L1644" s="2">
        <v>2950</v>
      </c>
      <c r="M1644" t="str">
        <f>IFERROR(IF(VLOOKUP(LEFT(B1644,2),'Humanitarian codes'!$A$2:$A$10,1,FALSE)=LEFT(B1644,2),"Yes","Error"),"No")</f>
        <v>Yes</v>
      </c>
    </row>
    <row r="1645" spans="1:13" x14ac:dyDescent="0.25">
      <c r="A1645">
        <v>2022</v>
      </c>
      <c r="B1645" t="s">
        <v>6311</v>
      </c>
      <c r="C1645" t="s">
        <v>6312</v>
      </c>
      <c r="D1645" t="s">
        <v>30</v>
      </c>
      <c r="E1645" t="s">
        <v>54</v>
      </c>
      <c r="F1645">
        <v>4500250862</v>
      </c>
      <c r="G1645" t="s">
        <v>6315</v>
      </c>
      <c r="H1645" t="s">
        <v>3334</v>
      </c>
      <c r="I1645" t="s">
        <v>5321</v>
      </c>
      <c r="J1645" t="s">
        <v>54</v>
      </c>
      <c r="K1645" s="2">
        <v>3062</v>
      </c>
      <c r="L1645" s="2">
        <v>3062</v>
      </c>
      <c r="M1645" t="str">
        <f>IFERROR(IF(VLOOKUP(LEFT(B1645,2),'Humanitarian codes'!$A$2:$A$10,1,FALSE)=LEFT(B1645,2),"Yes","Error"),"No")</f>
        <v>Yes</v>
      </c>
    </row>
    <row r="1646" spans="1:13" x14ac:dyDescent="0.25">
      <c r="A1646">
        <v>2022</v>
      </c>
      <c r="B1646" t="s">
        <v>6311</v>
      </c>
      <c r="C1646" t="s">
        <v>6312</v>
      </c>
      <c r="D1646" t="s">
        <v>30</v>
      </c>
      <c r="E1646" t="s">
        <v>54</v>
      </c>
      <c r="F1646">
        <v>4500257170</v>
      </c>
      <c r="G1646" t="s">
        <v>6316</v>
      </c>
      <c r="H1646" t="s">
        <v>3334</v>
      </c>
      <c r="I1646" t="s">
        <v>5334</v>
      </c>
      <c r="J1646" t="s">
        <v>54</v>
      </c>
      <c r="K1646" s="2">
        <v>2130</v>
      </c>
      <c r="L1646" s="2">
        <v>2130</v>
      </c>
      <c r="M1646" t="str">
        <f>IFERROR(IF(VLOOKUP(LEFT(B1646,2),'Humanitarian codes'!$A$2:$A$10,1,FALSE)=LEFT(B1646,2),"Yes","Error"),"No")</f>
        <v>Yes</v>
      </c>
    </row>
    <row r="1647" spans="1:13" x14ac:dyDescent="0.25">
      <c r="A1647">
        <v>2022</v>
      </c>
      <c r="B1647" t="s">
        <v>6317</v>
      </c>
      <c r="C1647" t="s">
        <v>6318</v>
      </c>
      <c r="D1647" t="s">
        <v>30</v>
      </c>
      <c r="E1647" t="s">
        <v>717</v>
      </c>
      <c r="F1647">
        <v>4500189431</v>
      </c>
      <c r="G1647" t="s">
        <v>6319</v>
      </c>
      <c r="H1647" t="s">
        <v>3334</v>
      </c>
      <c r="I1647" t="s">
        <v>2796</v>
      </c>
      <c r="J1647" t="s">
        <v>717</v>
      </c>
      <c r="K1647" s="2">
        <v>64008</v>
      </c>
      <c r="L1647" s="2">
        <v>64008</v>
      </c>
      <c r="M1647" t="str">
        <f>IFERROR(IF(VLOOKUP(LEFT(B1647,2),'Humanitarian codes'!$A$2:$A$10,1,FALSE)=LEFT(B1647,2),"Yes","Error"),"No")</f>
        <v>Yes</v>
      </c>
    </row>
    <row r="1648" spans="1:13" x14ac:dyDescent="0.25">
      <c r="A1648">
        <v>2022</v>
      </c>
      <c r="B1648" t="s">
        <v>6320</v>
      </c>
      <c r="C1648" t="s">
        <v>6321</v>
      </c>
      <c r="D1648" t="s">
        <v>30</v>
      </c>
      <c r="E1648" t="s">
        <v>594</v>
      </c>
      <c r="F1648">
        <v>4500182010</v>
      </c>
      <c r="G1648" t="s">
        <v>6322</v>
      </c>
      <c r="H1648" t="s">
        <v>3334</v>
      </c>
      <c r="I1648" t="s">
        <v>4536</v>
      </c>
      <c r="J1648" t="s">
        <v>594</v>
      </c>
      <c r="K1648" s="2">
        <v>471290</v>
      </c>
      <c r="L1648" s="2">
        <v>471290</v>
      </c>
      <c r="M1648" t="str">
        <f>IFERROR(IF(VLOOKUP(LEFT(B1648,2),'Humanitarian codes'!$A$2:$A$10,1,FALSE)=LEFT(B1648,2),"Yes","Error"),"No")</f>
        <v>Yes</v>
      </c>
    </row>
    <row r="1649" spans="1:13" x14ac:dyDescent="0.25">
      <c r="A1649">
        <v>2022</v>
      </c>
      <c r="B1649" t="s">
        <v>6320</v>
      </c>
      <c r="C1649" t="s">
        <v>6321</v>
      </c>
      <c r="D1649" t="s">
        <v>30</v>
      </c>
      <c r="E1649" t="s">
        <v>594</v>
      </c>
      <c r="F1649">
        <v>4500189116</v>
      </c>
      <c r="G1649" t="s">
        <v>6323</v>
      </c>
      <c r="H1649" t="s">
        <v>3334</v>
      </c>
      <c r="I1649" t="s">
        <v>4538</v>
      </c>
      <c r="J1649" t="s">
        <v>594</v>
      </c>
      <c r="K1649" s="2">
        <v>326000</v>
      </c>
      <c r="L1649" s="2">
        <v>326000</v>
      </c>
      <c r="M1649" t="str">
        <f>IFERROR(IF(VLOOKUP(LEFT(B1649,2),'Humanitarian codes'!$A$2:$A$10,1,FALSE)=LEFT(B1649,2),"Yes","Error"),"No")</f>
        <v>Yes</v>
      </c>
    </row>
    <row r="1650" spans="1:13" x14ac:dyDescent="0.25">
      <c r="A1650">
        <v>2022</v>
      </c>
      <c r="B1650" t="s">
        <v>2730</v>
      </c>
      <c r="C1650" t="s">
        <v>2731</v>
      </c>
      <c r="D1650" t="s">
        <v>30</v>
      </c>
      <c r="E1650" t="s">
        <v>814</v>
      </c>
      <c r="F1650">
        <v>4500198867</v>
      </c>
      <c r="G1650" t="s">
        <v>6324</v>
      </c>
      <c r="H1650" t="s">
        <v>3334</v>
      </c>
      <c r="I1650" t="s">
        <v>117</v>
      </c>
      <c r="J1650" t="s">
        <v>3842</v>
      </c>
      <c r="K1650" s="2">
        <v>14786</v>
      </c>
      <c r="L1650" s="2">
        <v>14786</v>
      </c>
      <c r="M1650" t="str">
        <f>IFERROR(IF(VLOOKUP(LEFT(B1650,2),'Humanitarian codes'!$A$2:$A$10,1,FALSE)=LEFT(B1650,2),"Yes","Error"),"No")</f>
        <v>Yes</v>
      </c>
    </row>
    <row r="1651" spans="1:13" x14ac:dyDescent="0.25">
      <c r="A1651">
        <v>2022</v>
      </c>
      <c r="B1651" t="s">
        <v>2730</v>
      </c>
      <c r="C1651" t="s">
        <v>2731</v>
      </c>
      <c r="D1651" t="s">
        <v>30</v>
      </c>
      <c r="E1651" t="s">
        <v>814</v>
      </c>
      <c r="F1651">
        <v>4500198877</v>
      </c>
      <c r="G1651" t="s">
        <v>6325</v>
      </c>
      <c r="H1651" t="s">
        <v>3334</v>
      </c>
      <c r="I1651" t="s">
        <v>118</v>
      </c>
      <c r="J1651" t="s">
        <v>3842</v>
      </c>
      <c r="K1651" s="2">
        <v>10618</v>
      </c>
      <c r="L1651" s="2">
        <v>10618</v>
      </c>
      <c r="M1651" t="str">
        <f>IFERROR(IF(VLOOKUP(LEFT(B1651,2),'Humanitarian codes'!$A$2:$A$10,1,FALSE)=LEFT(B1651,2),"Yes","Error"),"No")</f>
        <v>Yes</v>
      </c>
    </row>
    <row r="1652" spans="1:13" x14ac:dyDescent="0.25">
      <c r="A1652">
        <v>2022</v>
      </c>
      <c r="B1652" t="s">
        <v>2730</v>
      </c>
      <c r="C1652" t="s">
        <v>2731</v>
      </c>
      <c r="D1652" t="s">
        <v>30</v>
      </c>
      <c r="E1652" t="s">
        <v>814</v>
      </c>
      <c r="F1652">
        <v>4500198883</v>
      </c>
      <c r="G1652" t="s">
        <v>6326</v>
      </c>
      <c r="H1652" t="s">
        <v>3334</v>
      </c>
      <c r="I1652" t="s">
        <v>119</v>
      </c>
      <c r="J1652" t="s">
        <v>3842</v>
      </c>
      <c r="K1652" s="2">
        <v>11130</v>
      </c>
      <c r="L1652" s="2">
        <v>11130</v>
      </c>
      <c r="M1652" t="str">
        <f>IFERROR(IF(VLOOKUP(LEFT(B1652,2),'Humanitarian codes'!$A$2:$A$10,1,FALSE)=LEFT(B1652,2),"Yes","Error"),"No")</f>
        <v>Yes</v>
      </c>
    </row>
    <row r="1653" spans="1:13" x14ac:dyDescent="0.25">
      <c r="A1653">
        <v>2022</v>
      </c>
      <c r="B1653" t="s">
        <v>2730</v>
      </c>
      <c r="C1653" t="s">
        <v>2731</v>
      </c>
      <c r="D1653" t="s">
        <v>30</v>
      </c>
      <c r="E1653" t="s">
        <v>814</v>
      </c>
      <c r="F1653">
        <v>4500198891</v>
      </c>
      <c r="G1653" t="s">
        <v>6327</v>
      </c>
      <c r="H1653" t="s">
        <v>3334</v>
      </c>
      <c r="I1653" t="s">
        <v>115</v>
      </c>
      <c r="J1653" t="s">
        <v>3842</v>
      </c>
      <c r="K1653" s="2">
        <v>10796</v>
      </c>
      <c r="L1653" s="2">
        <v>10796</v>
      </c>
      <c r="M1653" t="str">
        <f>IFERROR(IF(VLOOKUP(LEFT(B1653,2),'Humanitarian codes'!$A$2:$A$10,1,FALSE)=LEFT(B1653,2),"Yes","Error"),"No")</f>
        <v>Yes</v>
      </c>
    </row>
    <row r="1654" spans="1:13" x14ac:dyDescent="0.25">
      <c r="A1654">
        <v>2022</v>
      </c>
      <c r="B1654" t="s">
        <v>2730</v>
      </c>
      <c r="C1654" t="s">
        <v>2731</v>
      </c>
      <c r="D1654" t="s">
        <v>30</v>
      </c>
      <c r="E1654" t="s">
        <v>814</v>
      </c>
      <c r="F1654">
        <v>4500198898</v>
      </c>
      <c r="G1654" t="s">
        <v>6328</v>
      </c>
      <c r="H1654" t="s">
        <v>3334</v>
      </c>
      <c r="I1654" t="s">
        <v>113</v>
      </c>
      <c r="J1654" t="s">
        <v>3842</v>
      </c>
      <c r="K1654" s="2">
        <v>10710</v>
      </c>
      <c r="L1654" s="2">
        <v>10710</v>
      </c>
      <c r="M1654" t="str">
        <f>IFERROR(IF(VLOOKUP(LEFT(B1654,2),'Humanitarian codes'!$A$2:$A$10,1,FALSE)=LEFT(B1654,2),"Yes","Error"),"No")</f>
        <v>Yes</v>
      </c>
    </row>
    <row r="1655" spans="1:13" x14ac:dyDescent="0.25">
      <c r="A1655">
        <v>2022</v>
      </c>
      <c r="B1655" t="s">
        <v>2730</v>
      </c>
      <c r="C1655" t="s">
        <v>2731</v>
      </c>
      <c r="D1655" t="s">
        <v>30</v>
      </c>
      <c r="E1655" t="s">
        <v>814</v>
      </c>
      <c r="F1655">
        <v>4500198905</v>
      </c>
      <c r="G1655" t="s">
        <v>6329</v>
      </c>
      <c r="H1655" t="s">
        <v>3334</v>
      </c>
      <c r="I1655" t="s">
        <v>116</v>
      </c>
      <c r="J1655" t="s">
        <v>3842</v>
      </c>
      <c r="K1655" s="2">
        <v>10638</v>
      </c>
      <c r="L1655" s="2">
        <v>10638</v>
      </c>
      <c r="M1655" t="str">
        <f>IFERROR(IF(VLOOKUP(LEFT(B1655,2),'Humanitarian codes'!$A$2:$A$10,1,FALSE)=LEFT(B1655,2),"Yes","Error"),"No")</f>
        <v>Yes</v>
      </c>
    </row>
    <row r="1656" spans="1:13" x14ac:dyDescent="0.25">
      <c r="A1656">
        <v>2022</v>
      </c>
      <c r="B1656" t="s">
        <v>2730</v>
      </c>
      <c r="C1656" t="s">
        <v>2731</v>
      </c>
      <c r="D1656" t="s">
        <v>30</v>
      </c>
      <c r="E1656" t="s">
        <v>814</v>
      </c>
      <c r="F1656">
        <v>4500201319</v>
      </c>
      <c r="G1656" t="s">
        <v>6330</v>
      </c>
      <c r="H1656" t="s">
        <v>3334</v>
      </c>
      <c r="I1656" t="s">
        <v>115</v>
      </c>
      <c r="J1656" t="s">
        <v>3842</v>
      </c>
      <c r="K1656" s="2">
        <v>18448</v>
      </c>
      <c r="L1656" s="2">
        <v>18448</v>
      </c>
      <c r="M1656" t="str">
        <f>IFERROR(IF(VLOOKUP(LEFT(B1656,2),'Humanitarian codes'!$A$2:$A$10,1,FALSE)=LEFT(B1656,2),"Yes","Error"),"No")</f>
        <v>Yes</v>
      </c>
    </row>
    <row r="1657" spans="1:13" x14ac:dyDescent="0.25">
      <c r="A1657">
        <v>2022</v>
      </c>
      <c r="B1657" t="s">
        <v>2730</v>
      </c>
      <c r="C1657" t="s">
        <v>2731</v>
      </c>
      <c r="D1657" t="s">
        <v>30</v>
      </c>
      <c r="E1657" t="s">
        <v>814</v>
      </c>
      <c r="F1657">
        <v>4500215124</v>
      </c>
      <c r="G1657" t="s">
        <v>6331</v>
      </c>
      <c r="H1657" t="s">
        <v>3334</v>
      </c>
      <c r="I1657" t="s">
        <v>117</v>
      </c>
      <c r="J1657" t="s">
        <v>3842</v>
      </c>
      <c r="K1657" s="2">
        <v>4408</v>
      </c>
      <c r="L1657" s="2">
        <v>4408</v>
      </c>
      <c r="M1657" t="str">
        <f>IFERROR(IF(VLOOKUP(LEFT(B1657,2),'Humanitarian codes'!$A$2:$A$10,1,FALSE)=LEFT(B1657,2),"Yes","Error"),"No")</f>
        <v>Yes</v>
      </c>
    </row>
    <row r="1658" spans="1:13" x14ac:dyDescent="0.25">
      <c r="A1658">
        <v>2022</v>
      </c>
      <c r="B1658" t="s">
        <v>2730</v>
      </c>
      <c r="C1658" t="s">
        <v>2731</v>
      </c>
      <c r="D1658" t="s">
        <v>30</v>
      </c>
      <c r="E1658" t="s">
        <v>814</v>
      </c>
      <c r="F1658">
        <v>4500216370</v>
      </c>
      <c r="G1658" t="s">
        <v>6332</v>
      </c>
      <c r="H1658" t="s">
        <v>3334</v>
      </c>
      <c r="I1658" t="s">
        <v>112</v>
      </c>
      <c r="J1658" t="s">
        <v>3842</v>
      </c>
      <c r="K1658" s="2">
        <v>13761</v>
      </c>
      <c r="L1658" s="2">
        <v>13761</v>
      </c>
      <c r="M1658" t="str">
        <f>IFERROR(IF(VLOOKUP(LEFT(B1658,2),'Humanitarian codes'!$A$2:$A$10,1,FALSE)=LEFT(B1658,2),"Yes","Error"),"No")</f>
        <v>Yes</v>
      </c>
    </row>
    <row r="1659" spans="1:13" x14ac:dyDescent="0.25">
      <c r="A1659">
        <v>2022</v>
      </c>
      <c r="B1659" t="s">
        <v>2730</v>
      </c>
      <c r="C1659" t="s">
        <v>2731</v>
      </c>
      <c r="D1659" t="s">
        <v>30</v>
      </c>
      <c r="E1659" t="s">
        <v>814</v>
      </c>
      <c r="F1659">
        <v>4500230940</v>
      </c>
      <c r="G1659" t="s">
        <v>5268</v>
      </c>
      <c r="H1659" t="s">
        <v>3334</v>
      </c>
      <c r="I1659" t="s">
        <v>119</v>
      </c>
      <c r="J1659" t="s">
        <v>3842</v>
      </c>
      <c r="K1659" s="2">
        <v>2609</v>
      </c>
      <c r="L1659" s="2">
        <v>10437</v>
      </c>
      <c r="M1659" t="str">
        <f>IFERROR(IF(VLOOKUP(LEFT(B1659,2),'Humanitarian codes'!$A$2:$A$10,1,FALSE)=LEFT(B1659,2),"Yes","Error"),"No")</f>
        <v>Yes</v>
      </c>
    </row>
    <row r="1660" spans="1:13" x14ac:dyDescent="0.25">
      <c r="A1660">
        <v>2022</v>
      </c>
      <c r="B1660" t="s">
        <v>2730</v>
      </c>
      <c r="C1660" t="s">
        <v>2731</v>
      </c>
      <c r="D1660" t="s">
        <v>30</v>
      </c>
      <c r="E1660" t="s">
        <v>814</v>
      </c>
      <c r="F1660">
        <v>4500230950</v>
      </c>
      <c r="G1660" t="s">
        <v>5269</v>
      </c>
      <c r="H1660" t="s">
        <v>3334</v>
      </c>
      <c r="I1660" t="s">
        <v>117</v>
      </c>
      <c r="J1660" t="s">
        <v>3842</v>
      </c>
      <c r="K1660" s="2">
        <v>3617</v>
      </c>
      <c r="L1660" s="2">
        <v>14467</v>
      </c>
      <c r="M1660" t="str">
        <f>IFERROR(IF(VLOOKUP(LEFT(B1660,2),'Humanitarian codes'!$A$2:$A$10,1,FALSE)=LEFT(B1660,2),"Yes","Error"),"No")</f>
        <v>Yes</v>
      </c>
    </row>
    <row r="1661" spans="1:13" x14ac:dyDescent="0.25">
      <c r="A1661">
        <v>2022</v>
      </c>
      <c r="B1661" t="s">
        <v>2730</v>
      </c>
      <c r="C1661" t="s">
        <v>2731</v>
      </c>
      <c r="D1661" t="s">
        <v>30</v>
      </c>
      <c r="E1661" t="s">
        <v>814</v>
      </c>
      <c r="F1661">
        <v>4500230953</v>
      </c>
      <c r="G1661" t="s">
        <v>5270</v>
      </c>
      <c r="H1661" t="s">
        <v>3334</v>
      </c>
      <c r="I1661" t="s">
        <v>116</v>
      </c>
      <c r="J1661" t="s">
        <v>3842</v>
      </c>
      <c r="K1661" s="2">
        <v>2410</v>
      </c>
      <c r="L1661" s="2">
        <v>9638</v>
      </c>
      <c r="M1661" t="str">
        <f>IFERROR(IF(VLOOKUP(LEFT(B1661,2),'Humanitarian codes'!$A$2:$A$10,1,FALSE)=LEFT(B1661,2),"Yes","Error"),"No")</f>
        <v>Yes</v>
      </c>
    </row>
    <row r="1662" spans="1:13" x14ac:dyDescent="0.25">
      <c r="A1662">
        <v>2022</v>
      </c>
      <c r="B1662" t="s">
        <v>2730</v>
      </c>
      <c r="C1662" t="s">
        <v>2731</v>
      </c>
      <c r="D1662" t="s">
        <v>30</v>
      </c>
      <c r="E1662" t="s">
        <v>814</v>
      </c>
      <c r="F1662">
        <v>4500230962</v>
      </c>
      <c r="G1662" t="s">
        <v>5271</v>
      </c>
      <c r="H1662" t="s">
        <v>3334</v>
      </c>
      <c r="I1662" t="s">
        <v>116</v>
      </c>
      <c r="J1662" t="s">
        <v>3842</v>
      </c>
      <c r="K1662" s="2">
        <v>2735</v>
      </c>
      <c r="L1662" s="2">
        <v>10939</v>
      </c>
      <c r="M1662" t="str">
        <f>IFERROR(IF(VLOOKUP(LEFT(B1662,2),'Humanitarian codes'!$A$2:$A$10,1,FALSE)=LEFT(B1662,2),"Yes","Error"),"No")</f>
        <v>Yes</v>
      </c>
    </row>
    <row r="1663" spans="1:13" x14ac:dyDescent="0.25">
      <c r="A1663">
        <v>2022</v>
      </c>
      <c r="B1663" t="s">
        <v>2730</v>
      </c>
      <c r="C1663" t="s">
        <v>2731</v>
      </c>
      <c r="D1663" t="s">
        <v>30</v>
      </c>
      <c r="E1663" t="s">
        <v>814</v>
      </c>
      <c r="F1663">
        <v>4500230975</v>
      </c>
      <c r="G1663" t="s">
        <v>5272</v>
      </c>
      <c r="H1663" t="s">
        <v>3334</v>
      </c>
      <c r="I1663" t="s">
        <v>5273</v>
      </c>
      <c r="J1663" t="s">
        <v>3842</v>
      </c>
      <c r="K1663" s="2">
        <v>2511</v>
      </c>
      <c r="L1663" s="2">
        <v>10043</v>
      </c>
      <c r="M1663" t="str">
        <f>IFERROR(IF(VLOOKUP(LEFT(B1663,2),'Humanitarian codes'!$A$2:$A$10,1,FALSE)=LEFT(B1663,2),"Yes","Error"),"No")</f>
        <v>Yes</v>
      </c>
    </row>
    <row r="1664" spans="1:13" x14ac:dyDescent="0.25">
      <c r="A1664">
        <v>2022</v>
      </c>
      <c r="B1664" t="s">
        <v>2730</v>
      </c>
      <c r="C1664" t="s">
        <v>2731</v>
      </c>
      <c r="D1664" t="s">
        <v>30</v>
      </c>
      <c r="E1664" t="s">
        <v>814</v>
      </c>
      <c r="F1664">
        <v>4500230979</v>
      </c>
      <c r="G1664" t="s">
        <v>5274</v>
      </c>
      <c r="H1664" t="s">
        <v>3334</v>
      </c>
      <c r="I1664" t="s">
        <v>115</v>
      </c>
      <c r="J1664" t="s">
        <v>3842</v>
      </c>
      <c r="K1664" s="2">
        <v>2531</v>
      </c>
      <c r="L1664" s="2">
        <v>10123</v>
      </c>
      <c r="M1664" t="str">
        <f>IFERROR(IF(VLOOKUP(LEFT(B1664,2),'Humanitarian codes'!$A$2:$A$10,1,FALSE)=LEFT(B1664,2),"Yes","Error"),"No")</f>
        <v>Yes</v>
      </c>
    </row>
    <row r="1665" spans="1:13" x14ac:dyDescent="0.25">
      <c r="A1665">
        <v>2022</v>
      </c>
      <c r="B1665" t="s">
        <v>2730</v>
      </c>
      <c r="C1665" t="s">
        <v>2731</v>
      </c>
      <c r="D1665" t="s">
        <v>30</v>
      </c>
      <c r="E1665" t="s">
        <v>814</v>
      </c>
      <c r="F1665">
        <v>4500230987</v>
      </c>
      <c r="G1665" t="s">
        <v>5275</v>
      </c>
      <c r="H1665" t="s">
        <v>3334</v>
      </c>
      <c r="I1665" t="s">
        <v>115</v>
      </c>
      <c r="J1665" t="s">
        <v>3842</v>
      </c>
      <c r="K1665" s="2">
        <v>4325</v>
      </c>
      <c r="L1665" s="2">
        <v>17299</v>
      </c>
      <c r="M1665" t="str">
        <f>IFERROR(IF(VLOOKUP(LEFT(B1665,2),'Humanitarian codes'!$A$2:$A$10,1,FALSE)=LEFT(B1665,2),"Yes","Error"),"No")</f>
        <v>Yes</v>
      </c>
    </row>
    <row r="1666" spans="1:13" x14ac:dyDescent="0.25">
      <c r="A1666">
        <v>2022</v>
      </c>
      <c r="B1666" t="s">
        <v>2730</v>
      </c>
      <c r="C1666" t="s">
        <v>2731</v>
      </c>
      <c r="D1666" t="s">
        <v>30</v>
      </c>
      <c r="E1666" t="s">
        <v>814</v>
      </c>
      <c r="F1666">
        <v>4500230992</v>
      </c>
      <c r="G1666" t="s">
        <v>5276</v>
      </c>
      <c r="H1666" t="s">
        <v>3334</v>
      </c>
      <c r="I1666" t="s">
        <v>118</v>
      </c>
      <c r="J1666" t="s">
        <v>3842</v>
      </c>
      <c r="K1666" s="2">
        <v>2489</v>
      </c>
      <c r="L1666" s="2">
        <v>9957</v>
      </c>
      <c r="M1666" t="str">
        <f>IFERROR(IF(VLOOKUP(LEFT(B1666,2),'Humanitarian codes'!$A$2:$A$10,1,FALSE)=LEFT(B1666,2),"Yes","Error"),"No")</f>
        <v>Yes</v>
      </c>
    </row>
    <row r="1667" spans="1:13" x14ac:dyDescent="0.25">
      <c r="A1667">
        <v>2022</v>
      </c>
      <c r="B1667" t="s">
        <v>2730</v>
      </c>
      <c r="C1667" t="s">
        <v>2731</v>
      </c>
      <c r="D1667" t="s">
        <v>30</v>
      </c>
      <c r="E1667" t="s">
        <v>814</v>
      </c>
      <c r="F1667">
        <v>4500232453</v>
      </c>
      <c r="G1667" t="s">
        <v>5277</v>
      </c>
      <c r="H1667" t="s">
        <v>3334</v>
      </c>
      <c r="I1667" t="s">
        <v>112</v>
      </c>
      <c r="J1667" t="s">
        <v>3842</v>
      </c>
      <c r="K1667" s="2">
        <v>3451</v>
      </c>
      <c r="L1667" s="2">
        <v>13803</v>
      </c>
      <c r="M1667" t="str">
        <f>IFERROR(IF(VLOOKUP(LEFT(B1667,2),'Humanitarian codes'!$A$2:$A$10,1,FALSE)=LEFT(B1667,2),"Yes","Error"),"No")</f>
        <v>Yes</v>
      </c>
    </row>
    <row r="1668" spans="1:13" x14ac:dyDescent="0.25">
      <c r="A1668">
        <v>2022</v>
      </c>
      <c r="B1668" t="s">
        <v>2730</v>
      </c>
      <c r="C1668" t="s">
        <v>2731</v>
      </c>
      <c r="D1668" t="s">
        <v>30</v>
      </c>
      <c r="E1668" t="s">
        <v>814</v>
      </c>
      <c r="F1668">
        <v>4500232457</v>
      </c>
      <c r="G1668" t="s">
        <v>5278</v>
      </c>
      <c r="H1668" t="s">
        <v>3334</v>
      </c>
      <c r="I1668" t="s">
        <v>112</v>
      </c>
      <c r="J1668" t="s">
        <v>3842</v>
      </c>
      <c r="K1668" s="2">
        <v>3235</v>
      </c>
      <c r="L1668" s="2">
        <v>12939</v>
      </c>
      <c r="M1668" t="str">
        <f>IFERROR(IF(VLOOKUP(LEFT(B1668,2),'Humanitarian codes'!$A$2:$A$10,1,FALSE)=LEFT(B1668,2),"Yes","Error"),"No")</f>
        <v>Yes</v>
      </c>
    </row>
    <row r="1669" spans="1:13" x14ac:dyDescent="0.25">
      <c r="A1669">
        <v>2022</v>
      </c>
      <c r="B1669" t="s">
        <v>2730</v>
      </c>
      <c r="C1669" t="s">
        <v>2731</v>
      </c>
      <c r="D1669" t="s">
        <v>30</v>
      </c>
      <c r="E1669" t="s">
        <v>814</v>
      </c>
      <c r="F1669">
        <v>4500235625</v>
      </c>
      <c r="G1669" t="s">
        <v>5281</v>
      </c>
      <c r="H1669" t="s">
        <v>3334</v>
      </c>
      <c r="I1669" t="s">
        <v>1721</v>
      </c>
      <c r="J1669" t="s">
        <v>3842</v>
      </c>
      <c r="K1669" s="2">
        <v>1744</v>
      </c>
      <c r="L1669" s="2">
        <v>6975</v>
      </c>
      <c r="M1669" t="str">
        <f>IFERROR(IF(VLOOKUP(LEFT(B1669,2),'Humanitarian codes'!$A$2:$A$10,1,FALSE)=LEFT(B1669,2),"Yes","Error"),"No")</f>
        <v>Yes</v>
      </c>
    </row>
    <row r="1670" spans="1:13" x14ac:dyDescent="0.25">
      <c r="A1670">
        <v>2022</v>
      </c>
      <c r="B1670" t="s">
        <v>2730</v>
      </c>
      <c r="C1670" t="s">
        <v>2731</v>
      </c>
      <c r="D1670" t="s">
        <v>30</v>
      </c>
      <c r="E1670" t="s">
        <v>814</v>
      </c>
      <c r="F1670">
        <v>4500237450</v>
      </c>
      <c r="G1670" t="s">
        <v>5282</v>
      </c>
      <c r="H1670" t="s">
        <v>3334</v>
      </c>
      <c r="I1670" t="s">
        <v>120</v>
      </c>
      <c r="J1670" t="s">
        <v>3842</v>
      </c>
      <c r="K1670" s="2">
        <v>6104</v>
      </c>
      <c r="L1670" s="2">
        <v>24417</v>
      </c>
      <c r="M1670" t="str">
        <f>IFERROR(IF(VLOOKUP(LEFT(B1670,2),'Humanitarian codes'!$A$2:$A$10,1,FALSE)=LEFT(B1670,2),"Yes","Error"),"No")</f>
        <v>Yes</v>
      </c>
    </row>
    <row r="1671" spans="1:13" x14ac:dyDescent="0.25">
      <c r="A1671">
        <v>2022</v>
      </c>
      <c r="B1671" t="s">
        <v>2730</v>
      </c>
      <c r="C1671" t="s">
        <v>2731</v>
      </c>
      <c r="D1671" t="s">
        <v>30</v>
      </c>
      <c r="E1671" t="s">
        <v>814</v>
      </c>
      <c r="F1671">
        <v>4500237462</v>
      </c>
      <c r="G1671" t="s">
        <v>5283</v>
      </c>
      <c r="H1671" t="s">
        <v>3334</v>
      </c>
      <c r="I1671" t="s">
        <v>114</v>
      </c>
      <c r="J1671" t="s">
        <v>3842</v>
      </c>
      <c r="K1671" s="2">
        <v>2131</v>
      </c>
      <c r="L1671" s="2">
        <v>8524</v>
      </c>
      <c r="M1671" t="str">
        <f>IFERROR(IF(VLOOKUP(LEFT(B1671,2),'Humanitarian codes'!$A$2:$A$10,1,FALSE)=LEFT(B1671,2),"Yes","Error"),"No")</f>
        <v>Yes</v>
      </c>
    </row>
    <row r="1672" spans="1:13" x14ac:dyDescent="0.25">
      <c r="A1672">
        <v>2022</v>
      </c>
      <c r="B1672" t="s">
        <v>2730</v>
      </c>
      <c r="C1672" t="s">
        <v>2731</v>
      </c>
      <c r="D1672" t="s">
        <v>30</v>
      </c>
      <c r="E1672" t="s">
        <v>814</v>
      </c>
      <c r="F1672">
        <v>4500257385</v>
      </c>
      <c r="G1672" t="s">
        <v>5289</v>
      </c>
      <c r="H1672" t="s">
        <v>3334</v>
      </c>
      <c r="I1672" t="s">
        <v>117</v>
      </c>
      <c r="J1672" t="s">
        <v>3842</v>
      </c>
      <c r="K1672" s="2">
        <v>2675</v>
      </c>
      <c r="L1672" s="2">
        <v>26746</v>
      </c>
      <c r="M1672" t="str">
        <f>IFERROR(IF(VLOOKUP(LEFT(B1672,2),'Humanitarian codes'!$A$2:$A$10,1,FALSE)=LEFT(B1672,2),"Yes","Error"),"No")</f>
        <v>Yes</v>
      </c>
    </row>
    <row r="1673" spans="1:13" x14ac:dyDescent="0.25">
      <c r="A1673">
        <v>2022</v>
      </c>
      <c r="B1673" t="s">
        <v>2730</v>
      </c>
      <c r="C1673" t="s">
        <v>2731</v>
      </c>
      <c r="D1673" t="s">
        <v>30</v>
      </c>
      <c r="E1673" t="s">
        <v>814</v>
      </c>
      <c r="F1673">
        <v>4500257387</v>
      </c>
      <c r="G1673" t="s">
        <v>5290</v>
      </c>
      <c r="H1673" t="s">
        <v>3334</v>
      </c>
      <c r="I1673" t="s">
        <v>114</v>
      </c>
      <c r="J1673" t="s">
        <v>3842</v>
      </c>
      <c r="K1673" s="2">
        <v>1782</v>
      </c>
      <c r="L1673" s="2">
        <v>17818</v>
      </c>
      <c r="M1673" t="str">
        <f>IFERROR(IF(VLOOKUP(LEFT(B1673,2),'Humanitarian codes'!$A$2:$A$10,1,FALSE)=LEFT(B1673,2),"Yes","Error"),"No")</f>
        <v>Yes</v>
      </c>
    </row>
    <row r="1674" spans="1:13" x14ac:dyDescent="0.25">
      <c r="A1674">
        <v>2022</v>
      </c>
      <c r="B1674" t="s">
        <v>2730</v>
      </c>
      <c r="C1674" t="s">
        <v>2731</v>
      </c>
      <c r="D1674" t="s">
        <v>30</v>
      </c>
      <c r="E1674" t="s">
        <v>814</v>
      </c>
      <c r="F1674">
        <v>4500257388</v>
      </c>
      <c r="G1674" t="s">
        <v>5291</v>
      </c>
      <c r="H1674" t="s">
        <v>3334</v>
      </c>
      <c r="I1674" t="s">
        <v>116</v>
      </c>
      <c r="J1674" t="s">
        <v>3842</v>
      </c>
      <c r="K1674" s="2">
        <v>1930</v>
      </c>
      <c r="L1674" s="2">
        <v>19303</v>
      </c>
      <c r="M1674" t="str">
        <f>IFERROR(IF(VLOOKUP(LEFT(B1674,2),'Humanitarian codes'!$A$2:$A$10,1,FALSE)=LEFT(B1674,2),"Yes","Error"),"No")</f>
        <v>Yes</v>
      </c>
    </row>
    <row r="1675" spans="1:13" x14ac:dyDescent="0.25">
      <c r="A1675">
        <v>2022</v>
      </c>
      <c r="B1675" t="s">
        <v>2730</v>
      </c>
      <c r="C1675" t="s">
        <v>2731</v>
      </c>
      <c r="D1675" t="s">
        <v>30</v>
      </c>
      <c r="E1675" t="s">
        <v>814</v>
      </c>
      <c r="F1675">
        <v>4500257389</v>
      </c>
      <c r="G1675" t="s">
        <v>5292</v>
      </c>
      <c r="H1675" t="s">
        <v>3334</v>
      </c>
      <c r="I1675" t="s">
        <v>113</v>
      </c>
      <c r="J1675" t="s">
        <v>3842</v>
      </c>
      <c r="K1675" s="2">
        <v>1857</v>
      </c>
      <c r="L1675" s="2">
        <v>18567</v>
      </c>
      <c r="M1675" t="str">
        <f>IFERROR(IF(VLOOKUP(LEFT(B1675,2),'Humanitarian codes'!$A$2:$A$10,1,FALSE)=LEFT(B1675,2),"Yes","Error"),"No")</f>
        <v>Yes</v>
      </c>
    </row>
    <row r="1676" spans="1:13" x14ac:dyDescent="0.25">
      <c r="A1676">
        <v>2022</v>
      </c>
      <c r="B1676" t="s">
        <v>2730</v>
      </c>
      <c r="C1676" t="s">
        <v>2731</v>
      </c>
      <c r="D1676" t="s">
        <v>30</v>
      </c>
      <c r="E1676" t="s">
        <v>814</v>
      </c>
      <c r="F1676">
        <v>4500257393</v>
      </c>
      <c r="G1676" t="s">
        <v>5293</v>
      </c>
      <c r="H1676" t="s">
        <v>3334</v>
      </c>
      <c r="I1676" t="s">
        <v>118</v>
      </c>
      <c r="J1676" t="s">
        <v>3842</v>
      </c>
      <c r="K1676" s="2">
        <v>1841</v>
      </c>
      <c r="L1676" s="2">
        <v>18408</v>
      </c>
      <c r="M1676" t="str">
        <f>IFERROR(IF(VLOOKUP(LEFT(B1676,2),'Humanitarian codes'!$A$2:$A$10,1,FALSE)=LEFT(B1676,2),"Yes","Error"),"No")</f>
        <v>Yes</v>
      </c>
    </row>
    <row r="1677" spans="1:13" x14ac:dyDescent="0.25">
      <c r="A1677">
        <v>2022</v>
      </c>
      <c r="B1677" t="s">
        <v>2730</v>
      </c>
      <c r="C1677" t="s">
        <v>2731</v>
      </c>
      <c r="D1677" t="s">
        <v>30</v>
      </c>
      <c r="E1677" t="s">
        <v>814</v>
      </c>
      <c r="F1677">
        <v>4500257394</v>
      </c>
      <c r="G1677" t="s">
        <v>5294</v>
      </c>
      <c r="H1677" t="s">
        <v>3334</v>
      </c>
      <c r="I1677" t="s">
        <v>115</v>
      </c>
      <c r="J1677" t="s">
        <v>3842</v>
      </c>
      <c r="K1677" s="2">
        <v>3198</v>
      </c>
      <c r="L1677" s="2">
        <v>31981</v>
      </c>
      <c r="M1677" t="str">
        <f>IFERROR(IF(VLOOKUP(LEFT(B1677,2),'Humanitarian codes'!$A$2:$A$10,1,FALSE)=LEFT(B1677,2),"Yes","Error"),"No")</f>
        <v>Yes</v>
      </c>
    </row>
    <row r="1678" spans="1:13" x14ac:dyDescent="0.25">
      <c r="A1678">
        <v>2022</v>
      </c>
      <c r="B1678" t="s">
        <v>2730</v>
      </c>
      <c r="C1678" t="s">
        <v>2731</v>
      </c>
      <c r="D1678" t="s">
        <v>30</v>
      </c>
      <c r="E1678" t="s">
        <v>814</v>
      </c>
      <c r="F1678">
        <v>4500257397</v>
      </c>
      <c r="G1678" t="s">
        <v>5295</v>
      </c>
      <c r="H1678" t="s">
        <v>3334</v>
      </c>
      <c r="I1678" t="s">
        <v>1721</v>
      </c>
      <c r="J1678" t="s">
        <v>3842</v>
      </c>
      <c r="K1678" s="2">
        <v>1540</v>
      </c>
      <c r="L1678" s="2">
        <v>15402</v>
      </c>
      <c r="M1678" t="str">
        <f>IFERROR(IF(VLOOKUP(LEFT(B1678,2),'Humanitarian codes'!$A$2:$A$10,1,FALSE)=LEFT(B1678,2),"Yes","Error"),"No")</f>
        <v>Yes</v>
      </c>
    </row>
    <row r="1679" spans="1:13" x14ac:dyDescent="0.25">
      <c r="A1679">
        <v>2022</v>
      </c>
      <c r="B1679" t="s">
        <v>2730</v>
      </c>
      <c r="C1679" t="s">
        <v>2731</v>
      </c>
      <c r="D1679" t="s">
        <v>30</v>
      </c>
      <c r="E1679" t="s">
        <v>814</v>
      </c>
      <c r="F1679">
        <v>4500257398</v>
      </c>
      <c r="G1679" t="s">
        <v>5296</v>
      </c>
      <c r="H1679" t="s">
        <v>3334</v>
      </c>
      <c r="I1679" t="s">
        <v>112</v>
      </c>
      <c r="J1679" t="s">
        <v>3842</v>
      </c>
      <c r="K1679" s="2">
        <v>2392</v>
      </c>
      <c r="L1679" s="2">
        <v>23920</v>
      </c>
      <c r="M1679" t="str">
        <f>IFERROR(IF(VLOOKUP(LEFT(B1679,2),'Humanitarian codes'!$A$2:$A$10,1,FALSE)=LEFT(B1679,2),"Yes","Error"),"No")</f>
        <v>Yes</v>
      </c>
    </row>
    <row r="1680" spans="1:13" x14ac:dyDescent="0.25">
      <c r="A1680">
        <v>2022</v>
      </c>
      <c r="B1680" t="s">
        <v>2730</v>
      </c>
      <c r="C1680" t="s">
        <v>2731</v>
      </c>
      <c r="D1680" t="s">
        <v>30</v>
      </c>
      <c r="E1680" t="s">
        <v>814</v>
      </c>
      <c r="F1680">
        <v>4500257399</v>
      </c>
      <c r="G1680" t="s">
        <v>5297</v>
      </c>
      <c r="H1680" t="s">
        <v>3334</v>
      </c>
      <c r="I1680" t="s">
        <v>120</v>
      </c>
      <c r="J1680" t="s">
        <v>3842</v>
      </c>
      <c r="K1680" s="2">
        <v>4692</v>
      </c>
      <c r="L1680" s="2">
        <v>46922</v>
      </c>
      <c r="M1680" t="str">
        <f>IFERROR(IF(VLOOKUP(LEFT(B1680,2),'Humanitarian codes'!$A$2:$A$10,1,FALSE)=LEFT(B1680,2),"Yes","Error"),"No")</f>
        <v>Yes</v>
      </c>
    </row>
    <row r="1681" spans="1:13" x14ac:dyDescent="0.25">
      <c r="A1681">
        <v>2022</v>
      </c>
      <c r="B1681" t="s">
        <v>2730</v>
      </c>
      <c r="C1681" t="s">
        <v>2731</v>
      </c>
      <c r="D1681" t="s">
        <v>30</v>
      </c>
      <c r="E1681" t="s">
        <v>814</v>
      </c>
      <c r="F1681">
        <v>4500257401</v>
      </c>
      <c r="G1681" t="s">
        <v>5298</v>
      </c>
      <c r="H1681" t="s">
        <v>3334</v>
      </c>
      <c r="I1681" t="s">
        <v>119</v>
      </c>
      <c r="J1681" t="s">
        <v>3842</v>
      </c>
      <c r="K1681" s="2">
        <v>1930</v>
      </c>
      <c r="L1681" s="2">
        <v>19295</v>
      </c>
      <c r="M1681" t="str">
        <f>IFERROR(IF(VLOOKUP(LEFT(B1681,2),'Humanitarian codes'!$A$2:$A$10,1,FALSE)=LEFT(B1681,2),"Yes","Error"),"No")</f>
        <v>Yes</v>
      </c>
    </row>
    <row r="1682" spans="1:13" x14ac:dyDescent="0.25">
      <c r="A1682">
        <v>2022</v>
      </c>
      <c r="B1682" t="s">
        <v>2730</v>
      </c>
      <c r="C1682" t="s">
        <v>2731</v>
      </c>
      <c r="D1682" t="s">
        <v>30</v>
      </c>
      <c r="E1682" t="s">
        <v>814</v>
      </c>
      <c r="F1682">
        <v>4500257402</v>
      </c>
      <c r="G1682" t="s">
        <v>3915</v>
      </c>
      <c r="H1682" t="s">
        <v>3334</v>
      </c>
      <c r="I1682" t="s">
        <v>115</v>
      </c>
      <c r="J1682" t="s">
        <v>3842</v>
      </c>
      <c r="K1682" s="2">
        <v>1174</v>
      </c>
      <c r="L1682" s="2">
        <v>18715</v>
      </c>
      <c r="M1682" t="str">
        <f>IFERROR(IF(VLOOKUP(LEFT(B1682,2),'Humanitarian codes'!$A$2:$A$10,1,FALSE)=LEFT(B1682,2),"Yes","Error"),"No")</f>
        <v>Yes</v>
      </c>
    </row>
    <row r="1683" spans="1:13" x14ac:dyDescent="0.25">
      <c r="A1683">
        <v>2022</v>
      </c>
      <c r="B1683" t="s">
        <v>2730</v>
      </c>
      <c r="C1683" t="s">
        <v>2731</v>
      </c>
      <c r="D1683" t="s">
        <v>30</v>
      </c>
      <c r="E1683" t="s">
        <v>814</v>
      </c>
      <c r="F1683">
        <v>4500257405</v>
      </c>
      <c r="G1683" t="s">
        <v>5296</v>
      </c>
      <c r="H1683" t="s">
        <v>3334</v>
      </c>
      <c r="I1683" t="s">
        <v>112</v>
      </c>
      <c r="J1683" t="s">
        <v>3842</v>
      </c>
      <c r="K1683" s="2">
        <v>2552</v>
      </c>
      <c r="L1683" s="2">
        <v>25519</v>
      </c>
      <c r="M1683" t="str">
        <f>IFERROR(IF(VLOOKUP(LEFT(B1683,2),'Humanitarian codes'!$A$2:$A$10,1,FALSE)=LEFT(B1683,2),"Yes","Error"),"No")</f>
        <v>Yes</v>
      </c>
    </row>
    <row r="1684" spans="1:13" x14ac:dyDescent="0.25">
      <c r="A1684">
        <v>2022</v>
      </c>
      <c r="B1684" t="s">
        <v>2730</v>
      </c>
      <c r="C1684" t="s">
        <v>2731</v>
      </c>
      <c r="D1684" t="s">
        <v>30</v>
      </c>
      <c r="E1684" t="s">
        <v>814</v>
      </c>
      <c r="F1684">
        <v>4500257407</v>
      </c>
      <c r="G1684" t="s">
        <v>5296</v>
      </c>
      <c r="H1684" t="s">
        <v>3334</v>
      </c>
      <c r="I1684" t="s">
        <v>116</v>
      </c>
      <c r="J1684" t="s">
        <v>3842</v>
      </c>
      <c r="K1684" s="2">
        <v>2022</v>
      </c>
      <c r="L1684" s="2">
        <v>20224</v>
      </c>
      <c r="M1684" t="str">
        <f>IFERROR(IF(VLOOKUP(LEFT(B1684,2),'Humanitarian codes'!$A$2:$A$10,1,FALSE)=LEFT(B1684,2),"Yes","Error"),"No")</f>
        <v>Yes</v>
      </c>
    </row>
    <row r="1685" spans="1:13" x14ac:dyDescent="0.25">
      <c r="A1685">
        <v>2022</v>
      </c>
      <c r="B1685" t="s">
        <v>3284</v>
      </c>
      <c r="C1685" t="s">
        <v>3783</v>
      </c>
      <c r="D1685" t="s">
        <v>30</v>
      </c>
      <c r="E1685" t="s">
        <v>320</v>
      </c>
      <c r="F1685">
        <v>4500181266</v>
      </c>
      <c r="G1685" t="s">
        <v>4746</v>
      </c>
      <c r="H1685" t="s">
        <v>3334</v>
      </c>
      <c r="I1685" t="s">
        <v>4747</v>
      </c>
      <c r="J1685" t="s">
        <v>320</v>
      </c>
      <c r="K1685" s="2">
        <v>29963</v>
      </c>
      <c r="L1685" s="2">
        <v>48250</v>
      </c>
      <c r="M1685" t="str">
        <f>IFERROR(IF(VLOOKUP(LEFT(B1685,2),'Humanitarian codes'!$A$2:$A$10,1,FALSE)=LEFT(B1685,2),"Yes","Error"),"No")</f>
        <v>Yes</v>
      </c>
    </row>
    <row r="1686" spans="1:13" x14ac:dyDescent="0.25">
      <c r="A1686">
        <v>2022</v>
      </c>
      <c r="B1686" t="s">
        <v>3284</v>
      </c>
      <c r="C1686" t="s">
        <v>3783</v>
      </c>
      <c r="D1686" t="s">
        <v>30</v>
      </c>
      <c r="E1686" t="s">
        <v>320</v>
      </c>
      <c r="F1686">
        <v>4500211577</v>
      </c>
      <c r="G1686" t="s">
        <v>6333</v>
      </c>
      <c r="H1686" t="s">
        <v>3334</v>
      </c>
      <c r="I1686" t="s">
        <v>6334</v>
      </c>
      <c r="J1686" t="s">
        <v>320</v>
      </c>
      <c r="K1686" s="2">
        <v>10363</v>
      </c>
      <c r="L1686" s="2">
        <v>10363</v>
      </c>
      <c r="M1686" t="str">
        <f>IFERROR(IF(VLOOKUP(LEFT(B1686,2),'Humanitarian codes'!$A$2:$A$10,1,FALSE)=LEFT(B1686,2),"Yes","Error"),"No")</f>
        <v>Yes</v>
      </c>
    </row>
    <row r="1687" spans="1:13" x14ac:dyDescent="0.25">
      <c r="A1687">
        <v>2022</v>
      </c>
      <c r="B1687" t="s">
        <v>3284</v>
      </c>
      <c r="C1687" t="s">
        <v>3783</v>
      </c>
      <c r="D1687" t="s">
        <v>30</v>
      </c>
      <c r="E1687" t="s">
        <v>320</v>
      </c>
      <c r="F1687">
        <v>4500211620</v>
      </c>
      <c r="G1687" t="s">
        <v>6335</v>
      </c>
      <c r="H1687" t="s">
        <v>3334</v>
      </c>
      <c r="I1687" t="s">
        <v>6334</v>
      </c>
      <c r="J1687" t="s">
        <v>320</v>
      </c>
      <c r="K1687" s="2">
        <v>9900</v>
      </c>
      <c r="L1687" s="2">
        <v>9900</v>
      </c>
      <c r="M1687" t="str">
        <f>IFERROR(IF(VLOOKUP(LEFT(B1687,2),'Humanitarian codes'!$A$2:$A$10,1,FALSE)=LEFT(B1687,2),"Yes","Error"),"No")</f>
        <v>Yes</v>
      </c>
    </row>
    <row r="1688" spans="1:13" x14ac:dyDescent="0.25">
      <c r="A1688">
        <v>2022</v>
      </c>
      <c r="B1688" t="s">
        <v>3284</v>
      </c>
      <c r="C1688" t="s">
        <v>3783</v>
      </c>
      <c r="D1688" t="s">
        <v>30</v>
      </c>
      <c r="E1688" t="s">
        <v>320</v>
      </c>
      <c r="F1688">
        <v>4500235373</v>
      </c>
      <c r="G1688" t="s">
        <v>6336</v>
      </c>
      <c r="H1688" t="s">
        <v>3334</v>
      </c>
      <c r="I1688" t="s">
        <v>851</v>
      </c>
      <c r="J1688" t="s">
        <v>320</v>
      </c>
      <c r="K1688" s="2">
        <v>17920</v>
      </c>
      <c r="L1688" s="2">
        <v>17920</v>
      </c>
      <c r="M1688" t="str">
        <f>IFERROR(IF(VLOOKUP(LEFT(B1688,2),'Humanitarian codes'!$A$2:$A$10,1,FALSE)=LEFT(B1688,2),"Yes","Error"),"No")</f>
        <v>Yes</v>
      </c>
    </row>
    <row r="1689" spans="1:13" x14ac:dyDescent="0.25">
      <c r="A1689">
        <v>2022</v>
      </c>
      <c r="B1689" t="s">
        <v>6337</v>
      </c>
      <c r="C1689" t="s">
        <v>6338</v>
      </c>
      <c r="D1689" t="s">
        <v>30</v>
      </c>
      <c r="E1689" t="s">
        <v>493</v>
      </c>
      <c r="F1689">
        <v>4500190200</v>
      </c>
      <c r="G1689" t="s">
        <v>6339</v>
      </c>
      <c r="H1689" t="s">
        <v>3334</v>
      </c>
      <c r="I1689" t="s">
        <v>6340</v>
      </c>
      <c r="J1689" t="s">
        <v>493</v>
      </c>
      <c r="K1689" s="2">
        <v>389608</v>
      </c>
      <c r="L1689" s="2">
        <v>389608</v>
      </c>
      <c r="M1689" t="str">
        <f>IFERROR(IF(VLOOKUP(LEFT(B1689,2),'Humanitarian codes'!$A$2:$A$10,1,FALSE)=LEFT(B1689,2),"Yes","Error"),"No")</f>
        <v>Yes</v>
      </c>
    </row>
    <row r="1690" spans="1:13" x14ac:dyDescent="0.25">
      <c r="A1690">
        <v>2022</v>
      </c>
      <c r="B1690" t="s">
        <v>6341</v>
      </c>
      <c r="C1690" t="s">
        <v>6342</v>
      </c>
      <c r="D1690" t="s">
        <v>30</v>
      </c>
      <c r="E1690" t="s">
        <v>54</v>
      </c>
      <c r="F1690">
        <v>4500211576</v>
      </c>
      <c r="G1690" t="s">
        <v>4938</v>
      </c>
      <c r="H1690" t="s">
        <v>3334</v>
      </c>
      <c r="I1690" t="s">
        <v>3497</v>
      </c>
      <c r="J1690" t="s">
        <v>54</v>
      </c>
      <c r="K1690">
        <v>968</v>
      </c>
      <c r="L1690" s="2">
        <v>6454</v>
      </c>
      <c r="M1690" t="str">
        <f>IFERROR(IF(VLOOKUP(LEFT(B1690,2),'Humanitarian codes'!$A$2:$A$10,1,FALSE)=LEFT(B1690,2),"Yes","Error"),"No")</f>
        <v>Yes</v>
      </c>
    </row>
    <row r="1691" spans="1:13" x14ac:dyDescent="0.25">
      <c r="A1691">
        <v>2022</v>
      </c>
      <c r="B1691" t="s">
        <v>6341</v>
      </c>
      <c r="C1691" t="s">
        <v>6342</v>
      </c>
      <c r="D1691" t="s">
        <v>30</v>
      </c>
      <c r="E1691" t="s">
        <v>54</v>
      </c>
      <c r="F1691">
        <v>4500214382</v>
      </c>
      <c r="G1691" t="s">
        <v>4939</v>
      </c>
      <c r="H1691" t="s">
        <v>3334</v>
      </c>
      <c r="I1691" t="s">
        <v>3495</v>
      </c>
      <c r="J1691" t="s">
        <v>54</v>
      </c>
      <c r="K1691">
        <v>585</v>
      </c>
      <c r="L1691" s="2">
        <v>3900</v>
      </c>
      <c r="M1691" t="str">
        <f>IFERROR(IF(VLOOKUP(LEFT(B1691,2),'Humanitarian codes'!$A$2:$A$10,1,FALSE)=LEFT(B1691,2),"Yes","Error"),"No")</f>
        <v>Yes</v>
      </c>
    </row>
    <row r="1692" spans="1:13" x14ac:dyDescent="0.25">
      <c r="A1692">
        <v>2022</v>
      </c>
      <c r="B1692" t="s">
        <v>6341</v>
      </c>
      <c r="C1692" t="s">
        <v>6342</v>
      </c>
      <c r="D1692" t="s">
        <v>30</v>
      </c>
      <c r="E1692" t="s">
        <v>54</v>
      </c>
      <c r="F1692">
        <v>4500214394</v>
      </c>
      <c r="G1692" t="s">
        <v>4940</v>
      </c>
      <c r="H1692" t="s">
        <v>3334</v>
      </c>
      <c r="I1692" t="s">
        <v>1248</v>
      </c>
      <c r="J1692" t="s">
        <v>54</v>
      </c>
      <c r="K1692">
        <v>555</v>
      </c>
      <c r="L1692" s="2">
        <v>3702</v>
      </c>
      <c r="M1692" t="str">
        <f>IFERROR(IF(VLOOKUP(LEFT(B1692,2),'Humanitarian codes'!$A$2:$A$10,1,FALSE)=LEFT(B1692,2),"Yes","Error"),"No")</f>
        <v>Yes</v>
      </c>
    </row>
    <row r="1693" spans="1:13" x14ac:dyDescent="0.25">
      <c r="A1693">
        <v>2022</v>
      </c>
      <c r="B1693" t="s">
        <v>6341</v>
      </c>
      <c r="C1693" t="s">
        <v>6342</v>
      </c>
      <c r="D1693" t="s">
        <v>30</v>
      </c>
      <c r="E1693" t="s">
        <v>54</v>
      </c>
      <c r="F1693">
        <v>4500218838</v>
      </c>
      <c r="G1693" t="s">
        <v>4941</v>
      </c>
      <c r="H1693" t="s">
        <v>3334</v>
      </c>
      <c r="I1693" t="s">
        <v>4942</v>
      </c>
      <c r="J1693" t="s">
        <v>54</v>
      </c>
      <c r="K1693" s="2">
        <v>2459</v>
      </c>
      <c r="L1693" s="2">
        <v>9835</v>
      </c>
      <c r="M1693" t="str">
        <f>IFERROR(IF(VLOOKUP(LEFT(B1693,2),'Humanitarian codes'!$A$2:$A$10,1,FALSE)=LEFT(B1693,2),"Yes","Error"),"No")</f>
        <v>Yes</v>
      </c>
    </row>
    <row r="1694" spans="1:13" x14ac:dyDescent="0.25">
      <c r="A1694">
        <v>2022</v>
      </c>
      <c r="B1694" t="s">
        <v>6341</v>
      </c>
      <c r="C1694" t="s">
        <v>6342</v>
      </c>
      <c r="D1694" t="s">
        <v>30</v>
      </c>
      <c r="E1694" t="s">
        <v>54</v>
      </c>
      <c r="F1694">
        <v>4500221500</v>
      </c>
      <c r="G1694" t="s">
        <v>4959</v>
      </c>
      <c r="H1694" t="s">
        <v>3334</v>
      </c>
      <c r="I1694" t="s">
        <v>3790</v>
      </c>
      <c r="J1694" t="s">
        <v>54</v>
      </c>
      <c r="K1694" s="2">
        <v>5461</v>
      </c>
      <c r="L1694" s="2">
        <v>36404</v>
      </c>
      <c r="M1694" t="str">
        <f>IFERROR(IF(VLOOKUP(LEFT(B1694,2),'Humanitarian codes'!$A$2:$A$10,1,FALSE)=LEFT(B1694,2),"Yes","Error"),"No")</f>
        <v>Yes</v>
      </c>
    </row>
    <row r="1695" spans="1:13" x14ac:dyDescent="0.25">
      <c r="A1695">
        <v>2022</v>
      </c>
      <c r="B1695" t="s">
        <v>6341</v>
      </c>
      <c r="C1695" t="s">
        <v>6342</v>
      </c>
      <c r="D1695" t="s">
        <v>30</v>
      </c>
      <c r="E1695" t="s">
        <v>54</v>
      </c>
      <c r="F1695">
        <v>4500222876</v>
      </c>
      <c r="G1695" t="s">
        <v>4960</v>
      </c>
      <c r="H1695" t="s">
        <v>3334</v>
      </c>
      <c r="I1695" t="s">
        <v>4961</v>
      </c>
      <c r="J1695" t="s">
        <v>54</v>
      </c>
      <c r="K1695">
        <v>410</v>
      </c>
      <c r="L1695" s="2">
        <v>2734</v>
      </c>
      <c r="M1695" t="str">
        <f>IFERROR(IF(VLOOKUP(LEFT(B1695,2),'Humanitarian codes'!$A$2:$A$10,1,FALSE)=LEFT(B1695,2),"Yes","Error"),"No")</f>
        <v>Yes</v>
      </c>
    </row>
    <row r="1696" spans="1:13" x14ac:dyDescent="0.25">
      <c r="A1696">
        <v>2022</v>
      </c>
      <c r="B1696" t="s">
        <v>6341</v>
      </c>
      <c r="C1696" t="s">
        <v>6342</v>
      </c>
      <c r="D1696" t="s">
        <v>30</v>
      </c>
      <c r="E1696" t="s">
        <v>54</v>
      </c>
      <c r="F1696">
        <v>4500227752</v>
      </c>
      <c r="G1696" t="s">
        <v>4962</v>
      </c>
      <c r="H1696" t="s">
        <v>3334</v>
      </c>
      <c r="I1696" t="s">
        <v>3497</v>
      </c>
      <c r="J1696" t="s">
        <v>54</v>
      </c>
      <c r="K1696" s="2">
        <v>6670</v>
      </c>
      <c r="L1696" s="2">
        <v>13340</v>
      </c>
      <c r="M1696" t="str">
        <f>IFERROR(IF(VLOOKUP(LEFT(B1696,2),'Humanitarian codes'!$A$2:$A$10,1,FALSE)=LEFT(B1696,2),"Yes","Error"),"No")</f>
        <v>Yes</v>
      </c>
    </row>
    <row r="1697" spans="1:13" x14ac:dyDescent="0.25">
      <c r="A1697">
        <v>2022</v>
      </c>
      <c r="B1697" t="s">
        <v>6341</v>
      </c>
      <c r="C1697" t="s">
        <v>6342</v>
      </c>
      <c r="D1697" t="s">
        <v>30</v>
      </c>
      <c r="E1697" t="s">
        <v>54</v>
      </c>
      <c r="F1697">
        <v>4500235778</v>
      </c>
      <c r="G1697" t="s">
        <v>4947</v>
      </c>
      <c r="H1697" t="s">
        <v>3334</v>
      </c>
      <c r="I1697" t="s">
        <v>4948</v>
      </c>
      <c r="J1697" t="s">
        <v>54</v>
      </c>
      <c r="K1697" s="2">
        <v>5445</v>
      </c>
      <c r="L1697" s="2">
        <v>21778</v>
      </c>
      <c r="M1697" t="str">
        <f>IFERROR(IF(VLOOKUP(LEFT(B1697,2),'Humanitarian codes'!$A$2:$A$10,1,FALSE)=LEFT(B1697,2),"Yes","Error"),"No")</f>
        <v>Yes</v>
      </c>
    </row>
    <row r="1698" spans="1:13" x14ac:dyDescent="0.25">
      <c r="A1698">
        <v>2022</v>
      </c>
      <c r="B1698" t="s">
        <v>6341</v>
      </c>
      <c r="C1698" t="s">
        <v>6342</v>
      </c>
      <c r="D1698" t="s">
        <v>30</v>
      </c>
      <c r="E1698" t="s">
        <v>54</v>
      </c>
      <c r="F1698">
        <v>4500238402</v>
      </c>
      <c r="G1698" t="s">
        <v>4963</v>
      </c>
      <c r="H1698" t="s">
        <v>3334</v>
      </c>
      <c r="I1698" t="s">
        <v>1728</v>
      </c>
      <c r="J1698" t="s">
        <v>54</v>
      </c>
      <c r="K1698">
        <v>893</v>
      </c>
      <c r="L1698" s="2">
        <v>5952</v>
      </c>
      <c r="M1698" t="str">
        <f>IFERROR(IF(VLOOKUP(LEFT(B1698,2),'Humanitarian codes'!$A$2:$A$10,1,FALSE)=LEFT(B1698,2),"Yes","Error"),"No")</f>
        <v>Yes</v>
      </c>
    </row>
    <row r="1699" spans="1:13" x14ac:dyDescent="0.25">
      <c r="A1699">
        <v>2022</v>
      </c>
      <c r="B1699" t="s">
        <v>6343</v>
      </c>
      <c r="C1699" t="s">
        <v>6344</v>
      </c>
      <c r="D1699" t="s">
        <v>30</v>
      </c>
      <c r="E1699" t="s">
        <v>717</v>
      </c>
      <c r="F1699">
        <v>4500219556</v>
      </c>
      <c r="G1699" t="s">
        <v>6345</v>
      </c>
      <c r="H1699" t="s">
        <v>3334</v>
      </c>
      <c r="I1699" t="s">
        <v>3235</v>
      </c>
      <c r="J1699" t="s">
        <v>717</v>
      </c>
      <c r="K1699" s="2">
        <v>30000</v>
      </c>
      <c r="L1699" s="2">
        <v>30000</v>
      </c>
      <c r="M1699" t="str">
        <f>IFERROR(IF(VLOOKUP(LEFT(B1699,2),'Humanitarian codes'!$A$2:$A$10,1,FALSE)=LEFT(B1699,2),"Yes","Error"),"No")</f>
        <v>Yes</v>
      </c>
    </row>
    <row r="1700" spans="1:13" x14ac:dyDescent="0.25">
      <c r="A1700">
        <v>2022</v>
      </c>
      <c r="B1700" t="s">
        <v>6346</v>
      </c>
      <c r="C1700" t="s">
        <v>6347</v>
      </c>
      <c r="D1700" t="s">
        <v>30</v>
      </c>
      <c r="E1700" t="s">
        <v>992</v>
      </c>
      <c r="F1700">
        <v>4500209050</v>
      </c>
      <c r="G1700" t="s">
        <v>3935</v>
      </c>
      <c r="H1700" t="s">
        <v>3334</v>
      </c>
      <c r="I1700" t="s">
        <v>2423</v>
      </c>
      <c r="J1700" t="s">
        <v>992</v>
      </c>
      <c r="K1700" s="2">
        <v>360495</v>
      </c>
      <c r="L1700" s="2">
        <v>360495</v>
      </c>
      <c r="M1700" t="str">
        <f>IFERROR(IF(VLOOKUP(LEFT(B1700,2),'Humanitarian codes'!$A$2:$A$10,1,FALSE)=LEFT(B1700,2),"Yes","Error"),"No")</f>
        <v>Yes</v>
      </c>
    </row>
    <row r="1701" spans="1:13" x14ac:dyDescent="0.25">
      <c r="A1701">
        <v>2022</v>
      </c>
      <c r="B1701" t="s">
        <v>6348</v>
      </c>
      <c r="C1701" t="s">
        <v>6349</v>
      </c>
      <c r="D1701" t="s">
        <v>30</v>
      </c>
      <c r="E1701" t="s">
        <v>303</v>
      </c>
      <c r="F1701">
        <v>4500221528</v>
      </c>
      <c r="G1701" t="s">
        <v>4969</v>
      </c>
      <c r="H1701" t="s">
        <v>3334</v>
      </c>
      <c r="I1701" t="s">
        <v>869</v>
      </c>
      <c r="J1701" t="s">
        <v>303</v>
      </c>
      <c r="K1701" s="2">
        <v>54395</v>
      </c>
      <c r="L1701" s="2">
        <v>453294</v>
      </c>
      <c r="M1701" t="str">
        <f>IFERROR(IF(VLOOKUP(LEFT(B1701,2),'Humanitarian codes'!$A$2:$A$10,1,FALSE)=LEFT(B1701,2),"Yes","Error"),"No")</f>
        <v>Yes</v>
      </c>
    </row>
    <row r="1702" spans="1:13" x14ac:dyDescent="0.25">
      <c r="A1702">
        <v>2022</v>
      </c>
      <c r="B1702" t="s">
        <v>6348</v>
      </c>
      <c r="C1702" t="s">
        <v>6349</v>
      </c>
      <c r="D1702" t="s">
        <v>30</v>
      </c>
      <c r="E1702" t="s">
        <v>305</v>
      </c>
      <c r="F1702">
        <v>4500238822</v>
      </c>
      <c r="G1702" t="s">
        <v>5148</v>
      </c>
      <c r="H1702" t="s">
        <v>3334</v>
      </c>
      <c r="I1702" t="s">
        <v>905</v>
      </c>
      <c r="J1702" t="s">
        <v>305</v>
      </c>
      <c r="K1702" s="2">
        <v>55951</v>
      </c>
      <c r="L1702" s="2">
        <v>1193885</v>
      </c>
      <c r="M1702" t="str">
        <f>IFERROR(IF(VLOOKUP(LEFT(B1702,2),'Humanitarian codes'!$A$2:$A$10,1,FALSE)=LEFT(B1702,2),"Yes","Error"),"No")</f>
        <v>Yes</v>
      </c>
    </row>
    <row r="1703" spans="1:13" x14ac:dyDescent="0.25">
      <c r="A1703">
        <v>2022</v>
      </c>
      <c r="B1703" t="s">
        <v>6348</v>
      </c>
      <c r="C1703" t="s">
        <v>6349</v>
      </c>
      <c r="D1703" t="s">
        <v>30</v>
      </c>
      <c r="E1703" t="s">
        <v>305</v>
      </c>
      <c r="F1703">
        <v>4500243531</v>
      </c>
      <c r="G1703" t="s">
        <v>6350</v>
      </c>
      <c r="H1703" t="s">
        <v>3334</v>
      </c>
      <c r="I1703" t="s">
        <v>6351</v>
      </c>
      <c r="J1703" t="s">
        <v>305</v>
      </c>
      <c r="K1703" s="2">
        <v>48907</v>
      </c>
      <c r="L1703" s="2">
        <v>48907</v>
      </c>
      <c r="M1703" t="str">
        <f>IFERROR(IF(VLOOKUP(LEFT(B1703,2),'Humanitarian codes'!$A$2:$A$10,1,FALSE)=LEFT(B1703,2),"Yes","Error"),"No")</f>
        <v>Yes</v>
      </c>
    </row>
    <row r="1704" spans="1:13" x14ac:dyDescent="0.25">
      <c r="A1704">
        <v>2022</v>
      </c>
      <c r="B1704" t="s">
        <v>6348</v>
      </c>
      <c r="C1704" t="s">
        <v>6349</v>
      </c>
      <c r="D1704" t="s">
        <v>30</v>
      </c>
      <c r="E1704" t="s">
        <v>911</v>
      </c>
      <c r="F1704">
        <v>4500245855</v>
      </c>
      <c r="G1704" t="s">
        <v>5002</v>
      </c>
      <c r="H1704" t="s">
        <v>3334</v>
      </c>
      <c r="I1704" t="s">
        <v>3491</v>
      </c>
      <c r="J1704" t="s">
        <v>911</v>
      </c>
      <c r="K1704" s="2">
        <v>45298</v>
      </c>
      <c r="L1704" s="2">
        <v>120240</v>
      </c>
      <c r="M1704" t="str">
        <f>IFERROR(IF(VLOOKUP(LEFT(B1704,2),'Humanitarian codes'!$A$2:$A$10,1,FALSE)=LEFT(B1704,2),"Yes","Error"),"No")</f>
        <v>Yes</v>
      </c>
    </row>
    <row r="1705" spans="1:13" x14ac:dyDescent="0.25">
      <c r="A1705">
        <v>2022</v>
      </c>
      <c r="B1705" t="s">
        <v>6348</v>
      </c>
      <c r="C1705" t="s">
        <v>6349</v>
      </c>
      <c r="D1705" t="s">
        <v>30</v>
      </c>
      <c r="E1705" t="s">
        <v>54</v>
      </c>
      <c r="F1705">
        <v>4500220202</v>
      </c>
      <c r="G1705" t="s">
        <v>6352</v>
      </c>
      <c r="H1705" t="s">
        <v>3334</v>
      </c>
      <c r="I1705" t="s">
        <v>3790</v>
      </c>
      <c r="J1705" t="s">
        <v>54</v>
      </c>
      <c r="K1705" s="2">
        <v>5025</v>
      </c>
      <c r="L1705" s="2">
        <v>5025</v>
      </c>
      <c r="M1705" t="str">
        <f>IFERROR(IF(VLOOKUP(LEFT(B1705,2),'Humanitarian codes'!$A$2:$A$10,1,FALSE)=LEFT(B1705,2),"Yes","Error"),"No")</f>
        <v>Yes</v>
      </c>
    </row>
    <row r="1706" spans="1:13" x14ac:dyDescent="0.25">
      <c r="A1706">
        <v>2022</v>
      </c>
      <c r="B1706" t="s">
        <v>6348</v>
      </c>
      <c r="C1706" t="s">
        <v>6349</v>
      </c>
      <c r="D1706" t="s">
        <v>30</v>
      </c>
      <c r="E1706" t="s">
        <v>54</v>
      </c>
      <c r="F1706">
        <v>4500223321</v>
      </c>
      <c r="G1706" t="s">
        <v>5003</v>
      </c>
      <c r="H1706" t="s">
        <v>3334</v>
      </c>
      <c r="I1706" t="s">
        <v>1405</v>
      </c>
      <c r="J1706" t="s">
        <v>972</v>
      </c>
      <c r="K1706" s="2">
        <v>1500900</v>
      </c>
      <c r="L1706" s="2">
        <v>2501286</v>
      </c>
      <c r="M1706" t="str">
        <f>IFERROR(IF(VLOOKUP(LEFT(B1706,2),'Humanitarian codes'!$A$2:$A$10,1,FALSE)=LEFT(B1706,2),"Yes","Error"),"No")</f>
        <v>Yes</v>
      </c>
    </row>
    <row r="1707" spans="1:13" x14ac:dyDescent="0.25">
      <c r="A1707">
        <v>2022</v>
      </c>
      <c r="B1707" t="s">
        <v>6348</v>
      </c>
      <c r="C1707" t="s">
        <v>6349</v>
      </c>
      <c r="D1707" t="s">
        <v>30</v>
      </c>
      <c r="E1707" t="s">
        <v>54</v>
      </c>
      <c r="F1707">
        <v>4500226765</v>
      </c>
      <c r="G1707" t="s">
        <v>6353</v>
      </c>
      <c r="H1707" t="s">
        <v>3334</v>
      </c>
      <c r="I1707" t="s">
        <v>3790</v>
      </c>
      <c r="J1707" t="s">
        <v>54</v>
      </c>
      <c r="K1707" s="2">
        <v>31650</v>
      </c>
      <c r="L1707" s="2">
        <v>31650</v>
      </c>
      <c r="M1707" t="str">
        <f>IFERROR(IF(VLOOKUP(LEFT(B1707,2),'Humanitarian codes'!$A$2:$A$10,1,FALSE)=LEFT(B1707,2),"Yes","Error"),"No")</f>
        <v>Yes</v>
      </c>
    </row>
    <row r="1708" spans="1:13" x14ac:dyDescent="0.25">
      <c r="A1708">
        <v>2022</v>
      </c>
      <c r="B1708" t="s">
        <v>6348</v>
      </c>
      <c r="C1708" t="s">
        <v>6349</v>
      </c>
      <c r="D1708" t="s">
        <v>30</v>
      </c>
      <c r="E1708" t="s">
        <v>54</v>
      </c>
      <c r="F1708">
        <v>4500235815</v>
      </c>
      <c r="G1708" t="s">
        <v>6354</v>
      </c>
      <c r="H1708" t="s">
        <v>3334</v>
      </c>
      <c r="I1708" t="s">
        <v>5010</v>
      </c>
      <c r="J1708" t="s">
        <v>54</v>
      </c>
      <c r="K1708" s="2">
        <v>4400</v>
      </c>
      <c r="L1708" s="2">
        <v>4400</v>
      </c>
      <c r="M1708" t="str">
        <f>IFERROR(IF(VLOOKUP(LEFT(B1708,2),'Humanitarian codes'!$A$2:$A$10,1,FALSE)=LEFT(B1708,2),"Yes","Error"),"No")</f>
        <v>Yes</v>
      </c>
    </row>
    <row r="1709" spans="1:13" x14ac:dyDescent="0.25">
      <c r="A1709">
        <v>2022</v>
      </c>
      <c r="B1709" t="s">
        <v>2736</v>
      </c>
      <c r="C1709" t="s">
        <v>2737</v>
      </c>
      <c r="D1709" t="s">
        <v>30</v>
      </c>
      <c r="E1709" t="s">
        <v>54</v>
      </c>
      <c r="F1709">
        <v>4500210822</v>
      </c>
      <c r="G1709" t="s">
        <v>6355</v>
      </c>
      <c r="H1709" t="s">
        <v>3334</v>
      </c>
      <c r="I1709" t="s">
        <v>277</v>
      </c>
      <c r="J1709" t="s">
        <v>54</v>
      </c>
      <c r="K1709" s="2">
        <v>2950</v>
      </c>
      <c r="L1709" s="2">
        <v>2950</v>
      </c>
      <c r="M1709" t="str">
        <f>IFERROR(IF(VLOOKUP(LEFT(B1709,2),'Humanitarian codes'!$A$2:$A$10,1,FALSE)=LEFT(B1709,2),"Yes","Error"),"No")</f>
        <v>Yes</v>
      </c>
    </row>
    <row r="1710" spans="1:13" x14ac:dyDescent="0.25">
      <c r="A1710">
        <v>2022</v>
      </c>
      <c r="B1710" t="s">
        <v>2736</v>
      </c>
      <c r="C1710" t="s">
        <v>2737</v>
      </c>
      <c r="D1710" t="s">
        <v>30</v>
      </c>
      <c r="E1710" t="s">
        <v>54</v>
      </c>
      <c r="F1710">
        <v>4500211576</v>
      </c>
      <c r="G1710" t="s">
        <v>4938</v>
      </c>
      <c r="H1710" t="s">
        <v>3334</v>
      </c>
      <c r="I1710" t="s">
        <v>3497</v>
      </c>
      <c r="J1710" t="s">
        <v>54</v>
      </c>
      <c r="K1710">
        <v>645</v>
      </c>
      <c r="L1710" s="2">
        <v>6454</v>
      </c>
      <c r="M1710" t="str">
        <f>IFERROR(IF(VLOOKUP(LEFT(B1710,2),'Humanitarian codes'!$A$2:$A$10,1,FALSE)=LEFT(B1710,2),"Yes","Error"),"No")</f>
        <v>Yes</v>
      </c>
    </row>
    <row r="1711" spans="1:13" x14ac:dyDescent="0.25">
      <c r="A1711">
        <v>2022</v>
      </c>
      <c r="B1711" t="s">
        <v>2736</v>
      </c>
      <c r="C1711" t="s">
        <v>2737</v>
      </c>
      <c r="D1711" t="s">
        <v>30</v>
      </c>
      <c r="E1711" t="s">
        <v>54</v>
      </c>
      <c r="F1711">
        <v>4500214382</v>
      </c>
      <c r="G1711" t="s">
        <v>4939</v>
      </c>
      <c r="H1711" t="s">
        <v>3334</v>
      </c>
      <c r="I1711" t="s">
        <v>3495</v>
      </c>
      <c r="J1711" t="s">
        <v>54</v>
      </c>
      <c r="K1711">
        <v>390</v>
      </c>
      <c r="L1711" s="2">
        <v>3900</v>
      </c>
      <c r="M1711" t="str">
        <f>IFERROR(IF(VLOOKUP(LEFT(B1711,2),'Humanitarian codes'!$A$2:$A$10,1,FALSE)=LEFT(B1711,2),"Yes","Error"),"No")</f>
        <v>Yes</v>
      </c>
    </row>
    <row r="1712" spans="1:13" x14ac:dyDescent="0.25">
      <c r="A1712">
        <v>2022</v>
      </c>
      <c r="B1712" t="s">
        <v>2736</v>
      </c>
      <c r="C1712" t="s">
        <v>2737</v>
      </c>
      <c r="D1712" t="s">
        <v>30</v>
      </c>
      <c r="E1712" t="s">
        <v>54</v>
      </c>
      <c r="F1712">
        <v>4500214394</v>
      </c>
      <c r="G1712" t="s">
        <v>4940</v>
      </c>
      <c r="H1712" t="s">
        <v>3334</v>
      </c>
      <c r="I1712" t="s">
        <v>1248</v>
      </c>
      <c r="J1712" t="s">
        <v>54</v>
      </c>
      <c r="K1712">
        <v>370</v>
      </c>
      <c r="L1712" s="2">
        <v>3702</v>
      </c>
      <c r="M1712" t="str">
        <f>IFERROR(IF(VLOOKUP(LEFT(B1712,2),'Humanitarian codes'!$A$2:$A$10,1,FALSE)=LEFT(B1712,2),"Yes","Error"),"No")</f>
        <v>Yes</v>
      </c>
    </row>
    <row r="1713" spans="1:13" x14ac:dyDescent="0.25">
      <c r="A1713">
        <v>2022</v>
      </c>
      <c r="B1713" t="s">
        <v>2736</v>
      </c>
      <c r="C1713" t="s">
        <v>2737</v>
      </c>
      <c r="D1713" t="s">
        <v>30</v>
      </c>
      <c r="E1713" t="s">
        <v>54</v>
      </c>
      <c r="F1713">
        <v>4500221488</v>
      </c>
      <c r="G1713" t="s">
        <v>4957</v>
      </c>
      <c r="H1713" t="s">
        <v>3334</v>
      </c>
      <c r="I1713" t="s">
        <v>4958</v>
      </c>
      <c r="J1713" t="s">
        <v>54</v>
      </c>
      <c r="K1713">
        <v>501</v>
      </c>
      <c r="L1713" s="2">
        <v>2003</v>
      </c>
      <c r="M1713" t="str">
        <f>IFERROR(IF(VLOOKUP(LEFT(B1713,2),'Humanitarian codes'!$A$2:$A$10,1,FALSE)=LEFT(B1713,2),"Yes","Error"),"No")</f>
        <v>Yes</v>
      </c>
    </row>
    <row r="1714" spans="1:13" x14ac:dyDescent="0.25">
      <c r="A1714">
        <v>2022</v>
      </c>
      <c r="B1714" t="s">
        <v>2736</v>
      </c>
      <c r="C1714" t="s">
        <v>2737</v>
      </c>
      <c r="D1714" t="s">
        <v>30</v>
      </c>
      <c r="E1714" t="s">
        <v>54</v>
      </c>
      <c r="F1714">
        <v>4500221500</v>
      </c>
      <c r="G1714" t="s">
        <v>4959</v>
      </c>
      <c r="H1714" t="s">
        <v>3334</v>
      </c>
      <c r="I1714" t="s">
        <v>3790</v>
      </c>
      <c r="J1714" t="s">
        <v>54</v>
      </c>
      <c r="K1714" s="2">
        <v>3640</v>
      </c>
      <c r="L1714" s="2">
        <v>36404</v>
      </c>
      <c r="M1714" t="str">
        <f>IFERROR(IF(VLOOKUP(LEFT(B1714,2),'Humanitarian codes'!$A$2:$A$10,1,FALSE)=LEFT(B1714,2),"Yes","Error"),"No")</f>
        <v>Yes</v>
      </c>
    </row>
    <row r="1715" spans="1:13" x14ac:dyDescent="0.25">
      <c r="A1715">
        <v>2022</v>
      </c>
      <c r="B1715" t="s">
        <v>2736</v>
      </c>
      <c r="C1715" t="s">
        <v>2737</v>
      </c>
      <c r="D1715" t="s">
        <v>30</v>
      </c>
      <c r="E1715" t="s">
        <v>54</v>
      </c>
      <c r="F1715">
        <v>4500222876</v>
      </c>
      <c r="G1715" t="s">
        <v>4960</v>
      </c>
      <c r="H1715" t="s">
        <v>3334</v>
      </c>
      <c r="I1715" t="s">
        <v>4961</v>
      </c>
      <c r="J1715" t="s">
        <v>54</v>
      </c>
      <c r="K1715">
        <v>273</v>
      </c>
      <c r="L1715" s="2">
        <v>2734</v>
      </c>
      <c r="M1715" t="str">
        <f>IFERROR(IF(VLOOKUP(LEFT(B1715,2),'Humanitarian codes'!$A$2:$A$10,1,FALSE)=LEFT(B1715,2),"Yes","Error"),"No")</f>
        <v>Yes</v>
      </c>
    </row>
    <row r="1716" spans="1:13" x14ac:dyDescent="0.25">
      <c r="A1716">
        <v>2022</v>
      </c>
      <c r="B1716" t="s">
        <v>2736</v>
      </c>
      <c r="C1716" t="s">
        <v>2737</v>
      </c>
      <c r="D1716" t="s">
        <v>30</v>
      </c>
      <c r="E1716" t="s">
        <v>54</v>
      </c>
      <c r="F1716">
        <v>4500238402</v>
      </c>
      <c r="G1716" t="s">
        <v>4963</v>
      </c>
      <c r="H1716" t="s">
        <v>3334</v>
      </c>
      <c r="I1716" t="s">
        <v>1728</v>
      </c>
      <c r="J1716" t="s">
        <v>54</v>
      </c>
      <c r="K1716">
        <v>595</v>
      </c>
      <c r="L1716" s="2">
        <v>5952</v>
      </c>
      <c r="M1716" t="str">
        <f>IFERROR(IF(VLOOKUP(LEFT(B1716,2),'Humanitarian codes'!$A$2:$A$10,1,FALSE)=LEFT(B1716,2),"Yes","Error"),"No")</f>
        <v>Yes</v>
      </c>
    </row>
    <row r="1717" spans="1:13" x14ac:dyDescent="0.25">
      <c r="A1717">
        <v>2022</v>
      </c>
      <c r="B1717" t="s">
        <v>2736</v>
      </c>
      <c r="C1717" t="s">
        <v>2737</v>
      </c>
      <c r="D1717" t="s">
        <v>30</v>
      </c>
      <c r="E1717" t="s">
        <v>54</v>
      </c>
      <c r="F1717">
        <v>4500247012</v>
      </c>
      <c r="G1717" t="s">
        <v>6356</v>
      </c>
      <c r="H1717" t="s">
        <v>3334</v>
      </c>
      <c r="I1717" t="s">
        <v>2878</v>
      </c>
      <c r="J1717" t="s">
        <v>54</v>
      </c>
      <c r="K1717" s="2">
        <v>167095</v>
      </c>
      <c r="L1717" s="2">
        <v>167095</v>
      </c>
      <c r="M1717" t="str">
        <f>IFERROR(IF(VLOOKUP(LEFT(B1717,2),'Humanitarian codes'!$A$2:$A$10,1,FALSE)=LEFT(B1717,2),"Yes","Error"),"No")</f>
        <v>Yes</v>
      </c>
    </row>
    <row r="1718" spans="1:13" x14ac:dyDescent="0.25">
      <c r="A1718">
        <v>2022</v>
      </c>
      <c r="B1718" t="s">
        <v>2736</v>
      </c>
      <c r="C1718" t="s">
        <v>2737</v>
      </c>
      <c r="D1718" t="s">
        <v>30</v>
      </c>
      <c r="E1718" t="s">
        <v>54</v>
      </c>
      <c r="F1718">
        <v>4500247935</v>
      </c>
      <c r="G1718" t="s">
        <v>5327</v>
      </c>
      <c r="H1718" t="s">
        <v>3334</v>
      </c>
      <c r="I1718" t="s">
        <v>5328</v>
      </c>
      <c r="J1718" t="s">
        <v>54</v>
      </c>
      <c r="K1718" s="2">
        <v>14273</v>
      </c>
      <c r="L1718" s="2">
        <v>17406</v>
      </c>
      <c r="M1718" t="str">
        <f>IFERROR(IF(VLOOKUP(LEFT(B1718,2),'Humanitarian codes'!$A$2:$A$10,1,FALSE)=LEFT(B1718,2),"Yes","Error"),"No")</f>
        <v>Yes</v>
      </c>
    </row>
    <row r="1719" spans="1:13" x14ac:dyDescent="0.25">
      <c r="A1719">
        <v>2022</v>
      </c>
      <c r="B1719" t="s">
        <v>2736</v>
      </c>
      <c r="C1719" t="s">
        <v>2737</v>
      </c>
      <c r="D1719" t="s">
        <v>30</v>
      </c>
      <c r="E1719" t="s">
        <v>54</v>
      </c>
      <c r="F1719">
        <v>4500249545</v>
      </c>
      <c r="G1719" t="s">
        <v>5331</v>
      </c>
      <c r="H1719" t="s">
        <v>3334</v>
      </c>
      <c r="I1719" t="s">
        <v>3790</v>
      </c>
      <c r="J1719" t="s">
        <v>54</v>
      </c>
      <c r="K1719" s="2">
        <v>45486</v>
      </c>
      <c r="L1719" s="2">
        <v>140541</v>
      </c>
      <c r="M1719" t="str">
        <f>IFERROR(IF(VLOOKUP(LEFT(B1719,2),'Humanitarian codes'!$A$2:$A$10,1,FALSE)=LEFT(B1719,2),"Yes","Error"),"No")</f>
        <v>Yes</v>
      </c>
    </row>
    <row r="1720" spans="1:13" x14ac:dyDescent="0.25">
      <c r="A1720">
        <v>2022</v>
      </c>
      <c r="B1720" t="s">
        <v>2736</v>
      </c>
      <c r="C1720" t="s">
        <v>2737</v>
      </c>
      <c r="D1720" t="s">
        <v>30</v>
      </c>
      <c r="E1720" t="s">
        <v>54</v>
      </c>
      <c r="F1720">
        <v>4500250066</v>
      </c>
      <c r="G1720" t="s">
        <v>6357</v>
      </c>
      <c r="H1720" t="s">
        <v>3334</v>
      </c>
      <c r="I1720" t="s">
        <v>6358</v>
      </c>
      <c r="J1720" t="s">
        <v>54</v>
      </c>
      <c r="K1720" s="2">
        <v>150000</v>
      </c>
      <c r="L1720" s="2">
        <v>150000</v>
      </c>
      <c r="M1720" t="str">
        <f>IFERROR(IF(VLOOKUP(LEFT(B1720,2),'Humanitarian codes'!$A$2:$A$10,1,FALSE)=LEFT(B1720,2),"Yes","Error"),"No")</f>
        <v>Yes</v>
      </c>
    </row>
    <row r="1721" spans="1:13" x14ac:dyDescent="0.25">
      <c r="A1721">
        <v>2022</v>
      </c>
      <c r="B1721" t="s">
        <v>2736</v>
      </c>
      <c r="C1721" t="s">
        <v>2737</v>
      </c>
      <c r="D1721" t="s">
        <v>30</v>
      </c>
      <c r="E1721" t="s">
        <v>54</v>
      </c>
      <c r="F1721">
        <v>4500250875</v>
      </c>
      <c r="G1721" t="s">
        <v>3938</v>
      </c>
      <c r="H1721" t="s">
        <v>3334</v>
      </c>
      <c r="I1721" t="s">
        <v>277</v>
      </c>
      <c r="J1721" t="s">
        <v>54</v>
      </c>
      <c r="K1721" s="2">
        <v>5100</v>
      </c>
      <c r="L1721" s="2">
        <v>5100</v>
      </c>
      <c r="M1721" t="str">
        <f>IFERROR(IF(VLOOKUP(LEFT(B1721,2),'Humanitarian codes'!$A$2:$A$10,1,FALSE)=LEFT(B1721,2),"Yes","Error"),"No")</f>
        <v>Yes</v>
      </c>
    </row>
    <row r="1722" spans="1:13" x14ac:dyDescent="0.25">
      <c r="A1722">
        <v>2022</v>
      </c>
      <c r="B1722" t="s">
        <v>2736</v>
      </c>
      <c r="C1722" t="s">
        <v>2737</v>
      </c>
      <c r="D1722" t="s">
        <v>30</v>
      </c>
      <c r="E1722" t="s">
        <v>54</v>
      </c>
      <c r="F1722">
        <v>4500250884</v>
      </c>
      <c r="G1722" t="s">
        <v>6359</v>
      </c>
      <c r="H1722" t="s">
        <v>3334</v>
      </c>
      <c r="I1722" t="s">
        <v>3495</v>
      </c>
      <c r="J1722" t="s">
        <v>54</v>
      </c>
      <c r="K1722" s="2">
        <v>8748</v>
      </c>
      <c r="L1722" s="2">
        <v>8748</v>
      </c>
      <c r="M1722" t="str">
        <f>IFERROR(IF(VLOOKUP(LEFT(B1722,2),'Humanitarian codes'!$A$2:$A$10,1,FALSE)=LEFT(B1722,2),"Yes","Error"),"No")</f>
        <v>Yes</v>
      </c>
    </row>
    <row r="1723" spans="1:13" x14ac:dyDescent="0.25">
      <c r="A1723">
        <v>2022</v>
      </c>
      <c r="B1723" t="s">
        <v>2736</v>
      </c>
      <c r="C1723" t="s">
        <v>2737</v>
      </c>
      <c r="D1723" t="s">
        <v>30</v>
      </c>
      <c r="E1723" t="s">
        <v>54</v>
      </c>
      <c r="F1723">
        <v>4500274173</v>
      </c>
      <c r="G1723" t="s">
        <v>6154</v>
      </c>
      <c r="H1723" t="s">
        <v>3334</v>
      </c>
      <c r="I1723" t="s">
        <v>790</v>
      </c>
      <c r="J1723" t="s">
        <v>54</v>
      </c>
      <c r="K1723" s="2">
        <v>199941</v>
      </c>
      <c r="L1723" s="2">
        <v>333235</v>
      </c>
      <c r="M1723" t="str">
        <f>IFERROR(IF(VLOOKUP(LEFT(B1723,2),'Humanitarian codes'!$A$2:$A$10,1,FALSE)=LEFT(B1723,2),"Yes","Error"),"No")</f>
        <v>Yes</v>
      </c>
    </row>
    <row r="1724" spans="1:13" x14ac:dyDescent="0.25">
      <c r="A1724">
        <v>2022</v>
      </c>
      <c r="B1724" t="s">
        <v>2736</v>
      </c>
      <c r="C1724" t="s">
        <v>2737</v>
      </c>
      <c r="D1724" t="s">
        <v>30</v>
      </c>
      <c r="E1724" t="s">
        <v>54</v>
      </c>
      <c r="F1724">
        <v>4500275116</v>
      </c>
      <c r="G1724" t="s">
        <v>5013</v>
      </c>
      <c r="H1724" t="s">
        <v>3334</v>
      </c>
      <c r="I1724" t="s">
        <v>3790</v>
      </c>
      <c r="J1724" t="s">
        <v>54</v>
      </c>
      <c r="K1724" s="2">
        <v>76339</v>
      </c>
      <c r="L1724" s="2">
        <v>587224</v>
      </c>
      <c r="M1724" t="str">
        <f>IFERROR(IF(VLOOKUP(LEFT(B1724,2),'Humanitarian codes'!$A$2:$A$10,1,FALSE)=LEFT(B1724,2),"Yes","Error"),"No")</f>
        <v>Yes</v>
      </c>
    </row>
    <row r="1725" spans="1:13" x14ac:dyDescent="0.25">
      <c r="A1725">
        <v>2022</v>
      </c>
      <c r="B1725" t="s">
        <v>2736</v>
      </c>
      <c r="C1725" t="s">
        <v>2737</v>
      </c>
      <c r="D1725" t="s">
        <v>30</v>
      </c>
      <c r="E1725" t="s">
        <v>54</v>
      </c>
      <c r="F1725">
        <v>4500275775</v>
      </c>
      <c r="G1725" t="s">
        <v>6360</v>
      </c>
      <c r="H1725" t="s">
        <v>3334</v>
      </c>
      <c r="I1725" t="s">
        <v>3790</v>
      </c>
      <c r="J1725" t="s">
        <v>54</v>
      </c>
      <c r="K1725" s="2">
        <v>6610135</v>
      </c>
      <c r="L1725" s="2">
        <v>12961049</v>
      </c>
      <c r="M1725" t="str">
        <f>IFERROR(IF(VLOOKUP(LEFT(B1725,2),'Humanitarian codes'!$A$2:$A$10,1,FALSE)=LEFT(B1725,2),"Yes","Error"),"No")</f>
        <v>Yes</v>
      </c>
    </row>
    <row r="1726" spans="1:13" x14ac:dyDescent="0.25">
      <c r="A1726">
        <v>2022</v>
      </c>
      <c r="B1726" t="s">
        <v>6361</v>
      </c>
      <c r="C1726" t="s">
        <v>6362</v>
      </c>
      <c r="D1726" t="s">
        <v>30</v>
      </c>
      <c r="E1726" t="s">
        <v>1554</v>
      </c>
      <c r="F1726">
        <v>4500220160</v>
      </c>
      <c r="G1726" t="s">
        <v>6363</v>
      </c>
      <c r="H1726" t="s">
        <v>3334</v>
      </c>
      <c r="I1726" t="s">
        <v>6364</v>
      </c>
      <c r="J1726" t="s">
        <v>1554</v>
      </c>
      <c r="K1726" s="2">
        <v>303080</v>
      </c>
      <c r="L1726" s="2">
        <v>303080</v>
      </c>
      <c r="M1726" t="str">
        <f>IFERROR(IF(VLOOKUP(LEFT(B1726,2),'Humanitarian codes'!$A$2:$A$10,1,FALSE)=LEFT(B1726,2),"Yes","Error"),"No")</f>
        <v>Yes</v>
      </c>
    </row>
    <row r="1727" spans="1:13" x14ac:dyDescent="0.25">
      <c r="A1727">
        <v>2022</v>
      </c>
      <c r="B1727" t="s">
        <v>6361</v>
      </c>
      <c r="C1727" t="s">
        <v>6362</v>
      </c>
      <c r="D1727" t="s">
        <v>30</v>
      </c>
      <c r="E1727" t="s">
        <v>1554</v>
      </c>
      <c r="F1727">
        <v>4500220168</v>
      </c>
      <c r="G1727" t="s">
        <v>6363</v>
      </c>
      <c r="H1727" t="s">
        <v>3334</v>
      </c>
      <c r="I1727" t="s">
        <v>2435</v>
      </c>
      <c r="J1727" t="s">
        <v>1554</v>
      </c>
      <c r="K1727" s="2">
        <v>117965</v>
      </c>
      <c r="L1727" s="2">
        <v>117965</v>
      </c>
      <c r="M1727" t="str">
        <f>IFERROR(IF(VLOOKUP(LEFT(B1727,2),'Humanitarian codes'!$A$2:$A$10,1,FALSE)=LEFT(B1727,2),"Yes","Error"),"No")</f>
        <v>Yes</v>
      </c>
    </row>
    <row r="1728" spans="1:13" x14ac:dyDescent="0.25">
      <c r="A1728">
        <v>2022</v>
      </c>
      <c r="B1728" t="s">
        <v>6365</v>
      </c>
      <c r="C1728" t="s">
        <v>6366</v>
      </c>
      <c r="D1728" t="s">
        <v>30</v>
      </c>
      <c r="E1728" t="s">
        <v>717</v>
      </c>
      <c r="F1728">
        <v>4500224040</v>
      </c>
      <c r="G1728" t="s">
        <v>6367</v>
      </c>
      <c r="H1728" t="s">
        <v>3334</v>
      </c>
      <c r="I1728" t="s">
        <v>728</v>
      </c>
      <c r="J1728" t="s">
        <v>717</v>
      </c>
      <c r="K1728" s="2">
        <v>970000</v>
      </c>
      <c r="L1728" s="2">
        <v>970000</v>
      </c>
      <c r="M1728" t="str">
        <f>IFERROR(IF(VLOOKUP(LEFT(B1728,2),'Humanitarian codes'!$A$2:$A$10,1,FALSE)=LEFT(B1728,2),"Yes","Error"),"No")</f>
        <v>Yes</v>
      </c>
    </row>
    <row r="1729" spans="1:13" x14ac:dyDescent="0.25">
      <c r="A1729">
        <v>2022</v>
      </c>
      <c r="B1729" t="s">
        <v>6368</v>
      </c>
      <c r="C1729" t="s">
        <v>6369</v>
      </c>
      <c r="D1729" t="s">
        <v>30</v>
      </c>
      <c r="E1729" t="s">
        <v>20</v>
      </c>
      <c r="F1729">
        <v>4500232537</v>
      </c>
      <c r="G1729" t="s">
        <v>6370</v>
      </c>
      <c r="H1729" t="s">
        <v>3334</v>
      </c>
      <c r="I1729" t="s">
        <v>5216</v>
      </c>
      <c r="J1729" t="s">
        <v>20</v>
      </c>
      <c r="K1729" s="2">
        <v>107104</v>
      </c>
      <c r="L1729" s="2">
        <v>107104</v>
      </c>
      <c r="M1729" t="str">
        <f>IFERROR(IF(VLOOKUP(LEFT(B1729,2),'Humanitarian codes'!$A$2:$A$10,1,FALSE)=LEFT(B1729,2),"Yes","Error"),"No")</f>
        <v>Yes</v>
      </c>
    </row>
    <row r="1730" spans="1:13" x14ac:dyDescent="0.25">
      <c r="A1730">
        <v>2022</v>
      </c>
      <c r="B1730" t="s">
        <v>6368</v>
      </c>
      <c r="C1730" t="s">
        <v>6369</v>
      </c>
      <c r="D1730" t="s">
        <v>30</v>
      </c>
      <c r="E1730" t="s">
        <v>20</v>
      </c>
      <c r="F1730">
        <v>4500232540</v>
      </c>
      <c r="G1730" t="s">
        <v>6371</v>
      </c>
      <c r="H1730" t="s">
        <v>3334</v>
      </c>
      <c r="I1730" t="s">
        <v>852</v>
      </c>
      <c r="J1730" t="s">
        <v>20</v>
      </c>
      <c r="K1730" s="2">
        <v>51434</v>
      </c>
      <c r="L1730" s="2">
        <v>51434</v>
      </c>
      <c r="M1730" t="str">
        <f>IFERROR(IF(VLOOKUP(LEFT(B1730,2),'Humanitarian codes'!$A$2:$A$10,1,FALSE)=LEFT(B1730,2),"Yes","Error"),"No")</f>
        <v>Yes</v>
      </c>
    </row>
    <row r="1731" spans="1:13" x14ac:dyDescent="0.25">
      <c r="A1731">
        <v>2022</v>
      </c>
      <c r="B1731" t="s">
        <v>6368</v>
      </c>
      <c r="C1731" t="s">
        <v>6369</v>
      </c>
      <c r="D1731" t="s">
        <v>30</v>
      </c>
      <c r="E1731" t="s">
        <v>20</v>
      </c>
      <c r="F1731">
        <v>4500263803</v>
      </c>
      <c r="G1731" t="s">
        <v>5217</v>
      </c>
      <c r="H1731" t="s">
        <v>3334</v>
      </c>
      <c r="I1731" t="s">
        <v>852</v>
      </c>
      <c r="J1731" t="s">
        <v>20</v>
      </c>
      <c r="K1731" s="2">
        <v>12280</v>
      </c>
      <c r="L1731" s="2">
        <v>122372</v>
      </c>
      <c r="M1731" t="str">
        <f>IFERROR(IF(VLOOKUP(LEFT(B1731,2),'Humanitarian codes'!$A$2:$A$10,1,FALSE)=LEFT(B1731,2),"Yes","Error"),"No")</f>
        <v>Yes</v>
      </c>
    </row>
    <row r="1732" spans="1:13" x14ac:dyDescent="0.25">
      <c r="A1732">
        <v>2022</v>
      </c>
      <c r="B1732" t="s">
        <v>3291</v>
      </c>
      <c r="C1732" t="s">
        <v>3792</v>
      </c>
      <c r="D1732" t="s">
        <v>30</v>
      </c>
      <c r="E1732" t="s">
        <v>54</v>
      </c>
      <c r="F1732">
        <v>4500275142</v>
      </c>
      <c r="G1732" t="s">
        <v>5228</v>
      </c>
      <c r="H1732" t="s">
        <v>3334</v>
      </c>
      <c r="I1732" t="s">
        <v>3790</v>
      </c>
      <c r="J1732" t="s">
        <v>54</v>
      </c>
      <c r="K1732" s="2">
        <v>132940</v>
      </c>
      <c r="L1732" s="2">
        <v>332351</v>
      </c>
      <c r="M1732" t="str">
        <f>IFERROR(IF(VLOOKUP(LEFT(B1732,2),'Humanitarian codes'!$A$2:$A$10,1,FALSE)=LEFT(B1732,2),"Yes","Error"),"No")</f>
        <v>Yes</v>
      </c>
    </row>
    <row r="1733" spans="1:13" x14ac:dyDescent="0.25">
      <c r="A1733">
        <v>2022</v>
      </c>
      <c r="B1733" t="s">
        <v>3291</v>
      </c>
      <c r="C1733" t="s">
        <v>3792</v>
      </c>
      <c r="D1733" t="s">
        <v>30</v>
      </c>
      <c r="E1733" t="s">
        <v>54</v>
      </c>
      <c r="F1733">
        <v>4500275775</v>
      </c>
      <c r="G1733" t="s">
        <v>6360</v>
      </c>
      <c r="H1733" t="s">
        <v>3334</v>
      </c>
      <c r="I1733" t="s">
        <v>3790</v>
      </c>
      <c r="J1733" t="s">
        <v>54</v>
      </c>
      <c r="K1733" s="2">
        <v>3629094</v>
      </c>
      <c r="L1733" s="2">
        <v>12961049</v>
      </c>
      <c r="M1733" t="str">
        <f>IFERROR(IF(VLOOKUP(LEFT(B1733,2),'Humanitarian codes'!$A$2:$A$10,1,FALSE)=LEFT(B1733,2),"Yes","Error"),"No")</f>
        <v>Yes</v>
      </c>
    </row>
    <row r="1734" spans="1:13" x14ac:dyDescent="0.25">
      <c r="A1734">
        <v>2022</v>
      </c>
      <c r="B1734" t="s">
        <v>3795</v>
      </c>
      <c r="C1734" t="s">
        <v>3796</v>
      </c>
      <c r="D1734" t="s">
        <v>30</v>
      </c>
      <c r="E1734" t="s">
        <v>54</v>
      </c>
      <c r="F1734">
        <v>4500275775</v>
      </c>
      <c r="G1734" t="s">
        <v>6360</v>
      </c>
      <c r="H1734" t="s">
        <v>3334</v>
      </c>
      <c r="I1734" t="s">
        <v>3790</v>
      </c>
      <c r="J1734" t="s">
        <v>54</v>
      </c>
      <c r="K1734" s="2">
        <v>2721820</v>
      </c>
      <c r="L1734" s="2">
        <v>12961049</v>
      </c>
      <c r="M1734" t="str">
        <f>IFERROR(IF(VLOOKUP(LEFT(B1734,2),'Humanitarian codes'!$A$2:$A$10,1,FALSE)=LEFT(B1734,2),"Yes","Error"),"No")</f>
        <v>Yes</v>
      </c>
    </row>
    <row r="1735" spans="1:13" x14ac:dyDescent="0.25">
      <c r="A1735">
        <v>2022</v>
      </c>
      <c r="B1735" t="s">
        <v>6372</v>
      </c>
      <c r="C1735" t="s">
        <v>6373</v>
      </c>
      <c r="D1735" t="s">
        <v>30</v>
      </c>
      <c r="E1735" t="s">
        <v>940</v>
      </c>
      <c r="F1735">
        <v>4500255920</v>
      </c>
      <c r="G1735" t="s">
        <v>6374</v>
      </c>
      <c r="H1735" t="s">
        <v>3334</v>
      </c>
      <c r="I1735" t="s">
        <v>338</v>
      </c>
      <c r="J1735" t="s">
        <v>940</v>
      </c>
      <c r="K1735" s="2">
        <v>429200</v>
      </c>
      <c r="L1735" s="2">
        <v>429200</v>
      </c>
      <c r="M1735" t="str">
        <f>IFERROR(IF(VLOOKUP(LEFT(B1735,2),'Humanitarian codes'!$A$2:$A$10,1,FALSE)=LEFT(B1735,2),"Yes","Error"),"No")</f>
        <v>Yes</v>
      </c>
    </row>
    <row r="1736" spans="1:13" x14ac:dyDescent="0.25">
      <c r="A1736">
        <v>2022</v>
      </c>
      <c r="B1736" t="s">
        <v>6372</v>
      </c>
      <c r="C1736" t="s">
        <v>6373</v>
      </c>
      <c r="D1736" t="s">
        <v>30</v>
      </c>
      <c r="E1736" t="s">
        <v>940</v>
      </c>
      <c r="F1736">
        <v>4500256245</v>
      </c>
      <c r="G1736" t="s">
        <v>6375</v>
      </c>
      <c r="H1736" t="s">
        <v>3334</v>
      </c>
      <c r="I1736" t="s">
        <v>6376</v>
      </c>
      <c r="J1736" t="s">
        <v>940</v>
      </c>
      <c r="K1736" s="2">
        <v>299874</v>
      </c>
      <c r="L1736" s="2">
        <v>299874</v>
      </c>
      <c r="M1736" t="str">
        <f>IFERROR(IF(VLOOKUP(LEFT(B1736,2),'Humanitarian codes'!$A$2:$A$10,1,FALSE)=LEFT(B1736,2),"Yes","Error"),"No")</f>
        <v>Yes</v>
      </c>
    </row>
    <row r="1737" spans="1:13" x14ac:dyDescent="0.25">
      <c r="A1737">
        <v>2022</v>
      </c>
      <c r="B1737" t="s">
        <v>6377</v>
      </c>
      <c r="C1737" t="s">
        <v>6378</v>
      </c>
      <c r="D1737" t="s">
        <v>543</v>
      </c>
      <c r="E1737" t="s">
        <v>518</v>
      </c>
      <c r="F1737">
        <v>4500263113</v>
      </c>
      <c r="G1737" t="s">
        <v>6379</v>
      </c>
      <c r="H1737" t="s">
        <v>3334</v>
      </c>
      <c r="I1737" t="s">
        <v>6380</v>
      </c>
      <c r="J1737" t="s">
        <v>518</v>
      </c>
      <c r="K1737" s="2">
        <v>2500</v>
      </c>
      <c r="L1737" s="2">
        <v>2500</v>
      </c>
      <c r="M1737" t="str">
        <f>IFERROR(IF(VLOOKUP(LEFT(B1737,2),'Humanitarian codes'!$A$2:$A$10,1,FALSE)=LEFT(B1737,2),"Yes","Error"),"No")</f>
        <v>No</v>
      </c>
    </row>
    <row r="1738" spans="1:13" x14ac:dyDescent="0.25">
      <c r="A1738">
        <v>2022</v>
      </c>
      <c r="B1738" t="s">
        <v>6377</v>
      </c>
      <c r="C1738" t="s">
        <v>6378</v>
      </c>
      <c r="D1738" t="s">
        <v>543</v>
      </c>
      <c r="E1738" t="s">
        <v>518</v>
      </c>
      <c r="F1738">
        <v>4500263138</v>
      </c>
      <c r="G1738" t="s">
        <v>6379</v>
      </c>
      <c r="H1738" t="s">
        <v>3334</v>
      </c>
      <c r="I1738" t="s">
        <v>2092</v>
      </c>
      <c r="J1738" t="s">
        <v>518</v>
      </c>
      <c r="K1738" s="2">
        <v>2500</v>
      </c>
      <c r="L1738" s="2">
        <v>2500</v>
      </c>
      <c r="M1738" t="str">
        <f>IFERROR(IF(VLOOKUP(LEFT(B1738,2),'Humanitarian codes'!$A$2:$A$10,1,FALSE)=LEFT(B1738,2),"Yes","Error"),"No")</f>
        <v>No</v>
      </c>
    </row>
    <row r="1739" spans="1:13" x14ac:dyDescent="0.25">
      <c r="A1739">
        <v>2022</v>
      </c>
      <c r="B1739" t="s">
        <v>6377</v>
      </c>
      <c r="C1739" t="s">
        <v>6378</v>
      </c>
      <c r="D1739" t="s">
        <v>543</v>
      </c>
      <c r="E1739" t="s">
        <v>518</v>
      </c>
      <c r="F1739">
        <v>4500263142</v>
      </c>
      <c r="G1739" t="s">
        <v>6379</v>
      </c>
      <c r="H1739" t="s">
        <v>3334</v>
      </c>
      <c r="I1739" t="s">
        <v>6381</v>
      </c>
      <c r="J1739" t="s">
        <v>518</v>
      </c>
      <c r="K1739" s="2">
        <v>2500</v>
      </c>
      <c r="L1739" s="2">
        <v>2500</v>
      </c>
      <c r="M1739" t="str">
        <f>IFERROR(IF(VLOOKUP(LEFT(B1739,2),'Humanitarian codes'!$A$2:$A$10,1,FALSE)=LEFT(B1739,2),"Yes","Error"),"No")</f>
        <v>No</v>
      </c>
    </row>
    <row r="1740" spans="1:13" x14ac:dyDescent="0.25">
      <c r="A1740">
        <v>2022</v>
      </c>
      <c r="B1740" t="s">
        <v>6377</v>
      </c>
      <c r="C1740" t="s">
        <v>6378</v>
      </c>
      <c r="D1740" t="s">
        <v>543</v>
      </c>
      <c r="E1740" t="s">
        <v>518</v>
      </c>
      <c r="F1740">
        <v>4500264489</v>
      </c>
      <c r="G1740" t="s">
        <v>6382</v>
      </c>
      <c r="H1740" t="s">
        <v>3334</v>
      </c>
      <c r="I1740" t="s">
        <v>6383</v>
      </c>
      <c r="J1740" t="s">
        <v>518</v>
      </c>
      <c r="K1740" s="2">
        <v>2500</v>
      </c>
      <c r="L1740" s="2">
        <v>2500</v>
      </c>
      <c r="M1740" t="str">
        <f>IFERROR(IF(VLOOKUP(LEFT(B1740,2),'Humanitarian codes'!$A$2:$A$10,1,FALSE)=LEFT(B1740,2),"Yes","Error"),"No")</f>
        <v>No</v>
      </c>
    </row>
    <row r="1741" spans="1:13" x14ac:dyDescent="0.25">
      <c r="A1741">
        <v>2022</v>
      </c>
      <c r="B1741" t="s">
        <v>6384</v>
      </c>
      <c r="C1741" t="s">
        <v>6385</v>
      </c>
      <c r="D1741" t="s">
        <v>543</v>
      </c>
      <c r="E1741" t="s">
        <v>3396</v>
      </c>
      <c r="F1741">
        <v>4500200832</v>
      </c>
      <c r="G1741" t="s">
        <v>6386</v>
      </c>
      <c r="H1741" t="s">
        <v>3334</v>
      </c>
      <c r="I1741" t="s">
        <v>3833</v>
      </c>
      <c r="J1741" t="s">
        <v>3396</v>
      </c>
      <c r="K1741" s="2">
        <v>56128</v>
      </c>
      <c r="L1741" s="2">
        <v>56128</v>
      </c>
      <c r="M1741" t="str">
        <f>IFERROR(IF(VLOOKUP(LEFT(B1741,2),'Humanitarian codes'!$A$2:$A$10,1,FALSE)=LEFT(B1741,2),"Yes","Error"),"No")</f>
        <v>No</v>
      </c>
    </row>
    <row r="1742" spans="1:13" x14ac:dyDescent="0.25">
      <c r="A1742">
        <v>2022</v>
      </c>
      <c r="B1742" t="s">
        <v>6384</v>
      </c>
      <c r="C1742" t="s">
        <v>6385</v>
      </c>
      <c r="D1742" t="s">
        <v>543</v>
      </c>
      <c r="E1742" t="s">
        <v>3396</v>
      </c>
      <c r="F1742">
        <v>4500203136</v>
      </c>
      <c r="G1742" t="s">
        <v>6387</v>
      </c>
      <c r="H1742" t="s">
        <v>3334</v>
      </c>
      <c r="I1742" t="s">
        <v>3400</v>
      </c>
      <c r="J1742" t="s">
        <v>3396</v>
      </c>
      <c r="K1742" s="2">
        <v>63544</v>
      </c>
      <c r="L1742" s="2">
        <v>63544</v>
      </c>
      <c r="M1742" t="str">
        <f>IFERROR(IF(VLOOKUP(LEFT(B1742,2),'Humanitarian codes'!$A$2:$A$10,1,FALSE)=LEFT(B1742,2),"Yes","Error"),"No")</f>
        <v>No</v>
      </c>
    </row>
    <row r="1743" spans="1:13" x14ac:dyDescent="0.25">
      <c r="A1743">
        <v>2022</v>
      </c>
      <c r="B1743" t="s">
        <v>6388</v>
      </c>
      <c r="C1743" t="s">
        <v>6389</v>
      </c>
      <c r="D1743" t="s">
        <v>9</v>
      </c>
      <c r="E1743" t="s">
        <v>1278</v>
      </c>
      <c r="F1743">
        <v>4500242908</v>
      </c>
      <c r="G1743" t="s">
        <v>2517</v>
      </c>
      <c r="H1743" t="s">
        <v>3334</v>
      </c>
      <c r="I1743" t="s">
        <v>6390</v>
      </c>
      <c r="J1743" t="s">
        <v>1278</v>
      </c>
      <c r="K1743" s="2">
        <v>19173</v>
      </c>
      <c r="L1743" s="2">
        <v>19173</v>
      </c>
      <c r="M1743" t="str">
        <f>IFERROR(IF(VLOOKUP(LEFT(B1743,2),'Humanitarian codes'!$A$2:$A$10,1,FALSE)=LEFT(B1743,2),"Yes","Error"),"No")</f>
        <v>No</v>
      </c>
    </row>
    <row r="1744" spans="1:13" x14ac:dyDescent="0.25">
      <c r="A1744">
        <v>2022</v>
      </c>
      <c r="B1744" t="s">
        <v>6388</v>
      </c>
      <c r="C1744" t="s">
        <v>6389</v>
      </c>
      <c r="D1744" t="s">
        <v>9</v>
      </c>
      <c r="E1744" t="s">
        <v>261</v>
      </c>
      <c r="F1744">
        <v>4500251430</v>
      </c>
      <c r="G1744" t="s">
        <v>6391</v>
      </c>
      <c r="H1744" t="s">
        <v>3334</v>
      </c>
      <c r="I1744" t="s">
        <v>6392</v>
      </c>
      <c r="J1744" t="s">
        <v>261</v>
      </c>
      <c r="K1744" s="2">
        <v>6438</v>
      </c>
      <c r="L1744" s="2">
        <v>29314</v>
      </c>
      <c r="M1744" t="str">
        <f>IFERROR(IF(VLOOKUP(LEFT(B1744,2),'Humanitarian codes'!$A$2:$A$10,1,FALSE)=LEFT(B1744,2),"Yes","Error"),"No")</f>
        <v>No</v>
      </c>
    </row>
    <row r="1745" spans="1:13" x14ac:dyDescent="0.25">
      <c r="A1745">
        <v>2022</v>
      </c>
      <c r="B1745" t="s">
        <v>1890</v>
      </c>
      <c r="C1745" t="s">
        <v>1891</v>
      </c>
      <c r="D1745" t="s">
        <v>9</v>
      </c>
      <c r="E1745" t="s">
        <v>402</v>
      </c>
      <c r="F1745">
        <v>4500203392</v>
      </c>
      <c r="G1745" t="s">
        <v>6393</v>
      </c>
      <c r="H1745" t="s">
        <v>3334</v>
      </c>
      <c r="I1745" t="s">
        <v>1892</v>
      </c>
      <c r="J1745" t="s">
        <v>402</v>
      </c>
      <c r="K1745" s="2">
        <v>164095</v>
      </c>
      <c r="L1745" s="2">
        <v>164095</v>
      </c>
      <c r="M1745" t="str">
        <f>IFERROR(IF(VLOOKUP(LEFT(B1745,2),'Humanitarian codes'!$A$2:$A$10,1,FALSE)=LEFT(B1745,2),"Yes","Error"),"No")</f>
        <v>No</v>
      </c>
    </row>
    <row r="1746" spans="1:13" x14ac:dyDescent="0.25">
      <c r="A1746">
        <v>2022</v>
      </c>
      <c r="B1746" t="s">
        <v>6394</v>
      </c>
      <c r="C1746" t="s">
        <v>6395</v>
      </c>
      <c r="D1746" t="s">
        <v>9</v>
      </c>
      <c r="E1746" t="s">
        <v>261</v>
      </c>
      <c r="F1746">
        <v>4500251430</v>
      </c>
      <c r="G1746" t="s">
        <v>6391</v>
      </c>
      <c r="H1746" t="s">
        <v>3334</v>
      </c>
      <c r="I1746" t="s">
        <v>6392</v>
      </c>
      <c r="J1746" t="s">
        <v>261</v>
      </c>
      <c r="K1746" s="2">
        <v>22876</v>
      </c>
      <c r="L1746" s="2">
        <v>29314</v>
      </c>
      <c r="M1746" t="str">
        <f>IFERROR(IF(VLOOKUP(LEFT(B1746,2),'Humanitarian codes'!$A$2:$A$10,1,FALSE)=LEFT(B1746,2),"Yes","Error"),"No")</f>
        <v>No</v>
      </c>
    </row>
    <row r="1747" spans="1:13" x14ac:dyDescent="0.25">
      <c r="A1747">
        <v>2022</v>
      </c>
      <c r="B1747" t="s">
        <v>6394</v>
      </c>
      <c r="C1747" t="s">
        <v>6395</v>
      </c>
      <c r="D1747" t="s">
        <v>9</v>
      </c>
      <c r="E1747" t="s">
        <v>261</v>
      </c>
      <c r="F1747">
        <v>4500252066</v>
      </c>
      <c r="G1747" t="s">
        <v>6396</v>
      </c>
      <c r="H1747" t="s">
        <v>3334</v>
      </c>
      <c r="I1747" t="s">
        <v>3228</v>
      </c>
      <c r="J1747" t="s">
        <v>261</v>
      </c>
      <c r="K1747" s="2">
        <v>33011</v>
      </c>
      <c r="L1747" s="2">
        <v>33011</v>
      </c>
      <c r="M1747" t="str">
        <f>IFERROR(IF(VLOOKUP(LEFT(B1747,2),'Humanitarian codes'!$A$2:$A$10,1,FALSE)=LEFT(B1747,2),"Yes","Error"),"No")</f>
        <v>No</v>
      </c>
    </row>
  </sheetData>
  <autoFilter ref="A1:M1747" xr:uid="{FAF884C2-5CE0-4756-8B71-A5477680A35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4BA87-32E4-4D70-B5D9-EAA91E2BFAE8}">
  <sheetPr filterMode="1"/>
  <dimension ref="A1:M1481"/>
  <sheetViews>
    <sheetView workbookViewId="0">
      <pane ySplit="1" topLeftCell="A53" activePane="bottomLeft" state="frozen"/>
      <selection pane="bottomLeft" activeCell="C73" sqref="C73"/>
    </sheetView>
  </sheetViews>
  <sheetFormatPr defaultRowHeight="15" x14ac:dyDescent="0.25"/>
  <cols>
    <col min="1" max="1" width="9.42578125" bestFit="1" customWidth="1"/>
    <col min="3" max="3" width="63.5703125" bestFit="1" customWidth="1"/>
    <col min="4" max="4" width="18.42578125" bestFit="1" customWidth="1"/>
    <col min="8" max="8" width="37.7109375" bestFit="1" customWidth="1"/>
    <col min="9" max="9" width="19.7109375" bestFit="1" customWidth="1"/>
    <col min="10" max="10" width="20.7109375" customWidth="1"/>
    <col min="12" max="12" width="10.42578125" customWidth="1"/>
  </cols>
  <sheetData>
    <row r="1" spans="1:13" x14ac:dyDescent="0.25">
      <c r="A1" t="s">
        <v>709</v>
      </c>
      <c r="B1" t="s">
        <v>0</v>
      </c>
      <c r="C1" t="s">
        <v>2197</v>
      </c>
      <c r="D1" t="s">
        <v>1</v>
      </c>
      <c r="E1" t="s">
        <v>3</v>
      </c>
      <c r="F1" t="s">
        <v>2172</v>
      </c>
      <c r="G1" t="s">
        <v>4</v>
      </c>
      <c r="H1" t="s">
        <v>2784</v>
      </c>
      <c r="I1" t="s">
        <v>746</v>
      </c>
      <c r="J1" t="s">
        <v>747</v>
      </c>
      <c r="K1" t="s">
        <v>2785</v>
      </c>
      <c r="L1" t="s">
        <v>2751</v>
      </c>
      <c r="M1" t="s">
        <v>6407</v>
      </c>
    </row>
    <row r="2" spans="1:13" x14ac:dyDescent="0.25">
      <c r="A2" t="s">
        <v>2171</v>
      </c>
      <c r="B2" t="s">
        <v>722</v>
      </c>
      <c r="C2" t="s">
        <v>723</v>
      </c>
      <c r="D2" t="s">
        <v>30</v>
      </c>
      <c r="E2" t="s">
        <v>717</v>
      </c>
      <c r="G2">
        <v>4500364246</v>
      </c>
      <c r="H2" t="s">
        <v>713</v>
      </c>
      <c r="I2" t="s">
        <v>1907</v>
      </c>
      <c r="J2" t="s">
        <v>717</v>
      </c>
      <c r="K2">
        <v>29267</v>
      </c>
      <c r="L2" s="1">
        <v>31325</v>
      </c>
      <c r="M2" t="str">
        <f>IFERROR(IF(VLOOKUP(LEFT(B2,2),'Humanitarian codes'!$A$2:$A$10,1,FALSE)=LEFT(B2,2),"Yes","Error"),"No")</f>
        <v>Yes</v>
      </c>
    </row>
    <row r="3" spans="1:13" hidden="1" x14ac:dyDescent="0.25">
      <c r="A3" t="s">
        <v>2171</v>
      </c>
      <c r="B3" t="s">
        <v>1627</v>
      </c>
      <c r="C3" t="s">
        <v>1628</v>
      </c>
      <c r="D3" t="s">
        <v>543</v>
      </c>
      <c r="E3" t="s">
        <v>132</v>
      </c>
      <c r="G3">
        <v>4500357036</v>
      </c>
      <c r="H3" t="s">
        <v>713</v>
      </c>
      <c r="I3" t="s">
        <v>1908</v>
      </c>
      <c r="J3" t="s">
        <v>132</v>
      </c>
      <c r="K3">
        <v>42140</v>
      </c>
      <c r="L3" s="1">
        <v>45103.68</v>
      </c>
      <c r="M3" t="str">
        <f>IFERROR(IF(VLOOKUP(LEFT(B3,2),'Humanitarian codes'!$A$2:$A$10,1,FALSE)=LEFT(B3,2),"Yes","Error"),"No")</f>
        <v>No</v>
      </c>
    </row>
    <row r="4" spans="1:13" x14ac:dyDescent="0.25">
      <c r="A4" t="s">
        <v>2171</v>
      </c>
      <c r="B4" t="s">
        <v>130</v>
      </c>
      <c r="C4" t="s">
        <v>131</v>
      </c>
      <c r="D4" t="s">
        <v>30</v>
      </c>
      <c r="E4" t="s">
        <v>132</v>
      </c>
      <c r="G4">
        <v>4500359162</v>
      </c>
      <c r="H4" t="s">
        <v>713</v>
      </c>
      <c r="I4" t="s">
        <v>1909</v>
      </c>
      <c r="J4" t="s">
        <v>132</v>
      </c>
      <c r="K4">
        <v>57366</v>
      </c>
      <c r="L4" s="1">
        <v>61399.69</v>
      </c>
      <c r="M4" t="str">
        <f>IFERROR(IF(VLOOKUP(LEFT(B4,2),'Humanitarian codes'!$A$2:$A$10,1,FALSE)=LEFT(B4,2),"Yes","Error"),"No")</f>
        <v>Yes</v>
      </c>
    </row>
    <row r="5" spans="1:13" hidden="1" x14ac:dyDescent="0.25">
      <c r="A5" t="s">
        <v>2171</v>
      </c>
      <c r="B5" t="s">
        <v>1110</v>
      </c>
      <c r="C5" t="s">
        <v>1111</v>
      </c>
      <c r="D5" t="s">
        <v>1112</v>
      </c>
      <c r="E5" t="s">
        <v>261</v>
      </c>
      <c r="G5">
        <v>4500360132</v>
      </c>
      <c r="H5" t="s">
        <v>713</v>
      </c>
      <c r="I5" t="s">
        <v>1168</v>
      </c>
      <c r="J5" t="s">
        <v>261</v>
      </c>
      <c r="K5">
        <v>91329</v>
      </c>
      <c r="L5" s="1">
        <v>97751.7</v>
      </c>
      <c r="M5" t="str">
        <f>IFERROR(IF(VLOOKUP(LEFT(B5,2),'Humanitarian codes'!$A$2:$A$10,1,FALSE)=LEFT(B5,2),"Yes","Error"),"No")</f>
        <v>No</v>
      </c>
    </row>
    <row r="6" spans="1:13" x14ac:dyDescent="0.25">
      <c r="A6" t="s">
        <v>2171</v>
      </c>
      <c r="B6" t="s">
        <v>722</v>
      </c>
      <c r="C6" t="s">
        <v>723</v>
      </c>
      <c r="D6" t="s">
        <v>30</v>
      </c>
      <c r="E6" t="s">
        <v>717</v>
      </c>
      <c r="G6">
        <v>4500358307</v>
      </c>
      <c r="H6" t="s">
        <v>713</v>
      </c>
      <c r="I6" t="s">
        <v>1910</v>
      </c>
      <c r="J6" t="s">
        <v>717</v>
      </c>
      <c r="K6">
        <v>101100</v>
      </c>
      <c r="L6" s="1">
        <v>108209.87</v>
      </c>
      <c r="M6" t="str">
        <f>IFERROR(IF(VLOOKUP(LEFT(B6,2),'Humanitarian codes'!$A$2:$A$10,1,FALSE)=LEFT(B6,2),"Yes","Error"),"No")</f>
        <v>Yes</v>
      </c>
    </row>
    <row r="7" spans="1:13" hidden="1" x14ac:dyDescent="0.25">
      <c r="A7" t="s">
        <v>2171</v>
      </c>
      <c r="B7" t="s">
        <v>1576</v>
      </c>
      <c r="C7" t="s">
        <v>1577</v>
      </c>
      <c r="D7" t="s">
        <v>543</v>
      </c>
      <c r="E7" t="s">
        <v>561</v>
      </c>
      <c r="G7">
        <v>4500376188</v>
      </c>
      <c r="H7" t="s">
        <v>713</v>
      </c>
      <c r="I7" t="s">
        <v>1911</v>
      </c>
      <c r="J7" t="s">
        <v>561</v>
      </c>
      <c r="K7">
        <v>117503</v>
      </c>
      <c r="L7" s="1">
        <v>125765.47</v>
      </c>
      <c r="M7" t="str">
        <f>IFERROR(IF(VLOOKUP(LEFT(B7,2),'Humanitarian codes'!$A$2:$A$10,1,FALSE)=LEFT(B7,2),"Yes","Error"),"No")</f>
        <v>No</v>
      </c>
    </row>
    <row r="8" spans="1:13" x14ac:dyDescent="0.25">
      <c r="A8" t="s">
        <v>2171</v>
      </c>
      <c r="B8" t="s">
        <v>722</v>
      </c>
      <c r="C8" t="s">
        <v>723</v>
      </c>
      <c r="D8" t="s">
        <v>30</v>
      </c>
      <c r="E8" t="s">
        <v>717</v>
      </c>
      <c r="G8">
        <v>4500371516</v>
      </c>
      <c r="H8" t="s">
        <v>713</v>
      </c>
      <c r="I8" t="s">
        <v>1160</v>
      </c>
      <c r="J8" t="s">
        <v>717</v>
      </c>
      <c r="K8">
        <v>130213</v>
      </c>
      <c r="L8" s="1">
        <v>139370</v>
      </c>
      <c r="M8" t="str">
        <f>IFERROR(IF(VLOOKUP(LEFT(B8,2),'Humanitarian codes'!$A$2:$A$10,1,FALSE)=LEFT(B8,2),"Yes","Error"),"No")</f>
        <v>Yes</v>
      </c>
    </row>
    <row r="9" spans="1:13" x14ac:dyDescent="0.25">
      <c r="A9" t="s">
        <v>2171</v>
      </c>
      <c r="B9" t="s">
        <v>722</v>
      </c>
      <c r="C9" t="s">
        <v>723</v>
      </c>
      <c r="D9" t="s">
        <v>30</v>
      </c>
      <c r="E9" t="s">
        <v>717</v>
      </c>
      <c r="G9">
        <v>4500371470</v>
      </c>
      <c r="H9" t="s">
        <v>713</v>
      </c>
      <c r="I9" t="s">
        <v>1912</v>
      </c>
      <c r="J9" t="s">
        <v>717</v>
      </c>
      <c r="K9">
        <v>145087</v>
      </c>
      <c r="L9" s="1">
        <v>155290</v>
      </c>
      <c r="M9" t="str">
        <f>IFERROR(IF(VLOOKUP(LEFT(B9,2),'Humanitarian codes'!$A$2:$A$10,1,FALSE)=LEFT(B9,2),"Yes","Error"),"No")</f>
        <v>Yes</v>
      </c>
    </row>
    <row r="10" spans="1:13" x14ac:dyDescent="0.25">
      <c r="A10" t="s">
        <v>2171</v>
      </c>
      <c r="B10" t="s">
        <v>1913</v>
      </c>
      <c r="C10" t="s">
        <v>1914</v>
      </c>
      <c r="D10" t="s">
        <v>30</v>
      </c>
      <c r="E10" t="s">
        <v>226</v>
      </c>
      <c r="G10">
        <v>4500359121</v>
      </c>
      <c r="H10" t="s">
        <v>12</v>
      </c>
      <c r="I10" t="s">
        <v>842</v>
      </c>
      <c r="J10" t="s">
        <v>226</v>
      </c>
      <c r="K10">
        <v>133352</v>
      </c>
      <c r="L10" s="1">
        <v>142729.49</v>
      </c>
      <c r="M10" t="str">
        <f>IFERROR(IF(VLOOKUP(LEFT(B10,2),'Humanitarian codes'!$A$2:$A$10,1,FALSE)=LEFT(B10,2),"Yes","Error"),"No")</f>
        <v>Yes</v>
      </c>
    </row>
    <row r="11" spans="1:13" hidden="1" x14ac:dyDescent="0.25">
      <c r="A11" t="s">
        <v>2171</v>
      </c>
      <c r="B11" t="s">
        <v>8</v>
      </c>
      <c r="C11" t="s">
        <v>10</v>
      </c>
      <c r="D11" t="s">
        <v>9</v>
      </c>
      <c r="E11" t="s">
        <v>11</v>
      </c>
      <c r="G11">
        <v>4500354713</v>
      </c>
      <c r="H11" t="s">
        <v>12</v>
      </c>
      <c r="I11" t="s">
        <v>1176</v>
      </c>
      <c r="J11" t="s">
        <v>11</v>
      </c>
      <c r="K11">
        <v>64253</v>
      </c>
      <c r="L11" s="1">
        <v>68771.8</v>
      </c>
      <c r="M11" t="str">
        <f>IFERROR(IF(VLOOKUP(LEFT(B11,2),'Humanitarian codes'!$A$2:$A$10,1,FALSE)=LEFT(B11,2),"Yes","Error"),"No")</f>
        <v>No</v>
      </c>
    </row>
    <row r="12" spans="1:13" hidden="1" x14ac:dyDescent="0.25">
      <c r="A12" t="s">
        <v>2171</v>
      </c>
      <c r="B12" t="s">
        <v>1178</v>
      </c>
      <c r="C12" t="s">
        <v>1179</v>
      </c>
      <c r="D12" t="s">
        <v>9</v>
      </c>
      <c r="E12" t="s">
        <v>54</v>
      </c>
      <c r="G12">
        <v>4500365181</v>
      </c>
      <c r="H12" t="s">
        <v>12</v>
      </c>
      <c r="I12" t="s">
        <v>1915</v>
      </c>
      <c r="J12" t="s">
        <v>54</v>
      </c>
      <c r="K12">
        <v>20245</v>
      </c>
      <c r="L12" s="1">
        <v>21669.05</v>
      </c>
      <c r="M12" t="str">
        <f>IFERROR(IF(VLOOKUP(LEFT(B12,2),'Humanitarian codes'!$A$2:$A$10,1,FALSE)=LEFT(B12,2),"Yes","Error"),"No")</f>
        <v>No</v>
      </c>
    </row>
    <row r="13" spans="1:13" hidden="1" x14ac:dyDescent="0.25">
      <c r="A13" t="s">
        <v>2171</v>
      </c>
      <c r="B13" t="s">
        <v>1916</v>
      </c>
      <c r="C13" t="s">
        <v>1917</v>
      </c>
      <c r="D13" t="s">
        <v>9</v>
      </c>
      <c r="E13" t="s">
        <v>831</v>
      </c>
      <c r="G13">
        <v>4500353207</v>
      </c>
      <c r="H13" t="s">
        <v>12</v>
      </c>
      <c r="I13" t="s">
        <v>1918</v>
      </c>
      <c r="J13" t="s">
        <v>831</v>
      </c>
      <c r="K13">
        <v>18195</v>
      </c>
      <c r="L13" s="1">
        <v>19474.2</v>
      </c>
      <c r="M13" t="str">
        <f>IFERROR(IF(VLOOKUP(LEFT(B13,2),'Humanitarian codes'!$A$2:$A$10,1,FALSE)=LEFT(B13,2),"Yes","Error"),"No")</f>
        <v>No</v>
      </c>
    </row>
    <row r="14" spans="1:13" hidden="1" x14ac:dyDescent="0.25">
      <c r="A14" t="s">
        <v>2171</v>
      </c>
      <c r="B14" t="s">
        <v>1665</v>
      </c>
      <c r="C14" t="s">
        <v>1666</v>
      </c>
      <c r="D14" t="s">
        <v>30</v>
      </c>
      <c r="E14" t="s">
        <v>32</v>
      </c>
      <c r="G14">
        <v>4500380022</v>
      </c>
      <c r="H14" t="s">
        <v>12</v>
      </c>
      <c r="I14" t="s">
        <v>37</v>
      </c>
      <c r="J14" t="s">
        <v>32</v>
      </c>
      <c r="K14">
        <v>253381</v>
      </c>
      <c r="L14" s="1">
        <v>271199.28000000003</v>
      </c>
      <c r="M14" t="str">
        <f>IFERROR(IF(VLOOKUP(LEFT(B14,2),'Humanitarian codes'!$A$2:$A$10,1,FALSE)=LEFT(B14,2),"Yes","Error"),"No")</f>
        <v>No</v>
      </c>
    </row>
    <row r="15" spans="1:13" hidden="1" x14ac:dyDescent="0.25">
      <c r="A15" t="s">
        <v>2171</v>
      </c>
      <c r="B15" t="s">
        <v>1665</v>
      </c>
      <c r="C15" t="s">
        <v>1666</v>
      </c>
      <c r="D15" t="s">
        <v>30</v>
      </c>
      <c r="E15" t="s">
        <v>32</v>
      </c>
      <c r="G15">
        <v>4500379547</v>
      </c>
      <c r="H15" t="s">
        <v>12</v>
      </c>
      <c r="I15" t="s">
        <v>33</v>
      </c>
      <c r="J15" t="s">
        <v>32</v>
      </c>
      <c r="K15">
        <v>270947</v>
      </c>
      <c r="L15" s="1">
        <v>290000</v>
      </c>
      <c r="M15" t="str">
        <f>IFERROR(IF(VLOOKUP(LEFT(B15,2),'Humanitarian codes'!$A$2:$A$10,1,FALSE)=LEFT(B15,2),"Yes","Error"),"No")</f>
        <v>No</v>
      </c>
    </row>
    <row r="16" spans="1:13" hidden="1" x14ac:dyDescent="0.25">
      <c r="A16" t="s">
        <v>2171</v>
      </c>
      <c r="B16" t="s">
        <v>1919</v>
      </c>
      <c r="C16" t="s">
        <v>1920</v>
      </c>
      <c r="D16" t="s">
        <v>30</v>
      </c>
      <c r="E16" t="s">
        <v>128</v>
      </c>
      <c r="G16">
        <v>4500352327</v>
      </c>
      <c r="H16" t="s">
        <v>12</v>
      </c>
      <c r="I16" t="s">
        <v>1921</v>
      </c>
      <c r="J16" t="s">
        <v>128</v>
      </c>
      <c r="K16">
        <v>695352</v>
      </c>
      <c r="L16" s="1">
        <v>744249</v>
      </c>
      <c r="M16" t="str">
        <f>IFERROR(IF(VLOOKUP(LEFT(B16,2),'Humanitarian codes'!$A$2:$A$10,1,FALSE)=LEFT(B16,2),"Yes","Error"),"No")</f>
        <v>No</v>
      </c>
    </row>
    <row r="17" spans="1:13" hidden="1" x14ac:dyDescent="0.25">
      <c r="A17" t="s">
        <v>2171</v>
      </c>
      <c r="B17" t="s">
        <v>1186</v>
      </c>
      <c r="C17" t="s">
        <v>1187</v>
      </c>
      <c r="D17" t="s">
        <v>30</v>
      </c>
      <c r="E17" t="s">
        <v>261</v>
      </c>
      <c r="G17">
        <v>4500380375</v>
      </c>
      <c r="H17" t="s">
        <v>12</v>
      </c>
      <c r="I17" t="s">
        <v>1922</v>
      </c>
      <c r="J17" t="s">
        <v>261</v>
      </c>
      <c r="K17">
        <v>35305</v>
      </c>
      <c r="L17" s="1">
        <v>37787.599999999999</v>
      </c>
      <c r="M17" t="str">
        <f>IFERROR(IF(VLOOKUP(LEFT(B17,2),'Humanitarian codes'!$A$2:$A$10,1,FALSE)=LEFT(B17,2),"Yes","Error"),"No")</f>
        <v>No</v>
      </c>
    </row>
    <row r="18" spans="1:13" hidden="1" x14ac:dyDescent="0.25">
      <c r="A18" t="s">
        <v>2171</v>
      </c>
      <c r="B18" t="s">
        <v>762</v>
      </c>
      <c r="C18" t="s">
        <v>763</v>
      </c>
      <c r="D18" t="s">
        <v>30</v>
      </c>
      <c r="E18" t="s">
        <v>663</v>
      </c>
      <c r="G18">
        <v>4500367943</v>
      </c>
      <c r="H18" t="s">
        <v>12</v>
      </c>
      <c r="I18" t="s">
        <v>1923</v>
      </c>
      <c r="J18" t="s">
        <v>663</v>
      </c>
      <c r="K18">
        <v>23848</v>
      </c>
      <c r="L18" s="1">
        <v>25525.46</v>
      </c>
      <c r="M18" t="str">
        <f>IFERROR(IF(VLOOKUP(LEFT(B18,2),'Humanitarian codes'!$A$2:$A$10,1,FALSE)=LEFT(B18,2),"Yes","Error"),"No")</f>
        <v>No</v>
      </c>
    </row>
    <row r="19" spans="1:13" hidden="1" x14ac:dyDescent="0.25">
      <c r="A19" t="s">
        <v>2171</v>
      </c>
      <c r="B19" t="s">
        <v>762</v>
      </c>
      <c r="C19" t="s">
        <v>763</v>
      </c>
      <c r="D19" t="s">
        <v>30</v>
      </c>
      <c r="E19" t="s">
        <v>663</v>
      </c>
      <c r="G19">
        <v>4500363605</v>
      </c>
      <c r="H19" t="s">
        <v>12</v>
      </c>
      <c r="I19" t="s">
        <v>1924</v>
      </c>
      <c r="J19" t="s">
        <v>261</v>
      </c>
      <c r="K19">
        <v>120342</v>
      </c>
      <c r="L19" s="1">
        <v>128804</v>
      </c>
      <c r="M19" t="str">
        <f>IFERROR(IF(VLOOKUP(LEFT(B19,2),'Humanitarian codes'!$A$2:$A$10,1,FALSE)=LEFT(B19,2),"Yes","Error"),"No")</f>
        <v>No</v>
      </c>
    </row>
    <row r="20" spans="1:13" hidden="1" x14ac:dyDescent="0.25">
      <c r="A20" t="s">
        <v>2171</v>
      </c>
      <c r="B20" t="s">
        <v>762</v>
      </c>
      <c r="C20" t="s">
        <v>763</v>
      </c>
      <c r="D20" t="s">
        <v>30</v>
      </c>
      <c r="E20" t="s">
        <v>663</v>
      </c>
      <c r="G20">
        <v>4500372338</v>
      </c>
      <c r="H20" t="s">
        <v>12</v>
      </c>
      <c r="I20" t="s">
        <v>1925</v>
      </c>
      <c r="J20" t="s">
        <v>663</v>
      </c>
      <c r="K20">
        <v>135300</v>
      </c>
      <c r="L20" s="1">
        <v>144814.16</v>
      </c>
      <c r="M20" t="str">
        <f>IFERROR(IF(VLOOKUP(LEFT(B20,2),'Humanitarian codes'!$A$2:$A$10,1,FALSE)=LEFT(B20,2),"Yes","Error"),"No")</f>
        <v>No</v>
      </c>
    </row>
    <row r="21" spans="1:13" hidden="1" x14ac:dyDescent="0.25">
      <c r="A21" t="s">
        <v>2171</v>
      </c>
      <c r="B21" t="s">
        <v>1215</v>
      </c>
      <c r="C21" t="s">
        <v>1216</v>
      </c>
      <c r="D21" t="s">
        <v>30</v>
      </c>
      <c r="E21" t="s">
        <v>128</v>
      </c>
      <c r="G21">
        <v>4500374696</v>
      </c>
      <c r="H21" t="s">
        <v>12</v>
      </c>
      <c r="I21" t="s">
        <v>1926</v>
      </c>
      <c r="J21" t="s">
        <v>128</v>
      </c>
      <c r="K21">
        <v>71934</v>
      </c>
      <c r="L21" s="1">
        <v>76992</v>
      </c>
      <c r="M21" t="str">
        <f>IFERROR(IF(VLOOKUP(LEFT(B21,2),'Humanitarian codes'!$A$2:$A$10,1,FALSE)=LEFT(B21,2),"Yes","Error"),"No")</f>
        <v>No</v>
      </c>
    </row>
    <row r="22" spans="1:13" hidden="1" x14ac:dyDescent="0.25">
      <c r="A22" t="s">
        <v>2171</v>
      </c>
      <c r="B22" t="s">
        <v>1215</v>
      </c>
      <c r="C22" t="s">
        <v>1216</v>
      </c>
      <c r="D22" t="s">
        <v>30</v>
      </c>
      <c r="E22" t="s">
        <v>128</v>
      </c>
      <c r="G22">
        <v>4500369352</v>
      </c>
      <c r="H22" t="s">
        <v>12</v>
      </c>
      <c r="I22" t="s">
        <v>1927</v>
      </c>
      <c r="J22" t="s">
        <v>128</v>
      </c>
      <c r="K22">
        <v>71941</v>
      </c>
      <c r="L22" s="1">
        <v>77000</v>
      </c>
      <c r="M22" t="str">
        <f>IFERROR(IF(VLOOKUP(LEFT(B22,2),'Humanitarian codes'!$A$2:$A$10,1,FALSE)=LEFT(B22,2),"Yes","Error"),"No")</f>
        <v>No</v>
      </c>
    </row>
    <row r="23" spans="1:13" hidden="1" x14ac:dyDescent="0.25">
      <c r="A23" t="s">
        <v>2171</v>
      </c>
      <c r="B23" t="s">
        <v>1928</v>
      </c>
      <c r="C23" t="s">
        <v>1929</v>
      </c>
      <c r="D23" t="s">
        <v>30</v>
      </c>
      <c r="E23" t="s">
        <v>83</v>
      </c>
      <c r="G23">
        <v>4500352351</v>
      </c>
      <c r="H23" t="s">
        <v>12</v>
      </c>
      <c r="I23" t="s">
        <v>1930</v>
      </c>
      <c r="J23" t="s">
        <v>83</v>
      </c>
      <c r="K23">
        <v>81751</v>
      </c>
      <c r="L23" s="1">
        <v>87500</v>
      </c>
      <c r="M23" t="str">
        <f>IFERROR(IF(VLOOKUP(LEFT(B23,2),'Humanitarian codes'!$A$2:$A$10,1,FALSE)=LEFT(B23,2),"Yes","Error"),"No")</f>
        <v>No</v>
      </c>
    </row>
    <row r="24" spans="1:13" hidden="1" x14ac:dyDescent="0.25">
      <c r="A24" t="s">
        <v>2171</v>
      </c>
      <c r="B24" t="s">
        <v>1669</v>
      </c>
      <c r="C24" t="s">
        <v>1670</v>
      </c>
      <c r="D24" t="s">
        <v>30</v>
      </c>
      <c r="E24" t="s">
        <v>257</v>
      </c>
      <c r="G24">
        <v>4500352319</v>
      </c>
      <c r="H24" t="s">
        <v>12</v>
      </c>
      <c r="I24" t="s">
        <v>1931</v>
      </c>
      <c r="J24" t="s">
        <v>257</v>
      </c>
      <c r="K24">
        <v>96912</v>
      </c>
      <c r="L24" s="1">
        <v>103726.51</v>
      </c>
      <c r="M24" t="str">
        <f>IFERROR(IF(VLOOKUP(LEFT(B24,2),'Humanitarian codes'!$A$2:$A$10,1,FALSE)=LEFT(B24,2),"Yes","Error"),"No")</f>
        <v>No</v>
      </c>
    </row>
    <row r="25" spans="1:13" hidden="1" x14ac:dyDescent="0.25">
      <c r="A25" t="s">
        <v>2171</v>
      </c>
      <c r="B25" t="s">
        <v>1669</v>
      </c>
      <c r="C25" t="s">
        <v>1670</v>
      </c>
      <c r="D25" t="s">
        <v>30</v>
      </c>
      <c r="E25" t="s">
        <v>257</v>
      </c>
      <c r="G25">
        <v>4500352340</v>
      </c>
      <c r="H25" t="s">
        <v>12</v>
      </c>
      <c r="I25" t="s">
        <v>1672</v>
      </c>
      <c r="J25" t="s">
        <v>257</v>
      </c>
      <c r="K25">
        <v>84911</v>
      </c>
      <c r="L25" s="1">
        <v>90882.33</v>
      </c>
      <c r="M25" t="str">
        <f>IFERROR(IF(VLOOKUP(LEFT(B25,2),'Humanitarian codes'!$A$2:$A$10,1,FALSE)=LEFT(B25,2),"Yes","Error"),"No")</f>
        <v>No</v>
      </c>
    </row>
    <row r="26" spans="1:13" hidden="1" x14ac:dyDescent="0.25">
      <c r="A26" t="s">
        <v>2171</v>
      </c>
      <c r="B26" t="s">
        <v>1224</v>
      </c>
      <c r="C26" t="s">
        <v>1225</v>
      </c>
      <c r="D26" t="s">
        <v>30</v>
      </c>
      <c r="E26" t="s">
        <v>128</v>
      </c>
      <c r="G26">
        <v>4500352173</v>
      </c>
      <c r="H26" t="s">
        <v>12</v>
      </c>
      <c r="I26" t="s">
        <v>1932</v>
      </c>
      <c r="J26" t="s">
        <v>128</v>
      </c>
      <c r="K26">
        <v>28029</v>
      </c>
      <c r="L26" s="1">
        <v>30000</v>
      </c>
      <c r="M26" t="str">
        <f>IFERROR(IF(VLOOKUP(LEFT(B26,2),'Humanitarian codes'!$A$2:$A$10,1,FALSE)=LEFT(B26,2),"Yes","Error"),"No")</f>
        <v>No</v>
      </c>
    </row>
    <row r="27" spans="1:13" hidden="1" x14ac:dyDescent="0.25">
      <c r="A27" t="s">
        <v>2171</v>
      </c>
      <c r="B27" t="s">
        <v>1933</v>
      </c>
      <c r="C27" t="s">
        <v>1934</v>
      </c>
      <c r="D27" t="s">
        <v>30</v>
      </c>
      <c r="E27" t="s">
        <v>253</v>
      </c>
      <c r="G27">
        <v>4500353352</v>
      </c>
      <c r="H27" t="s">
        <v>12</v>
      </c>
      <c r="I27" t="s">
        <v>156</v>
      </c>
      <c r="J27" t="s">
        <v>184</v>
      </c>
      <c r="K27">
        <v>210336</v>
      </c>
      <c r="L27" s="1">
        <v>225127</v>
      </c>
      <c r="M27" t="str">
        <f>IFERROR(IF(VLOOKUP(LEFT(B27,2),'Humanitarian codes'!$A$2:$A$10,1,FALSE)=LEFT(B27,2),"Yes","Error"),"No")</f>
        <v>No</v>
      </c>
    </row>
    <row r="28" spans="1:13" hidden="1" x14ac:dyDescent="0.25">
      <c r="A28" t="s">
        <v>2171</v>
      </c>
      <c r="B28" t="s">
        <v>1935</v>
      </c>
      <c r="C28" t="s">
        <v>1936</v>
      </c>
      <c r="D28" t="s">
        <v>30</v>
      </c>
      <c r="E28" t="s">
        <v>594</v>
      </c>
      <c r="G28">
        <v>4500363250</v>
      </c>
      <c r="H28" t="s">
        <v>12</v>
      </c>
      <c r="I28" t="s">
        <v>1937</v>
      </c>
      <c r="J28" t="s">
        <v>594</v>
      </c>
      <c r="K28">
        <v>182606</v>
      </c>
      <c r="L28" s="1">
        <v>195446.46</v>
      </c>
      <c r="M28" t="str">
        <f>IFERROR(IF(VLOOKUP(LEFT(B28,2),'Humanitarian codes'!$A$2:$A$10,1,FALSE)=LEFT(B28,2),"Yes","Error"),"No")</f>
        <v>No</v>
      </c>
    </row>
    <row r="29" spans="1:13" hidden="1" x14ac:dyDescent="0.25">
      <c r="A29" t="s">
        <v>2171</v>
      </c>
      <c r="B29" t="s">
        <v>1935</v>
      </c>
      <c r="C29" t="s">
        <v>1936</v>
      </c>
      <c r="D29" t="s">
        <v>30</v>
      </c>
      <c r="E29" t="s">
        <v>594</v>
      </c>
      <c r="G29">
        <v>4500363252</v>
      </c>
      <c r="H29" t="s">
        <v>12</v>
      </c>
      <c r="I29" t="s">
        <v>1938</v>
      </c>
      <c r="J29" t="s">
        <v>616</v>
      </c>
      <c r="K29">
        <v>140583</v>
      </c>
      <c r="L29" s="1">
        <v>150468.72</v>
      </c>
      <c r="M29" t="str">
        <f>IFERROR(IF(VLOOKUP(LEFT(B29,2),'Humanitarian codes'!$A$2:$A$10,1,FALSE)=LEFT(B29,2),"Yes","Error"),"No")</f>
        <v>No</v>
      </c>
    </row>
    <row r="30" spans="1:13" hidden="1" x14ac:dyDescent="0.25">
      <c r="A30" t="s">
        <v>2171</v>
      </c>
      <c r="B30" t="s">
        <v>1939</v>
      </c>
      <c r="C30" t="s">
        <v>1940</v>
      </c>
      <c r="D30" t="s">
        <v>30</v>
      </c>
      <c r="E30" t="s">
        <v>261</v>
      </c>
      <c r="G30">
        <v>4500378247</v>
      </c>
      <c r="H30" t="s">
        <v>12</v>
      </c>
      <c r="I30" t="s">
        <v>788</v>
      </c>
      <c r="J30" t="s">
        <v>261</v>
      </c>
      <c r="K30">
        <v>32085</v>
      </c>
      <c r="L30" s="1">
        <v>34341.51</v>
      </c>
      <c r="M30" t="str">
        <f>IFERROR(IF(VLOOKUP(LEFT(B30,2),'Humanitarian codes'!$A$2:$A$10,1,FALSE)=LEFT(B30,2),"Yes","Error"),"No")</f>
        <v>No</v>
      </c>
    </row>
    <row r="31" spans="1:13" x14ac:dyDescent="0.25">
      <c r="A31" t="s">
        <v>2171</v>
      </c>
      <c r="B31" t="s">
        <v>1941</v>
      </c>
      <c r="C31" t="s">
        <v>1942</v>
      </c>
      <c r="D31" t="s">
        <v>30</v>
      </c>
      <c r="E31" t="s">
        <v>474</v>
      </c>
      <c r="G31">
        <v>4500373603</v>
      </c>
      <c r="H31" t="s">
        <v>12</v>
      </c>
      <c r="I31" t="s">
        <v>1943</v>
      </c>
      <c r="J31" t="s">
        <v>474</v>
      </c>
      <c r="K31">
        <v>24254</v>
      </c>
      <c r="L31" s="1">
        <v>25959.97</v>
      </c>
      <c r="M31" t="str">
        <f>IFERROR(IF(VLOOKUP(LEFT(B31,2),'Humanitarian codes'!$A$2:$A$10,1,FALSE)=LEFT(B31,2),"Yes","Error"),"No")</f>
        <v>Yes</v>
      </c>
    </row>
    <row r="32" spans="1:13" x14ac:dyDescent="0.25">
      <c r="A32" t="s">
        <v>2171</v>
      </c>
      <c r="B32" t="s">
        <v>1941</v>
      </c>
      <c r="C32" t="s">
        <v>1942</v>
      </c>
      <c r="D32" t="s">
        <v>30</v>
      </c>
      <c r="E32" t="s">
        <v>474</v>
      </c>
      <c r="G32">
        <v>4500371601</v>
      </c>
      <c r="H32" t="s">
        <v>12</v>
      </c>
      <c r="I32" t="s">
        <v>1944</v>
      </c>
      <c r="J32" t="s">
        <v>474</v>
      </c>
      <c r="K32">
        <v>11907</v>
      </c>
      <c r="L32" s="1">
        <v>12744</v>
      </c>
      <c r="M32" t="str">
        <f>IFERROR(IF(VLOOKUP(LEFT(B32,2),'Humanitarian codes'!$A$2:$A$10,1,FALSE)=LEFT(B32,2),"Yes","Error"),"No")</f>
        <v>Yes</v>
      </c>
    </row>
    <row r="33" spans="1:13" x14ac:dyDescent="0.25">
      <c r="A33" t="s">
        <v>2171</v>
      </c>
      <c r="B33" t="s">
        <v>66</v>
      </c>
      <c r="C33" t="s">
        <v>67</v>
      </c>
      <c r="D33" t="s">
        <v>30</v>
      </c>
      <c r="E33" t="s">
        <v>1166</v>
      </c>
      <c r="G33">
        <v>4500380275</v>
      </c>
      <c r="H33" t="s">
        <v>12</v>
      </c>
      <c r="I33" t="s">
        <v>1945</v>
      </c>
      <c r="J33" t="s">
        <v>1166</v>
      </c>
      <c r="K33">
        <v>21352</v>
      </c>
      <c r="L33" s="1">
        <v>22853.03</v>
      </c>
      <c r="M33" t="str">
        <f>IFERROR(IF(VLOOKUP(LEFT(B33,2),'Humanitarian codes'!$A$2:$A$10,1,FALSE)=LEFT(B33,2),"Yes","Error"),"No")</f>
        <v>Yes</v>
      </c>
    </row>
    <row r="34" spans="1:13" x14ac:dyDescent="0.25">
      <c r="A34" t="s">
        <v>2171</v>
      </c>
      <c r="B34" t="s">
        <v>1946</v>
      </c>
      <c r="C34" t="s">
        <v>1947</v>
      </c>
      <c r="D34" t="s">
        <v>30</v>
      </c>
      <c r="E34" t="s">
        <v>83</v>
      </c>
      <c r="G34">
        <v>4500375071</v>
      </c>
      <c r="H34" t="s">
        <v>12</v>
      </c>
      <c r="I34" t="s">
        <v>86</v>
      </c>
      <c r="J34" t="s">
        <v>83</v>
      </c>
      <c r="K34">
        <v>78814</v>
      </c>
      <c r="L34" s="1">
        <v>84356</v>
      </c>
      <c r="M34" t="str">
        <f>IFERROR(IF(VLOOKUP(LEFT(B34,2),'Humanitarian codes'!$A$2:$A$10,1,FALSE)=LEFT(B34,2),"Yes","Error"),"No")</f>
        <v>Yes</v>
      </c>
    </row>
    <row r="35" spans="1:13" x14ac:dyDescent="0.25">
      <c r="A35" t="s">
        <v>2171</v>
      </c>
      <c r="B35" t="s">
        <v>1946</v>
      </c>
      <c r="C35" t="s">
        <v>1947</v>
      </c>
      <c r="D35" t="s">
        <v>30</v>
      </c>
      <c r="E35" t="s">
        <v>83</v>
      </c>
      <c r="G35">
        <v>4500367297</v>
      </c>
      <c r="H35" t="s">
        <v>12</v>
      </c>
      <c r="I35" t="s">
        <v>84</v>
      </c>
      <c r="J35" t="s">
        <v>83</v>
      </c>
      <c r="K35">
        <v>232575</v>
      </c>
      <c r="L35" s="1">
        <v>248929.26</v>
      </c>
      <c r="M35" t="str">
        <f>IFERROR(IF(VLOOKUP(LEFT(B35,2),'Humanitarian codes'!$A$2:$A$10,1,FALSE)=LEFT(B35,2),"Yes","Error"),"No")</f>
        <v>Yes</v>
      </c>
    </row>
    <row r="36" spans="1:13" x14ac:dyDescent="0.25">
      <c r="A36" t="s">
        <v>2171</v>
      </c>
      <c r="B36" t="s">
        <v>1948</v>
      </c>
      <c r="C36" t="s">
        <v>1949</v>
      </c>
      <c r="D36" t="s">
        <v>30</v>
      </c>
      <c r="E36" t="s">
        <v>1650</v>
      </c>
      <c r="G36">
        <v>4500366851</v>
      </c>
      <c r="H36" t="s">
        <v>12</v>
      </c>
      <c r="I36" t="s">
        <v>1950</v>
      </c>
      <c r="J36" t="s">
        <v>1650</v>
      </c>
      <c r="K36">
        <v>9132</v>
      </c>
      <c r="L36" s="1">
        <v>9774.44</v>
      </c>
      <c r="M36" t="str">
        <f>IFERROR(IF(VLOOKUP(LEFT(B36,2),'Humanitarian codes'!$A$2:$A$10,1,FALSE)=LEFT(B36,2),"Yes","Error"),"No")</f>
        <v>Yes</v>
      </c>
    </row>
    <row r="37" spans="1:13" x14ac:dyDescent="0.25">
      <c r="A37" t="s">
        <v>2171</v>
      </c>
      <c r="B37" t="s">
        <v>1243</v>
      </c>
      <c r="C37" t="s">
        <v>1244</v>
      </c>
      <c r="D37" t="s">
        <v>30</v>
      </c>
      <c r="E37" t="s">
        <v>32</v>
      </c>
      <c r="G37">
        <v>4500352307</v>
      </c>
      <c r="H37" t="s">
        <v>12</v>
      </c>
      <c r="I37" t="s">
        <v>1951</v>
      </c>
      <c r="J37" t="s">
        <v>32</v>
      </c>
      <c r="K37">
        <v>168174</v>
      </c>
      <c r="L37" s="1">
        <v>180000</v>
      </c>
      <c r="M37" t="str">
        <f>IFERROR(IF(VLOOKUP(LEFT(B37,2),'Humanitarian codes'!$A$2:$A$10,1,FALSE)=LEFT(B37,2),"Yes","Error"),"No")</f>
        <v>Yes</v>
      </c>
    </row>
    <row r="38" spans="1:13" x14ac:dyDescent="0.25">
      <c r="A38" t="s">
        <v>2171</v>
      </c>
      <c r="B38" t="s">
        <v>1243</v>
      </c>
      <c r="C38" t="s">
        <v>1244</v>
      </c>
      <c r="D38" t="s">
        <v>30</v>
      </c>
      <c r="E38" t="s">
        <v>32</v>
      </c>
      <c r="G38">
        <v>4500360329</v>
      </c>
      <c r="H38" t="s">
        <v>12</v>
      </c>
      <c r="I38" t="s">
        <v>37</v>
      </c>
      <c r="J38" t="s">
        <v>32</v>
      </c>
      <c r="K38">
        <v>182301</v>
      </c>
      <c r="L38" s="1">
        <v>195120</v>
      </c>
      <c r="M38" t="str">
        <f>IFERROR(IF(VLOOKUP(LEFT(B38,2),'Humanitarian codes'!$A$2:$A$10,1,FALSE)=LEFT(B38,2),"Yes","Error"),"No")</f>
        <v>Yes</v>
      </c>
    </row>
    <row r="39" spans="1:13" x14ac:dyDescent="0.25">
      <c r="A39" t="s">
        <v>2171</v>
      </c>
      <c r="B39" t="s">
        <v>1243</v>
      </c>
      <c r="C39" t="s">
        <v>1244</v>
      </c>
      <c r="D39" t="s">
        <v>30</v>
      </c>
      <c r="E39" t="s">
        <v>32</v>
      </c>
      <c r="G39">
        <v>4500380466</v>
      </c>
      <c r="H39" t="s">
        <v>12</v>
      </c>
      <c r="I39" t="s">
        <v>61</v>
      </c>
      <c r="J39" t="s">
        <v>32</v>
      </c>
      <c r="K39">
        <v>93813</v>
      </c>
      <c r="L39" s="1">
        <v>100410</v>
      </c>
      <c r="M39" t="str">
        <f>IFERROR(IF(VLOOKUP(LEFT(B39,2),'Humanitarian codes'!$A$2:$A$10,1,FALSE)=LEFT(B39,2),"Yes","Error"),"No")</f>
        <v>Yes</v>
      </c>
    </row>
    <row r="40" spans="1:13" x14ac:dyDescent="0.25">
      <c r="A40" t="s">
        <v>2171</v>
      </c>
      <c r="B40" t="s">
        <v>1243</v>
      </c>
      <c r="C40" t="s">
        <v>1244</v>
      </c>
      <c r="D40" t="s">
        <v>30</v>
      </c>
      <c r="E40" t="s">
        <v>32</v>
      </c>
      <c r="G40">
        <v>4500360373</v>
      </c>
      <c r="H40" t="s">
        <v>12</v>
      </c>
      <c r="I40" t="s">
        <v>1952</v>
      </c>
      <c r="J40" t="s">
        <v>32</v>
      </c>
      <c r="K40">
        <v>186860</v>
      </c>
      <c r="L40" s="1">
        <v>200000</v>
      </c>
      <c r="M40" t="str">
        <f>IFERROR(IF(VLOOKUP(LEFT(B40,2),'Humanitarian codes'!$A$2:$A$10,1,FALSE)=LEFT(B40,2),"Yes","Error"),"No")</f>
        <v>Yes</v>
      </c>
    </row>
    <row r="41" spans="1:13" x14ac:dyDescent="0.25">
      <c r="A41" t="s">
        <v>2171</v>
      </c>
      <c r="B41" t="s">
        <v>1243</v>
      </c>
      <c r="C41" t="s">
        <v>1244</v>
      </c>
      <c r="D41" t="s">
        <v>30</v>
      </c>
      <c r="E41" t="s">
        <v>32</v>
      </c>
      <c r="G41">
        <v>4500355912</v>
      </c>
      <c r="H41" t="s">
        <v>12</v>
      </c>
      <c r="I41" t="s">
        <v>1691</v>
      </c>
      <c r="J41" t="s">
        <v>32</v>
      </c>
      <c r="K41">
        <v>45781</v>
      </c>
      <c r="L41" s="1">
        <v>49000</v>
      </c>
      <c r="M41" t="str">
        <f>IFERROR(IF(VLOOKUP(LEFT(B41,2),'Humanitarian codes'!$A$2:$A$10,1,FALSE)=LEFT(B41,2),"Yes","Error"),"No")</f>
        <v>Yes</v>
      </c>
    </row>
    <row r="42" spans="1:13" x14ac:dyDescent="0.25">
      <c r="A42" t="s">
        <v>2171</v>
      </c>
      <c r="B42" t="s">
        <v>1243</v>
      </c>
      <c r="C42" t="s">
        <v>1244</v>
      </c>
      <c r="D42" t="s">
        <v>30</v>
      </c>
      <c r="E42" t="s">
        <v>32</v>
      </c>
      <c r="G42">
        <v>4500379649</v>
      </c>
      <c r="H42" t="s">
        <v>12</v>
      </c>
      <c r="I42" t="s">
        <v>1953</v>
      </c>
      <c r="J42" t="s">
        <v>32</v>
      </c>
      <c r="K42">
        <v>33635</v>
      </c>
      <c r="L42" s="1">
        <v>36000</v>
      </c>
      <c r="M42" t="str">
        <f>IFERROR(IF(VLOOKUP(LEFT(B42,2),'Humanitarian codes'!$A$2:$A$10,1,FALSE)=LEFT(B42,2),"Yes","Error"),"No")</f>
        <v>Yes</v>
      </c>
    </row>
    <row r="43" spans="1:13" x14ac:dyDescent="0.25">
      <c r="A43" t="s">
        <v>2171</v>
      </c>
      <c r="B43" t="s">
        <v>1243</v>
      </c>
      <c r="C43" t="s">
        <v>1244</v>
      </c>
      <c r="D43" t="s">
        <v>30</v>
      </c>
      <c r="E43" t="s">
        <v>32</v>
      </c>
      <c r="G43">
        <v>4500374667</v>
      </c>
      <c r="H43" t="s">
        <v>12</v>
      </c>
      <c r="I43" t="s">
        <v>1693</v>
      </c>
      <c r="J43" t="s">
        <v>32</v>
      </c>
      <c r="K43">
        <v>412349</v>
      </c>
      <c r="L43" s="1">
        <v>441345</v>
      </c>
      <c r="M43" t="str">
        <f>IFERROR(IF(VLOOKUP(LEFT(B43,2),'Humanitarian codes'!$A$2:$A$10,1,FALSE)=LEFT(B43,2),"Yes","Error"),"No")</f>
        <v>Yes</v>
      </c>
    </row>
    <row r="44" spans="1:13" x14ac:dyDescent="0.25">
      <c r="A44" t="s">
        <v>2171</v>
      </c>
      <c r="B44" t="s">
        <v>1243</v>
      </c>
      <c r="C44" t="s">
        <v>1244</v>
      </c>
      <c r="D44" t="s">
        <v>30</v>
      </c>
      <c r="E44" t="s">
        <v>32</v>
      </c>
      <c r="G44">
        <v>4500367017</v>
      </c>
      <c r="H44" t="s">
        <v>12</v>
      </c>
      <c r="I44" t="s">
        <v>1954</v>
      </c>
      <c r="J44" t="s">
        <v>32</v>
      </c>
      <c r="K44">
        <v>222561</v>
      </c>
      <c r="L44" s="1">
        <v>238212</v>
      </c>
      <c r="M44" t="str">
        <f>IFERROR(IF(VLOOKUP(LEFT(B44,2),'Humanitarian codes'!$A$2:$A$10,1,FALSE)=LEFT(B44,2),"Yes","Error"),"No")</f>
        <v>Yes</v>
      </c>
    </row>
    <row r="45" spans="1:13" x14ac:dyDescent="0.25">
      <c r="A45" t="s">
        <v>2171</v>
      </c>
      <c r="B45" t="s">
        <v>70</v>
      </c>
      <c r="C45" t="s">
        <v>71</v>
      </c>
      <c r="D45" t="s">
        <v>30</v>
      </c>
      <c r="E45" t="s">
        <v>150</v>
      </c>
      <c r="G45">
        <v>4500373197</v>
      </c>
      <c r="H45" t="s">
        <v>12</v>
      </c>
      <c r="I45" t="s">
        <v>832</v>
      </c>
      <c r="J45" t="s">
        <v>150</v>
      </c>
      <c r="K45">
        <v>212723</v>
      </c>
      <c r="L45" s="1">
        <v>227681.37</v>
      </c>
      <c r="M45" t="str">
        <f>IFERROR(IF(VLOOKUP(LEFT(B45,2),'Humanitarian codes'!$A$2:$A$10,1,FALSE)=LEFT(B45,2),"Yes","Error"),"No")</f>
        <v>Yes</v>
      </c>
    </row>
    <row r="46" spans="1:13" x14ac:dyDescent="0.25">
      <c r="A46" t="s">
        <v>2171</v>
      </c>
      <c r="B46" t="s">
        <v>70</v>
      </c>
      <c r="C46" t="s">
        <v>71</v>
      </c>
      <c r="D46" t="s">
        <v>30</v>
      </c>
      <c r="E46" t="s">
        <v>477</v>
      </c>
      <c r="G46">
        <v>4500362339</v>
      </c>
      <c r="H46" t="s">
        <v>12</v>
      </c>
      <c r="I46" t="s">
        <v>745</v>
      </c>
      <c r="J46" t="s">
        <v>477</v>
      </c>
      <c r="K46">
        <v>4702</v>
      </c>
      <c r="L46" s="1">
        <v>5032.84</v>
      </c>
      <c r="M46" t="str">
        <f>IFERROR(IF(VLOOKUP(LEFT(B46,2),'Humanitarian codes'!$A$2:$A$10,1,FALSE)=LEFT(B46,2),"Yes","Error"),"No")</f>
        <v>Yes</v>
      </c>
    </row>
    <row r="47" spans="1:13" x14ac:dyDescent="0.25">
      <c r="A47" t="s">
        <v>2171</v>
      </c>
      <c r="B47" t="s">
        <v>70</v>
      </c>
      <c r="C47" t="s">
        <v>71</v>
      </c>
      <c r="D47" t="s">
        <v>30</v>
      </c>
      <c r="E47" t="s">
        <v>477</v>
      </c>
      <c r="G47">
        <v>4500362338</v>
      </c>
      <c r="H47" t="s">
        <v>12</v>
      </c>
      <c r="I47" t="s">
        <v>611</v>
      </c>
      <c r="J47" t="s">
        <v>477</v>
      </c>
      <c r="K47">
        <v>4228</v>
      </c>
      <c r="L47" s="1">
        <v>4525.28</v>
      </c>
      <c r="M47" t="str">
        <f>IFERROR(IF(VLOOKUP(LEFT(B47,2),'Humanitarian codes'!$A$2:$A$10,1,FALSE)=LEFT(B47,2),"Yes","Error"),"No")</f>
        <v>Yes</v>
      </c>
    </row>
    <row r="48" spans="1:13" x14ac:dyDescent="0.25">
      <c r="A48" t="s">
        <v>2171</v>
      </c>
      <c r="B48" t="s">
        <v>70</v>
      </c>
      <c r="C48" t="s">
        <v>71</v>
      </c>
      <c r="D48" t="s">
        <v>30</v>
      </c>
      <c r="E48" t="s">
        <v>477</v>
      </c>
      <c r="G48">
        <v>4500362337</v>
      </c>
      <c r="H48" t="s">
        <v>12</v>
      </c>
      <c r="I48" t="s">
        <v>744</v>
      </c>
      <c r="J48" t="s">
        <v>477</v>
      </c>
      <c r="K48">
        <v>4761</v>
      </c>
      <c r="L48" s="1">
        <v>5095.8100000000004</v>
      </c>
      <c r="M48" t="str">
        <f>IFERROR(IF(VLOOKUP(LEFT(B48,2),'Humanitarian codes'!$A$2:$A$10,1,FALSE)=LEFT(B48,2),"Yes","Error"),"No")</f>
        <v>Yes</v>
      </c>
    </row>
    <row r="49" spans="1:13" x14ac:dyDescent="0.25">
      <c r="A49" t="s">
        <v>2171</v>
      </c>
      <c r="B49" t="s">
        <v>70</v>
      </c>
      <c r="C49" t="s">
        <v>71</v>
      </c>
      <c r="D49" t="s">
        <v>30</v>
      </c>
      <c r="E49" t="s">
        <v>477</v>
      </c>
      <c r="G49">
        <v>4500364566</v>
      </c>
      <c r="H49" t="s">
        <v>12</v>
      </c>
      <c r="I49" t="s">
        <v>1567</v>
      </c>
      <c r="J49" t="s">
        <v>477</v>
      </c>
      <c r="K49">
        <v>4397</v>
      </c>
      <c r="L49" s="1">
        <v>4706.13</v>
      </c>
      <c r="M49" t="str">
        <f>IFERROR(IF(VLOOKUP(LEFT(B49,2),'Humanitarian codes'!$A$2:$A$10,1,FALSE)=LEFT(B49,2),"Yes","Error"),"No")</f>
        <v>Yes</v>
      </c>
    </row>
    <row r="50" spans="1:13" x14ac:dyDescent="0.25">
      <c r="A50" t="s">
        <v>2171</v>
      </c>
      <c r="B50" t="s">
        <v>70</v>
      </c>
      <c r="C50" t="s">
        <v>71</v>
      </c>
      <c r="D50" t="s">
        <v>30</v>
      </c>
      <c r="E50" t="s">
        <v>477</v>
      </c>
      <c r="G50">
        <v>4500362065</v>
      </c>
      <c r="H50" t="s">
        <v>12</v>
      </c>
      <c r="I50" t="s">
        <v>506</v>
      </c>
      <c r="J50" t="s">
        <v>477</v>
      </c>
      <c r="K50">
        <v>4708</v>
      </c>
      <c r="L50" s="1">
        <v>5039.49</v>
      </c>
      <c r="M50" t="str">
        <f>IFERROR(IF(VLOOKUP(LEFT(B50,2),'Humanitarian codes'!$A$2:$A$10,1,FALSE)=LEFT(B50,2),"Yes","Error"),"No")</f>
        <v>Yes</v>
      </c>
    </row>
    <row r="51" spans="1:13" x14ac:dyDescent="0.25">
      <c r="A51" t="s">
        <v>2171</v>
      </c>
      <c r="B51" t="s">
        <v>1246</v>
      </c>
      <c r="C51" t="s">
        <v>1247</v>
      </c>
      <c r="D51" t="s">
        <v>30</v>
      </c>
      <c r="E51" t="s">
        <v>54</v>
      </c>
      <c r="G51">
        <v>4500376404</v>
      </c>
      <c r="H51" t="s">
        <v>12</v>
      </c>
      <c r="I51" t="s">
        <v>55</v>
      </c>
      <c r="J51" t="s">
        <v>54</v>
      </c>
      <c r="K51">
        <v>74149</v>
      </c>
      <c r="L51" s="1">
        <v>79362.98</v>
      </c>
      <c r="M51" t="str">
        <f>IFERROR(IF(VLOOKUP(LEFT(B51,2),'Humanitarian codes'!$A$2:$A$10,1,FALSE)=LEFT(B51,2),"Yes","Error"),"No")</f>
        <v>Yes</v>
      </c>
    </row>
    <row r="52" spans="1:13" x14ac:dyDescent="0.25">
      <c r="A52" t="s">
        <v>2171</v>
      </c>
      <c r="B52" t="s">
        <v>1246</v>
      </c>
      <c r="C52" t="s">
        <v>1247</v>
      </c>
      <c r="D52" t="s">
        <v>30</v>
      </c>
      <c r="E52" t="s">
        <v>54</v>
      </c>
      <c r="G52">
        <v>4500376418</v>
      </c>
      <c r="H52" t="s">
        <v>12</v>
      </c>
      <c r="I52" t="s">
        <v>1955</v>
      </c>
      <c r="J52" t="s">
        <v>54</v>
      </c>
      <c r="K52">
        <v>61108</v>
      </c>
      <c r="L52" s="1">
        <v>65405.41</v>
      </c>
      <c r="M52" t="str">
        <f>IFERROR(IF(VLOOKUP(LEFT(B52,2),'Humanitarian codes'!$A$2:$A$10,1,FALSE)=LEFT(B52,2),"Yes","Error"),"No")</f>
        <v>Yes</v>
      </c>
    </row>
    <row r="53" spans="1:13" x14ac:dyDescent="0.25">
      <c r="A53" t="s">
        <v>2171</v>
      </c>
      <c r="B53" t="s">
        <v>1246</v>
      </c>
      <c r="C53" t="s">
        <v>1247</v>
      </c>
      <c r="D53" t="s">
        <v>30</v>
      </c>
      <c r="E53" t="s">
        <v>54</v>
      </c>
      <c r="G53">
        <v>4500376415</v>
      </c>
      <c r="H53" t="s">
        <v>12</v>
      </c>
      <c r="I53" t="s">
        <v>1292</v>
      </c>
      <c r="J53" t="s">
        <v>54</v>
      </c>
      <c r="K53">
        <v>28957</v>
      </c>
      <c r="L53" s="1">
        <v>30993.24</v>
      </c>
      <c r="M53" t="str">
        <f>IFERROR(IF(VLOOKUP(LEFT(B53,2),'Humanitarian codes'!$A$2:$A$10,1,FALSE)=LEFT(B53,2),"Yes","Error"),"No")</f>
        <v>Yes</v>
      </c>
    </row>
    <row r="54" spans="1:13" x14ac:dyDescent="0.25">
      <c r="A54" t="s">
        <v>2171</v>
      </c>
      <c r="B54" t="s">
        <v>1255</v>
      </c>
      <c r="C54" t="s">
        <v>1256</v>
      </c>
      <c r="D54" t="s">
        <v>30</v>
      </c>
      <c r="E54" t="s">
        <v>303</v>
      </c>
      <c r="G54">
        <v>4500352317</v>
      </c>
      <c r="H54" t="s">
        <v>12</v>
      </c>
      <c r="I54" t="s">
        <v>1323</v>
      </c>
      <c r="J54" t="s">
        <v>303</v>
      </c>
      <c r="K54">
        <v>42323</v>
      </c>
      <c r="L54" s="1">
        <v>45298.64</v>
      </c>
      <c r="M54" t="str">
        <f>IFERROR(IF(VLOOKUP(LEFT(B54,2),'Humanitarian codes'!$A$2:$A$10,1,FALSE)=LEFT(B54,2),"Yes","Error"),"No")</f>
        <v>Yes</v>
      </c>
    </row>
    <row r="55" spans="1:13" x14ac:dyDescent="0.25">
      <c r="A55" t="s">
        <v>2171</v>
      </c>
      <c r="B55" t="s">
        <v>1255</v>
      </c>
      <c r="C55" t="s">
        <v>1256</v>
      </c>
      <c r="D55" t="s">
        <v>30</v>
      </c>
      <c r="E55" t="s">
        <v>303</v>
      </c>
      <c r="G55">
        <v>4500352315</v>
      </c>
      <c r="H55" t="s">
        <v>12</v>
      </c>
      <c r="I55" t="s">
        <v>1956</v>
      </c>
      <c r="J55" t="s">
        <v>303</v>
      </c>
      <c r="K55">
        <v>13607</v>
      </c>
      <c r="L55" s="1">
        <v>14563.89</v>
      </c>
      <c r="M55" t="str">
        <f>IFERROR(IF(VLOOKUP(LEFT(B55,2),'Humanitarian codes'!$A$2:$A$10,1,FALSE)=LEFT(B55,2),"Yes","Error"),"No")</f>
        <v>Yes</v>
      </c>
    </row>
    <row r="56" spans="1:13" x14ac:dyDescent="0.25">
      <c r="A56" t="s">
        <v>2171</v>
      </c>
      <c r="B56" t="s">
        <v>81</v>
      </c>
      <c r="C56" t="s">
        <v>82</v>
      </c>
      <c r="D56" t="s">
        <v>30</v>
      </c>
      <c r="E56" t="s">
        <v>83</v>
      </c>
      <c r="G56">
        <v>4500375071</v>
      </c>
      <c r="H56" t="s">
        <v>12</v>
      </c>
      <c r="I56" t="s">
        <v>86</v>
      </c>
      <c r="J56" t="s">
        <v>83</v>
      </c>
      <c r="K56">
        <v>78814</v>
      </c>
      <c r="L56" s="1">
        <v>84356</v>
      </c>
      <c r="M56" t="str">
        <f>IFERROR(IF(VLOOKUP(LEFT(B56,2),'Humanitarian codes'!$A$2:$A$10,1,FALSE)=LEFT(B56,2),"Yes","Error"),"No")</f>
        <v>Yes</v>
      </c>
    </row>
    <row r="57" spans="1:13" x14ac:dyDescent="0.25">
      <c r="A57" t="s">
        <v>2171</v>
      </c>
      <c r="B57" t="s">
        <v>1957</v>
      </c>
      <c r="C57" t="s">
        <v>1958</v>
      </c>
      <c r="D57" t="s">
        <v>30</v>
      </c>
      <c r="E57" t="s">
        <v>356</v>
      </c>
      <c r="G57">
        <v>4500370255</v>
      </c>
      <c r="H57" t="s">
        <v>12</v>
      </c>
      <c r="I57" t="s">
        <v>1368</v>
      </c>
      <c r="J57" t="s">
        <v>356</v>
      </c>
      <c r="K57">
        <v>11212</v>
      </c>
      <c r="L57" s="1">
        <v>12000</v>
      </c>
      <c r="M57" t="str">
        <f>IFERROR(IF(VLOOKUP(LEFT(B57,2),'Humanitarian codes'!$A$2:$A$10,1,FALSE)=LEFT(B57,2),"Yes","Error"),"No")</f>
        <v>Yes</v>
      </c>
    </row>
    <row r="58" spans="1:13" x14ac:dyDescent="0.25">
      <c r="A58" t="s">
        <v>2171</v>
      </c>
      <c r="B58" t="s">
        <v>87</v>
      </c>
      <c r="C58" t="s">
        <v>88</v>
      </c>
      <c r="D58" t="s">
        <v>30</v>
      </c>
      <c r="E58" t="s">
        <v>32</v>
      </c>
      <c r="G58">
        <v>4500366687</v>
      </c>
      <c r="H58" t="s">
        <v>12</v>
      </c>
      <c r="I58" t="s">
        <v>1959</v>
      </c>
      <c r="J58" t="s">
        <v>32</v>
      </c>
      <c r="K58">
        <v>137468</v>
      </c>
      <c r="L58" s="1">
        <v>147135</v>
      </c>
      <c r="M58" t="str">
        <f>IFERROR(IF(VLOOKUP(LEFT(B58,2),'Humanitarian codes'!$A$2:$A$10,1,FALSE)=LEFT(B58,2),"Yes","Error"),"No")</f>
        <v>Yes</v>
      </c>
    </row>
    <row r="59" spans="1:13" x14ac:dyDescent="0.25">
      <c r="A59" t="s">
        <v>2171</v>
      </c>
      <c r="B59" t="s">
        <v>87</v>
      </c>
      <c r="C59" t="s">
        <v>88</v>
      </c>
      <c r="D59" t="s">
        <v>30</v>
      </c>
      <c r="E59" t="s">
        <v>32</v>
      </c>
      <c r="G59">
        <v>4500371973</v>
      </c>
      <c r="H59" t="s">
        <v>12</v>
      </c>
      <c r="I59" t="s">
        <v>1960</v>
      </c>
      <c r="J59" t="s">
        <v>32</v>
      </c>
      <c r="K59">
        <v>220658</v>
      </c>
      <c r="L59" s="1">
        <v>236175</v>
      </c>
      <c r="M59" t="str">
        <f>IFERROR(IF(VLOOKUP(LEFT(B59,2),'Humanitarian codes'!$A$2:$A$10,1,FALSE)=LEFT(B59,2),"Yes","Error"),"No")</f>
        <v>Yes</v>
      </c>
    </row>
    <row r="60" spans="1:13" x14ac:dyDescent="0.25">
      <c r="A60" t="s">
        <v>2171</v>
      </c>
      <c r="B60" t="s">
        <v>87</v>
      </c>
      <c r="C60" t="s">
        <v>88</v>
      </c>
      <c r="D60" t="s">
        <v>30</v>
      </c>
      <c r="E60" t="s">
        <v>32</v>
      </c>
      <c r="G60">
        <v>4500373887</v>
      </c>
      <c r="H60" t="s">
        <v>12</v>
      </c>
      <c r="I60" t="s">
        <v>101</v>
      </c>
      <c r="J60" t="s">
        <v>32</v>
      </c>
      <c r="K60">
        <v>233575</v>
      </c>
      <c r="L60" s="1">
        <v>250000</v>
      </c>
      <c r="M60" t="str">
        <f>IFERROR(IF(VLOOKUP(LEFT(B60,2),'Humanitarian codes'!$A$2:$A$10,1,FALSE)=LEFT(B60,2),"Yes","Error"),"No")</f>
        <v>Yes</v>
      </c>
    </row>
    <row r="61" spans="1:13" x14ac:dyDescent="0.25">
      <c r="A61" t="s">
        <v>2171</v>
      </c>
      <c r="B61" t="s">
        <v>87</v>
      </c>
      <c r="C61" t="s">
        <v>88</v>
      </c>
      <c r="D61" t="s">
        <v>30</v>
      </c>
      <c r="E61" t="s">
        <v>32</v>
      </c>
      <c r="G61">
        <v>4500374881</v>
      </c>
      <c r="H61" t="s">
        <v>12</v>
      </c>
      <c r="I61" t="s">
        <v>1961</v>
      </c>
      <c r="J61" t="s">
        <v>32</v>
      </c>
      <c r="K61">
        <v>216657</v>
      </c>
      <c r="L61" s="1">
        <v>231892</v>
      </c>
      <c r="M61" t="str">
        <f>IFERROR(IF(VLOOKUP(LEFT(B61,2),'Humanitarian codes'!$A$2:$A$10,1,FALSE)=LEFT(B61,2),"Yes","Error"),"No")</f>
        <v>Yes</v>
      </c>
    </row>
    <row r="62" spans="1:13" x14ac:dyDescent="0.25">
      <c r="A62" t="s">
        <v>2171</v>
      </c>
      <c r="B62" t="s">
        <v>87</v>
      </c>
      <c r="C62" t="s">
        <v>88</v>
      </c>
      <c r="D62" t="s">
        <v>30</v>
      </c>
      <c r="E62" t="s">
        <v>32</v>
      </c>
      <c r="G62">
        <v>4500362292</v>
      </c>
      <c r="H62" t="s">
        <v>12</v>
      </c>
      <c r="I62" t="s">
        <v>89</v>
      </c>
      <c r="J62" t="s">
        <v>32</v>
      </c>
      <c r="K62">
        <v>139398</v>
      </c>
      <c r="L62" s="1">
        <v>149200</v>
      </c>
      <c r="M62" t="str">
        <f>IFERROR(IF(VLOOKUP(LEFT(B62,2),'Humanitarian codes'!$A$2:$A$10,1,FALSE)=LEFT(B62,2),"Yes","Error"),"No")</f>
        <v>Yes</v>
      </c>
    </row>
    <row r="63" spans="1:13" x14ac:dyDescent="0.25">
      <c r="A63" t="s">
        <v>2171</v>
      </c>
      <c r="B63" t="s">
        <v>87</v>
      </c>
      <c r="C63" t="s">
        <v>88</v>
      </c>
      <c r="D63" t="s">
        <v>30</v>
      </c>
      <c r="E63" t="s">
        <v>32</v>
      </c>
      <c r="G63">
        <v>4500378069</v>
      </c>
      <c r="H63" t="s">
        <v>12</v>
      </c>
      <c r="I63" t="s">
        <v>89</v>
      </c>
      <c r="J63" t="s">
        <v>32</v>
      </c>
      <c r="K63">
        <v>16761</v>
      </c>
      <c r="L63" s="1">
        <v>17940</v>
      </c>
      <c r="M63" t="str">
        <f>IFERROR(IF(VLOOKUP(LEFT(B63,2),'Humanitarian codes'!$A$2:$A$10,1,FALSE)=LEFT(B63,2),"Yes","Error"),"No")</f>
        <v>Yes</v>
      </c>
    </row>
    <row r="64" spans="1:13" x14ac:dyDescent="0.25">
      <c r="A64" t="s">
        <v>2171</v>
      </c>
      <c r="B64" t="s">
        <v>1702</v>
      </c>
      <c r="C64" t="s">
        <v>1703</v>
      </c>
      <c r="D64" t="s">
        <v>30</v>
      </c>
      <c r="E64" t="s">
        <v>257</v>
      </c>
      <c r="G64">
        <v>4500380071</v>
      </c>
      <c r="H64" t="s">
        <v>12</v>
      </c>
      <c r="I64" t="s">
        <v>424</v>
      </c>
      <c r="J64" t="s">
        <v>257</v>
      </c>
      <c r="K64">
        <v>28060</v>
      </c>
      <c r="L64" s="1">
        <v>30033.23</v>
      </c>
      <c r="M64" t="str">
        <f>IFERROR(IF(VLOOKUP(LEFT(B64,2),'Humanitarian codes'!$A$2:$A$10,1,FALSE)=LEFT(B64,2),"Yes","Error"),"No")</f>
        <v>Yes</v>
      </c>
    </row>
    <row r="65" spans="1:13" x14ac:dyDescent="0.25">
      <c r="A65" t="s">
        <v>2171</v>
      </c>
      <c r="B65" t="s">
        <v>1702</v>
      </c>
      <c r="C65" t="s">
        <v>1703</v>
      </c>
      <c r="D65" t="s">
        <v>30</v>
      </c>
      <c r="E65" t="s">
        <v>257</v>
      </c>
      <c r="G65">
        <v>4500352319</v>
      </c>
      <c r="H65" t="s">
        <v>12</v>
      </c>
      <c r="I65" t="s">
        <v>1931</v>
      </c>
      <c r="J65" t="s">
        <v>257</v>
      </c>
      <c r="K65">
        <v>96912</v>
      </c>
      <c r="L65" s="1">
        <v>103726.51</v>
      </c>
      <c r="M65" t="str">
        <f>IFERROR(IF(VLOOKUP(LEFT(B65,2),'Humanitarian codes'!$A$2:$A$10,1,FALSE)=LEFT(B65,2),"Yes","Error"),"No")</f>
        <v>Yes</v>
      </c>
    </row>
    <row r="66" spans="1:13" x14ac:dyDescent="0.25">
      <c r="A66" t="s">
        <v>2171</v>
      </c>
      <c r="B66" t="s">
        <v>1702</v>
      </c>
      <c r="C66" t="s">
        <v>1703</v>
      </c>
      <c r="D66" t="s">
        <v>30</v>
      </c>
      <c r="E66" t="s">
        <v>257</v>
      </c>
      <c r="G66">
        <v>4500367532</v>
      </c>
      <c r="H66" t="s">
        <v>12</v>
      </c>
      <c r="I66" t="s">
        <v>422</v>
      </c>
      <c r="J66" t="s">
        <v>257</v>
      </c>
      <c r="K66">
        <v>152587</v>
      </c>
      <c r="L66" s="1">
        <v>163317.4</v>
      </c>
      <c r="M66" t="str">
        <f>IFERROR(IF(VLOOKUP(LEFT(B66,2),'Humanitarian codes'!$A$2:$A$10,1,FALSE)=LEFT(B66,2),"Yes","Error"),"No")</f>
        <v>Yes</v>
      </c>
    </row>
    <row r="67" spans="1:13" x14ac:dyDescent="0.25">
      <c r="A67" t="s">
        <v>2171</v>
      </c>
      <c r="B67" t="s">
        <v>1702</v>
      </c>
      <c r="C67" t="s">
        <v>1703</v>
      </c>
      <c r="D67" t="s">
        <v>30</v>
      </c>
      <c r="E67" t="s">
        <v>257</v>
      </c>
      <c r="G67">
        <v>4500375875</v>
      </c>
      <c r="H67" t="s">
        <v>12</v>
      </c>
      <c r="I67" t="s">
        <v>423</v>
      </c>
      <c r="J67" t="s">
        <v>257</v>
      </c>
      <c r="K67">
        <v>28060</v>
      </c>
      <c r="L67" s="1">
        <v>30032.91</v>
      </c>
      <c r="M67" t="str">
        <f>IFERROR(IF(VLOOKUP(LEFT(B67,2),'Humanitarian codes'!$A$2:$A$10,1,FALSE)=LEFT(B67,2),"Yes","Error"),"No")</f>
        <v>Yes</v>
      </c>
    </row>
    <row r="68" spans="1:13" x14ac:dyDescent="0.25">
      <c r="A68" t="s">
        <v>2171</v>
      </c>
      <c r="B68" t="s">
        <v>1702</v>
      </c>
      <c r="C68" t="s">
        <v>1703</v>
      </c>
      <c r="D68" t="s">
        <v>30</v>
      </c>
      <c r="E68" t="s">
        <v>257</v>
      </c>
      <c r="G68">
        <v>4500373387</v>
      </c>
      <c r="H68" t="s">
        <v>12</v>
      </c>
      <c r="I68" t="s">
        <v>421</v>
      </c>
      <c r="J68" t="s">
        <v>257</v>
      </c>
      <c r="K68">
        <v>96532</v>
      </c>
      <c r="L68" s="1">
        <v>103319.71</v>
      </c>
      <c r="M68" t="str">
        <f>IFERROR(IF(VLOOKUP(LEFT(B68,2),'Humanitarian codes'!$A$2:$A$10,1,FALSE)=LEFT(B68,2),"Yes","Error"),"No")</f>
        <v>Yes</v>
      </c>
    </row>
    <row r="69" spans="1:13" x14ac:dyDescent="0.25">
      <c r="A69" t="s">
        <v>2171</v>
      </c>
      <c r="B69" t="s">
        <v>1702</v>
      </c>
      <c r="C69" t="s">
        <v>1703</v>
      </c>
      <c r="D69" t="s">
        <v>30</v>
      </c>
      <c r="E69" t="s">
        <v>257</v>
      </c>
      <c r="G69">
        <v>4500352340</v>
      </c>
      <c r="H69" t="s">
        <v>12</v>
      </c>
      <c r="I69" t="s">
        <v>1672</v>
      </c>
      <c r="J69" t="s">
        <v>257</v>
      </c>
      <c r="K69">
        <v>84911</v>
      </c>
      <c r="L69" s="1">
        <v>90882.33</v>
      </c>
      <c r="M69" t="str">
        <f>IFERROR(IF(VLOOKUP(LEFT(B69,2),'Humanitarian codes'!$A$2:$A$10,1,FALSE)=LEFT(B69,2),"Yes","Error"),"No")</f>
        <v>Yes</v>
      </c>
    </row>
    <row r="70" spans="1:13" x14ac:dyDescent="0.25">
      <c r="A70" t="s">
        <v>2171</v>
      </c>
      <c r="B70" t="s">
        <v>1962</v>
      </c>
      <c r="C70" t="s">
        <v>1963</v>
      </c>
      <c r="D70" t="s">
        <v>30</v>
      </c>
      <c r="E70" t="s">
        <v>83</v>
      </c>
      <c r="G70">
        <v>4500375071</v>
      </c>
      <c r="H70" t="s">
        <v>12</v>
      </c>
      <c r="I70" t="s">
        <v>86</v>
      </c>
      <c r="J70" t="s">
        <v>83</v>
      </c>
      <c r="K70">
        <v>78814</v>
      </c>
      <c r="L70" s="1">
        <v>84356</v>
      </c>
      <c r="M70" t="str">
        <f>IFERROR(IF(VLOOKUP(LEFT(B70,2),'Humanitarian codes'!$A$2:$A$10,1,FALSE)=LEFT(B70,2),"Yes","Error"),"No")</f>
        <v>Yes</v>
      </c>
    </row>
    <row r="71" spans="1:13" x14ac:dyDescent="0.25">
      <c r="A71" t="s">
        <v>2171</v>
      </c>
      <c r="B71" t="s">
        <v>1962</v>
      </c>
      <c r="C71" t="s">
        <v>1963</v>
      </c>
      <c r="D71" t="s">
        <v>30</v>
      </c>
      <c r="E71" t="s">
        <v>83</v>
      </c>
      <c r="G71">
        <v>4500367297</v>
      </c>
      <c r="H71" t="s">
        <v>12</v>
      </c>
      <c r="I71" t="s">
        <v>84</v>
      </c>
      <c r="J71" t="s">
        <v>83</v>
      </c>
      <c r="K71">
        <v>232575</v>
      </c>
      <c r="L71" s="1">
        <v>248929.26</v>
      </c>
      <c r="M71" t="str">
        <f>IFERROR(IF(VLOOKUP(LEFT(B71,2),'Humanitarian codes'!$A$2:$A$10,1,FALSE)=LEFT(B71,2),"Yes","Error"),"No")</f>
        <v>Yes</v>
      </c>
    </row>
    <row r="72" spans="1:13" x14ac:dyDescent="0.25">
      <c r="A72" t="s">
        <v>2171</v>
      </c>
      <c r="B72" t="s">
        <v>1964</v>
      </c>
      <c r="C72" t="s">
        <v>1965</v>
      </c>
      <c r="D72" t="s">
        <v>30</v>
      </c>
      <c r="E72" t="s">
        <v>83</v>
      </c>
      <c r="G72">
        <v>4500367297</v>
      </c>
      <c r="H72" t="s">
        <v>12</v>
      </c>
      <c r="I72" t="s">
        <v>84</v>
      </c>
      <c r="J72" t="s">
        <v>83</v>
      </c>
      <c r="K72">
        <v>232575</v>
      </c>
      <c r="L72" s="1">
        <v>248929.26</v>
      </c>
      <c r="M72" t="str">
        <f>IFERROR(IF(VLOOKUP(LEFT(B72,2),'Humanitarian codes'!$A$2:$A$10,1,FALSE)=LEFT(B72,2),"Yes","Error"),"No")</f>
        <v>Yes</v>
      </c>
    </row>
    <row r="73" spans="1:13" x14ac:dyDescent="0.25">
      <c r="A73" t="s">
        <v>2171</v>
      </c>
      <c r="B73" t="s">
        <v>1966</v>
      </c>
      <c r="C73" t="s">
        <v>1967</v>
      </c>
      <c r="D73" t="s">
        <v>30</v>
      </c>
      <c r="E73" t="s">
        <v>175</v>
      </c>
      <c r="G73">
        <v>4500364486</v>
      </c>
      <c r="H73" t="s">
        <v>12</v>
      </c>
      <c r="I73" t="s">
        <v>887</v>
      </c>
      <c r="J73" t="s">
        <v>175</v>
      </c>
      <c r="K73">
        <v>122202</v>
      </c>
      <c r="L73" s="1">
        <v>130794.82</v>
      </c>
      <c r="M73" t="str">
        <f>IFERROR(IF(VLOOKUP(LEFT(B73,2),'Humanitarian codes'!$A$2:$A$10,1,FALSE)=LEFT(B73,2),"Yes","Error"),"No")</f>
        <v>Yes</v>
      </c>
    </row>
    <row r="74" spans="1:13" x14ac:dyDescent="0.25">
      <c r="A74" t="s">
        <v>2171</v>
      </c>
      <c r="B74" t="s">
        <v>1966</v>
      </c>
      <c r="C74" t="s">
        <v>1967</v>
      </c>
      <c r="D74" t="s">
        <v>30</v>
      </c>
      <c r="E74" t="s">
        <v>175</v>
      </c>
      <c r="G74">
        <v>4500364511</v>
      </c>
      <c r="H74" t="s">
        <v>12</v>
      </c>
      <c r="I74" t="s">
        <v>186</v>
      </c>
      <c r="J74" t="s">
        <v>175</v>
      </c>
      <c r="K74">
        <v>62511</v>
      </c>
      <c r="L74" s="1">
        <v>66906.960000000006</v>
      </c>
      <c r="M74" t="str">
        <f>IFERROR(IF(VLOOKUP(LEFT(B74,2),'Humanitarian codes'!$A$2:$A$10,1,FALSE)=LEFT(B74,2),"Yes","Error"),"No")</f>
        <v>Yes</v>
      </c>
    </row>
    <row r="75" spans="1:13" x14ac:dyDescent="0.25">
      <c r="A75" t="s">
        <v>2171</v>
      </c>
      <c r="B75" t="s">
        <v>1966</v>
      </c>
      <c r="C75" t="s">
        <v>1967</v>
      </c>
      <c r="D75" t="s">
        <v>30</v>
      </c>
      <c r="E75" t="s">
        <v>159</v>
      </c>
      <c r="G75">
        <v>4500352875</v>
      </c>
      <c r="H75" t="s">
        <v>12</v>
      </c>
      <c r="I75" t="s">
        <v>1968</v>
      </c>
      <c r="J75" t="s">
        <v>159</v>
      </c>
      <c r="K75">
        <v>149488</v>
      </c>
      <c r="L75" s="1">
        <v>160000</v>
      </c>
      <c r="M75" t="str">
        <f>IFERROR(IF(VLOOKUP(LEFT(B75,2),'Humanitarian codes'!$A$2:$A$10,1,FALSE)=LEFT(B75,2),"Yes","Error"),"No")</f>
        <v>Yes</v>
      </c>
    </row>
    <row r="76" spans="1:13" x14ac:dyDescent="0.25">
      <c r="A76" t="s">
        <v>2171</v>
      </c>
      <c r="B76" t="s">
        <v>1966</v>
      </c>
      <c r="C76" t="s">
        <v>1967</v>
      </c>
      <c r="D76" t="s">
        <v>30</v>
      </c>
      <c r="E76" t="s">
        <v>890</v>
      </c>
      <c r="G76">
        <v>4500353715</v>
      </c>
      <c r="H76" t="s">
        <v>12</v>
      </c>
      <c r="I76" t="s">
        <v>892</v>
      </c>
      <c r="J76" t="s">
        <v>890</v>
      </c>
      <c r="K76">
        <v>64228</v>
      </c>
      <c r="L76" s="1">
        <v>68744.72</v>
      </c>
      <c r="M76" t="str">
        <f>IFERROR(IF(VLOOKUP(LEFT(B76,2),'Humanitarian codes'!$A$2:$A$10,1,FALSE)=LEFT(B76,2),"Yes","Error"),"No")</f>
        <v>Yes</v>
      </c>
    </row>
    <row r="77" spans="1:13" x14ac:dyDescent="0.25">
      <c r="A77" t="s">
        <v>2171</v>
      </c>
      <c r="B77" t="s">
        <v>1262</v>
      </c>
      <c r="C77" t="s">
        <v>1263</v>
      </c>
      <c r="D77" t="s">
        <v>30</v>
      </c>
      <c r="E77" t="s">
        <v>167</v>
      </c>
      <c r="G77">
        <v>4500358905</v>
      </c>
      <c r="H77" t="s">
        <v>12</v>
      </c>
      <c r="I77" t="s">
        <v>1969</v>
      </c>
      <c r="J77" t="s">
        <v>167</v>
      </c>
      <c r="K77">
        <v>254786</v>
      </c>
      <c r="L77" s="1">
        <v>272702.48</v>
      </c>
      <c r="M77" t="str">
        <f>IFERROR(IF(VLOOKUP(LEFT(B77,2),'Humanitarian codes'!$A$2:$A$10,1,FALSE)=LEFT(B77,2),"Yes","Error"),"No")</f>
        <v>Yes</v>
      </c>
    </row>
    <row r="78" spans="1:13" x14ac:dyDescent="0.25">
      <c r="A78" t="s">
        <v>2171</v>
      </c>
      <c r="B78" t="s">
        <v>1970</v>
      </c>
      <c r="C78" t="s">
        <v>1971</v>
      </c>
      <c r="D78" t="s">
        <v>30</v>
      </c>
      <c r="E78" t="s">
        <v>155</v>
      </c>
      <c r="G78">
        <v>4500356190</v>
      </c>
      <c r="H78" t="s">
        <v>12</v>
      </c>
      <c r="I78" t="s">
        <v>1972</v>
      </c>
      <c r="J78" t="s">
        <v>155</v>
      </c>
      <c r="K78">
        <v>32873</v>
      </c>
      <c r="L78" s="1">
        <v>35184.58</v>
      </c>
      <c r="M78" t="str">
        <f>IFERROR(IF(VLOOKUP(LEFT(B78,2),'Humanitarian codes'!$A$2:$A$10,1,FALSE)=LEFT(B78,2),"Yes","Error"),"No")</f>
        <v>Yes</v>
      </c>
    </row>
    <row r="79" spans="1:13" x14ac:dyDescent="0.25">
      <c r="A79" t="s">
        <v>2171</v>
      </c>
      <c r="B79" t="s">
        <v>1970</v>
      </c>
      <c r="C79" t="s">
        <v>1971</v>
      </c>
      <c r="D79" t="s">
        <v>30</v>
      </c>
      <c r="E79" t="s">
        <v>155</v>
      </c>
      <c r="G79">
        <v>4500356445</v>
      </c>
      <c r="H79" t="s">
        <v>12</v>
      </c>
      <c r="I79" t="s">
        <v>1973</v>
      </c>
      <c r="J79" t="s">
        <v>155</v>
      </c>
      <c r="K79">
        <v>32895</v>
      </c>
      <c r="L79" s="1">
        <v>35208.14</v>
      </c>
      <c r="M79" t="str">
        <f>IFERROR(IF(VLOOKUP(LEFT(B79,2),'Humanitarian codes'!$A$2:$A$10,1,FALSE)=LEFT(B79,2),"Yes","Error"),"No")</f>
        <v>Yes</v>
      </c>
    </row>
    <row r="80" spans="1:13" x14ac:dyDescent="0.25">
      <c r="A80" t="s">
        <v>2171</v>
      </c>
      <c r="B80" t="s">
        <v>1974</v>
      </c>
      <c r="C80" t="s">
        <v>1975</v>
      </c>
      <c r="D80" t="s">
        <v>30</v>
      </c>
      <c r="E80" t="s">
        <v>123</v>
      </c>
      <c r="G80">
        <v>4500379541</v>
      </c>
      <c r="H80" t="s">
        <v>12</v>
      </c>
      <c r="I80" t="s">
        <v>1976</v>
      </c>
      <c r="J80" t="s">
        <v>123</v>
      </c>
      <c r="K80">
        <v>278644</v>
      </c>
      <c r="L80" s="1">
        <v>298238.3</v>
      </c>
      <c r="M80" t="str">
        <f>IFERROR(IF(VLOOKUP(LEFT(B80,2),'Humanitarian codes'!$A$2:$A$10,1,FALSE)=LEFT(B80,2),"Yes","Error"),"No")</f>
        <v>Yes</v>
      </c>
    </row>
    <row r="81" spans="1:13" x14ac:dyDescent="0.25">
      <c r="A81" t="s">
        <v>2171</v>
      </c>
      <c r="B81" t="s">
        <v>1974</v>
      </c>
      <c r="C81" t="s">
        <v>1975</v>
      </c>
      <c r="D81" t="s">
        <v>30</v>
      </c>
      <c r="E81" t="s">
        <v>123</v>
      </c>
      <c r="G81">
        <v>4500379535</v>
      </c>
      <c r="H81" t="s">
        <v>12</v>
      </c>
      <c r="I81" t="s">
        <v>1977</v>
      </c>
      <c r="J81" t="s">
        <v>123</v>
      </c>
      <c r="K81">
        <v>28570</v>
      </c>
      <c r="L81" s="1">
        <v>30578.98</v>
      </c>
      <c r="M81" t="str">
        <f>IFERROR(IF(VLOOKUP(LEFT(B81,2),'Humanitarian codes'!$A$2:$A$10,1,FALSE)=LEFT(B81,2),"Yes","Error"),"No")</f>
        <v>Yes</v>
      </c>
    </row>
    <row r="82" spans="1:13" x14ac:dyDescent="0.25">
      <c r="A82" t="s">
        <v>2171</v>
      </c>
      <c r="B82" t="s">
        <v>1974</v>
      </c>
      <c r="C82" t="s">
        <v>1975</v>
      </c>
      <c r="D82" t="s">
        <v>30</v>
      </c>
      <c r="E82" t="s">
        <v>123</v>
      </c>
      <c r="G82">
        <v>4500356013</v>
      </c>
      <c r="H82" t="s">
        <v>12</v>
      </c>
      <c r="I82" t="s">
        <v>124</v>
      </c>
      <c r="J82" t="s">
        <v>123</v>
      </c>
      <c r="K82">
        <v>149366</v>
      </c>
      <c r="L82" s="1">
        <v>159869.62</v>
      </c>
      <c r="M82" t="str">
        <f>IFERROR(IF(VLOOKUP(LEFT(B82,2),'Humanitarian codes'!$A$2:$A$10,1,FALSE)=LEFT(B82,2),"Yes","Error"),"No")</f>
        <v>Yes</v>
      </c>
    </row>
    <row r="83" spans="1:13" x14ac:dyDescent="0.25">
      <c r="A83" t="s">
        <v>2171</v>
      </c>
      <c r="B83" t="s">
        <v>1974</v>
      </c>
      <c r="C83" t="s">
        <v>1975</v>
      </c>
      <c r="D83" t="s">
        <v>30</v>
      </c>
      <c r="E83" t="s">
        <v>123</v>
      </c>
      <c r="G83">
        <v>4500379527</v>
      </c>
      <c r="H83" t="s">
        <v>12</v>
      </c>
      <c r="I83" t="s">
        <v>1886</v>
      </c>
      <c r="J83" t="s">
        <v>123</v>
      </c>
      <c r="K83">
        <v>231311</v>
      </c>
      <c r="L83" s="1">
        <v>247577.2</v>
      </c>
      <c r="M83" t="str">
        <f>IFERROR(IF(VLOOKUP(LEFT(B83,2),'Humanitarian codes'!$A$2:$A$10,1,FALSE)=LEFT(B83,2),"Yes","Error"),"No")</f>
        <v>Yes</v>
      </c>
    </row>
    <row r="84" spans="1:13" x14ac:dyDescent="0.25">
      <c r="A84" t="s">
        <v>2171</v>
      </c>
      <c r="B84" t="s">
        <v>1974</v>
      </c>
      <c r="C84" t="s">
        <v>1975</v>
      </c>
      <c r="D84" t="s">
        <v>30</v>
      </c>
      <c r="E84" t="s">
        <v>123</v>
      </c>
      <c r="G84">
        <v>4500355636</v>
      </c>
      <c r="H84" t="s">
        <v>12</v>
      </c>
      <c r="I84" t="s">
        <v>1280</v>
      </c>
      <c r="J84" t="s">
        <v>123</v>
      </c>
      <c r="K84">
        <v>48394</v>
      </c>
      <c r="L84" s="1">
        <v>51797.03</v>
      </c>
      <c r="M84" t="str">
        <f>IFERROR(IF(VLOOKUP(LEFT(B84,2),'Humanitarian codes'!$A$2:$A$10,1,FALSE)=LEFT(B84,2),"Yes","Error"),"No")</f>
        <v>Yes</v>
      </c>
    </row>
    <row r="85" spans="1:13" x14ac:dyDescent="0.25">
      <c r="A85" t="s">
        <v>2171</v>
      </c>
      <c r="B85" t="s">
        <v>1974</v>
      </c>
      <c r="C85" t="s">
        <v>1975</v>
      </c>
      <c r="D85" t="s">
        <v>30</v>
      </c>
      <c r="E85" t="s">
        <v>123</v>
      </c>
      <c r="G85">
        <v>4500379549</v>
      </c>
      <c r="H85" t="s">
        <v>12</v>
      </c>
      <c r="I85" t="s">
        <v>1978</v>
      </c>
      <c r="J85" t="s">
        <v>123</v>
      </c>
      <c r="K85">
        <v>201464</v>
      </c>
      <c r="L85" s="1">
        <v>215631</v>
      </c>
      <c r="M85" t="str">
        <f>IFERROR(IF(VLOOKUP(LEFT(B85,2),'Humanitarian codes'!$A$2:$A$10,1,FALSE)=LEFT(B85,2),"Yes","Error"),"No")</f>
        <v>Yes</v>
      </c>
    </row>
    <row r="86" spans="1:13" x14ac:dyDescent="0.25">
      <c r="A86" t="s">
        <v>2171</v>
      </c>
      <c r="B86" t="s">
        <v>1974</v>
      </c>
      <c r="C86" t="s">
        <v>1975</v>
      </c>
      <c r="D86" t="s">
        <v>30</v>
      </c>
      <c r="E86" t="s">
        <v>123</v>
      </c>
      <c r="G86">
        <v>4500357594</v>
      </c>
      <c r="H86" t="s">
        <v>12</v>
      </c>
      <c r="I86" t="s">
        <v>1979</v>
      </c>
      <c r="J86" t="s">
        <v>123</v>
      </c>
      <c r="K86">
        <v>57282</v>
      </c>
      <c r="L86" s="1">
        <v>61309.82</v>
      </c>
      <c r="M86" t="str">
        <f>IFERROR(IF(VLOOKUP(LEFT(B86,2),'Humanitarian codes'!$A$2:$A$10,1,FALSE)=LEFT(B86,2),"Yes","Error"),"No")</f>
        <v>Yes</v>
      </c>
    </row>
    <row r="87" spans="1:13" x14ac:dyDescent="0.25">
      <c r="A87" t="s">
        <v>2171</v>
      </c>
      <c r="B87" t="s">
        <v>1974</v>
      </c>
      <c r="C87" t="s">
        <v>1975</v>
      </c>
      <c r="D87" t="s">
        <v>30</v>
      </c>
      <c r="E87" t="s">
        <v>123</v>
      </c>
      <c r="G87">
        <v>4500357606</v>
      </c>
      <c r="H87" t="s">
        <v>12</v>
      </c>
      <c r="I87" t="s">
        <v>1979</v>
      </c>
      <c r="J87" t="s">
        <v>123</v>
      </c>
      <c r="K87">
        <v>246291</v>
      </c>
      <c r="L87" s="1">
        <v>263609.83</v>
      </c>
      <c r="M87" t="str">
        <f>IFERROR(IF(VLOOKUP(LEFT(B87,2),'Humanitarian codes'!$A$2:$A$10,1,FALSE)=LEFT(B87,2),"Yes","Error"),"No")</f>
        <v>Yes</v>
      </c>
    </row>
    <row r="88" spans="1:13" x14ac:dyDescent="0.25">
      <c r="A88" t="s">
        <v>2171</v>
      </c>
      <c r="B88" t="s">
        <v>1974</v>
      </c>
      <c r="C88" t="s">
        <v>1975</v>
      </c>
      <c r="D88" t="s">
        <v>30</v>
      </c>
      <c r="E88" t="s">
        <v>123</v>
      </c>
      <c r="G88">
        <v>4500357233</v>
      </c>
      <c r="H88" t="s">
        <v>12</v>
      </c>
      <c r="I88" t="s">
        <v>1980</v>
      </c>
      <c r="J88" t="s">
        <v>123</v>
      </c>
      <c r="K88">
        <v>68405</v>
      </c>
      <c r="L88" s="1">
        <v>73215.429999999993</v>
      </c>
      <c r="M88" t="str">
        <f>IFERROR(IF(VLOOKUP(LEFT(B88,2),'Humanitarian codes'!$A$2:$A$10,1,FALSE)=LEFT(B88,2),"Yes","Error"),"No")</f>
        <v>Yes</v>
      </c>
    </row>
    <row r="89" spans="1:13" x14ac:dyDescent="0.25">
      <c r="A89" t="s">
        <v>2171</v>
      </c>
      <c r="B89" t="s">
        <v>1974</v>
      </c>
      <c r="C89" t="s">
        <v>1975</v>
      </c>
      <c r="D89" t="s">
        <v>30</v>
      </c>
      <c r="E89" t="s">
        <v>123</v>
      </c>
      <c r="G89">
        <v>4500379606</v>
      </c>
      <c r="H89" t="s">
        <v>12</v>
      </c>
      <c r="I89" t="s">
        <v>366</v>
      </c>
      <c r="J89" t="s">
        <v>123</v>
      </c>
      <c r="K89">
        <v>1359617</v>
      </c>
      <c r="L89" s="1">
        <v>1455225.73</v>
      </c>
      <c r="M89" t="str">
        <f>IFERROR(IF(VLOOKUP(LEFT(B89,2),'Humanitarian codes'!$A$2:$A$10,1,FALSE)=LEFT(B89,2),"Yes","Error"),"No")</f>
        <v>Yes</v>
      </c>
    </row>
    <row r="90" spans="1:13" x14ac:dyDescent="0.25">
      <c r="A90" t="s">
        <v>2171</v>
      </c>
      <c r="B90" t="s">
        <v>1266</v>
      </c>
      <c r="C90" t="s">
        <v>1267</v>
      </c>
      <c r="D90" t="s">
        <v>30</v>
      </c>
      <c r="E90" t="s">
        <v>150</v>
      </c>
      <c r="G90">
        <v>4500355198</v>
      </c>
      <c r="H90" t="s">
        <v>12</v>
      </c>
      <c r="I90" t="s">
        <v>1981</v>
      </c>
      <c r="J90" t="s">
        <v>150</v>
      </c>
      <c r="K90">
        <v>81187</v>
      </c>
      <c r="L90" s="1">
        <v>86896.08</v>
      </c>
      <c r="M90" t="str">
        <f>IFERROR(IF(VLOOKUP(LEFT(B90,2),'Humanitarian codes'!$A$2:$A$10,1,FALSE)=LEFT(B90,2),"Yes","Error"),"No")</f>
        <v>Yes</v>
      </c>
    </row>
    <row r="91" spans="1:13" x14ac:dyDescent="0.25">
      <c r="A91" t="s">
        <v>2171</v>
      </c>
      <c r="B91" t="s">
        <v>1266</v>
      </c>
      <c r="C91" t="s">
        <v>1267</v>
      </c>
      <c r="D91" t="s">
        <v>30</v>
      </c>
      <c r="E91" t="s">
        <v>150</v>
      </c>
      <c r="G91">
        <v>4500371447</v>
      </c>
      <c r="H91" t="s">
        <v>12</v>
      </c>
      <c r="I91" t="s">
        <v>832</v>
      </c>
      <c r="J91" t="s">
        <v>150</v>
      </c>
      <c r="K91">
        <v>94829</v>
      </c>
      <c r="L91" s="1">
        <v>101497.51</v>
      </c>
      <c r="M91" t="str">
        <f>IFERROR(IF(VLOOKUP(LEFT(B91,2),'Humanitarian codes'!$A$2:$A$10,1,FALSE)=LEFT(B91,2),"Yes","Error"),"No")</f>
        <v>Yes</v>
      </c>
    </row>
    <row r="92" spans="1:13" x14ac:dyDescent="0.25">
      <c r="A92" t="s">
        <v>2171</v>
      </c>
      <c r="B92" t="s">
        <v>1266</v>
      </c>
      <c r="C92" t="s">
        <v>1267</v>
      </c>
      <c r="D92" t="s">
        <v>30</v>
      </c>
      <c r="E92" t="s">
        <v>150</v>
      </c>
      <c r="G92">
        <v>4500367564</v>
      </c>
      <c r="H92" t="s">
        <v>12</v>
      </c>
      <c r="I92" t="s">
        <v>1982</v>
      </c>
      <c r="J92" t="s">
        <v>150</v>
      </c>
      <c r="K92">
        <v>421926</v>
      </c>
      <c r="L92" s="1">
        <v>451595.54</v>
      </c>
      <c r="M92" t="str">
        <f>IFERROR(IF(VLOOKUP(LEFT(B92,2),'Humanitarian codes'!$A$2:$A$10,1,FALSE)=LEFT(B92,2),"Yes","Error"),"No")</f>
        <v>Yes</v>
      </c>
    </row>
    <row r="93" spans="1:13" x14ac:dyDescent="0.25">
      <c r="A93" t="s">
        <v>2171</v>
      </c>
      <c r="B93" t="s">
        <v>811</v>
      </c>
      <c r="C93" t="s">
        <v>812</v>
      </c>
      <c r="D93" t="s">
        <v>30</v>
      </c>
      <c r="E93" t="s">
        <v>545</v>
      </c>
      <c r="G93">
        <v>4500358195</v>
      </c>
      <c r="H93" t="s">
        <v>12</v>
      </c>
      <c r="I93" t="s">
        <v>1983</v>
      </c>
      <c r="J93" t="s">
        <v>545</v>
      </c>
      <c r="K93">
        <v>56058</v>
      </c>
      <c r="L93" s="1">
        <v>60000</v>
      </c>
      <c r="M93" t="str">
        <f>IFERROR(IF(VLOOKUP(LEFT(B93,2),'Humanitarian codes'!$A$2:$A$10,1,FALSE)=LEFT(B93,2),"Yes","Error"),"No")</f>
        <v>Yes</v>
      </c>
    </row>
    <row r="94" spans="1:13" x14ac:dyDescent="0.25">
      <c r="A94" t="s">
        <v>2171</v>
      </c>
      <c r="B94" t="s">
        <v>811</v>
      </c>
      <c r="C94" t="s">
        <v>812</v>
      </c>
      <c r="D94" t="s">
        <v>30</v>
      </c>
      <c r="E94" t="s">
        <v>123</v>
      </c>
      <c r="G94">
        <v>4500357233</v>
      </c>
      <c r="H94" t="s">
        <v>12</v>
      </c>
      <c r="I94" t="s">
        <v>1980</v>
      </c>
      <c r="J94" t="s">
        <v>123</v>
      </c>
      <c r="K94">
        <v>68405</v>
      </c>
      <c r="L94" s="1">
        <v>73215.429999999993</v>
      </c>
      <c r="M94" t="str">
        <f>IFERROR(IF(VLOOKUP(LEFT(B94,2),'Humanitarian codes'!$A$2:$A$10,1,FALSE)=LEFT(B94,2),"Yes","Error"),"No")</f>
        <v>Yes</v>
      </c>
    </row>
    <row r="95" spans="1:13" x14ac:dyDescent="0.25">
      <c r="A95" t="s">
        <v>2171</v>
      </c>
      <c r="B95" t="s">
        <v>811</v>
      </c>
      <c r="C95" t="s">
        <v>812</v>
      </c>
      <c r="D95" t="s">
        <v>30</v>
      </c>
      <c r="E95" t="s">
        <v>123</v>
      </c>
      <c r="G95">
        <v>4500363002</v>
      </c>
      <c r="H95" t="s">
        <v>12</v>
      </c>
      <c r="I95" t="s">
        <v>368</v>
      </c>
      <c r="J95" t="s">
        <v>123</v>
      </c>
      <c r="K95">
        <v>65296</v>
      </c>
      <c r="L95" s="1">
        <v>69888.039999999994</v>
      </c>
      <c r="M95" t="str">
        <f>IFERROR(IF(VLOOKUP(LEFT(B95,2),'Humanitarian codes'!$A$2:$A$10,1,FALSE)=LEFT(B95,2),"Yes","Error"),"No")</f>
        <v>Yes</v>
      </c>
    </row>
    <row r="96" spans="1:13" x14ac:dyDescent="0.25">
      <c r="A96" t="s">
        <v>2171</v>
      </c>
      <c r="B96" t="s">
        <v>1268</v>
      </c>
      <c r="C96" t="s">
        <v>1269</v>
      </c>
      <c r="D96" t="s">
        <v>30</v>
      </c>
      <c r="E96" t="s">
        <v>175</v>
      </c>
      <c r="G96">
        <v>4500369764</v>
      </c>
      <c r="H96" t="s">
        <v>12</v>
      </c>
      <c r="I96" t="s">
        <v>185</v>
      </c>
      <c r="J96" t="s">
        <v>175</v>
      </c>
      <c r="K96">
        <v>65401</v>
      </c>
      <c r="L96" s="1">
        <v>70000.37</v>
      </c>
      <c r="M96" t="str">
        <f>IFERROR(IF(VLOOKUP(LEFT(B96,2),'Humanitarian codes'!$A$2:$A$10,1,FALSE)=LEFT(B96,2),"Yes","Error"),"No")</f>
        <v>Yes</v>
      </c>
    </row>
    <row r="97" spans="1:13" x14ac:dyDescent="0.25">
      <c r="A97" t="s">
        <v>2171</v>
      </c>
      <c r="B97" t="s">
        <v>1708</v>
      </c>
      <c r="C97" t="s">
        <v>1709</v>
      </c>
      <c r="D97" t="s">
        <v>30</v>
      </c>
      <c r="E97" t="s">
        <v>289</v>
      </c>
      <c r="G97">
        <v>4500377054</v>
      </c>
      <c r="H97" t="s">
        <v>12</v>
      </c>
      <c r="I97" t="s">
        <v>1984</v>
      </c>
      <c r="J97" t="s">
        <v>289</v>
      </c>
      <c r="K97">
        <v>74269</v>
      </c>
      <c r="L97" s="1">
        <v>79492</v>
      </c>
      <c r="M97" t="str">
        <f>IFERROR(IF(VLOOKUP(LEFT(B97,2),'Humanitarian codes'!$A$2:$A$10,1,FALSE)=LEFT(B97,2),"Yes","Error"),"No")</f>
        <v>Yes</v>
      </c>
    </row>
    <row r="98" spans="1:13" x14ac:dyDescent="0.25">
      <c r="A98" t="s">
        <v>2171</v>
      </c>
      <c r="B98" t="s">
        <v>1708</v>
      </c>
      <c r="C98" t="s">
        <v>1709</v>
      </c>
      <c r="D98" t="s">
        <v>30</v>
      </c>
      <c r="E98" t="s">
        <v>289</v>
      </c>
      <c r="G98">
        <v>4500369635</v>
      </c>
      <c r="H98" t="s">
        <v>12</v>
      </c>
      <c r="I98" t="s">
        <v>1985</v>
      </c>
      <c r="J98" t="s">
        <v>289</v>
      </c>
      <c r="K98">
        <v>12279</v>
      </c>
      <c r="L98" s="1">
        <v>13142</v>
      </c>
      <c r="M98" t="str">
        <f>IFERROR(IF(VLOOKUP(LEFT(B98,2),'Humanitarian codes'!$A$2:$A$10,1,FALSE)=LEFT(B98,2),"Yes","Error"),"No")</f>
        <v>Yes</v>
      </c>
    </row>
    <row r="99" spans="1:13" x14ac:dyDescent="0.25">
      <c r="A99" t="s">
        <v>2171</v>
      </c>
      <c r="B99" t="s">
        <v>1708</v>
      </c>
      <c r="C99" t="s">
        <v>1709</v>
      </c>
      <c r="D99" t="s">
        <v>30</v>
      </c>
      <c r="E99" t="s">
        <v>289</v>
      </c>
      <c r="G99">
        <v>4500377070</v>
      </c>
      <c r="H99" t="s">
        <v>12</v>
      </c>
      <c r="I99" t="s">
        <v>1754</v>
      </c>
      <c r="J99" t="s">
        <v>289</v>
      </c>
      <c r="K99">
        <v>8670</v>
      </c>
      <c r="L99" s="1">
        <v>9280</v>
      </c>
      <c r="M99" t="str">
        <f>IFERROR(IF(VLOOKUP(LEFT(B99,2),'Humanitarian codes'!$A$2:$A$10,1,FALSE)=LEFT(B99,2),"Yes","Error"),"No")</f>
        <v>Yes</v>
      </c>
    </row>
    <row r="100" spans="1:13" x14ac:dyDescent="0.25">
      <c r="A100" t="s">
        <v>2171</v>
      </c>
      <c r="B100" t="s">
        <v>1275</v>
      </c>
      <c r="C100" t="s">
        <v>1276</v>
      </c>
      <c r="D100" t="s">
        <v>30</v>
      </c>
      <c r="E100" t="s">
        <v>197</v>
      </c>
      <c r="G100">
        <v>4500356734</v>
      </c>
      <c r="H100" t="s">
        <v>12</v>
      </c>
      <c r="I100" t="s">
        <v>1712</v>
      </c>
      <c r="J100" t="s">
        <v>197</v>
      </c>
      <c r="K100">
        <v>4814</v>
      </c>
      <c r="L100" s="1">
        <v>5152.43</v>
      </c>
      <c r="M100" t="str">
        <f>IFERROR(IF(VLOOKUP(LEFT(B100,2),'Humanitarian codes'!$A$2:$A$10,1,FALSE)=LEFT(B100,2),"Yes","Error"),"No")</f>
        <v>Yes</v>
      </c>
    </row>
    <row r="101" spans="1:13" x14ac:dyDescent="0.25">
      <c r="A101" t="s">
        <v>2171</v>
      </c>
      <c r="B101" t="s">
        <v>1275</v>
      </c>
      <c r="C101" t="s">
        <v>1276</v>
      </c>
      <c r="D101" t="s">
        <v>30</v>
      </c>
      <c r="E101" t="s">
        <v>864</v>
      </c>
      <c r="G101">
        <v>4500352451</v>
      </c>
      <c r="H101" t="s">
        <v>12</v>
      </c>
      <c r="I101" t="s">
        <v>866</v>
      </c>
      <c r="J101" t="s">
        <v>864</v>
      </c>
      <c r="K101">
        <v>24131</v>
      </c>
      <c r="L101" s="1">
        <v>25827.62</v>
      </c>
      <c r="M101" t="str">
        <f>IFERROR(IF(VLOOKUP(LEFT(B101,2),'Humanitarian codes'!$A$2:$A$10,1,FALSE)=LEFT(B101,2),"Yes","Error"),"No")</f>
        <v>Yes</v>
      </c>
    </row>
    <row r="102" spans="1:13" x14ac:dyDescent="0.25">
      <c r="A102" t="s">
        <v>2171</v>
      </c>
      <c r="B102" t="s">
        <v>1275</v>
      </c>
      <c r="C102" t="s">
        <v>1276</v>
      </c>
      <c r="D102" t="s">
        <v>30</v>
      </c>
      <c r="E102" t="s">
        <v>831</v>
      </c>
      <c r="G102">
        <v>4500376154</v>
      </c>
      <c r="H102" t="s">
        <v>12</v>
      </c>
      <c r="I102" t="s">
        <v>1715</v>
      </c>
      <c r="J102" t="s">
        <v>831</v>
      </c>
      <c r="K102">
        <v>81473</v>
      </c>
      <c r="L102" s="1">
        <v>87202.63</v>
      </c>
      <c r="M102" t="str">
        <f>IFERROR(IF(VLOOKUP(LEFT(B102,2),'Humanitarian codes'!$A$2:$A$10,1,FALSE)=LEFT(B102,2),"Yes","Error"),"No")</f>
        <v>Yes</v>
      </c>
    </row>
    <row r="103" spans="1:13" x14ac:dyDescent="0.25">
      <c r="A103" t="s">
        <v>2171</v>
      </c>
      <c r="B103" t="s">
        <v>1275</v>
      </c>
      <c r="C103" t="s">
        <v>1276</v>
      </c>
      <c r="D103" t="s">
        <v>30</v>
      </c>
      <c r="E103" t="s">
        <v>205</v>
      </c>
      <c r="G103">
        <v>4500373526</v>
      </c>
      <c r="H103" t="s">
        <v>12</v>
      </c>
      <c r="I103" t="s">
        <v>1986</v>
      </c>
      <c r="J103" t="s">
        <v>205</v>
      </c>
      <c r="K103">
        <v>37372</v>
      </c>
      <c r="L103" s="1">
        <v>39999.96</v>
      </c>
      <c r="M103" t="str">
        <f>IFERROR(IF(VLOOKUP(LEFT(B103,2),'Humanitarian codes'!$A$2:$A$10,1,FALSE)=LEFT(B103,2),"Yes","Error"),"No")</f>
        <v>Yes</v>
      </c>
    </row>
    <row r="104" spans="1:13" x14ac:dyDescent="0.25">
      <c r="A104" t="s">
        <v>2171</v>
      </c>
      <c r="B104" t="s">
        <v>1275</v>
      </c>
      <c r="C104" t="s">
        <v>1276</v>
      </c>
      <c r="D104" t="s">
        <v>30</v>
      </c>
      <c r="E104" t="s">
        <v>205</v>
      </c>
      <c r="G104">
        <v>4500372405</v>
      </c>
      <c r="H104" t="s">
        <v>12</v>
      </c>
      <c r="I104" t="s">
        <v>872</v>
      </c>
      <c r="J104" t="s">
        <v>205</v>
      </c>
      <c r="K104">
        <v>42044</v>
      </c>
      <c r="L104" s="1">
        <v>45000</v>
      </c>
      <c r="M104" t="str">
        <f>IFERROR(IF(VLOOKUP(LEFT(B104,2),'Humanitarian codes'!$A$2:$A$10,1,FALSE)=LEFT(B104,2),"Yes","Error"),"No")</f>
        <v>Yes</v>
      </c>
    </row>
    <row r="105" spans="1:13" x14ac:dyDescent="0.25">
      <c r="A105" t="s">
        <v>2171</v>
      </c>
      <c r="B105" t="s">
        <v>1275</v>
      </c>
      <c r="C105" t="s">
        <v>1276</v>
      </c>
      <c r="D105" t="s">
        <v>30</v>
      </c>
      <c r="E105" t="s">
        <v>1987</v>
      </c>
      <c r="G105">
        <v>4500365683</v>
      </c>
      <c r="H105" t="s">
        <v>12</v>
      </c>
      <c r="I105" t="s">
        <v>1988</v>
      </c>
      <c r="J105" t="s">
        <v>1987</v>
      </c>
      <c r="K105">
        <v>7170</v>
      </c>
      <c r="L105" s="1">
        <v>7673.86</v>
      </c>
      <c r="M105" t="str">
        <f>IFERROR(IF(VLOOKUP(LEFT(B105,2),'Humanitarian codes'!$A$2:$A$10,1,FALSE)=LEFT(B105,2),"Yes","Error"),"No")</f>
        <v>Yes</v>
      </c>
    </row>
    <row r="106" spans="1:13" x14ac:dyDescent="0.25">
      <c r="A106" t="s">
        <v>2171</v>
      </c>
      <c r="B106" t="s">
        <v>1275</v>
      </c>
      <c r="C106" t="s">
        <v>1276</v>
      </c>
      <c r="D106" t="s">
        <v>30</v>
      </c>
      <c r="E106" t="s">
        <v>210</v>
      </c>
      <c r="G106">
        <v>4500378267</v>
      </c>
      <c r="H106" t="s">
        <v>12</v>
      </c>
      <c r="I106" t="s">
        <v>1989</v>
      </c>
      <c r="J106" t="s">
        <v>210</v>
      </c>
      <c r="K106">
        <v>45336</v>
      </c>
      <c r="L106" s="1">
        <v>48523.5</v>
      </c>
      <c r="M106" t="str">
        <f>IFERROR(IF(VLOOKUP(LEFT(B106,2),'Humanitarian codes'!$A$2:$A$10,1,FALSE)=LEFT(B106,2),"Yes","Error"),"No")</f>
        <v>Yes</v>
      </c>
    </row>
    <row r="107" spans="1:13" x14ac:dyDescent="0.25">
      <c r="A107" t="s">
        <v>2171</v>
      </c>
      <c r="B107" t="s">
        <v>1275</v>
      </c>
      <c r="C107" t="s">
        <v>1276</v>
      </c>
      <c r="D107" t="s">
        <v>30</v>
      </c>
      <c r="E107" t="s">
        <v>210</v>
      </c>
      <c r="G107">
        <v>4500380130</v>
      </c>
      <c r="H107" t="s">
        <v>12</v>
      </c>
      <c r="I107" t="s">
        <v>627</v>
      </c>
      <c r="J107" t="s">
        <v>210</v>
      </c>
      <c r="K107">
        <v>38183</v>
      </c>
      <c r="L107" s="1">
        <v>40867.919999999998</v>
      </c>
      <c r="M107" t="str">
        <f>IFERROR(IF(VLOOKUP(LEFT(B107,2),'Humanitarian codes'!$A$2:$A$10,1,FALSE)=LEFT(B107,2),"Yes","Error"),"No")</f>
        <v>Yes</v>
      </c>
    </row>
    <row r="108" spans="1:13" x14ac:dyDescent="0.25">
      <c r="A108" t="s">
        <v>2171</v>
      </c>
      <c r="B108" t="s">
        <v>1275</v>
      </c>
      <c r="C108" t="s">
        <v>1276</v>
      </c>
      <c r="D108" t="s">
        <v>30</v>
      </c>
      <c r="E108" t="s">
        <v>210</v>
      </c>
      <c r="G108">
        <v>4500380118</v>
      </c>
      <c r="H108" t="s">
        <v>12</v>
      </c>
      <c r="I108" t="s">
        <v>468</v>
      </c>
      <c r="J108" t="s">
        <v>210</v>
      </c>
      <c r="K108">
        <v>91739</v>
      </c>
      <c r="L108" s="1">
        <v>98190.43</v>
      </c>
      <c r="M108" t="str">
        <f>IFERROR(IF(VLOOKUP(LEFT(B108,2),'Humanitarian codes'!$A$2:$A$10,1,FALSE)=LEFT(B108,2),"Yes","Error"),"No")</f>
        <v>Yes</v>
      </c>
    </row>
    <row r="109" spans="1:13" x14ac:dyDescent="0.25">
      <c r="A109" t="s">
        <v>2171</v>
      </c>
      <c r="B109" t="s">
        <v>121</v>
      </c>
      <c r="C109" t="s">
        <v>122</v>
      </c>
      <c r="D109" t="s">
        <v>30</v>
      </c>
      <c r="E109" t="s">
        <v>123</v>
      </c>
      <c r="G109">
        <v>4500370668</v>
      </c>
      <c r="H109" t="s">
        <v>12</v>
      </c>
      <c r="I109" t="s">
        <v>1977</v>
      </c>
      <c r="J109" t="s">
        <v>123</v>
      </c>
      <c r="K109">
        <v>31126</v>
      </c>
      <c r="L109" s="1">
        <v>33314.85</v>
      </c>
      <c r="M109" t="str">
        <f>IFERROR(IF(VLOOKUP(LEFT(B109,2),'Humanitarian codes'!$A$2:$A$10,1,FALSE)=LEFT(B109,2),"Yes","Error"),"No")</f>
        <v>Yes</v>
      </c>
    </row>
    <row r="110" spans="1:13" x14ac:dyDescent="0.25">
      <c r="A110" t="s">
        <v>2171</v>
      </c>
      <c r="B110" t="s">
        <v>121</v>
      </c>
      <c r="C110" t="s">
        <v>122</v>
      </c>
      <c r="D110" t="s">
        <v>30</v>
      </c>
      <c r="E110" t="s">
        <v>123</v>
      </c>
      <c r="G110">
        <v>4500355434</v>
      </c>
      <c r="H110" t="s">
        <v>12</v>
      </c>
      <c r="I110" t="s">
        <v>124</v>
      </c>
      <c r="J110" t="s">
        <v>123</v>
      </c>
      <c r="K110">
        <v>69153</v>
      </c>
      <c r="L110" s="1">
        <v>74015.399999999994</v>
      </c>
      <c r="M110" t="str">
        <f>IFERROR(IF(VLOOKUP(LEFT(B110,2),'Humanitarian codes'!$A$2:$A$10,1,FALSE)=LEFT(B110,2),"Yes","Error"),"No")</f>
        <v>Yes</v>
      </c>
    </row>
    <row r="111" spans="1:13" x14ac:dyDescent="0.25">
      <c r="A111" t="s">
        <v>2171</v>
      </c>
      <c r="B111" t="s">
        <v>1990</v>
      </c>
      <c r="C111" t="s">
        <v>1991</v>
      </c>
      <c r="D111" t="s">
        <v>30</v>
      </c>
      <c r="E111" t="s">
        <v>545</v>
      </c>
      <c r="G111">
        <v>4500358195</v>
      </c>
      <c r="H111" t="s">
        <v>12</v>
      </c>
      <c r="I111" t="s">
        <v>1983</v>
      </c>
      <c r="J111" t="s">
        <v>545</v>
      </c>
      <c r="K111">
        <v>56058</v>
      </c>
      <c r="L111" s="1">
        <v>60000</v>
      </c>
      <c r="M111" t="str">
        <f>IFERROR(IF(VLOOKUP(LEFT(B111,2),'Humanitarian codes'!$A$2:$A$10,1,FALSE)=LEFT(B111,2),"Yes","Error"),"No")</f>
        <v>Yes</v>
      </c>
    </row>
    <row r="112" spans="1:13" x14ac:dyDescent="0.25">
      <c r="A112" t="s">
        <v>2171</v>
      </c>
      <c r="B112" t="s">
        <v>1724</v>
      </c>
      <c r="C112" t="s">
        <v>1725</v>
      </c>
      <c r="D112" t="s">
        <v>30</v>
      </c>
      <c r="E112" t="s">
        <v>175</v>
      </c>
      <c r="G112">
        <v>4500364491</v>
      </c>
      <c r="H112" t="s">
        <v>12</v>
      </c>
      <c r="I112" t="s">
        <v>232</v>
      </c>
      <c r="J112" t="s">
        <v>175</v>
      </c>
      <c r="K112">
        <v>98644</v>
      </c>
      <c r="L112" s="1">
        <v>105580.71</v>
      </c>
      <c r="M112" t="str">
        <f>IFERROR(IF(VLOOKUP(LEFT(B112,2),'Humanitarian codes'!$A$2:$A$10,1,FALSE)=LEFT(B112,2),"Yes","Error"),"No")</f>
        <v>Yes</v>
      </c>
    </row>
    <row r="113" spans="1:13" x14ac:dyDescent="0.25">
      <c r="A113" t="s">
        <v>2171</v>
      </c>
      <c r="B113" t="s">
        <v>1724</v>
      </c>
      <c r="C113" t="s">
        <v>1725</v>
      </c>
      <c r="D113" t="s">
        <v>30</v>
      </c>
      <c r="E113" t="s">
        <v>175</v>
      </c>
      <c r="G113">
        <v>4500365165</v>
      </c>
      <c r="H113" t="s">
        <v>12</v>
      </c>
      <c r="I113" t="s">
        <v>685</v>
      </c>
      <c r="J113" t="s">
        <v>175</v>
      </c>
      <c r="K113">
        <v>67209</v>
      </c>
      <c r="L113" s="1">
        <v>71934.8</v>
      </c>
      <c r="M113" t="str">
        <f>IFERROR(IF(VLOOKUP(LEFT(B113,2),'Humanitarian codes'!$A$2:$A$10,1,FALSE)=LEFT(B113,2),"Yes","Error"),"No")</f>
        <v>Yes</v>
      </c>
    </row>
    <row r="114" spans="1:13" x14ac:dyDescent="0.25">
      <c r="A114" t="s">
        <v>2171</v>
      </c>
      <c r="B114" t="s">
        <v>1724</v>
      </c>
      <c r="C114" t="s">
        <v>1725</v>
      </c>
      <c r="D114" t="s">
        <v>30</v>
      </c>
      <c r="E114" t="s">
        <v>175</v>
      </c>
      <c r="G114">
        <v>4500366005</v>
      </c>
      <c r="H114" t="s">
        <v>12</v>
      </c>
      <c r="I114" t="s">
        <v>183</v>
      </c>
      <c r="J114" t="s">
        <v>184</v>
      </c>
      <c r="K114">
        <v>262701</v>
      </c>
      <c r="L114" s="1">
        <v>281174.33</v>
      </c>
      <c r="M114" t="str">
        <f>IFERROR(IF(VLOOKUP(LEFT(B114,2),'Humanitarian codes'!$A$2:$A$10,1,FALSE)=LEFT(B114,2),"Yes","Error"),"No")</f>
        <v>Yes</v>
      </c>
    </row>
    <row r="115" spans="1:13" x14ac:dyDescent="0.25">
      <c r="A115" t="s">
        <v>2171</v>
      </c>
      <c r="B115" t="s">
        <v>1724</v>
      </c>
      <c r="C115" t="s">
        <v>1725</v>
      </c>
      <c r="D115" t="s">
        <v>30</v>
      </c>
      <c r="E115" t="s">
        <v>175</v>
      </c>
      <c r="G115">
        <v>4500364502</v>
      </c>
      <c r="H115" t="s">
        <v>12</v>
      </c>
      <c r="I115" t="s">
        <v>187</v>
      </c>
      <c r="J115" t="s">
        <v>175</v>
      </c>
      <c r="K115">
        <v>52120</v>
      </c>
      <c r="L115" s="1">
        <v>55784.77</v>
      </c>
      <c r="M115" t="str">
        <f>IFERROR(IF(VLOOKUP(LEFT(B115,2),'Humanitarian codes'!$A$2:$A$10,1,FALSE)=LEFT(B115,2),"Yes","Error"),"No")</f>
        <v>Yes</v>
      </c>
    </row>
    <row r="116" spans="1:13" x14ac:dyDescent="0.25">
      <c r="A116" t="s">
        <v>2171</v>
      </c>
      <c r="B116" t="s">
        <v>1724</v>
      </c>
      <c r="C116" t="s">
        <v>1725</v>
      </c>
      <c r="D116" t="s">
        <v>30</v>
      </c>
      <c r="E116" t="s">
        <v>175</v>
      </c>
      <c r="G116">
        <v>4500364497</v>
      </c>
      <c r="H116" t="s">
        <v>12</v>
      </c>
      <c r="I116" t="s">
        <v>176</v>
      </c>
      <c r="J116" t="s">
        <v>175</v>
      </c>
      <c r="K116">
        <v>101155</v>
      </c>
      <c r="L116" s="1">
        <v>108268.03</v>
      </c>
      <c r="M116" t="str">
        <f>IFERROR(IF(VLOOKUP(LEFT(B116,2),'Humanitarian codes'!$A$2:$A$10,1,FALSE)=LEFT(B116,2),"Yes","Error"),"No")</f>
        <v>Yes</v>
      </c>
    </row>
    <row r="117" spans="1:13" x14ac:dyDescent="0.25">
      <c r="A117" t="s">
        <v>2171</v>
      </c>
      <c r="B117" t="s">
        <v>1724</v>
      </c>
      <c r="C117" t="s">
        <v>1725</v>
      </c>
      <c r="D117" t="s">
        <v>30</v>
      </c>
      <c r="E117" t="s">
        <v>175</v>
      </c>
      <c r="G117">
        <v>4500372066</v>
      </c>
      <c r="H117" t="s">
        <v>12</v>
      </c>
      <c r="I117" t="s">
        <v>182</v>
      </c>
      <c r="J117" t="s">
        <v>175</v>
      </c>
      <c r="K117">
        <v>93763</v>
      </c>
      <c r="L117" s="1">
        <v>100356.66</v>
      </c>
      <c r="M117" t="str">
        <f>IFERROR(IF(VLOOKUP(LEFT(B117,2),'Humanitarian codes'!$A$2:$A$10,1,FALSE)=LEFT(B117,2),"Yes","Error"),"No")</f>
        <v>Yes</v>
      </c>
    </row>
    <row r="118" spans="1:13" x14ac:dyDescent="0.25">
      <c r="A118" t="s">
        <v>2171</v>
      </c>
      <c r="B118" t="s">
        <v>1724</v>
      </c>
      <c r="C118" t="s">
        <v>1725</v>
      </c>
      <c r="D118" t="s">
        <v>30</v>
      </c>
      <c r="E118" t="s">
        <v>175</v>
      </c>
      <c r="G118">
        <v>4500365083</v>
      </c>
      <c r="H118" t="s">
        <v>12</v>
      </c>
      <c r="I118" t="s">
        <v>1992</v>
      </c>
      <c r="J118" t="s">
        <v>175</v>
      </c>
      <c r="K118">
        <v>59024</v>
      </c>
      <c r="L118" s="1">
        <v>63175</v>
      </c>
      <c r="M118" t="str">
        <f>IFERROR(IF(VLOOKUP(LEFT(B118,2),'Humanitarian codes'!$A$2:$A$10,1,FALSE)=LEFT(B118,2),"Yes","Error"),"No")</f>
        <v>Yes</v>
      </c>
    </row>
    <row r="119" spans="1:13" x14ac:dyDescent="0.25">
      <c r="A119" t="s">
        <v>2171</v>
      </c>
      <c r="B119" t="s">
        <v>1724</v>
      </c>
      <c r="C119" t="s">
        <v>1725</v>
      </c>
      <c r="D119" t="s">
        <v>30</v>
      </c>
      <c r="E119" t="s">
        <v>175</v>
      </c>
      <c r="G119">
        <v>4500365133</v>
      </c>
      <c r="H119" t="s">
        <v>12</v>
      </c>
      <c r="I119" t="s">
        <v>1992</v>
      </c>
      <c r="J119" t="s">
        <v>175</v>
      </c>
      <c r="K119">
        <v>115773</v>
      </c>
      <c r="L119" s="1">
        <v>123914.68</v>
      </c>
      <c r="M119" t="str">
        <f>IFERROR(IF(VLOOKUP(LEFT(B119,2),'Humanitarian codes'!$A$2:$A$10,1,FALSE)=LEFT(B119,2),"Yes","Error"),"No")</f>
        <v>Yes</v>
      </c>
    </row>
    <row r="120" spans="1:13" x14ac:dyDescent="0.25">
      <c r="A120" t="s">
        <v>2171</v>
      </c>
      <c r="B120" t="s">
        <v>1724</v>
      </c>
      <c r="C120" t="s">
        <v>1725</v>
      </c>
      <c r="D120" t="s">
        <v>30</v>
      </c>
      <c r="E120" t="s">
        <v>175</v>
      </c>
      <c r="G120">
        <v>4500378087</v>
      </c>
      <c r="H120" t="s">
        <v>12</v>
      </c>
      <c r="I120" t="s">
        <v>1993</v>
      </c>
      <c r="J120" t="s">
        <v>175</v>
      </c>
      <c r="K120">
        <v>75089</v>
      </c>
      <c r="L120" s="1">
        <v>80369.759999999995</v>
      </c>
      <c r="M120" t="str">
        <f>IFERROR(IF(VLOOKUP(LEFT(B120,2),'Humanitarian codes'!$A$2:$A$10,1,FALSE)=LEFT(B120,2),"Yes","Error"),"No")</f>
        <v>Yes</v>
      </c>
    </row>
    <row r="121" spans="1:13" x14ac:dyDescent="0.25">
      <c r="A121" t="s">
        <v>2171</v>
      </c>
      <c r="B121" t="s">
        <v>1994</v>
      </c>
      <c r="C121" t="s">
        <v>1995</v>
      </c>
      <c r="D121" t="s">
        <v>30</v>
      </c>
      <c r="E121" t="s">
        <v>175</v>
      </c>
      <c r="G121">
        <v>4500362555</v>
      </c>
      <c r="H121" t="s">
        <v>12</v>
      </c>
      <c r="I121" t="s">
        <v>1996</v>
      </c>
      <c r="J121" t="s">
        <v>175</v>
      </c>
      <c r="K121">
        <v>17858</v>
      </c>
      <c r="L121" s="1">
        <v>19113.64</v>
      </c>
      <c r="M121" t="str">
        <f>IFERROR(IF(VLOOKUP(LEFT(B121,2),'Humanitarian codes'!$A$2:$A$10,1,FALSE)=LEFT(B121,2),"Yes","Error"),"No")</f>
        <v>Yes</v>
      </c>
    </row>
    <row r="122" spans="1:13" x14ac:dyDescent="0.25">
      <c r="A122" t="s">
        <v>2171</v>
      </c>
      <c r="B122" t="s">
        <v>1997</v>
      </c>
      <c r="C122" t="s">
        <v>1998</v>
      </c>
      <c r="D122" t="s">
        <v>30</v>
      </c>
      <c r="E122" t="s">
        <v>940</v>
      </c>
      <c r="G122">
        <v>4500355258</v>
      </c>
      <c r="H122" t="s">
        <v>12</v>
      </c>
      <c r="I122" t="s">
        <v>1999</v>
      </c>
      <c r="J122" t="s">
        <v>940</v>
      </c>
      <c r="K122">
        <v>98102</v>
      </c>
      <c r="L122" s="1">
        <v>105000</v>
      </c>
      <c r="M122" t="str">
        <f>IFERROR(IF(VLOOKUP(LEFT(B122,2),'Humanitarian codes'!$A$2:$A$10,1,FALSE)=LEFT(B122,2),"Yes","Error"),"No")</f>
        <v>Yes</v>
      </c>
    </row>
    <row r="123" spans="1:13" x14ac:dyDescent="0.25">
      <c r="A123" t="s">
        <v>2171</v>
      </c>
      <c r="B123" t="s">
        <v>1997</v>
      </c>
      <c r="C123" t="s">
        <v>1998</v>
      </c>
      <c r="D123" t="s">
        <v>30</v>
      </c>
      <c r="E123" t="s">
        <v>940</v>
      </c>
      <c r="G123">
        <v>4500354721</v>
      </c>
      <c r="H123" t="s">
        <v>12</v>
      </c>
      <c r="I123" t="s">
        <v>1259</v>
      </c>
      <c r="J123" t="s">
        <v>940</v>
      </c>
      <c r="K123">
        <v>278403</v>
      </c>
      <c r="L123" s="1">
        <v>297980.3</v>
      </c>
      <c r="M123" t="str">
        <f>IFERROR(IF(VLOOKUP(LEFT(B123,2),'Humanitarian codes'!$A$2:$A$10,1,FALSE)=LEFT(B123,2),"Yes","Error"),"No")</f>
        <v>Yes</v>
      </c>
    </row>
    <row r="124" spans="1:13" x14ac:dyDescent="0.25">
      <c r="A124" t="s">
        <v>2171</v>
      </c>
      <c r="B124" t="s">
        <v>126</v>
      </c>
      <c r="C124" t="s">
        <v>127</v>
      </c>
      <c r="D124" t="s">
        <v>30</v>
      </c>
      <c r="E124" t="s">
        <v>128</v>
      </c>
      <c r="G124">
        <v>4500364985</v>
      </c>
      <c r="H124" t="s">
        <v>12</v>
      </c>
      <c r="I124" t="s">
        <v>2000</v>
      </c>
      <c r="J124" t="s">
        <v>128</v>
      </c>
      <c r="K124">
        <v>46715</v>
      </c>
      <c r="L124" s="1">
        <v>50000</v>
      </c>
      <c r="M124" t="str">
        <f>IFERROR(IF(VLOOKUP(LEFT(B124,2),'Humanitarian codes'!$A$2:$A$10,1,FALSE)=LEFT(B124,2),"Yes","Error"),"No")</f>
        <v>Yes</v>
      </c>
    </row>
    <row r="125" spans="1:13" x14ac:dyDescent="0.25">
      <c r="A125" t="s">
        <v>2171</v>
      </c>
      <c r="B125" t="s">
        <v>722</v>
      </c>
      <c r="C125" t="s">
        <v>723</v>
      </c>
      <c r="D125" t="s">
        <v>30</v>
      </c>
      <c r="E125" t="s">
        <v>717</v>
      </c>
      <c r="G125">
        <v>4500354562</v>
      </c>
      <c r="H125" t="s">
        <v>12</v>
      </c>
      <c r="I125" t="s">
        <v>727</v>
      </c>
      <c r="J125" t="s">
        <v>717</v>
      </c>
      <c r="K125">
        <v>111671</v>
      </c>
      <c r="L125" s="1">
        <v>119523.25</v>
      </c>
      <c r="M125" t="str">
        <f>IFERROR(IF(VLOOKUP(LEFT(B125,2),'Humanitarian codes'!$A$2:$A$10,1,FALSE)=LEFT(B125,2),"Yes","Error"),"No")</f>
        <v>Yes</v>
      </c>
    </row>
    <row r="126" spans="1:13" x14ac:dyDescent="0.25">
      <c r="A126" t="s">
        <v>2171</v>
      </c>
      <c r="B126" t="s">
        <v>1284</v>
      </c>
      <c r="C126" t="s">
        <v>1285</v>
      </c>
      <c r="D126" t="s">
        <v>30</v>
      </c>
      <c r="E126" t="s">
        <v>132</v>
      </c>
      <c r="G126">
        <v>4500372868</v>
      </c>
      <c r="H126" t="s">
        <v>12</v>
      </c>
      <c r="I126" t="s">
        <v>1301</v>
      </c>
      <c r="J126" t="s">
        <v>132</v>
      </c>
      <c r="K126">
        <v>12071</v>
      </c>
      <c r="L126" s="1">
        <v>12919.54</v>
      </c>
      <c r="M126" t="str">
        <f>IFERROR(IF(VLOOKUP(LEFT(B126,2),'Humanitarian codes'!$A$2:$A$10,1,FALSE)=LEFT(B126,2),"Yes","Error"),"No")</f>
        <v>Yes</v>
      </c>
    </row>
    <row r="127" spans="1:13" x14ac:dyDescent="0.25">
      <c r="A127" t="s">
        <v>2171</v>
      </c>
      <c r="B127" t="s">
        <v>1284</v>
      </c>
      <c r="C127" t="s">
        <v>1285</v>
      </c>
      <c r="D127" t="s">
        <v>30</v>
      </c>
      <c r="E127" t="s">
        <v>132</v>
      </c>
      <c r="G127">
        <v>4500370162</v>
      </c>
      <c r="H127" t="s">
        <v>12</v>
      </c>
      <c r="I127" t="s">
        <v>134</v>
      </c>
      <c r="J127" t="s">
        <v>132</v>
      </c>
      <c r="K127">
        <v>12415</v>
      </c>
      <c r="L127" s="1">
        <v>13288.4</v>
      </c>
      <c r="M127" t="str">
        <f>IFERROR(IF(VLOOKUP(LEFT(B127,2),'Humanitarian codes'!$A$2:$A$10,1,FALSE)=LEFT(B127,2),"Yes","Error"),"No")</f>
        <v>Yes</v>
      </c>
    </row>
    <row r="128" spans="1:13" x14ac:dyDescent="0.25">
      <c r="A128" t="s">
        <v>2171</v>
      </c>
      <c r="B128" t="s">
        <v>1286</v>
      </c>
      <c r="C128" t="s">
        <v>1287</v>
      </c>
      <c r="D128" t="s">
        <v>30</v>
      </c>
      <c r="E128" t="s">
        <v>205</v>
      </c>
      <c r="G128">
        <v>4500357485</v>
      </c>
      <c r="H128" t="s">
        <v>12</v>
      </c>
      <c r="I128" t="s">
        <v>2001</v>
      </c>
      <c r="J128" t="s">
        <v>1354</v>
      </c>
      <c r="K128">
        <v>280881</v>
      </c>
      <c r="L128" s="1">
        <v>300632.90000000002</v>
      </c>
      <c r="M128" t="str">
        <f>IFERROR(IF(VLOOKUP(LEFT(B128,2),'Humanitarian codes'!$A$2:$A$10,1,FALSE)=LEFT(B128,2),"Yes","Error"),"No")</f>
        <v>Yes</v>
      </c>
    </row>
    <row r="129" spans="1:13" x14ac:dyDescent="0.25">
      <c r="A129" t="s">
        <v>2171</v>
      </c>
      <c r="B129" t="s">
        <v>1286</v>
      </c>
      <c r="C129" t="s">
        <v>1287</v>
      </c>
      <c r="D129" t="s">
        <v>30</v>
      </c>
      <c r="E129" t="s">
        <v>676</v>
      </c>
      <c r="G129">
        <v>4500372349</v>
      </c>
      <c r="H129" t="s">
        <v>12</v>
      </c>
      <c r="I129" t="s">
        <v>2002</v>
      </c>
      <c r="J129" t="s">
        <v>616</v>
      </c>
      <c r="K129">
        <v>76834</v>
      </c>
      <c r="L129" s="1">
        <v>82236.850000000006</v>
      </c>
      <c r="M129" t="str">
        <f>IFERROR(IF(VLOOKUP(LEFT(B129,2),'Humanitarian codes'!$A$2:$A$10,1,FALSE)=LEFT(B129,2),"Yes","Error"),"No")</f>
        <v>Yes</v>
      </c>
    </row>
    <row r="130" spans="1:13" x14ac:dyDescent="0.25">
      <c r="A130" t="s">
        <v>2171</v>
      </c>
      <c r="B130" t="s">
        <v>1288</v>
      </c>
      <c r="C130" t="s">
        <v>1289</v>
      </c>
      <c r="D130" t="s">
        <v>30</v>
      </c>
      <c r="E130" t="s">
        <v>54</v>
      </c>
      <c r="G130">
        <v>4500356884</v>
      </c>
      <c r="H130" t="s">
        <v>12</v>
      </c>
      <c r="I130" t="s">
        <v>1248</v>
      </c>
      <c r="J130" t="s">
        <v>54</v>
      </c>
      <c r="K130">
        <v>337242</v>
      </c>
      <c r="L130" s="1">
        <v>360957.22</v>
      </c>
      <c r="M130" t="str">
        <f>IFERROR(IF(VLOOKUP(LEFT(B130,2),'Humanitarian codes'!$A$2:$A$10,1,FALSE)=LEFT(B130,2),"Yes","Error"),"No")</f>
        <v>Yes</v>
      </c>
    </row>
    <row r="131" spans="1:13" x14ac:dyDescent="0.25">
      <c r="A131" t="s">
        <v>2171</v>
      </c>
      <c r="B131" t="s">
        <v>1288</v>
      </c>
      <c r="C131" t="s">
        <v>1289</v>
      </c>
      <c r="D131" t="s">
        <v>30</v>
      </c>
      <c r="E131" t="s">
        <v>54</v>
      </c>
      <c r="G131">
        <v>4500371643</v>
      </c>
      <c r="H131" t="s">
        <v>12</v>
      </c>
      <c r="I131" t="s">
        <v>2003</v>
      </c>
      <c r="J131" t="s">
        <v>54</v>
      </c>
      <c r="K131">
        <v>82802</v>
      </c>
      <c r="L131" s="1">
        <v>88624.87</v>
      </c>
      <c r="M131" t="str">
        <f>IFERROR(IF(VLOOKUP(LEFT(B131,2),'Humanitarian codes'!$A$2:$A$10,1,FALSE)=LEFT(B131,2),"Yes","Error"),"No")</f>
        <v>Yes</v>
      </c>
    </row>
    <row r="132" spans="1:13" x14ac:dyDescent="0.25">
      <c r="A132" t="s">
        <v>2171</v>
      </c>
      <c r="B132" t="s">
        <v>1288</v>
      </c>
      <c r="C132" t="s">
        <v>1289</v>
      </c>
      <c r="D132" t="s">
        <v>30</v>
      </c>
      <c r="E132" t="s">
        <v>54</v>
      </c>
      <c r="G132">
        <v>4500377090</v>
      </c>
      <c r="H132" t="s">
        <v>12</v>
      </c>
      <c r="I132" t="s">
        <v>2004</v>
      </c>
      <c r="J132" t="s">
        <v>54</v>
      </c>
      <c r="K132">
        <v>468798</v>
      </c>
      <c r="L132" s="1">
        <v>501763.61</v>
      </c>
      <c r="M132" t="str">
        <f>IFERROR(IF(VLOOKUP(LEFT(B132,2),'Humanitarian codes'!$A$2:$A$10,1,FALSE)=LEFT(B132,2),"Yes","Error"),"No")</f>
        <v>Yes</v>
      </c>
    </row>
    <row r="133" spans="1:13" x14ac:dyDescent="0.25">
      <c r="A133" t="s">
        <v>2171</v>
      </c>
      <c r="B133" t="s">
        <v>1288</v>
      </c>
      <c r="C133" t="s">
        <v>1289</v>
      </c>
      <c r="D133" t="s">
        <v>30</v>
      </c>
      <c r="E133" t="s">
        <v>54</v>
      </c>
      <c r="G133">
        <v>4500375960</v>
      </c>
      <c r="H133" t="s">
        <v>12</v>
      </c>
      <c r="I133" t="s">
        <v>1291</v>
      </c>
      <c r="J133" t="s">
        <v>54</v>
      </c>
      <c r="K133">
        <v>157399</v>
      </c>
      <c r="L133" s="1">
        <v>168467.83</v>
      </c>
      <c r="M133" t="str">
        <f>IFERROR(IF(VLOOKUP(LEFT(B133,2),'Humanitarian codes'!$A$2:$A$10,1,FALSE)=LEFT(B133,2),"Yes","Error"),"No")</f>
        <v>Yes</v>
      </c>
    </row>
    <row r="134" spans="1:13" x14ac:dyDescent="0.25">
      <c r="A134" t="s">
        <v>2171</v>
      </c>
      <c r="B134" t="s">
        <v>1288</v>
      </c>
      <c r="C134" t="s">
        <v>1289</v>
      </c>
      <c r="D134" t="s">
        <v>30</v>
      </c>
      <c r="E134" t="s">
        <v>54</v>
      </c>
      <c r="G134">
        <v>4500376011</v>
      </c>
      <c r="H134" t="s">
        <v>12</v>
      </c>
      <c r="I134" t="s">
        <v>1291</v>
      </c>
      <c r="J134" t="s">
        <v>54</v>
      </c>
      <c r="K134">
        <v>115033</v>
      </c>
      <c r="L134" s="1">
        <v>123121.89</v>
      </c>
      <c r="M134" t="str">
        <f>IFERROR(IF(VLOOKUP(LEFT(B134,2),'Humanitarian codes'!$A$2:$A$10,1,FALSE)=LEFT(B134,2),"Yes","Error"),"No")</f>
        <v>Yes</v>
      </c>
    </row>
    <row r="135" spans="1:13" x14ac:dyDescent="0.25">
      <c r="A135" t="s">
        <v>2171</v>
      </c>
      <c r="B135" t="s">
        <v>1288</v>
      </c>
      <c r="C135" t="s">
        <v>1289</v>
      </c>
      <c r="D135" t="s">
        <v>30</v>
      </c>
      <c r="E135" t="s">
        <v>54</v>
      </c>
      <c r="G135">
        <v>4500366411</v>
      </c>
      <c r="H135" t="s">
        <v>12</v>
      </c>
      <c r="I135" t="s">
        <v>1292</v>
      </c>
      <c r="J135" t="s">
        <v>54</v>
      </c>
      <c r="K135">
        <v>82973</v>
      </c>
      <c r="L135" s="1">
        <v>88808.11</v>
      </c>
      <c r="M135" t="str">
        <f>IFERROR(IF(VLOOKUP(LEFT(B135,2),'Humanitarian codes'!$A$2:$A$10,1,FALSE)=LEFT(B135,2),"Yes","Error"),"No")</f>
        <v>Yes</v>
      </c>
    </row>
    <row r="136" spans="1:13" x14ac:dyDescent="0.25">
      <c r="A136" t="s">
        <v>2171</v>
      </c>
      <c r="B136" t="s">
        <v>1293</v>
      </c>
      <c r="C136" t="s">
        <v>1294</v>
      </c>
      <c r="D136" t="s">
        <v>30</v>
      </c>
      <c r="E136" t="s">
        <v>123</v>
      </c>
      <c r="G136">
        <v>4500363111</v>
      </c>
      <c r="H136" t="s">
        <v>12</v>
      </c>
      <c r="I136" t="s">
        <v>1295</v>
      </c>
      <c r="J136" t="s">
        <v>123</v>
      </c>
      <c r="K136">
        <v>218127</v>
      </c>
      <c r="L136" s="1">
        <v>233466</v>
      </c>
      <c r="M136" t="str">
        <f>IFERROR(IF(VLOOKUP(LEFT(B136,2),'Humanitarian codes'!$A$2:$A$10,1,FALSE)=LEFT(B136,2),"Yes","Error"),"No")</f>
        <v>Yes</v>
      </c>
    </row>
    <row r="137" spans="1:13" x14ac:dyDescent="0.25">
      <c r="A137" t="s">
        <v>2171</v>
      </c>
      <c r="B137" t="s">
        <v>1297</v>
      </c>
      <c r="C137" t="s">
        <v>1298</v>
      </c>
      <c r="D137" t="s">
        <v>30</v>
      </c>
      <c r="E137" t="s">
        <v>239</v>
      </c>
      <c r="G137">
        <v>4500371221</v>
      </c>
      <c r="H137" t="s">
        <v>12</v>
      </c>
      <c r="I137" t="s">
        <v>2005</v>
      </c>
      <c r="J137" t="s">
        <v>239</v>
      </c>
      <c r="K137">
        <v>308210</v>
      </c>
      <c r="L137" s="1">
        <v>329883.46000000002</v>
      </c>
      <c r="M137" t="str">
        <f>IFERROR(IF(VLOOKUP(LEFT(B137,2),'Humanitarian codes'!$A$2:$A$10,1,FALSE)=LEFT(B137,2),"Yes","Error"),"No")</f>
        <v>Yes</v>
      </c>
    </row>
    <row r="138" spans="1:13" x14ac:dyDescent="0.25">
      <c r="A138" t="s">
        <v>2171</v>
      </c>
      <c r="B138" t="s">
        <v>1297</v>
      </c>
      <c r="C138" t="s">
        <v>1298</v>
      </c>
      <c r="D138" t="s">
        <v>30</v>
      </c>
      <c r="E138" t="s">
        <v>239</v>
      </c>
      <c r="G138">
        <v>4500369344</v>
      </c>
      <c r="H138" t="s">
        <v>12</v>
      </c>
      <c r="I138" t="s">
        <v>888</v>
      </c>
      <c r="J138" t="s">
        <v>239</v>
      </c>
      <c r="K138">
        <v>251819</v>
      </c>
      <c r="L138" s="1">
        <v>269527.14</v>
      </c>
      <c r="M138" t="str">
        <f>IFERROR(IF(VLOOKUP(LEFT(B138,2),'Humanitarian codes'!$A$2:$A$10,1,FALSE)=LEFT(B138,2),"Yes","Error"),"No")</f>
        <v>Yes</v>
      </c>
    </row>
    <row r="139" spans="1:13" x14ac:dyDescent="0.25">
      <c r="A139" t="s">
        <v>2171</v>
      </c>
      <c r="B139" t="s">
        <v>130</v>
      </c>
      <c r="C139" t="s">
        <v>131</v>
      </c>
      <c r="D139" t="s">
        <v>30</v>
      </c>
      <c r="E139" t="s">
        <v>132</v>
      </c>
      <c r="G139">
        <v>4500378808</v>
      </c>
      <c r="H139" t="s">
        <v>12</v>
      </c>
      <c r="I139" t="s">
        <v>2006</v>
      </c>
      <c r="J139" t="s">
        <v>132</v>
      </c>
      <c r="K139">
        <v>109168</v>
      </c>
      <c r="L139" s="1">
        <v>116844.71</v>
      </c>
      <c r="M139" t="str">
        <f>IFERROR(IF(VLOOKUP(LEFT(B139,2),'Humanitarian codes'!$A$2:$A$10,1,FALSE)=LEFT(B139,2),"Yes","Error"),"No")</f>
        <v>Yes</v>
      </c>
    </row>
    <row r="140" spans="1:13" x14ac:dyDescent="0.25">
      <c r="A140" t="s">
        <v>2171</v>
      </c>
      <c r="B140" t="s">
        <v>130</v>
      </c>
      <c r="C140" t="s">
        <v>131</v>
      </c>
      <c r="D140" t="s">
        <v>30</v>
      </c>
      <c r="E140" t="s">
        <v>132</v>
      </c>
      <c r="G140">
        <v>4500378442</v>
      </c>
      <c r="H140" t="s">
        <v>12</v>
      </c>
      <c r="I140" t="s">
        <v>2007</v>
      </c>
      <c r="J140" t="s">
        <v>132</v>
      </c>
      <c r="K140">
        <v>97381</v>
      </c>
      <c r="L140" s="1">
        <v>104228.82</v>
      </c>
      <c r="M140" t="str">
        <f>IFERROR(IF(VLOOKUP(LEFT(B140,2),'Humanitarian codes'!$A$2:$A$10,1,FALSE)=LEFT(B140,2),"Yes","Error"),"No")</f>
        <v>Yes</v>
      </c>
    </row>
    <row r="141" spans="1:13" x14ac:dyDescent="0.25">
      <c r="A141" t="s">
        <v>2171</v>
      </c>
      <c r="B141" t="s">
        <v>130</v>
      </c>
      <c r="C141" t="s">
        <v>131</v>
      </c>
      <c r="D141" t="s">
        <v>30</v>
      </c>
      <c r="E141" t="s">
        <v>132</v>
      </c>
      <c r="G141">
        <v>4500374817</v>
      </c>
      <c r="H141" t="s">
        <v>12</v>
      </c>
      <c r="I141" t="s">
        <v>2008</v>
      </c>
      <c r="J141" t="s">
        <v>132</v>
      </c>
      <c r="K141">
        <v>99908</v>
      </c>
      <c r="L141" s="1">
        <v>106934</v>
      </c>
      <c r="M141" t="str">
        <f>IFERROR(IF(VLOOKUP(LEFT(B141,2),'Humanitarian codes'!$A$2:$A$10,1,FALSE)=LEFT(B141,2),"Yes","Error"),"No")</f>
        <v>Yes</v>
      </c>
    </row>
    <row r="142" spans="1:13" x14ac:dyDescent="0.25">
      <c r="A142" t="s">
        <v>2171</v>
      </c>
      <c r="B142" t="s">
        <v>130</v>
      </c>
      <c r="C142" t="s">
        <v>131</v>
      </c>
      <c r="D142" t="s">
        <v>30</v>
      </c>
      <c r="E142" t="s">
        <v>132</v>
      </c>
      <c r="G142">
        <v>4500355856</v>
      </c>
      <c r="H142" t="s">
        <v>12</v>
      </c>
      <c r="I142" t="s">
        <v>134</v>
      </c>
      <c r="J142" t="s">
        <v>132</v>
      </c>
      <c r="K142">
        <v>80691</v>
      </c>
      <c r="L142" s="1">
        <v>86364.93</v>
      </c>
      <c r="M142" t="str">
        <f>IFERROR(IF(VLOOKUP(LEFT(B142,2),'Humanitarian codes'!$A$2:$A$10,1,FALSE)=LEFT(B142,2),"Yes","Error"),"No")</f>
        <v>Yes</v>
      </c>
    </row>
    <row r="143" spans="1:13" x14ac:dyDescent="0.25">
      <c r="A143" t="s">
        <v>2171</v>
      </c>
      <c r="B143" t="s">
        <v>130</v>
      </c>
      <c r="C143" t="s">
        <v>131</v>
      </c>
      <c r="D143" t="s">
        <v>30</v>
      </c>
      <c r="E143" t="s">
        <v>132</v>
      </c>
      <c r="G143">
        <v>4500378707</v>
      </c>
      <c r="H143" t="s">
        <v>12</v>
      </c>
      <c r="I143" t="s">
        <v>819</v>
      </c>
      <c r="J143" t="s">
        <v>132</v>
      </c>
      <c r="K143">
        <v>24987</v>
      </c>
      <c r="L143" s="1">
        <v>26744.11</v>
      </c>
      <c r="M143" t="str">
        <f>IFERROR(IF(VLOOKUP(LEFT(B143,2),'Humanitarian codes'!$A$2:$A$10,1,FALSE)=LEFT(B143,2),"Yes","Error"),"No")</f>
        <v>Yes</v>
      </c>
    </row>
    <row r="144" spans="1:13" x14ac:dyDescent="0.25">
      <c r="A144" t="s">
        <v>2171</v>
      </c>
      <c r="B144" t="s">
        <v>2009</v>
      </c>
      <c r="C144" t="s">
        <v>2010</v>
      </c>
      <c r="D144" t="s">
        <v>30</v>
      </c>
      <c r="E144" t="s">
        <v>289</v>
      </c>
      <c r="G144">
        <v>4500367675</v>
      </c>
      <c r="H144" t="s">
        <v>12</v>
      </c>
      <c r="I144" t="s">
        <v>1710</v>
      </c>
      <c r="J144" t="s">
        <v>289</v>
      </c>
      <c r="K144">
        <v>102979</v>
      </c>
      <c r="L144" s="1">
        <v>110220.57</v>
      </c>
      <c r="M144" t="str">
        <f>IFERROR(IF(VLOOKUP(LEFT(B144,2),'Humanitarian codes'!$A$2:$A$10,1,FALSE)=LEFT(B144,2),"Yes","Error"),"No")</f>
        <v>Yes</v>
      </c>
    </row>
    <row r="145" spans="1:13" x14ac:dyDescent="0.25">
      <c r="A145" t="s">
        <v>2171</v>
      </c>
      <c r="B145" t="s">
        <v>2009</v>
      </c>
      <c r="C145" t="s">
        <v>2010</v>
      </c>
      <c r="D145" t="s">
        <v>30</v>
      </c>
      <c r="E145" t="s">
        <v>289</v>
      </c>
      <c r="G145">
        <v>4500361907</v>
      </c>
      <c r="H145" t="s">
        <v>12</v>
      </c>
      <c r="I145" t="s">
        <v>2011</v>
      </c>
      <c r="J145" t="s">
        <v>289</v>
      </c>
      <c r="K145">
        <v>277120</v>
      </c>
      <c r="L145" s="1">
        <v>296606.57</v>
      </c>
      <c r="M145" t="str">
        <f>IFERROR(IF(VLOOKUP(LEFT(B145,2),'Humanitarian codes'!$A$2:$A$10,1,FALSE)=LEFT(B145,2),"Yes","Error"),"No")</f>
        <v>Yes</v>
      </c>
    </row>
    <row r="146" spans="1:13" x14ac:dyDescent="0.25">
      <c r="A146" t="s">
        <v>2171</v>
      </c>
      <c r="B146" t="s">
        <v>2009</v>
      </c>
      <c r="C146" t="s">
        <v>2010</v>
      </c>
      <c r="D146" t="s">
        <v>30</v>
      </c>
      <c r="E146" t="s">
        <v>305</v>
      </c>
      <c r="G146">
        <v>4500360085</v>
      </c>
      <c r="H146" t="s">
        <v>12</v>
      </c>
      <c r="I146" t="s">
        <v>1328</v>
      </c>
      <c r="J146" t="s">
        <v>305</v>
      </c>
      <c r="K146">
        <v>58152</v>
      </c>
      <c r="L146" s="1">
        <v>62240.94</v>
      </c>
      <c r="M146" t="str">
        <f>IFERROR(IF(VLOOKUP(LEFT(B146,2),'Humanitarian codes'!$A$2:$A$10,1,FALSE)=LEFT(B146,2),"Yes","Error"),"No")</f>
        <v>Yes</v>
      </c>
    </row>
    <row r="147" spans="1:13" x14ac:dyDescent="0.25">
      <c r="A147" t="s">
        <v>2171</v>
      </c>
      <c r="B147" t="s">
        <v>2009</v>
      </c>
      <c r="C147" t="s">
        <v>2010</v>
      </c>
      <c r="D147" t="s">
        <v>30</v>
      </c>
      <c r="E147" t="s">
        <v>54</v>
      </c>
      <c r="G147">
        <v>4500360908</v>
      </c>
      <c r="H147" t="s">
        <v>12</v>
      </c>
      <c r="I147" t="s">
        <v>1771</v>
      </c>
      <c r="J147" t="s">
        <v>54</v>
      </c>
      <c r="K147">
        <v>48519</v>
      </c>
      <c r="L147" s="1">
        <v>51931.35</v>
      </c>
      <c r="M147" t="str">
        <f>IFERROR(IF(VLOOKUP(LEFT(B147,2),'Humanitarian codes'!$A$2:$A$10,1,FALSE)=LEFT(B147,2),"Yes","Error"),"No")</f>
        <v>Yes</v>
      </c>
    </row>
    <row r="148" spans="1:13" x14ac:dyDescent="0.25">
      <c r="A148" t="s">
        <v>2171</v>
      </c>
      <c r="B148" t="s">
        <v>2009</v>
      </c>
      <c r="C148" t="s">
        <v>2010</v>
      </c>
      <c r="D148" t="s">
        <v>30</v>
      </c>
      <c r="E148" t="s">
        <v>54</v>
      </c>
      <c r="G148">
        <v>4500369237</v>
      </c>
      <c r="H148" t="s">
        <v>12</v>
      </c>
      <c r="I148" t="s">
        <v>2012</v>
      </c>
      <c r="J148" t="s">
        <v>54</v>
      </c>
      <c r="K148">
        <v>544331</v>
      </c>
      <c r="L148" s="1">
        <v>582608.48</v>
      </c>
      <c r="M148" t="str">
        <f>IFERROR(IF(VLOOKUP(LEFT(B148,2),'Humanitarian codes'!$A$2:$A$10,1,FALSE)=LEFT(B148,2),"Yes","Error"),"No")</f>
        <v>Yes</v>
      </c>
    </row>
    <row r="149" spans="1:13" x14ac:dyDescent="0.25">
      <c r="A149" t="s">
        <v>2171</v>
      </c>
      <c r="B149" t="s">
        <v>2009</v>
      </c>
      <c r="C149" t="s">
        <v>2010</v>
      </c>
      <c r="D149" t="s">
        <v>30</v>
      </c>
      <c r="E149" t="s">
        <v>54</v>
      </c>
      <c r="G149">
        <v>4500376463</v>
      </c>
      <c r="H149" t="s">
        <v>12</v>
      </c>
      <c r="I149" t="s">
        <v>1406</v>
      </c>
      <c r="J149" t="s">
        <v>54</v>
      </c>
      <c r="K149">
        <v>93239</v>
      </c>
      <c r="L149" s="1">
        <v>99795.24</v>
      </c>
      <c r="M149" t="str">
        <f>IFERROR(IF(VLOOKUP(LEFT(B149,2),'Humanitarian codes'!$A$2:$A$10,1,FALSE)=LEFT(B149,2),"Yes","Error"),"No")</f>
        <v>Yes</v>
      </c>
    </row>
    <row r="150" spans="1:13" x14ac:dyDescent="0.25">
      <c r="A150" t="s">
        <v>2171</v>
      </c>
      <c r="B150" t="s">
        <v>1302</v>
      </c>
      <c r="C150" t="s">
        <v>1303</v>
      </c>
      <c r="D150" t="s">
        <v>30</v>
      </c>
      <c r="E150" t="s">
        <v>534</v>
      </c>
      <c r="G150">
        <v>4500374875</v>
      </c>
      <c r="H150" t="s">
        <v>12</v>
      </c>
      <c r="I150" t="s">
        <v>1123</v>
      </c>
      <c r="J150" t="s">
        <v>534</v>
      </c>
      <c r="K150">
        <v>6519</v>
      </c>
      <c r="L150" s="1">
        <v>6977.34</v>
      </c>
      <c r="M150" t="str">
        <f>IFERROR(IF(VLOOKUP(LEFT(B150,2),'Humanitarian codes'!$A$2:$A$10,1,FALSE)=LEFT(B150,2),"Yes","Error"),"No")</f>
        <v>Yes</v>
      </c>
    </row>
    <row r="151" spans="1:13" x14ac:dyDescent="0.25">
      <c r="A151" t="s">
        <v>2171</v>
      </c>
      <c r="B151" t="s">
        <v>1302</v>
      </c>
      <c r="C151" t="s">
        <v>1303</v>
      </c>
      <c r="D151" t="s">
        <v>30</v>
      </c>
      <c r="E151" t="s">
        <v>534</v>
      </c>
      <c r="G151">
        <v>4500359578</v>
      </c>
      <c r="H151" t="s">
        <v>12</v>
      </c>
      <c r="I151" t="s">
        <v>2013</v>
      </c>
      <c r="J151" t="s">
        <v>534</v>
      </c>
      <c r="K151">
        <v>143094</v>
      </c>
      <c r="L151" s="1">
        <v>153156.29</v>
      </c>
      <c r="M151" t="str">
        <f>IFERROR(IF(VLOOKUP(LEFT(B151,2),'Humanitarian codes'!$A$2:$A$10,1,FALSE)=LEFT(B151,2),"Yes","Error"),"No")</f>
        <v>Yes</v>
      </c>
    </row>
    <row r="152" spans="1:13" x14ac:dyDescent="0.25">
      <c r="A152" t="s">
        <v>2171</v>
      </c>
      <c r="B152" t="s">
        <v>1302</v>
      </c>
      <c r="C152" t="s">
        <v>1303</v>
      </c>
      <c r="D152" t="s">
        <v>30</v>
      </c>
      <c r="E152" t="s">
        <v>534</v>
      </c>
      <c r="G152">
        <v>4500371348</v>
      </c>
      <c r="H152" t="s">
        <v>12</v>
      </c>
      <c r="I152" t="s">
        <v>2014</v>
      </c>
      <c r="J152" t="s">
        <v>534</v>
      </c>
      <c r="K152">
        <v>35250</v>
      </c>
      <c r="L152" s="1">
        <v>37728.93</v>
      </c>
      <c r="M152" t="str">
        <f>IFERROR(IF(VLOOKUP(LEFT(B152,2),'Humanitarian codes'!$A$2:$A$10,1,FALSE)=LEFT(B152,2),"Yes","Error"),"No")</f>
        <v>Yes</v>
      </c>
    </row>
    <row r="153" spans="1:13" x14ac:dyDescent="0.25">
      <c r="A153" t="s">
        <v>2171</v>
      </c>
      <c r="B153" t="s">
        <v>1302</v>
      </c>
      <c r="C153" t="s">
        <v>1303</v>
      </c>
      <c r="D153" t="s">
        <v>30</v>
      </c>
      <c r="E153" t="s">
        <v>534</v>
      </c>
      <c r="G153">
        <v>4500366561</v>
      </c>
      <c r="H153" t="s">
        <v>12</v>
      </c>
      <c r="I153" t="s">
        <v>1993</v>
      </c>
      <c r="J153" t="s">
        <v>534</v>
      </c>
      <c r="K153">
        <v>513865</v>
      </c>
      <c r="L153" s="1">
        <v>550000</v>
      </c>
      <c r="M153" t="str">
        <f>IFERROR(IF(VLOOKUP(LEFT(B153,2),'Humanitarian codes'!$A$2:$A$10,1,FALSE)=LEFT(B153,2),"Yes","Error"),"No")</f>
        <v>Yes</v>
      </c>
    </row>
    <row r="154" spans="1:13" x14ac:dyDescent="0.25">
      <c r="A154" t="s">
        <v>2171</v>
      </c>
      <c r="B154" t="s">
        <v>822</v>
      </c>
      <c r="C154" t="s">
        <v>823</v>
      </c>
      <c r="D154" t="s">
        <v>30</v>
      </c>
      <c r="E154" t="s">
        <v>356</v>
      </c>
      <c r="G154">
        <v>4500354582</v>
      </c>
      <c r="H154" t="s">
        <v>12</v>
      </c>
      <c r="I154" t="s">
        <v>2015</v>
      </c>
      <c r="J154" t="s">
        <v>356</v>
      </c>
      <c r="K154">
        <v>213849</v>
      </c>
      <c r="L154" s="1">
        <v>228887</v>
      </c>
      <c r="M154" t="str">
        <f>IFERROR(IF(VLOOKUP(LEFT(B154,2),'Humanitarian codes'!$A$2:$A$10,1,FALSE)=LEFT(B154,2),"Yes","Error"),"No")</f>
        <v>Yes</v>
      </c>
    </row>
    <row r="155" spans="1:13" x14ac:dyDescent="0.25">
      <c r="A155" t="s">
        <v>2171</v>
      </c>
      <c r="B155" t="s">
        <v>822</v>
      </c>
      <c r="C155" t="s">
        <v>823</v>
      </c>
      <c r="D155" t="s">
        <v>30</v>
      </c>
      <c r="E155" t="s">
        <v>356</v>
      </c>
      <c r="G155">
        <v>4500368158</v>
      </c>
      <c r="H155" t="s">
        <v>12</v>
      </c>
      <c r="I155" t="s">
        <v>1308</v>
      </c>
      <c r="J155" t="s">
        <v>356</v>
      </c>
      <c r="K155">
        <v>59352</v>
      </c>
      <c r="L155" s="1">
        <v>63526</v>
      </c>
      <c r="M155" t="str">
        <f>IFERROR(IF(VLOOKUP(LEFT(B155,2),'Humanitarian codes'!$A$2:$A$10,1,FALSE)=LEFT(B155,2),"Yes","Error"),"No")</f>
        <v>Yes</v>
      </c>
    </row>
    <row r="156" spans="1:13" x14ac:dyDescent="0.25">
      <c r="A156" t="s">
        <v>2171</v>
      </c>
      <c r="B156" t="s">
        <v>822</v>
      </c>
      <c r="C156" t="s">
        <v>823</v>
      </c>
      <c r="D156" t="s">
        <v>30</v>
      </c>
      <c r="E156" t="s">
        <v>356</v>
      </c>
      <c r="G156">
        <v>4500365445</v>
      </c>
      <c r="H156" t="s">
        <v>12</v>
      </c>
      <c r="I156" t="s">
        <v>2016</v>
      </c>
      <c r="J156" t="s">
        <v>356</v>
      </c>
      <c r="K156">
        <v>99355</v>
      </c>
      <c r="L156" s="1">
        <v>106342</v>
      </c>
      <c r="M156" t="str">
        <f>IFERROR(IF(VLOOKUP(LEFT(B156,2),'Humanitarian codes'!$A$2:$A$10,1,FALSE)=LEFT(B156,2),"Yes","Error"),"No")</f>
        <v>Yes</v>
      </c>
    </row>
    <row r="157" spans="1:13" x14ac:dyDescent="0.25">
      <c r="A157" t="s">
        <v>2171</v>
      </c>
      <c r="B157" t="s">
        <v>822</v>
      </c>
      <c r="C157" t="s">
        <v>823</v>
      </c>
      <c r="D157" t="s">
        <v>30</v>
      </c>
      <c r="E157" t="s">
        <v>356</v>
      </c>
      <c r="G157">
        <v>4500365395</v>
      </c>
      <c r="H157" t="s">
        <v>12</v>
      </c>
      <c r="I157" t="s">
        <v>2017</v>
      </c>
      <c r="J157" t="s">
        <v>356</v>
      </c>
      <c r="K157">
        <v>104923</v>
      </c>
      <c r="L157" s="1">
        <v>112301</v>
      </c>
      <c r="M157" t="str">
        <f>IFERROR(IF(VLOOKUP(LEFT(B157,2),'Humanitarian codes'!$A$2:$A$10,1,FALSE)=LEFT(B157,2),"Yes","Error"),"No")</f>
        <v>Yes</v>
      </c>
    </row>
    <row r="158" spans="1:13" x14ac:dyDescent="0.25">
      <c r="A158" t="s">
        <v>2171</v>
      </c>
      <c r="B158" t="s">
        <v>822</v>
      </c>
      <c r="C158" t="s">
        <v>823</v>
      </c>
      <c r="D158" t="s">
        <v>30</v>
      </c>
      <c r="E158" t="s">
        <v>356</v>
      </c>
      <c r="G158">
        <v>4500365457</v>
      </c>
      <c r="H158" t="s">
        <v>12</v>
      </c>
      <c r="I158" t="s">
        <v>827</v>
      </c>
      <c r="J158" t="s">
        <v>356</v>
      </c>
      <c r="K158">
        <v>70157</v>
      </c>
      <c r="L158" s="1">
        <v>75090</v>
      </c>
      <c r="M158" t="str">
        <f>IFERROR(IF(VLOOKUP(LEFT(B158,2),'Humanitarian codes'!$A$2:$A$10,1,FALSE)=LEFT(B158,2),"Yes","Error"),"No")</f>
        <v>Yes</v>
      </c>
    </row>
    <row r="159" spans="1:13" x14ac:dyDescent="0.25">
      <c r="A159" t="s">
        <v>2171</v>
      </c>
      <c r="B159" t="s">
        <v>822</v>
      </c>
      <c r="C159" t="s">
        <v>823</v>
      </c>
      <c r="D159" t="s">
        <v>30</v>
      </c>
      <c r="E159" t="s">
        <v>356</v>
      </c>
      <c r="G159">
        <v>4500375288</v>
      </c>
      <c r="H159" t="s">
        <v>12</v>
      </c>
      <c r="I159" t="s">
        <v>2018</v>
      </c>
      <c r="J159" t="s">
        <v>356</v>
      </c>
      <c r="K159">
        <v>147501</v>
      </c>
      <c r="L159" s="1">
        <v>157873</v>
      </c>
      <c r="M159" t="str">
        <f>IFERROR(IF(VLOOKUP(LEFT(B159,2),'Humanitarian codes'!$A$2:$A$10,1,FALSE)=LEFT(B159,2),"Yes","Error"),"No")</f>
        <v>Yes</v>
      </c>
    </row>
    <row r="160" spans="1:13" x14ac:dyDescent="0.25">
      <c r="A160" t="s">
        <v>2171</v>
      </c>
      <c r="B160" t="s">
        <v>822</v>
      </c>
      <c r="C160" t="s">
        <v>823</v>
      </c>
      <c r="D160" t="s">
        <v>30</v>
      </c>
      <c r="E160" t="s">
        <v>356</v>
      </c>
      <c r="G160">
        <v>4500361089</v>
      </c>
      <c r="H160" t="s">
        <v>12</v>
      </c>
      <c r="I160" t="s">
        <v>1367</v>
      </c>
      <c r="J160" t="s">
        <v>356</v>
      </c>
      <c r="K160">
        <v>106470</v>
      </c>
      <c r="L160" s="1">
        <v>113957</v>
      </c>
      <c r="M160" t="str">
        <f>IFERROR(IF(VLOOKUP(LEFT(B160,2),'Humanitarian codes'!$A$2:$A$10,1,FALSE)=LEFT(B160,2),"Yes","Error"),"No")</f>
        <v>Yes</v>
      </c>
    </row>
    <row r="161" spans="1:13" x14ac:dyDescent="0.25">
      <c r="A161" t="s">
        <v>2171</v>
      </c>
      <c r="B161" t="s">
        <v>822</v>
      </c>
      <c r="C161" t="s">
        <v>823</v>
      </c>
      <c r="D161" t="s">
        <v>30</v>
      </c>
      <c r="E161" t="s">
        <v>356</v>
      </c>
      <c r="G161">
        <v>4500367251</v>
      </c>
      <c r="H161" t="s">
        <v>12</v>
      </c>
      <c r="I161" t="s">
        <v>2019</v>
      </c>
      <c r="J161" t="s">
        <v>356</v>
      </c>
      <c r="K161">
        <v>96314</v>
      </c>
      <c r="L161" s="1">
        <v>103087</v>
      </c>
      <c r="M161" t="str">
        <f>IFERROR(IF(VLOOKUP(LEFT(B161,2),'Humanitarian codes'!$A$2:$A$10,1,FALSE)=LEFT(B161,2),"Yes","Error"),"No")</f>
        <v>Yes</v>
      </c>
    </row>
    <row r="162" spans="1:13" x14ac:dyDescent="0.25">
      <c r="A162" t="s">
        <v>2171</v>
      </c>
      <c r="B162" t="s">
        <v>822</v>
      </c>
      <c r="C162" t="s">
        <v>823</v>
      </c>
      <c r="D162" t="s">
        <v>30</v>
      </c>
      <c r="E162" t="s">
        <v>356</v>
      </c>
      <c r="G162">
        <v>4500352352</v>
      </c>
      <c r="H162" t="s">
        <v>12</v>
      </c>
      <c r="I162" t="s">
        <v>2020</v>
      </c>
      <c r="J162" t="s">
        <v>356</v>
      </c>
      <c r="K162">
        <v>116713</v>
      </c>
      <c r="L162" s="1">
        <v>124920</v>
      </c>
      <c r="M162" t="str">
        <f>IFERROR(IF(VLOOKUP(LEFT(B162,2),'Humanitarian codes'!$A$2:$A$10,1,FALSE)=LEFT(B162,2),"Yes","Error"),"No")</f>
        <v>Yes</v>
      </c>
    </row>
    <row r="163" spans="1:13" x14ac:dyDescent="0.25">
      <c r="A163" t="s">
        <v>2171</v>
      </c>
      <c r="B163" t="s">
        <v>822</v>
      </c>
      <c r="C163" t="s">
        <v>823</v>
      </c>
      <c r="D163" t="s">
        <v>30</v>
      </c>
      <c r="E163" t="s">
        <v>356</v>
      </c>
      <c r="G163">
        <v>4500361095</v>
      </c>
      <c r="H163" t="s">
        <v>12</v>
      </c>
      <c r="I163" t="s">
        <v>2021</v>
      </c>
      <c r="J163" t="s">
        <v>356</v>
      </c>
      <c r="K163">
        <v>83281</v>
      </c>
      <c r="L163" s="1">
        <v>89137</v>
      </c>
      <c r="M163" t="str">
        <f>IFERROR(IF(VLOOKUP(LEFT(B163,2),'Humanitarian codes'!$A$2:$A$10,1,FALSE)=LEFT(B163,2),"Yes","Error"),"No")</f>
        <v>Yes</v>
      </c>
    </row>
    <row r="164" spans="1:13" x14ac:dyDescent="0.25">
      <c r="A164" t="s">
        <v>2171</v>
      </c>
      <c r="B164" t="s">
        <v>822</v>
      </c>
      <c r="C164" t="s">
        <v>823</v>
      </c>
      <c r="D164" t="s">
        <v>30</v>
      </c>
      <c r="E164" t="s">
        <v>356</v>
      </c>
      <c r="G164">
        <v>4500354629</v>
      </c>
      <c r="H164" t="s">
        <v>12</v>
      </c>
      <c r="I164" t="s">
        <v>2022</v>
      </c>
      <c r="J164" t="s">
        <v>356</v>
      </c>
      <c r="K164">
        <v>140051</v>
      </c>
      <c r="L164" s="1">
        <v>149899</v>
      </c>
      <c r="M164" t="str">
        <f>IFERROR(IF(VLOOKUP(LEFT(B164,2),'Humanitarian codes'!$A$2:$A$10,1,FALSE)=LEFT(B164,2),"Yes","Error"),"No")</f>
        <v>Yes</v>
      </c>
    </row>
    <row r="165" spans="1:13" x14ac:dyDescent="0.25">
      <c r="A165" t="s">
        <v>2171</v>
      </c>
      <c r="B165" t="s">
        <v>822</v>
      </c>
      <c r="C165" t="s">
        <v>823</v>
      </c>
      <c r="D165" t="s">
        <v>30</v>
      </c>
      <c r="E165" t="s">
        <v>356</v>
      </c>
      <c r="G165">
        <v>4500365649</v>
      </c>
      <c r="H165" t="s">
        <v>12</v>
      </c>
      <c r="I165" t="s">
        <v>2023</v>
      </c>
      <c r="J165" t="s">
        <v>356</v>
      </c>
      <c r="K165">
        <v>93057</v>
      </c>
      <c r="L165" s="1">
        <v>99601</v>
      </c>
      <c r="M165" t="str">
        <f>IFERROR(IF(VLOOKUP(LEFT(B165,2),'Humanitarian codes'!$A$2:$A$10,1,FALSE)=LEFT(B165,2),"Yes","Error"),"No")</f>
        <v>Yes</v>
      </c>
    </row>
    <row r="166" spans="1:13" x14ac:dyDescent="0.25">
      <c r="A166" t="s">
        <v>2171</v>
      </c>
      <c r="B166" t="s">
        <v>822</v>
      </c>
      <c r="C166" t="s">
        <v>823</v>
      </c>
      <c r="D166" t="s">
        <v>30</v>
      </c>
      <c r="E166" t="s">
        <v>356</v>
      </c>
      <c r="G166">
        <v>4500352343</v>
      </c>
      <c r="H166" t="s">
        <v>12</v>
      </c>
      <c r="I166" t="s">
        <v>2024</v>
      </c>
      <c r="J166" t="s">
        <v>356</v>
      </c>
      <c r="K166">
        <v>42044</v>
      </c>
      <c r="L166" s="1">
        <v>45000</v>
      </c>
      <c r="M166" t="str">
        <f>IFERROR(IF(VLOOKUP(LEFT(B166,2),'Humanitarian codes'!$A$2:$A$10,1,FALSE)=LEFT(B166,2),"Yes","Error"),"No")</f>
        <v>Yes</v>
      </c>
    </row>
    <row r="167" spans="1:13" x14ac:dyDescent="0.25">
      <c r="A167" t="s">
        <v>2171</v>
      </c>
      <c r="B167" t="s">
        <v>822</v>
      </c>
      <c r="C167" t="s">
        <v>823</v>
      </c>
      <c r="D167" t="s">
        <v>30</v>
      </c>
      <c r="E167" t="s">
        <v>356</v>
      </c>
      <c r="G167">
        <v>4500365629</v>
      </c>
      <c r="H167" t="s">
        <v>12</v>
      </c>
      <c r="I167" t="s">
        <v>2025</v>
      </c>
      <c r="J167" t="s">
        <v>356</v>
      </c>
      <c r="K167">
        <v>62563</v>
      </c>
      <c r="L167" s="1">
        <v>66962</v>
      </c>
      <c r="M167" t="str">
        <f>IFERROR(IF(VLOOKUP(LEFT(B167,2),'Humanitarian codes'!$A$2:$A$10,1,FALSE)=LEFT(B167,2),"Yes","Error"),"No")</f>
        <v>Yes</v>
      </c>
    </row>
    <row r="168" spans="1:13" x14ac:dyDescent="0.25">
      <c r="A168" t="s">
        <v>2171</v>
      </c>
      <c r="B168" t="s">
        <v>822</v>
      </c>
      <c r="C168" t="s">
        <v>823</v>
      </c>
      <c r="D168" t="s">
        <v>30</v>
      </c>
      <c r="E168" t="s">
        <v>356</v>
      </c>
      <c r="G168">
        <v>4500354616</v>
      </c>
      <c r="H168" t="s">
        <v>12</v>
      </c>
      <c r="I168" t="s">
        <v>825</v>
      </c>
      <c r="J168" t="s">
        <v>356</v>
      </c>
      <c r="K168">
        <v>137668</v>
      </c>
      <c r="L168" s="1">
        <v>147349</v>
      </c>
      <c r="M168" t="str">
        <f>IFERROR(IF(VLOOKUP(LEFT(B168,2),'Humanitarian codes'!$A$2:$A$10,1,FALSE)=LEFT(B168,2),"Yes","Error"),"No")</f>
        <v>Yes</v>
      </c>
    </row>
    <row r="169" spans="1:13" x14ac:dyDescent="0.25">
      <c r="A169" t="s">
        <v>2171</v>
      </c>
      <c r="B169" t="s">
        <v>822</v>
      </c>
      <c r="C169" t="s">
        <v>823</v>
      </c>
      <c r="D169" t="s">
        <v>30</v>
      </c>
      <c r="E169" t="s">
        <v>356</v>
      </c>
      <c r="G169">
        <v>4500365655</v>
      </c>
      <c r="H169" t="s">
        <v>12</v>
      </c>
      <c r="I169" t="s">
        <v>2026</v>
      </c>
      <c r="J169" t="s">
        <v>356</v>
      </c>
      <c r="K169">
        <v>58527</v>
      </c>
      <c r="L169" s="1">
        <v>62643</v>
      </c>
      <c r="M169" t="str">
        <f>IFERROR(IF(VLOOKUP(LEFT(B169,2),'Humanitarian codes'!$A$2:$A$10,1,FALSE)=LEFT(B169,2),"Yes","Error"),"No")</f>
        <v>Yes</v>
      </c>
    </row>
    <row r="170" spans="1:13" x14ac:dyDescent="0.25">
      <c r="A170" t="s">
        <v>2171</v>
      </c>
      <c r="B170" t="s">
        <v>822</v>
      </c>
      <c r="C170" t="s">
        <v>823</v>
      </c>
      <c r="D170" t="s">
        <v>30</v>
      </c>
      <c r="E170" t="s">
        <v>356</v>
      </c>
      <c r="G170">
        <v>4500352329</v>
      </c>
      <c r="H170" t="s">
        <v>12</v>
      </c>
      <c r="I170" t="s">
        <v>2027</v>
      </c>
      <c r="J170" t="s">
        <v>356</v>
      </c>
      <c r="K170">
        <v>90801</v>
      </c>
      <c r="L170" s="1">
        <v>97186</v>
      </c>
      <c r="M170" t="str">
        <f>IFERROR(IF(VLOOKUP(LEFT(B170,2),'Humanitarian codes'!$A$2:$A$10,1,FALSE)=LEFT(B170,2),"Yes","Error"),"No")</f>
        <v>Yes</v>
      </c>
    </row>
    <row r="171" spans="1:13" x14ac:dyDescent="0.25">
      <c r="A171" t="s">
        <v>2171</v>
      </c>
      <c r="B171" t="s">
        <v>2028</v>
      </c>
      <c r="C171" t="s">
        <v>2029</v>
      </c>
      <c r="D171" t="s">
        <v>30</v>
      </c>
      <c r="E171" t="s">
        <v>32</v>
      </c>
      <c r="G171">
        <v>4500352307</v>
      </c>
      <c r="H171" t="s">
        <v>12</v>
      </c>
      <c r="I171" t="s">
        <v>1951</v>
      </c>
      <c r="J171" t="s">
        <v>32</v>
      </c>
      <c r="K171">
        <v>168174</v>
      </c>
      <c r="L171" s="1">
        <v>180000</v>
      </c>
      <c r="M171" t="str">
        <f>IFERROR(IF(VLOOKUP(LEFT(B171,2),'Humanitarian codes'!$A$2:$A$10,1,FALSE)=LEFT(B171,2),"Yes","Error"),"No")</f>
        <v>Yes</v>
      </c>
    </row>
    <row r="172" spans="1:13" x14ac:dyDescent="0.25">
      <c r="A172" t="s">
        <v>2171</v>
      </c>
      <c r="B172" t="s">
        <v>2028</v>
      </c>
      <c r="C172" t="s">
        <v>2029</v>
      </c>
      <c r="D172" t="s">
        <v>30</v>
      </c>
      <c r="E172" t="s">
        <v>32</v>
      </c>
      <c r="G172">
        <v>4500374667</v>
      </c>
      <c r="H172" t="s">
        <v>12</v>
      </c>
      <c r="I172" t="s">
        <v>1693</v>
      </c>
      <c r="J172" t="s">
        <v>32</v>
      </c>
      <c r="K172">
        <v>412349</v>
      </c>
      <c r="L172" s="1">
        <v>441345</v>
      </c>
      <c r="M172" t="str">
        <f>IFERROR(IF(VLOOKUP(LEFT(B172,2),'Humanitarian codes'!$A$2:$A$10,1,FALSE)=LEFT(B172,2),"Yes","Error"),"No")</f>
        <v>Yes</v>
      </c>
    </row>
    <row r="173" spans="1:13" x14ac:dyDescent="0.25">
      <c r="A173" t="s">
        <v>2171</v>
      </c>
      <c r="B173" t="s">
        <v>2028</v>
      </c>
      <c r="C173" t="s">
        <v>2029</v>
      </c>
      <c r="D173" t="s">
        <v>30</v>
      </c>
      <c r="E173" t="s">
        <v>32</v>
      </c>
      <c r="G173">
        <v>4500367017</v>
      </c>
      <c r="H173" t="s">
        <v>12</v>
      </c>
      <c r="I173" t="s">
        <v>1954</v>
      </c>
      <c r="J173" t="s">
        <v>32</v>
      </c>
      <c r="K173">
        <v>222561</v>
      </c>
      <c r="L173" s="1">
        <v>238212</v>
      </c>
      <c r="M173" t="str">
        <f>IFERROR(IF(VLOOKUP(LEFT(B173,2),'Humanitarian codes'!$A$2:$A$10,1,FALSE)=LEFT(B173,2),"Yes","Error"),"No")</f>
        <v>Yes</v>
      </c>
    </row>
    <row r="174" spans="1:13" x14ac:dyDescent="0.25">
      <c r="A174" t="s">
        <v>2171</v>
      </c>
      <c r="B174" t="s">
        <v>2030</v>
      </c>
      <c r="C174" t="s">
        <v>2031</v>
      </c>
      <c r="D174" t="s">
        <v>30</v>
      </c>
      <c r="E174" t="s">
        <v>155</v>
      </c>
      <c r="G174">
        <v>4500377637</v>
      </c>
      <c r="H174" t="s">
        <v>12</v>
      </c>
      <c r="I174" t="s">
        <v>2032</v>
      </c>
      <c r="J174" t="s">
        <v>155</v>
      </c>
      <c r="K174">
        <v>75120</v>
      </c>
      <c r="L174" s="1">
        <v>80402</v>
      </c>
      <c r="M174" t="str">
        <f>IFERROR(IF(VLOOKUP(LEFT(B174,2),'Humanitarian codes'!$A$2:$A$10,1,FALSE)=LEFT(B174,2),"Yes","Error"),"No")</f>
        <v>Yes</v>
      </c>
    </row>
    <row r="175" spans="1:13" x14ac:dyDescent="0.25">
      <c r="A175" t="s">
        <v>2171</v>
      </c>
      <c r="B175" t="s">
        <v>2030</v>
      </c>
      <c r="C175" t="s">
        <v>2031</v>
      </c>
      <c r="D175" t="s">
        <v>30</v>
      </c>
      <c r="E175" t="s">
        <v>155</v>
      </c>
      <c r="G175">
        <v>4500369193</v>
      </c>
      <c r="H175" t="s">
        <v>12</v>
      </c>
      <c r="I175" t="s">
        <v>2033</v>
      </c>
      <c r="J175" t="s">
        <v>155</v>
      </c>
      <c r="K175">
        <v>278609</v>
      </c>
      <c r="L175" s="1">
        <v>298201</v>
      </c>
      <c r="M175" t="str">
        <f>IFERROR(IF(VLOOKUP(LEFT(B175,2),'Humanitarian codes'!$A$2:$A$10,1,FALSE)=LEFT(B175,2),"Yes","Error"),"No")</f>
        <v>Yes</v>
      </c>
    </row>
    <row r="176" spans="1:13" x14ac:dyDescent="0.25">
      <c r="A176" t="s">
        <v>2171</v>
      </c>
      <c r="B176" t="s">
        <v>2030</v>
      </c>
      <c r="C176" t="s">
        <v>2031</v>
      </c>
      <c r="D176" t="s">
        <v>30</v>
      </c>
      <c r="E176" t="s">
        <v>155</v>
      </c>
      <c r="G176">
        <v>4500371970</v>
      </c>
      <c r="H176" t="s">
        <v>12</v>
      </c>
      <c r="I176" t="s">
        <v>1772</v>
      </c>
      <c r="J176" t="s">
        <v>155</v>
      </c>
      <c r="K176">
        <v>106510</v>
      </c>
      <c r="L176" s="1">
        <v>114000</v>
      </c>
      <c r="M176" t="str">
        <f>IFERROR(IF(VLOOKUP(LEFT(B176,2),'Humanitarian codes'!$A$2:$A$10,1,FALSE)=LEFT(B176,2),"Yes","Error"),"No")</f>
        <v>Yes</v>
      </c>
    </row>
    <row r="177" spans="1:13" x14ac:dyDescent="0.25">
      <c r="A177" t="s">
        <v>2171</v>
      </c>
      <c r="B177" t="s">
        <v>2030</v>
      </c>
      <c r="C177" t="s">
        <v>2031</v>
      </c>
      <c r="D177" t="s">
        <v>30</v>
      </c>
      <c r="E177" t="s">
        <v>155</v>
      </c>
      <c r="G177">
        <v>4500372069</v>
      </c>
      <c r="H177" t="s">
        <v>12</v>
      </c>
      <c r="I177" t="s">
        <v>2034</v>
      </c>
      <c r="J177" t="s">
        <v>155</v>
      </c>
      <c r="K177">
        <v>230772</v>
      </c>
      <c r="L177" s="1">
        <v>247000</v>
      </c>
      <c r="M177" t="str">
        <f>IFERROR(IF(VLOOKUP(LEFT(B177,2),'Humanitarian codes'!$A$2:$A$10,1,FALSE)=LEFT(B177,2),"Yes","Error"),"No")</f>
        <v>Yes</v>
      </c>
    </row>
    <row r="178" spans="1:13" x14ac:dyDescent="0.25">
      <c r="A178" t="s">
        <v>2171</v>
      </c>
      <c r="B178" t="s">
        <v>2030</v>
      </c>
      <c r="C178" t="s">
        <v>2031</v>
      </c>
      <c r="D178" t="s">
        <v>30</v>
      </c>
      <c r="E178" t="s">
        <v>155</v>
      </c>
      <c r="G178">
        <v>4500370975</v>
      </c>
      <c r="H178" t="s">
        <v>12</v>
      </c>
      <c r="I178" t="s">
        <v>2035</v>
      </c>
      <c r="J178" t="s">
        <v>155</v>
      </c>
      <c r="K178">
        <v>176146</v>
      </c>
      <c r="L178" s="1">
        <v>188533</v>
      </c>
      <c r="M178" t="str">
        <f>IFERROR(IF(VLOOKUP(LEFT(B178,2),'Humanitarian codes'!$A$2:$A$10,1,FALSE)=LEFT(B178,2),"Yes","Error"),"No")</f>
        <v>Yes</v>
      </c>
    </row>
    <row r="179" spans="1:13" x14ac:dyDescent="0.25">
      <c r="A179" t="s">
        <v>2171</v>
      </c>
      <c r="B179" t="s">
        <v>1318</v>
      </c>
      <c r="C179" t="s">
        <v>1319</v>
      </c>
      <c r="D179" t="s">
        <v>30</v>
      </c>
      <c r="E179" t="s">
        <v>289</v>
      </c>
      <c r="G179">
        <v>4500352631</v>
      </c>
      <c r="H179" t="s">
        <v>12</v>
      </c>
      <c r="I179" t="s">
        <v>1748</v>
      </c>
      <c r="J179" t="s">
        <v>289</v>
      </c>
      <c r="K179">
        <v>49949</v>
      </c>
      <c r="L179" s="1">
        <v>53461</v>
      </c>
      <c r="M179" t="str">
        <f>IFERROR(IF(VLOOKUP(LEFT(B179,2),'Humanitarian codes'!$A$2:$A$10,1,FALSE)=LEFT(B179,2),"Yes","Error"),"No")</f>
        <v>Yes</v>
      </c>
    </row>
    <row r="180" spans="1:13" x14ac:dyDescent="0.25">
      <c r="A180" t="s">
        <v>2171</v>
      </c>
      <c r="B180" t="s">
        <v>1318</v>
      </c>
      <c r="C180" t="s">
        <v>1319</v>
      </c>
      <c r="D180" t="s">
        <v>30</v>
      </c>
      <c r="E180" t="s">
        <v>289</v>
      </c>
      <c r="G180">
        <v>4500358198</v>
      </c>
      <c r="H180" t="s">
        <v>12</v>
      </c>
      <c r="I180" t="s">
        <v>2036</v>
      </c>
      <c r="J180" t="s">
        <v>289</v>
      </c>
      <c r="K180">
        <v>46715</v>
      </c>
      <c r="L180" s="1">
        <v>50000</v>
      </c>
      <c r="M180" t="str">
        <f>IFERROR(IF(VLOOKUP(LEFT(B180,2),'Humanitarian codes'!$A$2:$A$10,1,FALSE)=LEFT(B180,2),"Yes","Error"),"No")</f>
        <v>Yes</v>
      </c>
    </row>
    <row r="181" spans="1:13" x14ac:dyDescent="0.25">
      <c r="A181" t="s">
        <v>2171</v>
      </c>
      <c r="B181" t="s">
        <v>1318</v>
      </c>
      <c r="C181" t="s">
        <v>1319</v>
      </c>
      <c r="D181" t="s">
        <v>30</v>
      </c>
      <c r="E181" t="s">
        <v>289</v>
      </c>
      <c r="G181">
        <v>4500353821</v>
      </c>
      <c r="H181" t="s">
        <v>12</v>
      </c>
      <c r="I181" t="s">
        <v>300</v>
      </c>
      <c r="J181" t="s">
        <v>289</v>
      </c>
      <c r="K181">
        <v>33467</v>
      </c>
      <c r="L181" s="1">
        <v>35820</v>
      </c>
      <c r="M181" t="str">
        <f>IFERROR(IF(VLOOKUP(LEFT(B181,2),'Humanitarian codes'!$A$2:$A$10,1,FALSE)=LEFT(B181,2),"Yes","Error"),"No")</f>
        <v>Yes</v>
      </c>
    </row>
    <row r="182" spans="1:13" x14ac:dyDescent="0.25">
      <c r="A182" t="s">
        <v>2171</v>
      </c>
      <c r="B182" t="s">
        <v>1318</v>
      </c>
      <c r="C182" t="s">
        <v>1319</v>
      </c>
      <c r="D182" t="s">
        <v>30</v>
      </c>
      <c r="E182" t="s">
        <v>903</v>
      </c>
      <c r="G182">
        <v>4500370401</v>
      </c>
      <c r="H182" t="s">
        <v>12</v>
      </c>
      <c r="I182" t="s">
        <v>1761</v>
      </c>
      <c r="J182" t="s">
        <v>903</v>
      </c>
      <c r="K182">
        <v>4291</v>
      </c>
      <c r="L182" s="1">
        <v>4593.25</v>
      </c>
      <c r="M182" t="str">
        <f>IFERROR(IF(VLOOKUP(LEFT(B182,2),'Humanitarian codes'!$A$2:$A$10,1,FALSE)=LEFT(B182,2),"Yes","Error"),"No")</f>
        <v>Yes</v>
      </c>
    </row>
    <row r="183" spans="1:13" x14ac:dyDescent="0.25">
      <c r="A183" t="s">
        <v>2171</v>
      </c>
      <c r="B183" t="s">
        <v>1318</v>
      </c>
      <c r="C183" t="s">
        <v>1319</v>
      </c>
      <c r="D183" t="s">
        <v>30</v>
      </c>
      <c r="E183" t="s">
        <v>305</v>
      </c>
      <c r="G183">
        <v>4500375045</v>
      </c>
      <c r="H183" t="s">
        <v>12</v>
      </c>
      <c r="I183" t="s">
        <v>2037</v>
      </c>
      <c r="J183" t="s">
        <v>305</v>
      </c>
      <c r="K183">
        <v>196887</v>
      </c>
      <c r="L183" s="1">
        <v>210732.5</v>
      </c>
      <c r="M183" t="str">
        <f>IFERROR(IF(VLOOKUP(LEFT(B183,2),'Humanitarian codes'!$A$2:$A$10,1,FALSE)=LEFT(B183,2),"Yes","Error"),"No")</f>
        <v>Yes</v>
      </c>
    </row>
    <row r="184" spans="1:13" x14ac:dyDescent="0.25">
      <c r="A184" t="s">
        <v>2171</v>
      </c>
      <c r="B184" t="s">
        <v>1318</v>
      </c>
      <c r="C184" t="s">
        <v>1319</v>
      </c>
      <c r="D184" t="s">
        <v>30</v>
      </c>
      <c r="E184" t="s">
        <v>305</v>
      </c>
      <c r="G184">
        <v>4500362955</v>
      </c>
      <c r="H184" t="s">
        <v>12</v>
      </c>
      <c r="I184" t="s">
        <v>905</v>
      </c>
      <c r="J184" t="s">
        <v>305</v>
      </c>
      <c r="K184">
        <v>700725</v>
      </c>
      <c r="L184" s="1">
        <v>750000</v>
      </c>
      <c r="M184" t="str">
        <f>IFERROR(IF(VLOOKUP(LEFT(B184,2),'Humanitarian codes'!$A$2:$A$10,1,FALSE)=LEFT(B184,2),"Yes","Error"),"No")</f>
        <v>Yes</v>
      </c>
    </row>
    <row r="185" spans="1:13" x14ac:dyDescent="0.25">
      <c r="A185" t="s">
        <v>2171</v>
      </c>
      <c r="B185" t="s">
        <v>1318</v>
      </c>
      <c r="C185" t="s">
        <v>1319</v>
      </c>
      <c r="D185" t="s">
        <v>30</v>
      </c>
      <c r="E185" t="s">
        <v>305</v>
      </c>
      <c r="G185">
        <v>4500360085</v>
      </c>
      <c r="H185" t="s">
        <v>12</v>
      </c>
      <c r="I185" t="s">
        <v>1328</v>
      </c>
      <c r="J185" t="s">
        <v>305</v>
      </c>
      <c r="K185">
        <v>58152</v>
      </c>
      <c r="L185" s="1">
        <v>62240.94</v>
      </c>
      <c r="M185" t="str">
        <f>IFERROR(IF(VLOOKUP(LEFT(B185,2),'Humanitarian codes'!$A$2:$A$10,1,FALSE)=LEFT(B185,2),"Yes","Error"),"No")</f>
        <v>Yes</v>
      </c>
    </row>
    <row r="186" spans="1:13" x14ac:dyDescent="0.25">
      <c r="A186" t="s">
        <v>2171</v>
      </c>
      <c r="B186" t="s">
        <v>1318</v>
      </c>
      <c r="C186" t="s">
        <v>1319</v>
      </c>
      <c r="D186" t="s">
        <v>30</v>
      </c>
      <c r="E186" t="s">
        <v>305</v>
      </c>
      <c r="G186">
        <v>4500366847</v>
      </c>
      <c r="H186" t="s">
        <v>12</v>
      </c>
      <c r="I186" t="s">
        <v>2038</v>
      </c>
      <c r="J186" t="s">
        <v>305</v>
      </c>
      <c r="K186">
        <v>78262</v>
      </c>
      <c r="L186" s="1">
        <v>83765.78</v>
      </c>
      <c r="M186" t="str">
        <f>IFERROR(IF(VLOOKUP(LEFT(B186,2),'Humanitarian codes'!$A$2:$A$10,1,FALSE)=LEFT(B186,2),"Yes","Error"),"No")</f>
        <v>Yes</v>
      </c>
    </row>
    <row r="187" spans="1:13" x14ac:dyDescent="0.25">
      <c r="A187" t="s">
        <v>2171</v>
      </c>
      <c r="B187" t="s">
        <v>1333</v>
      </c>
      <c r="C187" t="s">
        <v>1334</v>
      </c>
      <c r="D187" t="s">
        <v>30</v>
      </c>
      <c r="E187" t="s">
        <v>54</v>
      </c>
      <c r="G187">
        <v>4500369237</v>
      </c>
      <c r="H187" t="s">
        <v>12</v>
      </c>
      <c r="I187" t="s">
        <v>2012</v>
      </c>
      <c r="J187" t="s">
        <v>54</v>
      </c>
      <c r="K187">
        <v>544331</v>
      </c>
      <c r="L187" s="1">
        <v>582608.48</v>
      </c>
      <c r="M187" t="str">
        <f>IFERROR(IF(VLOOKUP(LEFT(B187,2),'Humanitarian codes'!$A$2:$A$10,1,FALSE)=LEFT(B187,2),"Yes","Error"),"No")</f>
        <v>Yes</v>
      </c>
    </row>
    <row r="188" spans="1:13" x14ac:dyDescent="0.25">
      <c r="A188" t="s">
        <v>2171</v>
      </c>
      <c r="B188" t="s">
        <v>1335</v>
      </c>
      <c r="C188" t="s">
        <v>1336</v>
      </c>
      <c r="D188" t="s">
        <v>30</v>
      </c>
      <c r="E188" t="s">
        <v>83</v>
      </c>
      <c r="G188">
        <v>4500375071</v>
      </c>
      <c r="H188" t="s">
        <v>12</v>
      </c>
      <c r="I188" t="s">
        <v>86</v>
      </c>
      <c r="J188" t="s">
        <v>83</v>
      </c>
      <c r="K188">
        <v>78814</v>
      </c>
      <c r="L188" s="1">
        <v>84356</v>
      </c>
      <c r="M188" t="str">
        <f>IFERROR(IF(VLOOKUP(LEFT(B188,2),'Humanitarian codes'!$A$2:$A$10,1,FALSE)=LEFT(B188,2),"Yes","Error"),"No")</f>
        <v>Yes</v>
      </c>
    </row>
    <row r="189" spans="1:13" x14ac:dyDescent="0.25">
      <c r="A189" t="s">
        <v>2171</v>
      </c>
      <c r="B189" t="s">
        <v>1335</v>
      </c>
      <c r="C189" t="s">
        <v>1336</v>
      </c>
      <c r="D189" t="s">
        <v>30</v>
      </c>
      <c r="E189" t="s">
        <v>83</v>
      </c>
      <c r="G189">
        <v>4500367297</v>
      </c>
      <c r="H189" t="s">
        <v>12</v>
      </c>
      <c r="I189" t="s">
        <v>84</v>
      </c>
      <c r="J189" t="s">
        <v>83</v>
      </c>
      <c r="K189">
        <v>232575</v>
      </c>
      <c r="L189" s="1">
        <v>248929.26</v>
      </c>
      <c r="M189" t="str">
        <f>IFERROR(IF(VLOOKUP(LEFT(B189,2),'Humanitarian codes'!$A$2:$A$10,1,FALSE)=LEFT(B189,2),"Yes","Error"),"No")</f>
        <v>Yes</v>
      </c>
    </row>
    <row r="190" spans="1:13" x14ac:dyDescent="0.25">
      <c r="A190" t="s">
        <v>2171</v>
      </c>
      <c r="B190" t="s">
        <v>1340</v>
      </c>
      <c r="C190" t="s">
        <v>1341</v>
      </c>
      <c r="D190" t="s">
        <v>30</v>
      </c>
      <c r="E190" t="s">
        <v>54</v>
      </c>
      <c r="G190">
        <v>4500371643</v>
      </c>
      <c r="H190" t="s">
        <v>12</v>
      </c>
      <c r="I190" t="s">
        <v>2003</v>
      </c>
      <c r="J190" t="s">
        <v>54</v>
      </c>
      <c r="K190">
        <v>82802</v>
      </c>
      <c r="L190" s="1">
        <v>88624.87</v>
      </c>
      <c r="M190" t="str">
        <f>IFERROR(IF(VLOOKUP(LEFT(B190,2),'Humanitarian codes'!$A$2:$A$10,1,FALSE)=LEFT(B190,2),"Yes","Error"),"No")</f>
        <v>Yes</v>
      </c>
    </row>
    <row r="191" spans="1:13" x14ac:dyDescent="0.25">
      <c r="A191" t="s">
        <v>2171</v>
      </c>
      <c r="B191" t="s">
        <v>1340</v>
      </c>
      <c r="C191" t="s">
        <v>1341</v>
      </c>
      <c r="D191" t="s">
        <v>30</v>
      </c>
      <c r="E191" t="s">
        <v>54</v>
      </c>
      <c r="G191">
        <v>4500375960</v>
      </c>
      <c r="H191" t="s">
        <v>12</v>
      </c>
      <c r="I191" t="s">
        <v>1291</v>
      </c>
      <c r="J191" t="s">
        <v>54</v>
      </c>
      <c r="K191">
        <v>157399</v>
      </c>
      <c r="L191" s="1">
        <v>168467.83</v>
      </c>
      <c r="M191" t="str">
        <f>IFERROR(IF(VLOOKUP(LEFT(B191,2),'Humanitarian codes'!$A$2:$A$10,1,FALSE)=LEFT(B191,2),"Yes","Error"),"No")</f>
        <v>Yes</v>
      </c>
    </row>
    <row r="192" spans="1:13" x14ac:dyDescent="0.25">
      <c r="A192" t="s">
        <v>2171</v>
      </c>
      <c r="B192" t="s">
        <v>2039</v>
      </c>
      <c r="C192" t="s">
        <v>2040</v>
      </c>
      <c r="D192" t="s">
        <v>30</v>
      </c>
      <c r="E192" t="s">
        <v>155</v>
      </c>
      <c r="G192">
        <v>4500370978</v>
      </c>
      <c r="H192" t="s">
        <v>12</v>
      </c>
      <c r="I192" t="s">
        <v>156</v>
      </c>
      <c r="J192" t="s">
        <v>155</v>
      </c>
      <c r="K192">
        <v>56058</v>
      </c>
      <c r="L192" s="1">
        <v>60000</v>
      </c>
      <c r="M192" t="str">
        <f>IFERROR(IF(VLOOKUP(LEFT(B192,2),'Humanitarian codes'!$A$2:$A$10,1,FALSE)=LEFT(B192,2),"Yes","Error"),"No")</f>
        <v>Yes</v>
      </c>
    </row>
    <row r="193" spans="1:13" x14ac:dyDescent="0.25">
      <c r="A193" t="s">
        <v>2171</v>
      </c>
      <c r="B193" t="s">
        <v>1344</v>
      </c>
      <c r="C193" t="s">
        <v>1345</v>
      </c>
      <c r="D193" t="s">
        <v>30</v>
      </c>
      <c r="E193" t="s">
        <v>1346</v>
      </c>
      <c r="G193">
        <v>4500366529</v>
      </c>
      <c r="H193" t="s">
        <v>12</v>
      </c>
      <c r="I193" t="s">
        <v>2041</v>
      </c>
      <c r="J193" t="s">
        <v>1346</v>
      </c>
      <c r="K193">
        <v>195281</v>
      </c>
      <c r="L193" s="1">
        <v>209013.7</v>
      </c>
      <c r="M193" t="str">
        <f>IFERROR(IF(VLOOKUP(LEFT(B193,2),'Humanitarian codes'!$A$2:$A$10,1,FALSE)=LEFT(B193,2),"Yes","Error"),"No")</f>
        <v>Yes</v>
      </c>
    </row>
    <row r="194" spans="1:13" x14ac:dyDescent="0.25">
      <c r="A194" t="s">
        <v>2171</v>
      </c>
      <c r="B194" t="s">
        <v>1769</v>
      </c>
      <c r="C194" t="s">
        <v>1770</v>
      </c>
      <c r="D194" t="s">
        <v>30</v>
      </c>
      <c r="E194" t="s">
        <v>54</v>
      </c>
      <c r="G194">
        <v>4500377673</v>
      </c>
      <c r="H194" t="s">
        <v>12</v>
      </c>
      <c r="I194" t="s">
        <v>2042</v>
      </c>
      <c r="J194" t="s">
        <v>54</v>
      </c>
      <c r="K194">
        <v>465281</v>
      </c>
      <c r="L194" s="1">
        <v>498000</v>
      </c>
      <c r="M194" t="str">
        <f>IFERROR(IF(VLOOKUP(LEFT(B194,2),'Humanitarian codes'!$A$2:$A$10,1,FALSE)=LEFT(B194,2),"Yes","Error"),"No")</f>
        <v>Yes</v>
      </c>
    </row>
    <row r="195" spans="1:13" x14ac:dyDescent="0.25">
      <c r="A195" t="s">
        <v>2171</v>
      </c>
      <c r="B195" t="s">
        <v>1769</v>
      </c>
      <c r="C195" t="s">
        <v>1770</v>
      </c>
      <c r="D195" t="s">
        <v>30</v>
      </c>
      <c r="E195" t="s">
        <v>54</v>
      </c>
      <c r="G195">
        <v>4500377090</v>
      </c>
      <c r="H195" t="s">
        <v>12</v>
      </c>
      <c r="I195" t="s">
        <v>2004</v>
      </c>
      <c r="J195" t="s">
        <v>54</v>
      </c>
      <c r="K195">
        <v>468798</v>
      </c>
      <c r="L195" s="1">
        <v>501763.61</v>
      </c>
      <c r="M195" t="str">
        <f>IFERROR(IF(VLOOKUP(LEFT(B195,2),'Humanitarian codes'!$A$2:$A$10,1,FALSE)=LEFT(B195,2),"Yes","Error"),"No")</f>
        <v>Yes</v>
      </c>
    </row>
    <row r="196" spans="1:13" x14ac:dyDescent="0.25">
      <c r="A196" t="s">
        <v>2171</v>
      </c>
      <c r="B196" t="s">
        <v>1769</v>
      </c>
      <c r="C196" t="s">
        <v>1770</v>
      </c>
      <c r="D196" t="s">
        <v>30</v>
      </c>
      <c r="E196" t="s">
        <v>54</v>
      </c>
      <c r="G196">
        <v>4500360908</v>
      </c>
      <c r="H196" t="s">
        <v>12</v>
      </c>
      <c r="I196" t="s">
        <v>1771</v>
      </c>
      <c r="J196" t="s">
        <v>54</v>
      </c>
      <c r="K196">
        <v>48519</v>
      </c>
      <c r="L196" s="1">
        <v>51931.35</v>
      </c>
      <c r="M196" t="str">
        <f>IFERROR(IF(VLOOKUP(LEFT(B196,2),'Humanitarian codes'!$A$2:$A$10,1,FALSE)=LEFT(B196,2),"Yes","Error"),"No")</f>
        <v>Yes</v>
      </c>
    </row>
    <row r="197" spans="1:13" x14ac:dyDescent="0.25">
      <c r="A197" t="s">
        <v>2171</v>
      </c>
      <c r="B197" t="s">
        <v>1769</v>
      </c>
      <c r="C197" t="s">
        <v>1770</v>
      </c>
      <c r="D197" t="s">
        <v>30</v>
      </c>
      <c r="E197" t="s">
        <v>54</v>
      </c>
      <c r="G197">
        <v>4500378724</v>
      </c>
      <c r="H197" t="s">
        <v>12</v>
      </c>
      <c r="I197" t="s">
        <v>2043</v>
      </c>
      <c r="J197" t="s">
        <v>972</v>
      </c>
      <c r="K197">
        <v>373720</v>
      </c>
      <c r="L197" s="1">
        <v>400000</v>
      </c>
      <c r="M197" t="str">
        <f>IFERROR(IF(VLOOKUP(LEFT(B197,2),'Humanitarian codes'!$A$2:$A$10,1,FALSE)=LEFT(B197,2),"Yes","Error"),"No")</f>
        <v>Yes</v>
      </c>
    </row>
    <row r="198" spans="1:13" x14ac:dyDescent="0.25">
      <c r="A198" t="s">
        <v>2171</v>
      </c>
      <c r="B198" t="s">
        <v>1769</v>
      </c>
      <c r="C198" t="s">
        <v>1770</v>
      </c>
      <c r="D198" t="s">
        <v>30</v>
      </c>
      <c r="E198" t="s">
        <v>54</v>
      </c>
      <c r="G198">
        <v>4500376463</v>
      </c>
      <c r="H198" t="s">
        <v>12</v>
      </c>
      <c r="I198" t="s">
        <v>1406</v>
      </c>
      <c r="J198" t="s">
        <v>54</v>
      </c>
      <c r="K198">
        <v>93239</v>
      </c>
      <c r="L198" s="1">
        <v>99795.24</v>
      </c>
      <c r="M198" t="str">
        <f>IFERROR(IF(VLOOKUP(LEFT(B198,2),'Humanitarian codes'!$A$2:$A$10,1,FALSE)=LEFT(B198,2),"Yes","Error"),"No")</f>
        <v>Yes</v>
      </c>
    </row>
    <row r="199" spans="1:13" x14ac:dyDescent="0.25">
      <c r="A199" t="s">
        <v>2171</v>
      </c>
      <c r="B199" t="s">
        <v>2044</v>
      </c>
      <c r="C199" t="s">
        <v>1995</v>
      </c>
      <c r="D199" t="s">
        <v>30</v>
      </c>
      <c r="E199" t="s">
        <v>175</v>
      </c>
      <c r="G199">
        <v>4500364505</v>
      </c>
      <c r="H199" t="s">
        <v>12</v>
      </c>
      <c r="I199" t="s">
        <v>856</v>
      </c>
      <c r="J199" t="s">
        <v>175</v>
      </c>
      <c r="K199">
        <v>877728</v>
      </c>
      <c r="L199" s="1">
        <v>939449.74</v>
      </c>
      <c r="M199" t="str">
        <f>IFERROR(IF(VLOOKUP(LEFT(B199,2),'Humanitarian codes'!$A$2:$A$10,1,FALSE)=LEFT(B199,2),"Yes","Error"),"No")</f>
        <v>Yes</v>
      </c>
    </row>
    <row r="200" spans="1:13" x14ac:dyDescent="0.25">
      <c r="A200" t="s">
        <v>2171</v>
      </c>
      <c r="B200" t="s">
        <v>1351</v>
      </c>
      <c r="C200" t="s">
        <v>1352</v>
      </c>
      <c r="D200" t="s">
        <v>30</v>
      </c>
      <c r="E200" t="s">
        <v>150</v>
      </c>
      <c r="G200">
        <v>4500364579</v>
      </c>
      <c r="H200" t="s">
        <v>12</v>
      </c>
      <c r="I200" t="s">
        <v>2045</v>
      </c>
      <c r="J200" t="s">
        <v>150</v>
      </c>
      <c r="K200">
        <v>86759</v>
      </c>
      <c r="L200" s="1">
        <v>92859.96</v>
      </c>
      <c r="M200" t="str">
        <f>IFERROR(IF(VLOOKUP(LEFT(B200,2),'Humanitarian codes'!$A$2:$A$10,1,FALSE)=LEFT(B200,2),"Yes","Error"),"No")</f>
        <v>Yes</v>
      </c>
    </row>
    <row r="201" spans="1:13" x14ac:dyDescent="0.25">
      <c r="A201" t="s">
        <v>2171</v>
      </c>
      <c r="B201" t="s">
        <v>1351</v>
      </c>
      <c r="C201" t="s">
        <v>1352</v>
      </c>
      <c r="D201" t="s">
        <v>30</v>
      </c>
      <c r="E201" t="s">
        <v>150</v>
      </c>
      <c r="G201">
        <v>4500364568</v>
      </c>
      <c r="H201" t="s">
        <v>12</v>
      </c>
      <c r="I201" t="s">
        <v>2046</v>
      </c>
      <c r="J201" t="s">
        <v>150</v>
      </c>
      <c r="K201">
        <v>109959</v>
      </c>
      <c r="L201" s="1">
        <v>117691.35</v>
      </c>
      <c r="M201" t="str">
        <f>IFERROR(IF(VLOOKUP(LEFT(B201,2),'Humanitarian codes'!$A$2:$A$10,1,FALSE)=LEFT(B201,2),"Yes","Error"),"No")</f>
        <v>Yes</v>
      </c>
    </row>
    <row r="202" spans="1:13" x14ac:dyDescent="0.25">
      <c r="A202" t="s">
        <v>2171</v>
      </c>
      <c r="B202" t="s">
        <v>1351</v>
      </c>
      <c r="C202" t="s">
        <v>1352</v>
      </c>
      <c r="D202" t="s">
        <v>30</v>
      </c>
      <c r="E202" t="s">
        <v>150</v>
      </c>
      <c r="G202">
        <v>4500373197</v>
      </c>
      <c r="H202" t="s">
        <v>12</v>
      </c>
      <c r="I202" t="s">
        <v>832</v>
      </c>
      <c r="J202" t="s">
        <v>150</v>
      </c>
      <c r="K202">
        <v>212723</v>
      </c>
      <c r="L202" s="1">
        <v>227681.37</v>
      </c>
      <c r="M202" t="str">
        <f>IFERROR(IF(VLOOKUP(LEFT(B202,2),'Humanitarian codes'!$A$2:$A$10,1,FALSE)=LEFT(B202,2),"Yes","Error"),"No")</f>
        <v>Yes</v>
      </c>
    </row>
    <row r="203" spans="1:13" hidden="1" x14ac:dyDescent="0.25">
      <c r="A203" t="s">
        <v>2171</v>
      </c>
      <c r="B203" t="s">
        <v>2047</v>
      </c>
      <c r="C203" t="s">
        <v>2048</v>
      </c>
      <c r="D203" t="s">
        <v>30</v>
      </c>
      <c r="E203" t="s">
        <v>128</v>
      </c>
      <c r="G203">
        <v>4500356887</v>
      </c>
      <c r="H203" t="s">
        <v>12</v>
      </c>
      <c r="I203" t="s">
        <v>2049</v>
      </c>
      <c r="J203" t="s">
        <v>128</v>
      </c>
      <c r="K203">
        <v>112116</v>
      </c>
      <c r="L203" s="1">
        <v>120000</v>
      </c>
      <c r="M203" t="str">
        <f>IFERROR(IF(VLOOKUP(LEFT(B203,2),'Humanitarian codes'!$A$2:$A$10,1,FALSE)=LEFT(B203,2),"Yes","Error"),"No")</f>
        <v>No</v>
      </c>
    </row>
    <row r="204" spans="1:13" hidden="1" x14ac:dyDescent="0.25">
      <c r="A204" t="s">
        <v>2171</v>
      </c>
      <c r="B204" t="s">
        <v>2047</v>
      </c>
      <c r="C204" t="s">
        <v>2048</v>
      </c>
      <c r="D204" t="s">
        <v>30</v>
      </c>
      <c r="E204" t="s">
        <v>128</v>
      </c>
      <c r="G204">
        <v>4500356668</v>
      </c>
      <c r="H204" t="s">
        <v>12</v>
      </c>
      <c r="I204" t="s">
        <v>2050</v>
      </c>
      <c r="J204" t="s">
        <v>128</v>
      </c>
      <c r="K204">
        <v>111892</v>
      </c>
      <c r="L204" s="1">
        <v>119760</v>
      </c>
      <c r="M204" t="str">
        <f>IFERROR(IF(VLOOKUP(LEFT(B204,2),'Humanitarian codes'!$A$2:$A$10,1,FALSE)=LEFT(B204,2),"Yes","Error"),"No")</f>
        <v>No</v>
      </c>
    </row>
    <row r="205" spans="1:13" hidden="1" x14ac:dyDescent="0.25">
      <c r="A205" t="s">
        <v>2171</v>
      </c>
      <c r="B205" t="s">
        <v>2047</v>
      </c>
      <c r="C205" t="s">
        <v>2048</v>
      </c>
      <c r="D205" t="s">
        <v>30</v>
      </c>
      <c r="E205" t="s">
        <v>128</v>
      </c>
      <c r="G205">
        <v>4500356883</v>
      </c>
      <c r="H205" t="s">
        <v>12</v>
      </c>
      <c r="I205" t="s">
        <v>129</v>
      </c>
      <c r="J205" t="s">
        <v>128</v>
      </c>
      <c r="K205">
        <v>112027</v>
      </c>
      <c r="L205" s="1">
        <v>119905</v>
      </c>
      <c r="M205" t="str">
        <f>IFERROR(IF(VLOOKUP(LEFT(B205,2),'Humanitarian codes'!$A$2:$A$10,1,FALSE)=LEFT(B205,2),"Yes","Error"),"No")</f>
        <v>No</v>
      </c>
    </row>
    <row r="206" spans="1:13" hidden="1" x14ac:dyDescent="0.25">
      <c r="A206" t="s">
        <v>2171</v>
      </c>
      <c r="B206" t="s">
        <v>2047</v>
      </c>
      <c r="C206" t="s">
        <v>2048</v>
      </c>
      <c r="D206" t="s">
        <v>30</v>
      </c>
      <c r="E206" t="s">
        <v>128</v>
      </c>
      <c r="G206">
        <v>4500356877</v>
      </c>
      <c r="H206" t="s">
        <v>12</v>
      </c>
      <c r="I206" t="s">
        <v>2051</v>
      </c>
      <c r="J206" t="s">
        <v>128</v>
      </c>
      <c r="K206">
        <v>111182</v>
      </c>
      <c r="L206" s="1">
        <v>119000</v>
      </c>
      <c r="M206" t="str">
        <f>IFERROR(IF(VLOOKUP(LEFT(B206,2),'Humanitarian codes'!$A$2:$A$10,1,FALSE)=LEFT(B206,2),"Yes","Error"),"No")</f>
        <v>No</v>
      </c>
    </row>
    <row r="207" spans="1:13" hidden="1" x14ac:dyDescent="0.25">
      <c r="A207" t="s">
        <v>2171</v>
      </c>
      <c r="B207" t="s">
        <v>1393</v>
      </c>
      <c r="C207" t="s">
        <v>1394</v>
      </c>
      <c r="D207" t="s">
        <v>30</v>
      </c>
      <c r="E207" t="s">
        <v>54</v>
      </c>
      <c r="G207">
        <v>4500356884</v>
      </c>
      <c r="H207" t="s">
        <v>12</v>
      </c>
      <c r="I207" t="s">
        <v>1248</v>
      </c>
      <c r="J207" t="s">
        <v>54</v>
      </c>
      <c r="K207">
        <v>337242</v>
      </c>
      <c r="L207" s="1">
        <v>360957.22</v>
      </c>
      <c r="M207" t="str">
        <f>IFERROR(IF(VLOOKUP(LEFT(B207,2),'Humanitarian codes'!$A$2:$A$10,1,FALSE)=LEFT(B207,2),"Yes","Error"),"No")</f>
        <v>No</v>
      </c>
    </row>
    <row r="208" spans="1:13" hidden="1" x14ac:dyDescent="0.25">
      <c r="A208" t="s">
        <v>2171</v>
      </c>
      <c r="B208" t="s">
        <v>1396</v>
      </c>
      <c r="C208" t="s">
        <v>1397</v>
      </c>
      <c r="D208" t="s">
        <v>30</v>
      </c>
      <c r="E208" t="s">
        <v>123</v>
      </c>
      <c r="G208">
        <v>4500352363</v>
      </c>
      <c r="H208" t="s">
        <v>12</v>
      </c>
      <c r="I208" t="s">
        <v>432</v>
      </c>
      <c r="J208" t="s">
        <v>123</v>
      </c>
      <c r="K208">
        <v>173962</v>
      </c>
      <c r="L208" s="1">
        <v>186195</v>
      </c>
      <c r="M208" t="str">
        <f>IFERROR(IF(VLOOKUP(LEFT(B208,2),'Humanitarian codes'!$A$2:$A$10,1,FALSE)=LEFT(B208,2),"Yes","Error"),"No")</f>
        <v>No</v>
      </c>
    </row>
    <row r="209" spans="1:13" hidden="1" x14ac:dyDescent="0.25">
      <c r="A209" t="s">
        <v>2171</v>
      </c>
      <c r="B209" t="s">
        <v>2052</v>
      </c>
      <c r="C209" t="s">
        <v>2053</v>
      </c>
      <c r="D209" t="s">
        <v>30</v>
      </c>
      <c r="E209" t="s">
        <v>128</v>
      </c>
      <c r="G209">
        <v>4500375723</v>
      </c>
      <c r="H209" t="s">
        <v>12</v>
      </c>
      <c r="I209" t="s">
        <v>436</v>
      </c>
      <c r="J209" t="s">
        <v>128</v>
      </c>
      <c r="K209">
        <v>398006</v>
      </c>
      <c r="L209" s="1">
        <v>425994</v>
      </c>
      <c r="M209" t="str">
        <f>IFERROR(IF(VLOOKUP(LEFT(B209,2),'Humanitarian codes'!$A$2:$A$10,1,FALSE)=LEFT(B209,2),"Yes","Error"),"No")</f>
        <v>No</v>
      </c>
    </row>
    <row r="210" spans="1:13" x14ac:dyDescent="0.25">
      <c r="A210" t="s">
        <v>2171</v>
      </c>
      <c r="B210" t="s">
        <v>1415</v>
      </c>
      <c r="C210" t="s">
        <v>1416</v>
      </c>
      <c r="D210" t="s">
        <v>30</v>
      </c>
      <c r="E210" t="s">
        <v>814</v>
      </c>
      <c r="G210">
        <v>4500368311</v>
      </c>
      <c r="H210" t="s">
        <v>12</v>
      </c>
      <c r="I210" t="s">
        <v>115</v>
      </c>
      <c r="J210" t="s">
        <v>814</v>
      </c>
      <c r="K210">
        <v>15112</v>
      </c>
      <c r="L210" s="1">
        <v>16174.85</v>
      </c>
      <c r="M210" t="str">
        <f>IFERROR(IF(VLOOKUP(LEFT(B210,2),'Humanitarian codes'!$A$2:$A$10,1,FALSE)=LEFT(B210,2),"Yes","Error"),"No")</f>
        <v>Yes</v>
      </c>
    </row>
    <row r="211" spans="1:13" x14ac:dyDescent="0.25">
      <c r="A211" t="s">
        <v>2171</v>
      </c>
      <c r="B211" t="s">
        <v>2054</v>
      </c>
      <c r="C211" t="s">
        <v>446</v>
      </c>
      <c r="D211" t="s">
        <v>30</v>
      </c>
      <c r="E211" t="s">
        <v>257</v>
      </c>
      <c r="G211">
        <v>4500367532</v>
      </c>
      <c r="H211" t="s">
        <v>12</v>
      </c>
      <c r="I211" t="s">
        <v>422</v>
      </c>
      <c r="J211" t="s">
        <v>257</v>
      </c>
      <c r="K211">
        <v>152587</v>
      </c>
      <c r="L211" s="1">
        <v>163317.4</v>
      </c>
      <c r="M211" t="str">
        <f>IFERROR(IF(VLOOKUP(LEFT(B211,2),'Humanitarian codes'!$A$2:$A$10,1,FALSE)=LEFT(B211,2),"Yes","Error"),"No")</f>
        <v>Yes</v>
      </c>
    </row>
    <row r="212" spans="1:13" x14ac:dyDescent="0.25">
      <c r="A212" t="s">
        <v>2171</v>
      </c>
      <c r="B212" t="s">
        <v>2054</v>
      </c>
      <c r="C212" t="s">
        <v>446</v>
      </c>
      <c r="D212" t="s">
        <v>30</v>
      </c>
      <c r="E212" t="s">
        <v>257</v>
      </c>
      <c r="G212">
        <v>4500367530</v>
      </c>
      <c r="H212" t="s">
        <v>12</v>
      </c>
      <c r="I212" t="s">
        <v>421</v>
      </c>
      <c r="J212" t="s">
        <v>257</v>
      </c>
      <c r="K212">
        <v>34364</v>
      </c>
      <c r="L212" s="1">
        <v>36780.15</v>
      </c>
      <c r="M212" t="str">
        <f>IFERROR(IF(VLOOKUP(LEFT(B212,2),'Humanitarian codes'!$A$2:$A$10,1,FALSE)=LEFT(B212,2),"Yes","Error"),"No")</f>
        <v>Yes</v>
      </c>
    </row>
    <row r="213" spans="1:13" x14ac:dyDescent="0.25">
      <c r="A213" t="s">
        <v>2171</v>
      </c>
      <c r="B213" t="s">
        <v>2054</v>
      </c>
      <c r="C213" t="s">
        <v>446</v>
      </c>
      <c r="D213" t="s">
        <v>30</v>
      </c>
      <c r="E213" t="s">
        <v>257</v>
      </c>
      <c r="G213">
        <v>4500373387</v>
      </c>
      <c r="H213" t="s">
        <v>12</v>
      </c>
      <c r="I213" t="s">
        <v>421</v>
      </c>
      <c r="J213" t="s">
        <v>257</v>
      </c>
      <c r="K213">
        <v>96532</v>
      </c>
      <c r="L213" s="1">
        <v>103319.71</v>
      </c>
      <c r="M213" t="str">
        <f>IFERROR(IF(VLOOKUP(LEFT(B213,2),'Humanitarian codes'!$A$2:$A$10,1,FALSE)=LEFT(B213,2),"Yes","Error"),"No")</f>
        <v>Yes</v>
      </c>
    </row>
    <row r="214" spans="1:13" x14ac:dyDescent="0.25">
      <c r="A214" t="s">
        <v>2171</v>
      </c>
      <c r="B214" t="s">
        <v>443</v>
      </c>
      <c r="C214" t="s">
        <v>444</v>
      </c>
      <c r="D214" t="s">
        <v>30</v>
      </c>
      <c r="E214" t="s">
        <v>155</v>
      </c>
      <c r="G214">
        <v>4500362119</v>
      </c>
      <c r="H214" t="s">
        <v>12</v>
      </c>
      <c r="I214" t="s">
        <v>335</v>
      </c>
      <c r="J214" t="s">
        <v>155</v>
      </c>
      <c r="K214">
        <v>54775</v>
      </c>
      <c r="L214" s="1">
        <v>58627</v>
      </c>
      <c r="M214" t="str">
        <f>IFERROR(IF(VLOOKUP(LEFT(B214,2),'Humanitarian codes'!$A$2:$A$10,1,FALSE)=LEFT(B214,2),"Yes","Error"),"No")</f>
        <v>Yes</v>
      </c>
    </row>
    <row r="215" spans="1:13" hidden="1" x14ac:dyDescent="0.25">
      <c r="A215" t="s">
        <v>2171</v>
      </c>
      <c r="B215" t="s">
        <v>453</v>
      </c>
      <c r="C215" t="s">
        <v>454</v>
      </c>
      <c r="D215" t="s">
        <v>30</v>
      </c>
      <c r="E215" t="s">
        <v>257</v>
      </c>
      <c r="G215">
        <v>4500380119</v>
      </c>
      <c r="H215" t="s">
        <v>12</v>
      </c>
      <c r="I215" t="s">
        <v>2055</v>
      </c>
      <c r="J215" t="s">
        <v>257</v>
      </c>
      <c r="K215">
        <v>10188</v>
      </c>
      <c r="L215" s="1">
        <v>10904.21</v>
      </c>
      <c r="M215" t="str">
        <f>IFERROR(IF(VLOOKUP(LEFT(B215,2),'Humanitarian codes'!$A$2:$A$10,1,FALSE)=LEFT(B215,2),"Yes","Error"),"No")</f>
        <v>No</v>
      </c>
    </row>
    <row r="216" spans="1:13" hidden="1" x14ac:dyDescent="0.25">
      <c r="A216" t="s">
        <v>2171</v>
      </c>
      <c r="B216" t="s">
        <v>453</v>
      </c>
      <c r="C216" t="s">
        <v>454</v>
      </c>
      <c r="D216" t="s">
        <v>30</v>
      </c>
      <c r="E216" t="s">
        <v>257</v>
      </c>
      <c r="G216">
        <v>4500380116</v>
      </c>
      <c r="H216" t="s">
        <v>12</v>
      </c>
      <c r="I216" t="s">
        <v>1672</v>
      </c>
      <c r="J216" t="s">
        <v>257</v>
      </c>
      <c r="K216">
        <v>10188</v>
      </c>
      <c r="L216" s="1">
        <v>10904.21</v>
      </c>
      <c r="M216" t="str">
        <f>IFERROR(IF(VLOOKUP(LEFT(B216,2),'Humanitarian codes'!$A$2:$A$10,1,FALSE)=LEFT(B216,2),"Yes","Error"),"No")</f>
        <v>No</v>
      </c>
    </row>
    <row r="217" spans="1:13" hidden="1" x14ac:dyDescent="0.25">
      <c r="A217" t="s">
        <v>2171</v>
      </c>
      <c r="B217" t="s">
        <v>2056</v>
      </c>
      <c r="C217" t="s">
        <v>2057</v>
      </c>
      <c r="D217" t="s">
        <v>30</v>
      </c>
      <c r="E217" t="s">
        <v>261</v>
      </c>
      <c r="G217">
        <v>4500364086</v>
      </c>
      <c r="H217" t="s">
        <v>12</v>
      </c>
      <c r="I217" t="s">
        <v>1922</v>
      </c>
      <c r="J217" t="s">
        <v>261</v>
      </c>
      <c r="K217">
        <v>182815</v>
      </c>
      <c r="L217" s="1">
        <v>195670.48</v>
      </c>
      <c r="M217" t="str">
        <f>IFERROR(IF(VLOOKUP(LEFT(B217,2),'Humanitarian codes'!$A$2:$A$10,1,FALSE)=LEFT(B217,2),"Yes","Error"),"No")</f>
        <v>No</v>
      </c>
    </row>
    <row r="218" spans="1:13" hidden="1" x14ac:dyDescent="0.25">
      <c r="A218" t="s">
        <v>2171</v>
      </c>
      <c r="B218" t="s">
        <v>2056</v>
      </c>
      <c r="C218" t="s">
        <v>2057</v>
      </c>
      <c r="D218" t="s">
        <v>30</v>
      </c>
      <c r="E218" t="s">
        <v>261</v>
      </c>
      <c r="G218">
        <v>4500376629</v>
      </c>
      <c r="H218" t="s">
        <v>12</v>
      </c>
      <c r="I218" t="s">
        <v>2058</v>
      </c>
      <c r="J218" t="s">
        <v>261</v>
      </c>
      <c r="K218">
        <v>83708</v>
      </c>
      <c r="L218" s="1">
        <v>89594.3</v>
      </c>
      <c r="M218" t="str">
        <f>IFERROR(IF(VLOOKUP(LEFT(B218,2),'Humanitarian codes'!$A$2:$A$10,1,FALSE)=LEFT(B218,2),"Yes","Error"),"No")</f>
        <v>No</v>
      </c>
    </row>
    <row r="219" spans="1:13" hidden="1" x14ac:dyDescent="0.25">
      <c r="A219" t="s">
        <v>2171</v>
      </c>
      <c r="B219" t="s">
        <v>456</v>
      </c>
      <c r="C219" t="s">
        <v>457</v>
      </c>
      <c r="D219" t="s">
        <v>30</v>
      </c>
      <c r="E219" t="s">
        <v>940</v>
      </c>
      <c r="G219">
        <v>4500353918</v>
      </c>
      <c r="H219" t="s">
        <v>12</v>
      </c>
      <c r="I219" t="s">
        <v>2059</v>
      </c>
      <c r="J219" t="s">
        <v>940</v>
      </c>
      <c r="K219">
        <v>153225</v>
      </c>
      <c r="L219" s="1">
        <v>164000</v>
      </c>
      <c r="M219" t="str">
        <f>IFERROR(IF(VLOOKUP(LEFT(B219,2),'Humanitarian codes'!$A$2:$A$10,1,FALSE)=LEFT(B219,2),"Yes","Error"),"No")</f>
        <v>No</v>
      </c>
    </row>
    <row r="220" spans="1:13" hidden="1" x14ac:dyDescent="0.25">
      <c r="A220" t="s">
        <v>2171</v>
      </c>
      <c r="B220" t="s">
        <v>456</v>
      </c>
      <c r="C220" t="s">
        <v>457</v>
      </c>
      <c r="D220" t="s">
        <v>30</v>
      </c>
      <c r="E220" t="s">
        <v>940</v>
      </c>
      <c r="G220">
        <v>4500354714</v>
      </c>
      <c r="H220" t="s">
        <v>12</v>
      </c>
      <c r="I220" t="s">
        <v>1260</v>
      </c>
      <c r="J220" t="s">
        <v>940</v>
      </c>
      <c r="K220">
        <v>64861</v>
      </c>
      <c r="L220" s="1">
        <v>69422</v>
      </c>
      <c r="M220" t="str">
        <f>IFERROR(IF(VLOOKUP(LEFT(B220,2),'Humanitarian codes'!$A$2:$A$10,1,FALSE)=LEFT(B220,2),"Yes","Error"),"No")</f>
        <v>No</v>
      </c>
    </row>
    <row r="221" spans="1:13" hidden="1" x14ac:dyDescent="0.25">
      <c r="A221" t="s">
        <v>2171</v>
      </c>
      <c r="B221" t="s">
        <v>456</v>
      </c>
      <c r="C221" t="s">
        <v>457</v>
      </c>
      <c r="D221" t="s">
        <v>30</v>
      </c>
      <c r="E221" t="s">
        <v>940</v>
      </c>
      <c r="G221">
        <v>4500353928</v>
      </c>
      <c r="H221" t="s">
        <v>12</v>
      </c>
      <c r="I221" t="s">
        <v>941</v>
      </c>
      <c r="J221" t="s">
        <v>940</v>
      </c>
      <c r="K221">
        <v>56037</v>
      </c>
      <c r="L221" s="1">
        <v>59978</v>
      </c>
      <c r="M221" t="str">
        <f>IFERROR(IF(VLOOKUP(LEFT(B221,2),'Humanitarian codes'!$A$2:$A$10,1,FALSE)=LEFT(B221,2),"Yes","Error"),"No")</f>
        <v>No</v>
      </c>
    </row>
    <row r="222" spans="1:13" hidden="1" x14ac:dyDescent="0.25">
      <c r="A222" t="s">
        <v>2171</v>
      </c>
      <c r="B222" t="s">
        <v>2060</v>
      </c>
      <c r="C222" t="s">
        <v>2061</v>
      </c>
      <c r="D222" t="s">
        <v>30</v>
      </c>
      <c r="E222" t="s">
        <v>261</v>
      </c>
      <c r="G222">
        <v>4500364086</v>
      </c>
      <c r="H222" t="s">
        <v>12</v>
      </c>
      <c r="I222" t="s">
        <v>1922</v>
      </c>
      <c r="J222" t="s">
        <v>261</v>
      </c>
      <c r="K222">
        <v>182815</v>
      </c>
      <c r="L222" s="1">
        <v>195670.48</v>
      </c>
      <c r="M222" t="str">
        <f>IFERROR(IF(VLOOKUP(LEFT(B222,2),'Humanitarian codes'!$A$2:$A$10,1,FALSE)=LEFT(B222,2),"Yes","Error"),"No")</f>
        <v>No</v>
      </c>
    </row>
    <row r="223" spans="1:13" hidden="1" x14ac:dyDescent="0.25">
      <c r="A223" t="s">
        <v>2171</v>
      </c>
      <c r="B223" t="s">
        <v>2060</v>
      </c>
      <c r="C223" t="s">
        <v>2061</v>
      </c>
      <c r="D223" t="s">
        <v>30</v>
      </c>
      <c r="E223" t="s">
        <v>261</v>
      </c>
      <c r="G223">
        <v>4500376629</v>
      </c>
      <c r="H223" t="s">
        <v>12</v>
      </c>
      <c r="I223" t="s">
        <v>2058</v>
      </c>
      <c r="J223" t="s">
        <v>261</v>
      </c>
      <c r="K223">
        <v>83708</v>
      </c>
      <c r="L223" s="1">
        <v>89594.3</v>
      </c>
      <c r="M223" t="str">
        <f>IFERROR(IF(VLOOKUP(LEFT(B223,2),'Humanitarian codes'!$A$2:$A$10,1,FALSE)=LEFT(B223,2),"Yes","Error"),"No")</f>
        <v>No</v>
      </c>
    </row>
    <row r="224" spans="1:13" hidden="1" x14ac:dyDescent="0.25">
      <c r="A224" t="s">
        <v>2171</v>
      </c>
      <c r="B224" t="s">
        <v>1434</v>
      </c>
      <c r="C224" t="s">
        <v>1435</v>
      </c>
      <c r="D224" t="s">
        <v>543</v>
      </c>
      <c r="E224" t="s">
        <v>940</v>
      </c>
      <c r="G224">
        <v>4500357418</v>
      </c>
      <c r="H224" t="s">
        <v>12</v>
      </c>
      <c r="I224" t="s">
        <v>2062</v>
      </c>
      <c r="J224" t="s">
        <v>940</v>
      </c>
      <c r="K224">
        <v>14015</v>
      </c>
      <c r="L224" s="1">
        <v>15000</v>
      </c>
      <c r="M224" t="str">
        <f>IFERROR(IF(VLOOKUP(LEFT(B224,2),'Humanitarian codes'!$A$2:$A$10,1,FALSE)=LEFT(B224,2),"Yes","Error"),"No")</f>
        <v>No</v>
      </c>
    </row>
    <row r="225" spans="1:13" hidden="1" x14ac:dyDescent="0.25">
      <c r="A225" t="s">
        <v>2171</v>
      </c>
      <c r="B225" t="s">
        <v>1434</v>
      </c>
      <c r="C225" t="s">
        <v>1435</v>
      </c>
      <c r="D225" t="s">
        <v>543</v>
      </c>
      <c r="E225" t="s">
        <v>1436</v>
      </c>
      <c r="G225">
        <v>4500354565</v>
      </c>
      <c r="H225" t="s">
        <v>12</v>
      </c>
      <c r="I225" t="s">
        <v>2063</v>
      </c>
      <c r="J225" t="s">
        <v>1436</v>
      </c>
      <c r="K225">
        <v>14015</v>
      </c>
      <c r="L225" s="1">
        <v>15000</v>
      </c>
      <c r="M225" t="str">
        <f>IFERROR(IF(VLOOKUP(LEFT(B225,2),'Humanitarian codes'!$A$2:$A$10,1,FALSE)=LEFT(B225,2),"Yes","Error"),"No")</f>
        <v>No</v>
      </c>
    </row>
    <row r="226" spans="1:13" hidden="1" x14ac:dyDescent="0.25">
      <c r="A226" t="s">
        <v>2171</v>
      </c>
      <c r="B226" t="s">
        <v>2064</v>
      </c>
      <c r="C226" t="s">
        <v>2065</v>
      </c>
      <c r="D226" t="s">
        <v>543</v>
      </c>
      <c r="E226" t="s">
        <v>953</v>
      </c>
      <c r="G226">
        <v>4500358189</v>
      </c>
      <c r="H226" t="s">
        <v>12</v>
      </c>
      <c r="I226" t="s">
        <v>954</v>
      </c>
      <c r="J226" t="s">
        <v>616</v>
      </c>
      <c r="K226">
        <v>285578</v>
      </c>
      <c r="L226" s="1">
        <v>305659.87</v>
      </c>
      <c r="M226" t="str">
        <f>IFERROR(IF(VLOOKUP(LEFT(B226,2),'Humanitarian codes'!$A$2:$A$10,1,FALSE)=LEFT(B226,2),"Yes","Error"),"No")</f>
        <v>No</v>
      </c>
    </row>
    <row r="227" spans="1:13" hidden="1" x14ac:dyDescent="0.25">
      <c r="A227" t="s">
        <v>2171</v>
      </c>
      <c r="B227" t="s">
        <v>1805</v>
      </c>
      <c r="C227" t="s">
        <v>1806</v>
      </c>
      <c r="D227" t="s">
        <v>543</v>
      </c>
      <c r="E227" t="s">
        <v>257</v>
      </c>
      <c r="G227">
        <v>4500363422</v>
      </c>
      <c r="H227" t="s">
        <v>12</v>
      </c>
      <c r="I227" t="s">
        <v>2066</v>
      </c>
      <c r="J227" t="s">
        <v>257</v>
      </c>
      <c r="K227">
        <v>34758</v>
      </c>
      <c r="L227" s="1">
        <v>37202.14</v>
      </c>
      <c r="M227" t="str">
        <f>IFERROR(IF(VLOOKUP(LEFT(B227,2),'Humanitarian codes'!$A$2:$A$10,1,FALSE)=LEFT(B227,2),"Yes","Error"),"No")</f>
        <v>No</v>
      </c>
    </row>
    <row r="228" spans="1:13" hidden="1" x14ac:dyDescent="0.25">
      <c r="A228" t="s">
        <v>2171</v>
      </c>
      <c r="B228" t="s">
        <v>1805</v>
      </c>
      <c r="C228" t="s">
        <v>1806</v>
      </c>
      <c r="D228" t="s">
        <v>543</v>
      </c>
      <c r="E228" t="s">
        <v>257</v>
      </c>
      <c r="G228">
        <v>4500363419</v>
      </c>
      <c r="H228" t="s">
        <v>12</v>
      </c>
      <c r="I228" t="s">
        <v>2067</v>
      </c>
      <c r="J228" t="s">
        <v>257</v>
      </c>
      <c r="K228">
        <v>34758</v>
      </c>
      <c r="L228" s="1">
        <v>37202.14</v>
      </c>
      <c r="M228" t="str">
        <f>IFERROR(IF(VLOOKUP(LEFT(B228,2),'Humanitarian codes'!$A$2:$A$10,1,FALSE)=LEFT(B228,2),"Yes","Error"),"No")</f>
        <v>No</v>
      </c>
    </row>
    <row r="229" spans="1:13" hidden="1" x14ac:dyDescent="0.25">
      <c r="A229" t="s">
        <v>2171</v>
      </c>
      <c r="B229" t="s">
        <v>1451</v>
      </c>
      <c r="C229" t="s">
        <v>1452</v>
      </c>
      <c r="D229" t="s">
        <v>543</v>
      </c>
      <c r="E229" t="s">
        <v>523</v>
      </c>
      <c r="G229">
        <v>4500365350</v>
      </c>
      <c r="H229" t="s">
        <v>12</v>
      </c>
      <c r="I229" t="s">
        <v>2068</v>
      </c>
      <c r="J229" t="s">
        <v>523</v>
      </c>
      <c r="K229">
        <v>18295</v>
      </c>
      <c r="L229" s="1">
        <v>19581.5</v>
      </c>
      <c r="M229" t="str">
        <f>IFERROR(IF(VLOOKUP(LEFT(B229,2),'Humanitarian codes'!$A$2:$A$10,1,FALSE)=LEFT(B229,2),"Yes","Error"),"No")</f>
        <v>No</v>
      </c>
    </row>
    <row r="230" spans="1:13" hidden="1" x14ac:dyDescent="0.25">
      <c r="A230" t="s">
        <v>2171</v>
      </c>
      <c r="B230" t="s">
        <v>1451</v>
      </c>
      <c r="C230" t="s">
        <v>1452</v>
      </c>
      <c r="D230" t="s">
        <v>543</v>
      </c>
      <c r="E230" t="s">
        <v>523</v>
      </c>
      <c r="G230">
        <v>4500365346</v>
      </c>
      <c r="H230" t="s">
        <v>12</v>
      </c>
      <c r="I230" t="s">
        <v>2069</v>
      </c>
      <c r="J230" t="s">
        <v>523</v>
      </c>
      <c r="K230">
        <v>18067</v>
      </c>
      <c r="L230" s="1">
        <v>19337.25</v>
      </c>
      <c r="M230" t="str">
        <f>IFERROR(IF(VLOOKUP(LEFT(B230,2),'Humanitarian codes'!$A$2:$A$10,1,FALSE)=LEFT(B230,2),"Yes","Error"),"No")</f>
        <v>No</v>
      </c>
    </row>
    <row r="231" spans="1:13" hidden="1" x14ac:dyDescent="0.25">
      <c r="A231" t="s">
        <v>2171</v>
      </c>
      <c r="B231" t="s">
        <v>2070</v>
      </c>
      <c r="C231" t="s">
        <v>2071</v>
      </c>
      <c r="D231" t="s">
        <v>466</v>
      </c>
      <c r="E231" t="s">
        <v>205</v>
      </c>
      <c r="G231">
        <v>4500377674</v>
      </c>
      <c r="H231" t="s">
        <v>12</v>
      </c>
      <c r="I231" t="s">
        <v>869</v>
      </c>
      <c r="J231" t="s">
        <v>205</v>
      </c>
      <c r="K231">
        <v>60730</v>
      </c>
      <c r="L231" s="1">
        <v>65000</v>
      </c>
      <c r="M231" t="str">
        <f>IFERROR(IF(VLOOKUP(LEFT(B231,2),'Humanitarian codes'!$A$2:$A$10,1,FALSE)=LEFT(B231,2),"Yes","Error"),"No")</f>
        <v>No</v>
      </c>
    </row>
    <row r="232" spans="1:13" hidden="1" x14ac:dyDescent="0.25">
      <c r="A232" t="s">
        <v>2171</v>
      </c>
      <c r="B232" t="s">
        <v>1814</v>
      </c>
      <c r="C232" t="s">
        <v>1478</v>
      </c>
      <c r="D232" t="s">
        <v>466</v>
      </c>
      <c r="E232" t="s">
        <v>1174</v>
      </c>
      <c r="G232">
        <v>4500371796</v>
      </c>
      <c r="H232" t="s">
        <v>12</v>
      </c>
      <c r="I232" t="s">
        <v>1815</v>
      </c>
      <c r="J232" t="s">
        <v>751</v>
      </c>
      <c r="K232">
        <v>52522</v>
      </c>
      <c r="L232" s="1">
        <v>56215.29</v>
      </c>
      <c r="M232" t="str">
        <f>IFERROR(IF(VLOOKUP(LEFT(B232,2),'Humanitarian codes'!$A$2:$A$10,1,FALSE)=LEFT(B232,2),"Yes","Error"),"No")</f>
        <v>No</v>
      </c>
    </row>
    <row r="233" spans="1:13" hidden="1" x14ac:dyDescent="0.25">
      <c r="A233" t="s">
        <v>2171</v>
      </c>
      <c r="B233" t="s">
        <v>1469</v>
      </c>
      <c r="C233" t="s">
        <v>473</v>
      </c>
      <c r="D233" t="s">
        <v>466</v>
      </c>
      <c r="E233" t="s">
        <v>474</v>
      </c>
      <c r="G233">
        <v>4500373603</v>
      </c>
      <c r="H233" t="s">
        <v>12</v>
      </c>
      <c r="I233" t="s">
        <v>1943</v>
      </c>
      <c r="J233" t="s">
        <v>474</v>
      </c>
      <c r="K233">
        <v>24254</v>
      </c>
      <c r="L233" s="1">
        <v>25959.97</v>
      </c>
      <c r="M233" t="str">
        <f>IFERROR(IF(VLOOKUP(LEFT(B233,2),'Humanitarian codes'!$A$2:$A$10,1,FALSE)=LEFT(B233,2),"Yes","Error"),"No")</f>
        <v>No</v>
      </c>
    </row>
    <row r="234" spans="1:13" hidden="1" x14ac:dyDescent="0.25">
      <c r="A234" t="s">
        <v>2171</v>
      </c>
      <c r="B234" t="s">
        <v>1469</v>
      </c>
      <c r="C234" t="s">
        <v>473</v>
      </c>
      <c r="D234" t="s">
        <v>466</v>
      </c>
      <c r="E234" t="s">
        <v>474</v>
      </c>
      <c r="G234">
        <v>4500358038</v>
      </c>
      <c r="H234" t="s">
        <v>12</v>
      </c>
      <c r="I234" t="s">
        <v>2072</v>
      </c>
      <c r="J234" t="s">
        <v>474</v>
      </c>
      <c r="K234">
        <v>140775</v>
      </c>
      <c r="L234" s="1">
        <v>150674.23999999999</v>
      </c>
      <c r="M234" t="str">
        <f>IFERROR(IF(VLOOKUP(LEFT(B234,2),'Humanitarian codes'!$A$2:$A$10,1,FALSE)=LEFT(B234,2),"Yes","Error"),"No")</f>
        <v>No</v>
      </c>
    </row>
    <row r="235" spans="1:13" hidden="1" x14ac:dyDescent="0.25">
      <c r="A235" t="s">
        <v>2171</v>
      </c>
      <c r="B235" t="s">
        <v>1469</v>
      </c>
      <c r="C235" t="s">
        <v>473</v>
      </c>
      <c r="D235" t="s">
        <v>466</v>
      </c>
      <c r="E235" t="s">
        <v>474</v>
      </c>
      <c r="G235">
        <v>4500371601</v>
      </c>
      <c r="H235" t="s">
        <v>12</v>
      </c>
      <c r="I235" t="s">
        <v>1944</v>
      </c>
      <c r="J235" t="s">
        <v>474</v>
      </c>
      <c r="K235">
        <v>11907</v>
      </c>
      <c r="L235" s="1">
        <v>12744</v>
      </c>
      <c r="M235" t="str">
        <f>IFERROR(IF(VLOOKUP(LEFT(B235,2),'Humanitarian codes'!$A$2:$A$10,1,FALSE)=LEFT(B235,2),"Yes","Error"),"No")</f>
        <v>No</v>
      </c>
    </row>
    <row r="236" spans="1:13" hidden="1" x14ac:dyDescent="0.25">
      <c r="A236" t="s">
        <v>2171</v>
      </c>
      <c r="B236" t="s">
        <v>1469</v>
      </c>
      <c r="C236" t="s">
        <v>473</v>
      </c>
      <c r="D236" t="s">
        <v>466</v>
      </c>
      <c r="E236" t="s">
        <v>150</v>
      </c>
      <c r="G236">
        <v>4500364579</v>
      </c>
      <c r="H236" t="s">
        <v>12</v>
      </c>
      <c r="I236" t="s">
        <v>2045</v>
      </c>
      <c r="J236" t="s">
        <v>150</v>
      </c>
      <c r="K236">
        <v>86759</v>
      </c>
      <c r="L236" s="1">
        <v>92859.96</v>
      </c>
      <c r="M236" t="str">
        <f>IFERROR(IF(VLOOKUP(LEFT(B236,2),'Humanitarian codes'!$A$2:$A$10,1,FALSE)=LEFT(B236,2),"Yes","Error"),"No")</f>
        <v>No</v>
      </c>
    </row>
    <row r="237" spans="1:13" hidden="1" x14ac:dyDescent="0.25">
      <c r="A237" t="s">
        <v>2171</v>
      </c>
      <c r="B237" t="s">
        <v>1469</v>
      </c>
      <c r="C237" t="s">
        <v>473</v>
      </c>
      <c r="D237" t="s">
        <v>466</v>
      </c>
      <c r="E237" t="s">
        <v>150</v>
      </c>
      <c r="G237">
        <v>4500364568</v>
      </c>
      <c r="H237" t="s">
        <v>12</v>
      </c>
      <c r="I237" t="s">
        <v>2046</v>
      </c>
      <c r="J237" t="s">
        <v>150</v>
      </c>
      <c r="K237">
        <v>109959</v>
      </c>
      <c r="L237" s="1">
        <v>117691.35</v>
      </c>
      <c r="M237" t="str">
        <f>IFERROR(IF(VLOOKUP(LEFT(B237,2),'Humanitarian codes'!$A$2:$A$10,1,FALSE)=LEFT(B237,2),"Yes","Error"),"No")</f>
        <v>No</v>
      </c>
    </row>
    <row r="238" spans="1:13" hidden="1" x14ac:dyDescent="0.25">
      <c r="A238" t="s">
        <v>2171</v>
      </c>
      <c r="B238" t="s">
        <v>1469</v>
      </c>
      <c r="C238" t="s">
        <v>473</v>
      </c>
      <c r="D238" t="s">
        <v>466</v>
      </c>
      <c r="E238" t="s">
        <v>150</v>
      </c>
      <c r="G238">
        <v>4500358213</v>
      </c>
      <c r="H238" t="s">
        <v>12</v>
      </c>
      <c r="I238" t="s">
        <v>960</v>
      </c>
      <c r="J238" t="s">
        <v>150</v>
      </c>
      <c r="K238">
        <v>81187</v>
      </c>
      <c r="L238" s="1">
        <v>86896.07</v>
      </c>
      <c r="M238" t="str">
        <f>IFERROR(IF(VLOOKUP(LEFT(B238,2),'Humanitarian codes'!$A$2:$A$10,1,FALSE)=LEFT(B238,2),"Yes","Error"),"No")</f>
        <v>No</v>
      </c>
    </row>
    <row r="239" spans="1:13" hidden="1" x14ac:dyDescent="0.25">
      <c r="A239" t="s">
        <v>2171</v>
      </c>
      <c r="B239" t="s">
        <v>1469</v>
      </c>
      <c r="C239" t="s">
        <v>473</v>
      </c>
      <c r="D239" t="s">
        <v>466</v>
      </c>
      <c r="E239" t="s">
        <v>477</v>
      </c>
      <c r="G239">
        <v>4500378716</v>
      </c>
      <c r="H239" t="s">
        <v>12</v>
      </c>
      <c r="I239" t="s">
        <v>745</v>
      </c>
      <c r="J239" t="s">
        <v>477</v>
      </c>
      <c r="K239">
        <v>9343</v>
      </c>
      <c r="L239" s="1">
        <v>9999.5400000000009</v>
      </c>
      <c r="M239" t="str">
        <f>IFERROR(IF(VLOOKUP(LEFT(B239,2),'Humanitarian codes'!$A$2:$A$10,1,FALSE)=LEFT(B239,2),"Yes","Error"),"No")</f>
        <v>No</v>
      </c>
    </row>
    <row r="240" spans="1:13" hidden="1" x14ac:dyDescent="0.25">
      <c r="A240" t="s">
        <v>2171</v>
      </c>
      <c r="B240" t="s">
        <v>1469</v>
      </c>
      <c r="C240" t="s">
        <v>473</v>
      </c>
      <c r="D240" t="s">
        <v>466</v>
      </c>
      <c r="E240" t="s">
        <v>477</v>
      </c>
      <c r="G240">
        <v>4500378713</v>
      </c>
      <c r="H240" t="s">
        <v>12</v>
      </c>
      <c r="I240" t="s">
        <v>744</v>
      </c>
      <c r="J240" t="s">
        <v>477</v>
      </c>
      <c r="K240">
        <v>18605</v>
      </c>
      <c r="L240" s="1">
        <v>19913.419999999998</v>
      </c>
      <c r="M240" t="str">
        <f>IFERROR(IF(VLOOKUP(LEFT(B240,2),'Humanitarian codes'!$A$2:$A$10,1,FALSE)=LEFT(B240,2),"Yes","Error"),"No")</f>
        <v>No</v>
      </c>
    </row>
    <row r="241" spans="1:13" hidden="1" x14ac:dyDescent="0.25">
      <c r="A241" t="s">
        <v>2171</v>
      </c>
      <c r="B241" t="s">
        <v>1469</v>
      </c>
      <c r="C241" t="s">
        <v>473</v>
      </c>
      <c r="D241" t="s">
        <v>466</v>
      </c>
      <c r="E241" t="s">
        <v>477</v>
      </c>
      <c r="G241">
        <v>4500379816</v>
      </c>
      <c r="H241" t="s">
        <v>12</v>
      </c>
      <c r="I241" t="s">
        <v>2073</v>
      </c>
      <c r="J241" t="s">
        <v>477</v>
      </c>
      <c r="K241">
        <v>21273</v>
      </c>
      <c r="L241" s="1">
        <v>22768.400000000001</v>
      </c>
      <c r="M241" t="str">
        <f>IFERROR(IF(VLOOKUP(LEFT(B241,2),'Humanitarian codes'!$A$2:$A$10,1,FALSE)=LEFT(B241,2),"Yes","Error"),"No")</f>
        <v>No</v>
      </c>
    </row>
    <row r="242" spans="1:13" hidden="1" x14ac:dyDescent="0.25">
      <c r="A242" t="s">
        <v>2171</v>
      </c>
      <c r="B242" t="s">
        <v>1469</v>
      </c>
      <c r="C242" t="s">
        <v>473</v>
      </c>
      <c r="D242" t="s">
        <v>466</v>
      </c>
      <c r="E242" t="s">
        <v>477</v>
      </c>
      <c r="G242">
        <v>4500378655</v>
      </c>
      <c r="H242" t="s">
        <v>12</v>
      </c>
      <c r="I242" t="s">
        <v>506</v>
      </c>
      <c r="J242" t="s">
        <v>477</v>
      </c>
      <c r="K242">
        <v>9309</v>
      </c>
      <c r="L242" s="1">
        <v>9963.4699999999993</v>
      </c>
      <c r="M242" t="str">
        <f>IFERROR(IF(VLOOKUP(LEFT(B242,2),'Humanitarian codes'!$A$2:$A$10,1,FALSE)=LEFT(B242,2),"Yes","Error"),"No")</f>
        <v>No</v>
      </c>
    </row>
    <row r="243" spans="1:13" hidden="1" x14ac:dyDescent="0.25">
      <c r="A243" t="s">
        <v>2171</v>
      </c>
      <c r="B243" t="s">
        <v>465</v>
      </c>
      <c r="C243" t="s">
        <v>467</v>
      </c>
      <c r="D243" t="s">
        <v>466</v>
      </c>
      <c r="E243" t="s">
        <v>210</v>
      </c>
      <c r="G243">
        <v>4500380118</v>
      </c>
      <c r="H243" t="s">
        <v>12</v>
      </c>
      <c r="I243" t="s">
        <v>468</v>
      </c>
      <c r="J243" t="s">
        <v>210</v>
      </c>
      <c r="K243">
        <v>91739</v>
      </c>
      <c r="L243" s="1">
        <v>98190.43</v>
      </c>
      <c r="M243" t="str">
        <f>IFERROR(IF(VLOOKUP(LEFT(B243,2),'Humanitarian codes'!$A$2:$A$10,1,FALSE)=LEFT(B243,2),"Yes","Error"),"No")</f>
        <v>No</v>
      </c>
    </row>
    <row r="244" spans="1:13" hidden="1" x14ac:dyDescent="0.25">
      <c r="A244" t="s">
        <v>2171</v>
      </c>
      <c r="B244" t="s">
        <v>1816</v>
      </c>
      <c r="C244" t="s">
        <v>1817</v>
      </c>
      <c r="D244" t="s">
        <v>466</v>
      </c>
      <c r="E244" t="s">
        <v>518</v>
      </c>
      <c r="G244">
        <v>4500354095</v>
      </c>
      <c r="H244" t="s">
        <v>12</v>
      </c>
      <c r="I244" t="s">
        <v>2074</v>
      </c>
      <c r="J244" t="s">
        <v>518</v>
      </c>
      <c r="K244">
        <v>42638</v>
      </c>
      <c r="L244" s="1">
        <v>45636</v>
      </c>
      <c r="M244" t="str">
        <f>IFERROR(IF(VLOOKUP(LEFT(B244,2),'Humanitarian codes'!$A$2:$A$10,1,FALSE)=LEFT(B244,2),"Yes","Error"),"No")</f>
        <v>No</v>
      </c>
    </row>
    <row r="245" spans="1:13" hidden="1" x14ac:dyDescent="0.25">
      <c r="A245" t="s">
        <v>2171</v>
      </c>
      <c r="B245" t="s">
        <v>511</v>
      </c>
      <c r="C245" t="s">
        <v>513</v>
      </c>
      <c r="D245" t="s">
        <v>512</v>
      </c>
      <c r="E245" t="s">
        <v>167</v>
      </c>
      <c r="G245">
        <v>4500358469</v>
      </c>
      <c r="H245" t="s">
        <v>12</v>
      </c>
      <c r="I245" t="s">
        <v>517</v>
      </c>
      <c r="J245" t="s">
        <v>518</v>
      </c>
      <c r="K245">
        <v>74062</v>
      </c>
      <c r="L245" s="1">
        <v>79269.820000000007</v>
      </c>
      <c r="M245" t="str">
        <f>IFERROR(IF(VLOOKUP(LEFT(B245,2),'Humanitarian codes'!$A$2:$A$10,1,FALSE)=LEFT(B245,2),"Yes","Error"),"No")</f>
        <v>No</v>
      </c>
    </row>
    <row r="246" spans="1:13" hidden="1" x14ac:dyDescent="0.25">
      <c r="A246" t="s">
        <v>2171</v>
      </c>
      <c r="B246" t="s">
        <v>511</v>
      </c>
      <c r="C246" t="s">
        <v>513</v>
      </c>
      <c r="D246" t="s">
        <v>512</v>
      </c>
      <c r="E246" t="s">
        <v>167</v>
      </c>
      <c r="G246">
        <v>4500357582</v>
      </c>
      <c r="H246" t="s">
        <v>12</v>
      </c>
      <c r="I246" t="s">
        <v>2075</v>
      </c>
      <c r="J246" t="s">
        <v>2076</v>
      </c>
      <c r="K246">
        <v>354978</v>
      </c>
      <c r="L246" s="1">
        <v>379939.67</v>
      </c>
      <c r="M246" t="str">
        <f>IFERROR(IF(VLOOKUP(LEFT(B246,2),'Humanitarian codes'!$A$2:$A$10,1,FALSE)=LEFT(B246,2),"Yes","Error"),"No")</f>
        <v>No</v>
      </c>
    </row>
    <row r="247" spans="1:13" hidden="1" x14ac:dyDescent="0.25">
      <c r="A247" t="s">
        <v>2171</v>
      </c>
      <c r="B247" t="s">
        <v>511</v>
      </c>
      <c r="C247" t="s">
        <v>513</v>
      </c>
      <c r="D247" t="s">
        <v>512</v>
      </c>
      <c r="E247" t="s">
        <v>167</v>
      </c>
      <c r="G247">
        <v>4500357254</v>
      </c>
      <c r="H247" t="s">
        <v>12</v>
      </c>
      <c r="I247" t="s">
        <v>2077</v>
      </c>
      <c r="J247" t="s">
        <v>167</v>
      </c>
      <c r="K247">
        <v>272005</v>
      </c>
      <c r="L247" s="1">
        <v>291132.71000000002</v>
      </c>
      <c r="M247" t="str">
        <f>IFERROR(IF(VLOOKUP(LEFT(B247,2),'Humanitarian codes'!$A$2:$A$10,1,FALSE)=LEFT(B247,2),"Yes","Error"),"No")</f>
        <v>No</v>
      </c>
    </row>
    <row r="248" spans="1:13" hidden="1" x14ac:dyDescent="0.25">
      <c r="A248" t="s">
        <v>2171</v>
      </c>
      <c r="B248" t="s">
        <v>511</v>
      </c>
      <c r="C248" t="s">
        <v>513</v>
      </c>
      <c r="D248" t="s">
        <v>512</v>
      </c>
      <c r="E248" t="s">
        <v>167</v>
      </c>
      <c r="G248">
        <v>4500365829</v>
      </c>
      <c r="H248" t="s">
        <v>12</v>
      </c>
      <c r="I248" t="s">
        <v>516</v>
      </c>
      <c r="J248" t="s">
        <v>167</v>
      </c>
      <c r="K248">
        <v>185812</v>
      </c>
      <c r="L248" s="1">
        <v>198878.39</v>
      </c>
      <c r="M248" t="str">
        <f>IFERROR(IF(VLOOKUP(LEFT(B248,2),'Humanitarian codes'!$A$2:$A$10,1,FALSE)=LEFT(B248,2),"Yes","Error"),"No")</f>
        <v>No</v>
      </c>
    </row>
    <row r="249" spans="1:13" hidden="1" x14ac:dyDescent="0.25">
      <c r="A249" t="s">
        <v>2171</v>
      </c>
      <c r="B249" t="s">
        <v>511</v>
      </c>
      <c r="C249" t="s">
        <v>513</v>
      </c>
      <c r="D249" t="s">
        <v>512</v>
      </c>
      <c r="E249" t="s">
        <v>167</v>
      </c>
      <c r="G249">
        <v>4500356938</v>
      </c>
      <c r="H249" t="s">
        <v>12</v>
      </c>
      <c r="I249" t="s">
        <v>519</v>
      </c>
      <c r="J249" t="s">
        <v>518</v>
      </c>
      <c r="K249">
        <v>101266</v>
      </c>
      <c r="L249" s="1">
        <v>108386.58</v>
      </c>
      <c r="M249" t="str">
        <f>IFERROR(IF(VLOOKUP(LEFT(B249,2),'Humanitarian codes'!$A$2:$A$10,1,FALSE)=LEFT(B249,2),"Yes","Error"),"No")</f>
        <v>No</v>
      </c>
    </row>
    <row r="250" spans="1:13" hidden="1" x14ac:dyDescent="0.25">
      <c r="A250" t="s">
        <v>2171</v>
      </c>
      <c r="B250" t="s">
        <v>2078</v>
      </c>
      <c r="C250" t="s">
        <v>2079</v>
      </c>
      <c r="D250" t="s">
        <v>512</v>
      </c>
      <c r="E250" t="s">
        <v>1866</v>
      </c>
      <c r="G250">
        <v>4500352815</v>
      </c>
      <c r="H250" t="s">
        <v>12</v>
      </c>
      <c r="I250" t="s">
        <v>2080</v>
      </c>
      <c r="J250" t="s">
        <v>1866</v>
      </c>
      <c r="K250">
        <v>41473</v>
      </c>
      <c r="L250" s="1">
        <v>44389.36</v>
      </c>
      <c r="M250" t="str">
        <f>IFERROR(IF(VLOOKUP(LEFT(B250,2),'Humanitarian codes'!$A$2:$A$10,1,FALSE)=LEFT(B250,2),"Yes","Error"),"No")</f>
        <v>No</v>
      </c>
    </row>
    <row r="251" spans="1:13" hidden="1" x14ac:dyDescent="0.25">
      <c r="A251" t="s">
        <v>2171</v>
      </c>
      <c r="B251" t="s">
        <v>988</v>
      </c>
      <c r="C251" t="s">
        <v>989</v>
      </c>
      <c r="D251" t="s">
        <v>512</v>
      </c>
      <c r="E251" t="s">
        <v>990</v>
      </c>
      <c r="G251">
        <v>4500374866</v>
      </c>
      <c r="H251" t="s">
        <v>12</v>
      </c>
      <c r="I251" t="s">
        <v>2081</v>
      </c>
      <c r="J251" t="s">
        <v>990</v>
      </c>
      <c r="K251">
        <v>50112</v>
      </c>
      <c r="L251" s="1">
        <v>53636.29</v>
      </c>
      <c r="M251" t="str">
        <f>IFERROR(IF(VLOOKUP(LEFT(B251,2),'Humanitarian codes'!$A$2:$A$10,1,FALSE)=LEFT(B251,2),"Yes","Error"),"No")</f>
        <v>No</v>
      </c>
    </row>
    <row r="252" spans="1:13" hidden="1" x14ac:dyDescent="0.25">
      <c r="A252" t="s">
        <v>2171</v>
      </c>
      <c r="B252" t="s">
        <v>988</v>
      </c>
      <c r="C252" t="s">
        <v>989</v>
      </c>
      <c r="D252" t="s">
        <v>512</v>
      </c>
      <c r="E252" t="s">
        <v>992</v>
      </c>
      <c r="G252">
        <v>4500363492</v>
      </c>
      <c r="H252" t="s">
        <v>12</v>
      </c>
      <c r="I252" t="s">
        <v>993</v>
      </c>
      <c r="J252" t="s">
        <v>992</v>
      </c>
      <c r="K252">
        <v>42945</v>
      </c>
      <c r="L252" s="1">
        <v>45965.05</v>
      </c>
      <c r="M252" t="str">
        <f>IFERROR(IF(VLOOKUP(LEFT(B252,2),'Humanitarian codes'!$A$2:$A$10,1,FALSE)=LEFT(B252,2),"Yes","Error"),"No")</f>
        <v>No</v>
      </c>
    </row>
    <row r="253" spans="1:13" hidden="1" x14ac:dyDescent="0.25">
      <c r="A253" t="s">
        <v>2171</v>
      </c>
      <c r="B253" t="s">
        <v>2082</v>
      </c>
      <c r="C253" t="s">
        <v>2083</v>
      </c>
      <c r="D253" t="s">
        <v>512</v>
      </c>
      <c r="E253" t="s">
        <v>83</v>
      </c>
      <c r="G253">
        <v>4500379850</v>
      </c>
      <c r="H253" t="s">
        <v>12</v>
      </c>
      <c r="I253" t="s">
        <v>2084</v>
      </c>
      <c r="J253" t="s">
        <v>83</v>
      </c>
      <c r="K253">
        <v>6687</v>
      </c>
      <c r="L253" s="1">
        <v>7157</v>
      </c>
      <c r="M253" t="str">
        <f>IFERROR(IF(VLOOKUP(LEFT(B253,2),'Humanitarian codes'!$A$2:$A$10,1,FALSE)=LEFT(B253,2),"Yes","Error"),"No")</f>
        <v>No</v>
      </c>
    </row>
    <row r="254" spans="1:13" hidden="1" x14ac:dyDescent="0.25">
      <c r="A254" t="s">
        <v>2171</v>
      </c>
      <c r="B254" t="s">
        <v>2085</v>
      </c>
      <c r="C254" t="s">
        <v>2086</v>
      </c>
      <c r="D254" t="s">
        <v>512</v>
      </c>
      <c r="E254" t="s">
        <v>940</v>
      </c>
      <c r="G254">
        <v>4500379446</v>
      </c>
      <c r="H254" t="s">
        <v>12</v>
      </c>
      <c r="I254" t="s">
        <v>2087</v>
      </c>
      <c r="J254" t="s">
        <v>940</v>
      </c>
      <c r="K254">
        <v>1525230</v>
      </c>
      <c r="L254" s="1">
        <v>1632484</v>
      </c>
      <c r="M254" t="str">
        <f>IFERROR(IF(VLOOKUP(LEFT(B254,2),'Humanitarian codes'!$A$2:$A$10,1,FALSE)=LEFT(B254,2),"Yes","Error"),"No")</f>
        <v>No</v>
      </c>
    </row>
    <row r="255" spans="1:13" hidden="1" x14ac:dyDescent="0.25">
      <c r="A255" t="s">
        <v>2171</v>
      </c>
      <c r="B255" t="s">
        <v>1005</v>
      </c>
      <c r="C255" t="s">
        <v>1006</v>
      </c>
      <c r="D255" t="s">
        <v>543</v>
      </c>
      <c r="E255" t="s">
        <v>549</v>
      </c>
      <c r="G255">
        <v>4500361148</v>
      </c>
      <c r="H255" t="s">
        <v>12</v>
      </c>
      <c r="I255" t="s">
        <v>2088</v>
      </c>
      <c r="J255" t="s">
        <v>549</v>
      </c>
      <c r="K255">
        <v>8883</v>
      </c>
      <c r="L255" s="1">
        <v>9507.5</v>
      </c>
      <c r="M255" t="str">
        <f>IFERROR(IF(VLOOKUP(LEFT(B255,2),'Humanitarian codes'!$A$2:$A$10,1,FALSE)=LEFT(B255,2),"Yes","Error"),"No")</f>
        <v>No</v>
      </c>
    </row>
    <row r="256" spans="1:13" hidden="1" x14ac:dyDescent="0.25">
      <c r="A256" t="s">
        <v>2171</v>
      </c>
      <c r="B256" t="s">
        <v>1005</v>
      </c>
      <c r="C256" t="s">
        <v>1006</v>
      </c>
      <c r="D256" t="s">
        <v>543</v>
      </c>
      <c r="E256" t="s">
        <v>549</v>
      </c>
      <c r="G256">
        <v>4500369329</v>
      </c>
      <c r="H256" t="s">
        <v>12</v>
      </c>
      <c r="I256" t="s">
        <v>551</v>
      </c>
      <c r="J256" t="s">
        <v>549</v>
      </c>
      <c r="K256">
        <v>28029</v>
      </c>
      <c r="L256" s="1">
        <v>30000</v>
      </c>
      <c r="M256" t="str">
        <f>IFERROR(IF(VLOOKUP(LEFT(B256,2),'Humanitarian codes'!$A$2:$A$10,1,FALSE)=LEFT(B256,2),"Yes","Error"),"No")</f>
        <v>No</v>
      </c>
    </row>
    <row r="257" spans="1:13" hidden="1" x14ac:dyDescent="0.25">
      <c r="A257" t="s">
        <v>2171</v>
      </c>
      <c r="B257" t="s">
        <v>1005</v>
      </c>
      <c r="C257" t="s">
        <v>1006</v>
      </c>
      <c r="D257" t="s">
        <v>543</v>
      </c>
      <c r="E257" t="s">
        <v>549</v>
      </c>
      <c r="G257">
        <v>4500356353</v>
      </c>
      <c r="H257" t="s">
        <v>12</v>
      </c>
      <c r="I257" t="s">
        <v>2089</v>
      </c>
      <c r="J257" t="s">
        <v>549</v>
      </c>
      <c r="K257">
        <v>27659</v>
      </c>
      <c r="L257" s="1">
        <v>29604</v>
      </c>
      <c r="M257" t="str">
        <f>IFERROR(IF(VLOOKUP(LEFT(B257,2),'Humanitarian codes'!$A$2:$A$10,1,FALSE)=LEFT(B257,2),"Yes","Error"),"No")</f>
        <v>No</v>
      </c>
    </row>
    <row r="258" spans="1:13" hidden="1" x14ac:dyDescent="0.25">
      <c r="A258" t="s">
        <v>2171</v>
      </c>
      <c r="B258" t="s">
        <v>1005</v>
      </c>
      <c r="C258" t="s">
        <v>1006</v>
      </c>
      <c r="D258" t="s">
        <v>543</v>
      </c>
      <c r="E258" t="s">
        <v>549</v>
      </c>
      <c r="G258">
        <v>4500353702</v>
      </c>
      <c r="H258" t="s">
        <v>12</v>
      </c>
      <c r="I258" t="s">
        <v>2090</v>
      </c>
      <c r="J258" t="s">
        <v>549</v>
      </c>
      <c r="K258">
        <v>10885</v>
      </c>
      <c r="L258" s="1">
        <v>11650</v>
      </c>
      <c r="M258" t="str">
        <f>IFERROR(IF(VLOOKUP(LEFT(B258,2),'Humanitarian codes'!$A$2:$A$10,1,FALSE)=LEFT(B258,2),"Yes","Error"),"No")</f>
        <v>No</v>
      </c>
    </row>
    <row r="259" spans="1:13" hidden="1" x14ac:dyDescent="0.25">
      <c r="A259" t="s">
        <v>2171</v>
      </c>
      <c r="B259" t="s">
        <v>1005</v>
      </c>
      <c r="C259" t="s">
        <v>1006</v>
      </c>
      <c r="D259" t="s">
        <v>543</v>
      </c>
      <c r="E259" t="s">
        <v>549</v>
      </c>
      <c r="G259">
        <v>4500353703</v>
      </c>
      <c r="H259" t="s">
        <v>12</v>
      </c>
      <c r="I259" t="s">
        <v>673</v>
      </c>
      <c r="J259" t="s">
        <v>549</v>
      </c>
      <c r="K259">
        <v>10885</v>
      </c>
      <c r="L259" s="1">
        <v>11650</v>
      </c>
      <c r="M259" t="str">
        <f>IFERROR(IF(VLOOKUP(LEFT(B259,2),'Humanitarian codes'!$A$2:$A$10,1,FALSE)=LEFT(B259,2),"Yes","Error"),"No")</f>
        <v>No</v>
      </c>
    </row>
    <row r="260" spans="1:13" hidden="1" x14ac:dyDescent="0.25">
      <c r="A260" t="s">
        <v>2171</v>
      </c>
      <c r="B260" t="s">
        <v>1005</v>
      </c>
      <c r="C260" t="s">
        <v>1006</v>
      </c>
      <c r="D260" t="s">
        <v>543</v>
      </c>
      <c r="E260" t="s">
        <v>831</v>
      </c>
      <c r="G260">
        <v>4500378626</v>
      </c>
      <c r="H260" t="s">
        <v>12</v>
      </c>
      <c r="I260" t="s">
        <v>556</v>
      </c>
      <c r="J260" t="s">
        <v>831</v>
      </c>
      <c r="K260">
        <v>18535</v>
      </c>
      <c r="L260" s="1">
        <v>19838.810000000001</v>
      </c>
      <c r="M260" t="str">
        <f>IFERROR(IF(VLOOKUP(LEFT(B260,2),'Humanitarian codes'!$A$2:$A$10,1,FALSE)=LEFT(B260,2),"Yes","Error"),"No")</f>
        <v>No</v>
      </c>
    </row>
    <row r="261" spans="1:13" hidden="1" x14ac:dyDescent="0.25">
      <c r="A261" t="s">
        <v>2171</v>
      </c>
      <c r="B261" t="s">
        <v>1005</v>
      </c>
      <c r="C261" t="s">
        <v>1006</v>
      </c>
      <c r="D261" t="s">
        <v>543</v>
      </c>
      <c r="E261" t="s">
        <v>831</v>
      </c>
      <c r="G261">
        <v>4500361638</v>
      </c>
      <c r="H261" t="s">
        <v>12</v>
      </c>
      <c r="I261" t="s">
        <v>555</v>
      </c>
      <c r="J261" t="s">
        <v>831</v>
      </c>
      <c r="K261">
        <v>25701</v>
      </c>
      <c r="L261" s="1">
        <v>27508.48</v>
      </c>
      <c r="M261" t="str">
        <f>IFERROR(IF(VLOOKUP(LEFT(B261,2),'Humanitarian codes'!$A$2:$A$10,1,FALSE)=LEFT(B261,2),"Yes","Error"),"No")</f>
        <v>No</v>
      </c>
    </row>
    <row r="262" spans="1:13" hidden="1" x14ac:dyDescent="0.25">
      <c r="A262" t="s">
        <v>2171</v>
      </c>
      <c r="B262" t="s">
        <v>1005</v>
      </c>
      <c r="C262" t="s">
        <v>1006</v>
      </c>
      <c r="D262" t="s">
        <v>543</v>
      </c>
      <c r="E262" t="s">
        <v>831</v>
      </c>
      <c r="G262">
        <v>4500365765</v>
      </c>
      <c r="H262" t="s">
        <v>12</v>
      </c>
      <c r="I262" t="s">
        <v>558</v>
      </c>
      <c r="J262" t="s">
        <v>831</v>
      </c>
      <c r="K262">
        <v>25701</v>
      </c>
      <c r="L262" s="1">
        <v>27508.49</v>
      </c>
      <c r="M262" t="str">
        <f>IFERROR(IF(VLOOKUP(LEFT(B262,2),'Humanitarian codes'!$A$2:$A$10,1,FALSE)=LEFT(B262,2),"Yes","Error"),"No")</f>
        <v>No</v>
      </c>
    </row>
    <row r="263" spans="1:13" hidden="1" x14ac:dyDescent="0.25">
      <c r="A263" t="s">
        <v>2171</v>
      </c>
      <c r="B263" t="s">
        <v>1005</v>
      </c>
      <c r="C263" t="s">
        <v>1006</v>
      </c>
      <c r="D263" t="s">
        <v>543</v>
      </c>
      <c r="E263" t="s">
        <v>831</v>
      </c>
      <c r="G263">
        <v>4500361166</v>
      </c>
      <c r="H263" t="s">
        <v>12</v>
      </c>
      <c r="I263" t="s">
        <v>554</v>
      </c>
      <c r="J263" t="s">
        <v>831</v>
      </c>
      <c r="K263">
        <v>53254</v>
      </c>
      <c r="L263" s="1">
        <v>56998.29</v>
      </c>
      <c r="M263" t="str">
        <f>IFERROR(IF(VLOOKUP(LEFT(B263,2),'Humanitarian codes'!$A$2:$A$10,1,FALSE)=LEFT(B263,2),"Yes","Error"),"No")</f>
        <v>No</v>
      </c>
    </row>
    <row r="264" spans="1:13" hidden="1" x14ac:dyDescent="0.25">
      <c r="A264" t="s">
        <v>2171</v>
      </c>
      <c r="B264" t="s">
        <v>1005</v>
      </c>
      <c r="C264" t="s">
        <v>1006</v>
      </c>
      <c r="D264" t="s">
        <v>543</v>
      </c>
      <c r="E264" t="s">
        <v>831</v>
      </c>
      <c r="G264">
        <v>4500361958</v>
      </c>
      <c r="H264" t="s">
        <v>12</v>
      </c>
      <c r="I264" t="s">
        <v>2091</v>
      </c>
      <c r="J264" t="s">
        <v>831</v>
      </c>
      <c r="K264">
        <v>25536</v>
      </c>
      <c r="L264" s="1">
        <v>27331.59</v>
      </c>
      <c r="M264" t="str">
        <f>IFERROR(IF(VLOOKUP(LEFT(B264,2),'Humanitarian codes'!$A$2:$A$10,1,FALSE)=LEFT(B264,2),"Yes","Error"),"No")</f>
        <v>No</v>
      </c>
    </row>
    <row r="265" spans="1:13" hidden="1" x14ac:dyDescent="0.25">
      <c r="A265" t="s">
        <v>2171</v>
      </c>
      <c r="B265" t="s">
        <v>1009</v>
      </c>
      <c r="C265" t="s">
        <v>1010</v>
      </c>
      <c r="D265" t="s">
        <v>543</v>
      </c>
      <c r="E265" t="s">
        <v>518</v>
      </c>
      <c r="G265">
        <v>4500370098</v>
      </c>
      <c r="H265" t="s">
        <v>12</v>
      </c>
      <c r="I265" t="s">
        <v>2092</v>
      </c>
      <c r="J265" t="s">
        <v>518</v>
      </c>
      <c r="K265">
        <v>14015</v>
      </c>
      <c r="L265" s="1">
        <v>15000</v>
      </c>
      <c r="M265" t="str">
        <f>IFERROR(IF(VLOOKUP(LEFT(B265,2),'Humanitarian codes'!$A$2:$A$10,1,FALSE)=LEFT(B265,2),"Yes","Error"),"No")</f>
        <v>No</v>
      </c>
    </row>
    <row r="266" spans="1:13" hidden="1" x14ac:dyDescent="0.25">
      <c r="A266" t="s">
        <v>2171</v>
      </c>
      <c r="B266" t="s">
        <v>1009</v>
      </c>
      <c r="C266" t="s">
        <v>1010</v>
      </c>
      <c r="D266" t="s">
        <v>543</v>
      </c>
      <c r="E266" t="s">
        <v>518</v>
      </c>
      <c r="G266">
        <v>4500370103</v>
      </c>
      <c r="H266" t="s">
        <v>12</v>
      </c>
      <c r="I266" t="s">
        <v>2093</v>
      </c>
      <c r="J266" t="s">
        <v>518</v>
      </c>
      <c r="K266">
        <v>14015</v>
      </c>
      <c r="L266" s="1">
        <v>15000</v>
      </c>
      <c r="M266" t="str">
        <f>IFERROR(IF(VLOOKUP(LEFT(B266,2),'Humanitarian codes'!$A$2:$A$10,1,FALSE)=LEFT(B266,2),"Yes","Error"),"No")</f>
        <v>No</v>
      </c>
    </row>
    <row r="267" spans="1:13" hidden="1" x14ac:dyDescent="0.25">
      <c r="A267" t="s">
        <v>2171</v>
      </c>
      <c r="B267" t="s">
        <v>1009</v>
      </c>
      <c r="C267" t="s">
        <v>1010</v>
      </c>
      <c r="D267" t="s">
        <v>543</v>
      </c>
      <c r="E267" t="s">
        <v>518</v>
      </c>
      <c r="G267">
        <v>4500370101</v>
      </c>
      <c r="H267" t="s">
        <v>12</v>
      </c>
      <c r="I267" t="s">
        <v>2094</v>
      </c>
      <c r="J267" t="s">
        <v>518</v>
      </c>
      <c r="K267">
        <v>14015</v>
      </c>
      <c r="L267" s="1">
        <v>15000</v>
      </c>
      <c r="M267" t="str">
        <f>IFERROR(IF(VLOOKUP(LEFT(B267,2),'Humanitarian codes'!$A$2:$A$10,1,FALSE)=LEFT(B267,2),"Yes","Error"),"No")</f>
        <v>No</v>
      </c>
    </row>
    <row r="268" spans="1:13" hidden="1" x14ac:dyDescent="0.25">
      <c r="A268" t="s">
        <v>2171</v>
      </c>
      <c r="B268" t="s">
        <v>2095</v>
      </c>
      <c r="C268" t="s">
        <v>2096</v>
      </c>
      <c r="D268" t="s">
        <v>9</v>
      </c>
      <c r="E268" t="s">
        <v>477</v>
      </c>
      <c r="G268">
        <v>4500355935</v>
      </c>
      <c r="H268" t="s">
        <v>12</v>
      </c>
      <c r="I268" t="s">
        <v>2097</v>
      </c>
      <c r="J268" t="s">
        <v>463</v>
      </c>
      <c r="K268">
        <v>9305</v>
      </c>
      <c r="L268" s="1">
        <v>9959.2900000000009</v>
      </c>
      <c r="M268" t="str">
        <f>IFERROR(IF(VLOOKUP(LEFT(B268,2),'Humanitarian codes'!$A$2:$A$10,1,FALSE)=LEFT(B268,2),"Yes","Error"),"No")</f>
        <v>No</v>
      </c>
    </row>
    <row r="269" spans="1:13" hidden="1" x14ac:dyDescent="0.25">
      <c r="A269" t="s">
        <v>2171</v>
      </c>
      <c r="B269" t="s">
        <v>2098</v>
      </c>
      <c r="C269" t="s">
        <v>2099</v>
      </c>
      <c r="D269" t="s">
        <v>9</v>
      </c>
      <c r="E269" t="s">
        <v>924</v>
      </c>
      <c r="G269">
        <v>4500372419</v>
      </c>
      <c r="H269" t="s">
        <v>12</v>
      </c>
      <c r="I269" t="s">
        <v>2100</v>
      </c>
      <c r="J269" t="s">
        <v>2101</v>
      </c>
      <c r="K269">
        <v>11679</v>
      </c>
      <c r="L269" s="1">
        <v>12500</v>
      </c>
      <c r="M269" t="str">
        <f>IFERROR(IF(VLOOKUP(LEFT(B269,2),'Humanitarian codes'!$A$2:$A$10,1,FALSE)=LEFT(B269,2),"Yes","Error"),"No")</f>
        <v>No</v>
      </c>
    </row>
    <row r="270" spans="1:13" hidden="1" x14ac:dyDescent="0.25">
      <c r="A270" t="s">
        <v>2171</v>
      </c>
      <c r="B270" t="s">
        <v>2102</v>
      </c>
      <c r="C270" t="s">
        <v>2103</v>
      </c>
      <c r="D270" t="s">
        <v>9</v>
      </c>
      <c r="E270" t="s">
        <v>1380</v>
      </c>
      <c r="G270">
        <v>4500356401</v>
      </c>
      <c r="H270" t="s">
        <v>12</v>
      </c>
      <c r="I270" t="s">
        <v>2104</v>
      </c>
      <c r="J270" t="s">
        <v>1380</v>
      </c>
      <c r="K270">
        <v>379832</v>
      </c>
      <c r="L270" s="1">
        <v>406541.78</v>
      </c>
      <c r="M270" t="str">
        <f>IFERROR(IF(VLOOKUP(LEFT(B270,2),'Humanitarian codes'!$A$2:$A$10,1,FALSE)=LEFT(B270,2),"Yes","Error"),"No")</f>
        <v>No</v>
      </c>
    </row>
    <row r="271" spans="1:13" hidden="1" x14ac:dyDescent="0.25">
      <c r="A271" t="s">
        <v>2171</v>
      </c>
      <c r="B271" t="s">
        <v>2105</v>
      </c>
      <c r="C271" t="s">
        <v>2106</v>
      </c>
      <c r="D271" t="s">
        <v>9</v>
      </c>
      <c r="E271" t="s">
        <v>504</v>
      </c>
      <c r="G271">
        <v>4500361416</v>
      </c>
      <c r="H271" t="s">
        <v>12</v>
      </c>
      <c r="I271" t="s">
        <v>2107</v>
      </c>
      <c r="J271" t="s">
        <v>504</v>
      </c>
      <c r="K271">
        <v>103240</v>
      </c>
      <c r="L271" s="1">
        <v>110500</v>
      </c>
      <c r="M271" t="str">
        <f>IFERROR(IF(VLOOKUP(LEFT(B271,2),'Humanitarian codes'!$A$2:$A$10,1,FALSE)=LEFT(B271,2),"Yes","Error"),"No")</f>
        <v>No</v>
      </c>
    </row>
    <row r="272" spans="1:13" hidden="1" x14ac:dyDescent="0.25">
      <c r="A272" t="s">
        <v>2171</v>
      </c>
      <c r="B272" t="s">
        <v>2108</v>
      </c>
      <c r="C272" t="s">
        <v>2109</v>
      </c>
      <c r="D272" t="s">
        <v>30</v>
      </c>
      <c r="E272" t="s">
        <v>261</v>
      </c>
      <c r="G272">
        <v>4500360116</v>
      </c>
      <c r="H272" t="s">
        <v>12</v>
      </c>
      <c r="I272" t="s">
        <v>2110</v>
      </c>
      <c r="J272" t="s">
        <v>261</v>
      </c>
      <c r="K272">
        <v>171243</v>
      </c>
      <c r="L272" s="1">
        <v>183284.46</v>
      </c>
      <c r="M272" t="str">
        <f>IFERROR(IF(VLOOKUP(LEFT(B272,2),'Humanitarian codes'!$A$2:$A$10,1,FALSE)=LEFT(B272,2),"Yes","Error"),"No")</f>
        <v>No</v>
      </c>
    </row>
    <row r="273" spans="1:13" hidden="1" x14ac:dyDescent="0.25">
      <c r="A273" t="s">
        <v>2171</v>
      </c>
      <c r="B273" t="s">
        <v>1841</v>
      </c>
      <c r="C273" t="s">
        <v>1842</v>
      </c>
      <c r="D273" t="s">
        <v>30</v>
      </c>
      <c r="E273" t="s">
        <v>1166</v>
      </c>
      <c r="G273">
        <v>4500359473</v>
      </c>
      <c r="H273" t="s">
        <v>12</v>
      </c>
      <c r="I273" t="s">
        <v>2111</v>
      </c>
      <c r="J273" t="s">
        <v>1166</v>
      </c>
      <c r="K273">
        <v>11087</v>
      </c>
      <c r="L273" s="1">
        <v>11866.23</v>
      </c>
      <c r="M273" t="str">
        <f>IFERROR(IF(VLOOKUP(LEFT(B273,2),'Humanitarian codes'!$A$2:$A$10,1,FALSE)=LEFT(B273,2),"Yes","Error"),"No")</f>
        <v>No</v>
      </c>
    </row>
    <row r="274" spans="1:13" hidden="1" x14ac:dyDescent="0.25">
      <c r="A274" t="s">
        <v>2171</v>
      </c>
      <c r="B274" t="s">
        <v>1841</v>
      </c>
      <c r="C274" t="s">
        <v>1842</v>
      </c>
      <c r="D274" t="s">
        <v>30</v>
      </c>
      <c r="E274" t="s">
        <v>1166</v>
      </c>
      <c r="G274">
        <v>4500379770</v>
      </c>
      <c r="H274" t="s">
        <v>12</v>
      </c>
      <c r="I274" t="s">
        <v>2112</v>
      </c>
      <c r="J274" t="s">
        <v>1166</v>
      </c>
      <c r="K274">
        <v>29852</v>
      </c>
      <c r="L274" s="1">
        <v>31950.67</v>
      </c>
      <c r="M274" t="str">
        <f>IFERROR(IF(VLOOKUP(LEFT(B274,2),'Humanitarian codes'!$A$2:$A$10,1,FALSE)=LEFT(B274,2),"Yes","Error"),"No")</f>
        <v>No</v>
      </c>
    </row>
    <row r="275" spans="1:13" hidden="1" x14ac:dyDescent="0.25">
      <c r="A275" t="s">
        <v>2171</v>
      </c>
      <c r="B275" t="s">
        <v>1841</v>
      </c>
      <c r="C275" t="s">
        <v>1842</v>
      </c>
      <c r="D275" t="s">
        <v>30</v>
      </c>
      <c r="E275" t="s">
        <v>1166</v>
      </c>
      <c r="G275">
        <v>4500358293</v>
      </c>
      <c r="H275" t="s">
        <v>12</v>
      </c>
      <c r="I275" t="s">
        <v>2113</v>
      </c>
      <c r="J275" t="s">
        <v>1166</v>
      </c>
      <c r="K275">
        <v>14614</v>
      </c>
      <c r="L275" s="1">
        <v>15641.86</v>
      </c>
      <c r="M275" t="str">
        <f>IFERROR(IF(VLOOKUP(LEFT(B275,2),'Humanitarian codes'!$A$2:$A$10,1,FALSE)=LEFT(B275,2),"Yes","Error"),"No")</f>
        <v>No</v>
      </c>
    </row>
    <row r="276" spans="1:13" hidden="1" x14ac:dyDescent="0.25">
      <c r="A276" t="s">
        <v>2171</v>
      </c>
      <c r="B276" t="s">
        <v>737</v>
      </c>
      <c r="C276" t="s">
        <v>738</v>
      </c>
      <c r="D276" t="s">
        <v>30</v>
      </c>
      <c r="E276" t="s">
        <v>261</v>
      </c>
      <c r="G276">
        <v>4500380666</v>
      </c>
      <c r="H276" t="s">
        <v>12</v>
      </c>
      <c r="I276" t="s">
        <v>2114</v>
      </c>
      <c r="J276" t="s">
        <v>261</v>
      </c>
      <c r="K276">
        <v>268813</v>
      </c>
      <c r="L276" s="1">
        <v>287715.78999999998</v>
      </c>
      <c r="M276" t="str">
        <f>IFERROR(IF(VLOOKUP(LEFT(B276,2),'Humanitarian codes'!$A$2:$A$10,1,FALSE)=LEFT(B276,2),"Yes","Error"),"No")</f>
        <v>No</v>
      </c>
    </row>
    <row r="277" spans="1:13" hidden="1" x14ac:dyDescent="0.25">
      <c r="A277" t="s">
        <v>2171</v>
      </c>
      <c r="B277" t="s">
        <v>737</v>
      </c>
      <c r="C277" t="s">
        <v>738</v>
      </c>
      <c r="D277" t="s">
        <v>30</v>
      </c>
      <c r="E277" t="s">
        <v>261</v>
      </c>
      <c r="G277">
        <v>4500378264</v>
      </c>
      <c r="H277" t="s">
        <v>12</v>
      </c>
      <c r="I277" t="s">
        <v>784</v>
      </c>
      <c r="J277" t="s">
        <v>261</v>
      </c>
      <c r="K277">
        <v>267457</v>
      </c>
      <c r="L277" s="1">
        <v>286264.71000000002</v>
      </c>
      <c r="M277" t="str">
        <f>IFERROR(IF(VLOOKUP(LEFT(B277,2),'Humanitarian codes'!$A$2:$A$10,1,FALSE)=LEFT(B277,2),"Yes","Error"),"No")</f>
        <v>No</v>
      </c>
    </row>
    <row r="278" spans="1:13" hidden="1" x14ac:dyDescent="0.25">
      <c r="A278" t="s">
        <v>2171</v>
      </c>
      <c r="B278" t="s">
        <v>586</v>
      </c>
      <c r="C278" t="s">
        <v>587</v>
      </c>
      <c r="D278" t="s">
        <v>30</v>
      </c>
      <c r="E278" t="s">
        <v>1016</v>
      </c>
      <c r="G278">
        <v>4500353787</v>
      </c>
      <c r="H278" t="s">
        <v>12</v>
      </c>
      <c r="I278" t="s">
        <v>588</v>
      </c>
      <c r="J278" t="s">
        <v>1016</v>
      </c>
      <c r="K278">
        <v>6937</v>
      </c>
      <c r="L278" s="1">
        <v>7424.39</v>
      </c>
      <c r="M278" t="str">
        <f>IFERROR(IF(VLOOKUP(LEFT(B278,2),'Humanitarian codes'!$A$2:$A$10,1,FALSE)=LEFT(B278,2),"Yes","Error"),"No")</f>
        <v>No</v>
      </c>
    </row>
    <row r="279" spans="1:13" hidden="1" x14ac:dyDescent="0.25">
      <c r="A279" t="s">
        <v>2171</v>
      </c>
      <c r="B279" t="s">
        <v>586</v>
      </c>
      <c r="C279" t="s">
        <v>587</v>
      </c>
      <c r="D279" t="s">
        <v>30</v>
      </c>
      <c r="E279" t="s">
        <v>1016</v>
      </c>
      <c r="G279">
        <v>4500378090</v>
      </c>
      <c r="H279" t="s">
        <v>12</v>
      </c>
      <c r="I279" t="s">
        <v>588</v>
      </c>
      <c r="J279" t="s">
        <v>1016</v>
      </c>
      <c r="K279">
        <v>7131</v>
      </c>
      <c r="L279" s="1">
        <v>7632.89</v>
      </c>
      <c r="M279" t="str">
        <f>IFERROR(IF(VLOOKUP(LEFT(B279,2),'Humanitarian codes'!$A$2:$A$10,1,FALSE)=LEFT(B279,2),"Yes","Error"),"No")</f>
        <v>No</v>
      </c>
    </row>
    <row r="280" spans="1:13" hidden="1" x14ac:dyDescent="0.25">
      <c r="A280" t="s">
        <v>2171</v>
      </c>
      <c r="B280" t="s">
        <v>586</v>
      </c>
      <c r="C280" t="s">
        <v>587</v>
      </c>
      <c r="D280" t="s">
        <v>30</v>
      </c>
      <c r="E280" t="s">
        <v>1016</v>
      </c>
      <c r="G280">
        <v>4500367199</v>
      </c>
      <c r="H280" t="s">
        <v>12</v>
      </c>
      <c r="I280" t="s">
        <v>1551</v>
      </c>
      <c r="J280" t="s">
        <v>1016</v>
      </c>
      <c r="K280">
        <v>28683</v>
      </c>
      <c r="L280" s="1">
        <v>30699.88</v>
      </c>
      <c r="M280" t="str">
        <f>IFERROR(IF(VLOOKUP(LEFT(B280,2),'Humanitarian codes'!$A$2:$A$10,1,FALSE)=LEFT(B280,2),"Yes","Error"),"No")</f>
        <v>No</v>
      </c>
    </row>
    <row r="281" spans="1:13" hidden="1" x14ac:dyDescent="0.25">
      <c r="A281" t="s">
        <v>2171</v>
      </c>
      <c r="B281" t="s">
        <v>590</v>
      </c>
      <c r="C281" t="s">
        <v>591</v>
      </c>
      <c r="D281" t="s">
        <v>30</v>
      </c>
      <c r="E281" t="s">
        <v>1016</v>
      </c>
      <c r="G281">
        <v>4500364667</v>
      </c>
      <c r="H281" t="s">
        <v>12</v>
      </c>
      <c r="I281" t="s">
        <v>482</v>
      </c>
      <c r="J281" t="s">
        <v>1016</v>
      </c>
      <c r="K281">
        <v>27871</v>
      </c>
      <c r="L281" s="1">
        <v>29831.32</v>
      </c>
      <c r="M281" t="str">
        <f>IFERROR(IF(VLOOKUP(LEFT(B281,2),'Humanitarian codes'!$A$2:$A$10,1,FALSE)=LEFT(B281,2),"Yes","Error"),"No")</f>
        <v>No</v>
      </c>
    </row>
    <row r="282" spans="1:13" hidden="1" x14ac:dyDescent="0.25">
      <c r="A282" t="s">
        <v>2171</v>
      </c>
      <c r="B282" t="s">
        <v>590</v>
      </c>
      <c r="C282" t="s">
        <v>591</v>
      </c>
      <c r="D282" t="s">
        <v>30</v>
      </c>
      <c r="E282" t="s">
        <v>1016</v>
      </c>
      <c r="G282">
        <v>4500367199</v>
      </c>
      <c r="H282" t="s">
        <v>12</v>
      </c>
      <c r="I282" t="s">
        <v>1551</v>
      </c>
      <c r="J282" t="s">
        <v>1016</v>
      </c>
      <c r="K282">
        <v>28683</v>
      </c>
      <c r="L282" s="1">
        <v>30699.88</v>
      </c>
      <c r="M282" t="str">
        <f>IFERROR(IF(VLOOKUP(LEFT(B282,2),'Humanitarian codes'!$A$2:$A$10,1,FALSE)=LEFT(B282,2),"Yes","Error"),"No")</f>
        <v>No</v>
      </c>
    </row>
    <row r="283" spans="1:13" hidden="1" x14ac:dyDescent="0.25">
      <c r="A283" t="s">
        <v>2171</v>
      </c>
      <c r="B283" t="s">
        <v>2115</v>
      </c>
      <c r="C283" t="s">
        <v>2116</v>
      </c>
      <c r="D283" t="s">
        <v>30</v>
      </c>
      <c r="E283" t="s">
        <v>261</v>
      </c>
      <c r="G283">
        <v>4500360995</v>
      </c>
      <c r="H283" t="s">
        <v>12</v>
      </c>
      <c r="I283" t="s">
        <v>2117</v>
      </c>
      <c r="J283" t="s">
        <v>261</v>
      </c>
      <c r="K283">
        <v>20549</v>
      </c>
      <c r="L283" s="1">
        <v>21994.14</v>
      </c>
      <c r="M283" t="str">
        <f>IFERROR(IF(VLOOKUP(LEFT(B283,2),'Humanitarian codes'!$A$2:$A$10,1,FALSE)=LEFT(B283,2),"Yes","Error"),"No")</f>
        <v>No</v>
      </c>
    </row>
    <row r="284" spans="1:13" hidden="1" x14ac:dyDescent="0.25">
      <c r="A284" t="s">
        <v>2171</v>
      </c>
      <c r="B284" t="s">
        <v>2118</v>
      </c>
      <c r="C284" t="s">
        <v>2119</v>
      </c>
      <c r="D284" t="s">
        <v>30</v>
      </c>
      <c r="E284" t="s">
        <v>128</v>
      </c>
      <c r="G284">
        <v>4500371711</v>
      </c>
      <c r="H284" t="s">
        <v>12</v>
      </c>
      <c r="I284" t="s">
        <v>1783</v>
      </c>
      <c r="J284" t="s">
        <v>128</v>
      </c>
      <c r="K284">
        <v>11071</v>
      </c>
      <c r="L284" s="1">
        <v>11850</v>
      </c>
      <c r="M284" t="str">
        <f>IFERROR(IF(VLOOKUP(LEFT(B284,2),'Humanitarian codes'!$A$2:$A$10,1,FALSE)=LEFT(B284,2),"Yes","Error"),"No")</f>
        <v>No</v>
      </c>
    </row>
    <row r="285" spans="1:13" hidden="1" x14ac:dyDescent="0.25">
      <c r="A285" t="s">
        <v>2171</v>
      </c>
      <c r="B285" t="s">
        <v>2118</v>
      </c>
      <c r="C285" t="s">
        <v>2119</v>
      </c>
      <c r="D285" t="s">
        <v>30</v>
      </c>
      <c r="E285" t="s">
        <v>128</v>
      </c>
      <c r="G285">
        <v>4500353386</v>
      </c>
      <c r="H285" t="s">
        <v>12</v>
      </c>
      <c r="I285" t="s">
        <v>2120</v>
      </c>
      <c r="J285" t="s">
        <v>1223</v>
      </c>
      <c r="K285">
        <v>27729</v>
      </c>
      <c r="L285" s="1">
        <v>29678.75</v>
      </c>
      <c r="M285" t="str">
        <f>IFERROR(IF(VLOOKUP(LEFT(B285,2),'Humanitarian codes'!$A$2:$A$10,1,FALSE)=LEFT(B285,2),"Yes","Error"),"No")</f>
        <v>No</v>
      </c>
    </row>
    <row r="286" spans="1:13" hidden="1" x14ac:dyDescent="0.25">
      <c r="A286" t="s">
        <v>2171</v>
      </c>
      <c r="B286" t="s">
        <v>2118</v>
      </c>
      <c r="C286" t="s">
        <v>2119</v>
      </c>
      <c r="D286" t="s">
        <v>30</v>
      </c>
      <c r="E286" t="s">
        <v>128</v>
      </c>
      <c r="G286">
        <v>4500360515</v>
      </c>
      <c r="H286" t="s">
        <v>12</v>
      </c>
      <c r="I286" t="s">
        <v>2121</v>
      </c>
      <c r="J286" t="s">
        <v>128</v>
      </c>
      <c r="K286">
        <v>102773</v>
      </c>
      <c r="L286" s="1">
        <v>110000</v>
      </c>
      <c r="M286" t="str">
        <f>IFERROR(IF(VLOOKUP(LEFT(B286,2),'Humanitarian codes'!$A$2:$A$10,1,FALSE)=LEFT(B286,2),"Yes","Error"),"No")</f>
        <v>No</v>
      </c>
    </row>
    <row r="287" spans="1:13" hidden="1" x14ac:dyDescent="0.25">
      <c r="A287" t="s">
        <v>2171</v>
      </c>
      <c r="B287" t="s">
        <v>2118</v>
      </c>
      <c r="C287" t="s">
        <v>2119</v>
      </c>
      <c r="D287" t="s">
        <v>30</v>
      </c>
      <c r="E287" t="s">
        <v>128</v>
      </c>
      <c r="G287">
        <v>4500355947</v>
      </c>
      <c r="H287" t="s">
        <v>12</v>
      </c>
      <c r="I287" t="s">
        <v>2122</v>
      </c>
      <c r="J287" t="s">
        <v>128</v>
      </c>
      <c r="K287">
        <v>77846</v>
      </c>
      <c r="L287" s="1">
        <v>83320</v>
      </c>
      <c r="M287" t="str">
        <f>IFERROR(IF(VLOOKUP(LEFT(B287,2),'Humanitarian codes'!$A$2:$A$10,1,FALSE)=LEFT(B287,2),"Yes","Error"),"No")</f>
        <v>No</v>
      </c>
    </row>
    <row r="288" spans="1:13" hidden="1" x14ac:dyDescent="0.25">
      <c r="A288" t="s">
        <v>2171</v>
      </c>
      <c r="B288" t="s">
        <v>2123</v>
      </c>
      <c r="C288" t="s">
        <v>2124</v>
      </c>
      <c r="D288" t="s">
        <v>543</v>
      </c>
      <c r="E288" t="s">
        <v>25</v>
      </c>
      <c r="G288">
        <v>4500356628</v>
      </c>
      <c r="H288" t="s">
        <v>12</v>
      </c>
      <c r="I288" t="s">
        <v>1593</v>
      </c>
      <c r="J288" t="s">
        <v>25</v>
      </c>
      <c r="K288">
        <v>63404</v>
      </c>
      <c r="L288" s="1">
        <v>67862.34</v>
      </c>
      <c r="M288" t="str">
        <f>IFERROR(IF(VLOOKUP(LEFT(B288,2),'Humanitarian codes'!$A$2:$A$10,1,FALSE)=LEFT(B288,2),"Yes","Error"),"No")</f>
        <v>No</v>
      </c>
    </row>
    <row r="289" spans="1:13" hidden="1" x14ac:dyDescent="0.25">
      <c r="A289" t="s">
        <v>2171</v>
      </c>
      <c r="B289" t="s">
        <v>2125</v>
      </c>
      <c r="C289" t="s">
        <v>2126</v>
      </c>
      <c r="D289" t="s">
        <v>543</v>
      </c>
      <c r="E289" t="s">
        <v>864</v>
      </c>
      <c r="G289">
        <v>4500370894</v>
      </c>
      <c r="H289" t="s">
        <v>12</v>
      </c>
      <c r="I289" t="s">
        <v>2127</v>
      </c>
      <c r="J289" t="s">
        <v>864</v>
      </c>
      <c r="K289">
        <v>7596</v>
      </c>
      <c r="L289" s="1">
        <v>8130.66</v>
      </c>
      <c r="M289" t="str">
        <f>IFERROR(IF(VLOOKUP(LEFT(B289,2),'Humanitarian codes'!$A$2:$A$10,1,FALSE)=LEFT(B289,2),"Yes","Error"),"No")</f>
        <v>No</v>
      </c>
    </row>
    <row r="290" spans="1:13" hidden="1" x14ac:dyDescent="0.25">
      <c r="A290" t="s">
        <v>2171</v>
      </c>
      <c r="B290" t="s">
        <v>2128</v>
      </c>
      <c r="C290" t="s">
        <v>2129</v>
      </c>
      <c r="D290" t="s">
        <v>543</v>
      </c>
      <c r="E290" t="s">
        <v>2130</v>
      </c>
      <c r="G290">
        <v>4500366624</v>
      </c>
      <c r="H290" t="s">
        <v>12</v>
      </c>
      <c r="I290" t="s">
        <v>2131</v>
      </c>
      <c r="J290" t="s">
        <v>2130</v>
      </c>
      <c r="K290">
        <v>541692</v>
      </c>
      <c r="L290" s="1">
        <v>579783.56000000006</v>
      </c>
      <c r="M290" t="str">
        <f>IFERROR(IF(VLOOKUP(LEFT(B290,2),'Humanitarian codes'!$A$2:$A$10,1,FALSE)=LEFT(B290,2),"Yes","Error"),"No")</f>
        <v>No</v>
      </c>
    </row>
    <row r="291" spans="1:13" hidden="1" x14ac:dyDescent="0.25">
      <c r="A291" t="s">
        <v>2171</v>
      </c>
      <c r="B291" t="s">
        <v>623</v>
      </c>
      <c r="C291" t="s">
        <v>624</v>
      </c>
      <c r="D291" t="s">
        <v>543</v>
      </c>
      <c r="E291" t="s">
        <v>903</v>
      </c>
      <c r="G291">
        <v>4500356017</v>
      </c>
      <c r="H291" t="s">
        <v>12</v>
      </c>
      <c r="I291" t="s">
        <v>80</v>
      </c>
      <c r="J291" t="s">
        <v>903</v>
      </c>
      <c r="K291">
        <v>87194</v>
      </c>
      <c r="L291" s="1">
        <v>93325.22</v>
      </c>
      <c r="M291" t="str">
        <f>IFERROR(IF(VLOOKUP(LEFT(B291,2),'Humanitarian codes'!$A$2:$A$10,1,FALSE)=LEFT(B291,2),"Yes","Error"),"No")</f>
        <v>No</v>
      </c>
    </row>
    <row r="292" spans="1:13" hidden="1" x14ac:dyDescent="0.25">
      <c r="A292" t="s">
        <v>2171</v>
      </c>
      <c r="B292" t="s">
        <v>2132</v>
      </c>
      <c r="C292" t="s">
        <v>2133</v>
      </c>
      <c r="D292" t="s">
        <v>543</v>
      </c>
      <c r="E292" t="s">
        <v>793</v>
      </c>
      <c r="G292">
        <v>4500368359</v>
      </c>
      <c r="H292" t="s">
        <v>12</v>
      </c>
      <c r="I292" t="s">
        <v>1993</v>
      </c>
      <c r="J292" t="s">
        <v>793</v>
      </c>
      <c r="K292">
        <v>28440</v>
      </c>
      <c r="L292" s="1">
        <v>30440</v>
      </c>
      <c r="M292" t="str">
        <f>IFERROR(IF(VLOOKUP(LEFT(B292,2),'Humanitarian codes'!$A$2:$A$10,1,FALSE)=LEFT(B292,2),"Yes","Error"),"No")</f>
        <v>No</v>
      </c>
    </row>
    <row r="293" spans="1:13" hidden="1" x14ac:dyDescent="0.25">
      <c r="A293" t="s">
        <v>2171</v>
      </c>
      <c r="B293" t="s">
        <v>2134</v>
      </c>
      <c r="C293" t="s">
        <v>2135</v>
      </c>
      <c r="D293" t="s">
        <v>543</v>
      </c>
      <c r="E293" t="s">
        <v>890</v>
      </c>
      <c r="G293">
        <v>4500374960</v>
      </c>
      <c r="H293" t="s">
        <v>12</v>
      </c>
      <c r="I293" t="s">
        <v>1420</v>
      </c>
      <c r="J293" t="s">
        <v>890</v>
      </c>
      <c r="K293">
        <v>399</v>
      </c>
      <c r="L293">
        <v>426.82</v>
      </c>
      <c r="M293" t="str">
        <f>IFERROR(IF(VLOOKUP(LEFT(B293,2),'Humanitarian codes'!$A$2:$A$10,1,FALSE)=LEFT(B293,2),"Yes","Error"),"No")</f>
        <v>No</v>
      </c>
    </row>
    <row r="294" spans="1:13" hidden="1" x14ac:dyDescent="0.25">
      <c r="A294" t="s">
        <v>2171</v>
      </c>
      <c r="B294" t="s">
        <v>2136</v>
      </c>
      <c r="C294" t="s">
        <v>2137</v>
      </c>
      <c r="D294" t="s">
        <v>543</v>
      </c>
      <c r="E294" t="s">
        <v>649</v>
      </c>
      <c r="G294">
        <v>4500357039</v>
      </c>
      <c r="H294" t="s">
        <v>12</v>
      </c>
      <c r="I294" t="s">
        <v>1597</v>
      </c>
      <c r="J294" t="s">
        <v>649</v>
      </c>
      <c r="K294">
        <v>81196</v>
      </c>
      <c r="L294" s="1">
        <v>86905.69</v>
      </c>
      <c r="M294" t="str">
        <f>IFERROR(IF(VLOOKUP(LEFT(B294,2),'Humanitarian codes'!$A$2:$A$10,1,FALSE)=LEFT(B294,2),"Yes","Error"),"No")</f>
        <v>No</v>
      </c>
    </row>
    <row r="295" spans="1:13" hidden="1" x14ac:dyDescent="0.25">
      <c r="A295" t="s">
        <v>2171</v>
      </c>
      <c r="B295" t="s">
        <v>1075</v>
      </c>
      <c r="C295" t="s">
        <v>1076</v>
      </c>
      <c r="D295" t="s">
        <v>543</v>
      </c>
      <c r="E295" t="s">
        <v>903</v>
      </c>
      <c r="G295">
        <v>4500352589</v>
      </c>
      <c r="H295" t="s">
        <v>12</v>
      </c>
      <c r="I295" t="s">
        <v>1077</v>
      </c>
      <c r="J295" t="s">
        <v>903</v>
      </c>
      <c r="K295">
        <v>108411</v>
      </c>
      <c r="L295" s="1">
        <v>116034.92</v>
      </c>
      <c r="M295" t="str">
        <f>IFERROR(IF(VLOOKUP(LEFT(B295,2),'Humanitarian codes'!$A$2:$A$10,1,FALSE)=LEFT(B295,2),"Yes","Error"),"No")</f>
        <v>No</v>
      </c>
    </row>
    <row r="296" spans="1:13" hidden="1" x14ac:dyDescent="0.25">
      <c r="A296" t="s">
        <v>2171</v>
      </c>
      <c r="B296" t="s">
        <v>637</v>
      </c>
      <c r="C296" t="s">
        <v>638</v>
      </c>
      <c r="D296" t="s">
        <v>543</v>
      </c>
      <c r="E296" t="s">
        <v>305</v>
      </c>
      <c r="G296">
        <v>4500360085</v>
      </c>
      <c r="H296" t="s">
        <v>12</v>
      </c>
      <c r="I296" t="s">
        <v>1328</v>
      </c>
      <c r="J296" t="s">
        <v>305</v>
      </c>
      <c r="K296">
        <v>58152</v>
      </c>
      <c r="L296" s="1">
        <v>62240.94</v>
      </c>
      <c r="M296" t="str">
        <f>IFERROR(IF(VLOOKUP(LEFT(B296,2),'Humanitarian codes'!$A$2:$A$10,1,FALSE)=LEFT(B296,2),"Yes","Error"),"No")</f>
        <v>No</v>
      </c>
    </row>
    <row r="297" spans="1:13" hidden="1" x14ac:dyDescent="0.25">
      <c r="A297" t="s">
        <v>2171</v>
      </c>
      <c r="B297" t="s">
        <v>1081</v>
      </c>
      <c r="C297" t="s">
        <v>1082</v>
      </c>
      <c r="D297" t="s">
        <v>543</v>
      </c>
      <c r="E297" t="s">
        <v>25</v>
      </c>
      <c r="G297">
        <v>4500379134</v>
      </c>
      <c r="H297" t="s">
        <v>12</v>
      </c>
      <c r="I297" t="s">
        <v>2138</v>
      </c>
      <c r="J297" t="s">
        <v>25</v>
      </c>
      <c r="K297">
        <v>133179</v>
      </c>
      <c r="L297" s="1">
        <v>142543.85</v>
      </c>
      <c r="M297" t="str">
        <f>IFERROR(IF(VLOOKUP(LEFT(B297,2),'Humanitarian codes'!$A$2:$A$10,1,FALSE)=LEFT(B297,2),"Yes","Error"),"No")</f>
        <v>No</v>
      </c>
    </row>
    <row r="298" spans="1:13" hidden="1" x14ac:dyDescent="0.25">
      <c r="A298" t="s">
        <v>2171</v>
      </c>
      <c r="B298" t="s">
        <v>1081</v>
      </c>
      <c r="C298" t="s">
        <v>1082</v>
      </c>
      <c r="D298" t="s">
        <v>543</v>
      </c>
      <c r="E298" t="s">
        <v>25</v>
      </c>
      <c r="G298">
        <v>4500374859</v>
      </c>
      <c r="H298" t="s">
        <v>12</v>
      </c>
      <c r="I298" t="s">
        <v>2139</v>
      </c>
      <c r="J298" t="s">
        <v>25</v>
      </c>
      <c r="K298">
        <v>126313</v>
      </c>
      <c r="L298" s="1">
        <v>135195.69</v>
      </c>
      <c r="M298" t="str">
        <f>IFERROR(IF(VLOOKUP(LEFT(B298,2),'Humanitarian codes'!$A$2:$A$10,1,FALSE)=LEFT(B298,2),"Yes","Error"),"No")</f>
        <v>No</v>
      </c>
    </row>
    <row r="299" spans="1:13" hidden="1" x14ac:dyDescent="0.25">
      <c r="A299" t="s">
        <v>2171</v>
      </c>
      <c r="B299" t="s">
        <v>1081</v>
      </c>
      <c r="C299" t="s">
        <v>1082</v>
      </c>
      <c r="D299" t="s">
        <v>543</v>
      </c>
      <c r="E299" t="s">
        <v>25</v>
      </c>
      <c r="G299">
        <v>4500374862</v>
      </c>
      <c r="H299" t="s">
        <v>12</v>
      </c>
      <c r="I299" t="s">
        <v>526</v>
      </c>
      <c r="J299" t="s">
        <v>25</v>
      </c>
      <c r="K299">
        <v>48850</v>
      </c>
      <c r="L299" s="1">
        <v>52285.63</v>
      </c>
      <c r="M299" t="str">
        <f>IFERROR(IF(VLOOKUP(LEFT(B299,2),'Humanitarian codes'!$A$2:$A$10,1,FALSE)=LEFT(B299,2),"Yes","Error"),"No")</f>
        <v>No</v>
      </c>
    </row>
    <row r="300" spans="1:13" hidden="1" x14ac:dyDescent="0.25">
      <c r="A300" t="s">
        <v>2171</v>
      </c>
      <c r="B300" t="s">
        <v>2140</v>
      </c>
      <c r="C300" t="s">
        <v>2141</v>
      </c>
      <c r="D300" t="s">
        <v>543</v>
      </c>
      <c r="E300" t="s">
        <v>45</v>
      </c>
      <c r="G300">
        <v>4500371050</v>
      </c>
      <c r="H300" t="s">
        <v>12</v>
      </c>
      <c r="I300" t="s">
        <v>658</v>
      </c>
      <c r="J300" t="s">
        <v>45</v>
      </c>
      <c r="K300">
        <v>72119</v>
      </c>
      <c r="L300" s="1">
        <v>77190</v>
      </c>
      <c r="M300" t="str">
        <f>IFERROR(IF(VLOOKUP(LEFT(B300,2),'Humanitarian codes'!$A$2:$A$10,1,FALSE)=LEFT(B300,2),"Yes","Error"),"No")</f>
        <v>No</v>
      </c>
    </row>
    <row r="301" spans="1:13" hidden="1" x14ac:dyDescent="0.25">
      <c r="A301" t="s">
        <v>2171</v>
      </c>
      <c r="B301" t="s">
        <v>2140</v>
      </c>
      <c r="C301" t="s">
        <v>2141</v>
      </c>
      <c r="D301" t="s">
        <v>543</v>
      </c>
      <c r="E301" t="s">
        <v>45</v>
      </c>
      <c r="G301">
        <v>4500371046</v>
      </c>
      <c r="H301" t="s">
        <v>12</v>
      </c>
      <c r="I301" t="s">
        <v>541</v>
      </c>
      <c r="J301" t="s">
        <v>45</v>
      </c>
      <c r="K301">
        <v>93594</v>
      </c>
      <c r="L301" s="1">
        <v>100176</v>
      </c>
      <c r="M301" t="str">
        <f>IFERROR(IF(VLOOKUP(LEFT(B301,2),'Humanitarian codes'!$A$2:$A$10,1,FALSE)=LEFT(B301,2),"Yes","Error"),"No")</f>
        <v>No</v>
      </c>
    </row>
    <row r="302" spans="1:13" hidden="1" x14ac:dyDescent="0.25">
      <c r="A302" t="s">
        <v>2171</v>
      </c>
      <c r="B302" t="s">
        <v>1589</v>
      </c>
      <c r="C302" t="s">
        <v>2142</v>
      </c>
      <c r="D302" t="s">
        <v>543</v>
      </c>
      <c r="E302" t="s">
        <v>663</v>
      </c>
      <c r="G302">
        <v>4500369372</v>
      </c>
      <c r="H302" t="s">
        <v>12</v>
      </c>
      <c r="I302" t="s">
        <v>664</v>
      </c>
      <c r="J302" t="s">
        <v>663</v>
      </c>
      <c r="K302">
        <v>126340</v>
      </c>
      <c r="L302" s="1">
        <v>135223.94</v>
      </c>
      <c r="M302" t="str">
        <f>IFERROR(IF(VLOOKUP(LEFT(B302,2),'Humanitarian codes'!$A$2:$A$10,1,FALSE)=LEFT(B302,2),"Yes","Error"),"No")</f>
        <v>No</v>
      </c>
    </row>
    <row r="303" spans="1:13" x14ac:dyDescent="0.25">
      <c r="A303" t="s">
        <v>2171</v>
      </c>
      <c r="B303" t="s">
        <v>1602</v>
      </c>
      <c r="C303" t="s">
        <v>1603</v>
      </c>
      <c r="D303" t="s">
        <v>30</v>
      </c>
      <c r="E303" t="s">
        <v>793</v>
      </c>
      <c r="G303">
        <v>4500368359</v>
      </c>
      <c r="H303" t="s">
        <v>12</v>
      </c>
      <c r="I303" t="s">
        <v>1993</v>
      </c>
      <c r="J303" t="s">
        <v>793</v>
      </c>
      <c r="K303">
        <v>28440</v>
      </c>
      <c r="L303" s="1">
        <v>30440</v>
      </c>
      <c r="M303" t="str">
        <f>IFERROR(IF(VLOOKUP(LEFT(B303,2),'Humanitarian codes'!$A$2:$A$10,1,FALSE)=LEFT(B303,2),"Yes","Error"),"No")</f>
        <v>Yes</v>
      </c>
    </row>
    <row r="304" spans="1:13" hidden="1" x14ac:dyDescent="0.25">
      <c r="A304" t="s">
        <v>2171</v>
      </c>
      <c r="B304" t="s">
        <v>669</v>
      </c>
      <c r="C304" t="s">
        <v>670</v>
      </c>
      <c r="D304" t="s">
        <v>30</v>
      </c>
      <c r="E304" t="s">
        <v>205</v>
      </c>
      <c r="G304">
        <v>4500369283</v>
      </c>
      <c r="H304" t="s">
        <v>12</v>
      </c>
      <c r="I304" t="s">
        <v>2143</v>
      </c>
      <c r="J304" t="s">
        <v>205</v>
      </c>
      <c r="K304">
        <v>729333</v>
      </c>
      <c r="L304" s="1">
        <v>780620</v>
      </c>
      <c r="M304" t="str">
        <f>IFERROR(IF(VLOOKUP(LEFT(B304,2),'Humanitarian codes'!$A$2:$A$10,1,FALSE)=LEFT(B304,2),"Yes","Error"),"No")</f>
        <v>No</v>
      </c>
    </row>
    <row r="305" spans="1:13" hidden="1" x14ac:dyDescent="0.25">
      <c r="A305" t="s">
        <v>2171</v>
      </c>
      <c r="B305" t="s">
        <v>1110</v>
      </c>
      <c r="C305" t="s">
        <v>1111</v>
      </c>
      <c r="D305" t="s">
        <v>1112</v>
      </c>
      <c r="E305" t="s">
        <v>261</v>
      </c>
      <c r="G305">
        <v>4500370355</v>
      </c>
      <c r="H305" t="s">
        <v>12</v>
      </c>
      <c r="I305" t="s">
        <v>2144</v>
      </c>
      <c r="J305" t="s">
        <v>261</v>
      </c>
      <c r="K305">
        <v>208291</v>
      </c>
      <c r="L305" s="1">
        <v>222937.83</v>
      </c>
      <c r="M305" t="str">
        <f>IFERROR(IF(VLOOKUP(LEFT(B305,2),'Humanitarian codes'!$A$2:$A$10,1,FALSE)=LEFT(B305,2),"Yes","Error"),"No")</f>
        <v>No</v>
      </c>
    </row>
    <row r="306" spans="1:13" hidden="1" x14ac:dyDescent="0.25">
      <c r="A306" t="s">
        <v>2171</v>
      </c>
      <c r="B306" t="s">
        <v>1110</v>
      </c>
      <c r="C306" t="s">
        <v>1111</v>
      </c>
      <c r="D306" t="s">
        <v>1112</v>
      </c>
      <c r="E306" t="s">
        <v>261</v>
      </c>
      <c r="G306">
        <v>4500359655</v>
      </c>
      <c r="H306" t="s">
        <v>12</v>
      </c>
      <c r="I306" t="s">
        <v>2145</v>
      </c>
      <c r="J306" t="s">
        <v>261</v>
      </c>
      <c r="K306">
        <v>100686</v>
      </c>
      <c r="L306" s="1">
        <v>107766.65</v>
      </c>
      <c r="M306" t="str">
        <f>IFERROR(IF(VLOOKUP(LEFT(B306,2),'Humanitarian codes'!$A$2:$A$10,1,FALSE)=LEFT(B306,2),"Yes","Error"),"No")</f>
        <v>No</v>
      </c>
    </row>
    <row r="307" spans="1:13" hidden="1" x14ac:dyDescent="0.25">
      <c r="A307" t="s">
        <v>2171</v>
      </c>
      <c r="B307" t="s">
        <v>2146</v>
      </c>
      <c r="C307" t="s">
        <v>2147</v>
      </c>
      <c r="D307" t="s">
        <v>1112</v>
      </c>
      <c r="E307" t="s">
        <v>261</v>
      </c>
      <c r="G307">
        <v>4500380133</v>
      </c>
      <c r="H307" t="s">
        <v>12</v>
      </c>
      <c r="I307" t="s">
        <v>784</v>
      </c>
      <c r="J307" t="s">
        <v>261</v>
      </c>
      <c r="K307">
        <v>902637</v>
      </c>
      <c r="L307" s="1">
        <v>966110.22</v>
      </c>
      <c r="M307" t="str">
        <f>IFERROR(IF(VLOOKUP(LEFT(B307,2),'Humanitarian codes'!$A$2:$A$10,1,FALSE)=LEFT(B307,2),"Yes","Error"),"No")</f>
        <v>No</v>
      </c>
    </row>
    <row r="308" spans="1:13" hidden="1" x14ac:dyDescent="0.25">
      <c r="A308" t="s">
        <v>2171</v>
      </c>
      <c r="B308" t="s">
        <v>671</v>
      </c>
      <c r="C308" t="s">
        <v>672</v>
      </c>
      <c r="D308" t="s">
        <v>543</v>
      </c>
      <c r="E308" t="s">
        <v>549</v>
      </c>
      <c r="G308">
        <v>4500358403</v>
      </c>
      <c r="H308" t="s">
        <v>12</v>
      </c>
      <c r="I308" t="s">
        <v>2088</v>
      </c>
      <c r="J308" t="s">
        <v>549</v>
      </c>
      <c r="K308">
        <v>19854</v>
      </c>
      <c r="L308" s="1">
        <v>21250</v>
      </c>
      <c r="M308" t="str">
        <f>IFERROR(IF(VLOOKUP(LEFT(B308,2),'Humanitarian codes'!$A$2:$A$10,1,FALSE)=LEFT(B308,2),"Yes","Error"),"No")</f>
        <v>No</v>
      </c>
    </row>
    <row r="309" spans="1:13" hidden="1" x14ac:dyDescent="0.25">
      <c r="A309" t="s">
        <v>2171</v>
      </c>
      <c r="B309" t="s">
        <v>671</v>
      </c>
      <c r="C309" t="s">
        <v>672</v>
      </c>
      <c r="D309" t="s">
        <v>543</v>
      </c>
      <c r="E309" t="s">
        <v>549</v>
      </c>
      <c r="G309">
        <v>4500358443</v>
      </c>
      <c r="H309" t="s">
        <v>12</v>
      </c>
      <c r="I309" t="s">
        <v>2090</v>
      </c>
      <c r="J309" t="s">
        <v>549</v>
      </c>
      <c r="K309">
        <v>19854</v>
      </c>
      <c r="L309" s="1">
        <v>21250</v>
      </c>
      <c r="M309" t="str">
        <f>IFERROR(IF(VLOOKUP(LEFT(B309,2),'Humanitarian codes'!$A$2:$A$10,1,FALSE)=LEFT(B309,2),"Yes","Error"),"No")</f>
        <v>No</v>
      </c>
    </row>
    <row r="310" spans="1:13" hidden="1" x14ac:dyDescent="0.25">
      <c r="A310" t="s">
        <v>2171</v>
      </c>
      <c r="B310" t="s">
        <v>671</v>
      </c>
      <c r="C310" t="s">
        <v>672</v>
      </c>
      <c r="D310" t="s">
        <v>543</v>
      </c>
      <c r="E310" t="s">
        <v>549</v>
      </c>
      <c r="G310">
        <v>4500358442</v>
      </c>
      <c r="H310" t="s">
        <v>12</v>
      </c>
      <c r="I310" t="s">
        <v>673</v>
      </c>
      <c r="J310" t="s">
        <v>549</v>
      </c>
      <c r="K310">
        <v>19854</v>
      </c>
      <c r="L310" s="1">
        <v>21250</v>
      </c>
      <c r="M310" t="str">
        <f>IFERROR(IF(VLOOKUP(LEFT(B310,2),'Humanitarian codes'!$A$2:$A$10,1,FALSE)=LEFT(B310,2),"Yes","Error"),"No")</f>
        <v>No</v>
      </c>
    </row>
    <row r="311" spans="1:13" hidden="1" x14ac:dyDescent="0.25">
      <c r="A311" t="s">
        <v>2171</v>
      </c>
      <c r="B311" t="s">
        <v>671</v>
      </c>
      <c r="C311" t="s">
        <v>672</v>
      </c>
      <c r="D311" t="s">
        <v>543</v>
      </c>
      <c r="E311" t="s">
        <v>549</v>
      </c>
      <c r="G311">
        <v>4500358444</v>
      </c>
      <c r="H311" t="s">
        <v>12</v>
      </c>
      <c r="I311" t="s">
        <v>674</v>
      </c>
      <c r="J311" t="s">
        <v>549</v>
      </c>
      <c r="K311">
        <v>19854</v>
      </c>
      <c r="L311" s="1">
        <v>21250</v>
      </c>
      <c r="M311" t="str">
        <f>IFERROR(IF(VLOOKUP(LEFT(B311,2),'Humanitarian codes'!$A$2:$A$10,1,FALSE)=LEFT(B311,2),"Yes","Error"),"No")</f>
        <v>No</v>
      </c>
    </row>
    <row r="312" spans="1:13" hidden="1" x14ac:dyDescent="0.25">
      <c r="A312" t="s">
        <v>2171</v>
      </c>
      <c r="B312" t="s">
        <v>671</v>
      </c>
      <c r="C312" t="s">
        <v>672</v>
      </c>
      <c r="D312" t="s">
        <v>543</v>
      </c>
      <c r="E312" t="s">
        <v>549</v>
      </c>
      <c r="G312">
        <v>4500377310</v>
      </c>
      <c r="H312" t="s">
        <v>12</v>
      </c>
      <c r="I312" t="s">
        <v>674</v>
      </c>
      <c r="J312" t="s">
        <v>549</v>
      </c>
      <c r="K312">
        <v>1641</v>
      </c>
      <c r="L312" s="1">
        <v>1756.25</v>
      </c>
      <c r="M312" t="str">
        <f>IFERROR(IF(VLOOKUP(LEFT(B312,2),'Humanitarian codes'!$A$2:$A$10,1,FALSE)=LEFT(B312,2),"Yes","Error"),"No")</f>
        <v>No</v>
      </c>
    </row>
    <row r="313" spans="1:13" hidden="1" x14ac:dyDescent="0.25">
      <c r="A313" t="s">
        <v>2171</v>
      </c>
      <c r="B313" t="s">
        <v>671</v>
      </c>
      <c r="C313" t="s">
        <v>672</v>
      </c>
      <c r="D313" t="s">
        <v>543</v>
      </c>
      <c r="E313" t="s">
        <v>663</v>
      </c>
      <c r="G313">
        <v>4500371211</v>
      </c>
      <c r="H313" t="s">
        <v>12</v>
      </c>
      <c r="I313" t="s">
        <v>1549</v>
      </c>
      <c r="J313" t="s">
        <v>663</v>
      </c>
      <c r="K313">
        <v>56072</v>
      </c>
      <c r="L313" s="1">
        <v>60015.33</v>
      </c>
      <c r="M313" t="str">
        <f>IFERROR(IF(VLOOKUP(LEFT(B313,2),'Humanitarian codes'!$A$2:$A$10,1,FALSE)=LEFT(B313,2),"Yes","Error"),"No")</f>
        <v>No</v>
      </c>
    </row>
    <row r="314" spans="1:13" hidden="1" x14ac:dyDescent="0.25">
      <c r="A314" t="s">
        <v>2171</v>
      </c>
      <c r="B314" t="s">
        <v>671</v>
      </c>
      <c r="C314" t="s">
        <v>672</v>
      </c>
      <c r="D314" t="s">
        <v>543</v>
      </c>
      <c r="E314" t="s">
        <v>239</v>
      </c>
      <c r="G314">
        <v>4500358424</v>
      </c>
      <c r="H314" t="s">
        <v>12</v>
      </c>
      <c r="I314" t="s">
        <v>675</v>
      </c>
      <c r="J314" t="s">
        <v>239</v>
      </c>
      <c r="K314">
        <v>93296</v>
      </c>
      <c r="L314" s="1">
        <v>99857.05</v>
      </c>
      <c r="M314" t="str">
        <f>IFERROR(IF(VLOOKUP(LEFT(B314,2),'Humanitarian codes'!$A$2:$A$10,1,FALSE)=LEFT(B314,2),"Yes","Error"),"No")</f>
        <v>No</v>
      </c>
    </row>
    <row r="315" spans="1:13" hidden="1" x14ac:dyDescent="0.25">
      <c r="A315" t="s">
        <v>2171</v>
      </c>
      <c r="B315" t="s">
        <v>671</v>
      </c>
      <c r="C315" t="s">
        <v>672</v>
      </c>
      <c r="D315" t="s">
        <v>543</v>
      </c>
      <c r="E315" t="s">
        <v>239</v>
      </c>
      <c r="G315">
        <v>4500354805</v>
      </c>
      <c r="H315" t="s">
        <v>12</v>
      </c>
      <c r="I315" t="s">
        <v>1624</v>
      </c>
      <c r="J315" t="s">
        <v>239</v>
      </c>
      <c r="K315">
        <v>154634</v>
      </c>
      <c r="L315" s="1">
        <v>165508.22</v>
      </c>
      <c r="M315" t="str">
        <f>IFERROR(IF(VLOOKUP(LEFT(B315,2),'Humanitarian codes'!$A$2:$A$10,1,FALSE)=LEFT(B315,2),"Yes","Error"),"No")</f>
        <v>No</v>
      </c>
    </row>
    <row r="316" spans="1:13" hidden="1" x14ac:dyDescent="0.25">
      <c r="A316" t="s">
        <v>2171</v>
      </c>
      <c r="B316" t="s">
        <v>2148</v>
      </c>
      <c r="C316" t="s">
        <v>2149</v>
      </c>
      <c r="D316" t="s">
        <v>543</v>
      </c>
      <c r="E316" t="s">
        <v>509</v>
      </c>
      <c r="G316">
        <v>4500371668</v>
      </c>
      <c r="H316" t="s">
        <v>12</v>
      </c>
      <c r="I316" t="s">
        <v>2150</v>
      </c>
      <c r="J316" t="s">
        <v>509</v>
      </c>
      <c r="K316">
        <v>5122</v>
      </c>
      <c r="L316" s="1">
        <v>5482.46</v>
      </c>
      <c r="M316" t="str">
        <f>IFERROR(IF(VLOOKUP(LEFT(B316,2),'Humanitarian codes'!$A$2:$A$10,1,FALSE)=LEFT(B316,2),"Yes","Error"),"No")</f>
        <v>No</v>
      </c>
    </row>
    <row r="317" spans="1:13" hidden="1" x14ac:dyDescent="0.25">
      <c r="A317" t="s">
        <v>2171</v>
      </c>
      <c r="B317" t="s">
        <v>2151</v>
      </c>
      <c r="C317" t="s">
        <v>2152</v>
      </c>
      <c r="D317" t="s">
        <v>543</v>
      </c>
      <c r="E317" t="s">
        <v>45</v>
      </c>
      <c r="G317">
        <v>4500376384</v>
      </c>
      <c r="H317" t="s">
        <v>12</v>
      </c>
      <c r="I317" t="s">
        <v>2153</v>
      </c>
      <c r="J317" t="s">
        <v>45</v>
      </c>
      <c r="K317">
        <v>203934</v>
      </c>
      <c r="L317" s="1">
        <v>218275</v>
      </c>
      <c r="M317" t="str">
        <f>IFERROR(IF(VLOOKUP(LEFT(B317,2),'Humanitarian codes'!$A$2:$A$10,1,FALSE)=LEFT(B317,2),"Yes","Error"),"No")</f>
        <v>No</v>
      </c>
    </row>
    <row r="318" spans="1:13" hidden="1" x14ac:dyDescent="0.25">
      <c r="A318" t="s">
        <v>2171</v>
      </c>
      <c r="B318" t="s">
        <v>686</v>
      </c>
      <c r="C318" t="s">
        <v>687</v>
      </c>
      <c r="D318" t="s">
        <v>543</v>
      </c>
      <c r="E318" t="s">
        <v>20</v>
      </c>
      <c r="G318">
        <v>4500362364</v>
      </c>
      <c r="H318" t="s">
        <v>12</v>
      </c>
      <c r="I318" t="s">
        <v>2154</v>
      </c>
      <c r="J318" t="s">
        <v>20</v>
      </c>
      <c r="K318">
        <v>1813</v>
      </c>
      <c r="L318" s="1">
        <v>1940.97</v>
      </c>
      <c r="M318" t="str">
        <f>IFERROR(IF(VLOOKUP(LEFT(B318,2),'Humanitarian codes'!$A$2:$A$10,1,FALSE)=LEFT(B318,2),"Yes","Error"),"No")</f>
        <v>No</v>
      </c>
    </row>
    <row r="319" spans="1:13" hidden="1" x14ac:dyDescent="0.25">
      <c r="A319" t="s">
        <v>2171</v>
      </c>
      <c r="B319" t="s">
        <v>686</v>
      </c>
      <c r="C319" t="s">
        <v>687</v>
      </c>
      <c r="D319" t="s">
        <v>543</v>
      </c>
      <c r="E319" t="s">
        <v>20</v>
      </c>
      <c r="G319">
        <v>4500368421</v>
      </c>
      <c r="H319" t="s">
        <v>12</v>
      </c>
      <c r="I319" t="s">
        <v>1883</v>
      </c>
      <c r="J319" t="s">
        <v>20</v>
      </c>
      <c r="K319">
        <v>15516</v>
      </c>
      <c r="L319" s="1">
        <v>16606.71</v>
      </c>
      <c r="M319" t="str">
        <f>IFERROR(IF(VLOOKUP(LEFT(B319,2),'Humanitarian codes'!$A$2:$A$10,1,FALSE)=LEFT(B319,2),"Yes","Error"),"No")</f>
        <v>No</v>
      </c>
    </row>
    <row r="320" spans="1:13" hidden="1" x14ac:dyDescent="0.25">
      <c r="A320" t="s">
        <v>2171</v>
      </c>
      <c r="B320" t="s">
        <v>2155</v>
      </c>
      <c r="C320" t="s">
        <v>2156</v>
      </c>
      <c r="D320" t="s">
        <v>543</v>
      </c>
      <c r="E320" t="s">
        <v>890</v>
      </c>
      <c r="G320">
        <v>4500374431</v>
      </c>
      <c r="H320" t="s">
        <v>12</v>
      </c>
      <c r="I320" t="s">
        <v>2157</v>
      </c>
      <c r="J320" t="s">
        <v>890</v>
      </c>
      <c r="K320">
        <v>29320</v>
      </c>
      <c r="L320" s="1">
        <v>31381.58</v>
      </c>
      <c r="M320" t="str">
        <f>IFERROR(IF(VLOOKUP(LEFT(B320,2),'Humanitarian codes'!$A$2:$A$10,1,FALSE)=LEFT(B320,2),"Yes","Error"),"No")</f>
        <v>No</v>
      </c>
    </row>
    <row r="321" spans="1:13" x14ac:dyDescent="0.25">
      <c r="A321" t="s">
        <v>2171</v>
      </c>
      <c r="B321" t="s">
        <v>1141</v>
      </c>
      <c r="C321" t="s">
        <v>1142</v>
      </c>
      <c r="D321" t="s">
        <v>30</v>
      </c>
      <c r="E321" t="s">
        <v>123</v>
      </c>
      <c r="G321">
        <v>4500355434</v>
      </c>
      <c r="H321" t="s">
        <v>12</v>
      </c>
      <c r="I321" t="s">
        <v>124</v>
      </c>
      <c r="J321" t="s">
        <v>123</v>
      </c>
      <c r="K321">
        <v>69153</v>
      </c>
      <c r="L321" s="1">
        <v>74015.399999999994</v>
      </c>
      <c r="M321" t="str">
        <f>IFERROR(IF(VLOOKUP(LEFT(B321,2),'Humanitarian codes'!$A$2:$A$10,1,FALSE)=LEFT(B321,2),"Yes","Error"),"No")</f>
        <v>Yes</v>
      </c>
    </row>
    <row r="322" spans="1:13" x14ac:dyDescent="0.25">
      <c r="A322" t="s">
        <v>2171</v>
      </c>
      <c r="B322" t="s">
        <v>1141</v>
      </c>
      <c r="C322" t="s">
        <v>1142</v>
      </c>
      <c r="D322" t="s">
        <v>30</v>
      </c>
      <c r="E322" t="s">
        <v>123</v>
      </c>
      <c r="G322">
        <v>4500363002</v>
      </c>
      <c r="H322" t="s">
        <v>12</v>
      </c>
      <c r="I322" t="s">
        <v>368</v>
      </c>
      <c r="J322" t="s">
        <v>123</v>
      </c>
      <c r="K322">
        <v>65296</v>
      </c>
      <c r="L322" s="1">
        <v>69888.039999999994</v>
      </c>
      <c r="M322" t="str">
        <f>IFERROR(IF(VLOOKUP(LEFT(B322,2),'Humanitarian codes'!$A$2:$A$10,1,FALSE)=LEFT(B322,2),"Yes","Error"),"No")</f>
        <v>Yes</v>
      </c>
    </row>
    <row r="323" spans="1:13" x14ac:dyDescent="0.25">
      <c r="A323" t="s">
        <v>2171</v>
      </c>
      <c r="B323" t="s">
        <v>2158</v>
      </c>
      <c r="C323" t="s">
        <v>2159</v>
      </c>
      <c r="D323" t="s">
        <v>30</v>
      </c>
      <c r="E323" t="s">
        <v>123</v>
      </c>
      <c r="G323">
        <v>4500356605</v>
      </c>
      <c r="H323" t="s">
        <v>12</v>
      </c>
      <c r="I323" t="s">
        <v>813</v>
      </c>
      <c r="J323" t="s">
        <v>123</v>
      </c>
      <c r="K323">
        <v>39742</v>
      </c>
      <c r="L323" s="1">
        <v>42536.42</v>
      </c>
      <c r="M323" t="str">
        <f>IFERROR(IF(VLOOKUP(LEFT(B323,2),'Humanitarian codes'!$A$2:$A$10,1,FALSE)=LEFT(B323,2),"Yes","Error"),"No")</f>
        <v>Yes</v>
      </c>
    </row>
    <row r="324" spans="1:13" x14ac:dyDescent="0.25">
      <c r="A324" t="s">
        <v>2171</v>
      </c>
      <c r="B324" t="s">
        <v>2158</v>
      </c>
      <c r="C324" t="s">
        <v>2159</v>
      </c>
      <c r="D324" t="s">
        <v>30</v>
      </c>
      <c r="E324" t="s">
        <v>123</v>
      </c>
      <c r="G324">
        <v>4500355459</v>
      </c>
      <c r="H324" t="s">
        <v>12</v>
      </c>
      <c r="I324" t="s">
        <v>1979</v>
      </c>
      <c r="J324" t="s">
        <v>123</v>
      </c>
      <c r="K324">
        <v>30249</v>
      </c>
      <c r="L324" s="1">
        <v>32376.52</v>
      </c>
      <c r="M324" t="str">
        <f>IFERROR(IF(VLOOKUP(LEFT(B324,2),'Humanitarian codes'!$A$2:$A$10,1,FALSE)=LEFT(B324,2),"Yes","Error"),"No")</f>
        <v>Yes</v>
      </c>
    </row>
    <row r="325" spans="1:13" x14ac:dyDescent="0.25">
      <c r="A325" t="s">
        <v>2171</v>
      </c>
      <c r="B325" t="s">
        <v>696</v>
      </c>
      <c r="C325" t="s">
        <v>697</v>
      </c>
      <c r="D325" t="s">
        <v>30</v>
      </c>
      <c r="E325" t="s">
        <v>159</v>
      </c>
      <c r="G325">
        <v>4500352874</v>
      </c>
      <c r="H325" t="s">
        <v>12</v>
      </c>
      <c r="I325" t="s">
        <v>2160</v>
      </c>
      <c r="J325" t="s">
        <v>159</v>
      </c>
      <c r="K325">
        <v>44846</v>
      </c>
      <c r="L325" s="1">
        <v>48000</v>
      </c>
      <c r="M325" t="str">
        <f>IFERROR(IF(VLOOKUP(LEFT(B325,2),'Humanitarian codes'!$A$2:$A$10,1,FALSE)=LEFT(B325,2),"Yes","Error"),"No")</f>
        <v>Yes</v>
      </c>
    </row>
    <row r="326" spans="1:13" x14ac:dyDescent="0.25">
      <c r="A326" t="s">
        <v>2171</v>
      </c>
      <c r="B326" t="s">
        <v>696</v>
      </c>
      <c r="C326" t="s">
        <v>697</v>
      </c>
      <c r="D326" t="s">
        <v>30</v>
      </c>
      <c r="E326" t="s">
        <v>159</v>
      </c>
      <c r="G326">
        <v>4500352875</v>
      </c>
      <c r="H326" t="s">
        <v>12</v>
      </c>
      <c r="I326" t="s">
        <v>1968</v>
      </c>
      <c r="J326" t="s">
        <v>159</v>
      </c>
      <c r="K326">
        <v>149488</v>
      </c>
      <c r="L326" s="1">
        <v>160000</v>
      </c>
      <c r="M326" t="str">
        <f>IFERROR(IF(VLOOKUP(LEFT(B326,2),'Humanitarian codes'!$A$2:$A$10,1,FALSE)=LEFT(B326,2),"Yes","Error"),"No")</f>
        <v>Yes</v>
      </c>
    </row>
    <row r="327" spans="1:13" x14ac:dyDescent="0.25">
      <c r="A327" t="s">
        <v>2171</v>
      </c>
      <c r="B327" t="s">
        <v>2161</v>
      </c>
      <c r="C327" t="s">
        <v>2162</v>
      </c>
      <c r="D327" t="s">
        <v>30</v>
      </c>
      <c r="E327" t="s">
        <v>83</v>
      </c>
      <c r="G327">
        <v>4500373336</v>
      </c>
      <c r="H327" t="s">
        <v>12</v>
      </c>
      <c r="I327" t="s">
        <v>2163</v>
      </c>
      <c r="J327" t="s">
        <v>83</v>
      </c>
      <c r="K327">
        <v>161591</v>
      </c>
      <c r="L327" s="1">
        <v>172954.46</v>
      </c>
      <c r="M327" t="str">
        <f>IFERROR(IF(VLOOKUP(LEFT(B327,2),'Humanitarian codes'!$A$2:$A$10,1,FALSE)=LEFT(B327,2),"Yes","Error"),"No")</f>
        <v>Yes</v>
      </c>
    </row>
    <row r="328" spans="1:13" x14ac:dyDescent="0.25">
      <c r="A328" t="s">
        <v>2171</v>
      </c>
      <c r="B328" t="s">
        <v>1884</v>
      </c>
      <c r="C328" t="s">
        <v>1885</v>
      </c>
      <c r="D328" t="s">
        <v>30</v>
      </c>
      <c r="E328" t="s">
        <v>123</v>
      </c>
      <c r="G328">
        <v>4500355434</v>
      </c>
      <c r="H328" t="s">
        <v>12</v>
      </c>
      <c r="I328" t="s">
        <v>124</v>
      </c>
      <c r="J328" t="s">
        <v>123</v>
      </c>
      <c r="K328">
        <v>69153</v>
      </c>
      <c r="L328" s="1">
        <v>74015.399999999994</v>
      </c>
      <c r="M328" t="str">
        <f>IFERROR(IF(VLOOKUP(LEFT(B328,2),'Humanitarian codes'!$A$2:$A$10,1,FALSE)=LEFT(B328,2),"Yes","Error"),"No")</f>
        <v>Yes</v>
      </c>
    </row>
    <row r="329" spans="1:13" x14ac:dyDescent="0.25">
      <c r="A329" t="s">
        <v>2171</v>
      </c>
      <c r="B329" t="s">
        <v>2164</v>
      </c>
      <c r="C329" t="s">
        <v>2165</v>
      </c>
      <c r="D329" t="s">
        <v>30</v>
      </c>
      <c r="E329" t="s">
        <v>123</v>
      </c>
      <c r="G329">
        <v>4500355434</v>
      </c>
      <c r="H329" t="s">
        <v>12</v>
      </c>
      <c r="I329" t="s">
        <v>124</v>
      </c>
      <c r="J329" t="s">
        <v>123</v>
      </c>
      <c r="K329">
        <v>69153</v>
      </c>
      <c r="L329" s="1">
        <v>74015.399999999994</v>
      </c>
      <c r="M329" t="str">
        <f>IFERROR(IF(VLOOKUP(LEFT(B329,2),'Humanitarian codes'!$A$2:$A$10,1,FALSE)=LEFT(B329,2),"Yes","Error"),"No")</f>
        <v>Yes</v>
      </c>
    </row>
    <row r="330" spans="1:13" x14ac:dyDescent="0.25">
      <c r="A330" t="s">
        <v>2171</v>
      </c>
      <c r="B330" t="s">
        <v>1143</v>
      </c>
      <c r="C330" t="s">
        <v>1144</v>
      </c>
      <c r="D330" t="s">
        <v>30</v>
      </c>
      <c r="E330" t="s">
        <v>54</v>
      </c>
      <c r="G330">
        <v>4500357267</v>
      </c>
      <c r="H330" t="s">
        <v>12</v>
      </c>
      <c r="I330" t="s">
        <v>1248</v>
      </c>
      <c r="J330" t="s">
        <v>54</v>
      </c>
      <c r="K330">
        <v>192476</v>
      </c>
      <c r="L330" s="1">
        <v>206010.76</v>
      </c>
      <c r="M330" t="str">
        <f>IFERROR(IF(VLOOKUP(LEFT(B330,2),'Humanitarian codes'!$A$2:$A$10,1,FALSE)=LEFT(B330,2),"Yes","Error"),"No")</f>
        <v>Yes</v>
      </c>
    </row>
    <row r="331" spans="1:13" x14ac:dyDescent="0.25">
      <c r="A331" t="s">
        <v>2171</v>
      </c>
      <c r="B331" t="s">
        <v>1143</v>
      </c>
      <c r="C331" t="s">
        <v>1144</v>
      </c>
      <c r="D331" t="s">
        <v>30</v>
      </c>
      <c r="E331" t="s">
        <v>54</v>
      </c>
      <c r="G331">
        <v>4500371643</v>
      </c>
      <c r="H331" t="s">
        <v>12</v>
      </c>
      <c r="I331" t="s">
        <v>2003</v>
      </c>
      <c r="J331" t="s">
        <v>54</v>
      </c>
      <c r="K331">
        <v>82802</v>
      </c>
      <c r="L331" s="1">
        <v>88624.87</v>
      </c>
      <c r="M331" t="str">
        <f>IFERROR(IF(VLOOKUP(LEFT(B331,2),'Humanitarian codes'!$A$2:$A$10,1,FALSE)=LEFT(B331,2),"Yes","Error"),"No")</f>
        <v>Yes</v>
      </c>
    </row>
    <row r="332" spans="1:13" x14ac:dyDescent="0.25">
      <c r="A332" t="s">
        <v>2171</v>
      </c>
      <c r="B332" t="s">
        <v>1143</v>
      </c>
      <c r="C332" t="s">
        <v>1144</v>
      </c>
      <c r="D332" t="s">
        <v>30</v>
      </c>
      <c r="E332" t="s">
        <v>54</v>
      </c>
      <c r="G332">
        <v>4500377090</v>
      </c>
      <c r="H332" t="s">
        <v>12</v>
      </c>
      <c r="I332" t="s">
        <v>2004</v>
      </c>
      <c r="J332" t="s">
        <v>54</v>
      </c>
      <c r="K332">
        <v>468798</v>
      </c>
      <c r="L332" s="1">
        <v>501763.61</v>
      </c>
      <c r="M332" t="str">
        <f>IFERROR(IF(VLOOKUP(LEFT(B332,2),'Humanitarian codes'!$A$2:$A$10,1,FALSE)=LEFT(B332,2),"Yes","Error"),"No")</f>
        <v>Yes</v>
      </c>
    </row>
    <row r="333" spans="1:13" x14ac:dyDescent="0.25">
      <c r="A333" t="s">
        <v>2171</v>
      </c>
      <c r="B333" t="s">
        <v>1143</v>
      </c>
      <c r="C333" t="s">
        <v>1144</v>
      </c>
      <c r="D333" t="s">
        <v>30</v>
      </c>
      <c r="E333" t="s">
        <v>54</v>
      </c>
      <c r="G333">
        <v>4500375960</v>
      </c>
      <c r="H333" t="s">
        <v>12</v>
      </c>
      <c r="I333" t="s">
        <v>1291</v>
      </c>
      <c r="J333" t="s">
        <v>54</v>
      </c>
      <c r="K333">
        <v>157399</v>
      </c>
      <c r="L333" s="1">
        <v>168467.83</v>
      </c>
      <c r="M333" t="str">
        <f>IFERROR(IF(VLOOKUP(LEFT(B333,2),'Humanitarian codes'!$A$2:$A$10,1,FALSE)=LEFT(B333,2),"Yes","Error"),"No")</f>
        <v>Yes</v>
      </c>
    </row>
    <row r="334" spans="1:13" x14ac:dyDescent="0.25">
      <c r="A334" t="s">
        <v>2171</v>
      </c>
      <c r="B334" t="s">
        <v>2166</v>
      </c>
      <c r="C334" t="s">
        <v>2167</v>
      </c>
      <c r="D334" t="s">
        <v>30</v>
      </c>
      <c r="E334" t="s">
        <v>150</v>
      </c>
      <c r="G334">
        <v>4500367564</v>
      </c>
      <c r="H334" t="s">
        <v>12</v>
      </c>
      <c r="I334" t="s">
        <v>1982</v>
      </c>
      <c r="J334" t="s">
        <v>150</v>
      </c>
      <c r="K334">
        <v>421926</v>
      </c>
      <c r="L334" s="1">
        <v>451595.54</v>
      </c>
      <c r="M334" t="str">
        <f>IFERROR(IF(VLOOKUP(LEFT(B334,2),'Humanitarian codes'!$A$2:$A$10,1,FALSE)=LEFT(B334,2),"Yes","Error"),"No")</f>
        <v>Yes</v>
      </c>
    </row>
    <row r="335" spans="1:13" x14ac:dyDescent="0.25">
      <c r="A335" t="s">
        <v>2171</v>
      </c>
      <c r="B335" t="s">
        <v>1640</v>
      </c>
      <c r="C335" t="s">
        <v>1641</v>
      </c>
      <c r="D335" t="s">
        <v>30</v>
      </c>
      <c r="E335" t="s">
        <v>54</v>
      </c>
      <c r="G335">
        <v>4500377090</v>
      </c>
      <c r="H335" t="s">
        <v>12</v>
      </c>
      <c r="I335" t="s">
        <v>2004</v>
      </c>
      <c r="J335" t="s">
        <v>54</v>
      </c>
      <c r="K335">
        <v>468798</v>
      </c>
      <c r="L335" s="1">
        <v>501763.61</v>
      </c>
      <c r="M335" t="str">
        <f>IFERROR(IF(VLOOKUP(LEFT(B335,2),'Humanitarian codes'!$A$2:$A$10,1,FALSE)=LEFT(B335,2),"Yes","Error"),"No")</f>
        <v>Yes</v>
      </c>
    </row>
    <row r="336" spans="1:13" x14ac:dyDescent="0.25">
      <c r="A336" t="s">
        <v>2171</v>
      </c>
      <c r="B336" t="s">
        <v>1640</v>
      </c>
      <c r="C336" t="s">
        <v>1641</v>
      </c>
      <c r="D336" t="s">
        <v>30</v>
      </c>
      <c r="E336" t="s">
        <v>54</v>
      </c>
      <c r="G336">
        <v>4500376011</v>
      </c>
      <c r="H336" t="s">
        <v>12</v>
      </c>
      <c r="I336" t="s">
        <v>1291</v>
      </c>
      <c r="J336" t="s">
        <v>54</v>
      </c>
      <c r="K336">
        <v>115033</v>
      </c>
      <c r="L336" s="1">
        <v>123121.89</v>
      </c>
      <c r="M336" t="str">
        <f>IFERROR(IF(VLOOKUP(LEFT(B336,2),'Humanitarian codes'!$A$2:$A$10,1,FALSE)=LEFT(B336,2),"Yes","Error"),"No")</f>
        <v>Yes</v>
      </c>
    </row>
    <row r="337" spans="1:13" hidden="1" x14ac:dyDescent="0.25">
      <c r="A337" t="s">
        <v>2171</v>
      </c>
      <c r="B337" t="s">
        <v>2168</v>
      </c>
      <c r="C337" t="s">
        <v>2169</v>
      </c>
      <c r="D337" t="s">
        <v>9</v>
      </c>
      <c r="E337" t="s">
        <v>616</v>
      </c>
      <c r="G337">
        <v>4500364329</v>
      </c>
      <c r="H337" t="s">
        <v>12</v>
      </c>
      <c r="I337" t="s">
        <v>2170</v>
      </c>
      <c r="J337" t="s">
        <v>972</v>
      </c>
      <c r="K337">
        <v>7431</v>
      </c>
      <c r="L337" s="1">
        <v>7953.34</v>
      </c>
      <c r="M337" t="str">
        <f>IFERROR(IF(VLOOKUP(LEFT(B337,2),'Humanitarian codes'!$A$2:$A$10,1,FALSE)=LEFT(B337,2),"Yes","Error"),"No")</f>
        <v>No</v>
      </c>
    </row>
    <row r="338" spans="1:13" hidden="1" x14ac:dyDescent="0.25">
      <c r="A338" t="s">
        <v>2196</v>
      </c>
      <c r="B338" t="s">
        <v>607</v>
      </c>
      <c r="C338" t="s">
        <v>608</v>
      </c>
      <c r="D338" t="s">
        <v>543</v>
      </c>
      <c r="E338" t="s">
        <v>474</v>
      </c>
      <c r="F338" t="s">
        <v>2173</v>
      </c>
      <c r="G338">
        <v>4500336274</v>
      </c>
      <c r="H338" t="s">
        <v>2174</v>
      </c>
      <c r="I338" t="s">
        <v>1562</v>
      </c>
      <c r="J338" t="s">
        <v>474</v>
      </c>
      <c r="K338" s="2">
        <v>9948</v>
      </c>
      <c r="L338" s="2">
        <v>9948</v>
      </c>
      <c r="M338" t="str">
        <f>IFERROR(IF(VLOOKUP(LEFT(B338,2),'Humanitarian codes'!$A$2:$A$10,1,FALSE)=LEFT(B338,2),"Yes","Error"),"No")</f>
        <v>No</v>
      </c>
    </row>
    <row r="339" spans="1:13" hidden="1" x14ac:dyDescent="0.25">
      <c r="A339" t="s">
        <v>2196</v>
      </c>
      <c r="B339" t="s">
        <v>607</v>
      </c>
      <c r="C339" t="s">
        <v>608</v>
      </c>
      <c r="D339" t="s">
        <v>543</v>
      </c>
      <c r="E339" t="s">
        <v>474</v>
      </c>
      <c r="F339" t="s">
        <v>2173</v>
      </c>
      <c r="G339">
        <v>4500336276</v>
      </c>
      <c r="H339" t="s">
        <v>2174</v>
      </c>
      <c r="I339" t="s">
        <v>1561</v>
      </c>
      <c r="J339" t="s">
        <v>474</v>
      </c>
      <c r="K339" s="2">
        <v>9948</v>
      </c>
      <c r="L339" s="2">
        <v>9948</v>
      </c>
      <c r="M339" t="str">
        <f>IFERROR(IF(VLOOKUP(LEFT(B339,2),'Humanitarian codes'!$A$2:$A$10,1,FALSE)=LEFT(B339,2),"Yes","Error"),"No")</f>
        <v>No</v>
      </c>
    </row>
    <row r="340" spans="1:13" hidden="1" x14ac:dyDescent="0.25">
      <c r="A340" t="s">
        <v>2196</v>
      </c>
      <c r="B340" t="s">
        <v>1186</v>
      </c>
      <c r="C340" t="s">
        <v>1187</v>
      </c>
      <c r="D340" t="s">
        <v>30</v>
      </c>
      <c r="E340" t="s">
        <v>261</v>
      </c>
      <c r="F340" t="s">
        <v>2175</v>
      </c>
      <c r="G340">
        <v>4500326202</v>
      </c>
      <c r="H340" t="s">
        <v>713</v>
      </c>
      <c r="I340" t="s">
        <v>2176</v>
      </c>
      <c r="J340" t="s">
        <v>261</v>
      </c>
      <c r="K340" s="2">
        <v>30902</v>
      </c>
      <c r="L340" s="2">
        <v>30902</v>
      </c>
      <c r="M340" t="str">
        <f>IFERROR(IF(VLOOKUP(LEFT(B340,2),'Humanitarian codes'!$A$2:$A$10,1,FALSE)=LEFT(B340,2),"Yes","Error"),"No")</f>
        <v>No</v>
      </c>
    </row>
    <row r="341" spans="1:13" hidden="1" x14ac:dyDescent="0.25">
      <c r="A341" t="s">
        <v>2196</v>
      </c>
      <c r="B341" t="s">
        <v>1186</v>
      </c>
      <c r="C341" t="s">
        <v>1187</v>
      </c>
      <c r="D341" t="s">
        <v>30</v>
      </c>
      <c r="E341" t="s">
        <v>261</v>
      </c>
      <c r="F341" t="s">
        <v>2177</v>
      </c>
      <c r="G341">
        <v>4500328131</v>
      </c>
      <c r="H341" t="s">
        <v>713</v>
      </c>
      <c r="I341" t="s">
        <v>2178</v>
      </c>
      <c r="J341" t="s">
        <v>261</v>
      </c>
      <c r="K341" s="2">
        <v>69272</v>
      </c>
      <c r="L341" s="2">
        <v>69272</v>
      </c>
      <c r="M341" t="str">
        <f>IFERROR(IF(VLOOKUP(LEFT(B341,2),'Humanitarian codes'!$A$2:$A$10,1,FALSE)=LEFT(B341,2),"Yes","Error"),"No")</f>
        <v>No</v>
      </c>
    </row>
    <row r="342" spans="1:13" hidden="1" x14ac:dyDescent="0.25">
      <c r="A342" t="s">
        <v>2196</v>
      </c>
      <c r="B342" t="s">
        <v>1186</v>
      </c>
      <c r="C342" t="s">
        <v>1187</v>
      </c>
      <c r="D342" t="s">
        <v>30</v>
      </c>
      <c r="E342" t="s">
        <v>261</v>
      </c>
      <c r="F342" t="s">
        <v>2179</v>
      </c>
      <c r="G342">
        <v>4500328576</v>
      </c>
      <c r="H342" t="s">
        <v>713</v>
      </c>
      <c r="I342" t="s">
        <v>2180</v>
      </c>
      <c r="J342" t="s">
        <v>261</v>
      </c>
      <c r="K342" s="2">
        <v>36355</v>
      </c>
      <c r="L342" s="2">
        <v>36355</v>
      </c>
      <c r="M342" t="str">
        <f>IFERROR(IF(VLOOKUP(LEFT(B342,2),'Humanitarian codes'!$A$2:$A$10,1,FALSE)=LEFT(B342,2),"Yes","Error"),"No")</f>
        <v>No</v>
      </c>
    </row>
    <row r="343" spans="1:13" hidden="1" x14ac:dyDescent="0.25">
      <c r="A343" t="s">
        <v>2196</v>
      </c>
      <c r="B343" t="s">
        <v>1186</v>
      </c>
      <c r="C343" t="s">
        <v>1187</v>
      </c>
      <c r="D343" t="s">
        <v>30</v>
      </c>
      <c r="E343" t="s">
        <v>261</v>
      </c>
      <c r="F343" t="s">
        <v>2179</v>
      </c>
      <c r="G343">
        <v>4500328579</v>
      </c>
      <c r="H343" t="s">
        <v>713</v>
      </c>
      <c r="I343" t="s">
        <v>2181</v>
      </c>
      <c r="J343" t="s">
        <v>261</v>
      </c>
      <c r="K343" s="2">
        <v>72710</v>
      </c>
      <c r="L343" s="2">
        <v>72710</v>
      </c>
      <c r="M343" t="str">
        <f>IFERROR(IF(VLOOKUP(LEFT(B343,2),'Humanitarian codes'!$A$2:$A$10,1,FALSE)=LEFT(B343,2),"Yes","Error"),"No")</f>
        <v>No</v>
      </c>
    </row>
    <row r="344" spans="1:13" hidden="1" x14ac:dyDescent="0.25">
      <c r="A344" t="s">
        <v>2196</v>
      </c>
      <c r="B344" t="s">
        <v>1186</v>
      </c>
      <c r="C344" t="s">
        <v>1187</v>
      </c>
      <c r="D344" t="s">
        <v>30</v>
      </c>
      <c r="E344" t="s">
        <v>261</v>
      </c>
      <c r="F344" t="s">
        <v>2179</v>
      </c>
      <c r="G344">
        <v>4500328580</v>
      </c>
      <c r="H344" t="s">
        <v>713</v>
      </c>
      <c r="I344" t="s">
        <v>2182</v>
      </c>
      <c r="J344" t="s">
        <v>261</v>
      </c>
      <c r="K344" s="2">
        <v>48064</v>
      </c>
      <c r="L344" s="2">
        <v>48064</v>
      </c>
      <c r="M344" t="str">
        <f>IFERROR(IF(VLOOKUP(LEFT(B344,2),'Humanitarian codes'!$A$2:$A$10,1,FALSE)=LEFT(B344,2),"Yes","Error"),"No")</f>
        <v>No</v>
      </c>
    </row>
    <row r="345" spans="1:13" hidden="1" x14ac:dyDescent="0.25">
      <c r="A345" t="s">
        <v>2196</v>
      </c>
      <c r="B345" t="s">
        <v>1186</v>
      </c>
      <c r="C345" t="s">
        <v>1187</v>
      </c>
      <c r="D345" t="s">
        <v>30</v>
      </c>
      <c r="E345" t="s">
        <v>261</v>
      </c>
      <c r="F345" t="s">
        <v>2179</v>
      </c>
      <c r="G345">
        <v>4500328583</v>
      </c>
      <c r="H345" t="s">
        <v>713</v>
      </c>
      <c r="I345" t="s">
        <v>2183</v>
      </c>
      <c r="J345" t="s">
        <v>261</v>
      </c>
      <c r="K345" s="2">
        <v>72404</v>
      </c>
      <c r="L345" s="2">
        <v>72404</v>
      </c>
      <c r="M345" t="str">
        <f>IFERROR(IF(VLOOKUP(LEFT(B345,2),'Humanitarian codes'!$A$2:$A$10,1,FALSE)=LEFT(B345,2),"Yes","Error"),"No")</f>
        <v>No</v>
      </c>
    </row>
    <row r="346" spans="1:13" hidden="1" x14ac:dyDescent="0.25">
      <c r="A346" t="s">
        <v>2196</v>
      </c>
      <c r="B346" t="s">
        <v>1186</v>
      </c>
      <c r="C346" t="s">
        <v>1187</v>
      </c>
      <c r="D346" t="s">
        <v>30</v>
      </c>
      <c r="E346" t="s">
        <v>261</v>
      </c>
      <c r="F346" t="s">
        <v>2184</v>
      </c>
      <c r="G346">
        <v>4500328880</v>
      </c>
      <c r="H346" t="s">
        <v>713</v>
      </c>
      <c r="I346" t="s">
        <v>2185</v>
      </c>
      <c r="J346" t="s">
        <v>261</v>
      </c>
      <c r="K346" s="2">
        <v>72710</v>
      </c>
      <c r="L346" s="2">
        <v>72710</v>
      </c>
      <c r="M346" t="str">
        <f>IFERROR(IF(VLOOKUP(LEFT(B346,2),'Humanitarian codes'!$A$2:$A$10,1,FALSE)=LEFT(B346,2),"Yes","Error"),"No")</f>
        <v>No</v>
      </c>
    </row>
    <row r="347" spans="1:13" hidden="1" x14ac:dyDescent="0.25">
      <c r="A347" t="s">
        <v>2196</v>
      </c>
      <c r="B347" t="s">
        <v>1186</v>
      </c>
      <c r="C347" t="s">
        <v>1187</v>
      </c>
      <c r="D347" t="s">
        <v>30</v>
      </c>
      <c r="E347" t="s">
        <v>261</v>
      </c>
      <c r="F347" t="s">
        <v>2186</v>
      </c>
      <c r="G347">
        <v>4500328891</v>
      </c>
      <c r="H347" t="s">
        <v>713</v>
      </c>
      <c r="I347" t="s">
        <v>2187</v>
      </c>
      <c r="J347" t="s">
        <v>261</v>
      </c>
      <c r="K347" s="2">
        <v>72710</v>
      </c>
      <c r="L347" s="2">
        <v>72710</v>
      </c>
      <c r="M347" t="str">
        <f>IFERROR(IF(VLOOKUP(LEFT(B347,2),'Humanitarian codes'!$A$2:$A$10,1,FALSE)=LEFT(B347,2),"Yes","Error"),"No")</f>
        <v>No</v>
      </c>
    </row>
    <row r="348" spans="1:13" hidden="1" x14ac:dyDescent="0.25">
      <c r="A348" t="s">
        <v>2196</v>
      </c>
      <c r="B348" t="s">
        <v>1186</v>
      </c>
      <c r="C348" t="s">
        <v>1187</v>
      </c>
      <c r="D348" t="s">
        <v>30</v>
      </c>
      <c r="E348" t="s">
        <v>261</v>
      </c>
      <c r="F348" t="s">
        <v>2188</v>
      </c>
      <c r="G348">
        <v>4500328914</v>
      </c>
      <c r="H348" t="s">
        <v>713</v>
      </c>
      <c r="I348" t="s">
        <v>2189</v>
      </c>
      <c r="J348" t="s">
        <v>261</v>
      </c>
      <c r="K348" s="2">
        <v>55914</v>
      </c>
      <c r="L348" s="2">
        <v>55914</v>
      </c>
      <c r="M348" t="str">
        <f>IFERROR(IF(VLOOKUP(LEFT(B348,2),'Humanitarian codes'!$A$2:$A$10,1,FALSE)=LEFT(B348,2),"Yes","Error"),"No")</f>
        <v>No</v>
      </c>
    </row>
    <row r="349" spans="1:13" hidden="1" x14ac:dyDescent="0.25">
      <c r="A349" t="s">
        <v>2196</v>
      </c>
      <c r="B349" t="s">
        <v>1186</v>
      </c>
      <c r="C349" t="s">
        <v>1187</v>
      </c>
      <c r="D349" t="s">
        <v>30</v>
      </c>
      <c r="E349" t="s">
        <v>261</v>
      </c>
      <c r="F349" t="s">
        <v>2190</v>
      </c>
      <c r="G349">
        <v>4500330709</v>
      </c>
      <c r="H349" t="s">
        <v>713</v>
      </c>
      <c r="I349" t="s">
        <v>2191</v>
      </c>
      <c r="J349" t="s">
        <v>261</v>
      </c>
      <c r="K349" s="2">
        <v>38793</v>
      </c>
      <c r="L349" s="2">
        <v>38793</v>
      </c>
      <c r="M349" t="str">
        <f>IFERROR(IF(VLOOKUP(LEFT(B349,2),'Humanitarian codes'!$A$2:$A$10,1,FALSE)=LEFT(B349,2),"Yes","Error"),"No")</f>
        <v>No</v>
      </c>
    </row>
    <row r="350" spans="1:13" hidden="1" x14ac:dyDescent="0.25">
      <c r="A350" t="s">
        <v>2196</v>
      </c>
      <c r="B350" t="s">
        <v>1186</v>
      </c>
      <c r="C350" t="s">
        <v>1187</v>
      </c>
      <c r="D350" t="s">
        <v>30</v>
      </c>
      <c r="E350" t="s">
        <v>261</v>
      </c>
      <c r="F350" t="s">
        <v>2192</v>
      </c>
      <c r="G350">
        <v>4500330712</v>
      </c>
      <c r="H350" t="s">
        <v>713</v>
      </c>
      <c r="I350" t="s">
        <v>2193</v>
      </c>
      <c r="J350" t="s">
        <v>261</v>
      </c>
      <c r="K350" s="2">
        <v>35763</v>
      </c>
      <c r="L350" s="2">
        <v>35763</v>
      </c>
      <c r="M350" t="str">
        <f>IFERROR(IF(VLOOKUP(LEFT(B350,2),'Humanitarian codes'!$A$2:$A$10,1,FALSE)=LEFT(B350,2),"Yes","Error"),"No")</f>
        <v>No</v>
      </c>
    </row>
    <row r="351" spans="1:13" hidden="1" x14ac:dyDescent="0.25">
      <c r="A351" t="s">
        <v>2196</v>
      </c>
      <c r="B351" t="s">
        <v>1186</v>
      </c>
      <c r="C351" t="s">
        <v>1187</v>
      </c>
      <c r="D351" t="s">
        <v>30</v>
      </c>
      <c r="E351" t="s">
        <v>261</v>
      </c>
      <c r="F351" t="s">
        <v>2194</v>
      </c>
      <c r="G351">
        <v>4500330734</v>
      </c>
      <c r="H351" t="s">
        <v>713</v>
      </c>
      <c r="I351" t="s">
        <v>2195</v>
      </c>
      <c r="J351" t="s">
        <v>261</v>
      </c>
      <c r="K351" s="2">
        <v>58163</v>
      </c>
      <c r="L351" s="2">
        <v>58163</v>
      </c>
      <c r="M351" t="str">
        <f>IFERROR(IF(VLOOKUP(LEFT(B351,2),'Humanitarian codes'!$A$2:$A$10,1,FALSE)=LEFT(B351,2),"Yes","Error"),"No")</f>
        <v>No</v>
      </c>
    </row>
    <row r="352" spans="1:13" x14ac:dyDescent="0.25">
      <c r="A352" t="s">
        <v>2196</v>
      </c>
      <c r="B352" t="s">
        <v>2198</v>
      </c>
      <c r="C352" t="s">
        <v>2199</v>
      </c>
      <c r="D352" t="s">
        <v>30</v>
      </c>
      <c r="E352" t="s">
        <v>940</v>
      </c>
      <c r="F352" t="s">
        <v>2200</v>
      </c>
      <c r="G352">
        <v>4500332030</v>
      </c>
      <c r="H352" t="s">
        <v>12</v>
      </c>
      <c r="I352" t="s">
        <v>1259</v>
      </c>
      <c r="J352" t="s">
        <v>940</v>
      </c>
      <c r="K352" s="2">
        <v>17577</v>
      </c>
      <c r="L352" s="2">
        <v>117180</v>
      </c>
      <c r="M352" t="str">
        <f>IFERROR(IF(VLOOKUP(LEFT(B352,2),'Humanitarian codes'!$A$2:$A$10,1,FALSE)=LEFT(B352,2),"Yes","Error"),"No")</f>
        <v>Yes</v>
      </c>
    </row>
    <row r="353" spans="1:13" x14ac:dyDescent="0.25">
      <c r="A353" t="s">
        <v>2196</v>
      </c>
      <c r="B353" t="s">
        <v>2198</v>
      </c>
      <c r="C353" t="s">
        <v>2199</v>
      </c>
      <c r="D353" t="s">
        <v>30</v>
      </c>
      <c r="E353" t="s">
        <v>940</v>
      </c>
      <c r="F353" t="s">
        <v>2200</v>
      </c>
      <c r="G353">
        <v>4500332036</v>
      </c>
      <c r="H353" t="s">
        <v>12</v>
      </c>
      <c r="I353" t="s">
        <v>2201</v>
      </c>
      <c r="J353" t="s">
        <v>940</v>
      </c>
      <c r="K353" s="2">
        <v>17390</v>
      </c>
      <c r="L353" s="2">
        <v>115930</v>
      </c>
      <c r="M353" t="str">
        <f>IFERROR(IF(VLOOKUP(LEFT(B353,2),'Humanitarian codes'!$A$2:$A$10,1,FALSE)=LEFT(B353,2),"Yes","Error"),"No")</f>
        <v>Yes</v>
      </c>
    </row>
    <row r="354" spans="1:13" x14ac:dyDescent="0.25">
      <c r="A354" t="s">
        <v>2196</v>
      </c>
      <c r="B354" t="s">
        <v>2198</v>
      </c>
      <c r="C354" t="s">
        <v>2199</v>
      </c>
      <c r="D354" t="s">
        <v>30</v>
      </c>
      <c r="E354" t="s">
        <v>940</v>
      </c>
      <c r="F354" t="s">
        <v>2200</v>
      </c>
      <c r="G354">
        <v>4500332042</v>
      </c>
      <c r="H354" t="s">
        <v>12</v>
      </c>
      <c r="I354" t="s">
        <v>1260</v>
      </c>
      <c r="J354" t="s">
        <v>940</v>
      </c>
      <c r="K354" s="2">
        <v>16232</v>
      </c>
      <c r="L354" s="2">
        <v>108213</v>
      </c>
      <c r="M354" t="str">
        <f>IFERROR(IF(VLOOKUP(LEFT(B354,2),'Humanitarian codes'!$A$2:$A$10,1,FALSE)=LEFT(B354,2),"Yes","Error"),"No")</f>
        <v>Yes</v>
      </c>
    </row>
    <row r="355" spans="1:13" x14ac:dyDescent="0.25">
      <c r="A355" t="s">
        <v>2196</v>
      </c>
      <c r="B355" t="s">
        <v>2198</v>
      </c>
      <c r="C355" t="s">
        <v>2199</v>
      </c>
      <c r="D355" t="s">
        <v>30</v>
      </c>
      <c r="E355" t="s">
        <v>940</v>
      </c>
      <c r="F355" t="s">
        <v>2200</v>
      </c>
      <c r="G355">
        <v>4500332045</v>
      </c>
      <c r="H355" t="s">
        <v>12</v>
      </c>
      <c r="I355" t="s">
        <v>1260</v>
      </c>
      <c r="J355" t="s">
        <v>940</v>
      </c>
      <c r="K355" s="2">
        <v>15864</v>
      </c>
      <c r="L355" s="2">
        <v>105760</v>
      </c>
      <c r="M355" t="str">
        <f>IFERROR(IF(VLOOKUP(LEFT(B355,2),'Humanitarian codes'!$A$2:$A$10,1,FALSE)=LEFT(B355,2),"Yes","Error"),"No")</f>
        <v>Yes</v>
      </c>
    </row>
    <row r="356" spans="1:13" x14ac:dyDescent="0.25">
      <c r="A356" t="s">
        <v>2196</v>
      </c>
      <c r="B356" t="s">
        <v>2202</v>
      </c>
      <c r="C356" t="s">
        <v>2203</v>
      </c>
      <c r="D356" t="s">
        <v>30</v>
      </c>
      <c r="E356" t="s">
        <v>175</v>
      </c>
      <c r="F356" t="s">
        <v>2204</v>
      </c>
      <c r="G356">
        <v>4500344022</v>
      </c>
      <c r="H356" t="s">
        <v>12</v>
      </c>
      <c r="I356" t="s">
        <v>183</v>
      </c>
      <c r="J356" t="s">
        <v>184</v>
      </c>
      <c r="K356" s="2">
        <v>58628</v>
      </c>
      <c r="L356" s="2">
        <v>292894</v>
      </c>
      <c r="M356" t="str">
        <f>IFERROR(IF(VLOOKUP(LEFT(B356,2),'Humanitarian codes'!$A$2:$A$10,1,FALSE)=LEFT(B356,2),"Yes","Error"),"No")</f>
        <v>Yes</v>
      </c>
    </row>
    <row r="357" spans="1:13" x14ac:dyDescent="0.25">
      <c r="A357" t="s">
        <v>2196</v>
      </c>
      <c r="B357" t="s">
        <v>2202</v>
      </c>
      <c r="C357" t="s">
        <v>2203</v>
      </c>
      <c r="D357" t="s">
        <v>30</v>
      </c>
      <c r="E357" t="s">
        <v>175</v>
      </c>
      <c r="F357" t="s">
        <v>2205</v>
      </c>
      <c r="G357">
        <v>4500347926</v>
      </c>
      <c r="H357" t="s">
        <v>12</v>
      </c>
      <c r="I357" t="s">
        <v>887</v>
      </c>
      <c r="J357" t="s">
        <v>175</v>
      </c>
      <c r="K357" s="2">
        <v>29022</v>
      </c>
      <c r="L357" s="2">
        <v>145108</v>
      </c>
      <c r="M357" t="str">
        <f>IFERROR(IF(VLOOKUP(LEFT(B357,2),'Humanitarian codes'!$A$2:$A$10,1,FALSE)=LEFT(B357,2),"Yes","Error"),"No")</f>
        <v>Yes</v>
      </c>
    </row>
    <row r="358" spans="1:13" x14ac:dyDescent="0.25">
      <c r="A358" t="s">
        <v>2196</v>
      </c>
      <c r="B358" t="s">
        <v>1913</v>
      </c>
      <c r="C358" t="s">
        <v>1914</v>
      </c>
      <c r="D358" t="s">
        <v>30</v>
      </c>
      <c r="E358" t="s">
        <v>226</v>
      </c>
      <c r="F358" t="s">
        <v>2206</v>
      </c>
      <c r="G358">
        <v>4500350515</v>
      </c>
      <c r="H358" t="s">
        <v>12</v>
      </c>
      <c r="I358" t="s">
        <v>842</v>
      </c>
      <c r="J358" t="s">
        <v>226</v>
      </c>
      <c r="K358" s="2">
        <v>132349</v>
      </c>
      <c r="L358" s="2">
        <v>132349</v>
      </c>
      <c r="M358" t="str">
        <f>IFERROR(IF(VLOOKUP(LEFT(B358,2),'Humanitarian codes'!$A$2:$A$10,1,FALSE)=LEFT(B358,2),"Yes","Error"),"No")</f>
        <v>Yes</v>
      </c>
    </row>
    <row r="359" spans="1:13" hidden="1" x14ac:dyDescent="0.25">
      <c r="A359" t="s">
        <v>2196</v>
      </c>
      <c r="B359" t="s">
        <v>2207</v>
      </c>
      <c r="C359" t="s">
        <v>2208</v>
      </c>
      <c r="D359" t="s">
        <v>9</v>
      </c>
      <c r="E359" t="s">
        <v>1048</v>
      </c>
      <c r="F359" t="s">
        <v>2200</v>
      </c>
      <c r="G359">
        <v>4500340135</v>
      </c>
      <c r="H359" t="s">
        <v>12</v>
      </c>
      <c r="I359" t="s">
        <v>1049</v>
      </c>
      <c r="J359" t="s">
        <v>1048</v>
      </c>
      <c r="K359" s="2">
        <v>11966</v>
      </c>
      <c r="L359" s="2">
        <v>11966</v>
      </c>
      <c r="M359" t="str">
        <f>IFERROR(IF(VLOOKUP(LEFT(B359,2),'Humanitarian codes'!$A$2:$A$10,1,FALSE)=LEFT(B359,2),"Yes","Error"),"No")</f>
        <v>No</v>
      </c>
    </row>
    <row r="360" spans="1:13" hidden="1" x14ac:dyDescent="0.25">
      <c r="A360" t="s">
        <v>2196</v>
      </c>
      <c r="B360" t="s">
        <v>2209</v>
      </c>
      <c r="C360" t="s">
        <v>2210</v>
      </c>
      <c r="D360" t="s">
        <v>9</v>
      </c>
      <c r="E360" t="s">
        <v>924</v>
      </c>
      <c r="F360" t="s">
        <v>2211</v>
      </c>
      <c r="G360">
        <v>4500335999</v>
      </c>
      <c r="H360" t="s">
        <v>12</v>
      </c>
      <c r="I360" t="s">
        <v>2212</v>
      </c>
      <c r="J360" t="s">
        <v>1377</v>
      </c>
      <c r="K360" s="2">
        <v>10000</v>
      </c>
      <c r="L360" s="2">
        <v>10000</v>
      </c>
      <c r="M360" t="str">
        <f>IFERROR(IF(VLOOKUP(LEFT(B360,2),'Humanitarian codes'!$A$2:$A$10,1,FALSE)=LEFT(B360,2),"Yes","Error"),"No")</f>
        <v>No</v>
      </c>
    </row>
    <row r="361" spans="1:13" hidden="1" x14ac:dyDescent="0.25">
      <c r="A361" t="s">
        <v>2196</v>
      </c>
      <c r="B361" t="s">
        <v>2209</v>
      </c>
      <c r="C361" t="s">
        <v>2210</v>
      </c>
      <c r="D361" t="s">
        <v>9</v>
      </c>
      <c r="E361" t="s">
        <v>924</v>
      </c>
      <c r="F361" t="s">
        <v>2213</v>
      </c>
      <c r="G361">
        <v>4500336019</v>
      </c>
      <c r="H361" t="s">
        <v>12</v>
      </c>
      <c r="I361" t="s">
        <v>2214</v>
      </c>
      <c r="J361" t="s">
        <v>1377</v>
      </c>
      <c r="K361" s="2">
        <v>10000</v>
      </c>
      <c r="L361" s="2">
        <v>10000</v>
      </c>
      <c r="M361" t="str">
        <f>IFERROR(IF(VLOOKUP(LEFT(B361,2),'Humanitarian codes'!$A$2:$A$10,1,FALSE)=LEFT(B361,2),"Yes","Error"),"No")</f>
        <v>No</v>
      </c>
    </row>
    <row r="362" spans="1:13" hidden="1" x14ac:dyDescent="0.25">
      <c r="A362" t="s">
        <v>2196</v>
      </c>
      <c r="B362" t="s">
        <v>2209</v>
      </c>
      <c r="C362" t="s">
        <v>2210</v>
      </c>
      <c r="D362" t="s">
        <v>9</v>
      </c>
      <c r="E362" t="s">
        <v>924</v>
      </c>
      <c r="F362" t="s">
        <v>2215</v>
      </c>
      <c r="G362">
        <v>4500337067</v>
      </c>
      <c r="H362" t="s">
        <v>12</v>
      </c>
      <c r="I362" t="s">
        <v>2216</v>
      </c>
      <c r="J362" t="s">
        <v>1377</v>
      </c>
      <c r="K362" s="2">
        <v>10000</v>
      </c>
      <c r="L362" s="2">
        <v>10000</v>
      </c>
      <c r="M362" t="str">
        <f>IFERROR(IF(VLOOKUP(LEFT(B362,2),'Humanitarian codes'!$A$2:$A$10,1,FALSE)=LEFT(B362,2),"Yes","Error"),"No")</f>
        <v>No</v>
      </c>
    </row>
    <row r="363" spans="1:13" hidden="1" x14ac:dyDescent="0.25">
      <c r="A363" t="s">
        <v>2196</v>
      </c>
      <c r="B363" t="s">
        <v>2209</v>
      </c>
      <c r="C363" t="s">
        <v>2210</v>
      </c>
      <c r="D363" t="s">
        <v>9</v>
      </c>
      <c r="E363" t="s">
        <v>924</v>
      </c>
      <c r="F363" t="s">
        <v>2217</v>
      </c>
      <c r="G363">
        <v>4500351813</v>
      </c>
      <c r="H363" t="s">
        <v>12</v>
      </c>
      <c r="I363" t="s">
        <v>2218</v>
      </c>
      <c r="J363" t="s">
        <v>924</v>
      </c>
      <c r="K363" s="2">
        <v>4000</v>
      </c>
      <c r="L363" s="2">
        <v>4000</v>
      </c>
      <c r="M363" t="str">
        <f>IFERROR(IF(VLOOKUP(LEFT(B363,2),'Humanitarian codes'!$A$2:$A$10,1,FALSE)=LEFT(B363,2),"Yes","Error"),"No")</f>
        <v>No</v>
      </c>
    </row>
    <row r="364" spans="1:13" hidden="1" x14ac:dyDescent="0.25">
      <c r="A364" t="s">
        <v>2196</v>
      </c>
      <c r="B364" t="s">
        <v>2219</v>
      </c>
      <c r="C364" t="s">
        <v>2220</v>
      </c>
      <c r="D364" t="s">
        <v>9</v>
      </c>
      <c r="E364" t="s">
        <v>20</v>
      </c>
      <c r="F364" t="s">
        <v>2221</v>
      </c>
      <c r="G364">
        <v>4500338086</v>
      </c>
      <c r="H364" t="s">
        <v>12</v>
      </c>
      <c r="I364" t="s">
        <v>21</v>
      </c>
      <c r="J364" t="s">
        <v>20</v>
      </c>
      <c r="K364" s="2">
        <v>181637</v>
      </c>
      <c r="L364" s="2">
        <v>181637</v>
      </c>
      <c r="M364" t="str">
        <f>IFERROR(IF(VLOOKUP(LEFT(B364,2),'Humanitarian codes'!$A$2:$A$10,1,FALSE)=LEFT(B364,2),"Yes","Error"),"No")</f>
        <v>No</v>
      </c>
    </row>
    <row r="365" spans="1:13" hidden="1" x14ac:dyDescent="0.25">
      <c r="A365" t="s">
        <v>2196</v>
      </c>
      <c r="B365" t="s">
        <v>8</v>
      </c>
      <c r="C365" t="s">
        <v>10</v>
      </c>
      <c r="D365" t="s">
        <v>9</v>
      </c>
      <c r="E365" t="s">
        <v>11</v>
      </c>
      <c r="F365" t="s">
        <v>2200</v>
      </c>
      <c r="G365">
        <v>4500349799</v>
      </c>
      <c r="H365" t="s">
        <v>12</v>
      </c>
      <c r="I365" t="s">
        <v>1662</v>
      </c>
      <c r="J365" t="s">
        <v>11</v>
      </c>
      <c r="K365" s="2">
        <v>300795</v>
      </c>
      <c r="L365" s="2">
        <v>300795</v>
      </c>
      <c r="M365" t="str">
        <f>IFERROR(IF(VLOOKUP(LEFT(B365,2),'Humanitarian codes'!$A$2:$A$10,1,FALSE)=LEFT(B365,2),"Yes","Error"),"No")</f>
        <v>No</v>
      </c>
    </row>
    <row r="366" spans="1:13" hidden="1" x14ac:dyDescent="0.25">
      <c r="A366" t="s">
        <v>2196</v>
      </c>
      <c r="B366" t="s">
        <v>8</v>
      </c>
      <c r="C366" t="s">
        <v>10</v>
      </c>
      <c r="D366" t="s">
        <v>9</v>
      </c>
      <c r="E366" t="s">
        <v>11</v>
      </c>
      <c r="F366" t="s">
        <v>2200</v>
      </c>
      <c r="G366">
        <v>4500350055</v>
      </c>
      <c r="H366" t="s">
        <v>12</v>
      </c>
      <c r="I366" t="s">
        <v>1660</v>
      </c>
      <c r="J366" t="s">
        <v>11</v>
      </c>
      <c r="K366" s="2">
        <v>272338</v>
      </c>
      <c r="L366" s="2">
        <v>272338</v>
      </c>
      <c r="M366" t="str">
        <f>IFERROR(IF(VLOOKUP(LEFT(B366,2),'Humanitarian codes'!$A$2:$A$10,1,FALSE)=LEFT(B366,2),"Yes","Error"),"No")</f>
        <v>No</v>
      </c>
    </row>
    <row r="367" spans="1:13" hidden="1" x14ac:dyDescent="0.25">
      <c r="A367" t="s">
        <v>2196</v>
      </c>
      <c r="B367" t="s">
        <v>8</v>
      </c>
      <c r="C367" t="s">
        <v>10</v>
      </c>
      <c r="D367" t="s">
        <v>9</v>
      </c>
      <c r="E367" t="s">
        <v>11</v>
      </c>
      <c r="F367" t="s">
        <v>2200</v>
      </c>
      <c r="G367">
        <v>4500351335</v>
      </c>
      <c r="H367" t="s">
        <v>12</v>
      </c>
      <c r="I367" t="s">
        <v>1661</v>
      </c>
      <c r="J367" t="s">
        <v>11</v>
      </c>
      <c r="K367" s="2">
        <v>336633</v>
      </c>
      <c r="L367" s="2">
        <v>336633</v>
      </c>
      <c r="M367" t="str">
        <f>IFERROR(IF(VLOOKUP(LEFT(B367,2),'Humanitarian codes'!$A$2:$A$10,1,FALSE)=LEFT(B367,2),"Yes","Error"),"No")</f>
        <v>No</v>
      </c>
    </row>
    <row r="368" spans="1:13" hidden="1" x14ac:dyDescent="0.25">
      <c r="A368" t="s">
        <v>2196</v>
      </c>
      <c r="B368" t="s">
        <v>8</v>
      </c>
      <c r="C368" t="s">
        <v>10</v>
      </c>
      <c r="D368" t="s">
        <v>9</v>
      </c>
      <c r="E368" t="s">
        <v>11</v>
      </c>
      <c r="F368" t="s">
        <v>2200</v>
      </c>
      <c r="G368">
        <v>4500351378</v>
      </c>
      <c r="H368" t="s">
        <v>12</v>
      </c>
      <c r="I368" t="s">
        <v>1659</v>
      </c>
      <c r="J368" t="s">
        <v>11</v>
      </c>
      <c r="K368" s="2">
        <v>430206</v>
      </c>
      <c r="L368" s="2">
        <v>430206</v>
      </c>
      <c r="M368" t="str">
        <f>IFERROR(IF(VLOOKUP(LEFT(B368,2),'Humanitarian codes'!$A$2:$A$10,1,FALSE)=LEFT(B368,2),"Yes","Error"),"No")</f>
        <v>No</v>
      </c>
    </row>
    <row r="369" spans="1:13" hidden="1" x14ac:dyDescent="0.25">
      <c r="A369" t="s">
        <v>2196</v>
      </c>
      <c r="B369" t="s">
        <v>1916</v>
      </c>
      <c r="C369" t="s">
        <v>1917</v>
      </c>
      <c r="D369" t="s">
        <v>9</v>
      </c>
      <c r="E369" t="s">
        <v>1278</v>
      </c>
      <c r="F369" t="s">
        <v>2222</v>
      </c>
      <c r="G369">
        <v>4500347490</v>
      </c>
      <c r="H369" t="s">
        <v>12</v>
      </c>
      <c r="I369" t="s">
        <v>1476</v>
      </c>
      <c r="J369" t="s">
        <v>1278</v>
      </c>
      <c r="K369" s="2">
        <v>55373</v>
      </c>
      <c r="L369" s="2">
        <v>55373</v>
      </c>
      <c r="M369" t="str">
        <f>IFERROR(IF(VLOOKUP(LEFT(B369,2),'Humanitarian codes'!$A$2:$A$10,1,FALSE)=LEFT(B369,2),"Yes","Error"),"No")</f>
        <v>No</v>
      </c>
    </row>
    <row r="370" spans="1:13" hidden="1" x14ac:dyDescent="0.25">
      <c r="A370" t="s">
        <v>2196</v>
      </c>
      <c r="B370" t="s">
        <v>1916</v>
      </c>
      <c r="C370" t="s">
        <v>1917</v>
      </c>
      <c r="D370" t="s">
        <v>9</v>
      </c>
      <c r="E370" t="s">
        <v>205</v>
      </c>
      <c r="F370" t="s">
        <v>2223</v>
      </c>
      <c r="G370">
        <v>4500340948</v>
      </c>
      <c r="H370" t="s">
        <v>12</v>
      </c>
      <c r="I370" t="s">
        <v>878</v>
      </c>
      <c r="J370" t="s">
        <v>205</v>
      </c>
      <c r="K370" s="2">
        <v>8000</v>
      </c>
      <c r="L370" s="2">
        <v>101000</v>
      </c>
      <c r="M370" t="str">
        <f>IFERROR(IF(VLOOKUP(LEFT(B370,2),'Humanitarian codes'!$A$2:$A$10,1,FALSE)=LEFT(B370,2),"Yes","Error"),"No")</f>
        <v>No</v>
      </c>
    </row>
    <row r="371" spans="1:13" hidden="1" x14ac:dyDescent="0.25">
      <c r="A371" t="s">
        <v>2196</v>
      </c>
      <c r="B371" t="s">
        <v>1916</v>
      </c>
      <c r="C371" t="s">
        <v>1917</v>
      </c>
      <c r="D371" t="s">
        <v>9</v>
      </c>
      <c r="E371" t="s">
        <v>676</v>
      </c>
      <c r="F371" t="s">
        <v>2224</v>
      </c>
      <c r="G371">
        <v>4500347070</v>
      </c>
      <c r="H371" t="s">
        <v>12</v>
      </c>
      <c r="I371" t="s">
        <v>1625</v>
      </c>
      <c r="J371" t="s">
        <v>676</v>
      </c>
      <c r="K371" s="2">
        <v>100000</v>
      </c>
      <c r="L371" s="2">
        <v>100000</v>
      </c>
      <c r="M371" t="str">
        <f>IFERROR(IF(VLOOKUP(LEFT(B371,2),'Humanitarian codes'!$A$2:$A$10,1,FALSE)=LEFT(B371,2),"Yes","Error"),"No")</f>
        <v>No</v>
      </c>
    </row>
    <row r="372" spans="1:13" hidden="1" x14ac:dyDescent="0.25">
      <c r="A372" t="s">
        <v>2196</v>
      </c>
      <c r="B372" t="s">
        <v>1916</v>
      </c>
      <c r="C372" t="s">
        <v>1917</v>
      </c>
      <c r="D372" t="s">
        <v>9</v>
      </c>
      <c r="E372" t="s">
        <v>676</v>
      </c>
      <c r="F372" t="s">
        <v>2225</v>
      </c>
      <c r="G372">
        <v>4500347229</v>
      </c>
      <c r="H372" t="s">
        <v>12</v>
      </c>
      <c r="I372" t="s">
        <v>1834</v>
      </c>
      <c r="J372" t="s">
        <v>751</v>
      </c>
      <c r="K372" s="2">
        <v>10000</v>
      </c>
      <c r="L372" s="2">
        <v>10000</v>
      </c>
      <c r="M372" t="str">
        <f>IFERROR(IF(VLOOKUP(LEFT(B372,2),'Humanitarian codes'!$A$2:$A$10,1,FALSE)=LEFT(B372,2),"Yes","Error"),"No")</f>
        <v>No</v>
      </c>
    </row>
    <row r="373" spans="1:13" hidden="1" x14ac:dyDescent="0.25">
      <c r="A373" t="s">
        <v>2196</v>
      </c>
      <c r="B373" t="s">
        <v>2226</v>
      </c>
      <c r="C373" t="s">
        <v>2227</v>
      </c>
      <c r="D373" t="s">
        <v>30</v>
      </c>
      <c r="E373" t="s">
        <v>493</v>
      </c>
      <c r="F373" t="s">
        <v>2228</v>
      </c>
      <c r="G373">
        <v>4500339396</v>
      </c>
      <c r="H373" t="s">
        <v>12</v>
      </c>
      <c r="I373" t="s">
        <v>2229</v>
      </c>
      <c r="J373" t="s">
        <v>493</v>
      </c>
      <c r="K373" s="2">
        <v>33101</v>
      </c>
      <c r="L373" s="2">
        <v>33101</v>
      </c>
      <c r="M373" t="str">
        <f>IFERROR(IF(VLOOKUP(LEFT(B373,2),'Humanitarian codes'!$A$2:$A$10,1,FALSE)=LEFT(B373,2),"Yes","Error"),"No")</f>
        <v>No</v>
      </c>
    </row>
    <row r="374" spans="1:13" hidden="1" x14ac:dyDescent="0.25">
      <c r="A374" t="s">
        <v>2196</v>
      </c>
      <c r="B374" t="s">
        <v>2226</v>
      </c>
      <c r="C374" t="s">
        <v>2227</v>
      </c>
      <c r="D374" t="s">
        <v>30</v>
      </c>
      <c r="E374" t="s">
        <v>493</v>
      </c>
      <c r="F374" t="s">
        <v>2230</v>
      </c>
      <c r="G374">
        <v>4500339410</v>
      </c>
      <c r="H374" t="s">
        <v>12</v>
      </c>
      <c r="I374" t="s">
        <v>2231</v>
      </c>
      <c r="J374" t="s">
        <v>493</v>
      </c>
      <c r="K374" s="2">
        <v>54092</v>
      </c>
      <c r="L374" s="2">
        <v>54092</v>
      </c>
      <c r="M374" t="str">
        <f>IFERROR(IF(VLOOKUP(LEFT(B374,2),'Humanitarian codes'!$A$2:$A$10,1,FALSE)=LEFT(B374,2),"Yes","Error"),"No")</f>
        <v>No</v>
      </c>
    </row>
    <row r="375" spans="1:13" hidden="1" x14ac:dyDescent="0.25">
      <c r="A375" t="s">
        <v>2196</v>
      </c>
      <c r="B375" t="s">
        <v>2226</v>
      </c>
      <c r="C375" t="s">
        <v>2227</v>
      </c>
      <c r="D375" t="s">
        <v>30</v>
      </c>
      <c r="E375" t="s">
        <v>493</v>
      </c>
      <c r="F375" t="s">
        <v>2232</v>
      </c>
      <c r="G375">
        <v>4500340572</v>
      </c>
      <c r="H375" t="s">
        <v>12</v>
      </c>
      <c r="I375" t="s">
        <v>2233</v>
      </c>
      <c r="J375" t="s">
        <v>20</v>
      </c>
      <c r="K375" s="2">
        <v>43683</v>
      </c>
      <c r="L375" s="2">
        <v>43683</v>
      </c>
      <c r="M375" t="str">
        <f>IFERROR(IF(VLOOKUP(LEFT(B375,2),'Humanitarian codes'!$A$2:$A$10,1,FALSE)=LEFT(B375,2),"Yes","Error"),"No")</f>
        <v>No</v>
      </c>
    </row>
    <row r="376" spans="1:13" hidden="1" x14ac:dyDescent="0.25">
      <c r="A376" t="s">
        <v>2196</v>
      </c>
      <c r="B376" t="s">
        <v>1186</v>
      </c>
      <c r="C376" t="s">
        <v>1187</v>
      </c>
      <c r="D376" t="s">
        <v>30</v>
      </c>
      <c r="E376" t="s">
        <v>261</v>
      </c>
      <c r="F376" t="s">
        <v>2234</v>
      </c>
      <c r="G376">
        <v>4500326241</v>
      </c>
      <c r="H376" t="s">
        <v>12</v>
      </c>
      <c r="I376" t="s">
        <v>2235</v>
      </c>
      <c r="J376" t="s">
        <v>261</v>
      </c>
      <c r="K376" s="2">
        <v>193892</v>
      </c>
      <c r="L376" s="2">
        <v>193892</v>
      </c>
      <c r="M376" t="str">
        <f>IFERROR(IF(VLOOKUP(LEFT(B376,2),'Humanitarian codes'!$A$2:$A$10,1,FALSE)=LEFT(B376,2),"Yes","Error"),"No")</f>
        <v>No</v>
      </c>
    </row>
    <row r="377" spans="1:13" hidden="1" x14ac:dyDescent="0.25">
      <c r="A377" t="s">
        <v>2196</v>
      </c>
      <c r="B377" t="s">
        <v>1186</v>
      </c>
      <c r="C377" t="s">
        <v>1187</v>
      </c>
      <c r="D377" t="s">
        <v>30</v>
      </c>
      <c r="E377" t="s">
        <v>261</v>
      </c>
      <c r="F377" t="s">
        <v>2236</v>
      </c>
      <c r="G377">
        <v>4500335696</v>
      </c>
      <c r="H377" t="s">
        <v>12</v>
      </c>
      <c r="I377" t="s">
        <v>784</v>
      </c>
      <c r="J377" t="s">
        <v>261</v>
      </c>
      <c r="K377" s="2">
        <v>173160</v>
      </c>
      <c r="L377" s="2">
        <v>173160</v>
      </c>
      <c r="M377" t="str">
        <f>IFERROR(IF(VLOOKUP(LEFT(B377,2),'Humanitarian codes'!$A$2:$A$10,1,FALSE)=LEFT(B377,2),"Yes","Error"),"No")</f>
        <v>No</v>
      </c>
    </row>
    <row r="378" spans="1:13" hidden="1" x14ac:dyDescent="0.25">
      <c r="A378" t="s">
        <v>2196</v>
      </c>
      <c r="B378" t="s">
        <v>762</v>
      </c>
      <c r="C378" t="s">
        <v>763</v>
      </c>
      <c r="D378" t="s">
        <v>30</v>
      </c>
      <c r="E378" t="s">
        <v>663</v>
      </c>
      <c r="F378" t="s">
        <v>2237</v>
      </c>
      <c r="G378">
        <v>4500333956</v>
      </c>
      <c r="H378" t="s">
        <v>12</v>
      </c>
      <c r="I378" t="s">
        <v>2238</v>
      </c>
      <c r="J378" t="s">
        <v>663</v>
      </c>
      <c r="K378" s="2">
        <v>100166</v>
      </c>
      <c r="L378" s="2">
        <v>100166</v>
      </c>
      <c r="M378" t="str">
        <f>IFERROR(IF(VLOOKUP(LEFT(B378,2),'Humanitarian codes'!$A$2:$A$10,1,FALSE)=LEFT(B378,2),"Yes","Error"),"No")</f>
        <v>No</v>
      </c>
    </row>
    <row r="379" spans="1:13" hidden="1" x14ac:dyDescent="0.25">
      <c r="A379" t="s">
        <v>2196</v>
      </c>
      <c r="B379" t="s">
        <v>762</v>
      </c>
      <c r="C379" t="s">
        <v>763</v>
      </c>
      <c r="D379" t="s">
        <v>30</v>
      </c>
      <c r="E379" t="s">
        <v>663</v>
      </c>
      <c r="F379" t="s">
        <v>2239</v>
      </c>
      <c r="G379">
        <v>4500340635</v>
      </c>
      <c r="H379" t="s">
        <v>12</v>
      </c>
      <c r="I379" t="s">
        <v>2240</v>
      </c>
      <c r="J379" t="s">
        <v>663</v>
      </c>
      <c r="K379" s="2">
        <v>181020</v>
      </c>
      <c r="L379" s="2">
        <v>181020</v>
      </c>
      <c r="M379" t="str">
        <f>IFERROR(IF(VLOOKUP(LEFT(B379,2),'Humanitarian codes'!$A$2:$A$10,1,FALSE)=LEFT(B379,2),"Yes","Error"),"No")</f>
        <v>No</v>
      </c>
    </row>
    <row r="380" spans="1:13" hidden="1" x14ac:dyDescent="0.25">
      <c r="A380" t="s">
        <v>2196</v>
      </c>
      <c r="B380" t="s">
        <v>762</v>
      </c>
      <c r="C380" t="s">
        <v>763</v>
      </c>
      <c r="D380" t="s">
        <v>30</v>
      </c>
      <c r="E380" t="s">
        <v>663</v>
      </c>
      <c r="F380" t="s">
        <v>2241</v>
      </c>
      <c r="G380">
        <v>4500340661</v>
      </c>
      <c r="H380" t="s">
        <v>12</v>
      </c>
      <c r="I380" t="s">
        <v>2242</v>
      </c>
      <c r="J380" t="s">
        <v>663</v>
      </c>
      <c r="K380" s="2">
        <v>110999</v>
      </c>
      <c r="L380" s="2">
        <v>110999</v>
      </c>
      <c r="M380" t="str">
        <f>IFERROR(IF(VLOOKUP(LEFT(B380,2),'Humanitarian codes'!$A$2:$A$10,1,FALSE)=LEFT(B380,2),"Yes","Error"),"No")</f>
        <v>No</v>
      </c>
    </row>
    <row r="381" spans="1:13" hidden="1" x14ac:dyDescent="0.25">
      <c r="A381" t="s">
        <v>2196</v>
      </c>
      <c r="B381" t="s">
        <v>1193</v>
      </c>
      <c r="C381" t="s">
        <v>1194</v>
      </c>
      <c r="D381" t="s">
        <v>30</v>
      </c>
      <c r="E381" t="s">
        <v>83</v>
      </c>
      <c r="F381" t="s">
        <v>2243</v>
      </c>
      <c r="G381">
        <v>4500338125</v>
      </c>
      <c r="H381" t="s">
        <v>12</v>
      </c>
      <c r="I381" t="s">
        <v>85</v>
      </c>
      <c r="J381" t="s">
        <v>83</v>
      </c>
      <c r="K381" s="2">
        <v>124999</v>
      </c>
      <c r="L381" s="2">
        <v>199999</v>
      </c>
      <c r="M381" t="str">
        <f>IFERROR(IF(VLOOKUP(LEFT(B381,2),'Humanitarian codes'!$A$2:$A$10,1,FALSE)=LEFT(B381,2),"Yes","Error"),"No")</f>
        <v>No</v>
      </c>
    </row>
    <row r="382" spans="1:13" hidden="1" x14ac:dyDescent="0.25">
      <c r="A382" t="s">
        <v>2196</v>
      </c>
      <c r="B382" t="s">
        <v>1193</v>
      </c>
      <c r="C382" t="s">
        <v>1194</v>
      </c>
      <c r="D382" t="s">
        <v>30</v>
      </c>
      <c r="E382" t="s">
        <v>83</v>
      </c>
      <c r="F382" t="s">
        <v>2244</v>
      </c>
      <c r="G382">
        <v>4500339759</v>
      </c>
      <c r="H382" t="s">
        <v>12</v>
      </c>
      <c r="I382" t="s">
        <v>2245</v>
      </c>
      <c r="J382" t="s">
        <v>1423</v>
      </c>
      <c r="K382" s="2">
        <v>62195</v>
      </c>
      <c r="L382" s="2">
        <v>138827</v>
      </c>
      <c r="M382" t="str">
        <f>IFERROR(IF(VLOOKUP(LEFT(B382,2),'Humanitarian codes'!$A$2:$A$10,1,FALSE)=LEFT(B382,2),"Yes","Error"),"No")</f>
        <v>No</v>
      </c>
    </row>
    <row r="383" spans="1:13" hidden="1" x14ac:dyDescent="0.25">
      <c r="A383" t="s">
        <v>2196</v>
      </c>
      <c r="B383" t="s">
        <v>1213</v>
      </c>
      <c r="C383" t="s">
        <v>1214</v>
      </c>
      <c r="D383" t="s">
        <v>30</v>
      </c>
      <c r="E383" t="s">
        <v>20</v>
      </c>
      <c r="F383" t="s">
        <v>2246</v>
      </c>
      <c r="G383">
        <v>4500328398</v>
      </c>
      <c r="H383" t="s">
        <v>12</v>
      </c>
      <c r="I383" t="s">
        <v>2247</v>
      </c>
      <c r="J383" t="s">
        <v>20</v>
      </c>
      <c r="K383" s="2">
        <v>250352</v>
      </c>
      <c r="L383" s="2">
        <v>250352</v>
      </c>
      <c r="M383" t="str">
        <f>IFERROR(IF(VLOOKUP(LEFT(B383,2),'Humanitarian codes'!$A$2:$A$10,1,FALSE)=LEFT(B383,2),"Yes","Error"),"No")</f>
        <v>No</v>
      </c>
    </row>
    <row r="384" spans="1:13" hidden="1" x14ac:dyDescent="0.25">
      <c r="A384" t="s">
        <v>2196</v>
      </c>
      <c r="B384" t="s">
        <v>1213</v>
      </c>
      <c r="C384" t="s">
        <v>1214</v>
      </c>
      <c r="D384" t="s">
        <v>30</v>
      </c>
      <c r="E384" t="s">
        <v>20</v>
      </c>
      <c r="F384" t="s">
        <v>2248</v>
      </c>
      <c r="G384">
        <v>4500328442</v>
      </c>
      <c r="H384" t="s">
        <v>12</v>
      </c>
      <c r="I384" t="s">
        <v>2249</v>
      </c>
      <c r="J384" t="s">
        <v>20</v>
      </c>
      <c r="K384" s="2">
        <v>250352</v>
      </c>
      <c r="L384" s="2">
        <v>250352</v>
      </c>
      <c r="M384" t="str">
        <f>IFERROR(IF(VLOOKUP(LEFT(B384,2),'Humanitarian codes'!$A$2:$A$10,1,FALSE)=LEFT(B384,2),"Yes","Error"),"No")</f>
        <v>No</v>
      </c>
    </row>
    <row r="385" spans="1:13" hidden="1" x14ac:dyDescent="0.25">
      <c r="A385" t="s">
        <v>2196</v>
      </c>
      <c r="B385" t="s">
        <v>1213</v>
      </c>
      <c r="C385" t="s">
        <v>1214</v>
      </c>
      <c r="D385" t="s">
        <v>30</v>
      </c>
      <c r="E385" t="s">
        <v>20</v>
      </c>
      <c r="F385" t="s">
        <v>2250</v>
      </c>
      <c r="G385">
        <v>4500328462</v>
      </c>
      <c r="H385" t="s">
        <v>12</v>
      </c>
      <c r="I385" t="s">
        <v>2251</v>
      </c>
      <c r="J385" t="s">
        <v>20</v>
      </c>
      <c r="K385" s="2">
        <v>250352</v>
      </c>
      <c r="L385" s="2">
        <v>250352</v>
      </c>
      <c r="M385" t="str">
        <f>IFERROR(IF(VLOOKUP(LEFT(B385,2),'Humanitarian codes'!$A$2:$A$10,1,FALSE)=LEFT(B385,2),"Yes","Error"),"No")</f>
        <v>No</v>
      </c>
    </row>
    <row r="386" spans="1:13" hidden="1" x14ac:dyDescent="0.25">
      <c r="A386" t="s">
        <v>2196</v>
      </c>
      <c r="B386" t="s">
        <v>1215</v>
      </c>
      <c r="C386" t="s">
        <v>1216</v>
      </c>
      <c r="D386" t="s">
        <v>30</v>
      </c>
      <c r="E386" t="s">
        <v>128</v>
      </c>
      <c r="F386" t="s">
        <v>2252</v>
      </c>
      <c r="G386">
        <v>4500332651</v>
      </c>
      <c r="H386" t="s">
        <v>12</v>
      </c>
      <c r="I386" t="s">
        <v>2253</v>
      </c>
      <c r="J386" t="s">
        <v>128</v>
      </c>
      <c r="K386" s="2">
        <v>97000</v>
      </c>
      <c r="L386" s="2">
        <v>97000</v>
      </c>
      <c r="M386" t="str">
        <f>IFERROR(IF(VLOOKUP(LEFT(B386,2),'Humanitarian codes'!$A$2:$A$10,1,FALSE)=LEFT(B386,2),"Yes","Error"),"No")</f>
        <v>No</v>
      </c>
    </row>
    <row r="387" spans="1:13" hidden="1" x14ac:dyDescent="0.25">
      <c r="A387" t="s">
        <v>2196</v>
      </c>
      <c r="B387" t="s">
        <v>2254</v>
      </c>
      <c r="C387" t="s">
        <v>2255</v>
      </c>
      <c r="D387" t="s">
        <v>30</v>
      </c>
      <c r="E387" t="s">
        <v>128</v>
      </c>
      <c r="F387" t="s">
        <v>2256</v>
      </c>
      <c r="G387">
        <v>4500326140</v>
      </c>
      <c r="H387" t="s">
        <v>12</v>
      </c>
      <c r="I387" t="s">
        <v>599</v>
      </c>
      <c r="J387" t="s">
        <v>128</v>
      </c>
      <c r="K387" s="2">
        <v>60000</v>
      </c>
      <c r="L387" s="2">
        <v>60000</v>
      </c>
      <c r="M387" t="str">
        <f>IFERROR(IF(VLOOKUP(LEFT(B387,2),'Humanitarian codes'!$A$2:$A$10,1,FALSE)=LEFT(B387,2),"Yes","Error"),"No")</f>
        <v>No</v>
      </c>
    </row>
    <row r="388" spans="1:13" hidden="1" x14ac:dyDescent="0.25">
      <c r="A388" t="s">
        <v>2196</v>
      </c>
      <c r="B388" t="s">
        <v>2254</v>
      </c>
      <c r="C388" t="s">
        <v>2255</v>
      </c>
      <c r="D388" t="s">
        <v>30</v>
      </c>
      <c r="E388" t="s">
        <v>128</v>
      </c>
      <c r="F388" t="s">
        <v>2257</v>
      </c>
      <c r="G388">
        <v>4500326142</v>
      </c>
      <c r="H388" t="s">
        <v>12</v>
      </c>
      <c r="I388" t="s">
        <v>571</v>
      </c>
      <c r="J388" t="s">
        <v>128</v>
      </c>
      <c r="K388" s="2">
        <v>62500</v>
      </c>
      <c r="L388" s="2">
        <v>62500</v>
      </c>
      <c r="M388" t="str">
        <f>IFERROR(IF(VLOOKUP(LEFT(B388,2),'Humanitarian codes'!$A$2:$A$10,1,FALSE)=LEFT(B388,2),"Yes","Error"),"No")</f>
        <v>No</v>
      </c>
    </row>
    <row r="389" spans="1:13" hidden="1" x14ac:dyDescent="0.25">
      <c r="A389" t="s">
        <v>2196</v>
      </c>
      <c r="B389" t="s">
        <v>2254</v>
      </c>
      <c r="C389" t="s">
        <v>2255</v>
      </c>
      <c r="D389" t="s">
        <v>30</v>
      </c>
      <c r="E389" t="s">
        <v>128</v>
      </c>
      <c r="F389" t="s">
        <v>2258</v>
      </c>
      <c r="G389">
        <v>4500341874</v>
      </c>
      <c r="H389" t="s">
        <v>12</v>
      </c>
      <c r="I389" t="s">
        <v>2259</v>
      </c>
      <c r="J389" t="s">
        <v>128</v>
      </c>
      <c r="K389" s="2">
        <v>30000</v>
      </c>
      <c r="L389" s="2">
        <v>30000</v>
      </c>
      <c r="M389" t="str">
        <f>IFERROR(IF(VLOOKUP(LEFT(B389,2),'Humanitarian codes'!$A$2:$A$10,1,FALSE)=LEFT(B389,2),"Yes","Error"),"No")</f>
        <v>No</v>
      </c>
    </row>
    <row r="390" spans="1:13" hidden="1" x14ac:dyDescent="0.25">
      <c r="A390" t="s">
        <v>2196</v>
      </c>
      <c r="B390" t="s">
        <v>1221</v>
      </c>
      <c r="C390" t="s">
        <v>1222</v>
      </c>
      <c r="D390" t="s">
        <v>30</v>
      </c>
      <c r="E390" t="s">
        <v>54</v>
      </c>
      <c r="F390" t="s">
        <v>2260</v>
      </c>
      <c r="G390">
        <v>4500335656</v>
      </c>
      <c r="H390" t="s">
        <v>12</v>
      </c>
      <c r="I390" t="s">
        <v>2261</v>
      </c>
      <c r="J390" t="s">
        <v>54</v>
      </c>
      <c r="K390" s="2">
        <v>58390</v>
      </c>
      <c r="L390" s="2">
        <v>58390</v>
      </c>
      <c r="M390" t="str">
        <f>IFERROR(IF(VLOOKUP(LEFT(B390,2),'Humanitarian codes'!$A$2:$A$10,1,FALSE)=LEFT(B390,2),"Yes","Error"),"No")</f>
        <v>No</v>
      </c>
    </row>
    <row r="391" spans="1:13" hidden="1" x14ac:dyDescent="0.25">
      <c r="A391" t="s">
        <v>2196</v>
      </c>
      <c r="B391" t="s">
        <v>1221</v>
      </c>
      <c r="C391" t="s">
        <v>1222</v>
      </c>
      <c r="D391" t="s">
        <v>30</v>
      </c>
      <c r="E391" t="s">
        <v>54</v>
      </c>
      <c r="F391" t="s">
        <v>2262</v>
      </c>
      <c r="G391">
        <v>4500336840</v>
      </c>
      <c r="H391" t="s">
        <v>12</v>
      </c>
      <c r="I391" t="s">
        <v>2263</v>
      </c>
      <c r="J391" t="s">
        <v>54</v>
      </c>
      <c r="K391" s="2">
        <v>92416</v>
      </c>
      <c r="L391" s="2">
        <v>92416</v>
      </c>
      <c r="M391" t="str">
        <f>IFERROR(IF(VLOOKUP(LEFT(B391,2),'Humanitarian codes'!$A$2:$A$10,1,FALSE)=LEFT(B391,2),"Yes","Error"),"No")</f>
        <v>No</v>
      </c>
    </row>
    <row r="392" spans="1:13" hidden="1" x14ac:dyDescent="0.25">
      <c r="A392" t="s">
        <v>2196</v>
      </c>
      <c r="B392" t="s">
        <v>1221</v>
      </c>
      <c r="C392" t="s">
        <v>1222</v>
      </c>
      <c r="D392" t="s">
        <v>30</v>
      </c>
      <c r="E392" t="s">
        <v>54</v>
      </c>
      <c r="F392" t="s">
        <v>2264</v>
      </c>
      <c r="G392">
        <v>4500337180</v>
      </c>
      <c r="H392" t="s">
        <v>12</v>
      </c>
      <c r="I392" t="s">
        <v>2265</v>
      </c>
      <c r="J392" t="s">
        <v>54</v>
      </c>
      <c r="K392" s="2">
        <v>97283</v>
      </c>
      <c r="L392" s="2">
        <v>97283</v>
      </c>
      <c r="M392" t="str">
        <f>IFERROR(IF(VLOOKUP(LEFT(B392,2),'Humanitarian codes'!$A$2:$A$10,1,FALSE)=LEFT(B392,2),"Yes","Error"),"No")</f>
        <v>No</v>
      </c>
    </row>
    <row r="393" spans="1:13" hidden="1" x14ac:dyDescent="0.25">
      <c r="A393" t="s">
        <v>2196</v>
      </c>
      <c r="B393" t="s">
        <v>1221</v>
      </c>
      <c r="C393" t="s">
        <v>1222</v>
      </c>
      <c r="D393" t="s">
        <v>30</v>
      </c>
      <c r="E393" t="s">
        <v>54</v>
      </c>
      <c r="F393" t="s">
        <v>2266</v>
      </c>
      <c r="G393">
        <v>4500337196</v>
      </c>
      <c r="H393" t="s">
        <v>12</v>
      </c>
      <c r="I393" t="s">
        <v>2267</v>
      </c>
      <c r="J393" t="s">
        <v>54</v>
      </c>
      <c r="K393" s="2">
        <v>97297</v>
      </c>
      <c r="L393" s="2">
        <v>97297</v>
      </c>
      <c r="M393" t="str">
        <f>IFERROR(IF(VLOOKUP(LEFT(B393,2),'Humanitarian codes'!$A$2:$A$10,1,FALSE)=LEFT(B393,2),"Yes","Error"),"No")</f>
        <v>No</v>
      </c>
    </row>
    <row r="394" spans="1:13" hidden="1" x14ac:dyDescent="0.25">
      <c r="A394" t="s">
        <v>2196</v>
      </c>
      <c r="B394" t="s">
        <v>1221</v>
      </c>
      <c r="C394" t="s">
        <v>1222</v>
      </c>
      <c r="D394" t="s">
        <v>30</v>
      </c>
      <c r="E394" t="s">
        <v>54</v>
      </c>
      <c r="F394" t="s">
        <v>2268</v>
      </c>
      <c r="G394">
        <v>4500345506</v>
      </c>
      <c r="H394" t="s">
        <v>12</v>
      </c>
      <c r="I394" t="s">
        <v>2269</v>
      </c>
      <c r="J394" t="s">
        <v>54</v>
      </c>
      <c r="K394" s="2">
        <v>11234</v>
      </c>
      <c r="L394" s="2">
        <v>58834</v>
      </c>
      <c r="M394" t="str">
        <f>IFERROR(IF(VLOOKUP(LEFT(B394,2),'Humanitarian codes'!$A$2:$A$10,1,FALSE)=LEFT(B394,2),"Yes","Error"),"No")</f>
        <v>No</v>
      </c>
    </row>
    <row r="395" spans="1:13" hidden="1" x14ac:dyDescent="0.25">
      <c r="A395" t="s">
        <v>2196</v>
      </c>
      <c r="B395" t="s">
        <v>1221</v>
      </c>
      <c r="C395" t="s">
        <v>1222</v>
      </c>
      <c r="D395" t="s">
        <v>30</v>
      </c>
      <c r="E395" t="s">
        <v>54</v>
      </c>
      <c r="F395" t="s">
        <v>2270</v>
      </c>
      <c r="G395">
        <v>4500348210</v>
      </c>
      <c r="H395" t="s">
        <v>12</v>
      </c>
      <c r="I395" t="s">
        <v>1571</v>
      </c>
      <c r="J395" t="s">
        <v>54</v>
      </c>
      <c r="K395" s="2">
        <v>10432</v>
      </c>
      <c r="L395" s="2">
        <v>10432</v>
      </c>
      <c r="M395" t="str">
        <f>IFERROR(IF(VLOOKUP(LEFT(B395,2),'Humanitarian codes'!$A$2:$A$10,1,FALSE)=LEFT(B395,2),"Yes","Error"),"No")</f>
        <v>No</v>
      </c>
    </row>
    <row r="396" spans="1:13" hidden="1" x14ac:dyDescent="0.25">
      <c r="A396" t="s">
        <v>2196</v>
      </c>
      <c r="B396" t="s">
        <v>2271</v>
      </c>
      <c r="C396" t="s">
        <v>2272</v>
      </c>
      <c r="D396" t="s">
        <v>30</v>
      </c>
      <c r="E396" t="s">
        <v>903</v>
      </c>
      <c r="F396" t="s">
        <v>2273</v>
      </c>
      <c r="G396">
        <v>4500351498</v>
      </c>
      <c r="H396" t="s">
        <v>12</v>
      </c>
      <c r="I396" t="s">
        <v>2274</v>
      </c>
      <c r="J396" t="s">
        <v>903</v>
      </c>
      <c r="K396" s="2">
        <v>18793</v>
      </c>
      <c r="L396" s="2">
        <v>18793</v>
      </c>
      <c r="M396" t="str">
        <f>IFERROR(IF(VLOOKUP(LEFT(B396,2),'Humanitarian codes'!$A$2:$A$10,1,FALSE)=LEFT(B396,2),"Yes","Error"),"No")</f>
        <v>No</v>
      </c>
    </row>
    <row r="397" spans="1:13" hidden="1" x14ac:dyDescent="0.25">
      <c r="A397" t="s">
        <v>2196</v>
      </c>
      <c r="B397" t="s">
        <v>1224</v>
      </c>
      <c r="C397" t="s">
        <v>1225</v>
      </c>
      <c r="D397" t="s">
        <v>30</v>
      </c>
      <c r="E397" t="s">
        <v>128</v>
      </c>
      <c r="F397" t="s">
        <v>2275</v>
      </c>
      <c r="G397">
        <v>4500340760</v>
      </c>
      <c r="H397" t="s">
        <v>12</v>
      </c>
      <c r="I397" t="s">
        <v>565</v>
      </c>
      <c r="J397" t="s">
        <v>128</v>
      </c>
      <c r="K397" s="2">
        <v>60000</v>
      </c>
      <c r="L397" s="2">
        <v>60000</v>
      </c>
      <c r="M397" t="str">
        <f>IFERROR(IF(VLOOKUP(LEFT(B397,2),'Humanitarian codes'!$A$2:$A$10,1,FALSE)=LEFT(B397,2),"Yes","Error"),"No")</f>
        <v>No</v>
      </c>
    </row>
    <row r="398" spans="1:13" hidden="1" x14ac:dyDescent="0.25">
      <c r="A398" t="s">
        <v>2196</v>
      </c>
      <c r="B398" t="s">
        <v>1224</v>
      </c>
      <c r="C398" t="s">
        <v>1225</v>
      </c>
      <c r="D398" t="s">
        <v>30</v>
      </c>
      <c r="E398" t="s">
        <v>128</v>
      </c>
      <c r="F398" t="s">
        <v>2276</v>
      </c>
      <c r="G398">
        <v>4500340769</v>
      </c>
      <c r="H398" t="s">
        <v>12</v>
      </c>
      <c r="I398" t="s">
        <v>2277</v>
      </c>
      <c r="J398" t="s">
        <v>128</v>
      </c>
      <c r="K398" s="2">
        <v>60000</v>
      </c>
      <c r="L398" s="2">
        <v>60000</v>
      </c>
      <c r="M398" t="str">
        <f>IFERROR(IF(VLOOKUP(LEFT(B398,2),'Humanitarian codes'!$A$2:$A$10,1,FALSE)=LEFT(B398,2),"Yes","Error"),"No")</f>
        <v>No</v>
      </c>
    </row>
    <row r="399" spans="1:13" hidden="1" x14ac:dyDescent="0.25">
      <c r="A399" t="s">
        <v>2196</v>
      </c>
      <c r="B399" t="s">
        <v>1224</v>
      </c>
      <c r="C399" t="s">
        <v>1225</v>
      </c>
      <c r="D399" t="s">
        <v>30</v>
      </c>
      <c r="E399" t="s">
        <v>128</v>
      </c>
      <c r="F399" t="s">
        <v>2278</v>
      </c>
      <c r="G399">
        <v>4500341855</v>
      </c>
      <c r="H399" t="s">
        <v>12</v>
      </c>
      <c r="I399" t="s">
        <v>2279</v>
      </c>
      <c r="J399" t="s">
        <v>128</v>
      </c>
      <c r="K399" s="2">
        <v>30000</v>
      </c>
      <c r="L399" s="2">
        <v>30000</v>
      </c>
      <c r="M399" t="str">
        <f>IFERROR(IF(VLOOKUP(LEFT(B399,2),'Humanitarian codes'!$A$2:$A$10,1,FALSE)=LEFT(B399,2),"Yes","Error"),"No")</f>
        <v>No</v>
      </c>
    </row>
    <row r="400" spans="1:13" hidden="1" x14ac:dyDescent="0.25">
      <c r="A400" t="s">
        <v>2196</v>
      </c>
      <c r="B400" t="s">
        <v>1224</v>
      </c>
      <c r="C400" t="s">
        <v>1225</v>
      </c>
      <c r="D400" t="s">
        <v>30</v>
      </c>
      <c r="E400" t="s">
        <v>128</v>
      </c>
      <c r="F400" t="s">
        <v>2280</v>
      </c>
      <c r="G400">
        <v>4500341979</v>
      </c>
      <c r="H400" t="s">
        <v>12</v>
      </c>
      <c r="I400" t="s">
        <v>2281</v>
      </c>
      <c r="J400" t="s">
        <v>128</v>
      </c>
      <c r="K400" s="2">
        <v>30000</v>
      </c>
      <c r="L400" s="2">
        <v>30000</v>
      </c>
      <c r="M400" t="str">
        <f>IFERROR(IF(VLOOKUP(LEFT(B400,2),'Humanitarian codes'!$A$2:$A$10,1,FALSE)=LEFT(B400,2),"Yes","Error"),"No")</f>
        <v>No</v>
      </c>
    </row>
    <row r="401" spans="1:13" hidden="1" x14ac:dyDescent="0.25">
      <c r="A401" t="s">
        <v>2196</v>
      </c>
      <c r="B401" t="s">
        <v>1224</v>
      </c>
      <c r="C401" t="s">
        <v>1225</v>
      </c>
      <c r="D401" t="s">
        <v>30</v>
      </c>
      <c r="E401" t="s">
        <v>128</v>
      </c>
      <c r="F401" t="s">
        <v>2282</v>
      </c>
      <c r="G401">
        <v>4500342140</v>
      </c>
      <c r="H401" t="s">
        <v>12</v>
      </c>
      <c r="I401" t="s">
        <v>2283</v>
      </c>
      <c r="J401" t="s">
        <v>128</v>
      </c>
      <c r="K401" s="2">
        <v>30000</v>
      </c>
      <c r="L401" s="2">
        <v>30000</v>
      </c>
      <c r="M401" t="str">
        <f>IFERROR(IF(VLOOKUP(LEFT(B401,2),'Humanitarian codes'!$A$2:$A$10,1,FALSE)=LEFT(B401,2),"Yes","Error"),"No")</f>
        <v>No</v>
      </c>
    </row>
    <row r="402" spans="1:13" hidden="1" x14ac:dyDescent="0.25">
      <c r="A402" t="s">
        <v>2196</v>
      </c>
      <c r="B402" t="s">
        <v>1224</v>
      </c>
      <c r="C402" t="s">
        <v>1225</v>
      </c>
      <c r="D402" t="s">
        <v>30</v>
      </c>
      <c r="E402" t="s">
        <v>128</v>
      </c>
      <c r="F402" t="s">
        <v>2284</v>
      </c>
      <c r="G402">
        <v>4500342418</v>
      </c>
      <c r="H402" t="s">
        <v>12</v>
      </c>
      <c r="I402" t="s">
        <v>601</v>
      </c>
      <c r="J402" t="s">
        <v>128</v>
      </c>
      <c r="K402" s="2">
        <v>30000</v>
      </c>
      <c r="L402" s="2">
        <v>30000</v>
      </c>
      <c r="M402" t="str">
        <f>IFERROR(IF(VLOOKUP(LEFT(B402,2),'Humanitarian codes'!$A$2:$A$10,1,FALSE)=LEFT(B402,2),"Yes","Error"),"No")</f>
        <v>No</v>
      </c>
    </row>
    <row r="403" spans="1:13" hidden="1" x14ac:dyDescent="0.25">
      <c r="A403" t="s">
        <v>2196</v>
      </c>
      <c r="B403" t="s">
        <v>1224</v>
      </c>
      <c r="C403" t="s">
        <v>1225</v>
      </c>
      <c r="D403" t="s">
        <v>30</v>
      </c>
      <c r="E403" t="s">
        <v>128</v>
      </c>
      <c r="F403" t="s">
        <v>2285</v>
      </c>
      <c r="G403">
        <v>4500343287</v>
      </c>
      <c r="H403" t="s">
        <v>12</v>
      </c>
      <c r="I403" t="s">
        <v>2286</v>
      </c>
      <c r="J403" t="s">
        <v>128</v>
      </c>
      <c r="K403" s="2">
        <v>30000</v>
      </c>
      <c r="L403" s="2">
        <v>30000</v>
      </c>
      <c r="M403" t="str">
        <f>IFERROR(IF(VLOOKUP(LEFT(B403,2),'Humanitarian codes'!$A$2:$A$10,1,FALSE)=LEFT(B403,2),"Yes","Error"),"No")</f>
        <v>No</v>
      </c>
    </row>
    <row r="404" spans="1:13" hidden="1" x14ac:dyDescent="0.25">
      <c r="A404" t="s">
        <v>2196</v>
      </c>
      <c r="B404" t="s">
        <v>1224</v>
      </c>
      <c r="C404" t="s">
        <v>1225</v>
      </c>
      <c r="D404" t="s">
        <v>30</v>
      </c>
      <c r="E404" t="s">
        <v>128</v>
      </c>
      <c r="F404" t="s">
        <v>2287</v>
      </c>
      <c r="G404">
        <v>4500343304</v>
      </c>
      <c r="H404" t="s">
        <v>12</v>
      </c>
      <c r="I404" t="s">
        <v>2288</v>
      </c>
      <c r="J404" t="s">
        <v>128</v>
      </c>
      <c r="K404" s="2">
        <v>30000</v>
      </c>
      <c r="L404" s="2">
        <v>30000</v>
      </c>
      <c r="M404" t="str">
        <f>IFERROR(IF(VLOOKUP(LEFT(B404,2),'Humanitarian codes'!$A$2:$A$10,1,FALSE)=LEFT(B404,2),"Yes","Error"),"No")</f>
        <v>No</v>
      </c>
    </row>
    <row r="405" spans="1:13" hidden="1" x14ac:dyDescent="0.25">
      <c r="A405" t="s">
        <v>2196</v>
      </c>
      <c r="B405" t="s">
        <v>1224</v>
      </c>
      <c r="C405" t="s">
        <v>1225</v>
      </c>
      <c r="D405" t="s">
        <v>30</v>
      </c>
      <c r="E405" t="s">
        <v>128</v>
      </c>
      <c r="F405" t="s">
        <v>2289</v>
      </c>
      <c r="G405">
        <v>4500346711</v>
      </c>
      <c r="H405" t="s">
        <v>12</v>
      </c>
      <c r="I405" t="s">
        <v>2290</v>
      </c>
      <c r="J405" t="s">
        <v>128</v>
      </c>
      <c r="K405" s="2">
        <v>30000</v>
      </c>
      <c r="L405" s="2">
        <v>30000</v>
      </c>
      <c r="M405" t="str">
        <f>IFERROR(IF(VLOOKUP(LEFT(B405,2),'Humanitarian codes'!$A$2:$A$10,1,FALSE)=LEFT(B405,2),"Yes","Error"),"No")</f>
        <v>No</v>
      </c>
    </row>
    <row r="406" spans="1:13" hidden="1" x14ac:dyDescent="0.25">
      <c r="A406" t="s">
        <v>2196</v>
      </c>
      <c r="B406" t="s">
        <v>1224</v>
      </c>
      <c r="C406" t="s">
        <v>1225</v>
      </c>
      <c r="D406" t="s">
        <v>30</v>
      </c>
      <c r="E406" t="s">
        <v>128</v>
      </c>
      <c r="F406" t="s">
        <v>2291</v>
      </c>
      <c r="G406">
        <v>4500347953</v>
      </c>
      <c r="H406" t="s">
        <v>12</v>
      </c>
      <c r="I406" t="s">
        <v>2292</v>
      </c>
      <c r="J406" t="s">
        <v>128</v>
      </c>
      <c r="K406" s="2">
        <v>30000</v>
      </c>
      <c r="L406" s="2">
        <v>30000</v>
      </c>
      <c r="M406" t="str">
        <f>IFERROR(IF(VLOOKUP(LEFT(B406,2),'Humanitarian codes'!$A$2:$A$10,1,FALSE)=LEFT(B406,2),"Yes","Error"),"No")</f>
        <v>No</v>
      </c>
    </row>
    <row r="407" spans="1:13" hidden="1" x14ac:dyDescent="0.25">
      <c r="A407" t="s">
        <v>2196</v>
      </c>
      <c r="B407" t="s">
        <v>1939</v>
      </c>
      <c r="C407" t="s">
        <v>1940</v>
      </c>
      <c r="D407" t="s">
        <v>30</v>
      </c>
      <c r="E407" t="s">
        <v>261</v>
      </c>
      <c r="F407" t="s">
        <v>2293</v>
      </c>
      <c r="G407">
        <v>4500349303</v>
      </c>
      <c r="H407" t="s">
        <v>12</v>
      </c>
      <c r="I407" t="s">
        <v>788</v>
      </c>
      <c r="J407" t="s">
        <v>261</v>
      </c>
      <c r="K407" s="2">
        <v>72147</v>
      </c>
      <c r="L407" s="2">
        <v>93072</v>
      </c>
      <c r="M407" t="str">
        <f>IFERROR(IF(VLOOKUP(LEFT(B407,2),'Humanitarian codes'!$A$2:$A$10,1,FALSE)=LEFT(B407,2),"Yes","Error"),"No")</f>
        <v>No</v>
      </c>
    </row>
    <row r="408" spans="1:13" hidden="1" x14ac:dyDescent="0.25">
      <c r="A408" t="s">
        <v>2196</v>
      </c>
      <c r="B408" t="s">
        <v>2294</v>
      </c>
      <c r="C408" t="s">
        <v>2295</v>
      </c>
      <c r="D408" t="s">
        <v>543</v>
      </c>
      <c r="E408" t="s">
        <v>163</v>
      </c>
      <c r="F408" t="s">
        <v>2296</v>
      </c>
      <c r="G408">
        <v>4500328238</v>
      </c>
      <c r="H408" t="s">
        <v>12</v>
      </c>
      <c r="I408" t="s">
        <v>2297</v>
      </c>
      <c r="J408" t="s">
        <v>163</v>
      </c>
      <c r="K408" s="2">
        <v>103577</v>
      </c>
      <c r="L408" s="2">
        <v>103577</v>
      </c>
      <c r="M408" t="str">
        <f>IFERROR(IF(VLOOKUP(LEFT(B408,2),'Humanitarian codes'!$A$2:$A$10,1,FALSE)=LEFT(B408,2),"Yes","Error"),"No")</f>
        <v>No</v>
      </c>
    </row>
    <row r="409" spans="1:13" x14ac:dyDescent="0.25">
      <c r="A409" t="s">
        <v>2196</v>
      </c>
      <c r="B409" t="s">
        <v>2298</v>
      </c>
      <c r="C409" t="s">
        <v>2299</v>
      </c>
      <c r="D409" t="s">
        <v>30</v>
      </c>
      <c r="E409" t="s">
        <v>1166</v>
      </c>
      <c r="F409" t="s">
        <v>2300</v>
      </c>
      <c r="G409">
        <v>4500341324</v>
      </c>
      <c r="H409" t="s">
        <v>12</v>
      </c>
      <c r="I409" t="s">
        <v>2301</v>
      </c>
      <c r="J409" t="s">
        <v>1166</v>
      </c>
      <c r="K409" s="2">
        <v>16124</v>
      </c>
      <c r="L409" s="2">
        <v>16124</v>
      </c>
      <c r="M409" t="str">
        <f>IFERROR(IF(VLOOKUP(LEFT(B409,2),'Humanitarian codes'!$A$2:$A$10,1,FALSE)=LEFT(B409,2),"Yes","Error"),"No")</f>
        <v>Yes</v>
      </c>
    </row>
    <row r="410" spans="1:13" x14ac:dyDescent="0.25">
      <c r="A410" t="s">
        <v>2196</v>
      </c>
      <c r="B410" t="s">
        <v>2298</v>
      </c>
      <c r="C410" t="s">
        <v>2299</v>
      </c>
      <c r="D410" t="s">
        <v>30</v>
      </c>
      <c r="E410" t="s">
        <v>1166</v>
      </c>
      <c r="F410" t="s">
        <v>2302</v>
      </c>
      <c r="G410">
        <v>4500341332</v>
      </c>
      <c r="H410" t="s">
        <v>12</v>
      </c>
      <c r="I410" t="s">
        <v>2303</v>
      </c>
      <c r="J410" t="s">
        <v>1166</v>
      </c>
      <c r="K410" s="2">
        <v>10124</v>
      </c>
      <c r="L410" s="2">
        <v>10124</v>
      </c>
      <c r="M410" t="str">
        <f>IFERROR(IF(VLOOKUP(LEFT(B410,2),'Humanitarian codes'!$A$2:$A$10,1,FALSE)=LEFT(B410,2),"Yes","Error"),"No")</f>
        <v>Yes</v>
      </c>
    </row>
    <row r="411" spans="1:13" x14ac:dyDescent="0.25">
      <c r="A411" t="s">
        <v>2196</v>
      </c>
      <c r="B411" t="s">
        <v>66</v>
      </c>
      <c r="C411" t="s">
        <v>67</v>
      </c>
      <c r="D411" t="s">
        <v>30</v>
      </c>
      <c r="E411" t="s">
        <v>1166</v>
      </c>
      <c r="F411" t="s">
        <v>2304</v>
      </c>
      <c r="G411">
        <v>4500342660</v>
      </c>
      <c r="H411" t="s">
        <v>12</v>
      </c>
      <c r="I411" t="s">
        <v>2305</v>
      </c>
      <c r="J411" t="s">
        <v>1166</v>
      </c>
      <c r="K411" s="2">
        <v>819558</v>
      </c>
      <c r="L411" s="2">
        <v>819558</v>
      </c>
      <c r="M411" t="str">
        <f>IFERROR(IF(VLOOKUP(LEFT(B411,2),'Humanitarian codes'!$A$2:$A$10,1,FALSE)=LEFT(B411,2),"Yes","Error"),"No")</f>
        <v>Yes</v>
      </c>
    </row>
    <row r="412" spans="1:13" x14ac:dyDescent="0.25">
      <c r="A412" t="s">
        <v>2196</v>
      </c>
      <c r="B412" t="s">
        <v>66</v>
      </c>
      <c r="C412" t="s">
        <v>67</v>
      </c>
      <c r="D412" t="s">
        <v>30</v>
      </c>
      <c r="E412" t="s">
        <v>1166</v>
      </c>
      <c r="F412" t="s">
        <v>2306</v>
      </c>
      <c r="G412">
        <v>4500344593</v>
      </c>
      <c r="H412" t="s">
        <v>12</v>
      </c>
      <c r="I412" t="s">
        <v>2307</v>
      </c>
      <c r="J412" t="s">
        <v>1166</v>
      </c>
      <c r="K412" s="2">
        <v>52949</v>
      </c>
      <c r="L412" s="2">
        <v>52949</v>
      </c>
      <c r="M412" t="str">
        <f>IFERROR(IF(VLOOKUP(LEFT(B412,2),'Humanitarian codes'!$A$2:$A$10,1,FALSE)=LEFT(B412,2),"Yes","Error"),"No")</f>
        <v>Yes</v>
      </c>
    </row>
    <row r="413" spans="1:13" x14ac:dyDescent="0.25">
      <c r="A413" t="s">
        <v>2196</v>
      </c>
      <c r="B413" t="s">
        <v>2308</v>
      </c>
      <c r="C413" t="s">
        <v>2309</v>
      </c>
      <c r="D413" t="s">
        <v>30</v>
      </c>
      <c r="E413" t="s">
        <v>253</v>
      </c>
      <c r="F413" t="s">
        <v>2310</v>
      </c>
      <c r="G413">
        <v>4500345198</v>
      </c>
      <c r="H413" t="s">
        <v>12</v>
      </c>
      <c r="I413" t="s">
        <v>1362</v>
      </c>
      <c r="J413" t="s">
        <v>253</v>
      </c>
      <c r="K413" s="2">
        <v>20896</v>
      </c>
      <c r="L413" s="2">
        <v>20896</v>
      </c>
      <c r="M413" t="str">
        <f>IFERROR(IF(VLOOKUP(LEFT(B413,2),'Humanitarian codes'!$A$2:$A$10,1,FALSE)=LEFT(B413,2),"Yes","Error"),"No")</f>
        <v>Yes</v>
      </c>
    </row>
    <row r="414" spans="1:13" x14ac:dyDescent="0.25">
      <c r="A414" t="s">
        <v>2196</v>
      </c>
      <c r="B414" t="s">
        <v>2311</v>
      </c>
      <c r="C414" t="s">
        <v>2312</v>
      </c>
      <c r="D414" t="s">
        <v>30</v>
      </c>
      <c r="E414" t="s">
        <v>175</v>
      </c>
      <c r="F414" t="s">
        <v>2313</v>
      </c>
      <c r="G414">
        <v>4500341929</v>
      </c>
      <c r="H414" t="s">
        <v>12</v>
      </c>
      <c r="I414" t="s">
        <v>390</v>
      </c>
      <c r="J414" t="s">
        <v>175</v>
      </c>
      <c r="K414" s="2">
        <v>150563</v>
      </c>
      <c r="L414" s="2">
        <v>150563</v>
      </c>
      <c r="M414" t="str">
        <f>IFERROR(IF(VLOOKUP(LEFT(B414,2),'Humanitarian codes'!$A$2:$A$10,1,FALSE)=LEFT(B414,2),"Yes","Error"),"No")</f>
        <v>Yes</v>
      </c>
    </row>
    <row r="415" spans="1:13" x14ac:dyDescent="0.25">
      <c r="A415" t="s">
        <v>2196</v>
      </c>
      <c r="B415" t="s">
        <v>1243</v>
      </c>
      <c r="C415" t="s">
        <v>1244</v>
      </c>
      <c r="D415" t="s">
        <v>30</v>
      </c>
      <c r="E415" t="s">
        <v>32</v>
      </c>
      <c r="F415" t="s">
        <v>2200</v>
      </c>
      <c r="G415">
        <v>4500330024</v>
      </c>
      <c r="H415" t="s">
        <v>12</v>
      </c>
      <c r="I415" t="s">
        <v>2314</v>
      </c>
      <c r="J415" t="s">
        <v>32</v>
      </c>
      <c r="K415" s="2">
        <v>4859</v>
      </c>
      <c r="L415" s="2">
        <v>4859</v>
      </c>
      <c r="M415" t="str">
        <f>IFERROR(IF(VLOOKUP(LEFT(B415,2),'Humanitarian codes'!$A$2:$A$10,1,FALSE)=LEFT(B415,2),"Yes","Error"),"No")</f>
        <v>Yes</v>
      </c>
    </row>
    <row r="416" spans="1:13" x14ac:dyDescent="0.25">
      <c r="A416" t="s">
        <v>2196</v>
      </c>
      <c r="B416" t="s">
        <v>70</v>
      </c>
      <c r="C416" t="s">
        <v>71</v>
      </c>
      <c r="D416" t="s">
        <v>30</v>
      </c>
      <c r="E416" t="s">
        <v>150</v>
      </c>
      <c r="F416" t="s">
        <v>2315</v>
      </c>
      <c r="G416">
        <v>4500344062</v>
      </c>
      <c r="H416" t="s">
        <v>12</v>
      </c>
      <c r="I416" t="s">
        <v>2316</v>
      </c>
      <c r="J416" t="s">
        <v>150</v>
      </c>
      <c r="K416" s="2">
        <v>279655</v>
      </c>
      <c r="L416" s="2">
        <v>279655</v>
      </c>
      <c r="M416" t="str">
        <f>IFERROR(IF(VLOOKUP(LEFT(B416,2),'Humanitarian codes'!$A$2:$A$10,1,FALSE)=LEFT(B416,2),"Yes","Error"),"No")</f>
        <v>Yes</v>
      </c>
    </row>
    <row r="417" spans="1:13" x14ac:dyDescent="0.25">
      <c r="A417" t="s">
        <v>2196</v>
      </c>
      <c r="B417" t="s">
        <v>74</v>
      </c>
      <c r="C417" t="s">
        <v>75</v>
      </c>
      <c r="D417" t="s">
        <v>30</v>
      </c>
      <c r="E417" t="s">
        <v>903</v>
      </c>
      <c r="F417" t="s">
        <v>2317</v>
      </c>
      <c r="G417">
        <v>4500328416</v>
      </c>
      <c r="H417" t="s">
        <v>12</v>
      </c>
      <c r="I417" t="s">
        <v>1759</v>
      </c>
      <c r="J417" t="s">
        <v>903</v>
      </c>
      <c r="K417" s="2">
        <v>24920</v>
      </c>
      <c r="L417" s="2">
        <v>49840</v>
      </c>
      <c r="M417" t="str">
        <f>IFERROR(IF(VLOOKUP(LEFT(B417,2),'Humanitarian codes'!$A$2:$A$10,1,FALSE)=LEFT(B417,2),"Yes","Error"),"No")</f>
        <v>Yes</v>
      </c>
    </row>
    <row r="418" spans="1:13" x14ac:dyDescent="0.25">
      <c r="A418" t="s">
        <v>2196</v>
      </c>
      <c r="B418" t="s">
        <v>74</v>
      </c>
      <c r="C418" t="s">
        <v>75</v>
      </c>
      <c r="D418" t="s">
        <v>30</v>
      </c>
      <c r="E418" t="s">
        <v>903</v>
      </c>
      <c r="F418" t="s">
        <v>2318</v>
      </c>
      <c r="G418">
        <v>4500331215</v>
      </c>
      <c r="H418" t="s">
        <v>12</v>
      </c>
      <c r="I418" t="s">
        <v>77</v>
      </c>
      <c r="J418" t="s">
        <v>903</v>
      </c>
      <c r="K418" s="2">
        <v>102597</v>
      </c>
      <c r="L418" s="2">
        <v>102597</v>
      </c>
      <c r="M418" t="str">
        <f>IFERROR(IF(VLOOKUP(LEFT(B418,2),'Humanitarian codes'!$A$2:$A$10,1,FALSE)=LEFT(B418,2),"Yes","Error"),"No")</f>
        <v>Yes</v>
      </c>
    </row>
    <row r="419" spans="1:13" x14ac:dyDescent="0.25">
      <c r="A419" t="s">
        <v>2196</v>
      </c>
      <c r="B419" t="s">
        <v>74</v>
      </c>
      <c r="C419" t="s">
        <v>75</v>
      </c>
      <c r="D419" t="s">
        <v>30</v>
      </c>
      <c r="E419" t="s">
        <v>903</v>
      </c>
      <c r="F419" t="s">
        <v>2319</v>
      </c>
      <c r="G419">
        <v>4500332238</v>
      </c>
      <c r="H419" t="s">
        <v>12</v>
      </c>
      <c r="I419" t="s">
        <v>80</v>
      </c>
      <c r="J419" t="s">
        <v>903</v>
      </c>
      <c r="K419" s="2">
        <v>11311</v>
      </c>
      <c r="L419" s="2">
        <v>75408</v>
      </c>
      <c r="M419" t="str">
        <f>IFERROR(IF(VLOOKUP(LEFT(B419,2),'Humanitarian codes'!$A$2:$A$10,1,FALSE)=LEFT(B419,2),"Yes","Error"),"No")</f>
        <v>Yes</v>
      </c>
    </row>
    <row r="420" spans="1:13" x14ac:dyDescent="0.25">
      <c r="A420" t="s">
        <v>2196</v>
      </c>
      <c r="B420" t="s">
        <v>74</v>
      </c>
      <c r="C420" t="s">
        <v>75</v>
      </c>
      <c r="D420" t="s">
        <v>30</v>
      </c>
      <c r="E420" t="s">
        <v>903</v>
      </c>
      <c r="F420" t="s">
        <v>2320</v>
      </c>
      <c r="G420">
        <v>4500332911</v>
      </c>
      <c r="H420" t="s">
        <v>12</v>
      </c>
      <c r="I420" t="s">
        <v>950</v>
      </c>
      <c r="J420" t="s">
        <v>903</v>
      </c>
      <c r="K420" s="2">
        <v>10227</v>
      </c>
      <c r="L420" s="2">
        <v>68180</v>
      </c>
      <c r="M420" t="str">
        <f>IFERROR(IF(VLOOKUP(LEFT(B420,2),'Humanitarian codes'!$A$2:$A$10,1,FALSE)=LEFT(B420,2),"Yes","Error"),"No")</f>
        <v>Yes</v>
      </c>
    </row>
    <row r="421" spans="1:13" x14ac:dyDescent="0.25">
      <c r="A421" t="s">
        <v>2196</v>
      </c>
      <c r="B421" t="s">
        <v>74</v>
      </c>
      <c r="C421" t="s">
        <v>75</v>
      </c>
      <c r="D421" t="s">
        <v>30</v>
      </c>
      <c r="E421" t="s">
        <v>903</v>
      </c>
      <c r="F421" t="s">
        <v>2321</v>
      </c>
      <c r="G421">
        <v>4500334631</v>
      </c>
      <c r="H421" t="s">
        <v>12</v>
      </c>
      <c r="I421" t="s">
        <v>1760</v>
      </c>
      <c r="J421" t="s">
        <v>903</v>
      </c>
      <c r="K421" s="2">
        <v>6476</v>
      </c>
      <c r="L421" s="2">
        <v>58790</v>
      </c>
      <c r="M421" t="str">
        <f>IFERROR(IF(VLOOKUP(LEFT(B421,2),'Humanitarian codes'!$A$2:$A$10,1,FALSE)=LEFT(B421,2),"Yes","Error"),"No")</f>
        <v>Yes</v>
      </c>
    </row>
    <row r="422" spans="1:13" x14ac:dyDescent="0.25">
      <c r="A422" t="s">
        <v>2196</v>
      </c>
      <c r="B422" t="s">
        <v>74</v>
      </c>
      <c r="C422" t="s">
        <v>75</v>
      </c>
      <c r="D422" t="s">
        <v>30</v>
      </c>
      <c r="E422" t="s">
        <v>903</v>
      </c>
      <c r="F422" t="s">
        <v>2322</v>
      </c>
      <c r="G422">
        <v>4500335022</v>
      </c>
      <c r="H422" t="s">
        <v>12</v>
      </c>
      <c r="I422" t="s">
        <v>1761</v>
      </c>
      <c r="J422" t="s">
        <v>903</v>
      </c>
      <c r="K422" s="2">
        <v>9350</v>
      </c>
      <c r="L422" s="2">
        <v>62335</v>
      </c>
      <c r="M422" t="str">
        <f>IFERROR(IF(VLOOKUP(LEFT(B422,2),'Humanitarian codes'!$A$2:$A$10,1,FALSE)=LEFT(B422,2),"Yes","Error"),"No")</f>
        <v>Yes</v>
      </c>
    </row>
    <row r="423" spans="1:13" x14ac:dyDescent="0.25">
      <c r="A423" t="s">
        <v>2196</v>
      </c>
      <c r="B423" t="s">
        <v>74</v>
      </c>
      <c r="C423" t="s">
        <v>75</v>
      </c>
      <c r="D423" t="s">
        <v>30</v>
      </c>
      <c r="E423" t="s">
        <v>903</v>
      </c>
      <c r="F423" t="s">
        <v>2323</v>
      </c>
      <c r="G423">
        <v>4500341241</v>
      </c>
      <c r="H423" t="s">
        <v>12</v>
      </c>
      <c r="I423" t="s">
        <v>2324</v>
      </c>
      <c r="J423" t="s">
        <v>903</v>
      </c>
      <c r="K423" s="2">
        <v>5612</v>
      </c>
      <c r="L423" s="2">
        <v>38965</v>
      </c>
      <c r="M423" t="str">
        <f>IFERROR(IF(VLOOKUP(LEFT(B423,2),'Humanitarian codes'!$A$2:$A$10,1,FALSE)=LEFT(B423,2),"Yes","Error"),"No")</f>
        <v>Yes</v>
      </c>
    </row>
    <row r="424" spans="1:13" x14ac:dyDescent="0.25">
      <c r="A424" t="s">
        <v>2196</v>
      </c>
      <c r="B424" t="s">
        <v>1257</v>
      </c>
      <c r="C424" t="s">
        <v>1258</v>
      </c>
      <c r="D424" t="s">
        <v>30</v>
      </c>
      <c r="E424" t="s">
        <v>940</v>
      </c>
      <c r="F424" t="s">
        <v>2200</v>
      </c>
      <c r="G424">
        <v>4500332030</v>
      </c>
      <c r="H424" t="s">
        <v>12</v>
      </c>
      <c r="I424" t="s">
        <v>1259</v>
      </c>
      <c r="J424" t="s">
        <v>940</v>
      </c>
      <c r="K424" s="2">
        <v>99603</v>
      </c>
      <c r="L424" s="2">
        <v>117180</v>
      </c>
      <c r="M424" t="str">
        <f>IFERROR(IF(VLOOKUP(LEFT(B424,2),'Humanitarian codes'!$A$2:$A$10,1,FALSE)=LEFT(B424,2),"Yes","Error"),"No")</f>
        <v>Yes</v>
      </c>
    </row>
    <row r="425" spans="1:13" x14ac:dyDescent="0.25">
      <c r="A425" t="s">
        <v>2196</v>
      </c>
      <c r="B425" t="s">
        <v>1257</v>
      </c>
      <c r="C425" t="s">
        <v>1258</v>
      </c>
      <c r="D425" t="s">
        <v>30</v>
      </c>
      <c r="E425" t="s">
        <v>940</v>
      </c>
      <c r="F425" t="s">
        <v>2200</v>
      </c>
      <c r="G425">
        <v>4500332036</v>
      </c>
      <c r="H425" t="s">
        <v>12</v>
      </c>
      <c r="I425" t="s">
        <v>2201</v>
      </c>
      <c r="J425" t="s">
        <v>940</v>
      </c>
      <c r="K425" s="2">
        <v>98541</v>
      </c>
      <c r="L425" s="2">
        <v>115930</v>
      </c>
      <c r="M425" t="str">
        <f>IFERROR(IF(VLOOKUP(LEFT(B425,2),'Humanitarian codes'!$A$2:$A$10,1,FALSE)=LEFT(B425,2),"Yes","Error"),"No")</f>
        <v>Yes</v>
      </c>
    </row>
    <row r="426" spans="1:13" x14ac:dyDescent="0.25">
      <c r="A426" t="s">
        <v>2196</v>
      </c>
      <c r="B426" t="s">
        <v>1257</v>
      </c>
      <c r="C426" t="s">
        <v>1258</v>
      </c>
      <c r="D426" t="s">
        <v>30</v>
      </c>
      <c r="E426" t="s">
        <v>940</v>
      </c>
      <c r="F426" t="s">
        <v>2200</v>
      </c>
      <c r="G426">
        <v>4500332042</v>
      </c>
      <c r="H426" t="s">
        <v>12</v>
      </c>
      <c r="I426" t="s">
        <v>1260</v>
      </c>
      <c r="J426" t="s">
        <v>940</v>
      </c>
      <c r="K426" s="2">
        <v>91981</v>
      </c>
      <c r="L426" s="2">
        <v>108213</v>
      </c>
      <c r="M426" t="str">
        <f>IFERROR(IF(VLOOKUP(LEFT(B426,2),'Humanitarian codes'!$A$2:$A$10,1,FALSE)=LEFT(B426,2),"Yes","Error"),"No")</f>
        <v>Yes</v>
      </c>
    </row>
    <row r="427" spans="1:13" x14ac:dyDescent="0.25">
      <c r="A427" t="s">
        <v>2196</v>
      </c>
      <c r="B427" t="s">
        <v>1257</v>
      </c>
      <c r="C427" t="s">
        <v>1258</v>
      </c>
      <c r="D427" t="s">
        <v>30</v>
      </c>
      <c r="E427" t="s">
        <v>940</v>
      </c>
      <c r="F427" t="s">
        <v>2200</v>
      </c>
      <c r="G427">
        <v>4500332045</v>
      </c>
      <c r="H427" t="s">
        <v>12</v>
      </c>
      <c r="I427" t="s">
        <v>1260</v>
      </c>
      <c r="J427" t="s">
        <v>940</v>
      </c>
      <c r="K427" s="2">
        <v>89896</v>
      </c>
      <c r="L427" s="2">
        <v>105760</v>
      </c>
      <c r="M427" t="str">
        <f>IFERROR(IF(VLOOKUP(LEFT(B427,2),'Humanitarian codes'!$A$2:$A$10,1,FALSE)=LEFT(B427,2),"Yes","Error"),"No")</f>
        <v>Yes</v>
      </c>
    </row>
    <row r="428" spans="1:13" x14ac:dyDescent="0.25">
      <c r="A428" t="s">
        <v>2196</v>
      </c>
      <c r="B428" t="s">
        <v>2325</v>
      </c>
      <c r="C428" t="s">
        <v>2326</v>
      </c>
      <c r="D428" t="s">
        <v>30</v>
      </c>
      <c r="E428" t="s">
        <v>909</v>
      </c>
      <c r="F428" t="s">
        <v>2200</v>
      </c>
      <c r="G428">
        <v>4500351097</v>
      </c>
      <c r="H428" t="s">
        <v>12</v>
      </c>
      <c r="I428" t="s">
        <v>1331</v>
      </c>
      <c r="J428" t="s">
        <v>909</v>
      </c>
      <c r="K428" s="2">
        <v>1107</v>
      </c>
      <c r="L428" s="2">
        <v>1107</v>
      </c>
      <c r="M428" t="str">
        <f>IFERROR(IF(VLOOKUP(LEFT(B428,2),'Humanitarian codes'!$A$2:$A$10,1,FALSE)=LEFT(B428,2),"Yes","Error"),"No")</f>
        <v>Yes</v>
      </c>
    </row>
    <row r="429" spans="1:13" x14ac:dyDescent="0.25">
      <c r="A429" t="s">
        <v>2196</v>
      </c>
      <c r="B429" t="s">
        <v>2325</v>
      </c>
      <c r="C429" t="s">
        <v>2326</v>
      </c>
      <c r="D429" t="s">
        <v>30</v>
      </c>
      <c r="E429" t="s">
        <v>909</v>
      </c>
      <c r="F429" t="s">
        <v>2200</v>
      </c>
      <c r="G429">
        <v>4500351214</v>
      </c>
      <c r="H429" t="s">
        <v>12</v>
      </c>
      <c r="I429" t="s">
        <v>2327</v>
      </c>
      <c r="J429" t="s">
        <v>909</v>
      </c>
      <c r="K429">
        <v>313</v>
      </c>
      <c r="L429">
        <v>313</v>
      </c>
      <c r="M429" t="str">
        <f>IFERROR(IF(VLOOKUP(LEFT(B429,2),'Humanitarian codes'!$A$2:$A$10,1,FALSE)=LEFT(B429,2),"Yes","Error"),"No")</f>
        <v>Yes</v>
      </c>
    </row>
    <row r="430" spans="1:13" x14ac:dyDescent="0.25">
      <c r="A430" t="s">
        <v>2196</v>
      </c>
      <c r="B430" t="s">
        <v>2325</v>
      </c>
      <c r="C430" t="s">
        <v>2326</v>
      </c>
      <c r="D430" t="s">
        <v>30</v>
      </c>
      <c r="E430" t="s">
        <v>909</v>
      </c>
      <c r="F430" t="s">
        <v>2200</v>
      </c>
      <c r="G430">
        <v>4500351869</v>
      </c>
      <c r="H430" t="s">
        <v>12</v>
      </c>
      <c r="I430" t="s">
        <v>1331</v>
      </c>
      <c r="J430" t="s">
        <v>909</v>
      </c>
      <c r="K430">
        <v>446</v>
      </c>
      <c r="L430">
        <v>446</v>
      </c>
      <c r="M430" t="str">
        <f>IFERROR(IF(VLOOKUP(LEFT(B430,2),'Humanitarian codes'!$A$2:$A$10,1,FALSE)=LEFT(B430,2),"Yes","Error"),"No")</f>
        <v>Yes</v>
      </c>
    </row>
    <row r="431" spans="1:13" x14ac:dyDescent="0.25">
      <c r="A431" t="s">
        <v>2196</v>
      </c>
      <c r="B431" t="s">
        <v>791</v>
      </c>
      <c r="C431" t="s">
        <v>792</v>
      </c>
      <c r="D431" t="s">
        <v>30</v>
      </c>
      <c r="E431" t="s">
        <v>793</v>
      </c>
      <c r="F431" t="s">
        <v>2328</v>
      </c>
      <c r="G431">
        <v>4500334019</v>
      </c>
      <c r="H431" t="s">
        <v>12</v>
      </c>
      <c r="I431" t="s">
        <v>796</v>
      </c>
      <c r="J431" t="s">
        <v>793</v>
      </c>
      <c r="K431" s="2">
        <v>71646</v>
      </c>
      <c r="L431" s="2">
        <v>71646</v>
      </c>
      <c r="M431" t="str">
        <f>IFERROR(IF(VLOOKUP(LEFT(B431,2),'Humanitarian codes'!$A$2:$A$10,1,FALSE)=LEFT(B431,2),"Yes","Error"),"No")</f>
        <v>Yes</v>
      </c>
    </row>
    <row r="432" spans="1:13" x14ac:dyDescent="0.25">
      <c r="A432" t="s">
        <v>2196</v>
      </c>
      <c r="B432" t="s">
        <v>791</v>
      </c>
      <c r="C432" t="s">
        <v>792</v>
      </c>
      <c r="D432" t="s">
        <v>30</v>
      </c>
      <c r="E432" t="s">
        <v>793</v>
      </c>
      <c r="F432" t="s">
        <v>2329</v>
      </c>
      <c r="G432">
        <v>4500336517</v>
      </c>
      <c r="H432" t="s">
        <v>12</v>
      </c>
      <c r="I432" t="s">
        <v>795</v>
      </c>
      <c r="J432" t="s">
        <v>793</v>
      </c>
      <c r="K432" s="2">
        <v>66504</v>
      </c>
      <c r="L432" s="2">
        <v>66504</v>
      </c>
      <c r="M432" t="str">
        <f>IFERROR(IF(VLOOKUP(LEFT(B432,2),'Humanitarian codes'!$A$2:$A$10,1,FALSE)=LEFT(B432,2),"Yes","Error"),"No")</f>
        <v>Yes</v>
      </c>
    </row>
    <row r="433" spans="1:13" x14ac:dyDescent="0.25">
      <c r="A433" t="s">
        <v>2196</v>
      </c>
      <c r="B433" t="s">
        <v>791</v>
      </c>
      <c r="C433" t="s">
        <v>792</v>
      </c>
      <c r="D433" t="s">
        <v>30</v>
      </c>
      <c r="E433" t="s">
        <v>793</v>
      </c>
      <c r="F433" t="s">
        <v>2200</v>
      </c>
      <c r="G433">
        <v>4500336525</v>
      </c>
      <c r="H433" t="s">
        <v>12</v>
      </c>
      <c r="I433" t="s">
        <v>797</v>
      </c>
      <c r="J433" t="s">
        <v>798</v>
      </c>
      <c r="K433" s="2">
        <v>58622</v>
      </c>
      <c r="L433" s="2">
        <v>58622</v>
      </c>
      <c r="M433" t="str">
        <f>IFERROR(IF(VLOOKUP(LEFT(B433,2),'Humanitarian codes'!$A$2:$A$10,1,FALSE)=LEFT(B433,2),"Yes","Error"),"No")</f>
        <v>Yes</v>
      </c>
    </row>
    <row r="434" spans="1:13" x14ac:dyDescent="0.25">
      <c r="A434" t="s">
        <v>2196</v>
      </c>
      <c r="B434" t="s">
        <v>791</v>
      </c>
      <c r="C434" t="s">
        <v>792</v>
      </c>
      <c r="D434" t="s">
        <v>30</v>
      </c>
      <c r="E434" t="s">
        <v>793</v>
      </c>
      <c r="F434" t="s">
        <v>2330</v>
      </c>
      <c r="G434">
        <v>4500337349</v>
      </c>
      <c r="H434" t="s">
        <v>12</v>
      </c>
      <c r="I434" t="s">
        <v>794</v>
      </c>
      <c r="J434" t="s">
        <v>793</v>
      </c>
      <c r="K434" s="2">
        <v>66588</v>
      </c>
      <c r="L434" s="2">
        <v>66588</v>
      </c>
      <c r="M434" t="str">
        <f>IFERROR(IF(VLOOKUP(LEFT(B434,2),'Humanitarian codes'!$A$2:$A$10,1,FALSE)=LEFT(B434,2),"Yes","Error"),"No")</f>
        <v>Yes</v>
      </c>
    </row>
    <row r="435" spans="1:13" x14ac:dyDescent="0.25">
      <c r="A435" t="s">
        <v>2196</v>
      </c>
      <c r="B435" t="s">
        <v>87</v>
      </c>
      <c r="C435" t="s">
        <v>88</v>
      </c>
      <c r="D435" t="s">
        <v>30</v>
      </c>
      <c r="E435" t="s">
        <v>32</v>
      </c>
      <c r="F435" t="s">
        <v>2200</v>
      </c>
      <c r="G435">
        <v>4500334410</v>
      </c>
      <c r="H435" t="s">
        <v>12</v>
      </c>
      <c r="I435" t="s">
        <v>2331</v>
      </c>
      <c r="J435" t="s">
        <v>32</v>
      </c>
      <c r="K435" s="2">
        <v>340710</v>
      </c>
      <c r="L435" s="2">
        <v>340710</v>
      </c>
      <c r="M435" t="str">
        <f>IFERROR(IF(VLOOKUP(LEFT(B435,2),'Humanitarian codes'!$A$2:$A$10,1,FALSE)=LEFT(B435,2),"Yes","Error"),"No")</f>
        <v>Yes</v>
      </c>
    </row>
    <row r="436" spans="1:13" x14ac:dyDescent="0.25">
      <c r="A436" t="s">
        <v>2196</v>
      </c>
      <c r="B436" t="s">
        <v>87</v>
      </c>
      <c r="C436" t="s">
        <v>88</v>
      </c>
      <c r="D436" t="s">
        <v>30</v>
      </c>
      <c r="E436" t="s">
        <v>32</v>
      </c>
      <c r="F436" t="s">
        <v>2200</v>
      </c>
      <c r="G436">
        <v>4500335427</v>
      </c>
      <c r="H436" t="s">
        <v>12</v>
      </c>
      <c r="I436" t="s">
        <v>802</v>
      </c>
      <c r="J436" t="s">
        <v>32</v>
      </c>
      <c r="K436" s="2">
        <v>241760</v>
      </c>
      <c r="L436" s="2">
        <v>241760</v>
      </c>
      <c r="M436" t="str">
        <f>IFERROR(IF(VLOOKUP(LEFT(B436,2),'Humanitarian codes'!$A$2:$A$10,1,FALSE)=LEFT(B436,2),"Yes","Error"),"No")</f>
        <v>Yes</v>
      </c>
    </row>
    <row r="437" spans="1:13" x14ac:dyDescent="0.25">
      <c r="A437" t="s">
        <v>2196</v>
      </c>
      <c r="B437" t="s">
        <v>87</v>
      </c>
      <c r="C437" t="s">
        <v>88</v>
      </c>
      <c r="D437" t="s">
        <v>30</v>
      </c>
      <c r="E437" t="s">
        <v>32</v>
      </c>
      <c r="F437" t="s">
        <v>2332</v>
      </c>
      <c r="G437">
        <v>4500336591</v>
      </c>
      <c r="H437" t="s">
        <v>12</v>
      </c>
      <c r="I437" t="s">
        <v>94</v>
      </c>
      <c r="J437" t="s">
        <v>32</v>
      </c>
      <c r="K437" s="2">
        <v>250000</v>
      </c>
      <c r="L437" s="2">
        <v>250000</v>
      </c>
      <c r="M437" t="str">
        <f>IFERROR(IF(VLOOKUP(LEFT(B437,2),'Humanitarian codes'!$A$2:$A$10,1,FALSE)=LEFT(B437,2),"Yes","Error"),"No")</f>
        <v>Yes</v>
      </c>
    </row>
    <row r="438" spans="1:13" x14ac:dyDescent="0.25">
      <c r="A438" t="s">
        <v>2196</v>
      </c>
      <c r="B438" t="s">
        <v>87</v>
      </c>
      <c r="C438" t="s">
        <v>88</v>
      </c>
      <c r="D438" t="s">
        <v>30</v>
      </c>
      <c r="E438" t="s">
        <v>32</v>
      </c>
      <c r="F438" t="s">
        <v>2333</v>
      </c>
      <c r="G438">
        <v>4500341803</v>
      </c>
      <c r="H438" t="s">
        <v>12</v>
      </c>
      <c r="I438" t="s">
        <v>800</v>
      </c>
      <c r="J438" t="s">
        <v>32</v>
      </c>
      <c r="K438" s="2">
        <v>308363</v>
      </c>
      <c r="L438" s="2">
        <v>308363</v>
      </c>
      <c r="M438" t="str">
        <f>IFERROR(IF(VLOOKUP(LEFT(B438,2),'Humanitarian codes'!$A$2:$A$10,1,FALSE)=LEFT(B438,2),"Yes","Error"),"No")</f>
        <v>Yes</v>
      </c>
    </row>
    <row r="439" spans="1:13" x14ac:dyDescent="0.25">
      <c r="A439" t="s">
        <v>2196</v>
      </c>
      <c r="B439" t="s">
        <v>87</v>
      </c>
      <c r="C439" t="s">
        <v>88</v>
      </c>
      <c r="D439" t="s">
        <v>30</v>
      </c>
      <c r="E439" t="s">
        <v>32</v>
      </c>
      <c r="F439" t="s">
        <v>2334</v>
      </c>
      <c r="G439">
        <v>4500345918</v>
      </c>
      <c r="H439" t="s">
        <v>12</v>
      </c>
      <c r="I439" t="s">
        <v>2335</v>
      </c>
      <c r="J439" t="s">
        <v>32</v>
      </c>
      <c r="K439" s="2">
        <v>250000</v>
      </c>
      <c r="L439" s="2">
        <v>250000</v>
      </c>
      <c r="M439" t="str">
        <f>IFERROR(IF(VLOOKUP(LEFT(B439,2),'Humanitarian codes'!$A$2:$A$10,1,FALSE)=LEFT(B439,2),"Yes","Error"),"No")</f>
        <v>Yes</v>
      </c>
    </row>
    <row r="440" spans="1:13" x14ac:dyDescent="0.25">
      <c r="A440" t="s">
        <v>2196</v>
      </c>
      <c r="B440" t="s">
        <v>87</v>
      </c>
      <c r="C440" t="s">
        <v>88</v>
      </c>
      <c r="D440" t="s">
        <v>30</v>
      </c>
      <c r="E440" t="s">
        <v>32</v>
      </c>
      <c r="F440" t="s">
        <v>2336</v>
      </c>
      <c r="G440">
        <v>4500346050</v>
      </c>
      <c r="H440" t="s">
        <v>12</v>
      </c>
      <c r="I440" t="s">
        <v>89</v>
      </c>
      <c r="J440" t="s">
        <v>32</v>
      </c>
      <c r="K440" s="2">
        <v>149830</v>
      </c>
      <c r="L440" s="2">
        <v>149830</v>
      </c>
      <c r="M440" t="str">
        <f>IFERROR(IF(VLOOKUP(LEFT(B440,2),'Humanitarian codes'!$A$2:$A$10,1,FALSE)=LEFT(B440,2),"Yes","Error"),"No")</f>
        <v>Yes</v>
      </c>
    </row>
    <row r="441" spans="1:13" x14ac:dyDescent="0.25">
      <c r="A441" t="s">
        <v>2196</v>
      </c>
      <c r="B441" t="s">
        <v>1702</v>
      </c>
      <c r="C441" t="s">
        <v>1703</v>
      </c>
      <c r="D441" t="s">
        <v>30</v>
      </c>
      <c r="E441" t="s">
        <v>257</v>
      </c>
      <c r="F441" t="s">
        <v>2337</v>
      </c>
      <c r="G441">
        <v>4500336447</v>
      </c>
      <c r="H441" t="s">
        <v>12</v>
      </c>
      <c r="I441" t="s">
        <v>2338</v>
      </c>
      <c r="J441" t="s">
        <v>257</v>
      </c>
      <c r="K441" s="2">
        <v>67497</v>
      </c>
      <c r="L441" s="2">
        <v>67497</v>
      </c>
      <c r="M441" t="str">
        <f>IFERROR(IF(VLOOKUP(LEFT(B441,2),'Humanitarian codes'!$A$2:$A$10,1,FALSE)=LEFT(B441,2),"Yes","Error"),"No")</f>
        <v>Yes</v>
      </c>
    </row>
    <row r="442" spans="1:13" x14ac:dyDescent="0.25">
      <c r="A442" t="s">
        <v>2196</v>
      </c>
      <c r="B442" t="s">
        <v>1702</v>
      </c>
      <c r="C442" t="s">
        <v>1703</v>
      </c>
      <c r="D442" t="s">
        <v>30</v>
      </c>
      <c r="E442" t="s">
        <v>257</v>
      </c>
      <c r="F442" t="s">
        <v>2200</v>
      </c>
      <c r="G442">
        <v>4500336506</v>
      </c>
      <c r="H442" t="s">
        <v>12</v>
      </c>
      <c r="I442" t="s">
        <v>1931</v>
      </c>
      <c r="J442" t="s">
        <v>257</v>
      </c>
      <c r="K442" s="2">
        <v>26934</v>
      </c>
      <c r="L442" s="2">
        <v>26934</v>
      </c>
      <c r="M442" t="str">
        <f>IFERROR(IF(VLOOKUP(LEFT(B442,2),'Humanitarian codes'!$A$2:$A$10,1,FALSE)=LEFT(B442,2),"Yes","Error"),"No")</f>
        <v>Yes</v>
      </c>
    </row>
    <row r="443" spans="1:13" x14ac:dyDescent="0.25">
      <c r="A443" t="s">
        <v>2196</v>
      </c>
      <c r="B443" t="s">
        <v>1702</v>
      </c>
      <c r="C443" t="s">
        <v>1703</v>
      </c>
      <c r="D443" t="s">
        <v>30</v>
      </c>
      <c r="E443" t="s">
        <v>257</v>
      </c>
      <c r="F443" t="s">
        <v>2339</v>
      </c>
      <c r="G443">
        <v>4500340425</v>
      </c>
      <c r="H443" t="s">
        <v>12</v>
      </c>
      <c r="I443" t="s">
        <v>1414</v>
      </c>
      <c r="J443" t="s">
        <v>257</v>
      </c>
      <c r="K443" s="2">
        <v>160541</v>
      </c>
      <c r="L443" s="2">
        <v>219969</v>
      </c>
      <c r="M443" t="str">
        <f>IFERROR(IF(VLOOKUP(LEFT(B443,2),'Humanitarian codes'!$A$2:$A$10,1,FALSE)=LEFT(B443,2),"Yes","Error"),"No")</f>
        <v>Yes</v>
      </c>
    </row>
    <row r="444" spans="1:13" x14ac:dyDescent="0.25">
      <c r="A444" t="s">
        <v>2196</v>
      </c>
      <c r="B444" t="s">
        <v>1964</v>
      </c>
      <c r="C444" t="s">
        <v>1965</v>
      </c>
      <c r="D444" t="s">
        <v>30</v>
      </c>
      <c r="E444" t="s">
        <v>717</v>
      </c>
      <c r="F444" t="s">
        <v>2340</v>
      </c>
      <c r="G444">
        <v>4500335267</v>
      </c>
      <c r="H444" t="s">
        <v>12</v>
      </c>
      <c r="I444" t="s">
        <v>1283</v>
      </c>
      <c r="J444" t="s">
        <v>717</v>
      </c>
      <c r="K444" s="2">
        <v>116037</v>
      </c>
      <c r="L444" s="2">
        <v>116037</v>
      </c>
      <c r="M444" t="str">
        <f>IFERROR(IF(VLOOKUP(LEFT(B444,2),'Humanitarian codes'!$A$2:$A$10,1,FALSE)=LEFT(B444,2),"Yes","Error"),"No")</f>
        <v>Yes</v>
      </c>
    </row>
    <row r="445" spans="1:13" x14ac:dyDescent="0.25">
      <c r="A445" t="s">
        <v>2196</v>
      </c>
      <c r="B445" t="s">
        <v>1705</v>
      </c>
      <c r="C445" t="s">
        <v>1706</v>
      </c>
      <c r="D445" t="s">
        <v>30</v>
      </c>
      <c r="E445" t="s">
        <v>54</v>
      </c>
      <c r="F445" t="s">
        <v>2341</v>
      </c>
      <c r="G445">
        <v>4500340766</v>
      </c>
      <c r="H445" t="s">
        <v>12</v>
      </c>
      <c r="I445" t="s">
        <v>2012</v>
      </c>
      <c r="J445" t="s">
        <v>54</v>
      </c>
      <c r="K445" s="2">
        <v>551181</v>
      </c>
      <c r="L445" s="2">
        <v>608581</v>
      </c>
      <c r="M445" t="str">
        <f>IFERROR(IF(VLOOKUP(LEFT(B445,2),'Humanitarian codes'!$A$2:$A$10,1,FALSE)=LEFT(B445,2),"Yes","Error"),"No")</f>
        <v>Yes</v>
      </c>
    </row>
    <row r="446" spans="1:13" x14ac:dyDescent="0.25">
      <c r="A446" t="s">
        <v>2196</v>
      </c>
      <c r="B446" t="s">
        <v>1705</v>
      </c>
      <c r="C446" t="s">
        <v>1706</v>
      </c>
      <c r="D446" t="s">
        <v>30</v>
      </c>
      <c r="E446" t="s">
        <v>54</v>
      </c>
      <c r="F446" t="s">
        <v>2268</v>
      </c>
      <c r="G446">
        <v>4500345506</v>
      </c>
      <c r="H446" t="s">
        <v>12</v>
      </c>
      <c r="I446" t="s">
        <v>2269</v>
      </c>
      <c r="J446" t="s">
        <v>54</v>
      </c>
      <c r="K446" s="2">
        <v>18183</v>
      </c>
      <c r="L446" s="2">
        <v>58834</v>
      </c>
      <c r="M446" t="str">
        <f>IFERROR(IF(VLOOKUP(LEFT(B446,2),'Humanitarian codes'!$A$2:$A$10,1,FALSE)=LEFT(B446,2),"Yes","Error"),"No")</f>
        <v>Yes</v>
      </c>
    </row>
    <row r="447" spans="1:13" x14ac:dyDescent="0.25">
      <c r="A447" t="s">
        <v>2196</v>
      </c>
      <c r="B447" t="s">
        <v>2342</v>
      </c>
      <c r="C447" t="s">
        <v>2343</v>
      </c>
      <c r="D447" t="s">
        <v>30</v>
      </c>
      <c r="E447" t="s">
        <v>890</v>
      </c>
      <c r="F447" t="s">
        <v>2344</v>
      </c>
      <c r="G447">
        <v>4500342746</v>
      </c>
      <c r="H447" t="s">
        <v>12</v>
      </c>
      <c r="I447" t="s">
        <v>1088</v>
      </c>
      <c r="J447" t="s">
        <v>890</v>
      </c>
      <c r="K447" s="2">
        <v>13705</v>
      </c>
      <c r="L447" s="2">
        <v>27409</v>
      </c>
      <c r="M447" t="str">
        <f>IFERROR(IF(VLOOKUP(LEFT(B447,2),'Humanitarian codes'!$A$2:$A$10,1,FALSE)=LEFT(B447,2),"Yes","Error"),"No")</f>
        <v>Yes</v>
      </c>
    </row>
    <row r="448" spans="1:13" x14ac:dyDescent="0.25">
      <c r="A448" t="s">
        <v>2196</v>
      </c>
      <c r="B448" t="s">
        <v>2342</v>
      </c>
      <c r="C448" t="s">
        <v>2343</v>
      </c>
      <c r="D448" t="s">
        <v>30</v>
      </c>
      <c r="E448" t="s">
        <v>890</v>
      </c>
      <c r="F448" t="s">
        <v>2345</v>
      </c>
      <c r="G448">
        <v>4500342748</v>
      </c>
      <c r="H448" t="s">
        <v>12</v>
      </c>
      <c r="I448" t="s">
        <v>1088</v>
      </c>
      <c r="J448" t="s">
        <v>890</v>
      </c>
      <c r="K448" s="2">
        <v>25124</v>
      </c>
      <c r="L448" s="2">
        <v>50248</v>
      </c>
      <c r="M448" t="str">
        <f>IFERROR(IF(VLOOKUP(LEFT(B448,2),'Humanitarian codes'!$A$2:$A$10,1,FALSE)=LEFT(B448,2),"Yes","Error"),"No")</f>
        <v>Yes</v>
      </c>
    </row>
    <row r="449" spans="1:13" x14ac:dyDescent="0.25">
      <c r="A449" t="s">
        <v>2196</v>
      </c>
      <c r="B449" t="s">
        <v>2342</v>
      </c>
      <c r="C449" t="s">
        <v>2343</v>
      </c>
      <c r="D449" t="s">
        <v>30</v>
      </c>
      <c r="E449" t="s">
        <v>890</v>
      </c>
      <c r="F449" t="s">
        <v>2346</v>
      </c>
      <c r="G449">
        <v>4500342753</v>
      </c>
      <c r="H449" t="s">
        <v>12</v>
      </c>
      <c r="I449" t="s">
        <v>245</v>
      </c>
      <c r="J449" t="s">
        <v>890</v>
      </c>
      <c r="K449" s="2">
        <v>12413</v>
      </c>
      <c r="L449" s="2">
        <v>24825</v>
      </c>
      <c r="M449" t="str">
        <f>IFERROR(IF(VLOOKUP(LEFT(B449,2),'Humanitarian codes'!$A$2:$A$10,1,FALSE)=LEFT(B449,2),"Yes","Error"),"No")</f>
        <v>Yes</v>
      </c>
    </row>
    <row r="450" spans="1:13" x14ac:dyDescent="0.25">
      <c r="A450" t="s">
        <v>2196</v>
      </c>
      <c r="B450" t="s">
        <v>2342</v>
      </c>
      <c r="C450" t="s">
        <v>2343</v>
      </c>
      <c r="D450" t="s">
        <v>30</v>
      </c>
      <c r="E450" t="s">
        <v>890</v>
      </c>
      <c r="F450" t="s">
        <v>2347</v>
      </c>
      <c r="G450">
        <v>4500342755</v>
      </c>
      <c r="H450" t="s">
        <v>12</v>
      </c>
      <c r="I450" t="s">
        <v>247</v>
      </c>
      <c r="J450" t="s">
        <v>890</v>
      </c>
      <c r="K450" s="2">
        <v>209116</v>
      </c>
      <c r="L450" s="2">
        <v>258676</v>
      </c>
      <c r="M450" t="str">
        <f>IFERROR(IF(VLOOKUP(LEFT(B450,2),'Humanitarian codes'!$A$2:$A$10,1,FALSE)=LEFT(B450,2),"Yes","Error"),"No")</f>
        <v>Yes</v>
      </c>
    </row>
    <row r="451" spans="1:13" x14ac:dyDescent="0.25">
      <c r="A451" t="s">
        <v>2196</v>
      </c>
      <c r="B451" t="s">
        <v>2342</v>
      </c>
      <c r="C451" t="s">
        <v>2343</v>
      </c>
      <c r="D451" t="s">
        <v>30</v>
      </c>
      <c r="E451" t="s">
        <v>890</v>
      </c>
      <c r="F451" t="s">
        <v>2348</v>
      </c>
      <c r="G451">
        <v>4500342760</v>
      </c>
      <c r="H451" t="s">
        <v>12</v>
      </c>
      <c r="I451" t="s">
        <v>1088</v>
      </c>
      <c r="J451" t="s">
        <v>890</v>
      </c>
      <c r="K451" s="2">
        <v>14649</v>
      </c>
      <c r="L451" s="2">
        <v>29298</v>
      </c>
      <c r="M451" t="str">
        <f>IFERROR(IF(VLOOKUP(LEFT(B451,2),'Humanitarian codes'!$A$2:$A$10,1,FALSE)=LEFT(B451,2),"Yes","Error"),"No")</f>
        <v>Yes</v>
      </c>
    </row>
    <row r="452" spans="1:13" x14ac:dyDescent="0.25">
      <c r="A452" t="s">
        <v>2196</v>
      </c>
      <c r="B452" t="s">
        <v>2342</v>
      </c>
      <c r="C452" t="s">
        <v>2343</v>
      </c>
      <c r="D452" t="s">
        <v>30</v>
      </c>
      <c r="E452" t="s">
        <v>890</v>
      </c>
      <c r="F452" t="s">
        <v>2349</v>
      </c>
      <c r="G452">
        <v>4500342766</v>
      </c>
      <c r="H452" t="s">
        <v>12</v>
      </c>
      <c r="I452" t="s">
        <v>246</v>
      </c>
      <c r="J452" t="s">
        <v>890</v>
      </c>
      <c r="K452" s="2">
        <v>18404</v>
      </c>
      <c r="L452" s="2">
        <v>36809</v>
      </c>
      <c r="M452" t="str">
        <f>IFERROR(IF(VLOOKUP(LEFT(B452,2),'Humanitarian codes'!$A$2:$A$10,1,FALSE)=LEFT(B452,2),"Yes","Error"),"No")</f>
        <v>Yes</v>
      </c>
    </row>
    <row r="453" spans="1:13" x14ac:dyDescent="0.25">
      <c r="A453" t="s">
        <v>2196</v>
      </c>
      <c r="B453" t="s">
        <v>2342</v>
      </c>
      <c r="C453" t="s">
        <v>2343</v>
      </c>
      <c r="D453" t="s">
        <v>30</v>
      </c>
      <c r="E453" t="s">
        <v>890</v>
      </c>
      <c r="F453" t="s">
        <v>2350</v>
      </c>
      <c r="G453">
        <v>4500342773</v>
      </c>
      <c r="H453" t="s">
        <v>12</v>
      </c>
      <c r="I453" t="s">
        <v>891</v>
      </c>
      <c r="J453" t="s">
        <v>890</v>
      </c>
      <c r="K453" s="2">
        <v>32789</v>
      </c>
      <c r="L453" s="2">
        <v>65578</v>
      </c>
      <c r="M453" t="str">
        <f>IFERROR(IF(VLOOKUP(LEFT(B453,2),'Humanitarian codes'!$A$2:$A$10,1,FALSE)=LEFT(B453,2),"Yes","Error"),"No")</f>
        <v>Yes</v>
      </c>
    </row>
    <row r="454" spans="1:13" x14ac:dyDescent="0.25">
      <c r="A454" t="s">
        <v>2196</v>
      </c>
      <c r="B454" t="s">
        <v>2342</v>
      </c>
      <c r="C454" t="s">
        <v>2343</v>
      </c>
      <c r="D454" t="s">
        <v>30</v>
      </c>
      <c r="E454" t="s">
        <v>890</v>
      </c>
      <c r="F454" t="s">
        <v>2351</v>
      </c>
      <c r="G454">
        <v>4500342780</v>
      </c>
      <c r="H454" t="s">
        <v>12</v>
      </c>
      <c r="I454" t="s">
        <v>244</v>
      </c>
      <c r="J454" t="s">
        <v>890</v>
      </c>
      <c r="K454" s="2">
        <v>7932</v>
      </c>
      <c r="L454" s="2">
        <v>15865</v>
      </c>
      <c r="M454" t="str">
        <f>IFERROR(IF(VLOOKUP(LEFT(B454,2),'Humanitarian codes'!$A$2:$A$10,1,FALSE)=LEFT(B454,2),"Yes","Error"),"No")</f>
        <v>Yes</v>
      </c>
    </row>
    <row r="455" spans="1:13" x14ac:dyDescent="0.25">
      <c r="A455" t="s">
        <v>2196</v>
      </c>
      <c r="B455" t="s">
        <v>2342</v>
      </c>
      <c r="C455" t="s">
        <v>2343</v>
      </c>
      <c r="D455" t="s">
        <v>30</v>
      </c>
      <c r="E455" t="s">
        <v>890</v>
      </c>
      <c r="F455" t="s">
        <v>2352</v>
      </c>
      <c r="G455">
        <v>4500342785</v>
      </c>
      <c r="H455" t="s">
        <v>12</v>
      </c>
      <c r="I455" t="s">
        <v>892</v>
      </c>
      <c r="J455" t="s">
        <v>890</v>
      </c>
      <c r="K455" s="2">
        <v>4013</v>
      </c>
      <c r="L455" s="2">
        <v>8026</v>
      </c>
      <c r="M455" t="str">
        <f>IFERROR(IF(VLOOKUP(LEFT(B455,2),'Humanitarian codes'!$A$2:$A$10,1,FALSE)=LEFT(B455,2),"Yes","Error"),"No")</f>
        <v>Yes</v>
      </c>
    </row>
    <row r="456" spans="1:13" x14ac:dyDescent="0.25">
      <c r="A456" t="s">
        <v>2196</v>
      </c>
      <c r="B456" t="s">
        <v>1262</v>
      </c>
      <c r="C456" t="s">
        <v>1263</v>
      </c>
      <c r="D456" t="s">
        <v>30</v>
      </c>
      <c r="E456" t="s">
        <v>167</v>
      </c>
      <c r="F456" t="s">
        <v>2353</v>
      </c>
      <c r="G456">
        <v>4500331979</v>
      </c>
      <c r="H456" t="s">
        <v>12</v>
      </c>
      <c r="I456" t="s">
        <v>2354</v>
      </c>
      <c r="J456" t="s">
        <v>167</v>
      </c>
      <c r="K456" s="2">
        <v>47201</v>
      </c>
      <c r="L456" s="2">
        <v>47201</v>
      </c>
      <c r="M456" t="str">
        <f>IFERROR(IF(VLOOKUP(LEFT(B456,2),'Humanitarian codes'!$A$2:$A$10,1,FALSE)=LEFT(B456,2),"Yes","Error"),"No")</f>
        <v>Yes</v>
      </c>
    </row>
    <row r="457" spans="1:13" x14ac:dyDescent="0.25">
      <c r="A457" t="s">
        <v>2196</v>
      </c>
      <c r="B457" t="s">
        <v>1262</v>
      </c>
      <c r="C457" t="s">
        <v>1263</v>
      </c>
      <c r="D457" t="s">
        <v>30</v>
      </c>
      <c r="E457" t="s">
        <v>167</v>
      </c>
      <c r="F457" t="s">
        <v>2355</v>
      </c>
      <c r="G457">
        <v>4500331980</v>
      </c>
      <c r="H457" t="s">
        <v>12</v>
      </c>
      <c r="I457" t="s">
        <v>2356</v>
      </c>
      <c r="J457" t="s">
        <v>167</v>
      </c>
      <c r="K457" s="2">
        <v>36485</v>
      </c>
      <c r="L457" s="2">
        <v>36485</v>
      </c>
      <c r="M457" t="str">
        <f>IFERROR(IF(VLOOKUP(LEFT(B457,2),'Humanitarian codes'!$A$2:$A$10,1,FALSE)=LEFT(B457,2),"Yes","Error"),"No")</f>
        <v>Yes</v>
      </c>
    </row>
    <row r="458" spans="1:13" x14ac:dyDescent="0.25">
      <c r="A458" t="s">
        <v>2196</v>
      </c>
      <c r="B458" t="s">
        <v>1970</v>
      </c>
      <c r="C458" t="s">
        <v>1971</v>
      </c>
      <c r="D458" t="s">
        <v>30</v>
      </c>
      <c r="E458" t="s">
        <v>155</v>
      </c>
      <c r="F458" t="s">
        <v>2357</v>
      </c>
      <c r="G458">
        <v>4500332541</v>
      </c>
      <c r="H458" t="s">
        <v>12</v>
      </c>
      <c r="I458" t="s">
        <v>2358</v>
      </c>
      <c r="J458" t="s">
        <v>155</v>
      </c>
      <c r="K458" s="2">
        <v>106235</v>
      </c>
      <c r="L458" s="2">
        <v>106235</v>
      </c>
      <c r="M458" t="str">
        <f>IFERROR(IF(VLOOKUP(LEFT(B458,2),'Humanitarian codes'!$A$2:$A$10,1,FALSE)=LEFT(B458,2),"Yes","Error"),"No")</f>
        <v>Yes</v>
      </c>
    </row>
    <row r="459" spans="1:13" x14ac:dyDescent="0.25">
      <c r="A459" t="s">
        <v>2196</v>
      </c>
      <c r="B459" t="s">
        <v>2359</v>
      </c>
      <c r="C459" t="s">
        <v>2360</v>
      </c>
      <c r="D459" t="s">
        <v>30</v>
      </c>
      <c r="E459" t="s">
        <v>500</v>
      </c>
      <c r="F459" t="s">
        <v>2200</v>
      </c>
      <c r="G459">
        <v>4500336011</v>
      </c>
      <c r="H459" t="s">
        <v>12</v>
      </c>
      <c r="I459" t="s">
        <v>779</v>
      </c>
      <c r="J459" t="s">
        <v>500</v>
      </c>
      <c r="K459" s="2">
        <v>12219</v>
      </c>
      <c r="L459" s="2">
        <v>12219</v>
      </c>
      <c r="M459" t="str">
        <f>IFERROR(IF(VLOOKUP(LEFT(B459,2),'Humanitarian codes'!$A$2:$A$10,1,FALSE)=LEFT(B459,2),"Yes","Error"),"No")</f>
        <v>Yes</v>
      </c>
    </row>
    <row r="460" spans="1:13" x14ac:dyDescent="0.25">
      <c r="A460" t="s">
        <v>2196</v>
      </c>
      <c r="B460" t="s">
        <v>2361</v>
      </c>
      <c r="C460" t="s">
        <v>2362</v>
      </c>
      <c r="D460" t="s">
        <v>30</v>
      </c>
      <c r="E460" t="s">
        <v>717</v>
      </c>
      <c r="F460" t="s">
        <v>2363</v>
      </c>
      <c r="G460">
        <v>4500326163</v>
      </c>
      <c r="H460" t="s">
        <v>12</v>
      </c>
      <c r="I460" t="s">
        <v>2364</v>
      </c>
      <c r="J460" t="s">
        <v>717</v>
      </c>
      <c r="K460" s="2">
        <v>20657</v>
      </c>
      <c r="L460" s="2">
        <v>116263</v>
      </c>
      <c r="M460" t="str">
        <f>IFERROR(IF(VLOOKUP(LEFT(B460,2),'Humanitarian codes'!$A$2:$A$10,1,FALSE)=LEFT(B460,2),"Yes","Error"),"No")</f>
        <v>Yes</v>
      </c>
    </row>
    <row r="461" spans="1:13" x14ac:dyDescent="0.25">
      <c r="A461" t="s">
        <v>2196</v>
      </c>
      <c r="B461" t="s">
        <v>1974</v>
      </c>
      <c r="C461" t="s">
        <v>1975</v>
      </c>
      <c r="D461" t="s">
        <v>30</v>
      </c>
      <c r="E461" t="s">
        <v>123</v>
      </c>
      <c r="F461" t="s">
        <v>2200</v>
      </c>
      <c r="G461">
        <v>4500332711</v>
      </c>
      <c r="H461" t="s">
        <v>12</v>
      </c>
      <c r="I461" t="s">
        <v>2365</v>
      </c>
      <c r="J461" t="s">
        <v>123</v>
      </c>
      <c r="K461" s="2">
        <v>164400</v>
      </c>
      <c r="L461" s="2">
        <v>685000</v>
      </c>
      <c r="M461" t="str">
        <f>IFERROR(IF(VLOOKUP(LEFT(B461,2),'Humanitarian codes'!$A$2:$A$10,1,FALSE)=LEFT(B461,2),"Yes","Error"),"No")</f>
        <v>Yes</v>
      </c>
    </row>
    <row r="462" spans="1:13" x14ac:dyDescent="0.25">
      <c r="A462" t="s">
        <v>2196</v>
      </c>
      <c r="B462" t="s">
        <v>1974</v>
      </c>
      <c r="C462" t="s">
        <v>1975</v>
      </c>
      <c r="D462" t="s">
        <v>30</v>
      </c>
      <c r="E462" t="s">
        <v>123</v>
      </c>
      <c r="F462" t="s">
        <v>2200</v>
      </c>
      <c r="G462">
        <v>4500338913</v>
      </c>
      <c r="H462" t="s">
        <v>12</v>
      </c>
      <c r="I462" t="s">
        <v>73</v>
      </c>
      <c r="J462" t="s">
        <v>123</v>
      </c>
      <c r="K462" s="2">
        <v>300000</v>
      </c>
      <c r="L462" s="2">
        <v>300000</v>
      </c>
      <c r="M462" t="str">
        <f>IFERROR(IF(VLOOKUP(LEFT(B462,2),'Humanitarian codes'!$A$2:$A$10,1,FALSE)=LEFT(B462,2),"Yes","Error"),"No")</f>
        <v>Yes</v>
      </c>
    </row>
    <row r="463" spans="1:13" x14ac:dyDescent="0.25">
      <c r="A463" t="s">
        <v>2196</v>
      </c>
      <c r="B463" t="s">
        <v>1974</v>
      </c>
      <c r="C463" t="s">
        <v>1975</v>
      </c>
      <c r="D463" t="s">
        <v>30</v>
      </c>
      <c r="E463" t="s">
        <v>123</v>
      </c>
      <c r="F463" t="s">
        <v>2200</v>
      </c>
      <c r="G463">
        <v>4500339494</v>
      </c>
      <c r="H463" t="s">
        <v>12</v>
      </c>
      <c r="I463" t="s">
        <v>1296</v>
      </c>
      <c r="J463" t="s">
        <v>123</v>
      </c>
      <c r="K463" s="2">
        <v>349610</v>
      </c>
      <c r="L463" s="2">
        <v>349610</v>
      </c>
      <c r="M463" t="str">
        <f>IFERROR(IF(VLOOKUP(LEFT(B463,2),'Humanitarian codes'!$A$2:$A$10,1,FALSE)=LEFT(B463,2),"Yes","Error"),"No")</f>
        <v>Yes</v>
      </c>
    </row>
    <row r="464" spans="1:13" x14ac:dyDescent="0.25">
      <c r="A464" t="s">
        <v>2196</v>
      </c>
      <c r="B464" t="s">
        <v>1974</v>
      </c>
      <c r="C464" t="s">
        <v>1975</v>
      </c>
      <c r="D464" t="s">
        <v>30</v>
      </c>
      <c r="E464" t="s">
        <v>123</v>
      </c>
      <c r="F464" t="s">
        <v>2200</v>
      </c>
      <c r="G464">
        <v>4500349404</v>
      </c>
      <c r="H464" t="s">
        <v>12</v>
      </c>
      <c r="I464" t="s">
        <v>2366</v>
      </c>
      <c r="J464" t="s">
        <v>123</v>
      </c>
      <c r="K464" s="2">
        <v>157647</v>
      </c>
      <c r="L464" s="2">
        <v>157647</v>
      </c>
      <c r="M464" t="str">
        <f>IFERROR(IF(VLOOKUP(LEFT(B464,2),'Humanitarian codes'!$A$2:$A$10,1,FALSE)=LEFT(B464,2),"Yes","Error"),"No")</f>
        <v>Yes</v>
      </c>
    </row>
    <row r="465" spans="1:13" x14ac:dyDescent="0.25">
      <c r="A465" t="s">
        <v>2196</v>
      </c>
      <c r="B465" t="s">
        <v>2367</v>
      </c>
      <c r="C465" t="s">
        <v>2368</v>
      </c>
      <c r="D465" t="s">
        <v>30</v>
      </c>
      <c r="E465" t="s">
        <v>123</v>
      </c>
      <c r="F465" t="s">
        <v>2200</v>
      </c>
      <c r="G465">
        <v>4500335203</v>
      </c>
      <c r="H465" t="s">
        <v>12</v>
      </c>
      <c r="I465" t="s">
        <v>366</v>
      </c>
      <c r="J465" t="s">
        <v>123</v>
      </c>
      <c r="K465" s="2">
        <v>1937</v>
      </c>
      <c r="L465" s="2">
        <v>12039</v>
      </c>
      <c r="M465" t="str">
        <f>IFERROR(IF(VLOOKUP(LEFT(B465,2),'Humanitarian codes'!$A$2:$A$10,1,FALSE)=LEFT(B465,2),"Yes","Error"),"No")</f>
        <v>Yes</v>
      </c>
    </row>
    <row r="466" spans="1:13" x14ac:dyDescent="0.25">
      <c r="A466" t="s">
        <v>2196</v>
      </c>
      <c r="B466" t="s">
        <v>2369</v>
      </c>
      <c r="C466" t="s">
        <v>2370</v>
      </c>
      <c r="D466" t="s">
        <v>30</v>
      </c>
      <c r="E466" t="s">
        <v>305</v>
      </c>
      <c r="F466" t="s">
        <v>2371</v>
      </c>
      <c r="G466">
        <v>4500333477</v>
      </c>
      <c r="H466" t="s">
        <v>12</v>
      </c>
      <c r="I466" t="s">
        <v>310</v>
      </c>
      <c r="J466" t="s">
        <v>305</v>
      </c>
      <c r="K466" s="2">
        <v>49371</v>
      </c>
      <c r="L466" s="2">
        <v>49371</v>
      </c>
      <c r="M466" t="str">
        <f>IFERROR(IF(VLOOKUP(LEFT(B466,2),'Humanitarian codes'!$A$2:$A$10,1,FALSE)=LEFT(B466,2),"Yes","Error"),"No")</f>
        <v>Yes</v>
      </c>
    </row>
    <row r="467" spans="1:13" x14ac:dyDescent="0.25">
      <c r="A467" t="s">
        <v>2196</v>
      </c>
      <c r="B467" t="s">
        <v>811</v>
      </c>
      <c r="C467" t="s">
        <v>812</v>
      </c>
      <c r="D467" t="s">
        <v>30</v>
      </c>
      <c r="E467" t="s">
        <v>545</v>
      </c>
      <c r="F467" t="s">
        <v>2372</v>
      </c>
      <c r="G467">
        <v>4500337977</v>
      </c>
      <c r="H467" t="s">
        <v>12</v>
      </c>
      <c r="I467" t="s">
        <v>2373</v>
      </c>
      <c r="J467" t="s">
        <v>128</v>
      </c>
      <c r="K467" s="2">
        <v>49092</v>
      </c>
      <c r="L467" s="2">
        <v>58443</v>
      </c>
      <c r="M467" t="str">
        <f>IFERROR(IF(VLOOKUP(LEFT(B467,2),'Humanitarian codes'!$A$2:$A$10,1,FALSE)=LEFT(B467,2),"Yes","Error"),"No")</f>
        <v>Yes</v>
      </c>
    </row>
    <row r="468" spans="1:13" x14ac:dyDescent="0.25">
      <c r="A468" t="s">
        <v>2196</v>
      </c>
      <c r="B468" t="s">
        <v>811</v>
      </c>
      <c r="C468" t="s">
        <v>812</v>
      </c>
      <c r="D468" t="s">
        <v>30</v>
      </c>
      <c r="E468" t="s">
        <v>123</v>
      </c>
      <c r="F468" t="s">
        <v>2200</v>
      </c>
      <c r="G468">
        <v>4500331029</v>
      </c>
      <c r="H468" t="s">
        <v>12</v>
      </c>
      <c r="I468" t="s">
        <v>2366</v>
      </c>
      <c r="J468" t="s">
        <v>123</v>
      </c>
      <c r="K468" s="2">
        <v>11846</v>
      </c>
      <c r="L468" s="2">
        <v>30211</v>
      </c>
      <c r="M468" t="str">
        <f>IFERROR(IF(VLOOKUP(LEFT(B468,2),'Humanitarian codes'!$A$2:$A$10,1,FALSE)=LEFT(B468,2),"Yes","Error"),"No")</f>
        <v>Yes</v>
      </c>
    </row>
    <row r="469" spans="1:13" x14ac:dyDescent="0.25">
      <c r="A469" t="s">
        <v>2196</v>
      </c>
      <c r="B469" t="s">
        <v>811</v>
      </c>
      <c r="C469" t="s">
        <v>812</v>
      </c>
      <c r="D469" t="s">
        <v>30</v>
      </c>
      <c r="E469" t="s">
        <v>123</v>
      </c>
      <c r="F469" t="s">
        <v>2200</v>
      </c>
      <c r="G469">
        <v>4500335203</v>
      </c>
      <c r="H469" t="s">
        <v>12</v>
      </c>
      <c r="I469" t="s">
        <v>366</v>
      </c>
      <c r="J469" t="s">
        <v>123</v>
      </c>
      <c r="K469" s="2">
        <v>8420</v>
      </c>
      <c r="L469" s="2">
        <v>12039</v>
      </c>
      <c r="M469" t="str">
        <f>IFERROR(IF(VLOOKUP(LEFT(B469,2),'Humanitarian codes'!$A$2:$A$10,1,FALSE)=LEFT(B469,2),"Yes","Error"),"No")</f>
        <v>Yes</v>
      </c>
    </row>
    <row r="470" spans="1:13" x14ac:dyDescent="0.25">
      <c r="A470" t="s">
        <v>2196</v>
      </c>
      <c r="B470" t="s">
        <v>2374</v>
      </c>
      <c r="C470" t="s">
        <v>2375</v>
      </c>
      <c r="D470" t="s">
        <v>30</v>
      </c>
      <c r="E470" t="s">
        <v>486</v>
      </c>
      <c r="F470" t="s">
        <v>2357</v>
      </c>
      <c r="G470">
        <v>4500347020</v>
      </c>
      <c r="H470" t="s">
        <v>12</v>
      </c>
      <c r="I470" t="s">
        <v>2376</v>
      </c>
      <c r="J470" t="s">
        <v>751</v>
      </c>
      <c r="K470" s="2">
        <v>40388</v>
      </c>
      <c r="L470" s="2">
        <v>40388</v>
      </c>
      <c r="M470" t="str">
        <f>IFERROR(IF(VLOOKUP(LEFT(B470,2),'Humanitarian codes'!$A$2:$A$10,1,FALSE)=LEFT(B470,2),"Yes","Error"),"No")</f>
        <v>Yes</v>
      </c>
    </row>
    <row r="471" spans="1:13" x14ac:dyDescent="0.25">
      <c r="A471" t="s">
        <v>2196</v>
      </c>
      <c r="B471" t="s">
        <v>2377</v>
      </c>
      <c r="C471" t="s">
        <v>2378</v>
      </c>
      <c r="D471" t="s">
        <v>30</v>
      </c>
      <c r="E471" t="s">
        <v>123</v>
      </c>
      <c r="F471" t="s">
        <v>2200</v>
      </c>
      <c r="G471">
        <v>4500331029</v>
      </c>
      <c r="H471" t="s">
        <v>12</v>
      </c>
      <c r="I471" t="s">
        <v>2366</v>
      </c>
      <c r="J471" t="s">
        <v>123</v>
      </c>
      <c r="K471" s="2">
        <v>18365</v>
      </c>
      <c r="L471" s="2">
        <v>30211</v>
      </c>
      <c r="M471" t="str">
        <f>IFERROR(IF(VLOOKUP(LEFT(B471,2),'Humanitarian codes'!$A$2:$A$10,1,FALSE)=LEFT(B471,2),"Yes","Error"),"No")</f>
        <v>Yes</v>
      </c>
    </row>
    <row r="472" spans="1:13" x14ac:dyDescent="0.25">
      <c r="A472" t="s">
        <v>2196</v>
      </c>
      <c r="B472" t="s">
        <v>2379</v>
      </c>
      <c r="C472" t="s">
        <v>2380</v>
      </c>
      <c r="D472" t="s">
        <v>30</v>
      </c>
      <c r="E472" t="s">
        <v>123</v>
      </c>
      <c r="F472" t="s">
        <v>2200</v>
      </c>
      <c r="G472">
        <v>4500332601</v>
      </c>
      <c r="H472" t="s">
        <v>12</v>
      </c>
      <c r="I472" t="s">
        <v>1980</v>
      </c>
      <c r="J472" t="s">
        <v>123</v>
      </c>
      <c r="K472" s="2">
        <v>319372</v>
      </c>
      <c r="L472" s="2">
        <v>319372</v>
      </c>
      <c r="M472" t="str">
        <f>IFERROR(IF(VLOOKUP(LEFT(B472,2),'Humanitarian codes'!$A$2:$A$10,1,FALSE)=LEFT(B472,2),"Yes","Error"),"No")</f>
        <v>Yes</v>
      </c>
    </row>
    <row r="473" spans="1:13" x14ac:dyDescent="0.25">
      <c r="A473" t="s">
        <v>2196</v>
      </c>
      <c r="B473" t="s">
        <v>1270</v>
      </c>
      <c r="C473" t="s">
        <v>1271</v>
      </c>
      <c r="D473" t="s">
        <v>30</v>
      </c>
      <c r="E473" t="s">
        <v>751</v>
      </c>
      <c r="F473" t="s">
        <v>2381</v>
      </c>
      <c r="G473">
        <v>4500334771</v>
      </c>
      <c r="H473" t="s">
        <v>12</v>
      </c>
      <c r="I473" t="s">
        <v>2382</v>
      </c>
      <c r="J473" t="s">
        <v>581</v>
      </c>
      <c r="K473" s="2">
        <v>62780</v>
      </c>
      <c r="L473" s="2">
        <v>62780</v>
      </c>
      <c r="M473" t="str">
        <f>IFERROR(IF(VLOOKUP(LEFT(B473,2),'Humanitarian codes'!$A$2:$A$10,1,FALSE)=LEFT(B473,2),"Yes","Error"),"No")</f>
        <v>Yes</v>
      </c>
    </row>
    <row r="474" spans="1:13" x14ac:dyDescent="0.25">
      <c r="A474" t="s">
        <v>2196</v>
      </c>
      <c r="B474" t="s">
        <v>1273</v>
      </c>
      <c r="C474" t="s">
        <v>1274</v>
      </c>
      <c r="D474" t="s">
        <v>30</v>
      </c>
      <c r="E474" t="s">
        <v>261</v>
      </c>
      <c r="F474" t="s">
        <v>2383</v>
      </c>
      <c r="G474">
        <v>4500328978</v>
      </c>
      <c r="H474" t="s">
        <v>12</v>
      </c>
      <c r="I474" t="s">
        <v>2384</v>
      </c>
      <c r="J474" t="s">
        <v>261</v>
      </c>
      <c r="K474" s="2">
        <v>38797</v>
      </c>
      <c r="L474" s="2">
        <v>38797</v>
      </c>
      <c r="M474" t="str">
        <f>IFERROR(IF(VLOOKUP(LEFT(B474,2),'Humanitarian codes'!$A$2:$A$10,1,FALSE)=LEFT(B474,2),"Yes","Error"),"No")</f>
        <v>Yes</v>
      </c>
    </row>
    <row r="475" spans="1:13" x14ac:dyDescent="0.25">
      <c r="A475" t="s">
        <v>2196</v>
      </c>
      <c r="B475" t="s">
        <v>1275</v>
      </c>
      <c r="C475" t="s">
        <v>1276</v>
      </c>
      <c r="D475" t="s">
        <v>30</v>
      </c>
      <c r="E475" t="s">
        <v>197</v>
      </c>
      <c r="F475" t="s">
        <v>2385</v>
      </c>
      <c r="G475">
        <v>4500328563</v>
      </c>
      <c r="H475" t="s">
        <v>12</v>
      </c>
      <c r="I475" t="s">
        <v>860</v>
      </c>
      <c r="J475" t="s">
        <v>197</v>
      </c>
      <c r="K475" s="2">
        <v>73181</v>
      </c>
      <c r="L475" s="2">
        <v>73181</v>
      </c>
      <c r="M475" t="str">
        <f>IFERROR(IF(VLOOKUP(LEFT(B475,2),'Humanitarian codes'!$A$2:$A$10,1,FALSE)=LEFT(B475,2),"Yes","Error"),"No")</f>
        <v>Yes</v>
      </c>
    </row>
    <row r="476" spans="1:13" x14ac:dyDescent="0.25">
      <c r="A476" t="s">
        <v>2196</v>
      </c>
      <c r="B476" t="s">
        <v>1275</v>
      </c>
      <c r="C476" t="s">
        <v>1276</v>
      </c>
      <c r="D476" t="s">
        <v>30</v>
      </c>
      <c r="E476" t="s">
        <v>197</v>
      </c>
      <c r="F476" t="s">
        <v>2386</v>
      </c>
      <c r="G476">
        <v>4500337080</v>
      </c>
      <c r="H476" t="s">
        <v>12</v>
      </c>
      <c r="I476" t="s">
        <v>1373</v>
      </c>
      <c r="J476" t="s">
        <v>197</v>
      </c>
      <c r="K476" s="2">
        <v>37044</v>
      </c>
      <c r="L476" s="2">
        <v>37044</v>
      </c>
      <c r="M476" t="str">
        <f>IFERROR(IF(VLOOKUP(LEFT(B476,2),'Humanitarian codes'!$A$2:$A$10,1,FALSE)=LEFT(B476,2),"Yes","Error"),"No")</f>
        <v>Yes</v>
      </c>
    </row>
    <row r="477" spans="1:13" x14ac:dyDescent="0.25">
      <c r="A477" t="s">
        <v>2196</v>
      </c>
      <c r="B477" t="s">
        <v>1275</v>
      </c>
      <c r="C477" t="s">
        <v>1276</v>
      </c>
      <c r="D477" t="s">
        <v>30</v>
      </c>
      <c r="E477" t="s">
        <v>197</v>
      </c>
      <c r="F477" t="s">
        <v>2387</v>
      </c>
      <c r="G477">
        <v>4500337082</v>
      </c>
      <c r="H477" t="s">
        <v>12</v>
      </c>
      <c r="I477" t="s">
        <v>861</v>
      </c>
      <c r="J477" t="s">
        <v>197</v>
      </c>
      <c r="K477" s="2">
        <v>61732</v>
      </c>
      <c r="L477" s="2">
        <v>61732</v>
      </c>
      <c r="M477" t="str">
        <f>IFERROR(IF(VLOOKUP(LEFT(B477,2),'Humanitarian codes'!$A$2:$A$10,1,FALSE)=LEFT(B477,2),"Yes","Error"),"No")</f>
        <v>Yes</v>
      </c>
    </row>
    <row r="478" spans="1:13" x14ac:dyDescent="0.25">
      <c r="A478" t="s">
        <v>2196</v>
      </c>
      <c r="B478" t="s">
        <v>1275</v>
      </c>
      <c r="C478" t="s">
        <v>1276</v>
      </c>
      <c r="D478" t="s">
        <v>30</v>
      </c>
      <c r="E478" t="s">
        <v>197</v>
      </c>
      <c r="F478" t="s">
        <v>2388</v>
      </c>
      <c r="G478">
        <v>4500337085</v>
      </c>
      <c r="H478" t="s">
        <v>12</v>
      </c>
      <c r="I478" t="s">
        <v>2389</v>
      </c>
      <c r="J478" t="s">
        <v>197</v>
      </c>
      <c r="K478" s="2">
        <v>20996</v>
      </c>
      <c r="L478" s="2">
        <v>20996</v>
      </c>
      <c r="M478" t="str">
        <f>IFERROR(IF(VLOOKUP(LEFT(B478,2),'Humanitarian codes'!$A$2:$A$10,1,FALSE)=LEFT(B478,2),"Yes","Error"),"No")</f>
        <v>Yes</v>
      </c>
    </row>
    <row r="479" spans="1:13" x14ac:dyDescent="0.25">
      <c r="A479" t="s">
        <v>2196</v>
      </c>
      <c r="B479" t="s">
        <v>1275</v>
      </c>
      <c r="C479" t="s">
        <v>1276</v>
      </c>
      <c r="D479" t="s">
        <v>30</v>
      </c>
      <c r="E479" t="s">
        <v>197</v>
      </c>
      <c r="F479" t="s">
        <v>2390</v>
      </c>
      <c r="G479">
        <v>4500338568</v>
      </c>
      <c r="H479" t="s">
        <v>12</v>
      </c>
      <c r="I479" t="s">
        <v>1277</v>
      </c>
      <c r="J479" t="s">
        <v>197</v>
      </c>
      <c r="K479" s="2">
        <v>36433</v>
      </c>
      <c r="L479" s="2">
        <v>36433</v>
      </c>
      <c r="M479" t="str">
        <f>IFERROR(IF(VLOOKUP(LEFT(B479,2),'Humanitarian codes'!$A$2:$A$10,1,FALSE)=LEFT(B479,2),"Yes","Error"),"No")</f>
        <v>Yes</v>
      </c>
    </row>
    <row r="480" spans="1:13" x14ac:dyDescent="0.25">
      <c r="A480" t="s">
        <v>2196</v>
      </c>
      <c r="B480" t="s">
        <v>1275</v>
      </c>
      <c r="C480" t="s">
        <v>1276</v>
      </c>
      <c r="D480" t="s">
        <v>30</v>
      </c>
      <c r="E480" t="s">
        <v>197</v>
      </c>
      <c r="F480" t="s">
        <v>2391</v>
      </c>
      <c r="G480">
        <v>4500338576</v>
      </c>
      <c r="H480" t="s">
        <v>12</v>
      </c>
      <c r="I480" t="s">
        <v>863</v>
      </c>
      <c r="J480" t="s">
        <v>197</v>
      </c>
      <c r="K480" s="2">
        <v>42477</v>
      </c>
      <c r="L480" s="2">
        <v>42477</v>
      </c>
      <c r="M480" t="str">
        <f>IFERROR(IF(VLOOKUP(LEFT(B480,2),'Humanitarian codes'!$A$2:$A$10,1,FALSE)=LEFT(B480,2),"Yes","Error"),"No")</f>
        <v>Yes</v>
      </c>
    </row>
    <row r="481" spans="1:13" x14ac:dyDescent="0.25">
      <c r="A481" t="s">
        <v>2196</v>
      </c>
      <c r="B481" t="s">
        <v>1275</v>
      </c>
      <c r="C481" t="s">
        <v>1276</v>
      </c>
      <c r="D481" t="s">
        <v>30</v>
      </c>
      <c r="E481" t="s">
        <v>197</v>
      </c>
      <c r="F481" t="s">
        <v>2392</v>
      </c>
      <c r="G481">
        <v>4500343830</v>
      </c>
      <c r="H481" t="s">
        <v>12</v>
      </c>
      <c r="I481" t="s">
        <v>1711</v>
      </c>
      <c r="J481" t="s">
        <v>197</v>
      </c>
      <c r="K481" s="2">
        <v>11266</v>
      </c>
      <c r="L481" s="2">
        <v>11266</v>
      </c>
      <c r="M481" t="str">
        <f>IFERROR(IF(VLOOKUP(LEFT(B481,2),'Humanitarian codes'!$A$2:$A$10,1,FALSE)=LEFT(B481,2),"Yes","Error"),"No")</f>
        <v>Yes</v>
      </c>
    </row>
    <row r="482" spans="1:13" x14ac:dyDescent="0.25">
      <c r="A482" t="s">
        <v>2196</v>
      </c>
      <c r="B482" t="s">
        <v>1275</v>
      </c>
      <c r="C482" t="s">
        <v>1276</v>
      </c>
      <c r="D482" t="s">
        <v>30</v>
      </c>
      <c r="E482" t="s">
        <v>197</v>
      </c>
      <c r="F482" t="s">
        <v>2393</v>
      </c>
      <c r="G482">
        <v>4500343843</v>
      </c>
      <c r="H482" t="s">
        <v>12</v>
      </c>
      <c r="I482" t="s">
        <v>2394</v>
      </c>
      <c r="J482" t="s">
        <v>197</v>
      </c>
      <c r="K482" s="2">
        <v>5511</v>
      </c>
      <c r="L482" s="2">
        <v>5511</v>
      </c>
      <c r="M482" t="str">
        <f>IFERROR(IF(VLOOKUP(LEFT(B482,2),'Humanitarian codes'!$A$2:$A$10,1,FALSE)=LEFT(B482,2),"Yes","Error"),"No")</f>
        <v>Yes</v>
      </c>
    </row>
    <row r="483" spans="1:13" x14ac:dyDescent="0.25">
      <c r="A483" t="s">
        <v>2196</v>
      </c>
      <c r="B483" t="s">
        <v>1275</v>
      </c>
      <c r="C483" t="s">
        <v>1276</v>
      </c>
      <c r="D483" t="s">
        <v>30</v>
      </c>
      <c r="E483" t="s">
        <v>864</v>
      </c>
      <c r="F483" t="s">
        <v>2395</v>
      </c>
      <c r="G483">
        <v>4500337498</v>
      </c>
      <c r="H483" t="s">
        <v>12</v>
      </c>
      <c r="I483" t="s">
        <v>865</v>
      </c>
      <c r="J483" t="s">
        <v>864</v>
      </c>
      <c r="K483" s="2">
        <v>67119</v>
      </c>
      <c r="L483" s="2">
        <v>67119</v>
      </c>
      <c r="M483" t="str">
        <f>IFERROR(IF(VLOOKUP(LEFT(B483,2),'Humanitarian codes'!$A$2:$A$10,1,FALSE)=LEFT(B483,2),"Yes","Error"),"No")</f>
        <v>Yes</v>
      </c>
    </row>
    <row r="484" spans="1:13" x14ac:dyDescent="0.25">
      <c r="A484" t="s">
        <v>2196</v>
      </c>
      <c r="B484" t="s">
        <v>1275</v>
      </c>
      <c r="C484" t="s">
        <v>1276</v>
      </c>
      <c r="D484" t="s">
        <v>30</v>
      </c>
      <c r="E484" t="s">
        <v>864</v>
      </c>
      <c r="F484" t="s">
        <v>2396</v>
      </c>
      <c r="G484">
        <v>4500339904</v>
      </c>
      <c r="H484" t="s">
        <v>12</v>
      </c>
      <c r="I484" t="s">
        <v>867</v>
      </c>
      <c r="J484" t="s">
        <v>864</v>
      </c>
      <c r="K484" s="2">
        <v>56787</v>
      </c>
      <c r="L484" s="2">
        <v>56787</v>
      </c>
      <c r="M484" t="str">
        <f>IFERROR(IF(VLOOKUP(LEFT(B484,2),'Humanitarian codes'!$A$2:$A$10,1,FALSE)=LEFT(B484,2),"Yes","Error"),"No")</f>
        <v>Yes</v>
      </c>
    </row>
    <row r="485" spans="1:13" x14ac:dyDescent="0.25">
      <c r="A485" t="s">
        <v>2196</v>
      </c>
      <c r="B485" t="s">
        <v>1275</v>
      </c>
      <c r="C485" t="s">
        <v>1276</v>
      </c>
      <c r="D485" t="s">
        <v>30</v>
      </c>
      <c r="E485" t="s">
        <v>864</v>
      </c>
      <c r="F485" t="s">
        <v>2397</v>
      </c>
      <c r="G485">
        <v>4500339909</v>
      </c>
      <c r="H485" t="s">
        <v>12</v>
      </c>
      <c r="I485" t="s">
        <v>2398</v>
      </c>
      <c r="J485" t="s">
        <v>864</v>
      </c>
      <c r="K485" s="2">
        <v>18724</v>
      </c>
      <c r="L485" s="2">
        <v>18724</v>
      </c>
      <c r="M485" t="str">
        <f>IFERROR(IF(VLOOKUP(LEFT(B485,2),'Humanitarian codes'!$A$2:$A$10,1,FALSE)=LEFT(B485,2),"Yes","Error"),"No")</f>
        <v>Yes</v>
      </c>
    </row>
    <row r="486" spans="1:13" x14ac:dyDescent="0.25">
      <c r="A486" t="s">
        <v>2196</v>
      </c>
      <c r="B486" t="s">
        <v>1275</v>
      </c>
      <c r="C486" t="s">
        <v>1276</v>
      </c>
      <c r="D486" t="s">
        <v>30</v>
      </c>
      <c r="E486" t="s">
        <v>201</v>
      </c>
      <c r="F486" t="s">
        <v>2399</v>
      </c>
      <c r="G486">
        <v>4500349281</v>
      </c>
      <c r="H486" t="s">
        <v>12</v>
      </c>
      <c r="I486" t="s">
        <v>202</v>
      </c>
      <c r="J486" t="s">
        <v>201</v>
      </c>
      <c r="K486" s="2">
        <v>97450</v>
      </c>
      <c r="L486" s="2">
        <v>97450</v>
      </c>
      <c r="M486" t="str">
        <f>IFERROR(IF(VLOOKUP(LEFT(B486,2),'Humanitarian codes'!$A$2:$A$10,1,FALSE)=LEFT(B486,2),"Yes","Error"),"No")</f>
        <v>Yes</v>
      </c>
    </row>
    <row r="487" spans="1:13" x14ac:dyDescent="0.25">
      <c r="A487" t="s">
        <v>2196</v>
      </c>
      <c r="B487" t="s">
        <v>1275</v>
      </c>
      <c r="C487" t="s">
        <v>1276</v>
      </c>
      <c r="D487" t="s">
        <v>30</v>
      </c>
      <c r="E487" t="s">
        <v>831</v>
      </c>
      <c r="F487" t="s">
        <v>2400</v>
      </c>
      <c r="G487">
        <v>4500345667</v>
      </c>
      <c r="H487" t="s">
        <v>12</v>
      </c>
      <c r="I487" t="s">
        <v>868</v>
      </c>
      <c r="J487" t="s">
        <v>831</v>
      </c>
      <c r="K487" s="2">
        <v>15070</v>
      </c>
      <c r="L487" s="2">
        <v>15070</v>
      </c>
      <c r="M487" t="str">
        <f>IFERROR(IF(VLOOKUP(LEFT(B487,2),'Humanitarian codes'!$A$2:$A$10,1,FALSE)=LEFT(B487,2),"Yes","Error"),"No")</f>
        <v>Yes</v>
      </c>
    </row>
    <row r="488" spans="1:13" x14ac:dyDescent="0.25">
      <c r="A488" t="s">
        <v>2196</v>
      </c>
      <c r="B488" t="s">
        <v>1275</v>
      </c>
      <c r="C488" t="s">
        <v>1276</v>
      </c>
      <c r="D488" t="s">
        <v>30</v>
      </c>
      <c r="E488" t="s">
        <v>831</v>
      </c>
      <c r="F488" t="s">
        <v>2401</v>
      </c>
      <c r="G488">
        <v>4500345674</v>
      </c>
      <c r="H488" t="s">
        <v>12</v>
      </c>
      <c r="I488" t="s">
        <v>870</v>
      </c>
      <c r="J488" t="s">
        <v>831</v>
      </c>
      <c r="K488" s="2">
        <v>45209</v>
      </c>
      <c r="L488" s="2">
        <v>45209</v>
      </c>
      <c r="M488" t="str">
        <f>IFERROR(IF(VLOOKUP(LEFT(B488,2),'Humanitarian codes'!$A$2:$A$10,1,FALSE)=LEFT(B488,2),"Yes","Error"),"No")</f>
        <v>Yes</v>
      </c>
    </row>
    <row r="489" spans="1:13" x14ac:dyDescent="0.25">
      <c r="A489" t="s">
        <v>2196</v>
      </c>
      <c r="B489" t="s">
        <v>1275</v>
      </c>
      <c r="C489" t="s">
        <v>1276</v>
      </c>
      <c r="D489" t="s">
        <v>30</v>
      </c>
      <c r="E489" t="s">
        <v>205</v>
      </c>
      <c r="F489" t="s">
        <v>2402</v>
      </c>
      <c r="G489">
        <v>4500329647</v>
      </c>
      <c r="H489" t="s">
        <v>12</v>
      </c>
      <c r="I489" t="s">
        <v>2403</v>
      </c>
      <c r="J489" t="s">
        <v>205</v>
      </c>
      <c r="K489" s="2">
        <v>374633</v>
      </c>
      <c r="L489" s="2">
        <v>374633</v>
      </c>
      <c r="M489" t="str">
        <f>IFERROR(IF(VLOOKUP(LEFT(B489,2),'Humanitarian codes'!$A$2:$A$10,1,FALSE)=LEFT(B489,2),"Yes","Error"),"No")</f>
        <v>Yes</v>
      </c>
    </row>
    <row r="490" spans="1:13" x14ac:dyDescent="0.25">
      <c r="A490" t="s">
        <v>2196</v>
      </c>
      <c r="B490" t="s">
        <v>1275</v>
      </c>
      <c r="C490" t="s">
        <v>1276</v>
      </c>
      <c r="D490" t="s">
        <v>30</v>
      </c>
      <c r="E490" t="s">
        <v>205</v>
      </c>
      <c r="F490" t="s">
        <v>2404</v>
      </c>
      <c r="G490">
        <v>4500330650</v>
      </c>
      <c r="H490" t="s">
        <v>12</v>
      </c>
      <c r="I490" t="s">
        <v>872</v>
      </c>
      <c r="J490" t="s">
        <v>205</v>
      </c>
      <c r="K490" s="2">
        <v>115000</v>
      </c>
      <c r="L490" s="2">
        <v>115000</v>
      </c>
      <c r="M490" t="str">
        <f>IFERROR(IF(VLOOKUP(LEFT(B490,2),'Humanitarian codes'!$A$2:$A$10,1,FALSE)=LEFT(B490,2),"Yes","Error"),"No")</f>
        <v>Yes</v>
      </c>
    </row>
    <row r="491" spans="1:13" x14ac:dyDescent="0.25">
      <c r="A491" t="s">
        <v>2196</v>
      </c>
      <c r="B491" t="s">
        <v>1275</v>
      </c>
      <c r="C491" t="s">
        <v>1276</v>
      </c>
      <c r="D491" t="s">
        <v>30</v>
      </c>
      <c r="E491" t="s">
        <v>205</v>
      </c>
      <c r="F491" t="s">
        <v>2405</v>
      </c>
      <c r="G491">
        <v>4500331098</v>
      </c>
      <c r="H491" t="s">
        <v>12</v>
      </c>
      <c r="I491" t="s">
        <v>2143</v>
      </c>
      <c r="J491" t="s">
        <v>205</v>
      </c>
      <c r="K491" s="2">
        <v>60000</v>
      </c>
      <c r="L491" s="2">
        <v>60000</v>
      </c>
      <c r="M491" t="str">
        <f>IFERROR(IF(VLOOKUP(LEFT(B491,2),'Humanitarian codes'!$A$2:$A$10,1,FALSE)=LEFT(B491,2),"Yes","Error"),"No")</f>
        <v>Yes</v>
      </c>
    </row>
    <row r="492" spans="1:13" x14ac:dyDescent="0.25">
      <c r="A492" t="s">
        <v>2196</v>
      </c>
      <c r="B492" t="s">
        <v>1275</v>
      </c>
      <c r="C492" t="s">
        <v>1276</v>
      </c>
      <c r="D492" t="s">
        <v>30</v>
      </c>
      <c r="E492" t="s">
        <v>205</v>
      </c>
      <c r="F492" t="s">
        <v>2406</v>
      </c>
      <c r="G492">
        <v>4500331846</v>
      </c>
      <c r="H492" t="s">
        <v>12</v>
      </c>
      <c r="I492" t="s">
        <v>2407</v>
      </c>
      <c r="J492" t="s">
        <v>205</v>
      </c>
      <c r="K492" s="2">
        <v>140000</v>
      </c>
      <c r="L492" s="2">
        <v>140000</v>
      </c>
      <c r="M492" t="str">
        <f>IFERROR(IF(VLOOKUP(LEFT(B492,2),'Humanitarian codes'!$A$2:$A$10,1,FALSE)=LEFT(B492,2),"Yes","Error"),"No")</f>
        <v>Yes</v>
      </c>
    </row>
    <row r="493" spans="1:13" x14ac:dyDescent="0.25">
      <c r="A493" t="s">
        <v>2196</v>
      </c>
      <c r="B493" t="s">
        <v>1275</v>
      </c>
      <c r="C493" t="s">
        <v>1276</v>
      </c>
      <c r="D493" t="s">
        <v>30</v>
      </c>
      <c r="E493" t="s">
        <v>205</v>
      </c>
      <c r="F493" t="s">
        <v>2223</v>
      </c>
      <c r="G493">
        <v>4500340948</v>
      </c>
      <c r="H493" t="s">
        <v>12</v>
      </c>
      <c r="I493" t="s">
        <v>878</v>
      </c>
      <c r="J493" t="s">
        <v>205</v>
      </c>
      <c r="K493" s="2">
        <v>93000</v>
      </c>
      <c r="L493" s="2">
        <v>101000</v>
      </c>
      <c r="M493" t="str">
        <f>IFERROR(IF(VLOOKUP(LEFT(B493,2),'Humanitarian codes'!$A$2:$A$10,1,FALSE)=LEFT(B493,2),"Yes","Error"),"No")</f>
        <v>Yes</v>
      </c>
    </row>
    <row r="494" spans="1:13" x14ac:dyDescent="0.25">
      <c r="A494" t="s">
        <v>2196</v>
      </c>
      <c r="B494" t="s">
        <v>1275</v>
      </c>
      <c r="C494" t="s">
        <v>1276</v>
      </c>
      <c r="D494" t="s">
        <v>30</v>
      </c>
      <c r="E494" t="s">
        <v>1987</v>
      </c>
      <c r="F494" t="s">
        <v>2200</v>
      </c>
      <c r="G494">
        <v>4500338289</v>
      </c>
      <c r="H494" t="s">
        <v>12</v>
      </c>
      <c r="I494" t="s">
        <v>2408</v>
      </c>
      <c r="J494" t="s">
        <v>1987</v>
      </c>
      <c r="K494" s="2">
        <v>14345</v>
      </c>
      <c r="L494" s="2">
        <v>14345</v>
      </c>
      <c r="M494" t="str">
        <f>IFERROR(IF(VLOOKUP(LEFT(B494,2),'Humanitarian codes'!$A$2:$A$10,1,FALSE)=LEFT(B494,2),"Yes","Error"),"No")</f>
        <v>Yes</v>
      </c>
    </row>
    <row r="495" spans="1:13" x14ac:dyDescent="0.25">
      <c r="A495" t="s">
        <v>2196</v>
      </c>
      <c r="B495" t="s">
        <v>1275</v>
      </c>
      <c r="C495" t="s">
        <v>1276</v>
      </c>
      <c r="D495" t="s">
        <v>30</v>
      </c>
      <c r="E495" t="s">
        <v>210</v>
      </c>
      <c r="F495" t="s">
        <v>2409</v>
      </c>
      <c r="G495">
        <v>4500327238</v>
      </c>
      <c r="H495" t="s">
        <v>12</v>
      </c>
      <c r="I495" t="s">
        <v>1989</v>
      </c>
      <c r="J495" t="s">
        <v>210</v>
      </c>
      <c r="K495" s="2">
        <v>71506</v>
      </c>
      <c r="L495" s="2">
        <v>71506</v>
      </c>
      <c r="M495" t="str">
        <f>IFERROR(IF(VLOOKUP(LEFT(B495,2),'Humanitarian codes'!$A$2:$A$10,1,FALSE)=LEFT(B495,2),"Yes","Error"),"No")</f>
        <v>Yes</v>
      </c>
    </row>
    <row r="496" spans="1:13" x14ac:dyDescent="0.25">
      <c r="A496" t="s">
        <v>2196</v>
      </c>
      <c r="B496" t="s">
        <v>1275</v>
      </c>
      <c r="C496" t="s">
        <v>1276</v>
      </c>
      <c r="D496" t="s">
        <v>30</v>
      </c>
      <c r="E496" t="s">
        <v>210</v>
      </c>
      <c r="F496" t="s">
        <v>2410</v>
      </c>
      <c r="G496">
        <v>4500332743</v>
      </c>
      <c r="H496" t="s">
        <v>12</v>
      </c>
      <c r="I496" t="s">
        <v>880</v>
      </c>
      <c r="J496" t="s">
        <v>210</v>
      </c>
      <c r="K496" s="2">
        <v>60426</v>
      </c>
      <c r="L496" s="2">
        <v>60426</v>
      </c>
      <c r="M496" t="str">
        <f>IFERROR(IF(VLOOKUP(LEFT(B496,2),'Humanitarian codes'!$A$2:$A$10,1,FALSE)=LEFT(B496,2),"Yes","Error"),"No")</f>
        <v>Yes</v>
      </c>
    </row>
    <row r="497" spans="1:13" x14ac:dyDescent="0.25">
      <c r="A497" t="s">
        <v>2196</v>
      </c>
      <c r="B497" t="s">
        <v>1275</v>
      </c>
      <c r="C497" t="s">
        <v>1276</v>
      </c>
      <c r="D497" t="s">
        <v>30</v>
      </c>
      <c r="E497" t="s">
        <v>210</v>
      </c>
      <c r="F497" t="s">
        <v>2411</v>
      </c>
      <c r="G497">
        <v>4500335075</v>
      </c>
      <c r="H497" t="s">
        <v>12</v>
      </c>
      <c r="I497" t="s">
        <v>216</v>
      </c>
      <c r="J497" t="s">
        <v>210</v>
      </c>
      <c r="K497" s="2">
        <v>189546</v>
      </c>
      <c r="L497" s="2">
        <v>189546</v>
      </c>
      <c r="M497" t="str">
        <f>IFERROR(IF(VLOOKUP(LEFT(B497,2),'Humanitarian codes'!$A$2:$A$10,1,FALSE)=LEFT(B497,2),"Yes","Error"),"No")</f>
        <v>Yes</v>
      </c>
    </row>
    <row r="498" spans="1:13" x14ac:dyDescent="0.25">
      <c r="A498" t="s">
        <v>2196</v>
      </c>
      <c r="B498" t="s">
        <v>1275</v>
      </c>
      <c r="C498" t="s">
        <v>1276</v>
      </c>
      <c r="D498" t="s">
        <v>30</v>
      </c>
      <c r="E498" t="s">
        <v>210</v>
      </c>
      <c r="F498" t="s">
        <v>2412</v>
      </c>
      <c r="G498">
        <v>4500336184</v>
      </c>
      <c r="H498" t="s">
        <v>12</v>
      </c>
      <c r="I498" t="s">
        <v>2413</v>
      </c>
      <c r="J498" t="s">
        <v>210</v>
      </c>
      <c r="K498" s="2">
        <v>25222</v>
      </c>
      <c r="L498" s="2">
        <v>25222</v>
      </c>
      <c r="M498" t="str">
        <f>IFERROR(IF(VLOOKUP(LEFT(B498,2),'Humanitarian codes'!$A$2:$A$10,1,FALSE)=LEFT(B498,2),"Yes","Error"),"No")</f>
        <v>Yes</v>
      </c>
    </row>
    <row r="499" spans="1:13" x14ac:dyDescent="0.25">
      <c r="A499" t="s">
        <v>2196</v>
      </c>
      <c r="B499" t="s">
        <v>1275</v>
      </c>
      <c r="C499" t="s">
        <v>1276</v>
      </c>
      <c r="D499" t="s">
        <v>30</v>
      </c>
      <c r="E499" t="s">
        <v>210</v>
      </c>
      <c r="F499" t="s">
        <v>2414</v>
      </c>
      <c r="G499">
        <v>4500336223</v>
      </c>
      <c r="H499" t="s">
        <v>12</v>
      </c>
      <c r="I499" t="s">
        <v>883</v>
      </c>
      <c r="J499" t="s">
        <v>210</v>
      </c>
      <c r="K499" s="2">
        <v>74543</v>
      </c>
      <c r="L499" s="2">
        <v>74543</v>
      </c>
      <c r="M499" t="str">
        <f>IFERROR(IF(VLOOKUP(LEFT(B499,2),'Humanitarian codes'!$A$2:$A$10,1,FALSE)=LEFT(B499,2),"Yes","Error"),"No")</f>
        <v>Yes</v>
      </c>
    </row>
    <row r="500" spans="1:13" x14ac:dyDescent="0.25">
      <c r="A500" t="s">
        <v>2196</v>
      </c>
      <c r="B500" t="s">
        <v>1275</v>
      </c>
      <c r="C500" t="s">
        <v>1276</v>
      </c>
      <c r="D500" t="s">
        <v>30</v>
      </c>
      <c r="E500" t="s">
        <v>210</v>
      </c>
      <c r="F500" t="s">
        <v>2415</v>
      </c>
      <c r="G500">
        <v>4500339743</v>
      </c>
      <c r="H500" t="s">
        <v>12</v>
      </c>
      <c r="I500" t="s">
        <v>2416</v>
      </c>
      <c r="J500" t="s">
        <v>210</v>
      </c>
      <c r="K500" s="2">
        <v>64794</v>
      </c>
      <c r="L500" s="2">
        <v>64794</v>
      </c>
      <c r="M500" t="str">
        <f>IFERROR(IF(VLOOKUP(LEFT(B500,2),'Humanitarian codes'!$A$2:$A$10,1,FALSE)=LEFT(B500,2),"Yes","Error"),"No")</f>
        <v>Yes</v>
      </c>
    </row>
    <row r="501" spans="1:13" x14ac:dyDescent="0.25">
      <c r="A501" t="s">
        <v>2196</v>
      </c>
      <c r="B501" t="s">
        <v>1275</v>
      </c>
      <c r="C501" t="s">
        <v>1276</v>
      </c>
      <c r="D501" t="s">
        <v>30</v>
      </c>
      <c r="E501" t="s">
        <v>210</v>
      </c>
      <c r="F501" t="s">
        <v>2417</v>
      </c>
      <c r="G501">
        <v>4500340211</v>
      </c>
      <c r="H501" t="s">
        <v>12</v>
      </c>
      <c r="I501" t="s">
        <v>627</v>
      </c>
      <c r="J501" t="s">
        <v>210</v>
      </c>
      <c r="K501" s="2">
        <v>59649</v>
      </c>
      <c r="L501" s="2">
        <v>59649</v>
      </c>
      <c r="M501" t="str">
        <f>IFERROR(IF(VLOOKUP(LEFT(B501,2),'Humanitarian codes'!$A$2:$A$10,1,FALSE)=LEFT(B501,2),"Yes","Error"),"No")</f>
        <v>Yes</v>
      </c>
    </row>
    <row r="502" spans="1:13" x14ac:dyDescent="0.25">
      <c r="A502" t="s">
        <v>2196</v>
      </c>
      <c r="B502" t="s">
        <v>1275</v>
      </c>
      <c r="C502" t="s">
        <v>1276</v>
      </c>
      <c r="D502" t="s">
        <v>30</v>
      </c>
      <c r="E502" t="s">
        <v>210</v>
      </c>
      <c r="F502" t="s">
        <v>2418</v>
      </c>
      <c r="G502">
        <v>4500341080</v>
      </c>
      <c r="H502" t="s">
        <v>12</v>
      </c>
      <c r="I502" t="s">
        <v>217</v>
      </c>
      <c r="J502" t="s">
        <v>210</v>
      </c>
      <c r="K502" s="2">
        <v>10025</v>
      </c>
      <c r="L502" s="2">
        <v>10025</v>
      </c>
      <c r="M502" t="str">
        <f>IFERROR(IF(VLOOKUP(LEFT(B502,2),'Humanitarian codes'!$A$2:$A$10,1,FALSE)=LEFT(B502,2),"Yes","Error"),"No")</f>
        <v>Yes</v>
      </c>
    </row>
    <row r="503" spans="1:13" x14ac:dyDescent="0.25">
      <c r="A503" t="s">
        <v>2196</v>
      </c>
      <c r="B503" t="s">
        <v>1275</v>
      </c>
      <c r="C503" t="s">
        <v>1276</v>
      </c>
      <c r="D503" t="s">
        <v>30</v>
      </c>
      <c r="E503" t="s">
        <v>210</v>
      </c>
      <c r="F503" t="s">
        <v>2419</v>
      </c>
      <c r="G503">
        <v>4500347540</v>
      </c>
      <c r="H503" t="s">
        <v>12</v>
      </c>
      <c r="I503" t="s">
        <v>882</v>
      </c>
      <c r="J503" t="s">
        <v>210</v>
      </c>
      <c r="K503" s="2">
        <v>28901</v>
      </c>
      <c r="L503" s="2">
        <v>28901</v>
      </c>
      <c r="M503" t="str">
        <f>IFERROR(IF(VLOOKUP(LEFT(B503,2),'Humanitarian codes'!$A$2:$A$10,1,FALSE)=LEFT(B503,2),"Yes","Error"),"No")</f>
        <v>Yes</v>
      </c>
    </row>
    <row r="504" spans="1:13" x14ac:dyDescent="0.25">
      <c r="A504" t="s">
        <v>2196</v>
      </c>
      <c r="B504" t="s">
        <v>1275</v>
      </c>
      <c r="C504" t="s">
        <v>1276</v>
      </c>
      <c r="D504" t="s">
        <v>30</v>
      </c>
      <c r="E504" t="s">
        <v>1048</v>
      </c>
      <c r="F504" t="s">
        <v>2200</v>
      </c>
      <c r="G504">
        <v>4500344282</v>
      </c>
      <c r="H504" t="s">
        <v>12</v>
      </c>
      <c r="I504" t="s">
        <v>1049</v>
      </c>
      <c r="J504" t="s">
        <v>1048</v>
      </c>
      <c r="K504" s="2">
        <v>99601</v>
      </c>
      <c r="L504" s="2">
        <v>99601</v>
      </c>
      <c r="M504" t="str">
        <f>IFERROR(IF(VLOOKUP(LEFT(B504,2),'Humanitarian codes'!$A$2:$A$10,1,FALSE)=LEFT(B504,2),"Yes","Error"),"No")</f>
        <v>Yes</v>
      </c>
    </row>
    <row r="505" spans="1:13" x14ac:dyDescent="0.25">
      <c r="A505" t="s">
        <v>2196</v>
      </c>
      <c r="B505" t="s">
        <v>1275</v>
      </c>
      <c r="C505" t="s">
        <v>1276</v>
      </c>
      <c r="D505" t="s">
        <v>30</v>
      </c>
      <c r="E505" t="s">
        <v>885</v>
      </c>
      <c r="F505" t="s">
        <v>2420</v>
      </c>
      <c r="G505">
        <v>4500338287</v>
      </c>
      <c r="H505" t="s">
        <v>12</v>
      </c>
      <c r="I505" t="s">
        <v>886</v>
      </c>
      <c r="J505" t="s">
        <v>885</v>
      </c>
      <c r="K505" s="2">
        <v>71079</v>
      </c>
      <c r="L505" s="2">
        <v>71079</v>
      </c>
      <c r="M505" t="str">
        <f>IFERROR(IF(VLOOKUP(LEFT(B505,2),'Humanitarian codes'!$A$2:$A$10,1,FALSE)=LEFT(B505,2),"Yes","Error"),"No")</f>
        <v>Yes</v>
      </c>
    </row>
    <row r="506" spans="1:13" x14ac:dyDescent="0.25">
      <c r="A506" t="s">
        <v>2196</v>
      </c>
      <c r="B506" t="s">
        <v>2421</v>
      </c>
      <c r="C506" t="s">
        <v>2422</v>
      </c>
      <c r="D506" t="s">
        <v>30</v>
      </c>
      <c r="E506" t="s">
        <v>992</v>
      </c>
      <c r="F506" t="s">
        <v>2357</v>
      </c>
      <c r="G506">
        <v>4500349197</v>
      </c>
      <c r="H506" t="s">
        <v>12</v>
      </c>
      <c r="I506" t="s">
        <v>2423</v>
      </c>
      <c r="J506" t="s">
        <v>992</v>
      </c>
      <c r="K506" s="2">
        <v>59343</v>
      </c>
      <c r="L506" s="2">
        <v>59343</v>
      </c>
      <c r="M506" t="str">
        <f>IFERROR(IF(VLOOKUP(LEFT(B506,2),'Humanitarian codes'!$A$2:$A$10,1,FALSE)=LEFT(B506,2),"Yes","Error"),"No")</f>
        <v>Yes</v>
      </c>
    </row>
    <row r="507" spans="1:13" x14ac:dyDescent="0.25">
      <c r="A507" t="s">
        <v>2196</v>
      </c>
      <c r="B507" t="s">
        <v>2421</v>
      </c>
      <c r="C507" t="s">
        <v>2422</v>
      </c>
      <c r="D507" t="s">
        <v>30</v>
      </c>
      <c r="E507" t="s">
        <v>992</v>
      </c>
      <c r="F507" t="s">
        <v>2200</v>
      </c>
      <c r="G507">
        <v>4500349886</v>
      </c>
      <c r="H507" t="s">
        <v>12</v>
      </c>
      <c r="I507" t="s">
        <v>2424</v>
      </c>
      <c r="J507" t="s">
        <v>992</v>
      </c>
      <c r="K507" s="2">
        <v>123069</v>
      </c>
      <c r="L507" s="2">
        <v>123069</v>
      </c>
      <c r="M507" t="str">
        <f>IFERROR(IF(VLOOKUP(LEFT(B507,2),'Humanitarian codes'!$A$2:$A$10,1,FALSE)=LEFT(B507,2),"Yes","Error"),"No")</f>
        <v>Yes</v>
      </c>
    </row>
    <row r="508" spans="1:13" x14ac:dyDescent="0.25">
      <c r="A508" t="s">
        <v>2196</v>
      </c>
      <c r="B508" t="s">
        <v>107</v>
      </c>
      <c r="C508" t="s">
        <v>1279</v>
      </c>
      <c r="D508" t="s">
        <v>30</v>
      </c>
      <c r="E508" t="s">
        <v>814</v>
      </c>
      <c r="F508" t="s">
        <v>2425</v>
      </c>
      <c r="G508">
        <v>4500333478</v>
      </c>
      <c r="H508" t="s">
        <v>12</v>
      </c>
      <c r="I508" t="s">
        <v>113</v>
      </c>
      <c r="J508" t="s">
        <v>814</v>
      </c>
      <c r="K508" s="2">
        <v>8229</v>
      </c>
      <c r="L508" s="2">
        <v>27429</v>
      </c>
      <c r="M508" t="str">
        <f>IFERROR(IF(VLOOKUP(LEFT(B508,2),'Humanitarian codes'!$A$2:$A$10,1,FALSE)=LEFT(B508,2),"Yes","Error"),"No")</f>
        <v>Yes</v>
      </c>
    </row>
    <row r="509" spans="1:13" x14ac:dyDescent="0.25">
      <c r="A509" t="s">
        <v>2196</v>
      </c>
      <c r="B509" t="s">
        <v>107</v>
      </c>
      <c r="C509" t="s">
        <v>1279</v>
      </c>
      <c r="D509" t="s">
        <v>30</v>
      </c>
      <c r="E509" t="s">
        <v>814</v>
      </c>
      <c r="F509" t="s">
        <v>2426</v>
      </c>
      <c r="G509">
        <v>4500333507</v>
      </c>
      <c r="H509" t="s">
        <v>12</v>
      </c>
      <c r="I509" t="s">
        <v>118</v>
      </c>
      <c r="J509" t="s">
        <v>814</v>
      </c>
      <c r="K509" s="2">
        <v>8918</v>
      </c>
      <c r="L509" s="2">
        <v>29727</v>
      </c>
      <c r="M509" t="str">
        <f>IFERROR(IF(VLOOKUP(LEFT(B509,2),'Humanitarian codes'!$A$2:$A$10,1,FALSE)=LEFT(B509,2),"Yes","Error"),"No")</f>
        <v>Yes</v>
      </c>
    </row>
    <row r="510" spans="1:13" x14ac:dyDescent="0.25">
      <c r="A510" t="s">
        <v>2196</v>
      </c>
      <c r="B510" t="s">
        <v>107</v>
      </c>
      <c r="C510" t="s">
        <v>1279</v>
      </c>
      <c r="D510" t="s">
        <v>30</v>
      </c>
      <c r="E510" t="s">
        <v>814</v>
      </c>
      <c r="F510" t="s">
        <v>2427</v>
      </c>
      <c r="G510">
        <v>4500333512</v>
      </c>
      <c r="H510" t="s">
        <v>12</v>
      </c>
      <c r="I510" t="s">
        <v>119</v>
      </c>
      <c r="J510" t="s">
        <v>814</v>
      </c>
      <c r="K510" s="2">
        <v>8588</v>
      </c>
      <c r="L510" s="2">
        <v>28626</v>
      </c>
      <c r="M510" t="str">
        <f>IFERROR(IF(VLOOKUP(LEFT(B510,2),'Humanitarian codes'!$A$2:$A$10,1,FALSE)=LEFT(B510,2),"Yes","Error"),"No")</f>
        <v>Yes</v>
      </c>
    </row>
    <row r="511" spans="1:13" x14ac:dyDescent="0.25">
      <c r="A511" t="s">
        <v>2196</v>
      </c>
      <c r="B511" t="s">
        <v>107</v>
      </c>
      <c r="C511" t="s">
        <v>1279</v>
      </c>
      <c r="D511" t="s">
        <v>30</v>
      </c>
      <c r="E511" t="s">
        <v>814</v>
      </c>
      <c r="F511" t="s">
        <v>2427</v>
      </c>
      <c r="G511">
        <v>4500333514</v>
      </c>
      <c r="H511" t="s">
        <v>12</v>
      </c>
      <c r="I511" t="s">
        <v>116</v>
      </c>
      <c r="J511" t="s">
        <v>814</v>
      </c>
      <c r="K511" s="2">
        <v>7749</v>
      </c>
      <c r="L511" s="2">
        <v>25830</v>
      </c>
      <c r="M511" t="str">
        <f>IFERROR(IF(VLOOKUP(LEFT(B511,2),'Humanitarian codes'!$A$2:$A$10,1,FALSE)=LEFT(B511,2),"Yes","Error"),"No")</f>
        <v>Yes</v>
      </c>
    </row>
    <row r="512" spans="1:13" x14ac:dyDescent="0.25">
      <c r="A512" t="s">
        <v>2196</v>
      </c>
      <c r="B512" t="s">
        <v>107</v>
      </c>
      <c r="C512" t="s">
        <v>1279</v>
      </c>
      <c r="D512" t="s">
        <v>30</v>
      </c>
      <c r="E512" t="s">
        <v>814</v>
      </c>
      <c r="F512" t="s">
        <v>2427</v>
      </c>
      <c r="G512">
        <v>4500333519</v>
      </c>
      <c r="H512" t="s">
        <v>12</v>
      </c>
      <c r="I512" t="s">
        <v>114</v>
      </c>
      <c r="J512" t="s">
        <v>814</v>
      </c>
      <c r="K512" s="2">
        <v>6628</v>
      </c>
      <c r="L512" s="2">
        <v>22094</v>
      </c>
      <c r="M512" t="str">
        <f>IFERROR(IF(VLOOKUP(LEFT(B512,2),'Humanitarian codes'!$A$2:$A$10,1,FALSE)=LEFT(B512,2),"Yes","Error"),"No")</f>
        <v>Yes</v>
      </c>
    </row>
    <row r="513" spans="1:13" x14ac:dyDescent="0.25">
      <c r="A513" t="s">
        <v>2196</v>
      </c>
      <c r="B513" t="s">
        <v>107</v>
      </c>
      <c r="C513" t="s">
        <v>1279</v>
      </c>
      <c r="D513" t="s">
        <v>30</v>
      </c>
      <c r="E513" t="s">
        <v>814</v>
      </c>
      <c r="F513" t="s">
        <v>2427</v>
      </c>
      <c r="G513">
        <v>4500333734</v>
      </c>
      <c r="H513" t="s">
        <v>12</v>
      </c>
      <c r="I513" t="s">
        <v>1721</v>
      </c>
      <c r="J513" t="s">
        <v>814</v>
      </c>
      <c r="K513" s="2">
        <v>5813</v>
      </c>
      <c r="L513" s="2">
        <v>19378</v>
      </c>
      <c r="M513" t="str">
        <f>IFERROR(IF(VLOOKUP(LEFT(B513,2),'Humanitarian codes'!$A$2:$A$10,1,FALSE)=LEFT(B513,2),"Yes","Error"),"No")</f>
        <v>Yes</v>
      </c>
    </row>
    <row r="514" spans="1:13" x14ac:dyDescent="0.25">
      <c r="A514" t="s">
        <v>2196</v>
      </c>
      <c r="B514" t="s">
        <v>107</v>
      </c>
      <c r="C514" t="s">
        <v>1279</v>
      </c>
      <c r="D514" t="s">
        <v>30</v>
      </c>
      <c r="E514" t="s">
        <v>814</v>
      </c>
      <c r="F514" t="s">
        <v>2428</v>
      </c>
      <c r="G514">
        <v>4500337263</v>
      </c>
      <c r="H514" t="s">
        <v>12</v>
      </c>
      <c r="I514" t="s">
        <v>112</v>
      </c>
      <c r="J514" t="s">
        <v>814</v>
      </c>
      <c r="K514" s="2">
        <v>16872</v>
      </c>
      <c r="L514" s="2">
        <v>36283</v>
      </c>
      <c r="M514" t="str">
        <f>IFERROR(IF(VLOOKUP(LEFT(B514,2),'Humanitarian codes'!$A$2:$A$10,1,FALSE)=LEFT(B514,2),"Yes","Error"),"No")</f>
        <v>Yes</v>
      </c>
    </row>
    <row r="515" spans="1:13" x14ac:dyDescent="0.25">
      <c r="A515" t="s">
        <v>2196</v>
      </c>
      <c r="B515" t="s">
        <v>107</v>
      </c>
      <c r="C515" t="s">
        <v>1279</v>
      </c>
      <c r="D515" t="s">
        <v>30</v>
      </c>
      <c r="E515" t="s">
        <v>814</v>
      </c>
      <c r="F515" t="s">
        <v>2427</v>
      </c>
      <c r="G515">
        <v>4500337277</v>
      </c>
      <c r="H515" t="s">
        <v>12</v>
      </c>
      <c r="I515" t="s">
        <v>112</v>
      </c>
      <c r="J515" t="s">
        <v>814</v>
      </c>
      <c r="K515" s="2">
        <v>14811</v>
      </c>
      <c r="L515" s="2">
        <v>49369</v>
      </c>
      <c r="M515" t="str">
        <f>IFERROR(IF(VLOOKUP(LEFT(B515,2),'Humanitarian codes'!$A$2:$A$10,1,FALSE)=LEFT(B515,2),"Yes","Error"),"No")</f>
        <v>Yes</v>
      </c>
    </row>
    <row r="516" spans="1:13" x14ac:dyDescent="0.25">
      <c r="A516" t="s">
        <v>2196</v>
      </c>
      <c r="B516" t="s">
        <v>2429</v>
      </c>
      <c r="C516" t="s">
        <v>896</v>
      </c>
      <c r="D516" t="s">
        <v>30</v>
      </c>
      <c r="E516" t="s">
        <v>320</v>
      </c>
      <c r="F516" t="s">
        <v>2430</v>
      </c>
      <c r="G516">
        <v>4500330092</v>
      </c>
      <c r="H516" t="s">
        <v>12</v>
      </c>
      <c r="I516" t="s">
        <v>851</v>
      </c>
      <c r="J516" t="s">
        <v>320</v>
      </c>
      <c r="K516" s="2">
        <v>3720</v>
      </c>
      <c r="L516" s="2">
        <v>3720</v>
      </c>
      <c r="M516" t="str">
        <f>IFERROR(IF(VLOOKUP(LEFT(B516,2),'Humanitarian codes'!$A$2:$A$10,1,FALSE)=LEFT(B516,2),"Yes","Error"),"No")</f>
        <v>Yes</v>
      </c>
    </row>
    <row r="517" spans="1:13" x14ac:dyDescent="0.25">
      <c r="A517" t="s">
        <v>2196</v>
      </c>
      <c r="B517" t="s">
        <v>2429</v>
      </c>
      <c r="C517" t="s">
        <v>896</v>
      </c>
      <c r="D517" t="s">
        <v>30</v>
      </c>
      <c r="E517" t="s">
        <v>320</v>
      </c>
      <c r="F517" t="s">
        <v>2431</v>
      </c>
      <c r="G517">
        <v>4500334037</v>
      </c>
      <c r="H517" t="s">
        <v>12</v>
      </c>
      <c r="I517" t="s">
        <v>2432</v>
      </c>
      <c r="J517" t="s">
        <v>320</v>
      </c>
      <c r="K517" s="2">
        <v>5550</v>
      </c>
      <c r="L517" s="2">
        <v>5550</v>
      </c>
      <c r="M517" t="str">
        <f>IFERROR(IF(VLOOKUP(LEFT(B517,2),'Humanitarian codes'!$A$2:$A$10,1,FALSE)=LEFT(B517,2),"Yes","Error"),"No")</f>
        <v>Yes</v>
      </c>
    </row>
    <row r="518" spans="1:13" x14ac:dyDescent="0.25">
      <c r="A518" t="s">
        <v>2196</v>
      </c>
      <c r="B518" t="s">
        <v>2433</v>
      </c>
      <c r="C518" t="s">
        <v>2434</v>
      </c>
      <c r="D518" t="s">
        <v>30</v>
      </c>
      <c r="E518" t="s">
        <v>1554</v>
      </c>
      <c r="F518" t="s">
        <v>2200</v>
      </c>
      <c r="G518">
        <v>4500341529</v>
      </c>
      <c r="H518" t="s">
        <v>12</v>
      </c>
      <c r="I518" t="s">
        <v>2435</v>
      </c>
      <c r="J518" t="s">
        <v>1554</v>
      </c>
      <c r="K518" s="2">
        <v>217169</v>
      </c>
      <c r="L518" s="2">
        <v>217169</v>
      </c>
      <c r="M518" t="str">
        <f>IFERROR(IF(VLOOKUP(LEFT(B518,2),'Humanitarian codes'!$A$2:$A$10,1,FALSE)=LEFT(B518,2),"Yes","Error"),"No")</f>
        <v>Yes</v>
      </c>
    </row>
    <row r="519" spans="1:13" x14ac:dyDescent="0.25">
      <c r="A519" t="s">
        <v>2196</v>
      </c>
      <c r="B519" t="s">
        <v>2433</v>
      </c>
      <c r="C519" t="s">
        <v>2434</v>
      </c>
      <c r="D519" t="s">
        <v>30</v>
      </c>
      <c r="E519" t="s">
        <v>1554</v>
      </c>
      <c r="F519" t="s">
        <v>2200</v>
      </c>
      <c r="G519">
        <v>4500344919</v>
      </c>
      <c r="H519" t="s">
        <v>12</v>
      </c>
      <c r="I519" t="s">
        <v>2436</v>
      </c>
      <c r="J519" t="s">
        <v>1554</v>
      </c>
      <c r="K519" s="2">
        <v>168831</v>
      </c>
      <c r="L519" s="2">
        <v>168831</v>
      </c>
      <c r="M519" t="str">
        <f>IFERROR(IF(VLOOKUP(LEFT(B519,2),'Humanitarian codes'!$A$2:$A$10,1,FALSE)=LEFT(B519,2),"Yes","Error"),"No")</f>
        <v>Yes</v>
      </c>
    </row>
    <row r="520" spans="1:13" x14ac:dyDescent="0.25">
      <c r="A520" t="s">
        <v>2196</v>
      </c>
      <c r="B520" t="s">
        <v>2433</v>
      </c>
      <c r="C520" t="s">
        <v>2434</v>
      </c>
      <c r="D520" t="s">
        <v>30</v>
      </c>
      <c r="E520" t="s">
        <v>1554</v>
      </c>
      <c r="F520" t="s">
        <v>2200</v>
      </c>
      <c r="G520">
        <v>4500347289</v>
      </c>
      <c r="H520" t="s">
        <v>12</v>
      </c>
      <c r="I520" t="s">
        <v>2437</v>
      </c>
      <c r="J520" t="s">
        <v>1554</v>
      </c>
      <c r="K520" s="2">
        <v>114031</v>
      </c>
      <c r="L520" s="2">
        <v>114031</v>
      </c>
      <c r="M520" t="str">
        <f>IFERROR(IF(VLOOKUP(LEFT(B520,2),'Humanitarian codes'!$A$2:$A$10,1,FALSE)=LEFT(B520,2),"Yes","Error"),"No")</f>
        <v>Yes</v>
      </c>
    </row>
    <row r="521" spans="1:13" x14ac:dyDescent="0.25">
      <c r="A521" t="s">
        <v>2196</v>
      </c>
      <c r="B521" t="s">
        <v>1990</v>
      </c>
      <c r="C521" t="s">
        <v>1991</v>
      </c>
      <c r="D521" t="s">
        <v>30</v>
      </c>
      <c r="E521" t="s">
        <v>545</v>
      </c>
      <c r="F521" t="s">
        <v>2372</v>
      </c>
      <c r="G521">
        <v>4500337977</v>
      </c>
      <c r="H521" t="s">
        <v>12</v>
      </c>
      <c r="I521" t="s">
        <v>2373</v>
      </c>
      <c r="J521" t="s">
        <v>128</v>
      </c>
      <c r="K521" s="2">
        <v>9351</v>
      </c>
      <c r="L521" s="2">
        <v>58443</v>
      </c>
      <c r="M521" t="str">
        <f>IFERROR(IF(VLOOKUP(LEFT(B521,2),'Humanitarian codes'!$A$2:$A$10,1,FALSE)=LEFT(B521,2),"Yes","Error"),"No")</f>
        <v>Yes</v>
      </c>
    </row>
    <row r="522" spans="1:13" x14ac:dyDescent="0.25">
      <c r="A522" t="s">
        <v>2196</v>
      </c>
      <c r="B522" t="s">
        <v>1724</v>
      </c>
      <c r="C522" t="s">
        <v>1725</v>
      </c>
      <c r="D522" t="s">
        <v>30</v>
      </c>
      <c r="E522" t="s">
        <v>175</v>
      </c>
      <c r="F522" t="s">
        <v>2204</v>
      </c>
      <c r="G522">
        <v>4500344022</v>
      </c>
      <c r="H522" t="s">
        <v>12</v>
      </c>
      <c r="I522" t="s">
        <v>183</v>
      </c>
      <c r="J522" t="s">
        <v>184</v>
      </c>
      <c r="K522" s="2">
        <v>234266</v>
      </c>
      <c r="L522" s="2">
        <v>292894</v>
      </c>
      <c r="M522" t="str">
        <f>IFERROR(IF(VLOOKUP(LEFT(B522,2),'Humanitarian codes'!$A$2:$A$10,1,FALSE)=LEFT(B522,2),"Yes","Error"),"No")</f>
        <v>Yes</v>
      </c>
    </row>
    <row r="523" spans="1:13" x14ac:dyDescent="0.25">
      <c r="A523" t="s">
        <v>2196</v>
      </c>
      <c r="B523" t="s">
        <v>1724</v>
      </c>
      <c r="C523" t="s">
        <v>1725</v>
      </c>
      <c r="D523" t="s">
        <v>30</v>
      </c>
      <c r="E523" t="s">
        <v>175</v>
      </c>
      <c r="F523" t="s">
        <v>2205</v>
      </c>
      <c r="G523">
        <v>4500347926</v>
      </c>
      <c r="H523" t="s">
        <v>12</v>
      </c>
      <c r="I523" t="s">
        <v>887</v>
      </c>
      <c r="J523" t="s">
        <v>175</v>
      </c>
      <c r="K523" s="2">
        <v>116087</v>
      </c>
      <c r="L523" s="2">
        <v>145108</v>
      </c>
      <c r="M523" t="str">
        <f>IFERROR(IF(VLOOKUP(LEFT(B523,2),'Humanitarian codes'!$A$2:$A$10,1,FALSE)=LEFT(B523,2),"Yes","Error"),"No")</f>
        <v>Yes</v>
      </c>
    </row>
    <row r="524" spans="1:13" x14ac:dyDescent="0.25">
      <c r="A524" t="s">
        <v>2196</v>
      </c>
      <c r="B524" t="s">
        <v>2438</v>
      </c>
      <c r="C524" t="s">
        <v>2439</v>
      </c>
      <c r="D524" t="s">
        <v>30</v>
      </c>
      <c r="E524" t="s">
        <v>123</v>
      </c>
      <c r="F524" t="s">
        <v>2200</v>
      </c>
      <c r="G524">
        <v>4500333338</v>
      </c>
      <c r="H524" t="s">
        <v>12</v>
      </c>
      <c r="I524" t="s">
        <v>124</v>
      </c>
      <c r="J524" t="s">
        <v>123</v>
      </c>
      <c r="K524" s="2">
        <v>68381</v>
      </c>
      <c r="L524" s="2">
        <v>68381</v>
      </c>
      <c r="M524" t="str">
        <f>IFERROR(IF(VLOOKUP(LEFT(B524,2),'Humanitarian codes'!$A$2:$A$10,1,FALSE)=LEFT(B524,2),"Yes","Error"),"No")</f>
        <v>Yes</v>
      </c>
    </row>
    <row r="525" spans="1:13" x14ac:dyDescent="0.25">
      <c r="A525" t="s">
        <v>2196</v>
      </c>
      <c r="B525" t="s">
        <v>1997</v>
      </c>
      <c r="C525" t="s">
        <v>1998</v>
      </c>
      <c r="D525" t="s">
        <v>30</v>
      </c>
      <c r="E525" t="s">
        <v>940</v>
      </c>
      <c r="F525" t="s">
        <v>2200</v>
      </c>
      <c r="G525">
        <v>4500344540</v>
      </c>
      <c r="H525" t="s">
        <v>12</v>
      </c>
      <c r="I525" t="s">
        <v>338</v>
      </c>
      <c r="J525" t="s">
        <v>940</v>
      </c>
      <c r="K525" s="2">
        <v>700350</v>
      </c>
      <c r="L525" s="2">
        <v>700350</v>
      </c>
      <c r="M525" t="str">
        <f>IFERROR(IF(VLOOKUP(LEFT(B525,2),'Humanitarian codes'!$A$2:$A$10,1,FALSE)=LEFT(B525,2),"Yes","Error"),"No")</f>
        <v>Yes</v>
      </c>
    </row>
    <row r="526" spans="1:13" x14ac:dyDescent="0.25">
      <c r="A526" t="s">
        <v>2196</v>
      </c>
      <c r="B526" t="s">
        <v>722</v>
      </c>
      <c r="C526" t="s">
        <v>723</v>
      </c>
      <c r="D526" t="s">
        <v>30</v>
      </c>
      <c r="E526" t="s">
        <v>717</v>
      </c>
      <c r="F526" t="s">
        <v>2363</v>
      </c>
      <c r="G526">
        <v>4500326163</v>
      </c>
      <c r="H526" t="s">
        <v>12</v>
      </c>
      <c r="I526" t="s">
        <v>2364</v>
      </c>
      <c r="J526" t="s">
        <v>717</v>
      </c>
      <c r="K526" s="2">
        <v>95607</v>
      </c>
      <c r="L526" s="2">
        <v>116263</v>
      </c>
      <c r="M526" t="str">
        <f>IFERROR(IF(VLOOKUP(LEFT(B526,2),'Humanitarian codes'!$A$2:$A$10,1,FALSE)=LEFT(B526,2),"Yes","Error"),"No")</f>
        <v>Yes</v>
      </c>
    </row>
    <row r="527" spans="1:13" x14ac:dyDescent="0.25">
      <c r="A527" t="s">
        <v>2196</v>
      </c>
      <c r="B527" t="s">
        <v>722</v>
      </c>
      <c r="C527" t="s">
        <v>723</v>
      </c>
      <c r="D527" t="s">
        <v>30</v>
      </c>
      <c r="E527" t="s">
        <v>717</v>
      </c>
      <c r="F527" t="s">
        <v>2440</v>
      </c>
      <c r="G527">
        <v>4500326167</v>
      </c>
      <c r="H527" t="s">
        <v>12</v>
      </c>
      <c r="I527" t="s">
        <v>2441</v>
      </c>
      <c r="J527" t="s">
        <v>717</v>
      </c>
      <c r="K527" s="2">
        <v>63648</v>
      </c>
      <c r="L527" s="2">
        <v>63648</v>
      </c>
      <c r="M527" t="str">
        <f>IFERROR(IF(VLOOKUP(LEFT(B527,2),'Humanitarian codes'!$A$2:$A$10,1,FALSE)=LEFT(B527,2),"Yes","Error"),"No")</f>
        <v>Yes</v>
      </c>
    </row>
    <row r="528" spans="1:13" x14ac:dyDescent="0.25">
      <c r="A528" t="s">
        <v>2196</v>
      </c>
      <c r="B528" t="s">
        <v>722</v>
      </c>
      <c r="C528" t="s">
        <v>723</v>
      </c>
      <c r="D528" t="s">
        <v>30</v>
      </c>
      <c r="E528" t="s">
        <v>717</v>
      </c>
      <c r="F528" t="s">
        <v>2442</v>
      </c>
      <c r="G528">
        <v>4500326322</v>
      </c>
      <c r="H528" t="s">
        <v>12</v>
      </c>
      <c r="I528" t="s">
        <v>1898</v>
      </c>
      <c r="J528" t="s">
        <v>717</v>
      </c>
      <c r="K528" s="2">
        <v>65631</v>
      </c>
      <c r="L528" s="2">
        <v>65631</v>
      </c>
      <c r="M528" t="str">
        <f>IFERROR(IF(VLOOKUP(LEFT(B528,2),'Humanitarian codes'!$A$2:$A$10,1,FALSE)=LEFT(B528,2),"Yes","Error"),"No")</f>
        <v>Yes</v>
      </c>
    </row>
    <row r="529" spans="1:13" x14ac:dyDescent="0.25">
      <c r="A529" t="s">
        <v>2196</v>
      </c>
      <c r="B529" t="s">
        <v>722</v>
      </c>
      <c r="C529" t="s">
        <v>723</v>
      </c>
      <c r="D529" t="s">
        <v>30</v>
      </c>
      <c r="E529" t="s">
        <v>717</v>
      </c>
      <c r="F529" t="s">
        <v>2443</v>
      </c>
      <c r="G529">
        <v>4500343683</v>
      </c>
      <c r="H529" t="s">
        <v>12</v>
      </c>
      <c r="I529" t="s">
        <v>2444</v>
      </c>
      <c r="J529" t="s">
        <v>717</v>
      </c>
      <c r="K529" s="2">
        <v>61273</v>
      </c>
      <c r="L529" s="2">
        <v>61273</v>
      </c>
      <c r="M529" t="str">
        <f>IFERROR(IF(VLOOKUP(LEFT(B529,2),'Humanitarian codes'!$A$2:$A$10,1,FALSE)=LEFT(B529,2),"Yes","Error"),"No")</f>
        <v>Yes</v>
      </c>
    </row>
    <row r="530" spans="1:13" x14ac:dyDescent="0.25">
      <c r="A530" t="s">
        <v>2196</v>
      </c>
      <c r="B530" t="s">
        <v>722</v>
      </c>
      <c r="C530" t="s">
        <v>723</v>
      </c>
      <c r="D530" t="s">
        <v>30</v>
      </c>
      <c r="E530" t="s">
        <v>717</v>
      </c>
      <c r="F530" t="s">
        <v>2445</v>
      </c>
      <c r="G530">
        <v>4500348956</v>
      </c>
      <c r="H530" t="s">
        <v>12</v>
      </c>
      <c r="I530" t="s">
        <v>728</v>
      </c>
      <c r="J530" t="s">
        <v>717</v>
      </c>
      <c r="K530" s="2">
        <v>239979</v>
      </c>
      <c r="L530" s="2">
        <v>239979</v>
      </c>
      <c r="M530" t="str">
        <f>IFERROR(IF(VLOOKUP(LEFT(B530,2),'Humanitarian codes'!$A$2:$A$10,1,FALSE)=LEFT(B530,2),"Yes","Error"),"No")</f>
        <v>Yes</v>
      </c>
    </row>
    <row r="531" spans="1:13" x14ac:dyDescent="0.25">
      <c r="A531" t="s">
        <v>2196</v>
      </c>
      <c r="B531" t="s">
        <v>2446</v>
      </c>
      <c r="C531" t="s">
        <v>2447</v>
      </c>
      <c r="D531" t="s">
        <v>30</v>
      </c>
      <c r="E531" t="s">
        <v>175</v>
      </c>
      <c r="F531" t="s">
        <v>2448</v>
      </c>
      <c r="G531">
        <v>4500341933</v>
      </c>
      <c r="H531" t="s">
        <v>12</v>
      </c>
      <c r="I531" t="s">
        <v>390</v>
      </c>
      <c r="J531" t="s">
        <v>175</v>
      </c>
      <c r="K531" s="2">
        <v>39820</v>
      </c>
      <c r="L531" s="2">
        <v>39820</v>
      </c>
      <c r="M531" t="str">
        <f>IFERROR(IF(VLOOKUP(LEFT(B531,2),'Humanitarian codes'!$A$2:$A$10,1,FALSE)=LEFT(B531,2),"Yes","Error"),"No")</f>
        <v>Yes</v>
      </c>
    </row>
    <row r="532" spans="1:13" x14ac:dyDescent="0.25">
      <c r="A532" t="s">
        <v>2196</v>
      </c>
      <c r="B532" t="s">
        <v>1293</v>
      </c>
      <c r="C532" t="s">
        <v>1294</v>
      </c>
      <c r="D532" t="s">
        <v>30</v>
      </c>
      <c r="E532" t="s">
        <v>123</v>
      </c>
      <c r="F532" t="s">
        <v>2200</v>
      </c>
      <c r="G532">
        <v>4500332711</v>
      </c>
      <c r="H532" t="s">
        <v>12</v>
      </c>
      <c r="I532" t="s">
        <v>2365</v>
      </c>
      <c r="J532" t="s">
        <v>123</v>
      </c>
      <c r="K532" s="2">
        <v>520600</v>
      </c>
      <c r="L532" s="2">
        <v>685000</v>
      </c>
      <c r="M532" t="str">
        <f>IFERROR(IF(VLOOKUP(LEFT(B532,2),'Humanitarian codes'!$A$2:$A$10,1,FALSE)=LEFT(B532,2),"Yes","Error"),"No")</f>
        <v>Yes</v>
      </c>
    </row>
    <row r="533" spans="1:13" x14ac:dyDescent="0.25">
      <c r="A533" t="s">
        <v>2196</v>
      </c>
      <c r="B533" t="s">
        <v>1293</v>
      </c>
      <c r="C533" t="s">
        <v>1294</v>
      </c>
      <c r="D533" t="s">
        <v>30</v>
      </c>
      <c r="E533" t="s">
        <v>123</v>
      </c>
      <c r="F533" t="s">
        <v>2200</v>
      </c>
      <c r="G533">
        <v>4500335021</v>
      </c>
      <c r="H533" t="s">
        <v>12</v>
      </c>
      <c r="I533" t="s">
        <v>431</v>
      </c>
      <c r="J533" t="s">
        <v>123</v>
      </c>
      <c r="K533" s="2">
        <v>409000</v>
      </c>
      <c r="L533" s="2">
        <v>409000</v>
      </c>
      <c r="M533" t="str">
        <f>IFERROR(IF(VLOOKUP(LEFT(B533,2),'Humanitarian codes'!$A$2:$A$10,1,FALSE)=LEFT(B533,2),"Yes","Error"),"No")</f>
        <v>Yes</v>
      </c>
    </row>
    <row r="534" spans="1:13" x14ac:dyDescent="0.25">
      <c r="A534" t="s">
        <v>2196</v>
      </c>
      <c r="B534" t="s">
        <v>1293</v>
      </c>
      <c r="C534" t="s">
        <v>1294</v>
      </c>
      <c r="D534" t="s">
        <v>30</v>
      </c>
      <c r="E534" t="s">
        <v>123</v>
      </c>
      <c r="F534" t="s">
        <v>2200</v>
      </c>
      <c r="G534">
        <v>4500335501</v>
      </c>
      <c r="H534" t="s">
        <v>12</v>
      </c>
      <c r="I534" t="s">
        <v>433</v>
      </c>
      <c r="J534" t="s">
        <v>123</v>
      </c>
      <c r="K534" s="2">
        <v>87742</v>
      </c>
      <c r="L534" s="2">
        <v>87742</v>
      </c>
      <c r="M534" t="str">
        <f>IFERROR(IF(VLOOKUP(LEFT(B534,2),'Humanitarian codes'!$A$2:$A$10,1,FALSE)=LEFT(B534,2),"Yes","Error"),"No")</f>
        <v>Yes</v>
      </c>
    </row>
    <row r="535" spans="1:13" x14ac:dyDescent="0.25">
      <c r="A535" t="s">
        <v>2196</v>
      </c>
      <c r="B535" t="s">
        <v>1293</v>
      </c>
      <c r="C535" t="s">
        <v>1294</v>
      </c>
      <c r="D535" t="s">
        <v>30</v>
      </c>
      <c r="E535" t="s">
        <v>123</v>
      </c>
      <c r="F535" t="s">
        <v>2200</v>
      </c>
      <c r="G535">
        <v>4500338946</v>
      </c>
      <c r="H535" t="s">
        <v>12</v>
      </c>
      <c r="I535" t="s">
        <v>1295</v>
      </c>
      <c r="J535" t="s">
        <v>123</v>
      </c>
      <c r="K535" s="2">
        <v>299992</v>
      </c>
      <c r="L535" s="2">
        <v>299992</v>
      </c>
      <c r="M535" t="str">
        <f>IFERROR(IF(VLOOKUP(LEFT(B535,2),'Humanitarian codes'!$A$2:$A$10,1,FALSE)=LEFT(B535,2),"Yes","Error"),"No")</f>
        <v>Yes</v>
      </c>
    </row>
    <row r="536" spans="1:13" x14ac:dyDescent="0.25">
      <c r="A536" t="s">
        <v>2196</v>
      </c>
      <c r="B536" t="s">
        <v>1293</v>
      </c>
      <c r="C536" t="s">
        <v>1294</v>
      </c>
      <c r="D536" t="s">
        <v>30</v>
      </c>
      <c r="E536" t="s">
        <v>123</v>
      </c>
      <c r="F536" t="s">
        <v>2200</v>
      </c>
      <c r="G536">
        <v>4500342577</v>
      </c>
      <c r="H536" t="s">
        <v>12</v>
      </c>
      <c r="I536" t="s">
        <v>2449</v>
      </c>
      <c r="J536" t="s">
        <v>123</v>
      </c>
      <c r="K536" s="2">
        <v>166692</v>
      </c>
      <c r="L536" s="2">
        <v>166692</v>
      </c>
      <c r="M536" t="str">
        <f>IFERROR(IF(VLOOKUP(LEFT(B536,2),'Humanitarian codes'!$A$2:$A$10,1,FALSE)=LEFT(B536,2),"Yes","Error"),"No")</f>
        <v>Yes</v>
      </c>
    </row>
    <row r="537" spans="1:13" x14ac:dyDescent="0.25">
      <c r="A537" t="s">
        <v>2196</v>
      </c>
      <c r="B537" t="s">
        <v>2450</v>
      </c>
      <c r="C537" t="s">
        <v>2451</v>
      </c>
      <c r="D537" t="s">
        <v>30</v>
      </c>
      <c r="E537" t="s">
        <v>45</v>
      </c>
      <c r="F537" t="s">
        <v>2357</v>
      </c>
      <c r="G537">
        <v>4500338897</v>
      </c>
      <c r="H537" t="s">
        <v>12</v>
      </c>
      <c r="I537" t="s">
        <v>2452</v>
      </c>
      <c r="J537" t="s">
        <v>616</v>
      </c>
      <c r="K537" s="2">
        <v>99950</v>
      </c>
      <c r="L537" s="2">
        <v>99950</v>
      </c>
      <c r="M537" t="str">
        <f>IFERROR(IF(VLOOKUP(LEFT(B537,2),'Humanitarian codes'!$A$2:$A$10,1,FALSE)=LEFT(B537,2),"Yes","Error"),"No")</f>
        <v>Yes</v>
      </c>
    </row>
    <row r="538" spans="1:13" x14ac:dyDescent="0.25">
      <c r="A538" t="s">
        <v>2196</v>
      </c>
      <c r="B538" t="s">
        <v>2450</v>
      </c>
      <c r="C538" t="s">
        <v>2451</v>
      </c>
      <c r="D538" t="s">
        <v>30</v>
      </c>
      <c r="E538" t="s">
        <v>45</v>
      </c>
      <c r="F538" t="s">
        <v>2200</v>
      </c>
      <c r="G538">
        <v>4500339653</v>
      </c>
      <c r="H538" t="s">
        <v>12</v>
      </c>
      <c r="I538" t="s">
        <v>1109</v>
      </c>
      <c r="J538" t="s">
        <v>45</v>
      </c>
      <c r="K538" s="2">
        <v>55600</v>
      </c>
      <c r="L538" s="2">
        <v>55600</v>
      </c>
      <c r="M538" t="str">
        <f>IFERROR(IF(VLOOKUP(LEFT(B538,2),'Humanitarian codes'!$A$2:$A$10,1,FALSE)=LEFT(B538,2),"Yes","Error"),"No")</f>
        <v>Yes</v>
      </c>
    </row>
    <row r="539" spans="1:13" x14ac:dyDescent="0.25">
      <c r="A539" t="s">
        <v>2196</v>
      </c>
      <c r="B539" t="s">
        <v>2450</v>
      </c>
      <c r="C539" t="s">
        <v>2451</v>
      </c>
      <c r="D539" t="s">
        <v>30</v>
      </c>
      <c r="E539" t="s">
        <v>45</v>
      </c>
      <c r="F539" t="s">
        <v>2357</v>
      </c>
      <c r="G539">
        <v>4500340788</v>
      </c>
      <c r="H539" t="s">
        <v>12</v>
      </c>
      <c r="I539" t="s">
        <v>667</v>
      </c>
      <c r="J539" t="s">
        <v>45</v>
      </c>
      <c r="K539" s="2">
        <v>196545</v>
      </c>
      <c r="L539" s="2">
        <v>196545</v>
      </c>
      <c r="M539" t="str">
        <f>IFERROR(IF(VLOOKUP(LEFT(B539,2),'Humanitarian codes'!$A$2:$A$10,1,FALSE)=LEFT(B539,2),"Yes","Error"),"No")</f>
        <v>Yes</v>
      </c>
    </row>
    <row r="540" spans="1:13" x14ac:dyDescent="0.25">
      <c r="A540" t="s">
        <v>2196</v>
      </c>
      <c r="B540" t="s">
        <v>2450</v>
      </c>
      <c r="C540" t="s">
        <v>2451</v>
      </c>
      <c r="D540" t="s">
        <v>30</v>
      </c>
      <c r="E540" t="s">
        <v>45</v>
      </c>
      <c r="F540" t="s">
        <v>2200</v>
      </c>
      <c r="G540">
        <v>4500349860</v>
      </c>
      <c r="H540" t="s">
        <v>12</v>
      </c>
      <c r="I540" t="s">
        <v>327</v>
      </c>
      <c r="J540" t="s">
        <v>45</v>
      </c>
      <c r="K540" s="2">
        <v>76699</v>
      </c>
      <c r="L540" s="2">
        <v>120199</v>
      </c>
      <c r="M540" t="str">
        <f>IFERROR(IF(VLOOKUP(LEFT(B540,2),'Humanitarian codes'!$A$2:$A$10,1,FALSE)=LEFT(B540,2),"Yes","Error"),"No")</f>
        <v>Yes</v>
      </c>
    </row>
    <row r="541" spans="1:13" x14ac:dyDescent="0.25">
      <c r="A541" t="s">
        <v>2196</v>
      </c>
      <c r="B541" t="s">
        <v>2453</v>
      </c>
      <c r="C541" t="s">
        <v>2454</v>
      </c>
      <c r="D541" t="s">
        <v>30</v>
      </c>
      <c r="E541" t="s">
        <v>356</v>
      </c>
      <c r="F541" t="s">
        <v>2455</v>
      </c>
      <c r="G541">
        <v>4500338161</v>
      </c>
      <c r="H541" t="s">
        <v>12</v>
      </c>
      <c r="I541" t="s">
        <v>357</v>
      </c>
      <c r="J541" t="s">
        <v>356</v>
      </c>
      <c r="K541" s="2">
        <v>35710</v>
      </c>
      <c r="L541" s="2">
        <v>35710</v>
      </c>
      <c r="M541" t="str">
        <f>IFERROR(IF(VLOOKUP(LEFT(B541,2),'Humanitarian codes'!$A$2:$A$10,1,FALSE)=LEFT(B541,2),"Yes","Error"),"No")</f>
        <v>Yes</v>
      </c>
    </row>
    <row r="542" spans="1:13" x14ac:dyDescent="0.25">
      <c r="A542" t="s">
        <v>2196</v>
      </c>
      <c r="B542" t="s">
        <v>1304</v>
      </c>
      <c r="C542" t="s">
        <v>1305</v>
      </c>
      <c r="D542" t="s">
        <v>30</v>
      </c>
      <c r="E542" t="s">
        <v>717</v>
      </c>
      <c r="F542" t="s">
        <v>2456</v>
      </c>
      <c r="G542">
        <v>4500334260</v>
      </c>
      <c r="H542" t="s">
        <v>12</v>
      </c>
      <c r="I542" t="s">
        <v>728</v>
      </c>
      <c r="J542" t="s">
        <v>717</v>
      </c>
      <c r="K542" s="2">
        <v>276030</v>
      </c>
      <c r="L542" s="2">
        <v>276030</v>
      </c>
      <c r="M542" t="str">
        <f>IFERROR(IF(VLOOKUP(LEFT(B542,2),'Humanitarian codes'!$A$2:$A$10,1,FALSE)=LEFT(B542,2),"Yes","Error"),"No")</f>
        <v>Yes</v>
      </c>
    </row>
    <row r="543" spans="1:13" x14ac:dyDescent="0.25">
      <c r="A543" t="s">
        <v>2196</v>
      </c>
      <c r="B543" t="s">
        <v>1304</v>
      </c>
      <c r="C543" t="s">
        <v>1305</v>
      </c>
      <c r="D543" t="s">
        <v>30</v>
      </c>
      <c r="E543" t="s">
        <v>717</v>
      </c>
      <c r="F543" t="s">
        <v>2457</v>
      </c>
      <c r="G543">
        <v>4500334269</v>
      </c>
      <c r="H543" t="s">
        <v>12</v>
      </c>
      <c r="I543" t="s">
        <v>725</v>
      </c>
      <c r="J543" t="s">
        <v>717</v>
      </c>
      <c r="K543" s="2">
        <v>244991</v>
      </c>
      <c r="L543" s="2">
        <v>244991</v>
      </c>
      <c r="M543" t="str">
        <f>IFERROR(IF(VLOOKUP(LEFT(B543,2),'Humanitarian codes'!$A$2:$A$10,1,FALSE)=LEFT(B543,2),"Yes","Error"),"No")</f>
        <v>Yes</v>
      </c>
    </row>
    <row r="544" spans="1:13" x14ac:dyDescent="0.25">
      <c r="A544" t="s">
        <v>2196</v>
      </c>
      <c r="B544" t="s">
        <v>1304</v>
      </c>
      <c r="C544" t="s">
        <v>1305</v>
      </c>
      <c r="D544" t="s">
        <v>30</v>
      </c>
      <c r="E544" t="s">
        <v>717</v>
      </c>
      <c r="F544" t="s">
        <v>2458</v>
      </c>
      <c r="G544">
        <v>4500334276</v>
      </c>
      <c r="H544" t="s">
        <v>12</v>
      </c>
      <c r="I544" t="s">
        <v>2459</v>
      </c>
      <c r="J544" t="s">
        <v>717</v>
      </c>
      <c r="K544" s="2">
        <v>244992</v>
      </c>
      <c r="L544" s="2">
        <v>244992</v>
      </c>
      <c r="M544" t="str">
        <f>IFERROR(IF(VLOOKUP(LEFT(B544,2),'Humanitarian codes'!$A$2:$A$10,1,FALSE)=LEFT(B544,2),"Yes","Error"),"No")</f>
        <v>Yes</v>
      </c>
    </row>
    <row r="545" spans="1:13" x14ac:dyDescent="0.25">
      <c r="A545" t="s">
        <v>2196</v>
      </c>
      <c r="B545" t="s">
        <v>1304</v>
      </c>
      <c r="C545" t="s">
        <v>1305</v>
      </c>
      <c r="D545" t="s">
        <v>30</v>
      </c>
      <c r="E545" t="s">
        <v>717</v>
      </c>
      <c r="F545" t="s">
        <v>2460</v>
      </c>
      <c r="G545">
        <v>4500334285</v>
      </c>
      <c r="H545" t="s">
        <v>12</v>
      </c>
      <c r="I545" t="s">
        <v>1898</v>
      </c>
      <c r="J545" t="s">
        <v>717</v>
      </c>
      <c r="K545" s="2">
        <v>92007</v>
      </c>
      <c r="L545" s="2">
        <v>92007</v>
      </c>
      <c r="M545" t="str">
        <f>IFERROR(IF(VLOOKUP(LEFT(B545,2),'Humanitarian codes'!$A$2:$A$10,1,FALSE)=LEFT(B545,2),"Yes","Error"),"No")</f>
        <v>Yes</v>
      </c>
    </row>
    <row r="546" spans="1:13" x14ac:dyDescent="0.25">
      <c r="A546" t="s">
        <v>2196</v>
      </c>
      <c r="B546" t="s">
        <v>822</v>
      </c>
      <c r="C546" t="s">
        <v>823</v>
      </c>
      <c r="D546" t="s">
        <v>30</v>
      </c>
      <c r="E546" t="s">
        <v>356</v>
      </c>
      <c r="F546" t="s">
        <v>2461</v>
      </c>
      <c r="G546">
        <v>4500342669</v>
      </c>
      <c r="H546" t="s">
        <v>12</v>
      </c>
      <c r="I546" t="s">
        <v>1739</v>
      </c>
      <c r="J546" t="s">
        <v>356</v>
      </c>
      <c r="K546" s="2">
        <v>81993</v>
      </c>
      <c r="L546" s="2">
        <v>81993</v>
      </c>
      <c r="M546" t="str">
        <f>IFERROR(IF(VLOOKUP(LEFT(B546,2),'Humanitarian codes'!$A$2:$A$10,1,FALSE)=LEFT(B546,2),"Yes","Error"),"No")</f>
        <v>Yes</v>
      </c>
    </row>
    <row r="547" spans="1:13" x14ac:dyDescent="0.25">
      <c r="A547" t="s">
        <v>2196</v>
      </c>
      <c r="B547" t="s">
        <v>822</v>
      </c>
      <c r="C547" t="s">
        <v>823</v>
      </c>
      <c r="D547" t="s">
        <v>30</v>
      </c>
      <c r="E547" t="s">
        <v>356</v>
      </c>
      <c r="F547" t="s">
        <v>2462</v>
      </c>
      <c r="G547">
        <v>4500346365</v>
      </c>
      <c r="H547" t="s">
        <v>12</v>
      </c>
      <c r="I547" t="s">
        <v>357</v>
      </c>
      <c r="J547" t="s">
        <v>356</v>
      </c>
      <c r="K547" s="2">
        <v>132838</v>
      </c>
      <c r="L547" s="2">
        <v>132838</v>
      </c>
      <c r="M547" t="str">
        <f>IFERROR(IF(VLOOKUP(LEFT(B547,2),'Humanitarian codes'!$A$2:$A$10,1,FALSE)=LEFT(B547,2),"Yes","Error"),"No")</f>
        <v>Yes</v>
      </c>
    </row>
    <row r="548" spans="1:13" x14ac:dyDescent="0.25">
      <c r="A548" t="s">
        <v>2196</v>
      </c>
      <c r="B548" t="s">
        <v>822</v>
      </c>
      <c r="C548" t="s">
        <v>823</v>
      </c>
      <c r="D548" t="s">
        <v>30</v>
      </c>
      <c r="E548" t="s">
        <v>356</v>
      </c>
      <c r="F548" t="s">
        <v>2200</v>
      </c>
      <c r="G548">
        <v>4500349595</v>
      </c>
      <c r="H548" t="s">
        <v>12</v>
      </c>
      <c r="I548" t="s">
        <v>2463</v>
      </c>
      <c r="J548" t="s">
        <v>356</v>
      </c>
      <c r="K548" s="2">
        <v>90457</v>
      </c>
      <c r="L548" s="2">
        <v>90457</v>
      </c>
      <c r="M548" t="str">
        <f>IFERROR(IF(VLOOKUP(LEFT(B548,2),'Humanitarian codes'!$A$2:$A$10,1,FALSE)=LEFT(B548,2),"Yes","Error"),"No")</f>
        <v>Yes</v>
      </c>
    </row>
    <row r="549" spans="1:13" x14ac:dyDescent="0.25">
      <c r="A549" t="s">
        <v>2196</v>
      </c>
      <c r="B549" t="s">
        <v>1316</v>
      </c>
      <c r="C549" t="s">
        <v>1317</v>
      </c>
      <c r="D549" t="s">
        <v>30</v>
      </c>
      <c r="E549" t="s">
        <v>320</v>
      </c>
      <c r="F549" t="s">
        <v>2464</v>
      </c>
      <c r="G549">
        <v>4500341895</v>
      </c>
      <c r="H549" t="s">
        <v>12</v>
      </c>
      <c r="I549" t="s">
        <v>2465</v>
      </c>
      <c r="J549" t="s">
        <v>320</v>
      </c>
      <c r="K549" s="2">
        <v>2321</v>
      </c>
      <c r="L549" s="2">
        <v>2321</v>
      </c>
      <c r="M549" t="str">
        <f>IFERROR(IF(VLOOKUP(LEFT(B549,2),'Humanitarian codes'!$A$2:$A$10,1,FALSE)=LEFT(B549,2),"Yes","Error"),"No")</f>
        <v>Yes</v>
      </c>
    </row>
    <row r="550" spans="1:13" x14ac:dyDescent="0.25">
      <c r="A550" t="s">
        <v>2196</v>
      </c>
      <c r="B550" t="s">
        <v>1316</v>
      </c>
      <c r="C550" t="s">
        <v>1317</v>
      </c>
      <c r="D550" t="s">
        <v>30</v>
      </c>
      <c r="E550" t="s">
        <v>320</v>
      </c>
      <c r="F550" t="s">
        <v>2466</v>
      </c>
      <c r="G550">
        <v>4500344153</v>
      </c>
      <c r="H550" t="s">
        <v>12</v>
      </c>
      <c r="I550" t="s">
        <v>851</v>
      </c>
      <c r="J550" t="s">
        <v>320</v>
      </c>
      <c r="K550" s="2">
        <v>7640</v>
      </c>
      <c r="L550" s="2">
        <v>7640</v>
      </c>
      <c r="M550" t="str">
        <f>IFERROR(IF(VLOOKUP(LEFT(B550,2),'Humanitarian codes'!$A$2:$A$10,1,FALSE)=LEFT(B550,2),"Yes","Error"),"No")</f>
        <v>Yes</v>
      </c>
    </row>
    <row r="551" spans="1:13" x14ac:dyDescent="0.25">
      <c r="A551" t="s">
        <v>2196</v>
      </c>
      <c r="B551" t="s">
        <v>1316</v>
      </c>
      <c r="C551" t="s">
        <v>1317</v>
      </c>
      <c r="D551" t="s">
        <v>30</v>
      </c>
      <c r="E551" t="s">
        <v>320</v>
      </c>
      <c r="F551" t="s">
        <v>2467</v>
      </c>
      <c r="G551">
        <v>4500346127</v>
      </c>
      <c r="H551" t="s">
        <v>12</v>
      </c>
      <c r="I551" t="s">
        <v>2432</v>
      </c>
      <c r="J551" t="s">
        <v>320</v>
      </c>
      <c r="K551" s="2">
        <v>3300</v>
      </c>
      <c r="L551" s="2">
        <v>3300</v>
      </c>
      <c r="M551" t="str">
        <f>IFERROR(IF(VLOOKUP(LEFT(B551,2),'Humanitarian codes'!$A$2:$A$10,1,FALSE)=LEFT(B551,2),"Yes","Error"),"No")</f>
        <v>Yes</v>
      </c>
    </row>
    <row r="552" spans="1:13" x14ac:dyDescent="0.25">
      <c r="A552" t="s">
        <v>2196</v>
      </c>
      <c r="B552" t="s">
        <v>2468</v>
      </c>
      <c r="C552" t="s">
        <v>2469</v>
      </c>
      <c r="D552" t="s">
        <v>30</v>
      </c>
      <c r="E552" t="s">
        <v>253</v>
      </c>
      <c r="F552" t="s">
        <v>2470</v>
      </c>
      <c r="G552">
        <v>4500342206</v>
      </c>
      <c r="H552" t="s">
        <v>12</v>
      </c>
      <c r="I552" t="s">
        <v>156</v>
      </c>
      <c r="J552" t="s">
        <v>184</v>
      </c>
      <c r="K552" s="2">
        <v>190000</v>
      </c>
      <c r="L552" s="2">
        <v>190000</v>
      </c>
      <c r="M552" t="str">
        <f>IFERROR(IF(VLOOKUP(LEFT(B552,2),'Humanitarian codes'!$A$2:$A$10,1,FALSE)=LEFT(B552,2),"Yes","Error"),"No")</f>
        <v>Yes</v>
      </c>
    </row>
    <row r="553" spans="1:13" x14ac:dyDescent="0.25">
      <c r="A553" t="s">
        <v>2196</v>
      </c>
      <c r="B553" t="s">
        <v>1318</v>
      </c>
      <c r="C553" t="s">
        <v>1319</v>
      </c>
      <c r="D553" t="s">
        <v>30</v>
      </c>
      <c r="E553" t="s">
        <v>289</v>
      </c>
      <c r="F553" t="s">
        <v>2471</v>
      </c>
      <c r="G553">
        <v>4500348240</v>
      </c>
      <c r="H553" t="s">
        <v>12</v>
      </c>
      <c r="I553" t="s">
        <v>291</v>
      </c>
      <c r="J553" t="s">
        <v>289</v>
      </c>
      <c r="K553" s="2">
        <v>195000</v>
      </c>
      <c r="L553" s="2">
        <v>195000</v>
      </c>
      <c r="M553" t="str">
        <f>IFERROR(IF(VLOOKUP(LEFT(B553,2),'Humanitarian codes'!$A$2:$A$10,1,FALSE)=LEFT(B553,2),"Yes","Error"),"No")</f>
        <v>Yes</v>
      </c>
    </row>
    <row r="554" spans="1:13" x14ac:dyDescent="0.25">
      <c r="A554" t="s">
        <v>2196</v>
      </c>
      <c r="B554" t="s">
        <v>1318</v>
      </c>
      <c r="C554" t="s">
        <v>1319</v>
      </c>
      <c r="D554" t="s">
        <v>30</v>
      </c>
      <c r="E554" t="s">
        <v>289</v>
      </c>
      <c r="F554" t="s">
        <v>2472</v>
      </c>
      <c r="G554">
        <v>4500348268</v>
      </c>
      <c r="H554" t="s">
        <v>12</v>
      </c>
      <c r="I554" t="s">
        <v>372</v>
      </c>
      <c r="J554" t="s">
        <v>289</v>
      </c>
      <c r="K554" s="2">
        <v>50000</v>
      </c>
      <c r="L554" s="2">
        <v>50000</v>
      </c>
      <c r="M554" t="str">
        <f>IFERROR(IF(VLOOKUP(LEFT(B554,2),'Humanitarian codes'!$A$2:$A$10,1,FALSE)=LEFT(B554,2),"Yes","Error"),"No")</f>
        <v>Yes</v>
      </c>
    </row>
    <row r="555" spans="1:13" x14ac:dyDescent="0.25">
      <c r="A555" t="s">
        <v>2196</v>
      </c>
      <c r="B555" t="s">
        <v>1318</v>
      </c>
      <c r="C555" t="s">
        <v>1319</v>
      </c>
      <c r="D555" t="s">
        <v>30</v>
      </c>
      <c r="E555" t="s">
        <v>903</v>
      </c>
      <c r="F555" t="s">
        <v>2473</v>
      </c>
      <c r="G555">
        <v>4500344493</v>
      </c>
      <c r="H555" t="s">
        <v>12</v>
      </c>
      <c r="I555" t="s">
        <v>2474</v>
      </c>
      <c r="J555" t="s">
        <v>751</v>
      </c>
      <c r="K555" s="2">
        <v>85245</v>
      </c>
      <c r="L555" s="2">
        <v>85245</v>
      </c>
      <c r="M555" t="str">
        <f>IFERROR(IF(VLOOKUP(LEFT(B555,2),'Humanitarian codes'!$A$2:$A$10,1,FALSE)=LEFT(B555,2),"Yes","Error"),"No")</f>
        <v>Yes</v>
      </c>
    </row>
    <row r="556" spans="1:13" x14ac:dyDescent="0.25">
      <c r="A556" t="s">
        <v>2196</v>
      </c>
      <c r="B556" t="s">
        <v>1318</v>
      </c>
      <c r="C556" t="s">
        <v>1319</v>
      </c>
      <c r="D556" t="s">
        <v>30</v>
      </c>
      <c r="E556" t="s">
        <v>305</v>
      </c>
      <c r="F556" t="s">
        <v>2200</v>
      </c>
      <c r="G556">
        <v>4500344897</v>
      </c>
      <c r="H556" t="s">
        <v>12</v>
      </c>
      <c r="I556" t="s">
        <v>2475</v>
      </c>
      <c r="J556" t="s">
        <v>305</v>
      </c>
      <c r="K556" s="2">
        <v>169110</v>
      </c>
      <c r="L556" s="2">
        <v>169110</v>
      </c>
      <c r="M556" t="str">
        <f>IFERROR(IF(VLOOKUP(LEFT(B556,2),'Humanitarian codes'!$A$2:$A$10,1,FALSE)=LEFT(B556,2),"Yes","Error"),"No")</f>
        <v>Yes</v>
      </c>
    </row>
    <row r="557" spans="1:13" x14ac:dyDescent="0.25">
      <c r="A557" t="s">
        <v>2196</v>
      </c>
      <c r="B557" t="s">
        <v>1318</v>
      </c>
      <c r="C557" t="s">
        <v>1319</v>
      </c>
      <c r="D557" t="s">
        <v>30</v>
      </c>
      <c r="E557" t="s">
        <v>305</v>
      </c>
      <c r="F557" t="s">
        <v>2476</v>
      </c>
      <c r="G557">
        <v>4500344938</v>
      </c>
      <c r="H557" t="s">
        <v>12</v>
      </c>
      <c r="I557" t="s">
        <v>908</v>
      </c>
      <c r="J557" t="s">
        <v>305</v>
      </c>
      <c r="K557" s="2">
        <v>163913</v>
      </c>
      <c r="L557" s="2">
        <v>163913</v>
      </c>
      <c r="M557" t="str">
        <f>IFERROR(IF(VLOOKUP(LEFT(B557,2),'Humanitarian codes'!$A$2:$A$10,1,FALSE)=LEFT(B557,2),"Yes","Error"),"No")</f>
        <v>Yes</v>
      </c>
    </row>
    <row r="558" spans="1:13" x14ac:dyDescent="0.25">
      <c r="A558" t="s">
        <v>2196</v>
      </c>
      <c r="B558" t="s">
        <v>1318</v>
      </c>
      <c r="C558" t="s">
        <v>1319</v>
      </c>
      <c r="D558" t="s">
        <v>30</v>
      </c>
      <c r="E558" t="s">
        <v>305</v>
      </c>
      <c r="F558" t="s">
        <v>2477</v>
      </c>
      <c r="G558">
        <v>4500345439</v>
      </c>
      <c r="H558" t="s">
        <v>12</v>
      </c>
      <c r="I558" t="s">
        <v>310</v>
      </c>
      <c r="J558" t="s">
        <v>305</v>
      </c>
      <c r="K558" s="2">
        <v>176514</v>
      </c>
      <c r="L558" s="2">
        <v>176514</v>
      </c>
      <c r="M558" t="str">
        <f>IFERROR(IF(VLOOKUP(LEFT(B558,2),'Humanitarian codes'!$A$2:$A$10,1,FALSE)=LEFT(B558,2),"Yes","Error"),"No")</f>
        <v>Yes</v>
      </c>
    </row>
    <row r="559" spans="1:13" x14ac:dyDescent="0.25">
      <c r="A559" t="s">
        <v>2196</v>
      </c>
      <c r="B559" t="s">
        <v>1318</v>
      </c>
      <c r="C559" t="s">
        <v>1319</v>
      </c>
      <c r="D559" t="s">
        <v>30</v>
      </c>
      <c r="E559" t="s">
        <v>305</v>
      </c>
      <c r="F559" t="s">
        <v>2200</v>
      </c>
      <c r="G559">
        <v>4500347806</v>
      </c>
      <c r="H559" t="s">
        <v>12</v>
      </c>
      <c r="I559" t="s">
        <v>2478</v>
      </c>
      <c r="J559" t="s">
        <v>305</v>
      </c>
      <c r="K559" s="2">
        <v>176514</v>
      </c>
      <c r="L559" s="2">
        <v>176514</v>
      </c>
      <c r="M559" t="str">
        <f>IFERROR(IF(VLOOKUP(LEFT(B559,2),'Humanitarian codes'!$A$2:$A$10,1,FALSE)=LEFT(B559,2),"Yes","Error"),"No")</f>
        <v>Yes</v>
      </c>
    </row>
    <row r="560" spans="1:13" x14ac:dyDescent="0.25">
      <c r="A560" t="s">
        <v>2196</v>
      </c>
      <c r="B560" t="s">
        <v>1318</v>
      </c>
      <c r="C560" t="s">
        <v>1319</v>
      </c>
      <c r="D560" t="s">
        <v>30</v>
      </c>
      <c r="E560" t="s">
        <v>305</v>
      </c>
      <c r="F560" t="s">
        <v>2479</v>
      </c>
      <c r="G560">
        <v>4500352041</v>
      </c>
      <c r="H560" t="s">
        <v>12</v>
      </c>
      <c r="I560" t="s">
        <v>2480</v>
      </c>
      <c r="J560" t="s">
        <v>305</v>
      </c>
      <c r="K560" s="2">
        <v>282422</v>
      </c>
      <c r="L560" s="2">
        <v>282422</v>
      </c>
      <c r="M560" t="str">
        <f>IFERROR(IF(VLOOKUP(LEFT(B560,2),'Humanitarian codes'!$A$2:$A$10,1,FALSE)=LEFT(B560,2),"Yes","Error"),"No")</f>
        <v>Yes</v>
      </c>
    </row>
    <row r="561" spans="1:13" x14ac:dyDescent="0.25">
      <c r="A561" t="s">
        <v>2196</v>
      </c>
      <c r="B561" t="s">
        <v>1763</v>
      </c>
      <c r="C561" t="s">
        <v>1764</v>
      </c>
      <c r="D561" t="s">
        <v>30</v>
      </c>
      <c r="E561" t="s">
        <v>175</v>
      </c>
      <c r="F561" t="s">
        <v>2481</v>
      </c>
      <c r="G561">
        <v>4500341977</v>
      </c>
      <c r="H561" t="s">
        <v>12</v>
      </c>
      <c r="I561" t="s">
        <v>233</v>
      </c>
      <c r="J561" t="s">
        <v>175</v>
      </c>
      <c r="K561" s="2">
        <v>195337</v>
      </c>
      <c r="L561" s="2">
        <v>195337</v>
      </c>
      <c r="M561" t="str">
        <f>IFERROR(IF(VLOOKUP(LEFT(B561,2),'Humanitarian codes'!$A$2:$A$10,1,FALSE)=LEFT(B561,2),"Yes","Error"),"No")</f>
        <v>Yes</v>
      </c>
    </row>
    <row r="562" spans="1:13" x14ac:dyDescent="0.25">
      <c r="A562" t="s">
        <v>2196</v>
      </c>
      <c r="B562" t="s">
        <v>1763</v>
      </c>
      <c r="C562" t="s">
        <v>1764</v>
      </c>
      <c r="D562" t="s">
        <v>30</v>
      </c>
      <c r="E562" t="s">
        <v>175</v>
      </c>
      <c r="F562" t="s">
        <v>2200</v>
      </c>
      <c r="G562">
        <v>4500342145</v>
      </c>
      <c r="H562" t="s">
        <v>12</v>
      </c>
      <c r="I562" t="s">
        <v>395</v>
      </c>
      <c r="J562" t="s">
        <v>175</v>
      </c>
      <c r="K562" s="2">
        <v>114704</v>
      </c>
      <c r="L562" s="2">
        <v>114704</v>
      </c>
      <c r="M562" t="str">
        <f>IFERROR(IF(VLOOKUP(LEFT(B562,2),'Humanitarian codes'!$A$2:$A$10,1,FALSE)=LEFT(B562,2),"Yes","Error"),"No")</f>
        <v>Yes</v>
      </c>
    </row>
    <row r="563" spans="1:13" x14ac:dyDescent="0.25">
      <c r="A563" t="s">
        <v>2196</v>
      </c>
      <c r="B563" t="s">
        <v>1763</v>
      </c>
      <c r="C563" t="s">
        <v>1764</v>
      </c>
      <c r="D563" t="s">
        <v>30</v>
      </c>
      <c r="E563" t="s">
        <v>175</v>
      </c>
      <c r="F563" t="s">
        <v>2482</v>
      </c>
      <c r="G563">
        <v>4500342189</v>
      </c>
      <c r="H563" t="s">
        <v>12</v>
      </c>
      <c r="I563" t="s">
        <v>187</v>
      </c>
      <c r="J563" t="s">
        <v>175</v>
      </c>
      <c r="K563" s="2">
        <v>137180</v>
      </c>
      <c r="L563" s="2">
        <v>137180</v>
      </c>
      <c r="M563" t="str">
        <f>IFERROR(IF(VLOOKUP(LEFT(B563,2),'Humanitarian codes'!$A$2:$A$10,1,FALSE)=LEFT(B563,2),"Yes","Error"),"No")</f>
        <v>Yes</v>
      </c>
    </row>
    <row r="564" spans="1:13" x14ac:dyDescent="0.25">
      <c r="A564" t="s">
        <v>2196</v>
      </c>
      <c r="B564" t="s">
        <v>1333</v>
      </c>
      <c r="C564" t="s">
        <v>1334</v>
      </c>
      <c r="D564" t="s">
        <v>30</v>
      </c>
      <c r="E564" t="s">
        <v>54</v>
      </c>
      <c r="F564" t="s">
        <v>2341</v>
      </c>
      <c r="G564">
        <v>4500340766</v>
      </c>
      <c r="H564" t="s">
        <v>12</v>
      </c>
      <c r="I564" t="s">
        <v>2012</v>
      </c>
      <c r="J564" t="s">
        <v>54</v>
      </c>
      <c r="K564" s="2">
        <v>57400</v>
      </c>
      <c r="L564" s="2">
        <v>608581</v>
      </c>
      <c r="M564" t="str">
        <f>IFERROR(IF(VLOOKUP(LEFT(B564,2),'Humanitarian codes'!$A$2:$A$10,1,FALSE)=LEFT(B564,2),"Yes","Error"),"No")</f>
        <v>Yes</v>
      </c>
    </row>
    <row r="565" spans="1:13" x14ac:dyDescent="0.25">
      <c r="A565" t="s">
        <v>2196</v>
      </c>
      <c r="B565" t="s">
        <v>1337</v>
      </c>
      <c r="C565" t="s">
        <v>1338</v>
      </c>
      <c r="D565" t="s">
        <v>30</v>
      </c>
      <c r="E565" t="s">
        <v>320</v>
      </c>
      <c r="F565" t="s">
        <v>2483</v>
      </c>
      <c r="G565">
        <v>4500349114</v>
      </c>
      <c r="H565" t="s">
        <v>12</v>
      </c>
      <c r="I565" t="s">
        <v>2484</v>
      </c>
      <c r="J565" t="s">
        <v>320</v>
      </c>
      <c r="K565" s="2">
        <v>656455</v>
      </c>
      <c r="L565" s="2">
        <v>656455</v>
      </c>
      <c r="M565" t="str">
        <f>IFERROR(IF(VLOOKUP(LEFT(B565,2),'Humanitarian codes'!$A$2:$A$10,1,FALSE)=LEFT(B565,2),"Yes","Error"),"No")</f>
        <v>Yes</v>
      </c>
    </row>
    <row r="566" spans="1:13" x14ac:dyDescent="0.25">
      <c r="A566" t="s">
        <v>2196</v>
      </c>
      <c r="B566" t="s">
        <v>1337</v>
      </c>
      <c r="C566" t="s">
        <v>1338</v>
      </c>
      <c r="D566" t="s">
        <v>30</v>
      </c>
      <c r="E566" t="s">
        <v>320</v>
      </c>
      <c r="F566" t="s">
        <v>2485</v>
      </c>
      <c r="G566">
        <v>4500349130</v>
      </c>
      <c r="H566" t="s">
        <v>12</v>
      </c>
      <c r="I566" t="s">
        <v>156</v>
      </c>
      <c r="J566" t="s">
        <v>320</v>
      </c>
      <c r="K566" s="2">
        <v>1094092</v>
      </c>
      <c r="L566" s="2">
        <v>1094092</v>
      </c>
      <c r="M566" t="str">
        <f>IFERROR(IF(VLOOKUP(LEFT(B566,2),'Humanitarian codes'!$A$2:$A$10,1,FALSE)=LEFT(B566,2),"Yes","Error"),"No")</f>
        <v>Yes</v>
      </c>
    </row>
    <row r="567" spans="1:13" x14ac:dyDescent="0.25">
      <c r="A567" t="s">
        <v>2196</v>
      </c>
      <c r="B567" t="s">
        <v>2486</v>
      </c>
      <c r="C567" t="s">
        <v>2487</v>
      </c>
      <c r="D567" t="s">
        <v>9</v>
      </c>
      <c r="E567" t="s">
        <v>924</v>
      </c>
      <c r="F567" t="s">
        <v>2488</v>
      </c>
      <c r="G567">
        <v>4500326353</v>
      </c>
      <c r="H567" t="s">
        <v>12</v>
      </c>
      <c r="I567" t="s">
        <v>925</v>
      </c>
      <c r="J567" t="s">
        <v>924</v>
      </c>
      <c r="K567" s="2">
        <v>17316</v>
      </c>
      <c r="L567" s="2">
        <v>17316</v>
      </c>
      <c r="M567" t="str">
        <f>IFERROR(IF(VLOOKUP(LEFT(B567,2),'Humanitarian codes'!$A$2:$A$10,1,FALSE)=LEFT(B567,2),"Yes","Error"),"No")</f>
        <v>Yes</v>
      </c>
    </row>
    <row r="568" spans="1:13" hidden="1" x14ac:dyDescent="0.25">
      <c r="A568" t="s">
        <v>2196</v>
      </c>
      <c r="B568" t="s">
        <v>2489</v>
      </c>
      <c r="C568" t="s">
        <v>2490</v>
      </c>
      <c r="D568" t="s">
        <v>30</v>
      </c>
      <c r="E568" t="s">
        <v>128</v>
      </c>
      <c r="F568" t="s">
        <v>2491</v>
      </c>
      <c r="G568">
        <v>4500348091</v>
      </c>
      <c r="H568" t="s">
        <v>12</v>
      </c>
      <c r="I568" t="s">
        <v>2492</v>
      </c>
      <c r="J568" t="s">
        <v>985</v>
      </c>
      <c r="K568" s="2">
        <v>48669</v>
      </c>
      <c r="L568" s="2">
        <v>48669</v>
      </c>
      <c r="M568" t="str">
        <f>IFERROR(IF(VLOOKUP(LEFT(B568,2),'Humanitarian codes'!$A$2:$A$10,1,FALSE)=LEFT(B568,2),"Yes","Error"),"No")</f>
        <v>No</v>
      </c>
    </row>
    <row r="569" spans="1:13" hidden="1" x14ac:dyDescent="0.25">
      <c r="A569" t="s">
        <v>2196</v>
      </c>
      <c r="B569" t="s">
        <v>396</v>
      </c>
      <c r="C569" t="s">
        <v>397</v>
      </c>
      <c r="D569" t="s">
        <v>30</v>
      </c>
      <c r="E569" t="s">
        <v>150</v>
      </c>
      <c r="F569" t="s">
        <v>2493</v>
      </c>
      <c r="G569">
        <v>4500348016</v>
      </c>
      <c r="H569" t="s">
        <v>12</v>
      </c>
      <c r="I569" t="s">
        <v>2494</v>
      </c>
      <c r="J569" t="s">
        <v>150</v>
      </c>
      <c r="K569" s="2">
        <v>49351</v>
      </c>
      <c r="L569" s="2">
        <v>49351</v>
      </c>
      <c r="M569" t="str">
        <f>IFERROR(IF(VLOOKUP(LEFT(B569,2),'Humanitarian codes'!$A$2:$A$10,1,FALSE)=LEFT(B569,2),"Yes","Error"),"No")</f>
        <v>No</v>
      </c>
    </row>
    <row r="570" spans="1:13" hidden="1" x14ac:dyDescent="0.25">
      <c r="A570" t="s">
        <v>2196</v>
      </c>
      <c r="B570" t="s">
        <v>1396</v>
      </c>
      <c r="C570" t="s">
        <v>1397</v>
      </c>
      <c r="D570" t="s">
        <v>30</v>
      </c>
      <c r="E570" t="s">
        <v>123</v>
      </c>
      <c r="F570" t="s">
        <v>2200</v>
      </c>
      <c r="G570">
        <v>4500344278</v>
      </c>
      <c r="H570" t="s">
        <v>12</v>
      </c>
      <c r="I570" t="s">
        <v>2495</v>
      </c>
      <c r="J570" t="s">
        <v>123</v>
      </c>
      <c r="K570" s="2">
        <v>156450</v>
      </c>
      <c r="L570" s="2">
        <v>156450</v>
      </c>
      <c r="M570" t="str">
        <f>IFERROR(IF(VLOOKUP(LEFT(B570,2),'Humanitarian codes'!$A$2:$A$10,1,FALSE)=LEFT(B570,2),"Yes","Error"),"No")</f>
        <v>No</v>
      </c>
    </row>
    <row r="571" spans="1:13" x14ac:dyDescent="0.25">
      <c r="A571" t="s">
        <v>2196</v>
      </c>
      <c r="B571" t="s">
        <v>1415</v>
      </c>
      <c r="C571" t="s">
        <v>1416</v>
      </c>
      <c r="D571" t="s">
        <v>30</v>
      </c>
      <c r="E571" t="s">
        <v>814</v>
      </c>
      <c r="F571" t="s">
        <v>2427</v>
      </c>
      <c r="G571">
        <v>4500333473</v>
      </c>
      <c r="H571" t="s">
        <v>12</v>
      </c>
      <c r="I571" t="s">
        <v>115</v>
      </c>
      <c r="J571" t="s">
        <v>814</v>
      </c>
      <c r="K571" s="2">
        <v>18124</v>
      </c>
      <c r="L571" s="2">
        <v>30207</v>
      </c>
      <c r="M571" t="str">
        <f>IFERROR(IF(VLOOKUP(LEFT(B571,2),'Humanitarian codes'!$A$2:$A$10,1,FALSE)=LEFT(B571,2),"Yes","Error"),"No")</f>
        <v>Yes</v>
      </c>
    </row>
    <row r="572" spans="1:13" x14ac:dyDescent="0.25">
      <c r="A572" t="s">
        <v>2196</v>
      </c>
      <c r="B572" t="s">
        <v>1415</v>
      </c>
      <c r="C572" t="s">
        <v>1416</v>
      </c>
      <c r="D572" t="s">
        <v>30</v>
      </c>
      <c r="E572" t="s">
        <v>814</v>
      </c>
      <c r="F572" t="s">
        <v>2427</v>
      </c>
      <c r="G572">
        <v>4500333487</v>
      </c>
      <c r="H572" t="s">
        <v>12</v>
      </c>
      <c r="I572" t="s">
        <v>115</v>
      </c>
      <c r="J572" t="s">
        <v>814</v>
      </c>
      <c r="K572" s="2">
        <v>48236</v>
      </c>
      <c r="L572" s="2">
        <v>48236</v>
      </c>
      <c r="M572" t="str">
        <f>IFERROR(IF(VLOOKUP(LEFT(B572,2),'Humanitarian codes'!$A$2:$A$10,1,FALSE)=LEFT(B572,2),"Yes","Error"),"No")</f>
        <v>Yes</v>
      </c>
    </row>
    <row r="573" spans="1:13" x14ac:dyDescent="0.25">
      <c r="A573" t="s">
        <v>2196</v>
      </c>
      <c r="B573" t="s">
        <v>1415</v>
      </c>
      <c r="C573" t="s">
        <v>1416</v>
      </c>
      <c r="D573" t="s">
        <v>30</v>
      </c>
      <c r="E573" t="s">
        <v>814</v>
      </c>
      <c r="F573" t="s">
        <v>2427</v>
      </c>
      <c r="G573">
        <v>4500333499</v>
      </c>
      <c r="H573" t="s">
        <v>12</v>
      </c>
      <c r="I573" t="s">
        <v>120</v>
      </c>
      <c r="J573" t="s">
        <v>814</v>
      </c>
      <c r="K573" s="2">
        <v>65876</v>
      </c>
      <c r="L573" s="2">
        <v>65876</v>
      </c>
      <c r="M573" t="str">
        <f>IFERROR(IF(VLOOKUP(LEFT(B573,2),'Humanitarian codes'!$A$2:$A$10,1,FALSE)=LEFT(B573,2),"Yes","Error"),"No")</f>
        <v>Yes</v>
      </c>
    </row>
    <row r="574" spans="1:13" x14ac:dyDescent="0.25">
      <c r="A574" t="s">
        <v>2196</v>
      </c>
      <c r="B574" t="s">
        <v>1415</v>
      </c>
      <c r="C574" t="s">
        <v>1416</v>
      </c>
      <c r="D574" t="s">
        <v>30</v>
      </c>
      <c r="E574" t="s">
        <v>814</v>
      </c>
      <c r="F574" t="s">
        <v>2427</v>
      </c>
      <c r="G574">
        <v>4500333727</v>
      </c>
      <c r="H574" t="s">
        <v>12</v>
      </c>
      <c r="I574" t="s">
        <v>116</v>
      </c>
      <c r="J574" t="s">
        <v>814</v>
      </c>
      <c r="K574" s="2">
        <v>17242</v>
      </c>
      <c r="L574" s="2">
        <v>31350</v>
      </c>
      <c r="M574" t="str">
        <f>IFERROR(IF(VLOOKUP(LEFT(B574,2),'Humanitarian codes'!$A$2:$A$10,1,FALSE)=LEFT(B574,2),"Yes","Error"),"No")</f>
        <v>Yes</v>
      </c>
    </row>
    <row r="575" spans="1:13" x14ac:dyDescent="0.25">
      <c r="A575" t="s">
        <v>2196</v>
      </c>
      <c r="B575" t="s">
        <v>1415</v>
      </c>
      <c r="C575" t="s">
        <v>1416</v>
      </c>
      <c r="D575" t="s">
        <v>30</v>
      </c>
      <c r="E575" t="s">
        <v>814</v>
      </c>
      <c r="F575" t="s">
        <v>2496</v>
      </c>
      <c r="G575">
        <v>4500337243</v>
      </c>
      <c r="H575" t="s">
        <v>12</v>
      </c>
      <c r="I575" t="s">
        <v>112</v>
      </c>
      <c r="J575" t="s">
        <v>814</v>
      </c>
      <c r="K575" s="2">
        <v>10569</v>
      </c>
      <c r="L575" s="2">
        <v>35230</v>
      </c>
      <c r="M575" t="str">
        <f>IFERROR(IF(VLOOKUP(LEFT(B575,2),'Humanitarian codes'!$A$2:$A$10,1,FALSE)=LEFT(B575,2),"Yes","Error"),"No")</f>
        <v>Yes</v>
      </c>
    </row>
    <row r="576" spans="1:13" x14ac:dyDescent="0.25">
      <c r="A576" t="s">
        <v>2196</v>
      </c>
      <c r="B576" t="s">
        <v>2054</v>
      </c>
      <c r="C576" t="s">
        <v>446</v>
      </c>
      <c r="D576" t="s">
        <v>30</v>
      </c>
      <c r="E576" t="s">
        <v>257</v>
      </c>
      <c r="F576" t="s">
        <v>2200</v>
      </c>
      <c r="G576">
        <v>4500343698</v>
      </c>
      <c r="H576" t="s">
        <v>12</v>
      </c>
      <c r="I576" t="s">
        <v>1413</v>
      </c>
      <c r="J576" t="s">
        <v>257</v>
      </c>
      <c r="K576" s="2">
        <v>71676</v>
      </c>
      <c r="L576" s="2">
        <v>71676</v>
      </c>
      <c r="M576" t="str">
        <f>IFERROR(IF(VLOOKUP(LEFT(B576,2),'Humanitarian codes'!$A$2:$A$10,1,FALSE)=LEFT(B576,2),"Yes","Error"),"No")</f>
        <v>Yes</v>
      </c>
    </row>
    <row r="577" spans="1:13" x14ac:dyDescent="0.25">
      <c r="A577" t="s">
        <v>2196</v>
      </c>
      <c r="B577" t="s">
        <v>2497</v>
      </c>
      <c r="C577" t="s">
        <v>2498</v>
      </c>
      <c r="D577" t="s">
        <v>30</v>
      </c>
      <c r="E577" t="s">
        <v>1376</v>
      </c>
      <c r="F577" t="s">
        <v>2499</v>
      </c>
      <c r="G577">
        <v>4500336675</v>
      </c>
      <c r="H577" t="s">
        <v>12</v>
      </c>
      <c r="I577" t="s">
        <v>771</v>
      </c>
      <c r="J577" t="s">
        <v>751</v>
      </c>
      <c r="K577" s="2">
        <v>1485149</v>
      </c>
      <c r="L577" s="2">
        <v>1485149</v>
      </c>
      <c r="M577" t="str">
        <f>IFERROR(IF(VLOOKUP(LEFT(B577,2),'Humanitarian codes'!$A$2:$A$10,1,FALSE)=LEFT(B577,2),"Yes","Error"),"No")</f>
        <v>Yes</v>
      </c>
    </row>
    <row r="578" spans="1:13" hidden="1" x14ac:dyDescent="0.25">
      <c r="A578" t="s">
        <v>2196</v>
      </c>
      <c r="B578" t="s">
        <v>453</v>
      </c>
      <c r="C578" t="s">
        <v>454</v>
      </c>
      <c r="D578" t="s">
        <v>30</v>
      </c>
      <c r="E578" t="s">
        <v>330</v>
      </c>
      <c r="F578" t="s">
        <v>2500</v>
      </c>
      <c r="G578">
        <v>4500335670</v>
      </c>
      <c r="H578" t="s">
        <v>12</v>
      </c>
      <c r="I578" t="s">
        <v>2501</v>
      </c>
      <c r="J578" t="s">
        <v>330</v>
      </c>
      <c r="K578" s="2">
        <v>52554</v>
      </c>
      <c r="L578" s="2">
        <v>52554</v>
      </c>
      <c r="M578" t="str">
        <f>IFERROR(IF(VLOOKUP(LEFT(B578,2),'Humanitarian codes'!$A$2:$A$10,1,FALSE)=LEFT(B578,2),"Yes","Error"),"No")</f>
        <v>No</v>
      </c>
    </row>
    <row r="579" spans="1:13" hidden="1" x14ac:dyDescent="0.25">
      <c r="A579" t="s">
        <v>2196</v>
      </c>
      <c r="B579" t="s">
        <v>453</v>
      </c>
      <c r="C579" t="s">
        <v>454</v>
      </c>
      <c r="D579" t="s">
        <v>30</v>
      </c>
      <c r="E579" t="s">
        <v>330</v>
      </c>
      <c r="F579" t="s">
        <v>2502</v>
      </c>
      <c r="G579">
        <v>4500336169</v>
      </c>
      <c r="H579" t="s">
        <v>12</v>
      </c>
      <c r="I579" t="s">
        <v>2503</v>
      </c>
      <c r="J579" t="s">
        <v>330</v>
      </c>
      <c r="K579" s="2">
        <v>71566</v>
      </c>
      <c r="L579" s="2">
        <v>71566</v>
      </c>
      <c r="M579" t="str">
        <f>IFERROR(IF(VLOOKUP(LEFT(B579,2),'Humanitarian codes'!$A$2:$A$10,1,FALSE)=LEFT(B579,2),"Yes","Error"),"No")</f>
        <v>No</v>
      </c>
    </row>
    <row r="580" spans="1:13" hidden="1" x14ac:dyDescent="0.25">
      <c r="A580" t="s">
        <v>2196</v>
      </c>
      <c r="B580" t="s">
        <v>2056</v>
      </c>
      <c r="C580" t="s">
        <v>2057</v>
      </c>
      <c r="D580" t="s">
        <v>30</v>
      </c>
      <c r="E580" t="s">
        <v>261</v>
      </c>
      <c r="F580" t="s">
        <v>2200</v>
      </c>
      <c r="G580">
        <v>4500340716</v>
      </c>
      <c r="H580" t="s">
        <v>12</v>
      </c>
      <c r="I580" t="s">
        <v>2504</v>
      </c>
      <c r="J580" t="s">
        <v>261</v>
      </c>
      <c r="K580" s="2">
        <v>25465</v>
      </c>
      <c r="L580" s="2">
        <v>25465</v>
      </c>
      <c r="M580" t="str">
        <f>IFERROR(IF(VLOOKUP(LEFT(B580,2),'Humanitarian codes'!$A$2:$A$10,1,FALSE)=LEFT(B580,2),"Yes","Error"),"No")</f>
        <v>No</v>
      </c>
    </row>
    <row r="581" spans="1:13" hidden="1" x14ac:dyDescent="0.25">
      <c r="A581" t="s">
        <v>2196</v>
      </c>
      <c r="B581" t="s">
        <v>2056</v>
      </c>
      <c r="C581" t="s">
        <v>2057</v>
      </c>
      <c r="D581" t="s">
        <v>30</v>
      </c>
      <c r="E581" t="s">
        <v>261</v>
      </c>
      <c r="F581" t="s">
        <v>2505</v>
      </c>
      <c r="G581">
        <v>4500349306</v>
      </c>
      <c r="H581" t="s">
        <v>12</v>
      </c>
      <c r="I581" t="s">
        <v>2506</v>
      </c>
      <c r="J581" t="s">
        <v>261</v>
      </c>
      <c r="K581" s="2">
        <v>23280</v>
      </c>
      <c r="L581" s="2">
        <v>77599</v>
      </c>
      <c r="M581" t="str">
        <f>IFERROR(IF(VLOOKUP(LEFT(B581,2),'Humanitarian codes'!$A$2:$A$10,1,FALSE)=LEFT(B581,2),"Yes","Error"),"No")</f>
        <v>No</v>
      </c>
    </row>
    <row r="582" spans="1:13" hidden="1" x14ac:dyDescent="0.25">
      <c r="A582" t="s">
        <v>2196</v>
      </c>
      <c r="B582" t="s">
        <v>1427</v>
      </c>
      <c r="C582" t="s">
        <v>1428</v>
      </c>
      <c r="D582" t="s">
        <v>30</v>
      </c>
      <c r="E582" t="s">
        <v>54</v>
      </c>
      <c r="F582" t="s">
        <v>2507</v>
      </c>
      <c r="G582">
        <v>4500334351</v>
      </c>
      <c r="H582" t="s">
        <v>12</v>
      </c>
      <c r="I582" t="s">
        <v>930</v>
      </c>
      <c r="J582" t="s">
        <v>54</v>
      </c>
      <c r="K582" s="2">
        <v>183730</v>
      </c>
      <c r="L582" s="2">
        <v>183730</v>
      </c>
      <c r="M582" t="str">
        <f>IFERROR(IF(VLOOKUP(LEFT(B582,2),'Humanitarian codes'!$A$2:$A$10,1,FALSE)=LEFT(B582,2),"Yes","Error"),"No")</f>
        <v>No</v>
      </c>
    </row>
    <row r="583" spans="1:13" hidden="1" x14ac:dyDescent="0.25">
      <c r="A583" t="s">
        <v>2196</v>
      </c>
      <c r="B583" t="s">
        <v>1427</v>
      </c>
      <c r="C583" t="s">
        <v>1428</v>
      </c>
      <c r="D583" t="s">
        <v>30</v>
      </c>
      <c r="E583" t="s">
        <v>54</v>
      </c>
      <c r="F583" t="s">
        <v>2268</v>
      </c>
      <c r="G583">
        <v>4500345506</v>
      </c>
      <c r="H583" t="s">
        <v>12</v>
      </c>
      <c r="I583" t="s">
        <v>2269</v>
      </c>
      <c r="J583" t="s">
        <v>54</v>
      </c>
      <c r="K583" s="2">
        <v>29417</v>
      </c>
      <c r="L583" s="2">
        <v>58834</v>
      </c>
      <c r="M583" t="str">
        <f>IFERROR(IF(VLOOKUP(LEFT(B583,2),'Humanitarian codes'!$A$2:$A$10,1,FALSE)=LEFT(B583,2),"Yes","Error"),"No")</f>
        <v>No</v>
      </c>
    </row>
    <row r="584" spans="1:13" hidden="1" x14ac:dyDescent="0.25">
      <c r="A584" t="s">
        <v>2196</v>
      </c>
      <c r="B584" t="s">
        <v>456</v>
      </c>
      <c r="C584" t="s">
        <v>457</v>
      </c>
      <c r="D584" t="s">
        <v>30</v>
      </c>
      <c r="E584" t="s">
        <v>940</v>
      </c>
      <c r="F584" t="s">
        <v>2200</v>
      </c>
      <c r="G584">
        <v>4500341632</v>
      </c>
      <c r="H584" t="s">
        <v>12</v>
      </c>
      <c r="I584" t="s">
        <v>944</v>
      </c>
      <c r="J584" t="s">
        <v>940</v>
      </c>
      <c r="K584" s="2">
        <v>60000</v>
      </c>
      <c r="L584" s="2">
        <v>60000</v>
      </c>
      <c r="M584" t="str">
        <f>IFERROR(IF(VLOOKUP(LEFT(B584,2),'Humanitarian codes'!$A$2:$A$10,1,FALSE)=LEFT(B584,2),"Yes","Error"),"No")</f>
        <v>No</v>
      </c>
    </row>
    <row r="585" spans="1:13" hidden="1" x14ac:dyDescent="0.25">
      <c r="A585" t="s">
        <v>2196</v>
      </c>
      <c r="B585" t="s">
        <v>456</v>
      </c>
      <c r="C585" t="s">
        <v>457</v>
      </c>
      <c r="D585" t="s">
        <v>30</v>
      </c>
      <c r="E585" t="s">
        <v>940</v>
      </c>
      <c r="F585" t="s">
        <v>2508</v>
      </c>
      <c r="G585">
        <v>4500344898</v>
      </c>
      <c r="H585" t="s">
        <v>12</v>
      </c>
      <c r="I585" t="s">
        <v>2509</v>
      </c>
      <c r="J585" t="s">
        <v>972</v>
      </c>
      <c r="K585" s="2">
        <v>29976</v>
      </c>
      <c r="L585" s="2">
        <v>29976</v>
      </c>
      <c r="M585" t="str">
        <f>IFERROR(IF(VLOOKUP(LEFT(B585,2),'Humanitarian codes'!$A$2:$A$10,1,FALSE)=LEFT(B585,2),"Yes","Error"),"No")</f>
        <v>No</v>
      </c>
    </row>
    <row r="586" spans="1:13" hidden="1" x14ac:dyDescent="0.25">
      <c r="A586" t="s">
        <v>2196</v>
      </c>
      <c r="B586" t="s">
        <v>2060</v>
      </c>
      <c r="C586" t="s">
        <v>2061</v>
      </c>
      <c r="D586" t="s">
        <v>30</v>
      </c>
      <c r="E586" t="s">
        <v>261</v>
      </c>
      <c r="F586" t="s">
        <v>2510</v>
      </c>
      <c r="G586">
        <v>4500337775</v>
      </c>
      <c r="H586" t="s">
        <v>12</v>
      </c>
      <c r="I586" t="s">
        <v>2511</v>
      </c>
      <c r="J586" t="s">
        <v>261</v>
      </c>
      <c r="K586" s="2">
        <v>173324</v>
      </c>
      <c r="L586" s="2">
        <v>173324</v>
      </c>
      <c r="M586" t="str">
        <f>IFERROR(IF(VLOOKUP(LEFT(B586,2),'Humanitarian codes'!$A$2:$A$10,1,FALSE)=LEFT(B586,2),"Yes","Error"),"No")</f>
        <v>No</v>
      </c>
    </row>
    <row r="587" spans="1:13" hidden="1" x14ac:dyDescent="0.25">
      <c r="A587" t="s">
        <v>2196</v>
      </c>
      <c r="B587" t="s">
        <v>2060</v>
      </c>
      <c r="C587" t="s">
        <v>2061</v>
      </c>
      <c r="D587" t="s">
        <v>30</v>
      </c>
      <c r="E587" t="s">
        <v>261</v>
      </c>
      <c r="F587" t="s">
        <v>2505</v>
      </c>
      <c r="G587">
        <v>4500349306</v>
      </c>
      <c r="H587" t="s">
        <v>12</v>
      </c>
      <c r="I587" t="s">
        <v>2506</v>
      </c>
      <c r="J587" t="s">
        <v>261</v>
      </c>
      <c r="K587" s="2">
        <v>54319</v>
      </c>
      <c r="L587" s="2">
        <v>77599</v>
      </c>
      <c r="M587" t="str">
        <f>IFERROR(IF(VLOOKUP(LEFT(B587,2),'Humanitarian codes'!$A$2:$A$10,1,FALSE)=LEFT(B587,2),"Yes","Error"),"No")</f>
        <v>No</v>
      </c>
    </row>
    <row r="588" spans="1:13" hidden="1" x14ac:dyDescent="0.25">
      <c r="A588" t="s">
        <v>2196</v>
      </c>
      <c r="B588" t="s">
        <v>1445</v>
      </c>
      <c r="C588" t="s">
        <v>1446</v>
      </c>
      <c r="D588" t="s">
        <v>543</v>
      </c>
      <c r="E588" t="s">
        <v>1245</v>
      </c>
      <c r="F588" t="s">
        <v>2512</v>
      </c>
      <c r="G588">
        <v>4500346130</v>
      </c>
      <c r="H588" t="s">
        <v>12</v>
      </c>
      <c r="I588" t="s">
        <v>2513</v>
      </c>
      <c r="J588" t="s">
        <v>1355</v>
      </c>
      <c r="K588" s="2">
        <v>99005</v>
      </c>
      <c r="L588" s="2">
        <v>99005</v>
      </c>
      <c r="M588" t="str">
        <f>IFERROR(IF(VLOOKUP(LEFT(B588,2),'Humanitarian codes'!$A$2:$A$10,1,FALSE)=LEFT(B588,2),"Yes","Error"),"No")</f>
        <v>No</v>
      </c>
    </row>
    <row r="589" spans="1:13" hidden="1" x14ac:dyDescent="0.25">
      <c r="A589" t="s">
        <v>2196</v>
      </c>
      <c r="B589" t="s">
        <v>1805</v>
      </c>
      <c r="C589" t="s">
        <v>1806</v>
      </c>
      <c r="D589" t="s">
        <v>543</v>
      </c>
      <c r="E589" t="s">
        <v>257</v>
      </c>
      <c r="F589" t="s">
        <v>2200</v>
      </c>
      <c r="G589">
        <v>4500331278</v>
      </c>
      <c r="H589" t="s">
        <v>12</v>
      </c>
      <c r="I589" t="s">
        <v>2514</v>
      </c>
      <c r="J589" t="s">
        <v>257</v>
      </c>
      <c r="K589" s="2">
        <v>56993</v>
      </c>
      <c r="L589" s="2">
        <v>56993</v>
      </c>
      <c r="M589" t="str">
        <f>IFERROR(IF(VLOOKUP(LEFT(B589,2),'Humanitarian codes'!$A$2:$A$10,1,FALSE)=LEFT(B589,2),"Yes","Error"),"No")</f>
        <v>No</v>
      </c>
    </row>
    <row r="590" spans="1:13" hidden="1" x14ac:dyDescent="0.25">
      <c r="A590" t="s">
        <v>2196</v>
      </c>
      <c r="B590" t="s">
        <v>2515</v>
      </c>
      <c r="C590" t="s">
        <v>2516</v>
      </c>
      <c r="D590" t="s">
        <v>466</v>
      </c>
      <c r="E590" t="s">
        <v>449</v>
      </c>
      <c r="F590" t="s">
        <v>2517</v>
      </c>
      <c r="G590">
        <v>4500331560</v>
      </c>
      <c r="H590" t="s">
        <v>12</v>
      </c>
      <c r="I590" t="s">
        <v>2518</v>
      </c>
      <c r="J590" t="s">
        <v>449</v>
      </c>
      <c r="K590" s="2">
        <v>70200</v>
      </c>
      <c r="L590" s="2">
        <v>175500</v>
      </c>
      <c r="M590" t="str">
        <f>IFERROR(IF(VLOOKUP(LEFT(B590,2),'Humanitarian codes'!$A$2:$A$10,1,FALSE)=LEFT(B590,2),"Yes","Error"),"No")</f>
        <v>No</v>
      </c>
    </row>
    <row r="591" spans="1:13" hidden="1" x14ac:dyDescent="0.25">
      <c r="A591" t="s">
        <v>2196</v>
      </c>
      <c r="B591" t="s">
        <v>2070</v>
      </c>
      <c r="C591" t="s">
        <v>2071</v>
      </c>
      <c r="D591" t="s">
        <v>466</v>
      </c>
      <c r="E591" t="s">
        <v>205</v>
      </c>
      <c r="F591" t="s">
        <v>2519</v>
      </c>
      <c r="G591">
        <v>4500347219</v>
      </c>
      <c r="H591" t="s">
        <v>12</v>
      </c>
      <c r="I591" t="s">
        <v>209</v>
      </c>
      <c r="J591" t="s">
        <v>205</v>
      </c>
      <c r="K591" s="2">
        <v>153000</v>
      </c>
      <c r="L591" s="2">
        <v>153000</v>
      </c>
      <c r="M591" t="str">
        <f>IFERROR(IF(VLOOKUP(LEFT(B591,2),'Humanitarian codes'!$A$2:$A$10,1,FALSE)=LEFT(B591,2),"Yes","Error"),"No")</f>
        <v>No</v>
      </c>
    </row>
    <row r="592" spans="1:13" hidden="1" x14ac:dyDescent="0.25">
      <c r="A592" t="s">
        <v>2196</v>
      </c>
      <c r="B592" t="s">
        <v>1463</v>
      </c>
      <c r="C592" t="s">
        <v>1464</v>
      </c>
      <c r="D592" t="s">
        <v>466</v>
      </c>
      <c r="E592" t="s">
        <v>504</v>
      </c>
      <c r="F592" t="s">
        <v>2520</v>
      </c>
      <c r="G592">
        <v>4500344098</v>
      </c>
      <c r="H592" t="s">
        <v>12</v>
      </c>
      <c r="I592" t="s">
        <v>2521</v>
      </c>
      <c r="J592" t="s">
        <v>504</v>
      </c>
      <c r="K592" s="2">
        <v>33889</v>
      </c>
      <c r="L592" s="2">
        <v>33889</v>
      </c>
      <c r="M592" t="str">
        <f>IFERROR(IF(VLOOKUP(LEFT(B592,2),'Humanitarian codes'!$A$2:$A$10,1,FALSE)=LEFT(B592,2),"Yes","Error"),"No")</f>
        <v>No</v>
      </c>
    </row>
    <row r="593" spans="1:13" hidden="1" x14ac:dyDescent="0.25">
      <c r="A593" t="s">
        <v>2196</v>
      </c>
      <c r="B593" t="s">
        <v>2522</v>
      </c>
      <c r="C593" t="s">
        <v>2523</v>
      </c>
      <c r="D593" t="s">
        <v>466</v>
      </c>
      <c r="E593" t="s">
        <v>909</v>
      </c>
      <c r="F593" t="s">
        <v>2200</v>
      </c>
      <c r="G593">
        <v>4500332002</v>
      </c>
      <c r="H593" t="s">
        <v>12</v>
      </c>
      <c r="I593" t="s">
        <v>1331</v>
      </c>
      <c r="J593" t="s">
        <v>909</v>
      </c>
      <c r="K593" s="2">
        <v>13387</v>
      </c>
      <c r="L593" s="2">
        <v>13387</v>
      </c>
      <c r="M593" t="str">
        <f>IFERROR(IF(VLOOKUP(LEFT(B593,2),'Humanitarian codes'!$A$2:$A$10,1,FALSE)=LEFT(B593,2),"Yes","Error"),"No")</f>
        <v>No</v>
      </c>
    </row>
    <row r="594" spans="1:13" hidden="1" x14ac:dyDescent="0.25">
      <c r="A594" t="s">
        <v>2196</v>
      </c>
      <c r="B594" t="s">
        <v>2522</v>
      </c>
      <c r="C594" t="s">
        <v>2523</v>
      </c>
      <c r="D594" t="s">
        <v>466</v>
      </c>
      <c r="E594" t="s">
        <v>909</v>
      </c>
      <c r="F594" t="s">
        <v>2200</v>
      </c>
      <c r="G594">
        <v>4500340147</v>
      </c>
      <c r="H594" t="s">
        <v>12</v>
      </c>
      <c r="I594" t="s">
        <v>1331</v>
      </c>
      <c r="J594" t="s">
        <v>909</v>
      </c>
      <c r="K594" s="2">
        <v>12234</v>
      </c>
      <c r="L594" s="2">
        <v>12234</v>
      </c>
      <c r="M594" t="str">
        <f>IFERROR(IF(VLOOKUP(LEFT(B594,2),'Humanitarian codes'!$A$2:$A$10,1,FALSE)=LEFT(B594,2),"Yes","Error"),"No")</f>
        <v>No</v>
      </c>
    </row>
    <row r="595" spans="1:13" hidden="1" x14ac:dyDescent="0.25">
      <c r="A595" t="s">
        <v>2196</v>
      </c>
      <c r="B595" t="s">
        <v>2522</v>
      </c>
      <c r="C595" t="s">
        <v>2523</v>
      </c>
      <c r="D595" t="s">
        <v>466</v>
      </c>
      <c r="E595" t="s">
        <v>909</v>
      </c>
      <c r="F595" t="s">
        <v>2200</v>
      </c>
      <c r="G595">
        <v>4500350852</v>
      </c>
      <c r="H595" t="s">
        <v>12</v>
      </c>
      <c r="I595" t="s">
        <v>1331</v>
      </c>
      <c r="J595" t="s">
        <v>909</v>
      </c>
      <c r="K595" s="2">
        <v>10589</v>
      </c>
      <c r="L595" s="2">
        <v>10589</v>
      </c>
      <c r="M595" t="str">
        <f>IFERROR(IF(VLOOKUP(LEFT(B595,2),'Humanitarian codes'!$A$2:$A$10,1,FALSE)=LEFT(B595,2),"Yes","Error"),"No")</f>
        <v>No</v>
      </c>
    </row>
    <row r="596" spans="1:13" hidden="1" x14ac:dyDescent="0.25">
      <c r="A596" t="s">
        <v>2196</v>
      </c>
      <c r="B596" t="s">
        <v>1814</v>
      </c>
      <c r="C596" t="s">
        <v>1478</v>
      </c>
      <c r="D596" t="s">
        <v>466</v>
      </c>
      <c r="E596" t="s">
        <v>1174</v>
      </c>
      <c r="F596" t="s">
        <v>2524</v>
      </c>
      <c r="G596">
        <v>4500335380</v>
      </c>
      <c r="H596" t="s">
        <v>12</v>
      </c>
      <c r="I596" t="s">
        <v>1815</v>
      </c>
      <c r="J596" t="s">
        <v>751</v>
      </c>
      <c r="K596" s="2">
        <v>101295</v>
      </c>
      <c r="L596" s="2">
        <v>101295</v>
      </c>
      <c r="M596" t="str">
        <f>IFERROR(IF(VLOOKUP(LEFT(B596,2),'Humanitarian codes'!$A$2:$A$10,1,FALSE)=LEFT(B596,2),"Yes","Error"),"No")</f>
        <v>No</v>
      </c>
    </row>
    <row r="597" spans="1:13" hidden="1" x14ac:dyDescent="0.25">
      <c r="A597" t="s">
        <v>2196</v>
      </c>
      <c r="B597" t="s">
        <v>1814</v>
      </c>
      <c r="C597" t="s">
        <v>1478</v>
      </c>
      <c r="D597" t="s">
        <v>466</v>
      </c>
      <c r="E597" t="s">
        <v>1174</v>
      </c>
      <c r="F597" t="s">
        <v>2357</v>
      </c>
      <c r="G597">
        <v>4500350978</v>
      </c>
      <c r="H597" t="s">
        <v>12</v>
      </c>
      <c r="I597" t="s">
        <v>1815</v>
      </c>
      <c r="J597" t="s">
        <v>751</v>
      </c>
      <c r="K597" s="2">
        <v>61266</v>
      </c>
      <c r="L597" s="2">
        <v>61266</v>
      </c>
      <c r="M597" t="str">
        <f>IFERROR(IF(VLOOKUP(LEFT(B597,2),'Humanitarian codes'!$A$2:$A$10,1,FALSE)=LEFT(B597,2),"Yes","Error"),"No")</f>
        <v>No</v>
      </c>
    </row>
    <row r="598" spans="1:13" hidden="1" x14ac:dyDescent="0.25">
      <c r="A598" t="s">
        <v>2196</v>
      </c>
      <c r="B598" t="s">
        <v>1469</v>
      </c>
      <c r="C598" t="s">
        <v>473</v>
      </c>
      <c r="D598" t="s">
        <v>466</v>
      </c>
      <c r="E598" t="s">
        <v>150</v>
      </c>
      <c r="F598" t="s">
        <v>2525</v>
      </c>
      <c r="G598">
        <v>4500331599</v>
      </c>
      <c r="H598" t="s">
        <v>12</v>
      </c>
      <c r="I598" t="s">
        <v>2526</v>
      </c>
      <c r="J598" t="s">
        <v>150</v>
      </c>
      <c r="K598" s="2">
        <v>169217</v>
      </c>
      <c r="L598" s="2">
        <v>169217</v>
      </c>
      <c r="M598" t="str">
        <f>IFERROR(IF(VLOOKUP(LEFT(B598,2),'Humanitarian codes'!$A$2:$A$10,1,FALSE)=LEFT(B598,2),"Yes","Error"),"No")</f>
        <v>No</v>
      </c>
    </row>
    <row r="599" spans="1:13" hidden="1" x14ac:dyDescent="0.25">
      <c r="A599" t="s">
        <v>2196</v>
      </c>
      <c r="B599" t="s">
        <v>1469</v>
      </c>
      <c r="C599" t="s">
        <v>473</v>
      </c>
      <c r="D599" t="s">
        <v>466</v>
      </c>
      <c r="E599" t="s">
        <v>150</v>
      </c>
      <c r="F599" t="s">
        <v>2527</v>
      </c>
      <c r="G599">
        <v>4500346208</v>
      </c>
      <c r="H599" t="s">
        <v>12</v>
      </c>
      <c r="I599" t="s">
        <v>1103</v>
      </c>
      <c r="J599" t="s">
        <v>150</v>
      </c>
      <c r="K599" s="2">
        <v>98669</v>
      </c>
      <c r="L599" s="2">
        <v>98669</v>
      </c>
      <c r="M599" t="str">
        <f>IFERROR(IF(VLOOKUP(LEFT(B599,2),'Humanitarian codes'!$A$2:$A$10,1,FALSE)=LEFT(B599,2),"Yes","Error"),"No")</f>
        <v>No</v>
      </c>
    </row>
    <row r="600" spans="1:13" hidden="1" x14ac:dyDescent="0.25">
      <c r="A600" t="s">
        <v>2196</v>
      </c>
      <c r="B600" t="s">
        <v>1482</v>
      </c>
      <c r="C600" t="s">
        <v>1483</v>
      </c>
      <c r="D600" t="s">
        <v>466</v>
      </c>
      <c r="E600" t="s">
        <v>261</v>
      </c>
      <c r="F600" t="s">
        <v>2528</v>
      </c>
      <c r="G600">
        <v>4500344789</v>
      </c>
      <c r="H600" t="s">
        <v>12</v>
      </c>
      <c r="I600" t="s">
        <v>2529</v>
      </c>
      <c r="J600" t="s">
        <v>261</v>
      </c>
      <c r="K600" s="2">
        <v>368084</v>
      </c>
      <c r="L600" s="2">
        <v>368084</v>
      </c>
      <c r="M600" t="str">
        <f>IFERROR(IF(VLOOKUP(LEFT(B600,2),'Humanitarian codes'!$A$2:$A$10,1,FALSE)=LEFT(B600,2),"Yes","Error"),"No")</f>
        <v>No</v>
      </c>
    </row>
    <row r="601" spans="1:13" hidden="1" x14ac:dyDescent="0.25">
      <c r="A601" t="s">
        <v>2196</v>
      </c>
      <c r="B601" t="s">
        <v>1482</v>
      </c>
      <c r="C601" t="s">
        <v>1483</v>
      </c>
      <c r="D601" t="s">
        <v>466</v>
      </c>
      <c r="E601" t="s">
        <v>261</v>
      </c>
      <c r="F601" t="s">
        <v>2530</v>
      </c>
      <c r="G601">
        <v>4500346021</v>
      </c>
      <c r="H601" t="s">
        <v>12</v>
      </c>
      <c r="I601" t="s">
        <v>262</v>
      </c>
      <c r="J601" t="s">
        <v>261</v>
      </c>
      <c r="K601" s="2">
        <v>205249</v>
      </c>
      <c r="L601" s="2">
        <v>205249</v>
      </c>
      <c r="M601" t="str">
        <f>IFERROR(IF(VLOOKUP(LEFT(B601,2),'Humanitarian codes'!$A$2:$A$10,1,FALSE)=LEFT(B601,2),"Yes","Error"),"No")</f>
        <v>No</v>
      </c>
    </row>
    <row r="602" spans="1:13" hidden="1" x14ac:dyDescent="0.25">
      <c r="A602" t="s">
        <v>2196</v>
      </c>
      <c r="B602" t="s">
        <v>1482</v>
      </c>
      <c r="C602" t="s">
        <v>1483</v>
      </c>
      <c r="D602" t="s">
        <v>466</v>
      </c>
      <c r="E602" t="s">
        <v>449</v>
      </c>
      <c r="F602" t="s">
        <v>2517</v>
      </c>
      <c r="G602">
        <v>4500331560</v>
      </c>
      <c r="H602" t="s">
        <v>12</v>
      </c>
      <c r="I602" t="s">
        <v>2518</v>
      </c>
      <c r="J602" t="s">
        <v>449</v>
      </c>
      <c r="K602" s="2">
        <v>105300</v>
      </c>
      <c r="L602" s="2">
        <v>175500</v>
      </c>
      <c r="M602" t="str">
        <f>IFERROR(IF(VLOOKUP(LEFT(B602,2),'Humanitarian codes'!$A$2:$A$10,1,FALSE)=LEFT(B602,2),"Yes","Error"),"No")</f>
        <v>No</v>
      </c>
    </row>
    <row r="603" spans="1:13" hidden="1" x14ac:dyDescent="0.25">
      <c r="A603" t="s">
        <v>2196</v>
      </c>
      <c r="B603" t="s">
        <v>2531</v>
      </c>
      <c r="C603" t="s">
        <v>2532</v>
      </c>
      <c r="D603" t="s">
        <v>466</v>
      </c>
      <c r="E603" t="s">
        <v>167</v>
      </c>
      <c r="F603" t="s">
        <v>2533</v>
      </c>
      <c r="G603">
        <v>4500326635</v>
      </c>
      <c r="H603" t="s">
        <v>12</v>
      </c>
      <c r="I603" t="s">
        <v>516</v>
      </c>
      <c r="J603" t="s">
        <v>167</v>
      </c>
      <c r="K603" s="2">
        <v>29029</v>
      </c>
      <c r="L603" s="2">
        <v>29029</v>
      </c>
      <c r="M603" t="str">
        <f>IFERROR(IF(VLOOKUP(LEFT(B603,2),'Humanitarian codes'!$A$2:$A$10,1,FALSE)=LEFT(B603,2),"Yes","Error"),"No")</f>
        <v>No</v>
      </c>
    </row>
    <row r="604" spans="1:13" hidden="1" x14ac:dyDescent="0.25">
      <c r="A604" t="s">
        <v>2196</v>
      </c>
      <c r="B604" t="s">
        <v>2531</v>
      </c>
      <c r="C604" t="s">
        <v>2532</v>
      </c>
      <c r="D604" t="s">
        <v>466</v>
      </c>
      <c r="E604" t="s">
        <v>523</v>
      </c>
      <c r="F604" t="s">
        <v>2517</v>
      </c>
      <c r="G604">
        <v>4500343630</v>
      </c>
      <c r="H604" t="s">
        <v>12</v>
      </c>
      <c r="I604" t="s">
        <v>2534</v>
      </c>
      <c r="J604" t="s">
        <v>523</v>
      </c>
      <c r="K604" s="2">
        <v>4466</v>
      </c>
      <c r="L604" s="2">
        <v>4466</v>
      </c>
      <c r="M604" t="str">
        <f>IFERROR(IF(VLOOKUP(LEFT(B604,2),'Humanitarian codes'!$A$2:$A$10,1,FALSE)=LEFT(B604,2),"Yes","Error"),"No")</f>
        <v>No</v>
      </c>
    </row>
    <row r="605" spans="1:13" hidden="1" x14ac:dyDescent="0.25">
      <c r="A605" t="s">
        <v>2196</v>
      </c>
      <c r="B605" t="s">
        <v>2535</v>
      </c>
      <c r="C605" t="s">
        <v>2536</v>
      </c>
      <c r="D605" t="s">
        <v>466</v>
      </c>
      <c r="E605" t="s">
        <v>1454</v>
      </c>
      <c r="F605" t="s">
        <v>2200</v>
      </c>
      <c r="G605">
        <v>4500347845</v>
      </c>
      <c r="H605" t="s">
        <v>12</v>
      </c>
      <c r="I605" t="s">
        <v>2537</v>
      </c>
      <c r="J605" t="s">
        <v>1454</v>
      </c>
      <c r="K605" s="2">
        <v>5844</v>
      </c>
      <c r="L605" s="2">
        <v>5844</v>
      </c>
      <c r="M605" t="str">
        <f>IFERROR(IF(VLOOKUP(LEFT(B605,2),'Humanitarian codes'!$A$2:$A$10,1,FALSE)=LEFT(B605,2),"Yes","Error"),"No")</f>
        <v>No</v>
      </c>
    </row>
    <row r="606" spans="1:13" hidden="1" x14ac:dyDescent="0.25">
      <c r="A606" t="s">
        <v>2196</v>
      </c>
      <c r="B606" t="s">
        <v>1816</v>
      </c>
      <c r="C606" t="s">
        <v>1817</v>
      </c>
      <c r="D606" t="s">
        <v>466</v>
      </c>
      <c r="E606" t="s">
        <v>518</v>
      </c>
      <c r="F606" t="s">
        <v>2538</v>
      </c>
      <c r="G606">
        <v>4500343283</v>
      </c>
      <c r="H606" t="s">
        <v>12</v>
      </c>
      <c r="I606" t="s">
        <v>2539</v>
      </c>
      <c r="J606" t="s">
        <v>518</v>
      </c>
      <c r="K606" s="2">
        <v>50000</v>
      </c>
      <c r="L606" s="2">
        <v>50000</v>
      </c>
      <c r="M606" t="str">
        <f>IFERROR(IF(VLOOKUP(LEFT(B606,2),'Humanitarian codes'!$A$2:$A$10,1,FALSE)=LEFT(B606,2),"Yes","Error"),"No")</f>
        <v>No</v>
      </c>
    </row>
    <row r="607" spans="1:13" hidden="1" x14ac:dyDescent="0.25">
      <c r="A607" t="s">
        <v>2196</v>
      </c>
      <c r="B607" t="s">
        <v>732</v>
      </c>
      <c r="C607" t="s">
        <v>733</v>
      </c>
      <c r="D607" t="s">
        <v>466</v>
      </c>
      <c r="E607" t="s">
        <v>1453</v>
      </c>
      <c r="F607" t="s">
        <v>2540</v>
      </c>
      <c r="G607">
        <v>4500334621</v>
      </c>
      <c r="H607" t="s">
        <v>12</v>
      </c>
      <c r="I607" t="s">
        <v>2541</v>
      </c>
      <c r="J607" t="s">
        <v>1453</v>
      </c>
      <c r="K607" s="2">
        <v>1259</v>
      </c>
      <c r="L607" s="2">
        <v>1259</v>
      </c>
      <c r="M607" t="str">
        <f>IFERROR(IF(VLOOKUP(LEFT(B607,2),'Humanitarian codes'!$A$2:$A$10,1,FALSE)=LEFT(B607,2),"Yes","Error"),"No")</f>
        <v>No</v>
      </c>
    </row>
    <row r="608" spans="1:13" hidden="1" x14ac:dyDescent="0.25">
      <c r="A608" t="s">
        <v>2196</v>
      </c>
      <c r="B608" t="s">
        <v>732</v>
      </c>
      <c r="C608" t="s">
        <v>733</v>
      </c>
      <c r="D608" t="s">
        <v>466</v>
      </c>
      <c r="E608" t="s">
        <v>1453</v>
      </c>
      <c r="F608" t="s">
        <v>2542</v>
      </c>
      <c r="G608">
        <v>4500345736</v>
      </c>
      <c r="H608" t="s">
        <v>12</v>
      </c>
      <c r="I608" t="s">
        <v>2543</v>
      </c>
      <c r="J608" t="s">
        <v>1453</v>
      </c>
      <c r="K608" s="2">
        <v>5364</v>
      </c>
      <c r="L608" s="2">
        <v>5364</v>
      </c>
      <c r="M608" t="str">
        <f>IFERROR(IF(VLOOKUP(LEFT(B608,2),'Humanitarian codes'!$A$2:$A$10,1,FALSE)=LEFT(B608,2),"Yes","Error"),"No")</f>
        <v>No</v>
      </c>
    </row>
    <row r="609" spans="1:13" hidden="1" x14ac:dyDescent="0.25">
      <c r="A609" t="s">
        <v>2196</v>
      </c>
      <c r="B609" t="s">
        <v>2544</v>
      </c>
      <c r="C609" t="s">
        <v>2545</v>
      </c>
      <c r="D609" t="s">
        <v>466</v>
      </c>
      <c r="E609" t="s">
        <v>1453</v>
      </c>
      <c r="F609" t="s">
        <v>2546</v>
      </c>
      <c r="G609">
        <v>4500335476</v>
      </c>
      <c r="H609" t="s">
        <v>12</v>
      </c>
      <c r="I609" t="s">
        <v>2541</v>
      </c>
      <c r="J609" t="s">
        <v>1453</v>
      </c>
      <c r="K609" s="2">
        <v>7096</v>
      </c>
      <c r="L609" s="2">
        <v>7096</v>
      </c>
      <c r="M609" t="str">
        <f>IFERROR(IF(VLOOKUP(LEFT(B609,2),'Humanitarian codes'!$A$2:$A$10,1,FALSE)=LEFT(B609,2),"Yes","Error"),"No")</f>
        <v>No</v>
      </c>
    </row>
    <row r="610" spans="1:13" hidden="1" x14ac:dyDescent="0.25">
      <c r="A610" t="s">
        <v>2196</v>
      </c>
      <c r="B610" t="s">
        <v>2544</v>
      </c>
      <c r="C610" t="s">
        <v>2545</v>
      </c>
      <c r="D610" t="s">
        <v>466</v>
      </c>
      <c r="E610" t="s">
        <v>1453</v>
      </c>
      <c r="F610" t="s">
        <v>2547</v>
      </c>
      <c r="G610">
        <v>4500338002</v>
      </c>
      <c r="H610" t="s">
        <v>12</v>
      </c>
      <c r="I610" t="s">
        <v>2541</v>
      </c>
      <c r="J610" t="s">
        <v>1453</v>
      </c>
      <c r="K610" s="2">
        <v>2512</v>
      </c>
      <c r="L610" s="2">
        <v>2512</v>
      </c>
      <c r="M610" t="str">
        <f>IFERROR(IF(VLOOKUP(LEFT(B610,2),'Humanitarian codes'!$A$2:$A$10,1,FALSE)=LEFT(B610,2),"Yes","Error"),"No")</f>
        <v>No</v>
      </c>
    </row>
    <row r="611" spans="1:13" hidden="1" x14ac:dyDescent="0.25">
      <c r="A611" t="s">
        <v>2196</v>
      </c>
      <c r="B611" t="s">
        <v>2544</v>
      </c>
      <c r="C611" t="s">
        <v>2545</v>
      </c>
      <c r="D611" t="s">
        <v>466</v>
      </c>
      <c r="E611" t="s">
        <v>1453</v>
      </c>
      <c r="F611" t="s">
        <v>2548</v>
      </c>
      <c r="G611">
        <v>4500342540</v>
      </c>
      <c r="H611" t="s">
        <v>12</v>
      </c>
      <c r="I611" t="s">
        <v>2541</v>
      </c>
      <c r="J611" t="s">
        <v>1453</v>
      </c>
      <c r="K611">
        <v>430</v>
      </c>
      <c r="L611">
        <v>430</v>
      </c>
      <c r="M611" t="str">
        <f>IFERROR(IF(VLOOKUP(LEFT(B611,2),'Humanitarian codes'!$A$2:$A$10,1,FALSE)=LEFT(B611,2),"Yes","Error"),"No")</f>
        <v>No</v>
      </c>
    </row>
    <row r="612" spans="1:13" hidden="1" x14ac:dyDescent="0.25">
      <c r="A612" t="s">
        <v>2196</v>
      </c>
      <c r="B612" t="s">
        <v>2549</v>
      </c>
      <c r="C612" t="s">
        <v>2550</v>
      </c>
      <c r="D612" t="s">
        <v>466</v>
      </c>
      <c r="E612" t="s">
        <v>504</v>
      </c>
      <c r="F612" t="s">
        <v>2551</v>
      </c>
      <c r="G612">
        <v>4500330973</v>
      </c>
      <c r="H612" t="s">
        <v>12</v>
      </c>
      <c r="I612" t="s">
        <v>2552</v>
      </c>
      <c r="J612" t="s">
        <v>504</v>
      </c>
      <c r="K612" s="2">
        <v>9900</v>
      </c>
      <c r="L612" s="2">
        <v>9900</v>
      </c>
      <c r="M612" t="str">
        <f>IFERROR(IF(VLOOKUP(LEFT(B612,2),'Humanitarian codes'!$A$2:$A$10,1,FALSE)=LEFT(B612,2),"Yes","Error"),"No")</f>
        <v>No</v>
      </c>
    </row>
    <row r="613" spans="1:13" hidden="1" x14ac:dyDescent="0.25">
      <c r="A613" t="s">
        <v>2196</v>
      </c>
      <c r="B613" t="s">
        <v>2553</v>
      </c>
      <c r="C613" t="s">
        <v>2554</v>
      </c>
      <c r="D613" t="s">
        <v>466</v>
      </c>
      <c r="E613" t="s">
        <v>549</v>
      </c>
      <c r="F613" t="s">
        <v>2200</v>
      </c>
      <c r="G613">
        <v>4500328129</v>
      </c>
      <c r="H613" t="s">
        <v>12</v>
      </c>
      <c r="I613" t="s">
        <v>2555</v>
      </c>
      <c r="J613" t="s">
        <v>549</v>
      </c>
      <c r="K613" s="2">
        <v>2450</v>
      </c>
      <c r="L613" s="2">
        <v>2450</v>
      </c>
      <c r="M613" t="str">
        <f>IFERROR(IF(VLOOKUP(LEFT(B613,2),'Humanitarian codes'!$A$2:$A$10,1,FALSE)=LEFT(B613,2),"Yes","Error"),"No")</f>
        <v>No</v>
      </c>
    </row>
    <row r="614" spans="1:13" hidden="1" x14ac:dyDescent="0.25">
      <c r="A614" t="s">
        <v>2196</v>
      </c>
      <c r="B614" t="s">
        <v>2553</v>
      </c>
      <c r="C614" t="s">
        <v>2554</v>
      </c>
      <c r="D614" t="s">
        <v>466</v>
      </c>
      <c r="E614" t="s">
        <v>449</v>
      </c>
      <c r="F614" t="s">
        <v>2556</v>
      </c>
      <c r="G614">
        <v>4500330263</v>
      </c>
      <c r="H614" t="s">
        <v>12</v>
      </c>
      <c r="I614" t="s">
        <v>2557</v>
      </c>
      <c r="J614" t="s">
        <v>261</v>
      </c>
      <c r="K614" s="2">
        <v>20000</v>
      </c>
      <c r="L614" s="2">
        <v>20000</v>
      </c>
      <c r="M614" t="str">
        <f>IFERROR(IF(VLOOKUP(LEFT(B614,2),'Humanitarian codes'!$A$2:$A$10,1,FALSE)=LEFT(B614,2),"Yes","Error"),"No")</f>
        <v>No</v>
      </c>
    </row>
    <row r="615" spans="1:13" hidden="1" x14ac:dyDescent="0.25">
      <c r="A615" t="s">
        <v>2196</v>
      </c>
      <c r="B615" t="s">
        <v>511</v>
      </c>
      <c r="C615" t="s">
        <v>513</v>
      </c>
      <c r="D615" t="s">
        <v>512</v>
      </c>
      <c r="E615" t="s">
        <v>167</v>
      </c>
      <c r="F615" t="s">
        <v>2558</v>
      </c>
      <c r="G615">
        <v>4500334338</v>
      </c>
      <c r="H615" t="s">
        <v>12</v>
      </c>
      <c r="I615" t="s">
        <v>2559</v>
      </c>
      <c r="J615" t="s">
        <v>1453</v>
      </c>
      <c r="K615" s="2">
        <v>73284</v>
      </c>
      <c r="L615" s="2">
        <v>73284</v>
      </c>
      <c r="M615" t="str">
        <f>IFERROR(IF(VLOOKUP(LEFT(B615,2),'Humanitarian codes'!$A$2:$A$10,1,FALSE)=LEFT(B615,2),"Yes","Error"),"No")</f>
        <v>No</v>
      </c>
    </row>
    <row r="616" spans="1:13" hidden="1" x14ac:dyDescent="0.25">
      <c r="A616" t="s">
        <v>2196</v>
      </c>
      <c r="B616" t="s">
        <v>511</v>
      </c>
      <c r="C616" t="s">
        <v>513</v>
      </c>
      <c r="D616" t="s">
        <v>512</v>
      </c>
      <c r="E616" t="s">
        <v>167</v>
      </c>
      <c r="F616" t="s">
        <v>2560</v>
      </c>
      <c r="G616">
        <v>4500343255</v>
      </c>
      <c r="H616" t="s">
        <v>12</v>
      </c>
      <c r="I616" t="s">
        <v>521</v>
      </c>
      <c r="J616" t="s">
        <v>167</v>
      </c>
      <c r="K616" s="2">
        <v>40305</v>
      </c>
      <c r="L616" s="2">
        <v>40305</v>
      </c>
      <c r="M616" t="str">
        <f>IFERROR(IF(VLOOKUP(LEFT(B616,2),'Humanitarian codes'!$A$2:$A$10,1,FALSE)=LEFT(B616,2),"Yes","Error"),"No")</f>
        <v>No</v>
      </c>
    </row>
    <row r="617" spans="1:13" hidden="1" x14ac:dyDescent="0.25">
      <c r="A617" t="s">
        <v>2196</v>
      </c>
      <c r="B617" t="s">
        <v>511</v>
      </c>
      <c r="C617" t="s">
        <v>513</v>
      </c>
      <c r="D617" t="s">
        <v>512</v>
      </c>
      <c r="E617" t="s">
        <v>167</v>
      </c>
      <c r="F617" t="s">
        <v>2561</v>
      </c>
      <c r="G617">
        <v>4500343294</v>
      </c>
      <c r="H617" t="s">
        <v>12</v>
      </c>
      <c r="I617" t="s">
        <v>520</v>
      </c>
      <c r="J617" t="s">
        <v>167</v>
      </c>
      <c r="K617" s="2">
        <v>242704</v>
      </c>
      <c r="L617" s="2">
        <v>242704</v>
      </c>
      <c r="M617" t="str">
        <f>IFERROR(IF(VLOOKUP(LEFT(B617,2),'Humanitarian codes'!$A$2:$A$10,1,FALSE)=LEFT(B617,2),"Yes","Error"),"No")</f>
        <v>No</v>
      </c>
    </row>
    <row r="618" spans="1:13" hidden="1" x14ac:dyDescent="0.25">
      <c r="A618" t="s">
        <v>2196</v>
      </c>
      <c r="B618" t="s">
        <v>511</v>
      </c>
      <c r="C618" t="s">
        <v>513</v>
      </c>
      <c r="D618" t="s">
        <v>512</v>
      </c>
      <c r="E618" t="s">
        <v>167</v>
      </c>
      <c r="F618" t="s">
        <v>2562</v>
      </c>
      <c r="G618">
        <v>4500344162</v>
      </c>
      <c r="H618" t="s">
        <v>12</v>
      </c>
      <c r="I618" t="s">
        <v>520</v>
      </c>
      <c r="J618" t="s">
        <v>167</v>
      </c>
      <c r="K618" s="2">
        <v>364847</v>
      </c>
      <c r="L618" s="2">
        <v>364847</v>
      </c>
      <c r="M618" t="str">
        <f>IFERROR(IF(VLOOKUP(LEFT(B618,2),'Humanitarian codes'!$A$2:$A$10,1,FALSE)=LEFT(B618,2),"Yes","Error"),"No")</f>
        <v>No</v>
      </c>
    </row>
    <row r="619" spans="1:13" hidden="1" x14ac:dyDescent="0.25">
      <c r="A619" t="s">
        <v>2196</v>
      </c>
      <c r="B619" t="s">
        <v>988</v>
      </c>
      <c r="C619" t="s">
        <v>989</v>
      </c>
      <c r="D619" t="s">
        <v>512</v>
      </c>
      <c r="E619" t="s">
        <v>1866</v>
      </c>
      <c r="F619" t="s">
        <v>2563</v>
      </c>
      <c r="G619">
        <v>4500328148</v>
      </c>
      <c r="H619" t="s">
        <v>12</v>
      </c>
      <c r="I619" t="s">
        <v>2564</v>
      </c>
      <c r="J619" t="s">
        <v>1866</v>
      </c>
      <c r="K619" s="2">
        <v>32567</v>
      </c>
      <c r="L619" s="2">
        <v>32567</v>
      </c>
      <c r="M619" t="str">
        <f>IFERROR(IF(VLOOKUP(LEFT(B619,2),'Humanitarian codes'!$A$2:$A$10,1,FALSE)=LEFT(B619,2),"Yes","Error"),"No")</f>
        <v>No</v>
      </c>
    </row>
    <row r="620" spans="1:13" hidden="1" x14ac:dyDescent="0.25">
      <c r="A620" t="s">
        <v>2196</v>
      </c>
      <c r="B620" t="s">
        <v>988</v>
      </c>
      <c r="C620" t="s">
        <v>989</v>
      </c>
      <c r="D620" t="s">
        <v>512</v>
      </c>
      <c r="E620" t="s">
        <v>1423</v>
      </c>
      <c r="F620" t="s">
        <v>2200</v>
      </c>
      <c r="G620">
        <v>4500348739</v>
      </c>
      <c r="H620" t="s">
        <v>12</v>
      </c>
      <c r="I620" t="s">
        <v>2565</v>
      </c>
      <c r="J620" t="s">
        <v>1423</v>
      </c>
      <c r="K620" s="2">
        <v>169242</v>
      </c>
      <c r="L620" s="2">
        <v>169242</v>
      </c>
      <c r="M620" t="str">
        <f>IFERROR(IF(VLOOKUP(LEFT(B620,2),'Humanitarian codes'!$A$2:$A$10,1,FALSE)=LEFT(B620,2),"Yes","Error"),"No")</f>
        <v>No</v>
      </c>
    </row>
    <row r="621" spans="1:13" hidden="1" x14ac:dyDescent="0.25">
      <c r="A621" t="s">
        <v>2196</v>
      </c>
      <c r="B621" t="s">
        <v>2566</v>
      </c>
      <c r="C621" t="s">
        <v>2567</v>
      </c>
      <c r="D621" t="s">
        <v>512</v>
      </c>
      <c r="E621" t="s">
        <v>885</v>
      </c>
      <c r="F621" t="s">
        <v>2568</v>
      </c>
      <c r="G621">
        <v>4500346506</v>
      </c>
      <c r="H621" t="s">
        <v>12</v>
      </c>
      <c r="I621" t="s">
        <v>1522</v>
      </c>
      <c r="J621" t="s">
        <v>885</v>
      </c>
      <c r="K621" s="2">
        <v>32935</v>
      </c>
      <c r="L621" s="2">
        <v>32935</v>
      </c>
      <c r="M621" t="str">
        <f>IFERROR(IF(VLOOKUP(LEFT(B621,2),'Humanitarian codes'!$A$2:$A$10,1,FALSE)=LEFT(B621,2),"Yes","Error"),"No")</f>
        <v>No</v>
      </c>
    </row>
    <row r="622" spans="1:13" hidden="1" x14ac:dyDescent="0.25">
      <c r="A622" t="s">
        <v>2196</v>
      </c>
      <c r="B622" t="s">
        <v>2569</v>
      </c>
      <c r="C622" t="s">
        <v>2570</v>
      </c>
      <c r="D622" t="s">
        <v>9</v>
      </c>
      <c r="E622" t="s">
        <v>1650</v>
      </c>
      <c r="F622" t="s">
        <v>2571</v>
      </c>
      <c r="G622">
        <v>4500348028</v>
      </c>
      <c r="H622" t="s">
        <v>12</v>
      </c>
      <c r="I622" t="s">
        <v>2572</v>
      </c>
      <c r="J622" t="s">
        <v>1650</v>
      </c>
      <c r="K622" s="2">
        <v>11623</v>
      </c>
      <c r="L622" s="2">
        <v>11623</v>
      </c>
      <c r="M622" t="str">
        <f>IFERROR(IF(VLOOKUP(LEFT(B622,2),'Humanitarian codes'!$A$2:$A$10,1,FALSE)=LEFT(B622,2),"Yes","Error"),"No")</f>
        <v>No</v>
      </c>
    </row>
    <row r="623" spans="1:13" hidden="1" x14ac:dyDescent="0.25">
      <c r="A623" t="s">
        <v>2196</v>
      </c>
      <c r="B623" t="s">
        <v>2573</v>
      </c>
      <c r="C623" t="s">
        <v>2574</v>
      </c>
      <c r="D623" t="s">
        <v>9</v>
      </c>
      <c r="E623" t="s">
        <v>25</v>
      </c>
      <c r="F623" t="s">
        <v>2200</v>
      </c>
      <c r="G623">
        <v>4500350933</v>
      </c>
      <c r="H623" t="s">
        <v>12</v>
      </c>
      <c r="I623" t="s">
        <v>641</v>
      </c>
      <c r="J623" t="s">
        <v>25</v>
      </c>
      <c r="K623" s="2">
        <v>64459</v>
      </c>
      <c r="L623" s="2">
        <v>64459</v>
      </c>
      <c r="M623" t="str">
        <f>IFERROR(IF(VLOOKUP(LEFT(B623,2),'Humanitarian codes'!$A$2:$A$10,1,FALSE)=LEFT(B623,2),"Yes","Error"),"No")</f>
        <v>No</v>
      </c>
    </row>
    <row r="624" spans="1:13" hidden="1" x14ac:dyDescent="0.25">
      <c r="A624" t="s">
        <v>2196</v>
      </c>
      <c r="B624" t="s">
        <v>2573</v>
      </c>
      <c r="C624" t="s">
        <v>2574</v>
      </c>
      <c r="D624" t="s">
        <v>9</v>
      </c>
      <c r="E624" t="s">
        <v>25</v>
      </c>
      <c r="F624" t="s">
        <v>2200</v>
      </c>
      <c r="G624">
        <v>4500350938</v>
      </c>
      <c r="H624" t="s">
        <v>12</v>
      </c>
      <c r="I624" t="s">
        <v>1588</v>
      </c>
      <c r="J624" t="s">
        <v>25</v>
      </c>
      <c r="K624" s="2">
        <v>64459</v>
      </c>
      <c r="L624" s="2">
        <v>64459</v>
      </c>
      <c r="M624" t="str">
        <f>IFERROR(IF(VLOOKUP(LEFT(B624,2),'Humanitarian codes'!$A$2:$A$10,1,FALSE)=LEFT(B624,2),"Yes","Error"),"No")</f>
        <v>No</v>
      </c>
    </row>
    <row r="625" spans="1:13" x14ac:dyDescent="0.25">
      <c r="A625" t="s">
        <v>2196</v>
      </c>
      <c r="B625" t="s">
        <v>1515</v>
      </c>
      <c r="C625" t="s">
        <v>1516</v>
      </c>
      <c r="D625" t="s">
        <v>512</v>
      </c>
      <c r="E625" t="s">
        <v>175</v>
      </c>
      <c r="F625" t="s">
        <v>2200</v>
      </c>
      <c r="G625">
        <v>4500341936</v>
      </c>
      <c r="H625" t="s">
        <v>12</v>
      </c>
      <c r="I625" t="s">
        <v>1832</v>
      </c>
      <c r="J625" t="s">
        <v>175</v>
      </c>
      <c r="K625" s="2">
        <v>185690</v>
      </c>
      <c r="L625" s="2">
        <v>185690</v>
      </c>
      <c r="M625" t="str">
        <f>IFERROR(IF(VLOOKUP(LEFT(B625,2),'Humanitarian codes'!$A$2:$A$10,1,FALSE)=LEFT(B625,2),"Yes","Error"),"No")</f>
        <v>Yes</v>
      </c>
    </row>
    <row r="626" spans="1:13" x14ac:dyDescent="0.25">
      <c r="A626" t="s">
        <v>2196</v>
      </c>
      <c r="B626" t="s">
        <v>1515</v>
      </c>
      <c r="C626" t="s">
        <v>1516</v>
      </c>
      <c r="D626" t="s">
        <v>512</v>
      </c>
      <c r="E626" t="s">
        <v>175</v>
      </c>
      <c r="F626" t="s">
        <v>2575</v>
      </c>
      <c r="G626">
        <v>4500342858</v>
      </c>
      <c r="H626" t="s">
        <v>12</v>
      </c>
      <c r="I626" t="s">
        <v>1831</v>
      </c>
      <c r="J626" t="s">
        <v>175</v>
      </c>
      <c r="K626" s="2">
        <v>134902</v>
      </c>
      <c r="L626" s="2">
        <v>134902</v>
      </c>
      <c r="M626" t="str">
        <f>IFERROR(IF(VLOOKUP(LEFT(B626,2),'Humanitarian codes'!$A$2:$A$10,1,FALSE)=LEFT(B626,2),"Yes","Error"),"No")</f>
        <v>Yes</v>
      </c>
    </row>
    <row r="627" spans="1:13" x14ac:dyDescent="0.25">
      <c r="A627" t="s">
        <v>2196</v>
      </c>
      <c r="B627" t="s">
        <v>1515</v>
      </c>
      <c r="C627" t="s">
        <v>1516</v>
      </c>
      <c r="D627" t="s">
        <v>512</v>
      </c>
      <c r="E627" t="s">
        <v>175</v>
      </c>
      <c r="F627" t="s">
        <v>2200</v>
      </c>
      <c r="G627">
        <v>4500344727</v>
      </c>
      <c r="H627" t="s">
        <v>12</v>
      </c>
      <c r="I627" t="s">
        <v>1833</v>
      </c>
      <c r="J627" t="s">
        <v>175</v>
      </c>
      <c r="K627" s="2">
        <v>218733</v>
      </c>
      <c r="L627" s="2">
        <v>218733</v>
      </c>
      <c r="M627" t="str">
        <f>IFERROR(IF(VLOOKUP(LEFT(B627,2),'Humanitarian codes'!$A$2:$A$10,1,FALSE)=LEFT(B627,2),"Yes","Error"),"No")</f>
        <v>Yes</v>
      </c>
    </row>
    <row r="628" spans="1:13" x14ac:dyDescent="0.25">
      <c r="A628" t="s">
        <v>2196</v>
      </c>
      <c r="B628" t="s">
        <v>2576</v>
      </c>
      <c r="C628" t="s">
        <v>2577</v>
      </c>
      <c r="D628" t="s">
        <v>512</v>
      </c>
      <c r="E628" t="s">
        <v>890</v>
      </c>
      <c r="F628" t="s">
        <v>2578</v>
      </c>
      <c r="G628">
        <v>4500333864</v>
      </c>
      <c r="H628" t="s">
        <v>12</v>
      </c>
      <c r="I628" t="s">
        <v>1088</v>
      </c>
      <c r="J628" t="s">
        <v>890</v>
      </c>
      <c r="K628" s="2">
        <v>30612</v>
      </c>
      <c r="L628" s="2">
        <v>30612</v>
      </c>
      <c r="M628" t="str">
        <f>IFERROR(IF(VLOOKUP(LEFT(B628,2),'Humanitarian codes'!$A$2:$A$10,1,FALSE)=LEFT(B628,2),"Yes","Error"),"No")</f>
        <v>Yes</v>
      </c>
    </row>
    <row r="629" spans="1:13" x14ac:dyDescent="0.25">
      <c r="A629" t="s">
        <v>2196</v>
      </c>
      <c r="B629" t="s">
        <v>2576</v>
      </c>
      <c r="C629" t="s">
        <v>2577</v>
      </c>
      <c r="D629" t="s">
        <v>512</v>
      </c>
      <c r="E629" t="s">
        <v>890</v>
      </c>
      <c r="F629" t="s">
        <v>2344</v>
      </c>
      <c r="G629">
        <v>4500342746</v>
      </c>
      <c r="H629" t="s">
        <v>12</v>
      </c>
      <c r="I629" t="s">
        <v>1088</v>
      </c>
      <c r="J629" t="s">
        <v>890</v>
      </c>
      <c r="K629" s="2">
        <v>13705</v>
      </c>
      <c r="L629" s="2">
        <v>27409</v>
      </c>
      <c r="M629" t="str">
        <f>IFERROR(IF(VLOOKUP(LEFT(B629,2),'Humanitarian codes'!$A$2:$A$10,1,FALSE)=LEFT(B629,2),"Yes","Error"),"No")</f>
        <v>Yes</v>
      </c>
    </row>
    <row r="630" spans="1:13" x14ac:dyDescent="0.25">
      <c r="A630" t="s">
        <v>2196</v>
      </c>
      <c r="B630" t="s">
        <v>2576</v>
      </c>
      <c r="C630" t="s">
        <v>2577</v>
      </c>
      <c r="D630" t="s">
        <v>512</v>
      </c>
      <c r="E630" t="s">
        <v>890</v>
      </c>
      <c r="F630" t="s">
        <v>2345</v>
      </c>
      <c r="G630">
        <v>4500342748</v>
      </c>
      <c r="H630" t="s">
        <v>12</v>
      </c>
      <c r="I630" t="s">
        <v>1088</v>
      </c>
      <c r="J630" t="s">
        <v>890</v>
      </c>
      <c r="K630" s="2">
        <v>25124</v>
      </c>
      <c r="L630" s="2">
        <v>50248</v>
      </c>
      <c r="M630" t="str">
        <f>IFERROR(IF(VLOOKUP(LEFT(B630,2),'Humanitarian codes'!$A$2:$A$10,1,FALSE)=LEFT(B630,2),"Yes","Error"),"No")</f>
        <v>Yes</v>
      </c>
    </row>
    <row r="631" spans="1:13" x14ac:dyDescent="0.25">
      <c r="A631" t="s">
        <v>2196</v>
      </c>
      <c r="B631" t="s">
        <v>2576</v>
      </c>
      <c r="C631" t="s">
        <v>2577</v>
      </c>
      <c r="D631" t="s">
        <v>512</v>
      </c>
      <c r="E631" t="s">
        <v>890</v>
      </c>
      <c r="F631" t="s">
        <v>2346</v>
      </c>
      <c r="G631">
        <v>4500342753</v>
      </c>
      <c r="H631" t="s">
        <v>12</v>
      </c>
      <c r="I631" t="s">
        <v>245</v>
      </c>
      <c r="J631" t="s">
        <v>890</v>
      </c>
      <c r="K631" s="2">
        <v>12413</v>
      </c>
      <c r="L631" s="2">
        <v>24825</v>
      </c>
      <c r="M631" t="str">
        <f>IFERROR(IF(VLOOKUP(LEFT(B631,2),'Humanitarian codes'!$A$2:$A$10,1,FALSE)=LEFT(B631,2),"Yes","Error"),"No")</f>
        <v>Yes</v>
      </c>
    </row>
    <row r="632" spans="1:13" x14ac:dyDescent="0.25">
      <c r="A632" t="s">
        <v>2196</v>
      </c>
      <c r="B632" t="s">
        <v>2576</v>
      </c>
      <c r="C632" t="s">
        <v>2577</v>
      </c>
      <c r="D632" t="s">
        <v>512</v>
      </c>
      <c r="E632" t="s">
        <v>890</v>
      </c>
      <c r="F632" t="s">
        <v>2347</v>
      </c>
      <c r="G632">
        <v>4500342755</v>
      </c>
      <c r="H632" t="s">
        <v>12</v>
      </c>
      <c r="I632" t="s">
        <v>247</v>
      </c>
      <c r="J632" t="s">
        <v>890</v>
      </c>
      <c r="K632" s="2">
        <v>49559</v>
      </c>
      <c r="L632" s="2">
        <v>258676</v>
      </c>
      <c r="M632" t="str">
        <f>IFERROR(IF(VLOOKUP(LEFT(B632,2),'Humanitarian codes'!$A$2:$A$10,1,FALSE)=LEFT(B632,2),"Yes","Error"),"No")</f>
        <v>Yes</v>
      </c>
    </row>
    <row r="633" spans="1:13" x14ac:dyDescent="0.25">
      <c r="A633" t="s">
        <v>2196</v>
      </c>
      <c r="B633" t="s">
        <v>2576</v>
      </c>
      <c r="C633" t="s">
        <v>2577</v>
      </c>
      <c r="D633" t="s">
        <v>512</v>
      </c>
      <c r="E633" t="s">
        <v>890</v>
      </c>
      <c r="F633" t="s">
        <v>2348</v>
      </c>
      <c r="G633">
        <v>4500342760</v>
      </c>
      <c r="H633" t="s">
        <v>12</v>
      </c>
      <c r="I633" t="s">
        <v>1088</v>
      </c>
      <c r="J633" t="s">
        <v>890</v>
      </c>
      <c r="K633" s="2">
        <v>14649</v>
      </c>
      <c r="L633" s="2">
        <v>29298</v>
      </c>
      <c r="M633" t="str">
        <f>IFERROR(IF(VLOOKUP(LEFT(B633,2),'Humanitarian codes'!$A$2:$A$10,1,FALSE)=LEFT(B633,2),"Yes","Error"),"No")</f>
        <v>Yes</v>
      </c>
    </row>
    <row r="634" spans="1:13" x14ac:dyDescent="0.25">
      <c r="A634" t="s">
        <v>2196</v>
      </c>
      <c r="B634" t="s">
        <v>2576</v>
      </c>
      <c r="C634" t="s">
        <v>2577</v>
      </c>
      <c r="D634" t="s">
        <v>512</v>
      </c>
      <c r="E634" t="s">
        <v>890</v>
      </c>
      <c r="F634" t="s">
        <v>2349</v>
      </c>
      <c r="G634">
        <v>4500342766</v>
      </c>
      <c r="H634" t="s">
        <v>12</v>
      </c>
      <c r="I634" t="s">
        <v>246</v>
      </c>
      <c r="J634" t="s">
        <v>890</v>
      </c>
      <c r="K634" s="2">
        <v>18404</v>
      </c>
      <c r="L634" s="2">
        <v>36809</v>
      </c>
      <c r="M634" t="str">
        <f>IFERROR(IF(VLOOKUP(LEFT(B634,2),'Humanitarian codes'!$A$2:$A$10,1,FALSE)=LEFT(B634,2),"Yes","Error"),"No")</f>
        <v>Yes</v>
      </c>
    </row>
    <row r="635" spans="1:13" x14ac:dyDescent="0.25">
      <c r="A635" t="s">
        <v>2196</v>
      </c>
      <c r="B635" t="s">
        <v>2576</v>
      </c>
      <c r="C635" t="s">
        <v>2577</v>
      </c>
      <c r="D635" t="s">
        <v>512</v>
      </c>
      <c r="E635" t="s">
        <v>890</v>
      </c>
      <c r="F635" t="s">
        <v>2350</v>
      </c>
      <c r="G635">
        <v>4500342773</v>
      </c>
      <c r="H635" t="s">
        <v>12</v>
      </c>
      <c r="I635" t="s">
        <v>891</v>
      </c>
      <c r="J635" t="s">
        <v>890</v>
      </c>
      <c r="K635" s="2">
        <v>32789</v>
      </c>
      <c r="L635" s="2">
        <v>65578</v>
      </c>
      <c r="M635" t="str">
        <f>IFERROR(IF(VLOOKUP(LEFT(B635,2),'Humanitarian codes'!$A$2:$A$10,1,FALSE)=LEFT(B635,2),"Yes","Error"),"No")</f>
        <v>Yes</v>
      </c>
    </row>
    <row r="636" spans="1:13" x14ac:dyDescent="0.25">
      <c r="A636" t="s">
        <v>2196</v>
      </c>
      <c r="B636" t="s">
        <v>2576</v>
      </c>
      <c r="C636" t="s">
        <v>2577</v>
      </c>
      <c r="D636" t="s">
        <v>512</v>
      </c>
      <c r="E636" t="s">
        <v>890</v>
      </c>
      <c r="F636" t="s">
        <v>2351</v>
      </c>
      <c r="G636">
        <v>4500342780</v>
      </c>
      <c r="H636" t="s">
        <v>12</v>
      </c>
      <c r="I636" t="s">
        <v>244</v>
      </c>
      <c r="J636" t="s">
        <v>890</v>
      </c>
      <c r="K636" s="2">
        <v>7932</v>
      </c>
      <c r="L636" s="2">
        <v>15865</v>
      </c>
      <c r="M636" t="str">
        <f>IFERROR(IF(VLOOKUP(LEFT(B636,2),'Humanitarian codes'!$A$2:$A$10,1,FALSE)=LEFT(B636,2),"Yes","Error"),"No")</f>
        <v>Yes</v>
      </c>
    </row>
    <row r="637" spans="1:13" x14ac:dyDescent="0.25">
      <c r="A637" t="s">
        <v>2196</v>
      </c>
      <c r="B637" t="s">
        <v>2576</v>
      </c>
      <c r="C637" t="s">
        <v>2577</v>
      </c>
      <c r="D637" t="s">
        <v>512</v>
      </c>
      <c r="E637" t="s">
        <v>890</v>
      </c>
      <c r="F637" t="s">
        <v>2352</v>
      </c>
      <c r="G637">
        <v>4500342785</v>
      </c>
      <c r="H637" t="s">
        <v>12</v>
      </c>
      <c r="I637" t="s">
        <v>892</v>
      </c>
      <c r="J637" t="s">
        <v>890</v>
      </c>
      <c r="K637" s="2">
        <v>4013</v>
      </c>
      <c r="L637" s="2">
        <v>8026</v>
      </c>
      <c r="M637" t="str">
        <f>IFERROR(IF(VLOOKUP(LEFT(B637,2),'Humanitarian codes'!$A$2:$A$10,1,FALSE)=LEFT(B637,2),"Yes","Error"),"No")</f>
        <v>Yes</v>
      </c>
    </row>
    <row r="638" spans="1:13" x14ac:dyDescent="0.25">
      <c r="A638" t="s">
        <v>2196</v>
      </c>
      <c r="B638" t="s">
        <v>2579</v>
      </c>
      <c r="C638" t="s">
        <v>2580</v>
      </c>
      <c r="D638" t="s">
        <v>512</v>
      </c>
      <c r="E638" t="s">
        <v>890</v>
      </c>
      <c r="F638" t="s">
        <v>2581</v>
      </c>
      <c r="G638">
        <v>4500335719</v>
      </c>
      <c r="H638" t="s">
        <v>12</v>
      </c>
      <c r="I638" t="s">
        <v>2582</v>
      </c>
      <c r="J638" t="s">
        <v>890</v>
      </c>
      <c r="K638" s="2">
        <v>96015</v>
      </c>
      <c r="L638" s="2">
        <v>96015</v>
      </c>
      <c r="M638" t="str">
        <f>IFERROR(IF(VLOOKUP(LEFT(B638,2),'Humanitarian codes'!$A$2:$A$10,1,FALSE)=LEFT(B638,2),"Yes","Error"),"No")</f>
        <v>Yes</v>
      </c>
    </row>
    <row r="639" spans="1:13" hidden="1" x14ac:dyDescent="0.25">
      <c r="A639" t="s">
        <v>2196</v>
      </c>
      <c r="B639" t="s">
        <v>2583</v>
      </c>
      <c r="C639" t="s">
        <v>1010</v>
      </c>
      <c r="D639" t="s">
        <v>543</v>
      </c>
      <c r="E639" t="s">
        <v>1534</v>
      </c>
      <c r="F639" t="s">
        <v>2517</v>
      </c>
      <c r="G639">
        <v>4500336241</v>
      </c>
      <c r="H639" t="s">
        <v>12</v>
      </c>
      <c r="I639" t="s">
        <v>1535</v>
      </c>
      <c r="J639" t="s">
        <v>1534</v>
      </c>
      <c r="K639" s="2">
        <v>9979</v>
      </c>
      <c r="L639" s="2">
        <v>9979</v>
      </c>
      <c r="M639" t="str">
        <f>IFERROR(IF(VLOOKUP(LEFT(B639,2),'Humanitarian codes'!$A$2:$A$10,1,FALSE)=LEFT(B639,2),"Yes","Error"),"No")</f>
        <v>No</v>
      </c>
    </row>
    <row r="640" spans="1:13" hidden="1" x14ac:dyDescent="0.25">
      <c r="A640" t="s">
        <v>2196</v>
      </c>
      <c r="B640" t="s">
        <v>2583</v>
      </c>
      <c r="C640" t="s">
        <v>1010</v>
      </c>
      <c r="D640" t="s">
        <v>543</v>
      </c>
      <c r="E640" t="s">
        <v>518</v>
      </c>
      <c r="F640" t="s">
        <v>2584</v>
      </c>
      <c r="G640">
        <v>4500327369</v>
      </c>
      <c r="H640" t="s">
        <v>12</v>
      </c>
      <c r="I640" t="s">
        <v>2093</v>
      </c>
      <c r="J640" t="s">
        <v>518</v>
      </c>
      <c r="K640" s="2">
        <v>15000</v>
      </c>
      <c r="L640" s="2">
        <v>15000</v>
      </c>
      <c r="M640" t="str">
        <f>IFERROR(IF(VLOOKUP(LEFT(B640,2),'Humanitarian codes'!$A$2:$A$10,1,FALSE)=LEFT(B640,2),"Yes","Error"),"No")</f>
        <v>No</v>
      </c>
    </row>
    <row r="641" spans="1:13" hidden="1" x14ac:dyDescent="0.25">
      <c r="A641" t="s">
        <v>2196</v>
      </c>
      <c r="B641" t="s">
        <v>2583</v>
      </c>
      <c r="C641" t="s">
        <v>1010</v>
      </c>
      <c r="D641" t="s">
        <v>543</v>
      </c>
      <c r="E641" t="s">
        <v>518</v>
      </c>
      <c r="F641" t="s">
        <v>2585</v>
      </c>
      <c r="G641">
        <v>4500327371</v>
      </c>
      <c r="H641" t="s">
        <v>12</v>
      </c>
      <c r="I641" t="s">
        <v>2092</v>
      </c>
      <c r="J641" t="s">
        <v>518</v>
      </c>
      <c r="K641" s="2">
        <v>15000</v>
      </c>
      <c r="L641" s="2">
        <v>15000</v>
      </c>
      <c r="M641" t="str">
        <f>IFERROR(IF(VLOOKUP(LEFT(B641,2),'Humanitarian codes'!$A$2:$A$10,1,FALSE)=LEFT(B641,2),"Yes","Error"),"No")</f>
        <v>No</v>
      </c>
    </row>
    <row r="642" spans="1:13" hidden="1" x14ac:dyDescent="0.25">
      <c r="A642" t="s">
        <v>2196</v>
      </c>
      <c r="B642" t="s">
        <v>2583</v>
      </c>
      <c r="C642" t="s">
        <v>1010</v>
      </c>
      <c r="D642" t="s">
        <v>543</v>
      </c>
      <c r="E642" t="s">
        <v>518</v>
      </c>
      <c r="F642" t="s">
        <v>2586</v>
      </c>
      <c r="G642">
        <v>4500327372</v>
      </c>
      <c r="H642" t="s">
        <v>12</v>
      </c>
      <c r="I642" t="s">
        <v>2094</v>
      </c>
      <c r="J642" t="s">
        <v>518</v>
      </c>
      <c r="K642" s="2">
        <v>15000</v>
      </c>
      <c r="L642" s="2">
        <v>15000</v>
      </c>
      <c r="M642" t="str">
        <f>IFERROR(IF(VLOOKUP(LEFT(B642,2),'Humanitarian codes'!$A$2:$A$10,1,FALSE)=LEFT(B642,2),"Yes","Error"),"No")</f>
        <v>No</v>
      </c>
    </row>
    <row r="643" spans="1:13" hidden="1" x14ac:dyDescent="0.25">
      <c r="A643" t="s">
        <v>2196</v>
      </c>
      <c r="B643" t="s">
        <v>1005</v>
      </c>
      <c r="C643" t="s">
        <v>1006</v>
      </c>
      <c r="D643" t="s">
        <v>543</v>
      </c>
      <c r="E643" t="s">
        <v>449</v>
      </c>
      <c r="F643" t="s">
        <v>2587</v>
      </c>
      <c r="G643">
        <v>4500347543</v>
      </c>
      <c r="H643" t="s">
        <v>12</v>
      </c>
      <c r="I643" t="s">
        <v>553</v>
      </c>
      <c r="J643" t="s">
        <v>449</v>
      </c>
      <c r="K643" s="2">
        <v>437248</v>
      </c>
      <c r="L643" s="2">
        <v>437248</v>
      </c>
      <c r="M643" t="str">
        <f>IFERROR(IF(VLOOKUP(LEFT(B643,2),'Humanitarian codes'!$A$2:$A$10,1,FALSE)=LEFT(B643,2),"Yes","Error"),"No")</f>
        <v>No</v>
      </c>
    </row>
    <row r="644" spans="1:13" hidden="1" x14ac:dyDescent="0.25">
      <c r="A644" t="s">
        <v>2196</v>
      </c>
      <c r="B644" t="s">
        <v>2098</v>
      </c>
      <c r="C644" t="s">
        <v>2099</v>
      </c>
      <c r="D644" t="s">
        <v>9</v>
      </c>
      <c r="E644" t="s">
        <v>1426</v>
      </c>
      <c r="F644" t="s">
        <v>2588</v>
      </c>
      <c r="G644">
        <v>4500326919</v>
      </c>
      <c r="H644" t="s">
        <v>12</v>
      </c>
      <c r="I644" t="s">
        <v>2589</v>
      </c>
      <c r="J644" t="s">
        <v>1426</v>
      </c>
      <c r="K644" s="2">
        <v>12500</v>
      </c>
      <c r="L644" s="2">
        <v>12500</v>
      </c>
      <c r="M644" t="str">
        <f>IFERROR(IF(VLOOKUP(LEFT(B644,2),'Humanitarian codes'!$A$2:$A$10,1,FALSE)=LEFT(B644,2),"Yes","Error"),"No")</f>
        <v>No</v>
      </c>
    </row>
    <row r="645" spans="1:13" hidden="1" x14ac:dyDescent="0.25">
      <c r="A645" t="s">
        <v>2196</v>
      </c>
      <c r="B645" t="s">
        <v>2098</v>
      </c>
      <c r="C645" t="s">
        <v>2099</v>
      </c>
      <c r="D645" t="s">
        <v>9</v>
      </c>
      <c r="E645" t="s">
        <v>1426</v>
      </c>
      <c r="F645" t="s">
        <v>2590</v>
      </c>
      <c r="G645">
        <v>4500328934</v>
      </c>
      <c r="H645" t="s">
        <v>12</v>
      </c>
      <c r="I645" t="s">
        <v>2591</v>
      </c>
      <c r="J645" t="s">
        <v>1426</v>
      </c>
      <c r="K645" s="2">
        <v>12500</v>
      </c>
      <c r="L645" s="2">
        <v>12500</v>
      </c>
      <c r="M645" t="str">
        <f>IFERROR(IF(VLOOKUP(LEFT(B645,2),'Humanitarian codes'!$A$2:$A$10,1,FALSE)=LEFT(B645,2),"Yes","Error"),"No")</f>
        <v>No</v>
      </c>
    </row>
    <row r="646" spans="1:13" hidden="1" x14ac:dyDescent="0.25">
      <c r="A646" t="s">
        <v>2196</v>
      </c>
      <c r="B646" t="s">
        <v>2098</v>
      </c>
      <c r="C646" t="s">
        <v>2099</v>
      </c>
      <c r="D646" t="s">
        <v>9</v>
      </c>
      <c r="E646" t="s">
        <v>924</v>
      </c>
      <c r="F646" t="s">
        <v>2592</v>
      </c>
      <c r="G646">
        <v>4500348904</v>
      </c>
      <c r="H646" t="s">
        <v>12</v>
      </c>
      <c r="I646" t="s">
        <v>2593</v>
      </c>
      <c r="J646" t="s">
        <v>2101</v>
      </c>
      <c r="K646" s="2">
        <v>12500</v>
      </c>
      <c r="L646" s="2">
        <v>12500</v>
      </c>
      <c r="M646" t="str">
        <f>IFERROR(IF(VLOOKUP(LEFT(B646,2),'Humanitarian codes'!$A$2:$A$10,1,FALSE)=LEFT(B646,2),"Yes","Error"),"No")</f>
        <v>No</v>
      </c>
    </row>
    <row r="647" spans="1:13" hidden="1" x14ac:dyDescent="0.25">
      <c r="A647" t="s">
        <v>2196</v>
      </c>
      <c r="B647" t="s">
        <v>1539</v>
      </c>
      <c r="C647" t="s">
        <v>1540</v>
      </c>
      <c r="D647" t="s">
        <v>9</v>
      </c>
      <c r="E647" t="s">
        <v>226</v>
      </c>
      <c r="F647" t="s">
        <v>2594</v>
      </c>
      <c r="G647">
        <v>4500349576</v>
      </c>
      <c r="H647" t="s">
        <v>12</v>
      </c>
      <c r="I647" t="s">
        <v>1840</v>
      </c>
      <c r="J647" t="s">
        <v>226</v>
      </c>
      <c r="K647" s="2">
        <v>67198</v>
      </c>
      <c r="L647" s="2">
        <v>67198</v>
      </c>
      <c r="M647" t="str">
        <f>IFERROR(IF(VLOOKUP(LEFT(B647,2),'Humanitarian codes'!$A$2:$A$10,1,FALSE)=LEFT(B647,2),"Yes","Error"),"No")</f>
        <v>No</v>
      </c>
    </row>
    <row r="648" spans="1:13" hidden="1" x14ac:dyDescent="0.25">
      <c r="A648" t="s">
        <v>2196</v>
      </c>
      <c r="B648" t="s">
        <v>2595</v>
      </c>
      <c r="C648" t="s">
        <v>2596</v>
      </c>
      <c r="D648" t="s">
        <v>30</v>
      </c>
      <c r="E648" t="s">
        <v>257</v>
      </c>
      <c r="F648" t="s">
        <v>2597</v>
      </c>
      <c r="G648">
        <v>4500344346</v>
      </c>
      <c r="H648" t="s">
        <v>12</v>
      </c>
      <c r="I648" t="s">
        <v>2598</v>
      </c>
      <c r="J648" t="s">
        <v>616</v>
      </c>
      <c r="K648" s="2">
        <v>71346</v>
      </c>
      <c r="L648" s="2">
        <v>71346</v>
      </c>
      <c r="M648" t="str">
        <f>IFERROR(IF(VLOOKUP(LEFT(B648,2),'Humanitarian codes'!$A$2:$A$10,1,FALSE)=LEFT(B648,2),"Yes","Error"),"No")</f>
        <v>No</v>
      </c>
    </row>
    <row r="649" spans="1:13" hidden="1" x14ac:dyDescent="0.25">
      <c r="A649" t="s">
        <v>2196</v>
      </c>
      <c r="B649" t="s">
        <v>2599</v>
      </c>
      <c r="C649" t="s">
        <v>2600</v>
      </c>
      <c r="D649" t="s">
        <v>30</v>
      </c>
      <c r="E649" t="s">
        <v>594</v>
      </c>
      <c r="F649" t="s">
        <v>2200</v>
      </c>
      <c r="G649">
        <v>4500335874</v>
      </c>
      <c r="H649" t="s">
        <v>12</v>
      </c>
      <c r="I649" t="s">
        <v>2601</v>
      </c>
      <c r="J649" t="s">
        <v>594</v>
      </c>
      <c r="K649" s="2">
        <v>27342</v>
      </c>
      <c r="L649" s="2">
        <v>27342</v>
      </c>
      <c r="M649" t="str">
        <f>IFERROR(IF(VLOOKUP(LEFT(B649,2),'Humanitarian codes'!$A$2:$A$10,1,FALSE)=LEFT(B649,2),"Yes","Error"),"No")</f>
        <v>No</v>
      </c>
    </row>
    <row r="650" spans="1:13" hidden="1" x14ac:dyDescent="0.25">
      <c r="A650" t="s">
        <v>2196</v>
      </c>
      <c r="B650" t="s">
        <v>1841</v>
      </c>
      <c r="C650" t="s">
        <v>1842</v>
      </c>
      <c r="D650" t="s">
        <v>30</v>
      </c>
      <c r="E650" t="s">
        <v>1166</v>
      </c>
      <c r="F650" t="s">
        <v>2602</v>
      </c>
      <c r="G650">
        <v>4500328459</v>
      </c>
      <c r="H650" t="s">
        <v>12</v>
      </c>
      <c r="I650" t="s">
        <v>2603</v>
      </c>
      <c r="J650" t="s">
        <v>1166</v>
      </c>
      <c r="K650" s="2">
        <v>27436</v>
      </c>
      <c r="L650" s="2">
        <v>27436</v>
      </c>
      <c r="M650" t="str">
        <f>IFERROR(IF(VLOOKUP(LEFT(B650,2),'Humanitarian codes'!$A$2:$A$10,1,FALSE)=LEFT(B650,2),"Yes","Error"),"No")</f>
        <v>No</v>
      </c>
    </row>
    <row r="651" spans="1:13" hidden="1" x14ac:dyDescent="0.25">
      <c r="A651" t="s">
        <v>2196</v>
      </c>
      <c r="B651" t="s">
        <v>1841</v>
      </c>
      <c r="C651" t="s">
        <v>1842</v>
      </c>
      <c r="D651" t="s">
        <v>30</v>
      </c>
      <c r="E651" t="s">
        <v>1166</v>
      </c>
      <c r="F651" t="s">
        <v>2604</v>
      </c>
      <c r="G651">
        <v>4500332734</v>
      </c>
      <c r="H651" t="s">
        <v>12</v>
      </c>
      <c r="I651" t="s">
        <v>2605</v>
      </c>
      <c r="J651" t="s">
        <v>1166</v>
      </c>
      <c r="K651" s="2">
        <v>16237</v>
      </c>
      <c r="L651" s="2">
        <v>16237</v>
      </c>
      <c r="M651" t="str">
        <f>IFERROR(IF(VLOOKUP(LEFT(B651,2),'Humanitarian codes'!$A$2:$A$10,1,FALSE)=LEFT(B651,2),"Yes","Error"),"No")</f>
        <v>No</v>
      </c>
    </row>
    <row r="652" spans="1:13" hidden="1" x14ac:dyDescent="0.25">
      <c r="A652" t="s">
        <v>2196</v>
      </c>
      <c r="B652" t="s">
        <v>1841</v>
      </c>
      <c r="C652" t="s">
        <v>1842</v>
      </c>
      <c r="D652" t="s">
        <v>30</v>
      </c>
      <c r="E652" t="s">
        <v>1166</v>
      </c>
      <c r="F652" t="s">
        <v>2606</v>
      </c>
      <c r="G652">
        <v>4500339565</v>
      </c>
      <c r="H652" t="s">
        <v>12</v>
      </c>
      <c r="I652" t="s">
        <v>2607</v>
      </c>
      <c r="J652" t="s">
        <v>1166</v>
      </c>
      <c r="K652" s="2">
        <v>19291</v>
      </c>
      <c r="L652" s="2">
        <v>19291</v>
      </c>
      <c r="M652" t="str">
        <f>IFERROR(IF(VLOOKUP(LEFT(B652,2),'Humanitarian codes'!$A$2:$A$10,1,FALSE)=LEFT(B652,2),"Yes","Error"),"No")</f>
        <v>No</v>
      </c>
    </row>
    <row r="653" spans="1:13" hidden="1" x14ac:dyDescent="0.25">
      <c r="A653" t="s">
        <v>2196</v>
      </c>
      <c r="B653" t="s">
        <v>1841</v>
      </c>
      <c r="C653" t="s">
        <v>1842</v>
      </c>
      <c r="D653" t="s">
        <v>30</v>
      </c>
      <c r="E653" t="s">
        <v>1166</v>
      </c>
      <c r="F653" t="s">
        <v>2608</v>
      </c>
      <c r="G653">
        <v>4500341587</v>
      </c>
      <c r="H653" t="s">
        <v>12</v>
      </c>
      <c r="I653" t="s">
        <v>2609</v>
      </c>
      <c r="J653" t="s">
        <v>1166</v>
      </c>
      <c r="K653" s="2">
        <v>9237</v>
      </c>
      <c r="L653" s="2">
        <v>9237</v>
      </c>
      <c r="M653" t="str">
        <f>IFERROR(IF(VLOOKUP(LEFT(B653,2),'Humanitarian codes'!$A$2:$A$10,1,FALSE)=LEFT(B653,2),"Yes","Error"),"No")</f>
        <v>No</v>
      </c>
    </row>
    <row r="654" spans="1:13" hidden="1" x14ac:dyDescent="0.25">
      <c r="A654" t="s">
        <v>2196</v>
      </c>
      <c r="B654" t="s">
        <v>1841</v>
      </c>
      <c r="C654" t="s">
        <v>1842</v>
      </c>
      <c r="D654" t="s">
        <v>30</v>
      </c>
      <c r="E654" t="s">
        <v>1166</v>
      </c>
      <c r="F654" t="s">
        <v>2610</v>
      </c>
      <c r="G654">
        <v>4500341600</v>
      </c>
      <c r="H654" t="s">
        <v>12</v>
      </c>
      <c r="I654" t="s">
        <v>2611</v>
      </c>
      <c r="J654" t="s">
        <v>1166</v>
      </c>
      <c r="K654" s="2">
        <v>11627</v>
      </c>
      <c r="L654" s="2">
        <v>11627</v>
      </c>
      <c r="M654" t="str">
        <f>IFERROR(IF(VLOOKUP(LEFT(B654,2),'Humanitarian codes'!$A$2:$A$10,1,FALSE)=LEFT(B654,2),"Yes","Error"),"No")</f>
        <v>No</v>
      </c>
    </row>
    <row r="655" spans="1:13" hidden="1" x14ac:dyDescent="0.25">
      <c r="A655" t="s">
        <v>2196</v>
      </c>
      <c r="B655" t="s">
        <v>1841</v>
      </c>
      <c r="C655" t="s">
        <v>1842</v>
      </c>
      <c r="D655" t="s">
        <v>30</v>
      </c>
      <c r="E655" t="s">
        <v>1166</v>
      </c>
      <c r="F655" t="s">
        <v>2612</v>
      </c>
      <c r="G655">
        <v>4500343444</v>
      </c>
      <c r="H655" t="s">
        <v>12</v>
      </c>
      <c r="I655" t="s">
        <v>2613</v>
      </c>
      <c r="J655" t="s">
        <v>1166</v>
      </c>
      <c r="K655" s="2">
        <v>14997</v>
      </c>
      <c r="L655" s="2">
        <v>14997</v>
      </c>
      <c r="M655" t="str">
        <f>IFERROR(IF(VLOOKUP(LEFT(B655,2),'Humanitarian codes'!$A$2:$A$10,1,FALSE)=LEFT(B655,2),"Yes","Error"),"No")</f>
        <v>No</v>
      </c>
    </row>
    <row r="656" spans="1:13" hidden="1" x14ac:dyDescent="0.25">
      <c r="A656" t="s">
        <v>2196</v>
      </c>
      <c r="B656" t="s">
        <v>1841</v>
      </c>
      <c r="C656" t="s">
        <v>1842</v>
      </c>
      <c r="D656" t="s">
        <v>30</v>
      </c>
      <c r="E656" t="s">
        <v>1166</v>
      </c>
      <c r="F656" t="s">
        <v>2614</v>
      </c>
      <c r="G656">
        <v>4500343537</v>
      </c>
      <c r="H656" t="s">
        <v>12</v>
      </c>
      <c r="I656" t="s">
        <v>2615</v>
      </c>
      <c r="J656" t="s">
        <v>1166</v>
      </c>
      <c r="K656" s="2">
        <v>16172</v>
      </c>
      <c r="L656" s="2">
        <v>16172</v>
      </c>
      <c r="M656" t="str">
        <f>IFERROR(IF(VLOOKUP(LEFT(B656,2),'Humanitarian codes'!$A$2:$A$10,1,FALSE)=LEFT(B656,2),"Yes","Error"),"No")</f>
        <v>No</v>
      </c>
    </row>
    <row r="657" spans="1:13" hidden="1" x14ac:dyDescent="0.25">
      <c r="A657" t="s">
        <v>2196</v>
      </c>
      <c r="B657" t="s">
        <v>1841</v>
      </c>
      <c r="C657" t="s">
        <v>1842</v>
      </c>
      <c r="D657" t="s">
        <v>30</v>
      </c>
      <c r="E657" t="s">
        <v>1166</v>
      </c>
      <c r="F657" t="s">
        <v>2616</v>
      </c>
      <c r="G657">
        <v>4500344280</v>
      </c>
      <c r="H657" t="s">
        <v>12</v>
      </c>
      <c r="I657" t="s">
        <v>2617</v>
      </c>
      <c r="J657" t="s">
        <v>1166</v>
      </c>
      <c r="K657" s="2">
        <v>10828</v>
      </c>
      <c r="L657" s="2">
        <v>10828</v>
      </c>
      <c r="M657" t="str">
        <f>IFERROR(IF(VLOOKUP(LEFT(B657,2),'Humanitarian codes'!$A$2:$A$10,1,FALSE)=LEFT(B657,2),"Yes","Error"),"No")</f>
        <v>No</v>
      </c>
    </row>
    <row r="658" spans="1:13" hidden="1" x14ac:dyDescent="0.25">
      <c r="A658" t="s">
        <v>2196</v>
      </c>
      <c r="B658" t="s">
        <v>1841</v>
      </c>
      <c r="C658" t="s">
        <v>1842</v>
      </c>
      <c r="D658" t="s">
        <v>30</v>
      </c>
      <c r="E658" t="s">
        <v>1166</v>
      </c>
      <c r="F658" t="s">
        <v>2618</v>
      </c>
      <c r="G658">
        <v>4500349103</v>
      </c>
      <c r="H658" t="s">
        <v>12</v>
      </c>
      <c r="I658" t="s">
        <v>2619</v>
      </c>
      <c r="J658" t="s">
        <v>1166</v>
      </c>
      <c r="K658" s="2">
        <v>15669</v>
      </c>
      <c r="L658" s="2">
        <v>15669</v>
      </c>
      <c r="M658" t="str">
        <f>IFERROR(IF(VLOOKUP(LEFT(B658,2),'Humanitarian codes'!$A$2:$A$10,1,FALSE)=LEFT(B658,2),"Yes","Error"),"No")</f>
        <v>No</v>
      </c>
    </row>
    <row r="659" spans="1:13" hidden="1" x14ac:dyDescent="0.25">
      <c r="A659" t="s">
        <v>2196</v>
      </c>
      <c r="B659" t="s">
        <v>737</v>
      </c>
      <c r="C659" t="s">
        <v>738</v>
      </c>
      <c r="D659" t="s">
        <v>30</v>
      </c>
      <c r="E659" t="s">
        <v>261</v>
      </c>
      <c r="F659" t="s">
        <v>2620</v>
      </c>
      <c r="G659">
        <v>4500339050</v>
      </c>
      <c r="H659" t="s">
        <v>12</v>
      </c>
      <c r="I659" t="s">
        <v>2621</v>
      </c>
      <c r="J659" t="s">
        <v>261</v>
      </c>
      <c r="K659" s="2">
        <v>801283</v>
      </c>
      <c r="L659" s="2">
        <v>801283</v>
      </c>
      <c r="M659" t="str">
        <f>IFERROR(IF(VLOOKUP(LEFT(B659,2),'Humanitarian codes'!$A$2:$A$10,1,FALSE)=LEFT(B659,2),"Yes","Error"),"No")</f>
        <v>No</v>
      </c>
    </row>
    <row r="660" spans="1:13" hidden="1" x14ac:dyDescent="0.25">
      <c r="A660" t="s">
        <v>2196</v>
      </c>
      <c r="B660" t="s">
        <v>1164</v>
      </c>
      <c r="C660" t="s">
        <v>1165</v>
      </c>
      <c r="D660" t="s">
        <v>30</v>
      </c>
      <c r="E660" t="s">
        <v>1166</v>
      </c>
      <c r="F660" t="s">
        <v>2622</v>
      </c>
      <c r="G660">
        <v>4500338900</v>
      </c>
      <c r="H660" t="s">
        <v>12</v>
      </c>
      <c r="I660" t="s">
        <v>2623</v>
      </c>
      <c r="J660" t="s">
        <v>1166</v>
      </c>
      <c r="K660" s="2">
        <v>34499</v>
      </c>
      <c r="L660" s="2">
        <v>34499</v>
      </c>
      <c r="M660" t="str">
        <f>IFERROR(IF(VLOOKUP(LEFT(B660,2),'Humanitarian codes'!$A$2:$A$10,1,FALSE)=LEFT(B660,2),"Yes","Error"),"No")</f>
        <v>No</v>
      </c>
    </row>
    <row r="661" spans="1:13" hidden="1" x14ac:dyDescent="0.25">
      <c r="A661" t="s">
        <v>2196</v>
      </c>
      <c r="B661" t="s">
        <v>586</v>
      </c>
      <c r="C661" t="s">
        <v>587</v>
      </c>
      <c r="D661" t="s">
        <v>30</v>
      </c>
      <c r="E661" t="s">
        <v>1016</v>
      </c>
      <c r="F661" t="s">
        <v>2624</v>
      </c>
      <c r="G661">
        <v>4500328003</v>
      </c>
      <c r="H661" t="s">
        <v>12</v>
      </c>
      <c r="I661" t="s">
        <v>589</v>
      </c>
      <c r="J661" t="s">
        <v>1016</v>
      </c>
      <c r="K661" s="2">
        <v>11465</v>
      </c>
      <c r="L661" s="2">
        <v>11465</v>
      </c>
      <c r="M661" t="str">
        <f>IFERROR(IF(VLOOKUP(LEFT(B661,2),'Humanitarian codes'!$A$2:$A$10,1,FALSE)=LEFT(B661,2),"Yes","Error"),"No")</f>
        <v>No</v>
      </c>
    </row>
    <row r="662" spans="1:13" hidden="1" x14ac:dyDescent="0.25">
      <c r="A662" t="s">
        <v>2196</v>
      </c>
      <c r="B662" t="s">
        <v>2625</v>
      </c>
      <c r="C662" t="s">
        <v>2626</v>
      </c>
      <c r="D662" t="s">
        <v>30</v>
      </c>
      <c r="E662" t="s">
        <v>261</v>
      </c>
      <c r="F662" t="s">
        <v>2293</v>
      </c>
      <c r="G662">
        <v>4500349303</v>
      </c>
      <c r="H662" t="s">
        <v>12</v>
      </c>
      <c r="I662" t="s">
        <v>788</v>
      </c>
      <c r="J662" t="s">
        <v>261</v>
      </c>
      <c r="K662" s="2">
        <v>20925</v>
      </c>
      <c r="L662" s="2">
        <v>93072</v>
      </c>
      <c r="M662" t="str">
        <f>IFERROR(IF(VLOOKUP(LEFT(B662,2),'Humanitarian codes'!$A$2:$A$10,1,FALSE)=LEFT(B662,2),"Yes","Error"),"No")</f>
        <v>No</v>
      </c>
    </row>
    <row r="663" spans="1:13" hidden="1" x14ac:dyDescent="0.25">
      <c r="A663" t="s">
        <v>2196</v>
      </c>
      <c r="B663" t="s">
        <v>590</v>
      </c>
      <c r="C663" t="s">
        <v>591</v>
      </c>
      <c r="D663" t="s">
        <v>30</v>
      </c>
      <c r="E663" t="s">
        <v>1016</v>
      </c>
      <c r="F663" t="s">
        <v>2627</v>
      </c>
      <c r="G663">
        <v>4500332274</v>
      </c>
      <c r="H663" t="s">
        <v>12</v>
      </c>
      <c r="I663" t="s">
        <v>482</v>
      </c>
      <c r="J663" t="s">
        <v>1016</v>
      </c>
      <c r="K663" s="2">
        <v>14637</v>
      </c>
      <c r="L663" s="2">
        <v>14637</v>
      </c>
      <c r="M663" t="str">
        <f>IFERROR(IF(VLOOKUP(LEFT(B663,2),'Humanitarian codes'!$A$2:$A$10,1,FALSE)=LEFT(B663,2),"Yes","Error"),"No")</f>
        <v>No</v>
      </c>
    </row>
    <row r="664" spans="1:13" hidden="1" x14ac:dyDescent="0.25">
      <c r="A664" t="s">
        <v>2196</v>
      </c>
      <c r="B664" t="s">
        <v>2115</v>
      </c>
      <c r="C664" t="s">
        <v>2116</v>
      </c>
      <c r="D664" t="s">
        <v>30</v>
      </c>
      <c r="E664" t="s">
        <v>261</v>
      </c>
      <c r="F664" t="s">
        <v>2200</v>
      </c>
      <c r="G664">
        <v>4500331138</v>
      </c>
      <c r="H664" t="s">
        <v>12</v>
      </c>
      <c r="I664" t="s">
        <v>2628</v>
      </c>
      <c r="J664" t="s">
        <v>261</v>
      </c>
      <c r="K664" s="2">
        <v>36159</v>
      </c>
      <c r="L664" s="2">
        <v>36159</v>
      </c>
      <c r="M664" t="str">
        <f>IFERROR(IF(VLOOKUP(LEFT(B664,2),'Humanitarian codes'!$A$2:$A$10,1,FALSE)=LEFT(B664,2),"Yes","Error"),"No")</f>
        <v>No</v>
      </c>
    </row>
    <row r="665" spans="1:13" hidden="1" x14ac:dyDescent="0.25">
      <c r="A665" t="s">
        <v>2196</v>
      </c>
      <c r="B665" t="s">
        <v>2115</v>
      </c>
      <c r="C665" t="s">
        <v>2116</v>
      </c>
      <c r="D665" t="s">
        <v>30</v>
      </c>
      <c r="E665" t="s">
        <v>261</v>
      </c>
      <c r="F665" t="s">
        <v>2629</v>
      </c>
      <c r="G665">
        <v>4500350022</v>
      </c>
      <c r="H665" t="s">
        <v>12</v>
      </c>
      <c r="I665" t="s">
        <v>2630</v>
      </c>
      <c r="J665" t="s">
        <v>261</v>
      </c>
      <c r="K665" s="2">
        <v>22239</v>
      </c>
      <c r="L665" s="2">
        <v>22239</v>
      </c>
      <c r="M665" t="str">
        <f>IFERROR(IF(VLOOKUP(LEFT(B665,2),'Humanitarian codes'!$A$2:$A$10,1,FALSE)=LEFT(B665,2),"Yes","Error"),"No")</f>
        <v>No</v>
      </c>
    </row>
    <row r="666" spans="1:13" hidden="1" x14ac:dyDescent="0.25">
      <c r="A666" t="s">
        <v>2196</v>
      </c>
      <c r="B666" t="s">
        <v>2631</v>
      </c>
      <c r="C666" t="s">
        <v>2632</v>
      </c>
      <c r="D666" t="s">
        <v>30</v>
      </c>
      <c r="E666" t="s">
        <v>261</v>
      </c>
      <c r="F666" t="s">
        <v>2633</v>
      </c>
      <c r="G666">
        <v>4500343602</v>
      </c>
      <c r="H666" t="s">
        <v>12</v>
      </c>
      <c r="I666" t="s">
        <v>2634</v>
      </c>
      <c r="J666" t="s">
        <v>261</v>
      </c>
      <c r="K666" s="2">
        <v>358348</v>
      </c>
      <c r="L666" s="2">
        <v>431842</v>
      </c>
      <c r="M666" t="str">
        <f>IFERROR(IF(VLOOKUP(LEFT(B666,2),'Humanitarian codes'!$A$2:$A$10,1,FALSE)=LEFT(B666,2),"Yes","Error"),"No")</f>
        <v>No</v>
      </c>
    </row>
    <row r="667" spans="1:13" hidden="1" x14ac:dyDescent="0.25">
      <c r="A667" t="s">
        <v>2196</v>
      </c>
      <c r="B667" t="s">
        <v>2635</v>
      </c>
      <c r="C667" t="s">
        <v>2636</v>
      </c>
      <c r="D667" t="s">
        <v>30</v>
      </c>
      <c r="E667" t="s">
        <v>1166</v>
      </c>
      <c r="F667" t="s">
        <v>2637</v>
      </c>
      <c r="G667">
        <v>4500326221</v>
      </c>
      <c r="H667" t="s">
        <v>12</v>
      </c>
      <c r="I667" t="s">
        <v>2638</v>
      </c>
      <c r="J667" t="s">
        <v>1166</v>
      </c>
      <c r="K667" s="2">
        <v>24155</v>
      </c>
      <c r="L667" s="2">
        <v>24155</v>
      </c>
      <c r="M667" t="str">
        <f>IFERROR(IF(VLOOKUP(LEFT(B667,2),'Humanitarian codes'!$A$2:$A$10,1,FALSE)=LEFT(B667,2),"Yes","Error"),"No")</f>
        <v>No</v>
      </c>
    </row>
    <row r="668" spans="1:13" hidden="1" x14ac:dyDescent="0.25">
      <c r="A668" t="s">
        <v>2196</v>
      </c>
      <c r="B668" t="s">
        <v>2635</v>
      </c>
      <c r="C668" t="s">
        <v>2636</v>
      </c>
      <c r="D668" t="s">
        <v>30</v>
      </c>
      <c r="E668" t="s">
        <v>1166</v>
      </c>
      <c r="F668" t="s">
        <v>2639</v>
      </c>
      <c r="G668">
        <v>4500334674</v>
      </c>
      <c r="H668" t="s">
        <v>12</v>
      </c>
      <c r="I668" t="s">
        <v>2640</v>
      </c>
      <c r="J668" t="s">
        <v>1166</v>
      </c>
      <c r="K668" s="2">
        <v>16943</v>
      </c>
      <c r="L668" s="2">
        <v>16943</v>
      </c>
      <c r="M668" t="str">
        <f>IFERROR(IF(VLOOKUP(LEFT(B668,2),'Humanitarian codes'!$A$2:$A$10,1,FALSE)=LEFT(B668,2),"Yes","Error"),"No")</f>
        <v>No</v>
      </c>
    </row>
    <row r="669" spans="1:13" hidden="1" x14ac:dyDescent="0.25">
      <c r="A669" t="s">
        <v>2196</v>
      </c>
      <c r="B669" t="s">
        <v>1555</v>
      </c>
      <c r="C669" t="s">
        <v>1556</v>
      </c>
      <c r="D669" t="s">
        <v>30</v>
      </c>
      <c r="E669" t="s">
        <v>83</v>
      </c>
      <c r="F669" t="s">
        <v>2243</v>
      </c>
      <c r="G669">
        <v>4500338125</v>
      </c>
      <c r="H669" t="s">
        <v>12</v>
      </c>
      <c r="I669" t="s">
        <v>85</v>
      </c>
      <c r="J669" t="s">
        <v>83</v>
      </c>
      <c r="K669" s="2">
        <v>75000</v>
      </c>
      <c r="L669" s="2">
        <v>199999</v>
      </c>
      <c r="M669" t="str">
        <f>IFERROR(IF(VLOOKUP(LEFT(B669,2),'Humanitarian codes'!$A$2:$A$10,1,FALSE)=LEFT(B669,2),"Yes","Error"),"No")</f>
        <v>No</v>
      </c>
    </row>
    <row r="670" spans="1:13" hidden="1" x14ac:dyDescent="0.25">
      <c r="A670" t="s">
        <v>2196</v>
      </c>
      <c r="B670" t="s">
        <v>1555</v>
      </c>
      <c r="C670" t="s">
        <v>1556</v>
      </c>
      <c r="D670" t="s">
        <v>30</v>
      </c>
      <c r="E670" t="s">
        <v>83</v>
      </c>
      <c r="F670" t="s">
        <v>2244</v>
      </c>
      <c r="G670">
        <v>4500339759</v>
      </c>
      <c r="H670" t="s">
        <v>12</v>
      </c>
      <c r="I670" t="s">
        <v>2245</v>
      </c>
      <c r="J670" t="s">
        <v>1423</v>
      </c>
      <c r="K670" s="2">
        <v>76633</v>
      </c>
      <c r="L670" s="2">
        <v>138827</v>
      </c>
      <c r="M670" t="str">
        <f>IFERROR(IF(VLOOKUP(LEFT(B670,2),'Humanitarian codes'!$A$2:$A$10,1,FALSE)=LEFT(B670,2),"Yes","Error"),"No")</f>
        <v>No</v>
      </c>
    </row>
    <row r="671" spans="1:13" hidden="1" x14ac:dyDescent="0.25">
      <c r="A671" t="s">
        <v>2196</v>
      </c>
      <c r="B671" t="s">
        <v>2118</v>
      </c>
      <c r="C671" t="s">
        <v>2119</v>
      </c>
      <c r="D671" t="s">
        <v>30</v>
      </c>
      <c r="E671" t="s">
        <v>128</v>
      </c>
      <c r="F671" t="s">
        <v>2641</v>
      </c>
      <c r="G671">
        <v>4500326521</v>
      </c>
      <c r="H671" t="s">
        <v>12</v>
      </c>
      <c r="I671" t="s">
        <v>2642</v>
      </c>
      <c r="J671" t="s">
        <v>581</v>
      </c>
      <c r="K671" s="2">
        <v>109931</v>
      </c>
      <c r="L671" s="2">
        <v>109931</v>
      </c>
      <c r="M671" t="str">
        <f>IFERROR(IF(VLOOKUP(LEFT(B671,2),'Humanitarian codes'!$A$2:$A$10,1,FALSE)=LEFT(B671,2),"Yes","Error"),"No")</f>
        <v>No</v>
      </c>
    </row>
    <row r="672" spans="1:13" hidden="1" x14ac:dyDescent="0.25">
      <c r="A672" t="s">
        <v>2196</v>
      </c>
      <c r="B672" t="s">
        <v>2118</v>
      </c>
      <c r="C672" t="s">
        <v>2119</v>
      </c>
      <c r="D672" t="s">
        <v>30</v>
      </c>
      <c r="E672" t="s">
        <v>128</v>
      </c>
      <c r="F672" t="s">
        <v>2643</v>
      </c>
      <c r="G672">
        <v>4500336889</v>
      </c>
      <c r="H672" t="s">
        <v>12</v>
      </c>
      <c r="I672" t="s">
        <v>2644</v>
      </c>
      <c r="J672" t="s">
        <v>128</v>
      </c>
      <c r="K672" s="2">
        <v>60000</v>
      </c>
      <c r="L672" s="2">
        <v>60000</v>
      </c>
      <c r="M672" t="str">
        <f>IFERROR(IF(VLOOKUP(LEFT(B672,2),'Humanitarian codes'!$A$2:$A$10,1,FALSE)=LEFT(B672,2),"Yes","Error"),"No")</f>
        <v>No</v>
      </c>
    </row>
    <row r="673" spans="1:13" hidden="1" x14ac:dyDescent="0.25">
      <c r="A673" t="s">
        <v>2196</v>
      </c>
      <c r="B673" t="s">
        <v>2118</v>
      </c>
      <c r="C673" t="s">
        <v>2119</v>
      </c>
      <c r="D673" t="s">
        <v>30</v>
      </c>
      <c r="E673" t="s">
        <v>128</v>
      </c>
      <c r="F673">
        <v>4200521536</v>
      </c>
      <c r="G673">
        <v>4500338512</v>
      </c>
      <c r="H673" t="s">
        <v>12</v>
      </c>
      <c r="I673" t="s">
        <v>2645</v>
      </c>
      <c r="J673" t="s">
        <v>128</v>
      </c>
      <c r="K673" s="2">
        <v>30000</v>
      </c>
      <c r="L673" s="2">
        <v>30000</v>
      </c>
      <c r="M673" t="str">
        <f>IFERROR(IF(VLOOKUP(LEFT(B673,2),'Humanitarian codes'!$A$2:$A$10,1,FALSE)=LEFT(B673,2),"Yes","Error"),"No")</f>
        <v>No</v>
      </c>
    </row>
    <row r="674" spans="1:13" hidden="1" x14ac:dyDescent="0.25">
      <c r="A674" t="s">
        <v>2196</v>
      </c>
      <c r="B674" t="s">
        <v>2118</v>
      </c>
      <c r="C674" t="s">
        <v>2119</v>
      </c>
      <c r="D674" t="s">
        <v>30</v>
      </c>
      <c r="E674" t="s">
        <v>128</v>
      </c>
      <c r="F674" t="s">
        <v>2646</v>
      </c>
      <c r="G674">
        <v>4500338522</v>
      </c>
      <c r="H674" t="s">
        <v>12</v>
      </c>
      <c r="I674" t="s">
        <v>603</v>
      </c>
      <c r="J674" t="s">
        <v>128</v>
      </c>
      <c r="K674" s="2">
        <v>30000</v>
      </c>
      <c r="L674" s="2">
        <v>30000</v>
      </c>
      <c r="M674" t="str">
        <f>IFERROR(IF(VLOOKUP(LEFT(B674,2),'Humanitarian codes'!$A$2:$A$10,1,FALSE)=LEFT(B674,2),"Yes","Error"),"No")</f>
        <v>No</v>
      </c>
    </row>
    <row r="675" spans="1:13" hidden="1" x14ac:dyDescent="0.25">
      <c r="A675" t="s">
        <v>2196</v>
      </c>
      <c r="B675" t="s">
        <v>2118</v>
      </c>
      <c r="C675" t="s">
        <v>2119</v>
      </c>
      <c r="D675" t="s">
        <v>30</v>
      </c>
      <c r="E675" t="s">
        <v>128</v>
      </c>
      <c r="F675" t="s">
        <v>2647</v>
      </c>
      <c r="G675">
        <v>4500338525</v>
      </c>
      <c r="H675" t="s">
        <v>12</v>
      </c>
      <c r="I675" t="s">
        <v>2648</v>
      </c>
      <c r="J675" t="s">
        <v>128</v>
      </c>
      <c r="K675" s="2">
        <v>30000</v>
      </c>
      <c r="L675" s="2">
        <v>30000</v>
      </c>
      <c r="M675" t="str">
        <f>IFERROR(IF(VLOOKUP(LEFT(B675,2),'Humanitarian codes'!$A$2:$A$10,1,FALSE)=LEFT(B675,2),"Yes","Error"),"No")</f>
        <v>No</v>
      </c>
    </row>
    <row r="676" spans="1:13" hidden="1" x14ac:dyDescent="0.25">
      <c r="A676" t="s">
        <v>2196</v>
      </c>
      <c r="B676" t="s">
        <v>2118</v>
      </c>
      <c r="C676" t="s">
        <v>2119</v>
      </c>
      <c r="D676" t="s">
        <v>30</v>
      </c>
      <c r="E676" t="s">
        <v>128</v>
      </c>
      <c r="F676" t="s">
        <v>2649</v>
      </c>
      <c r="G676">
        <v>4500341877</v>
      </c>
      <c r="H676" t="s">
        <v>12</v>
      </c>
      <c r="I676" t="s">
        <v>2650</v>
      </c>
      <c r="J676" t="s">
        <v>128</v>
      </c>
      <c r="K676" s="2">
        <v>30000</v>
      </c>
      <c r="L676" s="2">
        <v>30000</v>
      </c>
      <c r="M676" t="str">
        <f>IFERROR(IF(VLOOKUP(LEFT(B676,2),'Humanitarian codes'!$A$2:$A$10,1,FALSE)=LEFT(B676,2),"Yes","Error"),"No")</f>
        <v>No</v>
      </c>
    </row>
    <row r="677" spans="1:13" hidden="1" x14ac:dyDescent="0.25">
      <c r="A677" t="s">
        <v>2196</v>
      </c>
      <c r="B677" t="s">
        <v>2118</v>
      </c>
      <c r="C677" t="s">
        <v>2119</v>
      </c>
      <c r="D677" t="s">
        <v>30</v>
      </c>
      <c r="E677" t="s">
        <v>128</v>
      </c>
      <c r="F677" t="s">
        <v>2651</v>
      </c>
      <c r="G677">
        <v>4500343318</v>
      </c>
      <c r="H677" t="s">
        <v>12</v>
      </c>
      <c r="I677" t="s">
        <v>602</v>
      </c>
      <c r="J677" t="s">
        <v>128</v>
      </c>
      <c r="K677" s="2">
        <v>30000</v>
      </c>
      <c r="L677" s="2">
        <v>30000</v>
      </c>
      <c r="M677" t="str">
        <f>IFERROR(IF(VLOOKUP(LEFT(B677,2),'Humanitarian codes'!$A$2:$A$10,1,FALSE)=LEFT(B677,2),"Yes","Error"),"No")</f>
        <v>No</v>
      </c>
    </row>
    <row r="678" spans="1:13" hidden="1" x14ac:dyDescent="0.25">
      <c r="A678" t="s">
        <v>2196</v>
      </c>
      <c r="B678" t="s">
        <v>2118</v>
      </c>
      <c r="C678" t="s">
        <v>2119</v>
      </c>
      <c r="D678" t="s">
        <v>30</v>
      </c>
      <c r="E678" t="s">
        <v>128</v>
      </c>
      <c r="F678" t="s">
        <v>2652</v>
      </c>
      <c r="G678">
        <v>4500344623</v>
      </c>
      <c r="H678" t="s">
        <v>12</v>
      </c>
      <c r="I678" t="s">
        <v>2653</v>
      </c>
      <c r="J678" t="s">
        <v>128</v>
      </c>
      <c r="K678" s="2">
        <v>30000</v>
      </c>
      <c r="L678" s="2">
        <v>30000</v>
      </c>
      <c r="M678" t="str">
        <f>IFERROR(IF(VLOOKUP(LEFT(B678,2),'Humanitarian codes'!$A$2:$A$10,1,FALSE)=LEFT(B678,2),"Yes","Error"),"No")</f>
        <v>No</v>
      </c>
    </row>
    <row r="679" spans="1:13" hidden="1" x14ac:dyDescent="0.25">
      <c r="A679" t="s">
        <v>2196</v>
      </c>
      <c r="B679" t="s">
        <v>2118</v>
      </c>
      <c r="C679" t="s">
        <v>2119</v>
      </c>
      <c r="D679" t="s">
        <v>30</v>
      </c>
      <c r="E679" t="s">
        <v>128</v>
      </c>
      <c r="F679" t="s">
        <v>2654</v>
      </c>
      <c r="G679">
        <v>4500346099</v>
      </c>
      <c r="H679" t="s">
        <v>12</v>
      </c>
      <c r="I679" t="s">
        <v>2655</v>
      </c>
      <c r="J679" t="s">
        <v>128</v>
      </c>
      <c r="K679" s="2">
        <v>30000</v>
      </c>
      <c r="L679" s="2">
        <v>30000</v>
      </c>
      <c r="M679" t="str">
        <f>IFERROR(IF(VLOOKUP(LEFT(B679,2),'Humanitarian codes'!$A$2:$A$10,1,FALSE)=LEFT(B679,2),"Yes","Error"),"No")</f>
        <v>No</v>
      </c>
    </row>
    <row r="680" spans="1:13" hidden="1" x14ac:dyDescent="0.25">
      <c r="A680" t="s">
        <v>2196</v>
      </c>
      <c r="B680" t="s">
        <v>2118</v>
      </c>
      <c r="C680" t="s">
        <v>2119</v>
      </c>
      <c r="D680" t="s">
        <v>30</v>
      </c>
      <c r="E680" t="s">
        <v>128</v>
      </c>
      <c r="F680" t="s">
        <v>2656</v>
      </c>
      <c r="G680">
        <v>4500347988</v>
      </c>
      <c r="H680" t="s">
        <v>12</v>
      </c>
      <c r="I680" t="s">
        <v>2657</v>
      </c>
      <c r="J680" t="s">
        <v>128</v>
      </c>
      <c r="K680" s="2">
        <v>30000</v>
      </c>
      <c r="L680" s="2">
        <v>30000</v>
      </c>
      <c r="M680" t="str">
        <f>IFERROR(IF(VLOOKUP(LEFT(B680,2),'Humanitarian codes'!$A$2:$A$10,1,FALSE)=LEFT(B680,2),"Yes","Error"),"No")</f>
        <v>No</v>
      </c>
    </row>
    <row r="681" spans="1:13" hidden="1" x14ac:dyDescent="0.25">
      <c r="A681" t="s">
        <v>2196</v>
      </c>
      <c r="B681" t="s">
        <v>2118</v>
      </c>
      <c r="C681" t="s">
        <v>2119</v>
      </c>
      <c r="D681" t="s">
        <v>30</v>
      </c>
      <c r="E681" t="s">
        <v>128</v>
      </c>
      <c r="F681" t="s">
        <v>2658</v>
      </c>
      <c r="G681">
        <v>4500350125</v>
      </c>
      <c r="H681" t="s">
        <v>12</v>
      </c>
      <c r="I681" t="s">
        <v>2659</v>
      </c>
      <c r="J681" t="s">
        <v>128</v>
      </c>
      <c r="K681" s="2">
        <v>30000</v>
      </c>
      <c r="L681" s="2">
        <v>30000</v>
      </c>
      <c r="M681" t="str">
        <f>IFERROR(IF(VLOOKUP(LEFT(B681,2),'Humanitarian codes'!$A$2:$A$10,1,FALSE)=LEFT(B681,2),"Yes","Error"),"No")</f>
        <v>No</v>
      </c>
    </row>
    <row r="682" spans="1:13" hidden="1" x14ac:dyDescent="0.25">
      <c r="A682" t="s">
        <v>2196</v>
      </c>
      <c r="B682" t="s">
        <v>2118</v>
      </c>
      <c r="C682" t="s">
        <v>2119</v>
      </c>
      <c r="D682" t="s">
        <v>30</v>
      </c>
      <c r="E682" t="s">
        <v>128</v>
      </c>
      <c r="F682" t="s">
        <v>2660</v>
      </c>
      <c r="G682">
        <v>4500351578</v>
      </c>
      <c r="H682" t="s">
        <v>12</v>
      </c>
      <c r="I682" t="s">
        <v>2661</v>
      </c>
      <c r="J682" t="s">
        <v>128</v>
      </c>
      <c r="K682" s="2">
        <v>30000</v>
      </c>
      <c r="L682" s="2">
        <v>30000</v>
      </c>
      <c r="M682" t="str">
        <f>IFERROR(IF(VLOOKUP(LEFT(B682,2),'Humanitarian codes'!$A$2:$A$10,1,FALSE)=LEFT(B682,2),"Yes","Error"),"No")</f>
        <v>No</v>
      </c>
    </row>
    <row r="683" spans="1:13" hidden="1" x14ac:dyDescent="0.25">
      <c r="A683" t="s">
        <v>2196</v>
      </c>
      <c r="B683" t="s">
        <v>2662</v>
      </c>
      <c r="C683" t="s">
        <v>2663</v>
      </c>
      <c r="D683" t="s">
        <v>543</v>
      </c>
      <c r="E683" t="s">
        <v>798</v>
      </c>
      <c r="F683" t="s">
        <v>2499</v>
      </c>
      <c r="G683">
        <v>4500339617</v>
      </c>
      <c r="H683" t="s">
        <v>12</v>
      </c>
      <c r="I683" t="s">
        <v>2664</v>
      </c>
      <c r="J683" t="s">
        <v>798</v>
      </c>
      <c r="K683" s="2">
        <v>28721</v>
      </c>
      <c r="L683" s="2">
        <v>28721</v>
      </c>
      <c r="M683" t="str">
        <f>IFERROR(IF(VLOOKUP(LEFT(B683,2),'Humanitarian codes'!$A$2:$A$10,1,FALSE)=LEFT(B683,2),"Yes","Error"),"No")</f>
        <v>No</v>
      </c>
    </row>
    <row r="684" spans="1:13" hidden="1" x14ac:dyDescent="0.25">
      <c r="A684" t="s">
        <v>2196</v>
      </c>
      <c r="B684" t="s">
        <v>2665</v>
      </c>
      <c r="C684" t="s">
        <v>2666</v>
      </c>
      <c r="D684" t="s">
        <v>543</v>
      </c>
      <c r="E684" t="s">
        <v>594</v>
      </c>
      <c r="F684" t="s">
        <v>2200</v>
      </c>
      <c r="G684">
        <v>4500330760</v>
      </c>
      <c r="H684" t="s">
        <v>12</v>
      </c>
      <c r="I684" t="s">
        <v>2667</v>
      </c>
      <c r="J684" t="s">
        <v>594</v>
      </c>
      <c r="K684" s="2">
        <v>1247</v>
      </c>
      <c r="L684" s="2">
        <v>1247</v>
      </c>
      <c r="M684" t="str">
        <f>IFERROR(IF(VLOOKUP(LEFT(B684,2),'Humanitarian codes'!$A$2:$A$10,1,FALSE)=LEFT(B684,2),"Yes","Error"),"No")</f>
        <v>No</v>
      </c>
    </row>
    <row r="685" spans="1:13" hidden="1" x14ac:dyDescent="0.25">
      <c r="A685" t="s">
        <v>2196</v>
      </c>
      <c r="B685" t="s">
        <v>2668</v>
      </c>
      <c r="C685" t="s">
        <v>2669</v>
      </c>
      <c r="D685" t="s">
        <v>543</v>
      </c>
      <c r="E685" t="s">
        <v>663</v>
      </c>
      <c r="F685" t="s">
        <v>2670</v>
      </c>
      <c r="G685">
        <v>4500339010</v>
      </c>
      <c r="H685" t="s">
        <v>12</v>
      </c>
      <c r="I685" t="s">
        <v>2671</v>
      </c>
      <c r="J685" t="s">
        <v>663</v>
      </c>
      <c r="K685" s="2">
        <v>38192</v>
      </c>
      <c r="L685" s="2">
        <v>38192</v>
      </c>
      <c r="M685" t="str">
        <f>IFERROR(IF(VLOOKUP(LEFT(B685,2),'Humanitarian codes'!$A$2:$A$10,1,FALSE)=LEFT(B685,2),"Yes","Error"),"No")</f>
        <v>No</v>
      </c>
    </row>
    <row r="686" spans="1:13" hidden="1" x14ac:dyDescent="0.25">
      <c r="A686" t="s">
        <v>2196</v>
      </c>
      <c r="B686" t="s">
        <v>2672</v>
      </c>
      <c r="C686" t="s">
        <v>2673</v>
      </c>
      <c r="D686" t="s">
        <v>543</v>
      </c>
      <c r="E686" t="s">
        <v>523</v>
      </c>
      <c r="F686" t="s">
        <v>2674</v>
      </c>
      <c r="G686">
        <v>4500340366</v>
      </c>
      <c r="H686" t="s">
        <v>12</v>
      </c>
      <c r="I686" t="s">
        <v>771</v>
      </c>
      <c r="J686" t="s">
        <v>523</v>
      </c>
      <c r="K686" s="2">
        <v>421380</v>
      </c>
      <c r="L686" s="2">
        <v>421380</v>
      </c>
      <c r="M686" t="str">
        <f>IFERROR(IF(VLOOKUP(LEFT(B686,2),'Humanitarian codes'!$A$2:$A$10,1,FALSE)=LEFT(B686,2),"Yes","Error"),"No")</f>
        <v>No</v>
      </c>
    </row>
    <row r="687" spans="1:13" hidden="1" x14ac:dyDescent="0.25">
      <c r="A687" t="s">
        <v>2196</v>
      </c>
      <c r="B687" t="s">
        <v>2672</v>
      </c>
      <c r="C687" t="s">
        <v>2673</v>
      </c>
      <c r="D687" t="s">
        <v>543</v>
      </c>
      <c r="E687" t="s">
        <v>523</v>
      </c>
      <c r="F687" t="s">
        <v>2675</v>
      </c>
      <c r="G687">
        <v>4500350220</v>
      </c>
      <c r="H687" t="s">
        <v>12</v>
      </c>
      <c r="I687" t="s">
        <v>2676</v>
      </c>
      <c r="J687" t="s">
        <v>523</v>
      </c>
      <c r="K687" s="2">
        <v>102201</v>
      </c>
      <c r="L687" s="2">
        <v>102201</v>
      </c>
      <c r="M687" t="str">
        <f>IFERROR(IF(VLOOKUP(LEFT(B687,2),'Humanitarian codes'!$A$2:$A$10,1,FALSE)=LEFT(B687,2),"Yes","Error"),"No")</f>
        <v>No</v>
      </c>
    </row>
    <row r="688" spans="1:13" hidden="1" x14ac:dyDescent="0.25">
      <c r="A688" t="s">
        <v>2196</v>
      </c>
      <c r="B688" t="s">
        <v>1558</v>
      </c>
      <c r="C688" t="s">
        <v>1559</v>
      </c>
      <c r="D688" t="s">
        <v>543</v>
      </c>
      <c r="E688" t="s">
        <v>1048</v>
      </c>
      <c r="F688" t="s">
        <v>2200</v>
      </c>
      <c r="G688">
        <v>4500326185</v>
      </c>
      <c r="H688" t="s">
        <v>12</v>
      </c>
      <c r="I688" t="s">
        <v>222</v>
      </c>
      <c r="J688" t="s">
        <v>1048</v>
      </c>
      <c r="K688" s="2">
        <v>89474</v>
      </c>
      <c r="L688" s="2">
        <v>89474</v>
      </c>
      <c r="M688" t="str">
        <f>IFERROR(IF(VLOOKUP(LEFT(B688,2),'Humanitarian codes'!$A$2:$A$10,1,FALSE)=LEFT(B688,2),"Yes","Error"),"No")</f>
        <v>No</v>
      </c>
    </row>
    <row r="689" spans="1:13" hidden="1" x14ac:dyDescent="0.25">
      <c r="A689" t="s">
        <v>2196</v>
      </c>
      <c r="B689" t="s">
        <v>607</v>
      </c>
      <c r="C689" t="s">
        <v>608</v>
      </c>
      <c r="D689" t="s">
        <v>543</v>
      </c>
      <c r="E689" t="s">
        <v>504</v>
      </c>
      <c r="F689" t="s">
        <v>2677</v>
      </c>
      <c r="G689">
        <v>4500330979</v>
      </c>
      <c r="H689" t="s">
        <v>12</v>
      </c>
      <c r="I689" t="s">
        <v>1856</v>
      </c>
      <c r="J689" t="s">
        <v>504</v>
      </c>
      <c r="K689" s="2">
        <v>28689</v>
      </c>
      <c r="L689" s="2">
        <v>28689</v>
      </c>
      <c r="M689" t="str">
        <f>IFERROR(IF(VLOOKUP(LEFT(B689,2),'Humanitarian codes'!$A$2:$A$10,1,FALSE)=LEFT(B689,2),"Yes","Error"),"No")</f>
        <v>No</v>
      </c>
    </row>
    <row r="690" spans="1:13" hidden="1" x14ac:dyDescent="0.25">
      <c r="A690" t="s">
        <v>2196</v>
      </c>
      <c r="B690" t="s">
        <v>1062</v>
      </c>
      <c r="C690" t="s">
        <v>1063</v>
      </c>
      <c r="D690" t="s">
        <v>543</v>
      </c>
      <c r="E690" t="s">
        <v>523</v>
      </c>
      <c r="F690" t="s">
        <v>2517</v>
      </c>
      <c r="G690">
        <v>4500354106</v>
      </c>
      <c r="H690" t="s">
        <v>12</v>
      </c>
      <c r="I690" t="s">
        <v>2678</v>
      </c>
      <c r="J690" t="s">
        <v>523</v>
      </c>
      <c r="K690" s="2">
        <v>60695</v>
      </c>
      <c r="L690" s="2">
        <v>60695</v>
      </c>
      <c r="M690" t="str">
        <f>IFERROR(IF(VLOOKUP(LEFT(B690,2),'Humanitarian codes'!$A$2:$A$10,1,FALSE)=LEFT(B690,2),"Yes","Error"),"No")</f>
        <v>No</v>
      </c>
    </row>
    <row r="691" spans="1:13" hidden="1" x14ac:dyDescent="0.25">
      <c r="A691" t="s">
        <v>2196</v>
      </c>
      <c r="B691" t="s">
        <v>623</v>
      </c>
      <c r="C691" t="s">
        <v>624</v>
      </c>
      <c r="D691" t="s">
        <v>543</v>
      </c>
      <c r="E691" t="s">
        <v>903</v>
      </c>
      <c r="F691" t="s">
        <v>2679</v>
      </c>
      <c r="G691">
        <v>4500332549</v>
      </c>
      <c r="H691" t="s">
        <v>12</v>
      </c>
      <c r="I691" t="s">
        <v>2680</v>
      </c>
      <c r="J691" t="s">
        <v>903</v>
      </c>
      <c r="K691" s="2">
        <v>79962</v>
      </c>
      <c r="L691" s="2">
        <v>79962</v>
      </c>
      <c r="M691" t="str">
        <f>IFERROR(IF(VLOOKUP(LEFT(B691,2),'Humanitarian codes'!$A$2:$A$10,1,FALSE)=LEFT(B691,2),"Yes","Error"),"No")</f>
        <v>No</v>
      </c>
    </row>
    <row r="692" spans="1:13" hidden="1" x14ac:dyDescent="0.25">
      <c r="A692" t="s">
        <v>2196</v>
      </c>
      <c r="B692" t="s">
        <v>623</v>
      </c>
      <c r="C692" t="s">
        <v>624</v>
      </c>
      <c r="D692" t="s">
        <v>543</v>
      </c>
      <c r="E692" t="s">
        <v>903</v>
      </c>
      <c r="F692" t="s">
        <v>2681</v>
      </c>
      <c r="G692">
        <v>4500336423</v>
      </c>
      <c r="H692" t="s">
        <v>12</v>
      </c>
      <c r="I692" t="s">
        <v>314</v>
      </c>
      <c r="J692" t="s">
        <v>903</v>
      </c>
      <c r="K692" s="2">
        <v>43122</v>
      </c>
      <c r="L692" s="2">
        <v>86245</v>
      </c>
      <c r="M692" t="str">
        <f>IFERROR(IF(VLOOKUP(LEFT(B692,2),'Humanitarian codes'!$A$2:$A$10,1,FALSE)=LEFT(B692,2),"Yes","Error"),"No")</f>
        <v>No</v>
      </c>
    </row>
    <row r="693" spans="1:13" hidden="1" x14ac:dyDescent="0.25">
      <c r="A693" t="s">
        <v>2196</v>
      </c>
      <c r="B693" t="s">
        <v>623</v>
      </c>
      <c r="C693" t="s">
        <v>624</v>
      </c>
      <c r="D693" t="s">
        <v>543</v>
      </c>
      <c r="E693" t="s">
        <v>903</v>
      </c>
      <c r="F693" t="s">
        <v>2682</v>
      </c>
      <c r="G693">
        <v>4500348486</v>
      </c>
      <c r="H693" t="s">
        <v>12</v>
      </c>
      <c r="I693" t="s">
        <v>2683</v>
      </c>
      <c r="J693" t="s">
        <v>903</v>
      </c>
      <c r="K693" s="2">
        <v>45475</v>
      </c>
      <c r="L693" s="2">
        <v>45475</v>
      </c>
      <c r="M693" t="str">
        <f>IFERROR(IF(VLOOKUP(LEFT(B693,2),'Humanitarian codes'!$A$2:$A$10,1,FALSE)=LEFT(B693,2),"Yes","Error"),"No")</f>
        <v>No</v>
      </c>
    </row>
    <row r="694" spans="1:13" hidden="1" x14ac:dyDescent="0.25">
      <c r="A694" t="s">
        <v>2196</v>
      </c>
      <c r="B694" t="s">
        <v>2684</v>
      </c>
      <c r="C694" t="s">
        <v>2685</v>
      </c>
      <c r="D694" t="s">
        <v>543</v>
      </c>
      <c r="E694" t="s">
        <v>226</v>
      </c>
      <c r="F694" t="s">
        <v>2686</v>
      </c>
      <c r="G694">
        <v>4500340088</v>
      </c>
      <c r="H694" t="s">
        <v>12</v>
      </c>
      <c r="I694" t="s">
        <v>574</v>
      </c>
      <c r="J694" t="s">
        <v>226</v>
      </c>
      <c r="K694">
        <v>462</v>
      </c>
      <c r="L694">
        <v>462</v>
      </c>
      <c r="M694" t="str">
        <f>IFERROR(IF(VLOOKUP(LEFT(B694,2),'Humanitarian codes'!$A$2:$A$10,1,FALSE)=LEFT(B694,2),"Yes","Error"),"No")</f>
        <v>No</v>
      </c>
    </row>
    <row r="695" spans="1:13" hidden="1" x14ac:dyDescent="0.25">
      <c r="A695" t="s">
        <v>2196</v>
      </c>
      <c r="B695" t="s">
        <v>628</v>
      </c>
      <c r="C695" t="s">
        <v>629</v>
      </c>
      <c r="D695" t="s">
        <v>543</v>
      </c>
      <c r="E695" t="s">
        <v>155</v>
      </c>
      <c r="F695" t="s">
        <v>2357</v>
      </c>
      <c r="G695">
        <v>4500335041</v>
      </c>
      <c r="H695" t="s">
        <v>12</v>
      </c>
      <c r="I695" t="s">
        <v>2687</v>
      </c>
      <c r="J695" t="s">
        <v>751</v>
      </c>
      <c r="K695" s="2">
        <v>224302</v>
      </c>
      <c r="L695" s="2">
        <v>224302</v>
      </c>
      <c r="M695" t="str">
        <f>IFERROR(IF(VLOOKUP(LEFT(B695,2),'Humanitarian codes'!$A$2:$A$10,1,FALSE)=LEFT(B695,2),"Yes","Error"),"No")</f>
        <v>No</v>
      </c>
    </row>
    <row r="696" spans="1:13" hidden="1" x14ac:dyDescent="0.25">
      <c r="A696" t="s">
        <v>2196</v>
      </c>
      <c r="B696" t="s">
        <v>2132</v>
      </c>
      <c r="C696" t="s">
        <v>2133</v>
      </c>
      <c r="D696" t="s">
        <v>543</v>
      </c>
      <c r="E696" t="s">
        <v>330</v>
      </c>
      <c r="F696" t="s">
        <v>2688</v>
      </c>
      <c r="G696">
        <v>4500345817</v>
      </c>
      <c r="H696" t="s">
        <v>12</v>
      </c>
      <c r="I696" t="s">
        <v>2689</v>
      </c>
      <c r="J696" t="s">
        <v>330</v>
      </c>
      <c r="K696" s="2">
        <v>127145</v>
      </c>
      <c r="L696" s="2">
        <v>127145</v>
      </c>
      <c r="M696" t="str">
        <f>IFERROR(IF(VLOOKUP(LEFT(B696,2),'Humanitarian codes'!$A$2:$A$10,1,FALSE)=LEFT(B696,2),"Yes","Error"),"No")</f>
        <v>No</v>
      </c>
    </row>
    <row r="697" spans="1:13" hidden="1" x14ac:dyDescent="0.25">
      <c r="A697" t="s">
        <v>2196</v>
      </c>
      <c r="B697" t="s">
        <v>2132</v>
      </c>
      <c r="C697" t="s">
        <v>2133</v>
      </c>
      <c r="D697" t="s">
        <v>543</v>
      </c>
      <c r="E697" t="s">
        <v>717</v>
      </c>
      <c r="F697" t="s">
        <v>2690</v>
      </c>
      <c r="G697">
        <v>4500326884</v>
      </c>
      <c r="H697" t="s">
        <v>12</v>
      </c>
      <c r="I697" t="s">
        <v>718</v>
      </c>
      <c r="J697" t="s">
        <v>717</v>
      </c>
      <c r="K697" s="2">
        <v>85999</v>
      </c>
      <c r="L697" s="2">
        <v>85999</v>
      </c>
      <c r="M697" t="str">
        <f>IFERROR(IF(VLOOKUP(LEFT(B697,2),'Humanitarian codes'!$A$2:$A$10,1,FALSE)=LEFT(B697,2),"Yes","Error"),"No")</f>
        <v>No</v>
      </c>
    </row>
    <row r="698" spans="1:13" hidden="1" x14ac:dyDescent="0.25">
      <c r="A698" t="s">
        <v>2196</v>
      </c>
      <c r="B698" t="s">
        <v>2132</v>
      </c>
      <c r="C698" t="s">
        <v>2133</v>
      </c>
      <c r="D698" t="s">
        <v>543</v>
      </c>
      <c r="E698" t="s">
        <v>45</v>
      </c>
      <c r="F698" t="s">
        <v>2200</v>
      </c>
      <c r="G698">
        <v>4500349860</v>
      </c>
      <c r="H698" t="s">
        <v>12</v>
      </c>
      <c r="I698" t="s">
        <v>327</v>
      </c>
      <c r="J698" t="s">
        <v>45</v>
      </c>
      <c r="K698" s="2">
        <v>43500</v>
      </c>
      <c r="L698" s="2">
        <v>120199</v>
      </c>
      <c r="M698" t="str">
        <f>IFERROR(IF(VLOOKUP(LEFT(B698,2),'Humanitarian codes'!$A$2:$A$10,1,FALSE)=LEFT(B698,2),"Yes","Error"),"No")</f>
        <v>No</v>
      </c>
    </row>
    <row r="699" spans="1:13" hidden="1" x14ac:dyDescent="0.25">
      <c r="A699" t="s">
        <v>2196</v>
      </c>
      <c r="B699" t="s">
        <v>2132</v>
      </c>
      <c r="C699" t="s">
        <v>2133</v>
      </c>
      <c r="D699" t="s">
        <v>543</v>
      </c>
      <c r="E699" t="s">
        <v>25</v>
      </c>
      <c r="F699" t="s">
        <v>2200</v>
      </c>
      <c r="G699">
        <v>4500326397</v>
      </c>
      <c r="H699" t="s">
        <v>12</v>
      </c>
      <c r="I699" t="s">
        <v>1085</v>
      </c>
      <c r="J699" t="s">
        <v>25</v>
      </c>
      <c r="K699" s="2">
        <v>23030</v>
      </c>
      <c r="L699" s="2">
        <v>23030</v>
      </c>
      <c r="M699" t="str">
        <f>IFERROR(IF(VLOOKUP(LEFT(B699,2),'Humanitarian codes'!$A$2:$A$10,1,FALSE)=LEFT(B699,2),"Yes","Error"),"No")</f>
        <v>No</v>
      </c>
    </row>
    <row r="700" spans="1:13" hidden="1" x14ac:dyDescent="0.25">
      <c r="A700" t="s">
        <v>2196</v>
      </c>
      <c r="B700" t="s">
        <v>2691</v>
      </c>
      <c r="C700" t="s">
        <v>2692</v>
      </c>
      <c r="D700" t="s">
        <v>543</v>
      </c>
      <c r="E700" t="s">
        <v>903</v>
      </c>
      <c r="F700" t="s">
        <v>2317</v>
      </c>
      <c r="G700">
        <v>4500328416</v>
      </c>
      <c r="H700" t="s">
        <v>12</v>
      </c>
      <c r="I700" t="s">
        <v>1759</v>
      </c>
      <c r="J700" t="s">
        <v>903</v>
      </c>
      <c r="K700" s="2">
        <v>24920</v>
      </c>
      <c r="L700" s="2">
        <v>49840</v>
      </c>
      <c r="M700" t="str">
        <f>IFERROR(IF(VLOOKUP(LEFT(B700,2),'Humanitarian codes'!$A$2:$A$10,1,FALSE)=LEFT(B700,2),"Yes","Error"),"No")</f>
        <v>No</v>
      </c>
    </row>
    <row r="701" spans="1:13" hidden="1" x14ac:dyDescent="0.25">
      <c r="A701" t="s">
        <v>2196</v>
      </c>
      <c r="B701" t="s">
        <v>2691</v>
      </c>
      <c r="C701" t="s">
        <v>2692</v>
      </c>
      <c r="D701" t="s">
        <v>543</v>
      </c>
      <c r="E701" t="s">
        <v>903</v>
      </c>
      <c r="F701" t="s">
        <v>2693</v>
      </c>
      <c r="G701">
        <v>4500328754</v>
      </c>
      <c r="H701" t="s">
        <v>12</v>
      </c>
      <c r="I701" t="s">
        <v>1077</v>
      </c>
      <c r="J701" t="s">
        <v>903</v>
      </c>
      <c r="K701" s="2">
        <v>54420</v>
      </c>
      <c r="L701" s="2">
        <v>54420</v>
      </c>
      <c r="M701" t="str">
        <f>IFERROR(IF(VLOOKUP(LEFT(B701,2),'Humanitarian codes'!$A$2:$A$10,1,FALSE)=LEFT(B701,2),"Yes","Error"),"No")</f>
        <v>No</v>
      </c>
    </row>
    <row r="702" spans="1:13" hidden="1" x14ac:dyDescent="0.25">
      <c r="A702" t="s">
        <v>2196</v>
      </c>
      <c r="B702" t="s">
        <v>2691</v>
      </c>
      <c r="C702" t="s">
        <v>2692</v>
      </c>
      <c r="D702" t="s">
        <v>543</v>
      </c>
      <c r="E702" t="s">
        <v>903</v>
      </c>
      <c r="F702" t="s">
        <v>2319</v>
      </c>
      <c r="G702">
        <v>4500332238</v>
      </c>
      <c r="H702" t="s">
        <v>12</v>
      </c>
      <c r="I702" t="s">
        <v>80</v>
      </c>
      <c r="J702" t="s">
        <v>903</v>
      </c>
      <c r="K702" s="2">
        <v>64097</v>
      </c>
      <c r="L702" s="2">
        <v>75408</v>
      </c>
      <c r="M702" t="str">
        <f>IFERROR(IF(VLOOKUP(LEFT(B702,2),'Humanitarian codes'!$A$2:$A$10,1,FALSE)=LEFT(B702,2),"Yes","Error"),"No")</f>
        <v>No</v>
      </c>
    </row>
    <row r="703" spans="1:13" hidden="1" x14ac:dyDescent="0.25">
      <c r="A703" t="s">
        <v>2196</v>
      </c>
      <c r="B703" t="s">
        <v>2691</v>
      </c>
      <c r="C703" t="s">
        <v>2692</v>
      </c>
      <c r="D703" t="s">
        <v>543</v>
      </c>
      <c r="E703" t="s">
        <v>903</v>
      </c>
      <c r="F703" t="s">
        <v>2320</v>
      </c>
      <c r="G703">
        <v>4500332911</v>
      </c>
      <c r="H703" t="s">
        <v>12</v>
      </c>
      <c r="I703" t="s">
        <v>950</v>
      </c>
      <c r="J703" t="s">
        <v>903</v>
      </c>
      <c r="K703" s="2">
        <v>57953</v>
      </c>
      <c r="L703" s="2">
        <v>68180</v>
      </c>
      <c r="M703" t="str">
        <f>IFERROR(IF(VLOOKUP(LEFT(B703,2),'Humanitarian codes'!$A$2:$A$10,1,FALSE)=LEFT(B703,2),"Yes","Error"),"No")</f>
        <v>No</v>
      </c>
    </row>
    <row r="704" spans="1:13" hidden="1" x14ac:dyDescent="0.25">
      <c r="A704" t="s">
        <v>2196</v>
      </c>
      <c r="B704" t="s">
        <v>2691</v>
      </c>
      <c r="C704" t="s">
        <v>2692</v>
      </c>
      <c r="D704" t="s">
        <v>543</v>
      </c>
      <c r="E704" t="s">
        <v>903</v>
      </c>
      <c r="F704" t="s">
        <v>2321</v>
      </c>
      <c r="G704">
        <v>4500334631</v>
      </c>
      <c r="H704" t="s">
        <v>12</v>
      </c>
      <c r="I704" t="s">
        <v>1760</v>
      </c>
      <c r="J704" t="s">
        <v>903</v>
      </c>
      <c r="K704" s="2">
        <v>52314</v>
      </c>
      <c r="L704" s="2">
        <v>58790</v>
      </c>
      <c r="M704" t="str">
        <f>IFERROR(IF(VLOOKUP(LEFT(B704,2),'Humanitarian codes'!$A$2:$A$10,1,FALSE)=LEFT(B704,2),"Yes","Error"),"No")</f>
        <v>No</v>
      </c>
    </row>
    <row r="705" spans="1:13" hidden="1" x14ac:dyDescent="0.25">
      <c r="A705" t="s">
        <v>2196</v>
      </c>
      <c r="B705" t="s">
        <v>2691</v>
      </c>
      <c r="C705" t="s">
        <v>2692</v>
      </c>
      <c r="D705" t="s">
        <v>543</v>
      </c>
      <c r="E705" t="s">
        <v>903</v>
      </c>
      <c r="F705" t="s">
        <v>2322</v>
      </c>
      <c r="G705">
        <v>4500335022</v>
      </c>
      <c r="H705" t="s">
        <v>12</v>
      </c>
      <c r="I705" t="s">
        <v>1761</v>
      </c>
      <c r="J705" t="s">
        <v>903</v>
      </c>
      <c r="K705" s="2">
        <v>52985</v>
      </c>
      <c r="L705" s="2">
        <v>62335</v>
      </c>
      <c r="M705" t="str">
        <f>IFERROR(IF(VLOOKUP(LEFT(B705,2),'Humanitarian codes'!$A$2:$A$10,1,FALSE)=LEFT(B705,2),"Yes","Error"),"No")</f>
        <v>No</v>
      </c>
    </row>
    <row r="706" spans="1:13" hidden="1" x14ac:dyDescent="0.25">
      <c r="A706" t="s">
        <v>2196</v>
      </c>
      <c r="B706" t="s">
        <v>2691</v>
      </c>
      <c r="C706" t="s">
        <v>2692</v>
      </c>
      <c r="D706" t="s">
        <v>543</v>
      </c>
      <c r="E706" t="s">
        <v>903</v>
      </c>
      <c r="F706" t="s">
        <v>2681</v>
      </c>
      <c r="G706">
        <v>4500336423</v>
      </c>
      <c r="H706" t="s">
        <v>12</v>
      </c>
      <c r="I706" t="s">
        <v>314</v>
      </c>
      <c r="J706" t="s">
        <v>903</v>
      </c>
      <c r="K706" s="2">
        <v>43122</v>
      </c>
      <c r="L706" s="2">
        <v>86245</v>
      </c>
      <c r="M706" t="str">
        <f>IFERROR(IF(VLOOKUP(LEFT(B706,2),'Humanitarian codes'!$A$2:$A$10,1,FALSE)=LEFT(B706,2),"Yes","Error"),"No")</f>
        <v>No</v>
      </c>
    </row>
    <row r="707" spans="1:13" hidden="1" x14ac:dyDescent="0.25">
      <c r="A707" t="s">
        <v>2196</v>
      </c>
      <c r="B707" t="s">
        <v>2691</v>
      </c>
      <c r="C707" t="s">
        <v>2692</v>
      </c>
      <c r="D707" t="s">
        <v>543</v>
      </c>
      <c r="E707" t="s">
        <v>903</v>
      </c>
      <c r="F707" t="s">
        <v>2323</v>
      </c>
      <c r="G707">
        <v>4500341241</v>
      </c>
      <c r="H707" t="s">
        <v>12</v>
      </c>
      <c r="I707" t="s">
        <v>2324</v>
      </c>
      <c r="J707" t="s">
        <v>903</v>
      </c>
      <c r="K707" s="2">
        <v>33353</v>
      </c>
      <c r="L707" s="2">
        <v>38965</v>
      </c>
      <c r="M707" t="str">
        <f>IFERROR(IF(VLOOKUP(LEFT(B707,2),'Humanitarian codes'!$A$2:$A$10,1,FALSE)=LEFT(B707,2),"Yes","Error"),"No")</f>
        <v>No</v>
      </c>
    </row>
    <row r="708" spans="1:13" hidden="1" x14ac:dyDescent="0.25">
      <c r="A708" t="s">
        <v>2196</v>
      </c>
      <c r="B708" t="s">
        <v>2694</v>
      </c>
      <c r="C708" t="s">
        <v>2695</v>
      </c>
      <c r="D708" t="s">
        <v>543</v>
      </c>
      <c r="E708" t="s">
        <v>890</v>
      </c>
      <c r="F708" t="s">
        <v>2696</v>
      </c>
      <c r="G708">
        <v>4500342352</v>
      </c>
      <c r="H708" t="s">
        <v>12</v>
      </c>
      <c r="I708" t="s">
        <v>1419</v>
      </c>
      <c r="J708" t="s">
        <v>890</v>
      </c>
      <c r="K708" s="2">
        <v>11013</v>
      </c>
      <c r="L708" s="2">
        <v>11013</v>
      </c>
      <c r="M708" t="str">
        <f>IFERROR(IF(VLOOKUP(LEFT(B708,2),'Humanitarian codes'!$A$2:$A$10,1,FALSE)=LEFT(B708,2),"Yes","Error"),"No")</f>
        <v>No</v>
      </c>
    </row>
    <row r="709" spans="1:13" hidden="1" x14ac:dyDescent="0.25">
      <c r="A709" t="s">
        <v>2196</v>
      </c>
      <c r="B709" t="s">
        <v>1609</v>
      </c>
      <c r="C709" t="s">
        <v>1610</v>
      </c>
      <c r="D709" t="s">
        <v>30</v>
      </c>
      <c r="E709" t="s">
        <v>717</v>
      </c>
      <c r="F709" t="s">
        <v>2697</v>
      </c>
      <c r="G709">
        <v>4500345914</v>
      </c>
      <c r="H709" t="s">
        <v>12</v>
      </c>
      <c r="I709" t="s">
        <v>1608</v>
      </c>
      <c r="J709" t="s">
        <v>717</v>
      </c>
      <c r="K709" s="2">
        <v>7076</v>
      </c>
      <c r="L709" s="2">
        <v>7076</v>
      </c>
      <c r="M709" t="str">
        <f>IFERROR(IF(VLOOKUP(LEFT(B709,2),'Humanitarian codes'!$A$2:$A$10,1,FALSE)=LEFT(B709,2),"Yes","Error"),"No")</f>
        <v>No</v>
      </c>
    </row>
    <row r="710" spans="1:13" hidden="1" x14ac:dyDescent="0.25">
      <c r="A710" t="s">
        <v>2196</v>
      </c>
      <c r="B710" t="s">
        <v>2698</v>
      </c>
      <c r="C710" t="s">
        <v>2699</v>
      </c>
      <c r="D710" t="s">
        <v>30</v>
      </c>
      <c r="E710" t="s">
        <v>909</v>
      </c>
      <c r="F710" t="s">
        <v>2200</v>
      </c>
      <c r="G710">
        <v>4500344670</v>
      </c>
      <c r="H710" t="s">
        <v>12</v>
      </c>
      <c r="I710" t="s">
        <v>2700</v>
      </c>
      <c r="J710" t="s">
        <v>909</v>
      </c>
      <c r="K710" s="2">
        <v>11486</v>
      </c>
      <c r="L710" s="2">
        <v>11486</v>
      </c>
      <c r="M710" t="str">
        <f>IFERROR(IF(VLOOKUP(LEFT(B710,2),'Humanitarian codes'!$A$2:$A$10,1,FALSE)=LEFT(B710,2),"Yes","Error"),"No")</f>
        <v>No</v>
      </c>
    </row>
    <row r="711" spans="1:13" hidden="1" x14ac:dyDescent="0.25">
      <c r="A711" t="s">
        <v>2196</v>
      </c>
      <c r="B711" t="s">
        <v>1110</v>
      </c>
      <c r="C711" t="s">
        <v>1111</v>
      </c>
      <c r="D711" t="s">
        <v>1112</v>
      </c>
      <c r="E711" t="s">
        <v>261</v>
      </c>
      <c r="F711" t="s">
        <v>2701</v>
      </c>
      <c r="G711">
        <v>4500340645</v>
      </c>
      <c r="H711" t="s">
        <v>12</v>
      </c>
      <c r="I711" t="s">
        <v>784</v>
      </c>
      <c r="J711" t="s">
        <v>261</v>
      </c>
      <c r="K711" s="2">
        <v>195021</v>
      </c>
      <c r="L711" s="2">
        <v>316338</v>
      </c>
      <c r="M711" t="str">
        <f>IFERROR(IF(VLOOKUP(LEFT(B711,2),'Humanitarian codes'!$A$2:$A$10,1,FALSE)=LEFT(B711,2),"Yes","Error"),"No")</f>
        <v>No</v>
      </c>
    </row>
    <row r="712" spans="1:13" hidden="1" x14ac:dyDescent="0.25">
      <c r="A712" t="s">
        <v>2196</v>
      </c>
      <c r="B712" t="s">
        <v>1110</v>
      </c>
      <c r="C712" t="s">
        <v>1111</v>
      </c>
      <c r="D712" t="s">
        <v>1112</v>
      </c>
      <c r="E712" t="s">
        <v>261</v>
      </c>
      <c r="F712" t="s">
        <v>2633</v>
      </c>
      <c r="G712">
        <v>4500343602</v>
      </c>
      <c r="H712" t="s">
        <v>12</v>
      </c>
      <c r="I712" t="s">
        <v>2634</v>
      </c>
      <c r="J712" t="s">
        <v>261</v>
      </c>
      <c r="K712" s="2">
        <v>73493</v>
      </c>
      <c r="L712" s="2">
        <v>431842</v>
      </c>
      <c r="M712" t="str">
        <f>IFERROR(IF(VLOOKUP(LEFT(B712,2),'Humanitarian codes'!$A$2:$A$10,1,FALSE)=LEFT(B712,2),"Yes","Error"),"No")</f>
        <v>No</v>
      </c>
    </row>
    <row r="713" spans="1:13" hidden="1" x14ac:dyDescent="0.25">
      <c r="A713" t="s">
        <v>2196</v>
      </c>
      <c r="B713" t="s">
        <v>1110</v>
      </c>
      <c r="C713" t="s">
        <v>1111</v>
      </c>
      <c r="D713" t="s">
        <v>1112</v>
      </c>
      <c r="E713" t="s">
        <v>261</v>
      </c>
      <c r="F713" t="s">
        <v>2702</v>
      </c>
      <c r="G713">
        <v>4500347542</v>
      </c>
      <c r="H713" t="s">
        <v>12</v>
      </c>
      <c r="I713" t="s">
        <v>2703</v>
      </c>
      <c r="J713" t="s">
        <v>261</v>
      </c>
      <c r="K713" s="2">
        <v>461934</v>
      </c>
      <c r="L713" s="2">
        <v>461934</v>
      </c>
      <c r="M713" t="str">
        <f>IFERROR(IF(VLOOKUP(LEFT(B713,2),'Humanitarian codes'!$A$2:$A$10,1,FALSE)=LEFT(B713,2),"Yes","Error"),"No")</f>
        <v>No</v>
      </c>
    </row>
    <row r="714" spans="1:13" hidden="1" x14ac:dyDescent="0.25">
      <c r="A714" t="s">
        <v>2196</v>
      </c>
      <c r="B714" t="s">
        <v>1110</v>
      </c>
      <c r="C714" t="s">
        <v>1111</v>
      </c>
      <c r="D714" t="s">
        <v>1112</v>
      </c>
      <c r="E714" t="s">
        <v>261</v>
      </c>
      <c r="F714" t="s">
        <v>2200</v>
      </c>
      <c r="G714">
        <v>4500347554</v>
      </c>
      <c r="H714" t="s">
        <v>12</v>
      </c>
      <c r="I714" t="s">
        <v>2704</v>
      </c>
      <c r="J714" t="s">
        <v>261</v>
      </c>
      <c r="K714" s="2">
        <v>157398</v>
      </c>
      <c r="L714" s="2">
        <v>157398</v>
      </c>
      <c r="M714" t="str">
        <f>IFERROR(IF(VLOOKUP(LEFT(B714,2),'Humanitarian codes'!$A$2:$A$10,1,FALSE)=LEFT(B714,2),"Yes","Error"),"No")</f>
        <v>No</v>
      </c>
    </row>
    <row r="715" spans="1:13" hidden="1" x14ac:dyDescent="0.25">
      <c r="A715" t="s">
        <v>2196</v>
      </c>
      <c r="B715" t="s">
        <v>1110</v>
      </c>
      <c r="C715" t="s">
        <v>1111</v>
      </c>
      <c r="D715" t="s">
        <v>1112</v>
      </c>
      <c r="E715" t="s">
        <v>261</v>
      </c>
      <c r="F715" t="s">
        <v>2705</v>
      </c>
      <c r="G715">
        <v>4500350548</v>
      </c>
      <c r="H715" t="s">
        <v>12</v>
      </c>
      <c r="I715" t="s">
        <v>784</v>
      </c>
      <c r="J715" t="s">
        <v>261</v>
      </c>
      <c r="K715" s="2">
        <v>220217</v>
      </c>
      <c r="L715" s="2">
        <v>795008</v>
      </c>
      <c r="M715" t="str">
        <f>IFERROR(IF(VLOOKUP(LEFT(B715,2),'Humanitarian codes'!$A$2:$A$10,1,FALSE)=LEFT(B715,2),"Yes","Error"),"No")</f>
        <v>No</v>
      </c>
    </row>
    <row r="716" spans="1:13" hidden="1" x14ac:dyDescent="0.25">
      <c r="A716" t="s">
        <v>2196</v>
      </c>
      <c r="B716" t="s">
        <v>1110</v>
      </c>
      <c r="C716" t="s">
        <v>1111</v>
      </c>
      <c r="D716" t="s">
        <v>1112</v>
      </c>
      <c r="E716" t="s">
        <v>261</v>
      </c>
      <c r="F716" t="s">
        <v>2706</v>
      </c>
      <c r="G716">
        <v>4500352103</v>
      </c>
      <c r="H716" t="s">
        <v>12</v>
      </c>
      <c r="I716" t="s">
        <v>1030</v>
      </c>
      <c r="J716" t="s">
        <v>261</v>
      </c>
      <c r="K716" s="2">
        <v>117248</v>
      </c>
      <c r="L716" s="2">
        <v>199155</v>
      </c>
      <c r="M716" t="str">
        <f>IFERROR(IF(VLOOKUP(LEFT(B716,2),'Humanitarian codes'!$A$2:$A$10,1,FALSE)=LEFT(B716,2),"Yes","Error"),"No")</f>
        <v>No</v>
      </c>
    </row>
    <row r="717" spans="1:13" hidden="1" x14ac:dyDescent="0.25">
      <c r="A717" t="s">
        <v>2196</v>
      </c>
      <c r="B717" t="s">
        <v>2707</v>
      </c>
      <c r="C717" t="s">
        <v>2708</v>
      </c>
      <c r="D717" t="s">
        <v>1112</v>
      </c>
      <c r="E717" t="s">
        <v>261</v>
      </c>
      <c r="F717" t="s">
        <v>2701</v>
      </c>
      <c r="G717">
        <v>4500340645</v>
      </c>
      <c r="H717" t="s">
        <v>12</v>
      </c>
      <c r="I717" t="s">
        <v>784</v>
      </c>
      <c r="J717" t="s">
        <v>261</v>
      </c>
      <c r="K717" s="2">
        <v>121317</v>
      </c>
      <c r="L717" s="2">
        <v>316338</v>
      </c>
      <c r="M717" t="str">
        <f>IFERROR(IF(VLOOKUP(LEFT(B717,2),'Humanitarian codes'!$A$2:$A$10,1,FALSE)=LEFT(B717,2),"Yes","Error"),"No")</f>
        <v>No</v>
      </c>
    </row>
    <row r="718" spans="1:13" hidden="1" x14ac:dyDescent="0.25">
      <c r="A718" t="s">
        <v>2196</v>
      </c>
      <c r="B718" t="s">
        <v>2709</v>
      </c>
      <c r="C718" t="s">
        <v>2710</v>
      </c>
      <c r="D718" t="s">
        <v>1112</v>
      </c>
      <c r="E718" t="s">
        <v>261</v>
      </c>
      <c r="F718" t="s">
        <v>2705</v>
      </c>
      <c r="G718">
        <v>4500350548</v>
      </c>
      <c r="H718" t="s">
        <v>12</v>
      </c>
      <c r="I718" t="s">
        <v>784</v>
      </c>
      <c r="J718" t="s">
        <v>261</v>
      </c>
      <c r="K718" s="2">
        <v>574791</v>
      </c>
      <c r="L718" s="2">
        <v>795008</v>
      </c>
      <c r="M718" t="str">
        <f>IFERROR(IF(VLOOKUP(LEFT(B718,2),'Humanitarian codes'!$A$2:$A$10,1,FALSE)=LEFT(B718,2),"Yes","Error"),"No")</f>
        <v>No</v>
      </c>
    </row>
    <row r="719" spans="1:13" hidden="1" x14ac:dyDescent="0.25">
      <c r="A719" t="s">
        <v>2196</v>
      </c>
      <c r="B719" t="s">
        <v>2711</v>
      </c>
      <c r="C719" t="s">
        <v>2712</v>
      </c>
      <c r="D719" t="s">
        <v>1112</v>
      </c>
      <c r="E719" t="s">
        <v>261</v>
      </c>
      <c r="F719" t="s">
        <v>2706</v>
      </c>
      <c r="G719">
        <v>4500352103</v>
      </c>
      <c r="H719" t="s">
        <v>12</v>
      </c>
      <c r="I719" t="s">
        <v>1030</v>
      </c>
      <c r="J719" t="s">
        <v>261</v>
      </c>
      <c r="K719" s="2">
        <v>81907</v>
      </c>
      <c r="L719" s="2">
        <v>199155</v>
      </c>
      <c r="M719" t="str">
        <f>IFERROR(IF(VLOOKUP(LEFT(B719,2),'Humanitarian codes'!$A$2:$A$10,1,FALSE)=LEFT(B719,2),"Yes","Error"),"No")</f>
        <v>No</v>
      </c>
    </row>
    <row r="720" spans="1:13" hidden="1" x14ac:dyDescent="0.25">
      <c r="A720" t="s">
        <v>2196</v>
      </c>
      <c r="B720" t="s">
        <v>671</v>
      </c>
      <c r="C720" t="s">
        <v>672</v>
      </c>
      <c r="D720" t="s">
        <v>543</v>
      </c>
      <c r="E720" t="s">
        <v>11</v>
      </c>
      <c r="F720" t="s">
        <v>2357</v>
      </c>
      <c r="G720">
        <v>4500328581</v>
      </c>
      <c r="H720" t="s">
        <v>12</v>
      </c>
      <c r="I720" t="s">
        <v>2713</v>
      </c>
      <c r="J720" t="s">
        <v>11</v>
      </c>
      <c r="K720" s="2">
        <v>70000</v>
      </c>
      <c r="L720" s="2">
        <v>70000</v>
      </c>
      <c r="M720" t="str">
        <f>IFERROR(IF(VLOOKUP(LEFT(B720,2),'Humanitarian codes'!$A$2:$A$10,1,FALSE)=LEFT(B720,2),"Yes","Error"),"No")</f>
        <v>No</v>
      </c>
    </row>
    <row r="721" spans="1:13" hidden="1" x14ac:dyDescent="0.25">
      <c r="A721" t="s">
        <v>2196</v>
      </c>
      <c r="B721" t="s">
        <v>671</v>
      </c>
      <c r="C721" t="s">
        <v>672</v>
      </c>
      <c r="D721" t="s">
        <v>543</v>
      </c>
      <c r="E721" t="s">
        <v>11</v>
      </c>
      <c r="F721" t="s">
        <v>2357</v>
      </c>
      <c r="G721">
        <v>4500347570</v>
      </c>
      <c r="H721" t="s">
        <v>12</v>
      </c>
      <c r="I721" t="s">
        <v>2714</v>
      </c>
      <c r="J721" t="s">
        <v>11</v>
      </c>
      <c r="K721" s="2">
        <v>995000</v>
      </c>
      <c r="L721" s="2">
        <v>995000</v>
      </c>
      <c r="M721" t="str">
        <f>IFERROR(IF(VLOOKUP(LEFT(B721,2),'Humanitarian codes'!$A$2:$A$10,1,FALSE)=LEFT(B721,2),"Yes","Error"),"No")</f>
        <v>No</v>
      </c>
    </row>
    <row r="722" spans="1:13" hidden="1" x14ac:dyDescent="0.25">
      <c r="A722" t="s">
        <v>2196</v>
      </c>
      <c r="B722" t="s">
        <v>2715</v>
      </c>
      <c r="C722" t="s">
        <v>2716</v>
      </c>
      <c r="D722" t="s">
        <v>543</v>
      </c>
      <c r="E722" t="s">
        <v>909</v>
      </c>
      <c r="F722" t="s">
        <v>2717</v>
      </c>
      <c r="G722">
        <v>4500348253</v>
      </c>
      <c r="H722" t="s">
        <v>12</v>
      </c>
      <c r="I722" t="s">
        <v>2718</v>
      </c>
      <c r="J722" t="s">
        <v>909</v>
      </c>
      <c r="K722" s="2">
        <v>2863</v>
      </c>
      <c r="L722" s="2">
        <v>2863</v>
      </c>
      <c r="M722" t="str">
        <f>IFERROR(IF(VLOOKUP(LEFT(B722,2),'Humanitarian codes'!$A$2:$A$10,1,FALSE)=LEFT(B722,2),"Yes","Error"),"No")</f>
        <v>No</v>
      </c>
    </row>
    <row r="723" spans="1:13" hidden="1" x14ac:dyDescent="0.25">
      <c r="A723" t="s">
        <v>2196</v>
      </c>
      <c r="B723" t="s">
        <v>1629</v>
      </c>
      <c r="C723" t="s">
        <v>1630</v>
      </c>
      <c r="D723" t="s">
        <v>543</v>
      </c>
      <c r="E723" t="s">
        <v>663</v>
      </c>
      <c r="F723" t="s">
        <v>2719</v>
      </c>
      <c r="G723">
        <v>4500339738</v>
      </c>
      <c r="H723" t="s">
        <v>12</v>
      </c>
      <c r="I723" t="s">
        <v>2720</v>
      </c>
      <c r="J723" t="s">
        <v>663</v>
      </c>
      <c r="K723" s="2">
        <v>29151</v>
      </c>
      <c r="L723" s="2">
        <v>29151</v>
      </c>
      <c r="M723" t="str">
        <f>IFERROR(IF(VLOOKUP(LEFT(B723,2),'Humanitarian codes'!$A$2:$A$10,1,FALSE)=LEFT(B723,2),"Yes","Error"),"No")</f>
        <v>No</v>
      </c>
    </row>
    <row r="724" spans="1:13" hidden="1" x14ac:dyDescent="0.25">
      <c r="A724" t="s">
        <v>2196</v>
      </c>
      <c r="B724" t="s">
        <v>1121</v>
      </c>
      <c r="C724" t="s">
        <v>1122</v>
      </c>
      <c r="D724" t="s">
        <v>543</v>
      </c>
      <c r="E724" t="s">
        <v>25</v>
      </c>
      <c r="F724" t="s">
        <v>2200</v>
      </c>
      <c r="G724">
        <v>4500331348</v>
      </c>
      <c r="H724" t="s">
        <v>12</v>
      </c>
      <c r="I724" t="s">
        <v>641</v>
      </c>
      <c r="J724" t="s">
        <v>25</v>
      </c>
      <c r="K724" s="2">
        <v>134662</v>
      </c>
      <c r="L724" s="2">
        <v>134662</v>
      </c>
      <c r="M724" t="str">
        <f>IFERROR(IF(VLOOKUP(LEFT(B724,2),'Humanitarian codes'!$A$2:$A$10,1,FALSE)=LEFT(B724,2),"Yes","Error"),"No")</f>
        <v>No</v>
      </c>
    </row>
    <row r="725" spans="1:13" hidden="1" x14ac:dyDescent="0.25">
      <c r="A725" t="s">
        <v>2196</v>
      </c>
      <c r="B725" t="s">
        <v>683</v>
      </c>
      <c r="C725" t="s">
        <v>684</v>
      </c>
      <c r="D725" t="s">
        <v>543</v>
      </c>
      <c r="E725" t="s">
        <v>175</v>
      </c>
      <c r="F725" t="s">
        <v>2721</v>
      </c>
      <c r="G725">
        <v>4500338056</v>
      </c>
      <c r="H725" t="s">
        <v>12</v>
      </c>
      <c r="I725" t="s">
        <v>680</v>
      </c>
      <c r="J725" t="s">
        <v>175</v>
      </c>
      <c r="K725" s="2">
        <v>133905</v>
      </c>
      <c r="L725" s="2">
        <v>133905</v>
      </c>
      <c r="M725" t="str">
        <f>IFERROR(IF(VLOOKUP(LEFT(B725,2),'Humanitarian codes'!$A$2:$A$10,1,FALSE)=LEFT(B725,2),"Yes","Error"),"No")</f>
        <v>No</v>
      </c>
    </row>
    <row r="726" spans="1:13" hidden="1" x14ac:dyDescent="0.25">
      <c r="A726" t="s">
        <v>2196</v>
      </c>
      <c r="B726" t="s">
        <v>683</v>
      </c>
      <c r="C726" t="s">
        <v>684</v>
      </c>
      <c r="D726" t="s">
        <v>543</v>
      </c>
      <c r="E726" t="s">
        <v>175</v>
      </c>
      <c r="F726" t="s">
        <v>2722</v>
      </c>
      <c r="G726">
        <v>4500338741</v>
      </c>
      <c r="H726" t="s">
        <v>12</v>
      </c>
      <c r="I726" t="s">
        <v>682</v>
      </c>
      <c r="J726" t="s">
        <v>175</v>
      </c>
      <c r="K726" s="2">
        <v>201025</v>
      </c>
      <c r="L726" s="2">
        <v>201025</v>
      </c>
      <c r="M726" t="str">
        <f>IFERROR(IF(VLOOKUP(LEFT(B726,2),'Humanitarian codes'!$A$2:$A$10,1,FALSE)=LEFT(B726,2),"Yes","Error"),"No")</f>
        <v>No</v>
      </c>
    </row>
    <row r="727" spans="1:13" hidden="1" x14ac:dyDescent="0.25">
      <c r="A727" t="s">
        <v>2196</v>
      </c>
      <c r="B727" t="s">
        <v>683</v>
      </c>
      <c r="C727" t="s">
        <v>684</v>
      </c>
      <c r="D727" t="s">
        <v>543</v>
      </c>
      <c r="E727" t="s">
        <v>175</v>
      </c>
      <c r="F727" t="s">
        <v>2723</v>
      </c>
      <c r="G727">
        <v>4500338790</v>
      </c>
      <c r="H727" t="s">
        <v>12</v>
      </c>
      <c r="I727" t="s">
        <v>182</v>
      </c>
      <c r="J727" t="s">
        <v>175</v>
      </c>
      <c r="K727" s="2">
        <v>222849</v>
      </c>
      <c r="L727" s="2">
        <v>222849</v>
      </c>
      <c r="M727" t="str">
        <f>IFERROR(IF(VLOOKUP(LEFT(B727,2),'Humanitarian codes'!$A$2:$A$10,1,FALSE)=LEFT(B727,2),"Yes","Error"),"No")</f>
        <v>No</v>
      </c>
    </row>
    <row r="728" spans="1:13" hidden="1" x14ac:dyDescent="0.25">
      <c r="A728" t="s">
        <v>2196</v>
      </c>
      <c r="B728" t="s">
        <v>683</v>
      </c>
      <c r="C728" t="s">
        <v>684</v>
      </c>
      <c r="D728" t="s">
        <v>543</v>
      </c>
      <c r="E728" t="s">
        <v>175</v>
      </c>
      <c r="F728" t="s">
        <v>2724</v>
      </c>
      <c r="G728">
        <v>4500338877</v>
      </c>
      <c r="H728" t="s">
        <v>12</v>
      </c>
      <c r="I728" t="s">
        <v>1119</v>
      </c>
      <c r="J728" t="s">
        <v>175</v>
      </c>
      <c r="K728" s="2">
        <v>229745</v>
      </c>
      <c r="L728" s="2">
        <v>229745</v>
      </c>
      <c r="M728" t="str">
        <f>IFERROR(IF(VLOOKUP(LEFT(B728,2),'Humanitarian codes'!$A$2:$A$10,1,FALSE)=LEFT(B728,2),"Yes","Error"),"No")</f>
        <v>No</v>
      </c>
    </row>
    <row r="729" spans="1:13" hidden="1" x14ac:dyDescent="0.25">
      <c r="A729" t="s">
        <v>2196</v>
      </c>
      <c r="B729" t="s">
        <v>683</v>
      </c>
      <c r="C729" t="s">
        <v>684</v>
      </c>
      <c r="D729" t="s">
        <v>543</v>
      </c>
      <c r="E729" t="s">
        <v>175</v>
      </c>
      <c r="F729" t="s">
        <v>2725</v>
      </c>
      <c r="G729">
        <v>4500339095</v>
      </c>
      <c r="H729" t="s">
        <v>12</v>
      </c>
      <c r="I729" t="s">
        <v>685</v>
      </c>
      <c r="J729" t="s">
        <v>175</v>
      </c>
      <c r="K729" s="2">
        <v>290285</v>
      </c>
      <c r="L729" s="2">
        <v>290285</v>
      </c>
      <c r="M729" t="str">
        <f>IFERROR(IF(VLOOKUP(LEFT(B729,2),'Humanitarian codes'!$A$2:$A$10,1,FALSE)=LEFT(B729,2),"Yes","Error"),"No")</f>
        <v>No</v>
      </c>
    </row>
    <row r="730" spans="1:13" hidden="1" x14ac:dyDescent="0.25">
      <c r="A730" t="s">
        <v>2196</v>
      </c>
      <c r="B730" t="s">
        <v>683</v>
      </c>
      <c r="C730" t="s">
        <v>684</v>
      </c>
      <c r="D730" t="s">
        <v>543</v>
      </c>
      <c r="E730" t="s">
        <v>175</v>
      </c>
      <c r="F730" t="s">
        <v>2726</v>
      </c>
      <c r="G730">
        <v>4500339798</v>
      </c>
      <c r="H730" t="s">
        <v>12</v>
      </c>
      <c r="I730" t="s">
        <v>1120</v>
      </c>
      <c r="J730" t="s">
        <v>175</v>
      </c>
      <c r="K730" s="2">
        <v>171925</v>
      </c>
      <c r="L730" s="2">
        <v>171925</v>
      </c>
      <c r="M730" t="str">
        <f>IFERROR(IF(VLOOKUP(LEFT(B730,2),'Humanitarian codes'!$A$2:$A$10,1,FALSE)=LEFT(B730,2),"Yes","Error"),"No")</f>
        <v>No</v>
      </c>
    </row>
    <row r="731" spans="1:13" hidden="1" x14ac:dyDescent="0.25">
      <c r="A731" t="s">
        <v>2196</v>
      </c>
      <c r="B731" t="s">
        <v>683</v>
      </c>
      <c r="C731" t="s">
        <v>684</v>
      </c>
      <c r="D731" t="s">
        <v>543</v>
      </c>
      <c r="E731" t="s">
        <v>175</v>
      </c>
      <c r="F731" t="s">
        <v>2727</v>
      </c>
      <c r="G731">
        <v>4500339805</v>
      </c>
      <c r="H731" t="s">
        <v>12</v>
      </c>
      <c r="I731" t="s">
        <v>681</v>
      </c>
      <c r="J731" t="s">
        <v>175</v>
      </c>
      <c r="K731" s="2">
        <v>117635</v>
      </c>
      <c r="L731" s="2">
        <v>117635</v>
      </c>
      <c r="M731" t="str">
        <f>IFERROR(IF(VLOOKUP(LEFT(B731,2),'Humanitarian codes'!$A$2:$A$10,1,FALSE)=LEFT(B731,2),"Yes","Error"),"No")</f>
        <v>No</v>
      </c>
    </row>
    <row r="732" spans="1:13" hidden="1" x14ac:dyDescent="0.25">
      <c r="A732" t="s">
        <v>2196</v>
      </c>
      <c r="B732" t="s">
        <v>2155</v>
      </c>
      <c r="C732" t="s">
        <v>2156</v>
      </c>
      <c r="D732" t="s">
        <v>543</v>
      </c>
      <c r="E732" t="s">
        <v>890</v>
      </c>
      <c r="F732" t="s">
        <v>2728</v>
      </c>
      <c r="G732">
        <v>4500347224</v>
      </c>
      <c r="H732" t="s">
        <v>12</v>
      </c>
      <c r="I732" t="s">
        <v>2729</v>
      </c>
      <c r="J732" t="s">
        <v>890</v>
      </c>
      <c r="K732" s="2">
        <v>202407</v>
      </c>
      <c r="L732" s="2">
        <v>202407</v>
      </c>
      <c r="M732" t="str">
        <f>IFERROR(IF(VLOOKUP(LEFT(B732,2),'Humanitarian codes'!$A$2:$A$10,1,FALSE)=LEFT(B732,2),"Yes","Error"),"No")</f>
        <v>No</v>
      </c>
    </row>
    <row r="733" spans="1:13" x14ac:dyDescent="0.25">
      <c r="A733" t="s">
        <v>2196</v>
      </c>
      <c r="B733" t="s">
        <v>2730</v>
      </c>
      <c r="C733" t="s">
        <v>2731</v>
      </c>
      <c r="D733" t="s">
        <v>30</v>
      </c>
      <c r="E733" t="s">
        <v>814</v>
      </c>
      <c r="F733" t="s">
        <v>2732</v>
      </c>
      <c r="G733">
        <v>4500329603</v>
      </c>
      <c r="H733" t="s">
        <v>12</v>
      </c>
      <c r="I733" t="s">
        <v>115</v>
      </c>
      <c r="J733" t="s">
        <v>814</v>
      </c>
      <c r="K733" s="2">
        <v>4173</v>
      </c>
      <c r="L733" s="2">
        <v>4173</v>
      </c>
      <c r="M733" t="str">
        <f>IFERROR(IF(VLOOKUP(LEFT(B733,2),'Humanitarian codes'!$A$2:$A$10,1,FALSE)=LEFT(B733,2),"Yes","Error"),"No")</f>
        <v>Yes</v>
      </c>
    </row>
    <row r="734" spans="1:13" x14ac:dyDescent="0.25">
      <c r="A734" t="s">
        <v>2196</v>
      </c>
      <c r="B734" t="s">
        <v>2730</v>
      </c>
      <c r="C734" t="s">
        <v>2731</v>
      </c>
      <c r="D734" t="s">
        <v>30</v>
      </c>
      <c r="E734" t="s">
        <v>814</v>
      </c>
      <c r="F734" t="s">
        <v>2733</v>
      </c>
      <c r="G734">
        <v>4500331728</v>
      </c>
      <c r="H734" t="s">
        <v>12</v>
      </c>
      <c r="I734" t="s">
        <v>117</v>
      </c>
      <c r="J734" t="s">
        <v>814</v>
      </c>
      <c r="K734" s="2">
        <v>48731</v>
      </c>
      <c r="L734" s="2">
        <v>48731</v>
      </c>
      <c r="M734" t="str">
        <f>IFERROR(IF(VLOOKUP(LEFT(B734,2),'Humanitarian codes'!$A$2:$A$10,1,FALSE)=LEFT(B734,2),"Yes","Error"),"No")</f>
        <v>Yes</v>
      </c>
    </row>
    <row r="735" spans="1:13" x14ac:dyDescent="0.25">
      <c r="A735" t="s">
        <v>2196</v>
      </c>
      <c r="B735" t="s">
        <v>2730</v>
      </c>
      <c r="C735" t="s">
        <v>2731</v>
      </c>
      <c r="D735" t="s">
        <v>30</v>
      </c>
      <c r="E735" t="s">
        <v>814</v>
      </c>
      <c r="F735" t="s">
        <v>2427</v>
      </c>
      <c r="G735">
        <v>4500333473</v>
      </c>
      <c r="H735" t="s">
        <v>12</v>
      </c>
      <c r="I735" t="s">
        <v>115</v>
      </c>
      <c r="J735" t="s">
        <v>814</v>
      </c>
      <c r="K735" s="2">
        <v>12083</v>
      </c>
      <c r="L735" s="2">
        <v>30207</v>
      </c>
      <c r="M735" t="str">
        <f>IFERROR(IF(VLOOKUP(LEFT(B735,2),'Humanitarian codes'!$A$2:$A$10,1,FALSE)=LEFT(B735,2),"Yes","Error"),"No")</f>
        <v>Yes</v>
      </c>
    </row>
    <row r="736" spans="1:13" x14ac:dyDescent="0.25">
      <c r="A736" t="s">
        <v>2196</v>
      </c>
      <c r="B736" t="s">
        <v>2730</v>
      </c>
      <c r="C736" t="s">
        <v>2731</v>
      </c>
      <c r="D736" t="s">
        <v>30</v>
      </c>
      <c r="E736" t="s">
        <v>814</v>
      </c>
      <c r="F736" t="s">
        <v>2425</v>
      </c>
      <c r="G736">
        <v>4500333478</v>
      </c>
      <c r="H736" t="s">
        <v>12</v>
      </c>
      <c r="I736" t="s">
        <v>113</v>
      </c>
      <c r="J736" t="s">
        <v>814</v>
      </c>
      <c r="K736" s="2">
        <v>19200</v>
      </c>
      <c r="L736" s="2">
        <v>27429</v>
      </c>
      <c r="M736" t="str">
        <f>IFERROR(IF(VLOOKUP(LEFT(B736,2),'Humanitarian codes'!$A$2:$A$10,1,FALSE)=LEFT(B736,2),"Yes","Error"),"No")</f>
        <v>Yes</v>
      </c>
    </row>
    <row r="737" spans="1:13" x14ac:dyDescent="0.25">
      <c r="A737" t="s">
        <v>2196</v>
      </c>
      <c r="B737" t="s">
        <v>2730</v>
      </c>
      <c r="C737" t="s">
        <v>2731</v>
      </c>
      <c r="D737" t="s">
        <v>30</v>
      </c>
      <c r="E737" t="s">
        <v>814</v>
      </c>
      <c r="F737" t="s">
        <v>2426</v>
      </c>
      <c r="G737">
        <v>4500333507</v>
      </c>
      <c r="H737" t="s">
        <v>12</v>
      </c>
      <c r="I737" t="s">
        <v>118</v>
      </c>
      <c r="J737" t="s">
        <v>814</v>
      </c>
      <c r="K737" s="2">
        <v>20809</v>
      </c>
      <c r="L737" s="2">
        <v>29727</v>
      </c>
      <c r="M737" t="str">
        <f>IFERROR(IF(VLOOKUP(LEFT(B737,2),'Humanitarian codes'!$A$2:$A$10,1,FALSE)=LEFT(B737,2),"Yes","Error"),"No")</f>
        <v>Yes</v>
      </c>
    </row>
    <row r="738" spans="1:13" x14ac:dyDescent="0.25">
      <c r="A738" t="s">
        <v>2196</v>
      </c>
      <c r="B738" t="s">
        <v>2730</v>
      </c>
      <c r="C738" t="s">
        <v>2731</v>
      </c>
      <c r="D738" t="s">
        <v>30</v>
      </c>
      <c r="E738" t="s">
        <v>814</v>
      </c>
      <c r="F738" t="s">
        <v>2427</v>
      </c>
      <c r="G738">
        <v>4500333512</v>
      </c>
      <c r="H738" t="s">
        <v>12</v>
      </c>
      <c r="I738" t="s">
        <v>119</v>
      </c>
      <c r="J738" t="s">
        <v>814</v>
      </c>
      <c r="K738" s="2">
        <v>20038</v>
      </c>
      <c r="L738" s="2">
        <v>28626</v>
      </c>
      <c r="M738" t="str">
        <f>IFERROR(IF(VLOOKUP(LEFT(B738,2),'Humanitarian codes'!$A$2:$A$10,1,FALSE)=LEFT(B738,2),"Yes","Error"),"No")</f>
        <v>Yes</v>
      </c>
    </row>
    <row r="739" spans="1:13" x14ac:dyDescent="0.25">
      <c r="A739" t="s">
        <v>2196</v>
      </c>
      <c r="B739" t="s">
        <v>2730</v>
      </c>
      <c r="C739" t="s">
        <v>2731</v>
      </c>
      <c r="D739" t="s">
        <v>30</v>
      </c>
      <c r="E739" t="s">
        <v>814</v>
      </c>
      <c r="F739" t="s">
        <v>2427</v>
      </c>
      <c r="G739">
        <v>4500333514</v>
      </c>
      <c r="H739" t="s">
        <v>12</v>
      </c>
      <c r="I739" t="s">
        <v>116</v>
      </c>
      <c r="J739" t="s">
        <v>814</v>
      </c>
      <c r="K739" s="2">
        <v>18081</v>
      </c>
      <c r="L739" s="2">
        <v>25830</v>
      </c>
      <c r="M739" t="str">
        <f>IFERROR(IF(VLOOKUP(LEFT(B739,2),'Humanitarian codes'!$A$2:$A$10,1,FALSE)=LEFT(B739,2),"Yes","Error"),"No")</f>
        <v>Yes</v>
      </c>
    </row>
    <row r="740" spans="1:13" x14ac:dyDescent="0.25">
      <c r="A740" t="s">
        <v>2196</v>
      </c>
      <c r="B740" t="s">
        <v>2730</v>
      </c>
      <c r="C740" t="s">
        <v>2731</v>
      </c>
      <c r="D740" t="s">
        <v>30</v>
      </c>
      <c r="E740" t="s">
        <v>814</v>
      </c>
      <c r="F740" t="s">
        <v>2427</v>
      </c>
      <c r="G740">
        <v>4500333519</v>
      </c>
      <c r="H740" t="s">
        <v>12</v>
      </c>
      <c r="I740" t="s">
        <v>114</v>
      </c>
      <c r="J740" t="s">
        <v>814</v>
      </c>
      <c r="K740" s="2">
        <v>15466</v>
      </c>
      <c r="L740" s="2">
        <v>22094</v>
      </c>
      <c r="M740" t="str">
        <f>IFERROR(IF(VLOOKUP(LEFT(B740,2),'Humanitarian codes'!$A$2:$A$10,1,FALSE)=LEFT(B740,2),"Yes","Error"),"No")</f>
        <v>Yes</v>
      </c>
    </row>
    <row r="741" spans="1:13" x14ac:dyDescent="0.25">
      <c r="A741" t="s">
        <v>2196</v>
      </c>
      <c r="B741" t="s">
        <v>2730</v>
      </c>
      <c r="C741" t="s">
        <v>2731</v>
      </c>
      <c r="D741" t="s">
        <v>30</v>
      </c>
      <c r="E741" t="s">
        <v>814</v>
      </c>
      <c r="F741" t="s">
        <v>2427</v>
      </c>
      <c r="G741">
        <v>4500333727</v>
      </c>
      <c r="H741" t="s">
        <v>12</v>
      </c>
      <c r="I741" t="s">
        <v>116</v>
      </c>
      <c r="J741" t="s">
        <v>814</v>
      </c>
      <c r="K741" s="2">
        <v>14107</v>
      </c>
      <c r="L741" s="2">
        <v>31350</v>
      </c>
      <c r="M741" t="str">
        <f>IFERROR(IF(VLOOKUP(LEFT(B741,2),'Humanitarian codes'!$A$2:$A$10,1,FALSE)=LEFT(B741,2),"Yes","Error"),"No")</f>
        <v>Yes</v>
      </c>
    </row>
    <row r="742" spans="1:13" x14ac:dyDescent="0.25">
      <c r="A742" t="s">
        <v>2196</v>
      </c>
      <c r="B742" t="s">
        <v>2730</v>
      </c>
      <c r="C742" t="s">
        <v>2731</v>
      </c>
      <c r="D742" t="s">
        <v>30</v>
      </c>
      <c r="E742" t="s">
        <v>814</v>
      </c>
      <c r="F742" t="s">
        <v>2427</v>
      </c>
      <c r="G742">
        <v>4500333734</v>
      </c>
      <c r="H742" t="s">
        <v>12</v>
      </c>
      <c r="I742" t="s">
        <v>1721</v>
      </c>
      <c r="J742" t="s">
        <v>814</v>
      </c>
      <c r="K742" s="2">
        <v>13565</v>
      </c>
      <c r="L742" s="2">
        <v>19378</v>
      </c>
      <c r="M742" t="str">
        <f>IFERROR(IF(VLOOKUP(LEFT(B742,2),'Humanitarian codes'!$A$2:$A$10,1,FALSE)=LEFT(B742,2),"Yes","Error"),"No")</f>
        <v>Yes</v>
      </c>
    </row>
    <row r="743" spans="1:13" x14ac:dyDescent="0.25">
      <c r="A743" t="s">
        <v>2196</v>
      </c>
      <c r="B743" t="s">
        <v>2730</v>
      </c>
      <c r="C743" t="s">
        <v>2731</v>
      </c>
      <c r="D743" t="s">
        <v>30</v>
      </c>
      <c r="E743" t="s">
        <v>814</v>
      </c>
      <c r="F743" t="s">
        <v>2496</v>
      </c>
      <c r="G743">
        <v>4500337243</v>
      </c>
      <c r="H743" t="s">
        <v>12</v>
      </c>
      <c r="I743" t="s">
        <v>112</v>
      </c>
      <c r="J743" t="s">
        <v>814</v>
      </c>
      <c r="K743" s="2">
        <v>24661</v>
      </c>
      <c r="L743" s="2">
        <v>35230</v>
      </c>
      <c r="M743" t="str">
        <f>IFERROR(IF(VLOOKUP(LEFT(B743,2),'Humanitarian codes'!$A$2:$A$10,1,FALSE)=LEFT(B743,2),"Yes","Error"),"No")</f>
        <v>Yes</v>
      </c>
    </row>
    <row r="744" spans="1:13" x14ac:dyDescent="0.25">
      <c r="A744" t="s">
        <v>2196</v>
      </c>
      <c r="B744" t="s">
        <v>2730</v>
      </c>
      <c r="C744" t="s">
        <v>2731</v>
      </c>
      <c r="D744" t="s">
        <v>30</v>
      </c>
      <c r="E744" t="s">
        <v>814</v>
      </c>
      <c r="F744" t="s">
        <v>2428</v>
      </c>
      <c r="G744">
        <v>4500337263</v>
      </c>
      <c r="H744" t="s">
        <v>12</v>
      </c>
      <c r="I744" t="s">
        <v>112</v>
      </c>
      <c r="J744" t="s">
        <v>814</v>
      </c>
      <c r="K744" s="2">
        <v>19412</v>
      </c>
      <c r="L744" s="2">
        <v>36283</v>
      </c>
      <c r="M744" t="str">
        <f>IFERROR(IF(VLOOKUP(LEFT(B744,2),'Humanitarian codes'!$A$2:$A$10,1,FALSE)=LEFT(B744,2),"Yes","Error"),"No")</f>
        <v>Yes</v>
      </c>
    </row>
    <row r="745" spans="1:13" x14ac:dyDescent="0.25">
      <c r="A745" t="s">
        <v>2196</v>
      </c>
      <c r="B745" t="s">
        <v>2730</v>
      </c>
      <c r="C745" t="s">
        <v>2731</v>
      </c>
      <c r="D745" t="s">
        <v>30</v>
      </c>
      <c r="E745" t="s">
        <v>814</v>
      </c>
      <c r="F745" t="s">
        <v>2427</v>
      </c>
      <c r="G745">
        <v>4500337277</v>
      </c>
      <c r="H745" t="s">
        <v>12</v>
      </c>
      <c r="I745" t="s">
        <v>112</v>
      </c>
      <c r="J745" t="s">
        <v>814</v>
      </c>
      <c r="K745" s="2">
        <v>34558</v>
      </c>
      <c r="L745" s="2">
        <v>49369</v>
      </c>
      <c r="M745" t="str">
        <f>IFERROR(IF(VLOOKUP(LEFT(B745,2),'Humanitarian codes'!$A$2:$A$10,1,FALSE)=LEFT(B745,2),"Yes","Error"),"No")</f>
        <v>Yes</v>
      </c>
    </row>
    <row r="746" spans="1:13" x14ac:dyDescent="0.25">
      <c r="A746" t="s">
        <v>2196</v>
      </c>
      <c r="B746" t="s">
        <v>2730</v>
      </c>
      <c r="C746" t="s">
        <v>2731</v>
      </c>
      <c r="D746" t="s">
        <v>30</v>
      </c>
      <c r="E746" t="s">
        <v>814</v>
      </c>
      <c r="F746" t="s">
        <v>2734</v>
      </c>
      <c r="G746">
        <v>4500345573</v>
      </c>
      <c r="H746" t="s">
        <v>12</v>
      </c>
      <c r="I746" t="s">
        <v>2735</v>
      </c>
      <c r="J746" t="s">
        <v>814</v>
      </c>
      <c r="K746" s="2">
        <v>24725</v>
      </c>
      <c r="L746" s="2">
        <v>24725</v>
      </c>
      <c r="M746" t="str">
        <f>IFERROR(IF(VLOOKUP(LEFT(B746,2),'Humanitarian codes'!$A$2:$A$10,1,FALSE)=LEFT(B746,2),"Yes","Error"),"No")</f>
        <v>Yes</v>
      </c>
    </row>
    <row r="747" spans="1:13" x14ac:dyDescent="0.25">
      <c r="A747" t="s">
        <v>2196</v>
      </c>
      <c r="B747" t="s">
        <v>2736</v>
      </c>
      <c r="C747" t="s">
        <v>2737</v>
      </c>
      <c r="D747" t="s">
        <v>30</v>
      </c>
      <c r="E747" t="s">
        <v>54</v>
      </c>
      <c r="F747" t="s">
        <v>2738</v>
      </c>
      <c r="G747">
        <v>4500336802</v>
      </c>
      <c r="H747" t="s">
        <v>12</v>
      </c>
      <c r="I747" t="s">
        <v>281</v>
      </c>
      <c r="J747" t="s">
        <v>54</v>
      </c>
      <c r="K747" s="2">
        <v>5944</v>
      </c>
      <c r="L747" s="2">
        <v>5944</v>
      </c>
      <c r="M747" t="str">
        <f>IFERROR(IF(VLOOKUP(LEFT(B747,2),'Humanitarian codes'!$A$2:$A$10,1,FALSE)=LEFT(B747,2),"Yes","Error"),"No")</f>
        <v>Yes</v>
      </c>
    </row>
    <row r="748" spans="1:13" x14ac:dyDescent="0.25">
      <c r="A748" t="s">
        <v>2196</v>
      </c>
      <c r="B748" t="s">
        <v>2739</v>
      </c>
      <c r="C748" t="s">
        <v>2740</v>
      </c>
      <c r="D748" t="s">
        <v>30</v>
      </c>
      <c r="E748" t="s">
        <v>449</v>
      </c>
      <c r="F748" t="s">
        <v>2741</v>
      </c>
      <c r="G748">
        <v>4500326954</v>
      </c>
      <c r="H748" t="s">
        <v>12</v>
      </c>
      <c r="I748" t="s">
        <v>1880</v>
      </c>
      <c r="J748" t="s">
        <v>449</v>
      </c>
      <c r="K748" s="2">
        <v>105400</v>
      </c>
      <c r="L748" s="2">
        <v>105400</v>
      </c>
      <c r="M748" t="str">
        <f>IFERROR(IF(VLOOKUP(LEFT(B748,2),'Humanitarian codes'!$A$2:$A$10,1,FALSE)=LEFT(B748,2),"Yes","Error"),"No")</f>
        <v>Yes</v>
      </c>
    </row>
    <row r="749" spans="1:13" x14ac:dyDescent="0.25">
      <c r="A749" t="s">
        <v>2196</v>
      </c>
      <c r="B749" t="s">
        <v>2742</v>
      </c>
      <c r="C749" t="s">
        <v>2743</v>
      </c>
      <c r="D749" t="s">
        <v>30</v>
      </c>
      <c r="E749" t="s">
        <v>257</v>
      </c>
      <c r="F749" t="s">
        <v>2339</v>
      </c>
      <c r="G749">
        <v>4500340425</v>
      </c>
      <c r="H749" t="s">
        <v>12</v>
      </c>
      <c r="I749" t="s">
        <v>1414</v>
      </c>
      <c r="J749" t="s">
        <v>257</v>
      </c>
      <c r="K749" s="2">
        <v>59428</v>
      </c>
      <c r="L749" s="2">
        <v>219969</v>
      </c>
      <c r="M749" t="str">
        <f>IFERROR(IF(VLOOKUP(LEFT(B749,2),'Humanitarian codes'!$A$2:$A$10,1,FALSE)=LEFT(B749,2),"Yes","Error"),"No")</f>
        <v>Yes</v>
      </c>
    </row>
    <row r="750" spans="1:13" x14ac:dyDescent="0.25">
      <c r="A750" t="s">
        <v>2196</v>
      </c>
      <c r="B750" t="s">
        <v>2158</v>
      </c>
      <c r="C750" t="s">
        <v>2159</v>
      </c>
      <c r="D750" t="s">
        <v>30</v>
      </c>
      <c r="E750" t="s">
        <v>123</v>
      </c>
      <c r="F750" t="s">
        <v>2200</v>
      </c>
      <c r="G750">
        <v>4500328438</v>
      </c>
      <c r="H750" t="s">
        <v>12</v>
      </c>
      <c r="I750" t="s">
        <v>2744</v>
      </c>
      <c r="J750" t="s">
        <v>123</v>
      </c>
      <c r="K750" s="2">
        <v>12975</v>
      </c>
      <c r="L750" s="2">
        <v>12975</v>
      </c>
      <c r="M750" t="str">
        <f>IFERROR(IF(VLOOKUP(LEFT(B750,2),'Humanitarian codes'!$A$2:$A$10,1,FALSE)=LEFT(B750,2),"Yes","Error"),"No")</f>
        <v>Yes</v>
      </c>
    </row>
    <row r="751" spans="1:13" x14ac:dyDescent="0.25">
      <c r="A751" t="s">
        <v>2196</v>
      </c>
      <c r="B751" t="s">
        <v>2158</v>
      </c>
      <c r="C751" t="s">
        <v>2159</v>
      </c>
      <c r="D751" t="s">
        <v>30</v>
      </c>
      <c r="E751" t="s">
        <v>123</v>
      </c>
      <c r="F751" t="s">
        <v>2200</v>
      </c>
      <c r="G751">
        <v>4500335203</v>
      </c>
      <c r="H751" t="s">
        <v>12</v>
      </c>
      <c r="I751" t="s">
        <v>366</v>
      </c>
      <c r="J751" t="s">
        <v>123</v>
      </c>
      <c r="K751" s="2">
        <v>1682</v>
      </c>
      <c r="L751" s="2">
        <v>12039</v>
      </c>
      <c r="M751" t="str">
        <f>IFERROR(IF(VLOOKUP(LEFT(B751,2),'Humanitarian codes'!$A$2:$A$10,1,FALSE)=LEFT(B751,2),"Yes","Error"),"No")</f>
        <v>Yes</v>
      </c>
    </row>
    <row r="752" spans="1:13" x14ac:dyDescent="0.25">
      <c r="A752" t="s">
        <v>2196</v>
      </c>
      <c r="B752" t="s">
        <v>2158</v>
      </c>
      <c r="C752" t="s">
        <v>2159</v>
      </c>
      <c r="D752" t="s">
        <v>30</v>
      </c>
      <c r="E752" t="s">
        <v>123</v>
      </c>
      <c r="F752" t="s">
        <v>2200</v>
      </c>
      <c r="G752">
        <v>4500341155</v>
      </c>
      <c r="H752" t="s">
        <v>12</v>
      </c>
      <c r="I752" t="s">
        <v>366</v>
      </c>
      <c r="J752" t="s">
        <v>123</v>
      </c>
      <c r="K752" s="2">
        <v>2525</v>
      </c>
      <c r="L752" s="2">
        <v>2525</v>
      </c>
      <c r="M752" t="str">
        <f>IFERROR(IF(VLOOKUP(LEFT(B752,2),'Humanitarian codes'!$A$2:$A$10,1,FALSE)=LEFT(B752,2),"Yes","Error"),"No")</f>
        <v>Yes</v>
      </c>
    </row>
    <row r="753" spans="1:13" x14ac:dyDescent="0.25">
      <c r="A753" t="s">
        <v>2196</v>
      </c>
      <c r="B753" t="s">
        <v>2158</v>
      </c>
      <c r="C753" t="s">
        <v>2159</v>
      </c>
      <c r="D753" t="s">
        <v>30</v>
      </c>
      <c r="E753" t="s">
        <v>123</v>
      </c>
      <c r="F753" t="s">
        <v>2200</v>
      </c>
      <c r="G753">
        <v>4500346214</v>
      </c>
      <c r="H753" t="s">
        <v>12</v>
      </c>
      <c r="I753" t="s">
        <v>368</v>
      </c>
      <c r="J753" t="s">
        <v>123</v>
      </c>
      <c r="K753" s="2">
        <v>21518</v>
      </c>
      <c r="L753" s="2">
        <v>21518</v>
      </c>
      <c r="M753" t="str">
        <f>IFERROR(IF(VLOOKUP(LEFT(B753,2),'Humanitarian codes'!$A$2:$A$10,1,FALSE)=LEFT(B753,2),"Yes","Error"),"No")</f>
        <v>Yes</v>
      </c>
    </row>
    <row r="754" spans="1:13" x14ac:dyDescent="0.25">
      <c r="A754" t="s">
        <v>2196</v>
      </c>
      <c r="B754" t="s">
        <v>2158</v>
      </c>
      <c r="C754" t="s">
        <v>2159</v>
      </c>
      <c r="D754" t="s">
        <v>30</v>
      </c>
      <c r="E754" t="s">
        <v>123</v>
      </c>
      <c r="F754" t="s">
        <v>2200</v>
      </c>
      <c r="G754">
        <v>4500346618</v>
      </c>
      <c r="H754" t="s">
        <v>12</v>
      </c>
      <c r="I754" t="s">
        <v>1280</v>
      </c>
      <c r="J754" t="s">
        <v>123</v>
      </c>
      <c r="K754" s="2">
        <v>4873</v>
      </c>
      <c r="L754" s="2">
        <v>4873</v>
      </c>
      <c r="M754" t="str">
        <f>IFERROR(IF(VLOOKUP(LEFT(B754,2),'Humanitarian codes'!$A$2:$A$10,1,FALSE)=LEFT(B754,2),"Yes","Error"),"No")</f>
        <v>Yes</v>
      </c>
    </row>
    <row r="755" spans="1:13" x14ac:dyDescent="0.25">
      <c r="A755" t="s">
        <v>2196</v>
      </c>
      <c r="B755" t="s">
        <v>1143</v>
      </c>
      <c r="C755" t="s">
        <v>1144</v>
      </c>
      <c r="D755" t="s">
        <v>30</v>
      </c>
      <c r="E755" t="s">
        <v>54</v>
      </c>
      <c r="F755" t="s">
        <v>2745</v>
      </c>
      <c r="G755">
        <v>4500348115</v>
      </c>
      <c r="H755" t="s">
        <v>12</v>
      </c>
      <c r="I755" t="s">
        <v>859</v>
      </c>
      <c r="J755" t="s">
        <v>54</v>
      </c>
      <c r="K755" s="2">
        <v>73666</v>
      </c>
      <c r="L755" s="2">
        <v>73666</v>
      </c>
      <c r="M755" t="str">
        <f>IFERROR(IF(VLOOKUP(LEFT(B755,2),'Humanitarian codes'!$A$2:$A$10,1,FALSE)=LEFT(B755,2),"Yes","Error"),"No")</f>
        <v>Yes</v>
      </c>
    </row>
    <row r="756" spans="1:13" hidden="1" x14ac:dyDescent="0.25">
      <c r="A756" t="s">
        <v>2196</v>
      </c>
      <c r="B756" t="s">
        <v>1890</v>
      </c>
      <c r="C756" t="s">
        <v>1891</v>
      </c>
      <c r="D756" t="s">
        <v>9</v>
      </c>
      <c r="E756" t="s">
        <v>402</v>
      </c>
      <c r="F756" t="s">
        <v>2200</v>
      </c>
      <c r="G756">
        <v>4500333133</v>
      </c>
      <c r="H756" t="s">
        <v>12</v>
      </c>
      <c r="I756" t="s">
        <v>2746</v>
      </c>
      <c r="J756" t="s">
        <v>402</v>
      </c>
      <c r="K756" s="2">
        <v>32859</v>
      </c>
      <c r="L756" s="2">
        <v>32859</v>
      </c>
      <c r="M756" t="str">
        <f>IFERROR(IF(VLOOKUP(LEFT(B756,2),'Humanitarian codes'!$A$2:$A$10,1,FALSE)=LEFT(B756,2),"Yes","Error"),"No")</f>
        <v>No</v>
      </c>
    </row>
    <row r="757" spans="1:13" hidden="1" x14ac:dyDescent="0.25">
      <c r="A757" t="s">
        <v>2196</v>
      </c>
      <c r="B757" t="s">
        <v>1890</v>
      </c>
      <c r="C757" t="s">
        <v>1891</v>
      </c>
      <c r="D757" t="s">
        <v>9</v>
      </c>
      <c r="E757" t="s">
        <v>402</v>
      </c>
      <c r="F757" t="s">
        <v>2200</v>
      </c>
      <c r="G757">
        <v>4500333165</v>
      </c>
      <c r="H757" t="s">
        <v>12</v>
      </c>
      <c r="I757" t="s">
        <v>2747</v>
      </c>
      <c r="J757" t="s">
        <v>402</v>
      </c>
      <c r="K757" s="2">
        <v>32859</v>
      </c>
      <c r="L757" s="2">
        <v>32859</v>
      </c>
      <c r="M757" t="str">
        <f>IFERROR(IF(VLOOKUP(LEFT(B757,2),'Humanitarian codes'!$A$2:$A$10,1,FALSE)=LEFT(B757,2),"Yes","Error"),"No")</f>
        <v>No</v>
      </c>
    </row>
    <row r="758" spans="1:13" hidden="1" x14ac:dyDescent="0.25">
      <c r="A758" t="s">
        <v>2196</v>
      </c>
      <c r="B758" t="s">
        <v>1890</v>
      </c>
      <c r="C758" t="s">
        <v>1891</v>
      </c>
      <c r="D758" t="s">
        <v>9</v>
      </c>
      <c r="E758" t="s">
        <v>402</v>
      </c>
      <c r="F758" t="s">
        <v>2200</v>
      </c>
      <c r="G758">
        <v>4500333181</v>
      </c>
      <c r="H758" t="s">
        <v>12</v>
      </c>
      <c r="I758" t="s">
        <v>2748</v>
      </c>
      <c r="J758" t="s">
        <v>402</v>
      </c>
      <c r="K758" s="2">
        <v>32859</v>
      </c>
      <c r="L758" s="2">
        <v>32859</v>
      </c>
      <c r="M758" t="str">
        <f>IFERROR(IF(VLOOKUP(LEFT(B758,2),'Humanitarian codes'!$A$2:$A$10,1,FALSE)=LEFT(B758,2),"Yes","Error"),"No")</f>
        <v>No</v>
      </c>
    </row>
    <row r="759" spans="1:13" hidden="1" x14ac:dyDescent="0.25">
      <c r="A759" t="s">
        <v>2196</v>
      </c>
      <c r="B759" t="s">
        <v>1890</v>
      </c>
      <c r="C759" t="s">
        <v>1891</v>
      </c>
      <c r="D759" t="s">
        <v>9</v>
      </c>
      <c r="E759" t="s">
        <v>402</v>
      </c>
      <c r="F759" t="s">
        <v>2200</v>
      </c>
      <c r="G759">
        <v>4500333389</v>
      </c>
      <c r="H759" t="s">
        <v>12</v>
      </c>
      <c r="I759" t="s">
        <v>2749</v>
      </c>
      <c r="J759" t="s">
        <v>402</v>
      </c>
      <c r="K759" s="2">
        <v>32859</v>
      </c>
      <c r="L759" s="2">
        <v>32859</v>
      </c>
      <c r="M759" t="str">
        <f>IFERROR(IF(VLOOKUP(LEFT(B759,2),'Humanitarian codes'!$A$2:$A$10,1,FALSE)=LEFT(B759,2),"Yes","Error"),"No")</f>
        <v>No</v>
      </c>
    </row>
    <row r="760" spans="1:13" hidden="1" x14ac:dyDescent="0.25">
      <c r="A760" t="s">
        <v>2196</v>
      </c>
      <c r="B760" t="s">
        <v>1890</v>
      </c>
      <c r="C760" t="s">
        <v>1891</v>
      </c>
      <c r="D760" t="s">
        <v>9</v>
      </c>
      <c r="E760" t="s">
        <v>402</v>
      </c>
      <c r="F760" t="s">
        <v>2200</v>
      </c>
      <c r="G760">
        <v>4500335053</v>
      </c>
      <c r="H760" t="s">
        <v>12</v>
      </c>
      <c r="I760" t="s">
        <v>2750</v>
      </c>
      <c r="J760" t="s">
        <v>402</v>
      </c>
      <c r="K760" s="2">
        <v>33040</v>
      </c>
      <c r="L760" s="2">
        <v>33040</v>
      </c>
      <c r="M760" t="str">
        <f>IFERROR(IF(VLOOKUP(LEFT(B760,2),'Humanitarian codes'!$A$2:$A$10,1,FALSE)=LEFT(B760,2),"Yes","Error"),"No")</f>
        <v>No</v>
      </c>
    </row>
    <row r="761" spans="1:13" hidden="1" x14ac:dyDescent="0.25">
      <c r="A761" t="s">
        <v>2783</v>
      </c>
      <c r="B761" t="s">
        <v>1186</v>
      </c>
      <c r="C761" t="s">
        <v>2754</v>
      </c>
      <c r="D761" t="s">
        <v>30</v>
      </c>
      <c r="E761" t="s">
        <v>261</v>
      </c>
      <c r="F761" t="s">
        <v>2755</v>
      </c>
      <c r="G761">
        <v>4500317706</v>
      </c>
      <c r="H761" t="s">
        <v>2756</v>
      </c>
      <c r="I761" t="s">
        <v>2757</v>
      </c>
      <c r="J761" t="s">
        <v>261</v>
      </c>
      <c r="K761" s="2">
        <v>53601</v>
      </c>
      <c r="L761" s="2">
        <v>53601</v>
      </c>
      <c r="M761" t="str">
        <f>IFERROR(IF(VLOOKUP(LEFT(B761,2),'Humanitarian codes'!$A$2:$A$10,1,FALSE)=LEFT(B761,2),"Yes","Error"),"No")</f>
        <v>No</v>
      </c>
    </row>
    <row r="762" spans="1:13" hidden="1" x14ac:dyDescent="0.25">
      <c r="A762" t="s">
        <v>2783</v>
      </c>
      <c r="B762" t="s">
        <v>1186</v>
      </c>
      <c r="C762" t="s">
        <v>2754</v>
      </c>
      <c r="D762" t="s">
        <v>30</v>
      </c>
      <c r="E762" t="s">
        <v>261</v>
      </c>
      <c r="F762" t="s">
        <v>2758</v>
      </c>
      <c r="G762">
        <v>4500318530</v>
      </c>
      <c r="H762" t="s">
        <v>2756</v>
      </c>
      <c r="I762" t="s">
        <v>897</v>
      </c>
      <c r="J762" t="s">
        <v>261</v>
      </c>
      <c r="K762" s="2">
        <v>47752</v>
      </c>
      <c r="L762" s="2">
        <v>47752</v>
      </c>
      <c r="M762" t="str">
        <f>IFERROR(IF(VLOOKUP(LEFT(B762,2),'Humanitarian codes'!$A$2:$A$10,1,FALSE)=LEFT(B762,2),"Yes","Error"),"No")</f>
        <v>No</v>
      </c>
    </row>
    <row r="763" spans="1:13" hidden="1" x14ac:dyDescent="0.25">
      <c r="A763" t="s">
        <v>2783</v>
      </c>
      <c r="B763" t="s">
        <v>1186</v>
      </c>
      <c r="C763" t="s">
        <v>2754</v>
      </c>
      <c r="D763" t="s">
        <v>30</v>
      </c>
      <c r="E763" t="s">
        <v>261</v>
      </c>
      <c r="F763" t="s">
        <v>2759</v>
      </c>
      <c r="G763">
        <v>4500318533</v>
      </c>
      <c r="H763" t="s">
        <v>2756</v>
      </c>
      <c r="I763" t="s">
        <v>2760</v>
      </c>
      <c r="J763" t="s">
        <v>261</v>
      </c>
      <c r="K763" s="2">
        <v>34548</v>
      </c>
      <c r="L763" s="2">
        <v>34548</v>
      </c>
      <c r="M763" t="str">
        <f>IFERROR(IF(VLOOKUP(LEFT(B763,2),'Humanitarian codes'!$A$2:$A$10,1,FALSE)=LEFT(B763,2),"Yes","Error"),"No")</f>
        <v>No</v>
      </c>
    </row>
    <row r="764" spans="1:13" hidden="1" x14ac:dyDescent="0.25">
      <c r="A764" t="s">
        <v>2783</v>
      </c>
      <c r="B764" t="s">
        <v>1186</v>
      </c>
      <c r="C764" t="s">
        <v>2754</v>
      </c>
      <c r="D764" t="s">
        <v>30</v>
      </c>
      <c r="E764" t="s">
        <v>261</v>
      </c>
      <c r="F764" t="s">
        <v>2179</v>
      </c>
      <c r="G764">
        <v>4500318557</v>
      </c>
      <c r="H764" t="s">
        <v>2756</v>
      </c>
      <c r="I764" t="s">
        <v>2761</v>
      </c>
      <c r="J764" t="s">
        <v>261</v>
      </c>
      <c r="K764" s="2">
        <v>32535</v>
      </c>
      <c r="L764" s="2">
        <v>32535</v>
      </c>
      <c r="M764" t="str">
        <f>IFERROR(IF(VLOOKUP(LEFT(B764,2),'Humanitarian codes'!$A$2:$A$10,1,FALSE)=LEFT(B764,2),"Yes","Error"),"No")</f>
        <v>No</v>
      </c>
    </row>
    <row r="765" spans="1:13" hidden="1" x14ac:dyDescent="0.25">
      <c r="A765" t="s">
        <v>2783</v>
      </c>
      <c r="B765" t="s">
        <v>1186</v>
      </c>
      <c r="C765" t="s">
        <v>2754</v>
      </c>
      <c r="D765" t="s">
        <v>30</v>
      </c>
      <c r="E765" t="s">
        <v>261</v>
      </c>
      <c r="F765" t="s">
        <v>2762</v>
      </c>
      <c r="G765">
        <v>4500318974</v>
      </c>
      <c r="H765" t="s">
        <v>2756</v>
      </c>
      <c r="I765" t="s">
        <v>2763</v>
      </c>
      <c r="J765" t="s">
        <v>261</v>
      </c>
      <c r="K765" s="2">
        <v>67781</v>
      </c>
      <c r="L765" s="2">
        <v>67781</v>
      </c>
      <c r="M765" t="str">
        <f>IFERROR(IF(VLOOKUP(LEFT(B765,2),'Humanitarian codes'!$A$2:$A$10,1,FALSE)=LEFT(B765,2),"Yes","Error"),"No")</f>
        <v>No</v>
      </c>
    </row>
    <row r="766" spans="1:13" hidden="1" x14ac:dyDescent="0.25">
      <c r="A766" t="s">
        <v>2783</v>
      </c>
      <c r="B766" t="s">
        <v>1186</v>
      </c>
      <c r="C766" t="s">
        <v>2754</v>
      </c>
      <c r="D766" t="s">
        <v>30</v>
      </c>
      <c r="E766" t="s">
        <v>261</v>
      </c>
      <c r="F766" t="s">
        <v>2764</v>
      </c>
      <c r="G766">
        <v>4500318981</v>
      </c>
      <c r="H766" t="s">
        <v>2756</v>
      </c>
      <c r="I766" t="s">
        <v>2765</v>
      </c>
      <c r="J766" t="s">
        <v>261</v>
      </c>
      <c r="K766" s="2">
        <v>53948</v>
      </c>
      <c r="L766" s="2">
        <v>53948</v>
      </c>
      <c r="M766" t="str">
        <f>IFERROR(IF(VLOOKUP(LEFT(B766,2),'Humanitarian codes'!$A$2:$A$10,1,FALSE)=LEFT(B766,2),"Yes","Error"),"No")</f>
        <v>No</v>
      </c>
    </row>
    <row r="767" spans="1:13" hidden="1" x14ac:dyDescent="0.25">
      <c r="A767" t="s">
        <v>2783</v>
      </c>
      <c r="B767" t="s">
        <v>1186</v>
      </c>
      <c r="C767" t="s">
        <v>2754</v>
      </c>
      <c r="D767" t="s">
        <v>30</v>
      </c>
      <c r="E767" t="s">
        <v>261</v>
      </c>
      <c r="F767" t="s">
        <v>2766</v>
      </c>
      <c r="G767">
        <v>4500318995</v>
      </c>
      <c r="H767" t="s">
        <v>2756</v>
      </c>
      <c r="I767" t="s">
        <v>2767</v>
      </c>
      <c r="J767" t="s">
        <v>261</v>
      </c>
      <c r="K767" s="2">
        <v>33482</v>
      </c>
      <c r="L767" s="2">
        <v>33482</v>
      </c>
      <c r="M767" t="str">
        <f>IFERROR(IF(VLOOKUP(LEFT(B767,2),'Humanitarian codes'!$A$2:$A$10,1,FALSE)=LEFT(B767,2),"Yes","Error"),"No")</f>
        <v>No</v>
      </c>
    </row>
    <row r="768" spans="1:13" hidden="1" x14ac:dyDescent="0.25">
      <c r="A768" t="s">
        <v>2783</v>
      </c>
      <c r="B768" t="s">
        <v>1186</v>
      </c>
      <c r="C768" t="s">
        <v>2754</v>
      </c>
      <c r="D768" t="s">
        <v>30</v>
      </c>
      <c r="E768" t="s">
        <v>261</v>
      </c>
      <c r="F768" t="s">
        <v>2768</v>
      </c>
      <c r="G768">
        <v>4500319721</v>
      </c>
      <c r="H768" t="s">
        <v>2756</v>
      </c>
      <c r="I768" t="s">
        <v>2769</v>
      </c>
      <c r="J768" t="s">
        <v>261</v>
      </c>
      <c r="K768" s="2">
        <v>67726</v>
      </c>
      <c r="L768" s="2">
        <v>67726</v>
      </c>
      <c r="M768" t="str">
        <f>IFERROR(IF(VLOOKUP(LEFT(B768,2),'Humanitarian codes'!$A$2:$A$10,1,FALSE)=LEFT(B768,2),"Yes","Error"),"No")</f>
        <v>No</v>
      </c>
    </row>
    <row r="769" spans="1:13" hidden="1" x14ac:dyDescent="0.25">
      <c r="A769" t="s">
        <v>2783</v>
      </c>
      <c r="B769" t="s">
        <v>1186</v>
      </c>
      <c r="C769" t="s">
        <v>2754</v>
      </c>
      <c r="D769" t="s">
        <v>30</v>
      </c>
      <c r="E769" t="s">
        <v>261</v>
      </c>
      <c r="F769" t="s">
        <v>2179</v>
      </c>
      <c r="G769">
        <v>4500319790</v>
      </c>
      <c r="H769" t="s">
        <v>2756</v>
      </c>
      <c r="I769" t="s">
        <v>2770</v>
      </c>
      <c r="J769" t="s">
        <v>261</v>
      </c>
      <c r="K769" s="2">
        <v>52643</v>
      </c>
      <c r="L769" s="2">
        <v>52643</v>
      </c>
      <c r="M769" t="str">
        <f>IFERROR(IF(VLOOKUP(LEFT(B769,2),'Humanitarian codes'!$A$2:$A$10,1,FALSE)=LEFT(B769,2),"Yes","Error"),"No")</f>
        <v>No</v>
      </c>
    </row>
    <row r="770" spans="1:13" hidden="1" x14ac:dyDescent="0.25">
      <c r="A770" t="s">
        <v>2783</v>
      </c>
      <c r="B770" t="s">
        <v>1186</v>
      </c>
      <c r="C770" t="s">
        <v>2754</v>
      </c>
      <c r="D770" t="s">
        <v>30</v>
      </c>
      <c r="E770" t="s">
        <v>261</v>
      </c>
      <c r="F770" t="s">
        <v>2179</v>
      </c>
      <c r="G770">
        <v>4500319792</v>
      </c>
      <c r="H770" t="s">
        <v>2756</v>
      </c>
      <c r="I770" t="s">
        <v>2771</v>
      </c>
      <c r="J770" t="s">
        <v>261</v>
      </c>
      <c r="K770" s="2">
        <v>58280</v>
      </c>
      <c r="L770" s="2">
        <v>58280</v>
      </c>
      <c r="M770" t="str">
        <f>IFERROR(IF(VLOOKUP(LEFT(B770,2),'Humanitarian codes'!$A$2:$A$10,1,FALSE)=LEFT(B770,2),"Yes","Error"),"No")</f>
        <v>No</v>
      </c>
    </row>
    <row r="771" spans="1:13" hidden="1" x14ac:dyDescent="0.25">
      <c r="A771" t="s">
        <v>2783</v>
      </c>
      <c r="B771" t="s">
        <v>1186</v>
      </c>
      <c r="C771" t="s">
        <v>2754</v>
      </c>
      <c r="D771" t="s">
        <v>30</v>
      </c>
      <c r="E771" t="s">
        <v>261</v>
      </c>
      <c r="F771" t="s">
        <v>2179</v>
      </c>
      <c r="G771">
        <v>4500319796</v>
      </c>
      <c r="H771" t="s">
        <v>2756</v>
      </c>
      <c r="I771" t="s">
        <v>2772</v>
      </c>
      <c r="J771" t="s">
        <v>261</v>
      </c>
      <c r="K771" s="2">
        <v>31679</v>
      </c>
      <c r="L771" s="2">
        <v>31679</v>
      </c>
      <c r="M771" t="str">
        <f>IFERROR(IF(VLOOKUP(LEFT(B771,2),'Humanitarian codes'!$A$2:$A$10,1,FALSE)=LEFT(B771,2),"Yes","Error"),"No")</f>
        <v>No</v>
      </c>
    </row>
    <row r="772" spans="1:13" hidden="1" x14ac:dyDescent="0.25">
      <c r="A772" t="s">
        <v>2783</v>
      </c>
      <c r="B772" t="s">
        <v>1186</v>
      </c>
      <c r="C772" t="s">
        <v>2754</v>
      </c>
      <c r="D772" t="s">
        <v>30</v>
      </c>
      <c r="E772" t="s">
        <v>261</v>
      </c>
      <c r="F772" t="s">
        <v>2179</v>
      </c>
      <c r="G772">
        <v>4500319797</v>
      </c>
      <c r="H772" t="s">
        <v>2756</v>
      </c>
      <c r="I772" t="s">
        <v>2773</v>
      </c>
      <c r="J772" t="s">
        <v>261</v>
      </c>
      <c r="K772" s="2">
        <v>54204</v>
      </c>
      <c r="L772" s="2">
        <v>54204</v>
      </c>
      <c r="M772" t="str">
        <f>IFERROR(IF(VLOOKUP(LEFT(B772,2),'Humanitarian codes'!$A$2:$A$10,1,FALSE)=LEFT(B772,2),"Yes","Error"),"No")</f>
        <v>No</v>
      </c>
    </row>
    <row r="773" spans="1:13" hidden="1" x14ac:dyDescent="0.25">
      <c r="A773" t="s">
        <v>2783</v>
      </c>
      <c r="B773" t="s">
        <v>1186</v>
      </c>
      <c r="C773" t="s">
        <v>2754</v>
      </c>
      <c r="D773" t="s">
        <v>30</v>
      </c>
      <c r="E773" t="s">
        <v>261</v>
      </c>
      <c r="F773" t="s">
        <v>2179</v>
      </c>
      <c r="G773">
        <v>4500319798</v>
      </c>
      <c r="H773" t="s">
        <v>2756</v>
      </c>
      <c r="I773" t="s">
        <v>2774</v>
      </c>
      <c r="J773" t="s">
        <v>261</v>
      </c>
      <c r="K773" s="2">
        <v>60807</v>
      </c>
      <c r="L773" s="2">
        <v>60807</v>
      </c>
      <c r="M773" t="str">
        <f>IFERROR(IF(VLOOKUP(LEFT(B773,2),'Humanitarian codes'!$A$2:$A$10,1,FALSE)=LEFT(B773,2),"Yes","Error"),"No")</f>
        <v>No</v>
      </c>
    </row>
    <row r="774" spans="1:13" hidden="1" x14ac:dyDescent="0.25">
      <c r="A774" t="s">
        <v>2783</v>
      </c>
      <c r="B774" t="s">
        <v>1186</v>
      </c>
      <c r="C774" t="s">
        <v>2754</v>
      </c>
      <c r="D774" t="s">
        <v>30</v>
      </c>
      <c r="E774" t="s">
        <v>261</v>
      </c>
      <c r="F774" t="s">
        <v>2179</v>
      </c>
      <c r="G774">
        <v>4500319799</v>
      </c>
      <c r="H774" t="s">
        <v>2756</v>
      </c>
      <c r="I774" t="s">
        <v>2775</v>
      </c>
      <c r="J774" t="s">
        <v>261</v>
      </c>
      <c r="K774" s="2">
        <v>45188</v>
      </c>
      <c r="L774" s="2">
        <v>45188</v>
      </c>
      <c r="M774" t="str">
        <f>IFERROR(IF(VLOOKUP(LEFT(B774,2),'Humanitarian codes'!$A$2:$A$10,1,FALSE)=LEFT(B774,2),"Yes","Error"),"No")</f>
        <v>No</v>
      </c>
    </row>
    <row r="775" spans="1:13" hidden="1" x14ac:dyDescent="0.25">
      <c r="A775" t="s">
        <v>2783</v>
      </c>
      <c r="B775" t="s">
        <v>1186</v>
      </c>
      <c r="C775" t="s">
        <v>2754</v>
      </c>
      <c r="D775" t="s">
        <v>30</v>
      </c>
      <c r="E775" t="s">
        <v>261</v>
      </c>
      <c r="F775" t="s">
        <v>2179</v>
      </c>
      <c r="G775">
        <v>4500319800</v>
      </c>
      <c r="H775" t="s">
        <v>2756</v>
      </c>
      <c r="I775" t="s">
        <v>2776</v>
      </c>
      <c r="J775" t="s">
        <v>261</v>
      </c>
      <c r="K775" s="2">
        <v>67779</v>
      </c>
      <c r="L775" s="2">
        <v>67779</v>
      </c>
      <c r="M775" t="str">
        <f>IFERROR(IF(VLOOKUP(LEFT(B775,2),'Humanitarian codes'!$A$2:$A$10,1,FALSE)=LEFT(B775,2),"Yes","Error"),"No")</f>
        <v>No</v>
      </c>
    </row>
    <row r="776" spans="1:13" hidden="1" x14ac:dyDescent="0.25">
      <c r="A776" t="s">
        <v>2783</v>
      </c>
      <c r="B776" t="s">
        <v>1186</v>
      </c>
      <c r="C776" t="s">
        <v>2754</v>
      </c>
      <c r="D776" t="s">
        <v>30</v>
      </c>
      <c r="E776" t="s">
        <v>261</v>
      </c>
      <c r="F776" t="s">
        <v>2179</v>
      </c>
      <c r="G776">
        <v>4500319801</v>
      </c>
      <c r="H776" t="s">
        <v>2756</v>
      </c>
      <c r="I776" t="s">
        <v>2777</v>
      </c>
      <c r="J776" t="s">
        <v>261</v>
      </c>
      <c r="K776" s="2">
        <v>54216</v>
      </c>
      <c r="L776" s="2">
        <v>54216</v>
      </c>
      <c r="M776" t="str">
        <f>IFERROR(IF(VLOOKUP(LEFT(B776,2),'Humanitarian codes'!$A$2:$A$10,1,FALSE)=LEFT(B776,2),"Yes","Error"),"No")</f>
        <v>No</v>
      </c>
    </row>
    <row r="777" spans="1:13" hidden="1" x14ac:dyDescent="0.25">
      <c r="A777" t="s">
        <v>2783</v>
      </c>
      <c r="B777" t="s">
        <v>1186</v>
      </c>
      <c r="C777" t="s">
        <v>2754</v>
      </c>
      <c r="D777" t="s">
        <v>30</v>
      </c>
      <c r="E777" t="s">
        <v>261</v>
      </c>
      <c r="F777" t="s">
        <v>2778</v>
      </c>
      <c r="G777">
        <v>4500320217</v>
      </c>
      <c r="H777" t="s">
        <v>2756</v>
      </c>
      <c r="I777" t="s">
        <v>2779</v>
      </c>
      <c r="J777" t="s">
        <v>261</v>
      </c>
      <c r="K777" s="2">
        <v>36150</v>
      </c>
      <c r="L777" s="2">
        <v>36150</v>
      </c>
      <c r="M777" t="str">
        <f>IFERROR(IF(VLOOKUP(LEFT(B777,2),'Humanitarian codes'!$A$2:$A$10,1,FALSE)=LEFT(B777,2),"Yes","Error"),"No")</f>
        <v>No</v>
      </c>
    </row>
    <row r="778" spans="1:13" hidden="1" x14ac:dyDescent="0.25">
      <c r="A778" t="s">
        <v>2783</v>
      </c>
      <c r="B778" t="s">
        <v>1186</v>
      </c>
      <c r="C778" t="s">
        <v>2754</v>
      </c>
      <c r="D778" t="s">
        <v>30</v>
      </c>
      <c r="E778" t="s">
        <v>261</v>
      </c>
      <c r="F778" t="s">
        <v>2780</v>
      </c>
      <c r="G778">
        <v>4500320232</v>
      </c>
      <c r="H778" t="s">
        <v>2756</v>
      </c>
      <c r="I778" t="s">
        <v>2781</v>
      </c>
      <c r="J778" t="s">
        <v>261</v>
      </c>
      <c r="K778" s="2">
        <v>67781</v>
      </c>
      <c r="L778" s="2">
        <v>67781</v>
      </c>
      <c r="M778" t="str">
        <f>IFERROR(IF(VLOOKUP(LEFT(B778,2),'Humanitarian codes'!$A$2:$A$10,1,FALSE)=LEFT(B778,2),"Yes","Error"),"No")</f>
        <v>No</v>
      </c>
    </row>
    <row r="779" spans="1:13" hidden="1" x14ac:dyDescent="0.25">
      <c r="A779" t="s">
        <v>2783</v>
      </c>
      <c r="B779" t="s">
        <v>2128</v>
      </c>
      <c r="C779" t="s">
        <v>2782</v>
      </c>
      <c r="D779" t="s">
        <v>543</v>
      </c>
      <c r="E779" t="s">
        <v>2130</v>
      </c>
      <c r="F779" t="s">
        <v>2179</v>
      </c>
      <c r="G779">
        <v>4500311755</v>
      </c>
      <c r="H779" t="s">
        <v>2756</v>
      </c>
      <c r="I779" t="s">
        <v>2131</v>
      </c>
      <c r="J779" t="s">
        <v>2130</v>
      </c>
      <c r="K779" s="2">
        <v>870101</v>
      </c>
      <c r="L779" s="2">
        <v>870101</v>
      </c>
      <c r="M779" t="str">
        <f>IFERROR(IF(VLOOKUP(LEFT(B779,2),'Humanitarian codes'!$A$2:$A$10,1,FALSE)=LEFT(B779,2),"Yes","Error"),"No")</f>
        <v>No</v>
      </c>
    </row>
    <row r="780" spans="1:13" x14ac:dyDescent="0.25">
      <c r="A780" t="s">
        <v>2783</v>
      </c>
      <c r="B780" t="s">
        <v>2786</v>
      </c>
      <c r="C780" t="s">
        <v>2787</v>
      </c>
      <c r="D780" t="s">
        <v>30</v>
      </c>
      <c r="E780" t="s">
        <v>320</v>
      </c>
      <c r="F780" t="s">
        <v>2788</v>
      </c>
      <c r="G780">
        <v>4500316490</v>
      </c>
      <c r="H780" t="s">
        <v>2789</v>
      </c>
      <c r="I780" t="s">
        <v>851</v>
      </c>
      <c r="J780" t="s">
        <v>320</v>
      </c>
      <c r="K780" s="2">
        <v>1660</v>
      </c>
      <c r="L780" s="2">
        <v>1660</v>
      </c>
      <c r="M780" t="str">
        <f>IFERROR(IF(VLOOKUP(LEFT(B780,2),'Humanitarian codes'!$A$2:$A$10,1,FALSE)=LEFT(B780,2),"Yes","Error"),"No")</f>
        <v>Yes</v>
      </c>
    </row>
    <row r="781" spans="1:13" x14ac:dyDescent="0.25">
      <c r="A781" t="s">
        <v>2783</v>
      </c>
      <c r="B781" t="s">
        <v>2786</v>
      </c>
      <c r="C781" t="s">
        <v>2787</v>
      </c>
      <c r="D781" t="s">
        <v>30</v>
      </c>
      <c r="E781" t="s">
        <v>320</v>
      </c>
      <c r="F781" t="s">
        <v>2790</v>
      </c>
      <c r="G781">
        <v>4500316498</v>
      </c>
      <c r="H781" t="s">
        <v>2789</v>
      </c>
      <c r="I781" t="s">
        <v>2432</v>
      </c>
      <c r="J781" t="s">
        <v>320</v>
      </c>
      <c r="K781" s="2">
        <v>2950</v>
      </c>
      <c r="L781" s="2">
        <v>2950</v>
      </c>
      <c r="M781" t="str">
        <f>IFERROR(IF(VLOOKUP(LEFT(B781,2),'Humanitarian codes'!$A$2:$A$10,1,FALSE)=LEFT(B781,2),"Yes","Error"),"No")</f>
        <v>Yes</v>
      </c>
    </row>
    <row r="782" spans="1:13" x14ac:dyDescent="0.25">
      <c r="A782" t="s">
        <v>2783</v>
      </c>
      <c r="B782" t="s">
        <v>2791</v>
      </c>
      <c r="C782" t="s">
        <v>2792</v>
      </c>
      <c r="D782" t="s">
        <v>30</v>
      </c>
      <c r="E782" t="s">
        <v>717</v>
      </c>
      <c r="F782" t="s">
        <v>2793</v>
      </c>
      <c r="G782">
        <v>4500302966</v>
      </c>
      <c r="H782" t="s">
        <v>2789</v>
      </c>
      <c r="I782" t="s">
        <v>1907</v>
      </c>
      <c r="J782" t="s">
        <v>717</v>
      </c>
      <c r="K782" s="2">
        <v>35000</v>
      </c>
      <c r="L782" s="2">
        <v>35000</v>
      </c>
      <c r="M782" t="str">
        <f>IFERROR(IF(VLOOKUP(LEFT(B782,2),'Humanitarian codes'!$A$2:$A$10,1,FALSE)=LEFT(B782,2),"Yes","Error"),"No")</f>
        <v>Yes</v>
      </c>
    </row>
    <row r="783" spans="1:13" x14ac:dyDescent="0.25">
      <c r="A783" t="s">
        <v>2783</v>
      </c>
      <c r="B783" t="s">
        <v>2791</v>
      </c>
      <c r="C783" t="s">
        <v>2792</v>
      </c>
      <c r="D783" t="s">
        <v>30</v>
      </c>
      <c r="E783" t="s">
        <v>717</v>
      </c>
      <c r="F783" t="s">
        <v>2794</v>
      </c>
      <c r="G783">
        <v>4500302969</v>
      </c>
      <c r="H783" t="s">
        <v>2789</v>
      </c>
      <c r="I783" t="s">
        <v>1912</v>
      </c>
      <c r="J783" t="s">
        <v>717</v>
      </c>
      <c r="K783" s="2">
        <v>55000</v>
      </c>
      <c r="L783" s="2">
        <v>55000</v>
      </c>
      <c r="M783" t="str">
        <f>IFERROR(IF(VLOOKUP(LEFT(B783,2),'Humanitarian codes'!$A$2:$A$10,1,FALSE)=LEFT(B783,2),"Yes","Error"),"No")</f>
        <v>Yes</v>
      </c>
    </row>
    <row r="784" spans="1:13" x14ac:dyDescent="0.25">
      <c r="A784" t="s">
        <v>2783</v>
      </c>
      <c r="B784" t="s">
        <v>2791</v>
      </c>
      <c r="C784" t="s">
        <v>2792</v>
      </c>
      <c r="D784" t="s">
        <v>30</v>
      </c>
      <c r="E784" t="s">
        <v>717</v>
      </c>
      <c r="F784" t="s">
        <v>2795</v>
      </c>
      <c r="G784">
        <v>4500302976</v>
      </c>
      <c r="H784" t="s">
        <v>2789</v>
      </c>
      <c r="I784" t="s">
        <v>2796</v>
      </c>
      <c r="J784" t="s">
        <v>717</v>
      </c>
      <c r="K784" s="2">
        <v>40000</v>
      </c>
      <c r="L784" s="2">
        <v>40000</v>
      </c>
      <c r="M784" t="str">
        <f>IFERROR(IF(VLOOKUP(LEFT(B784,2),'Humanitarian codes'!$A$2:$A$10,1,FALSE)=LEFT(B784,2),"Yes","Error"),"No")</f>
        <v>Yes</v>
      </c>
    </row>
    <row r="785" spans="1:13" hidden="1" x14ac:dyDescent="0.25">
      <c r="A785" t="s">
        <v>2783</v>
      </c>
      <c r="B785" t="s">
        <v>2797</v>
      </c>
      <c r="C785" t="s">
        <v>2798</v>
      </c>
      <c r="D785" t="s">
        <v>9</v>
      </c>
      <c r="E785" t="s">
        <v>1166</v>
      </c>
      <c r="F785" t="s">
        <v>2799</v>
      </c>
      <c r="G785">
        <v>4500314823</v>
      </c>
      <c r="H785" t="s">
        <v>2789</v>
      </c>
      <c r="I785" t="s">
        <v>2800</v>
      </c>
      <c r="J785" t="s">
        <v>1166</v>
      </c>
      <c r="K785" s="2">
        <v>10546</v>
      </c>
      <c r="L785" s="2">
        <v>10546</v>
      </c>
      <c r="M785" t="str">
        <f>IFERROR(IF(VLOOKUP(LEFT(B785,2),'Humanitarian codes'!$A$2:$A$10,1,FALSE)=LEFT(B785,2),"Yes","Error"),"No")</f>
        <v>No</v>
      </c>
    </row>
    <row r="786" spans="1:13" hidden="1" x14ac:dyDescent="0.25">
      <c r="A786" t="s">
        <v>2783</v>
      </c>
      <c r="B786" t="s">
        <v>1178</v>
      </c>
      <c r="C786" t="s">
        <v>2801</v>
      </c>
      <c r="D786" t="s">
        <v>9</v>
      </c>
      <c r="E786" t="s">
        <v>54</v>
      </c>
      <c r="F786" t="s">
        <v>2802</v>
      </c>
      <c r="G786">
        <v>4500303387</v>
      </c>
      <c r="H786" t="s">
        <v>2789</v>
      </c>
      <c r="I786" t="s">
        <v>2803</v>
      </c>
      <c r="J786" t="s">
        <v>54</v>
      </c>
      <c r="K786" s="2">
        <v>5865</v>
      </c>
      <c r="L786" s="2">
        <v>5865</v>
      </c>
      <c r="M786" t="str">
        <f>IFERROR(IF(VLOOKUP(LEFT(B786,2),'Humanitarian codes'!$A$2:$A$10,1,FALSE)=LEFT(B786,2),"Yes","Error"),"No")</f>
        <v>No</v>
      </c>
    </row>
    <row r="787" spans="1:13" hidden="1" x14ac:dyDescent="0.25">
      <c r="A787" t="s">
        <v>2783</v>
      </c>
      <c r="B787" t="s">
        <v>1178</v>
      </c>
      <c r="C787" t="s">
        <v>2801</v>
      </c>
      <c r="D787" t="s">
        <v>9</v>
      </c>
      <c r="E787" t="s">
        <v>54</v>
      </c>
      <c r="F787" t="s">
        <v>2804</v>
      </c>
      <c r="G787">
        <v>4500321895</v>
      </c>
      <c r="H787" t="s">
        <v>2789</v>
      </c>
      <c r="I787" t="s">
        <v>1180</v>
      </c>
      <c r="J787" t="s">
        <v>54</v>
      </c>
      <c r="K787" s="2">
        <v>157655</v>
      </c>
      <c r="L787" s="2">
        <v>157655</v>
      </c>
      <c r="M787" t="str">
        <f>IFERROR(IF(VLOOKUP(LEFT(B787,2),'Humanitarian codes'!$A$2:$A$10,1,FALSE)=LEFT(B787,2),"Yes","Error"),"No")</f>
        <v>No</v>
      </c>
    </row>
    <row r="788" spans="1:13" hidden="1" x14ac:dyDescent="0.25">
      <c r="A788" t="s">
        <v>2783</v>
      </c>
      <c r="B788" t="s">
        <v>1182</v>
      </c>
      <c r="C788" t="s">
        <v>2805</v>
      </c>
      <c r="D788" t="s">
        <v>30</v>
      </c>
      <c r="E788" t="s">
        <v>1016</v>
      </c>
      <c r="F788" t="s">
        <v>2806</v>
      </c>
      <c r="G788">
        <v>4500317296</v>
      </c>
      <c r="H788" t="s">
        <v>2789</v>
      </c>
      <c r="I788" t="s">
        <v>2807</v>
      </c>
      <c r="J788" t="s">
        <v>1016</v>
      </c>
      <c r="K788" s="2">
        <v>20944</v>
      </c>
      <c r="L788" s="2">
        <v>20944</v>
      </c>
      <c r="M788" t="str">
        <f>IFERROR(IF(VLOOKUP(LEFT(B788,2),'Humanitarian codes'!$A$2:$A$10,1,FALSE)=LEFT(B788,2),"Yes","Error"),"No")</f>
        <v>No</v>
      </c>
    </row>
    <row r="789" spans="1:13" hidden="1" x14ac:dyDescent="0.25">
      <c r="A789" t="s">
        <v>2783</v>
      </c>
      <c r="B789" t="s">
        <v>1186</v>
      </c>
      <c r="C789" t="s">
        <v>2754</v>
      </c>
      <c r="D789" t="s">
        <v>30</v>
      </c>
      <c r="E789" t="s">
        <v>261</v>
      </c>
      <c r="F789" t="s">
        <v>2808</v>
      </c>
      <c r="G789">
        <v>4500306453</v>
      </c>
      <c r="H789" t="s">
        <v>2789</v>
      </c>
      <c r="I789" t="s">
        <v>2809</v>
      </c>
      <c r="J789" t="s">
        <v>261</v>
      </c>
      <c r="K789" s="2">
        <v>52371</v>
      </c>
      <c r="L789" s="2">
        <v>52371</v>
      </c>
      <c r="M789" t="str">
        <f>IFERROR(IF(VLOOKUP(LEFT(B789,2),'Humanitarian codes'!$A$2:$A$10,1,FALSE)=LEFT(B789,2),"Yes","Error"),"No")</f>
        <v>No</v>
      </c>
    </row>
    <row r="790" spans="1:13" hidden="1" x14ac:dyDescent="0.25">
      <c r="A790" t="s">
        <v>2783</v>
      </c>
      <c r="B790" t="s">
        <v>1186</v>
      </c>
      <c r="C790" t="s">
        <v>2754</v>
      </c>
      <c r="D790" t="s">
        <v>30</v>
      </c>
      <c r="E790" t="s">
        <v>261</v>
      </c>
      <c r="F790" t="s">
        <v>2200</v>
      </c>
      <c r="G790">
        <v>4500323087</v>
      </c>
      <c r="H790" t="s">
        <v>2789</v>
      </c>
      <c r="I790" t="s">
        <v>1188</v>
      </c>
      <c r="J790" t="s">
        <v>261</v>
      </c>
      <c r="K790" s="2">
        <v>44285</v>
      </c>
      <c r="L790" s="2">
        <v>44285</v>
      </c>
      <c r="M790" t="str">
        <f>IFERROR(IF(VLOOKUP(LEFT(B790,2),'Humanitarian codes'!$A$2:$A$10,1,FALSE)=LEFT(B790,2),"Yes","Error"),"No")</f>
        <v>No</v>
      </c>
    </row>
    <row r="791" spans="1:13" hidden="1" x14ac:dyDescent="0.25">
      <c r="A791" t="s">
        <v>2783</v>
      </c>
      <c r="B791" t="s">
        <v>762</v>
      </c>
      <c r="C791" t="s">
        <v>2810</v>
      </c>
      <c r="D791" t="s">
        <v>30</v>
      </c>
      <c r="E791" t="s">
        <v>663</v>
      </c>
      <c r="F791" t="s">
        <v>2811</v>
      </c>
      <c r="G791">
        <v>4500307699</v>
      </c>
      <c r="H791" t="s">
        <v>2789</v>
      </c>
      <c r="I791" t="s">
        <v>2812</v>
      </c>
      <c r="J791" t="s">
        <v>663</v>
      </c>
      <c r="K791" s="2">
        <v>138807</v>
      </c>
      <c r="L791" s="2">
        <v>138807</v>
      </c>
      <c r="M791" t="str">
        <f>IFERROR(IF(VLOOKUP(LEFT(B791,2),'Humanitarian codes'!$A$2:$A$10,1,FALSE)=LEFT(B791,2),"Yes","Error"),"No")</f>
        <v>No</v>
      </c>
    </row>
    <row r="792" spans="1:13" hidden="1" x14ac:dyDescent="0.25">
      <c r="A792" t="s">
        <v>2783</v>
      </c>
      <c r="B792" t="s">
        <v>2813</v>
      </c>
      <c r="C792" t="s">
        <v>2814</v>
      </c>
      <c r="D792" t="s">
        <v>30</v>
      </c>
      <c r="E792" t="s">
        <v>123</v>
      </c>
      <c r="F792" t="s">
        <v>2815</v>
      </c>
      <c r="G792">
        <v>4500314041</v>
      </c>
      <c r="H792" t="s">
        <v>2789</v>
      </c>
      <c r="I792" t="s">
        <v>2816</v>
      </c>
      <c r="J792" t="s">
        <v>123</v>
      </c>
      <c r="K792" s="2">
        <v>106900</v>
      </c>
      <c r="L792" s="2">
        <v>106900</v>
      </c>
      <c r="M792" t="str">
        <f>IFERROR(IF(VLOOKUP(LEFT(B792,2),'Humanitarian codes'!$A$2:$A$10,1,FALSE)=LEFT(B792,2),"Yes","Error"),"No")</f>
        <v>No</v>
      </c>
    </row>
    <row r="793" spans="1:13" hidden="1" x14ac:dyDescent="0.25">
      <c r="A793" t="s">
        <v>2783</v>
      </c>
      <c r="B793" t="s">
        <v>2817</v>
      </c>
      <c r="C793" t="s">
        <v>2818</v>
      </c>
      <c r="D793" t="s">
        <v>30</v>
      </c>
      <c r="E793" t="s">
        <v>132</v>
      </c>
      <c r="F793" t="s">
        <v>2819</v>
      </c>
      <c r="G793">
        <v>4500308956</v>
      </c>
      <c r="H793" t="s">
        <v>2789</v>
      </c>
      <c r="I793" t="s">
        <v>2820</v>
      </c>
      <c r="J793" t="s">
        <v>132</v>
      </c>
      <c r="K793" s="2">
        <v>63065</v>
      </c>
      <c r="L793" s="2">
        <v>63065</v>
      </c>
      <c r="M793" t="str">
        <f>IFERROR(IF(VLOOKUP(LEFT(B793,2),'Humanitarian codes'!$A$2:$A$10,1,FALSE)=LEFT(B793,2),"Yes","Error"),"No")</f>
        <v>No</v>
      </c>
    </row>
    <row r="794" spans="1:13" hidden="1" x14ac:dyDescent="0.25">
      <c r="A794" t="s">
        <v>2783</v>
      </c>
      <c r="B794" t="s">
        <v>1215</v>
      </c>
      <c r="C794" t="s">
        <v>2821</v>
      </c>
      <c r="D794" t="s">
        <v>30</v>
      </c>
      <c r="E794" t="s">
        <v>128</v>
      </c>
      <c r="F794" t="s">
        <v>2822</v>
      </c>
      <c r="G794">
        <v>4500304945</v>
      </c>
      <c r="H794" t="s">
        <v>2789</v>
      </c>
      <c r="I794" t="s">
        <v>2823</v>
      </c>
      <c r="J794" t="s">
        <v>581</v>
      </c>
      <c r="K794" s="2">
        <v>55000</v>
      </c>
      <c r="L794" s="2">
        <v>71905</v>
      </c>
      <c r="M794" t="str">
        <f>IFERROR(IF(VLOOKUP(LEFT(B794,2),'Humanitarian codes'!$A$2:$A$10,1,FALSE)=LEFT(B794,2),"Yes","Error"),"No")</f>
        <v>No</v>
      </c>
    </row>
    <row r="795" spans="1:13" hidden="1" x14ac:dyDescent="0.25">
      <c r="A795" t="s">
        <v>2783</v>
      </c>
      <c r="B795" t="s">
        <v>2254</v>
      </c>
      <c r="C795" t="s">
        <v>2824</v>
      </c>
      <c r="D795" t="s">
        <v>30</v>
      </c>
      <c r="E795" t="s">
        <v>128</v>
      </c>
      <c r="F795" t="s">
        <v>2200</v>
      </c>
      <c r="G795">
        <v>4500324504</v>
      </c>
      <c r="H795" t="s">
        <v>2789</v>
      </c>
      <c r="I795" t="s">
        <v>2825</v>
      </c>
      <c r="J795" t="s">
        <v>128</v>
      </c>
      <c r="K795" s="2">
        <v>60000</v>
      </c>
      <c r="L795" s="2">
        <v>60000</v>
      </c>
      <c r="M795" t="str">
        <f>IFERROR(IF(VLOOKUP(LEFT(B795,2),'Humanitarian codes'!$A$2:$A$10,1,FALSE)=LEFT(B795,2),"Yes","Error"),"No")</f>
        <v>No</v>
      </c>
    </row>
    <row r="796" spans="1:13" hidden="1" x14ac:dyDescent="0.25">
      <c r="A796" t="s">
        <v>2783</v>
      </c>
      <c r="B796" t="s">
        <v>2254</v>
      </c>
      <c r="C796" t="s">
        <v>2824</v>
      </c>
      <c r="D796" t="s">
        <v>30</v>
      </c>
      <c r="E796" t="s">
        <v>128</v>
      </c>
      <c r="F796" t="s">
        <v>2826</v>
      </c>
      <c r="G796">
        <v>4500324506</v>
      </c>
      <c r="H796" t="s">
        <v>2789</v>
      </c>
      <c r="I796" t="s">
        <v>2827</v>
      </c>
      <c r="J796" t="s">
        <v>128</v>
      </c>
      <c r="K796" s="2">
        <v>60000</v>
      </c>
      <c r="L796" s="2">
        <v>60000</v>
      </c>
      <c r="M796" t="str">
        <f>IFERROR(IF(VLOOKUP(LEFT(B796,2),'Humanitarian codes'!$A$2:$A$10,1,FALSE)=LEFT(B796,2),"Yes","Error"),"No")</f>
        <v>No</v>
      </c>
    </row>
    <row r="797" spans="1:13" hidden="1" x14ac:dyDescent="0.25">
      <c r="A797" t="s">
        <v>2783</v>
      </c>
      <c r="B797" t="s">
        <v>769</v>
      </c>
      <c r="C797" t="s">
        <v>2828</v>
      </c>
      <c r="D797" t="s">
        <v>30</v>
      </c>
      <c r="E797" t="s">
        <v>356</v>
      </c>
      <c r="F797" t="s">
        <v>2829</v>
      </c>
      <c r="G797">
        <v>4500305464</v>
      </c>
      <c r="H797" t="s">
        <v>2789</v>
      </c>
      <c r="I797" t="s">
        <v>771</v>
      </c>
      <c r="J797" t="s">
        <v>184</v>
      </c>
      <c r="K797" s="2">
        <v>3646457</v>
      </c>
      <c r="L797" s="2">
        <v>3646457</v>
      </c>
      <c r="M797" t="str">
        <f>IFERROR(IF(VLOOKUP(LEFT(B797,2),'Humanitarian codes'!$A$2:$A$10,1,FALSE)=LEFT(B797,2),"Yes","Error"),"No")</f>
        <v>No</v>
      </c>
    </row>
    <row r="798" spans="1:13" hidden="1" x14ac:dyDescent="0.25">
      <c r="A798" t="s">
        <v>2783</v>
      </c>
      <c r="B798" t="s">
        <v>769</v>
      </c>
      <c r="C798" t="s">
        <v>2828</v>
      </c>
      <c r="D798" t="s">
        <v>30</v>
      </c>
      <c r="E798" t="s">
        <v>356</v>
      </c>
      <c r="F798" t="s">
        <v>2830</v>
      </c>
      <c r="G798">
        <v>4500305475</v>
      </c>
      <c r="H798" t="s">
        <v>2789</v>
      </c>
      <c r="I798" t="s">
        <v>2831</v>
      </c>
      <c r="J798" t="s">
        <v>356</v>
      </c>
      <c r="K798" s="2">
        <v>1340515</v>
      </c>
      <c r="L798" s="2">
        <v>1340515</v>
      </c>
      <c r="M798" t="str">
        <f>IFERROR(IF(VLOOKUP(LEFT(B798,2),'Humanitarian codes'!$A$2:$A$10,1,FALSE)=LEFT(B798,2),"Yes","Error"),"No")</f>
        <v>No</v>
      </c>
    </row>
    <row r="799" spans="1:13" hidden="1" x14ac:dyDescent="0.25">
      <c r="A799" t="s">
        <v>2783</v>
      </c>
      <c r="B799" t="s">
        <v>1224</v>
      </c>
      <c r="C799" t="s">
        <v>2832</v>
      </c>
      <c r="D799" t="s">
        <v>30</v>
      </c>
      <c r="E799" t="s">
        <v>128</v>
      </c>
      <c r="F799" t="s">
        <v>2822</v>
      </c>
      <c r="G799">
        <v>4500304945</v>
      </c>
      <c r="H799" t="s">
        <v>2789</v>
      </c>
      <c r="I799" t="s">
        <v>2823</v>
      </c>
      <c r="J799" t="s">
        <v>581</v>
      </c>
      <c r="K799" s="2">
        <v>16905</v>
      </c>
      <c r="L799" s="2">
        <v>71905</v>
      </c>
      <c r="M799" t="str">
        <f>IFERROR(IF(VLOOKUP(LEFT(B799,2),'Humanitarian codes'!$A$2:$A$10,1,FALSE)=LEFT(B799,2),"Yes","Error"),"No")</f>
        <v>No</v>
      </c>
    </row>
    <row r="800" spans="1:13" hidden="1" x14ac:dyDescent="0.25">
      <c r="A800" t="s">
        <v>2783</v>
      </c>
      <c r="B800" t="s">
        <v>2294</v>
      </c>
      <c r="C800" t="s">
        <v>2833</v>
      </c>
      <c r="D800" t="s">
        <v>543</v>
      </c>
      <c r="E800" t="s">
        <v>163</v>
      </c>
      <c r="F800" t="s">
        <v>2834</v>
      </c>
      <c r="G800">
        <v>4500310259</v>
      </c>
      <c r="H800" t="s">
        <v>2789</v>
      </c>
      <c r="I800" t="s">
        <v>836</v>
      </c>
      <c r="J800" t="s">
        <v>163</v>
      </c>
      <c r="K800" s="2">
        <v>63930</v>
      </c>
      <c r="L800" s="2">
        <v>63930</v>
      </c>
      <c r="M800" t="str">
        <f>IFERROR(IF(VLOOKUP(LEFT(B800,2),'Humanitarian codes'!$A$2:$A$10,1,FALSE)=LEFT(B800,2),"Yes","Error"),"No")</f>
        <v>No</v>
      </c>
    </row>
    <row r="801" spans="1:13" x14ac:dyDescent="0.25">
      <c r="A801" t="s">
        <v>2783</v>
      </c>
      <c r="B801" t="s">
        <v>2835</v>
      </c>
      <c r="C801" t="s">
        <v>2836</v>
      </c>
      <c r="D801" t="s">
        <v>30</v>
      </c>
      <c r="E801" t="s">
        <v>54</v>
      </c>
      <c r="F801" t="s">
        <v>2837</v>
      </c>
      <c r="G801">
        <v>4500302850</v>
      </c>
      <c r="H801" t="s">
        <v>2789</v>
      </c>
      <c r="I801" t="s">
        <v>2012</v>
      </c>
      <c r="J801" t="s">
        <v>54</v>
      </c>
      <c r="K801" s="2">
        <v>565536</v>
      </c>
      <c r="L801" s="2">
        <v>1098127</v>
      </c>
      <c r="M801" t="str">
        <f>IFERROR(IF(VLOOKUP(LEFT(B801,2),'Humanitarian codes'!$A$2:$A$10,1,FALSE)=LEFT(B801,2),"Yes","Error"),"No")</f>
        <v>Yes</v>
      </c>
    </row>
    <row r="802" spans="1:13" x14ac:dyDescent="0.25">
      <c r="A802" t="s">
        <v>2783</v>
      </c>
      <c r="B802" t="s">
        <v>1238</v>
      </c>
      <c r="C802" t="s">
        <v>2838</v>
      </c>
      <c r="D802" t="s">
        <v>30</v>
      </c>
      <c r="E802" t="s">
        <v>561</v>
      </c>
      <c r="F802" t="s">
        <v>2839</v>
      </c>
      <c r="G802">
        <v>4500324682</v>
      </c>
      <c r="H802" t="s">
        <v>2789</v>
      </c>
      <c r="I802" t="s">
        <v>2840</v>
      </c>
      <c r="J802" t="s">
        <v>561</v>
      </c>
      <c r="K802" s="2">
        <v>8640</v>
      </c>
      <c r="L802" s="2">
        <v>8640</v>
      </c>
      <c r="M802" t="str">
        <f>IFERROR(IF(VLOOKUP(LEFT(B802,2),'Humanitarian codes'!$A$2:$A$10,1,FALSE)=LEFT(B802,2),"Yes","Error"),"No")</f>
        <v>Yes</v>
      </c>
    </row>
    <row r="803" spans="1:13" x14ac:dyDescent="0.25">
      <c r="A803" t="s">
        <v>2783</v>
      </c>
      <c r="B803" t="s">
        <v>1238</v>
      </c>
      <c r="C803" t="s">
        <v>2838</v>
      </c>
      <c r="D803" t="s">
        <v>30</v>
      </c>
      <c r="E803" t="s">
        <v>561</v>
      </c>
      <c r="F803" t="s">
        <v>2841</v>
      </c>
      <c r="G803">
        <v>4500325530</v>
      </c>
      <c r="H803" t="s">
        <v>2789</v>
      </c>
      <c r="I803" t="s">
        <v>1683</v>
      </c>
      <c r="J803" t="s">
        <v>561</v>
      </c>
      <c r="K803" s="2">
        <v>809659</v>
      </c>
      <c r="L803" s="2">
        <v>809659</v>
      </c>
      <c r="M803" t="str">
        <f>IFERROR(IF(VLOOKUP(LEFT(B803,2),'Humanitarian codes'!$A$2:$A$10,1,FALSE)=LEFT(B803,2),"Yes","Error"),"No")</f>
        <v>Yes</v>
      </c>
    </row>
    <row r="804" spans="1:13" x14ac:dyDescent="0.25">
      <c r="A804" t="s">
        <v>2783</v>
      </c>
      <c r="B804" t="s">
        <v>2842</v>
      </c>
      <c r="C804" t="s">
        <v>2843</v>
      </c>
      <c r="D804" t="s">
        <v>30</v>
      </c>
      <c r="E804" t="s">
        <v>54</v>
      </c>
      <c r="F804" t="s">
        <v>2844</v>
      </c>
      <c r="G804">
        <v>4500323316</v>
      </c>
      <c r="H804" t="s">
        <v>2789</v>
      </c>
      <c r="I804" t="s">
        <v>2845</v>
      </c>
      <c r="J804" t="s">
        <v>54</v>
      </c>
      <c r="K804" s="2">
        <v>101351</v>
      </c>
      <c r="L804" s="2">
        <v>101351</v>
      </c>
      <c r="M804" t="str">
        <f>IFERROR(IF(VLOOKUP(LEFT(B804,2),'Humanitarian codes'!$A$2:$A$10,1,FALSE)=LEFT(B804,2),"Yes","Error"),"No")</f>
        <v>Yes</v>
      </c>
    </row>
    <row r="805" spans="1:13" x14ac:dyDescent="0.25">
      <c r="A805" t="s">
        <v>2783</v>
      </c>
      <c r="B805" t="s">
        <v>66</v>
      </c>
      <c r="C805" t="s">
        <v>2846</v>
      </c>
      <c r="D805" t="s">
        <v>30</v>
      </c>
      <c r="E805" t="s">
        <v>1166</v>
      </c>
      <c r="F805" t="s">
        <v>2847</v>
      </c>
      <c r="G805">
        <v>4500309540</v>
      </c>
      <c r="H805" t="s">
        <v>2789</v>
      </c>
      <c r="I805" t="s">
        <v>2848</v>
      </c>
      <c r="J805" t="s">
        <v>1166</v>
      </c>
      <c r="K805" s="2">
        <v>2878756</v>
      </c>
      <c r="L805" s="2">
        <v>2878756</v>
      </c>
      <c r="M805" t="str">
        <f>IFERROR(IF(VLOOKUP(LEFT(B805,2),'Humanitarian codes'!$A$2:$A$10,1,FALSE)=LEFT(B805,2),"Yes","Error"),"No")</f>
        <v>Yes</v>
      </c>
    </row>
    <row r="806" spans="1:13" x14ac:dyDescent="0.25">
      <c r="A806" t="s">
        <v>2783</v>
      </c>
      <c r="B806" t="s">
        <v>1946</v>
      </c>
      <c r="C806" t="s">
        <v>2849</v>
      </c>
      <c r="D806" t="s">
        <v>30</v>
      </c>
      <c r="E806" t="s">
        <v>83</v>
      </c>
      <c r="F806" t="s">
        <v>2850</v>
      </c>
      <c r="G806">
        <v>4500305365</v>
      </c>
      <c r="H806" t="s">
        <v>2789</v>
      </c>
      <c r="I806" t="s">
        <v>2851</v>
      </c>
      <c r="J806" t="s">
        <v>83</v>
      </c>
      <c r="K806" s="2">
        <v>168955</v>
      </c>
      <c r="L806" s="2">
        <v>168955</v>
      </c>
      <c r="M806" t="str">
        <f>IFERROR(IF(VLOOKUP(LEFT(B806,2),'Humanitarian codes'!$A$2:$A$10,1,FALSE)=LEFT(B806,2),"Yes","Error"),"No")</f>
        <v>Yes</v>
      </c>
    </row>
    <row r="807" spans="1:13" x14ac:dyDescent="0.25">
      <c r="A807" t="s">
        <v>2783</v>
      </c>
      <c r="B807" t="s">
        <v>2308</v>
      </c>
      <c r="C807" t="s">
        <v>2852</v>
      </c>
      <c r="D807" t="s">
        <v>30</v>
      </c>
      <c r="E807" t="s">
        <v>253</v>
      </c>
      <c r="F807" t="s">
        <v>2853</v>
      </c>
      <c r="G807">
        <v>4500306617</v>
      </c>
      <c r="H807" t="s">
        <v>2789</v>
      </c>
      <c r="I807" t="s">
        <v>1362</v>
      </c>
      <c r="J807" t="s">
        <v>253</v>
      </c>
      <c r="K807" s="2">
        <v>24145</v>
      </c>
      <c r="L807" s="2">
        <v>24145</v>
      </c>
      <c r="M807" t="str">
        <f>IFERROR(IF(VLOOKUP(LEFT(B807,2),'Humanitarian codes'!$A$2:$A$10,1,FALSE)=LEFT(B807,2),"Yes","Error"),"No")</f>
        <v>Yes</v>
      </c>
    </row>
    <row r="808" spans="1:13" x14ac:dyDescent="0.25">
      <c r="A808" t="s">
        <v>2783</v>
      </c>
      <c r="B808" t="s">
        <v>2311</v>
      </c>
      <c r="C808" t="s">
        <v>2854</v>
      </c>
      <c r="D808" t="s">
        <v>30</v>
      </c>
      <c r="E808" t="s">
        <v>175</v>
      </c>
      <c r="F808" t="s">
        <v>2855</v>
      </c>
      <c r="G808">
        <v>4500318348</v>
      </c>
      <c r="H808" t="s">
        <v>2789</v>
      </c>
      <c r="I808" t="s">
        <v>176</v>
      </c>
      <c r="J808" t="s">
        <v>175</v>
      </c>
      <c r="K808" s="2">
        <v>224839</v>
      </c>
      <c r="L808" s="2">
        <v>224839</v>
      </c>
      <c r="M808" t="str">
        <f>IFERROR(IF(VLOOKUP(LEFT(B808,2),'Humanitarian codes'!$A$2:$A$10,1,FALSE)=LEFT(B808,2),"Yes","Error"),"No")</f>
        <v>Yes</v>
      </c>
    </row>
    <row r="809" spans="1:13" x14ac:dyDescent="0.25">
      <c r="A809" t="s">
        <v>2783</v>
      </c>
      <c r="B809" t="s">
        <v>2856</v>
      </c>
      <c r="C809" t="s">
        <v>2857</v>
      </c>
      <c r="D809" t="s">
        <v>30</v>
      </c>
      <c r="E809" t="s">
        <v>717</v>
      </c>
      <c r="F809" t="s">
        <v>2858</v>
      </c>
      <c r="G809">
        <v>4500305860</v>
      </c>
      <c r="H809" t="s">
        <v>2789</v>
      </c>
      <c r="I809" t="s">
        <v>728</v>
      </c>
      <c r="J809" t="s">
        <v>717</v>
      </c>
      <c r="K809" s="2">
        <v>75970</v>
      </c>
      <c r="L809" s="2">
        <v>75970</v>
      </c>
      <c r="M809" t="str">
        <f>IFERROR(IF(VLOOKUP(LEFT(B809,2),'Humanitarian codes'!$A$2:$A$10,1,FALSE)=LEFT(B809,2),"Yes","Error"),"No")</f>
        <v>Yes</v>
      </c>
    </row>
    <row r="810" spans="1:13" x14ac:dyDescent="0.25">
      <c r="A810" t="s">
        <v>2783</v>
      </c>
      <c r="B810" t="s">
        <v>2859</v>
      </c>
      <c r="C810" t="s">
        <v>2860</v>
      </c>
      <c r="D810" t="s">
        <v>30</v>
      </c>
      <c r="E810" t="s">
        <v>175</v>
      </c>
      <c r="F810" t="s">
        <v>2200</v>
      </c>
      <c r="G810">
        <v>4500322138</v>
      </c>
      <c r="H810" t="s">
        <v>2789</v>
      </c>
      <c r="I810" t="s">
        <v>187</v>
      </c>
      <c r="J810" t="s">
        <v>175</v>
      </c>
      <c r="K810" s="2">
        <v>67032</v>
      </c>
      <c r="L810" s="2">
        <v>67032</v>
      </c>
      <c r="M810" t="str">
        <f>IFERROR(IF(VLOOKUP(LEFT(B810,2),'Humanitarian codes'!$A$2:$A$10,1,FALSE)=LEFT(B810,2),"Yes","Error"),"No")</f>
        <v>Yes</v>
      </c>
    </row>
    <row r="811" spans="1:13" x14ac:dyDescent="0.25">
      <c r="A811" t="s">
        <v>2783</v>
      </c>
      <c r="B811" t="s">
        <v>2861</v>
      </c>
      <c r="C811" t="s">
        <v>2862</v>
      </c>
      <c r="D811" t="s">
        <v>30</v>
      </c>
      <c r="E811" t="s">
        <v>132</v>
      </c>
      <c r="F811" t="s">
        <v>2863</v>
      </c>
      <c r="G811">
        <v>4500310912</v>
      </c>
      <c r="H811" t="s">
        <v>2789</v>
      </c>
      <c r="I811" t="s">
        <v>2864</v>
      </c>
      <c r="J811" t="s">
        <v>132</v>
      </c>
      <c r="K811" s="2">
        <v>219539</v>
      </c>
      <c r="L811" s="2">
        <v>219539</v>
      </c>
      <c r="M811" t="str">
        <f>IFERROR(IF(VLOOKUP(LEFT(B811,2),'Humanitarian codes'!$A$2:$A$10,1,FALSE)=LEFT(B811,2),"Yes","Error"),"No")</f>
        <v>Yes</v>
      </c>
    </row>
    <row r="812" spans="1:13" x14ac:dyDescent="0.25">
      <c r="A812" t="s">
        <v>2783</v>
      </c>
      <c r="B812" t="s">
        <v>2865</v>
      </c>
      <c r="C812" t="s">
        <v>2866</v>
      </c>
      <c r="D812" t="s">
        <v>30</v>
      </c>
      <c r="E812" t="s">
        <v>717</v>
      </c>
      <c r="F812" t="s">
        <v>2867</v>
      </c>
      <c r="G812">
        <v>4500306067</v>
      </c>
      <c r="H812" t="s">
        <v>2789</v>
      </c>
      <c r="I812" t="s">
        <v>2868</v>
      </c>
      <c r="J812" t="s">
        <v>717</v>
      </c>
      <c r="K812" s="2">
        <v>129497</v>
      </c>
      <c r="L812" s="2">
        <v>129497</v>
      </c>
      <c r="M812" t="str">
        <f>IFERROR(IF(VLOOKUP(LEFT(B812,2),'Humanitarian codes'!$A$2:$A$10,1,FALSE)=LEFT(B812,2),"Yes","Error"),"No")</f>
        <v>Yes</v>
      </c>
    </row>
    <row r="813" spans="1:13" x14ac:dyDescent="0.25">
      <c r="A813" t="s">
        <v>2783</v>
      </c>
      <c r="B813" t="s">
        <v>2869</v>
      </c>
      <c r="C813" t="s">
        <v>2870</v>
      </c>
      <c r="D813" t="s">
        <v>30</v>
      </c>
      <c r="E813" t="s">
        <v>1607</v>
      </c>
      <c r="F813" t="s">
        <v>2871</v>
      </c>
      <c r="G813">
        <v>4500307101</v>
      </c>
      <c r="H813" t="s">
        <v>2789</v>
      </c>
      <c r="I813" t="s">
        <v>2872</v>
      </c>
      <c r="J813" t="s">
        <v>1607</v>
      </c>
      <c r="K813" s="2">
        <v>26201</v>
      </c>
      <c r="L813" s="2">
        <v>26201</v>
      </c>
      <c r="M813" t="str">
        <f>IFERROR(IF(VLOOKUP(LEFT(B813,2),'Humanitarian codes'!$A$2:$A$10,1,FALSE)=LEFT(B813,2),"Yes","Error"),"No")</f>
        <v>Yes</v>
      </c>
    </row>
    <row r="814" spans="1:13" x14ac:dyDescent="0.25">
      <c r="A814" t="s">
        <v>2783</v>
      </c>
      <c r="B814" t="s">
        <v>1242</v>
      </c>
      <c r="C814" t="s">
        <v>2873</v>
      </c>
      <c r="D814" t="s">
        <v>30</v>
      </c>
      <c r="E814" t="s">
        <v>159</v>
      </c>
      <c r="F814" t="s">
        <v>2874</v>
      </c>
      <c r="G814">
        <v>4500306055</v>
      </c>
      <c r="H814" t="s">
        <v>2789</v>
      </c>
      <c r="I814" t="s">
        <v>2875</v>
      </c>
      <c r="J814" t="s">
        <v>159</v>
      </c>
      <c r="K814" s="2">
        <v>240347</v>
      </c>
      <c r="L814" s="2">
        <v>240347</v>
      </c>
      <c r="M814" t="str">
        <f>IFERROR(IF(VLOOKUP(LEFT(B814,2),'Humanitarian codes'!$A$2:$A$10,1,FALSE)=LEFT(B814,2),"Yes","Error"),"No")</f>
        <v>Yes</v>
      </c>
    </row>
    <row r="815" spans="1:13" x14ac:dyDescent="0.25">
      <c r="A815" t="s">
        <v>2783</v>
      </c>
      <c r="B815" t="s">
        <v>1246</v>
      </c>
      <c r="C815" t="s">
        <v>2876</v>
      </c>
      <c r="D815" t="s">
        <v>30</v>
      </c>
      <c r="E815" t="s">
        <v>54</v>
      </c>
      <c r="F815" t="s">
        <v>2877</v>
      </c>
      <c r="G815">
        <v>4500306243</v>
      </c>
      <c r="H815" t="s">
        <v>2789</v>
      </c>
      <c r="I815" t="s">
        <v>2878</v>
      </c>
      <c r="J815" t="s">
        <v>54</v>
      </c>
      <c r="K815" s="2">
        <v>237442</v>
      </c>
      <c r="L815" s="2">
        <v>237442</v>
      </c>
      <c r="M815" t="str">
        <f>IFERROR(IF(VLOOKUP(LEFT(B815,2),'Humanitarian codes'!$A$2:$A$10,1,FALSE)=LEFT(B815,2),"Yes","Error"),"No")</f>
        <v>Yes</v>
      </c>
    </row>
    <row r="816" spans="1:13" x14ac:dyDescent="0.25">
      <c r="A816" t="s">
        <v>2783</v>
      </c>
      <c r="B816" t="s">
        <v>1246</v>
      </c>
      <c r="C816" t="s">
        <v>2876</v>
      </c>
      <c r="D816" t="s">
        <v>30</v>
      </c>
      <c r="E816" t="s">
        <v>54</v>
      </c>
      <c r="F816" t="s">
        <v>2879</v>
      </c>
      <c r="G816">
        <v>4500306263</v>
      </c>
      <c r="H816" t="s">
        <v>2789</v>
      </c>
      <c r="I816" t="s">
        <v>55</v>
      </c>
      <c r="J816" t="s">
        <v>54</v>
      </c>
      <c r="K816" s="2">
        <v>465081</v>
      </c>
      <c r="L816" s="2">
        <v>465081</v>
      </c>
      <c r="M816" t="str">
        <f>IFERROR(IF(VLOOKUP(LEFT(B816,2),'Humanitarian codes'!$A$2:$A$10,1,FALSE)=LEFT(B816,2),"Yes","Error"),"No")</f>
        <v>Yes</v>
      </c>
    </row>
    <row r="817" spans="1:13" x14ac:dyDescent="0.25">
      <c r="A817" t="s">
        <v>2783</v>
      </c>
      <c r="B817" t="s">
        <v>1246</v>
      </c>
      <c r="C817" t="s">
        <v>2876</v>
      </c>
      <c r="D817" t="s">
        <v>30</v>
      </c>
      <c r="E817" t="s">
        <v>54</v>
      </c>
      <c r="F817" t="s">
        <v>2880</v>
      </c>
      <c r="G817">
        <v>4500306274</v>
      </c>
      <c r="H817" t="s">
        <v>2789</v>
      </c>
      <c r="I817" t="s">
        <v>1292</v>
      </c>
      <c r="J817" t="s">
        <v>54</v>
      </c>
      <c r="K817" s="2">
        <v>978154</v>
      </c>
      <c r="L817" s="2">
        <v>978154</v>
      </c>
      <c r="M817" t="str">
        <f>IFERROR(IF(VLOOKUP(LEFT(B817,2),'Humanitarian codes'!$A$2:$A$10,1,FALSE)=LEFT(B817,2),"Yes","Error"),"No")</f>
        <v>Yes</v>
      </c>
    </row>
    <row r="818" spans="1:13" x14ac:dyDescent="0.25">
      <c r="A818" t="s">
        <v>2783</v>
      </c>
      <c r="B818" t="s">
        <v>1246</v>
      </c>
      <c r="C818" t="s">
        <v>2876</v>
      </c>
      <c r="D818" t="s">
        <v>30</v>
      </c>
      <c r="E818" t="s">
        <v>54</v>
      </c>
      <c r="F818" t="s">
        <v>2881</v>
      </c>
      <c r="G818">
        <v>4500306291</v>
      </c>
      <c r="H818" t="s">
        <v>2789</v>
      </c>
      <c r="I818" t="s">
        <v>1955</v>
      </c>
      <c r="J818" t="s">
        <v>54</v>
      </c>
      <c r="K818" s="2">
        <v>306614</v>
      </c>
      <c r="L818" s="2">
        <v>306613</v>
      </c>
      <c r="M818" t="str">
        <f>IFERROR(IF(VLOOKUP(LEFT(B818,2),'Humanitarian codes'!$A$2:$A$10,1,FALSE)=LEFT(B818,2),"Yes","Error"),"No")</f>
        <v>Yes</v>
      </c>
    </row>
    <row r="819" spans="1:13" x14ac:dyDescent="0.25">
      <c r="A819" t="s">
        <v>2783</v>
      </c>
      <c r="B819" t="s">
        <v>74</v>
      </c>
      <c r="C819" t="s">
        <v>2882</v>
      </c>
      <c r="D819" t="s">
        <v>30</v>
      </c>
      <c r="E819" t="s">
        <v>289</v>
      </c>
      <c r="F819" t="s">
        <v>2200</v>
      </c>
      <c r="G819">
        <v>4500310722</v>
      </c>
      <c r="H819" t="s">
        <v>2789</v>
      </c>
      <c r="I819" t="s">
        <v>290</v>
      </c>
      <c r="J819" t="s">
        <v>289</v>
      </c>
      <c r="K819" s="2">
        <v>9807</v>
      </c>
      <c r="L819" s="2">
        <v>9807</v>
      </c>
      <c r="M819" t="str">
        <f>IFERROR(IF(VLOOKUP(LEFT(B819,2),'Humanitarian codes'!$A$2:$A$10,1,FALSE)=LEFT(B819,2),"Yes","Error"),"No")</f>
        <v>Yes</v>
      </c>
    </row>
    <row r="820" spans="1:13" x14ac:dyDescent="0.25">
      <c r="A820" t="s">
        <v>2783</v>
      </c>
      <c r="B820" t="s">
        <v>74</v>
      </c>
      <c r="C820" t="s">
        <v>2882</v>
      </c>
      <c r="D820" t="s">
        <v>30</v>
      </c>
      <c r="E820" t="s">
        <v>289</v>
      </c>
      <c r="F820" t="s">
        <v>2883</v>
      </c>
      <c r="G820">
        <v>4500325815</v>
      </c>
      <c r="H820" t="s">
        <v>2789</v>
      </c>
      <c r="I820" t="s">
        <v>2884</v>
      </c>
      <c r="J820" t="s">
        <v>289</v>
      </c>
      <c r="K820" s="2">
        <v>10576</v>
      </c>
      <c r="L820" s="2">
        <v>10576</v>
      </c>
      <c r="M820" t="str">
        <f>IFERROR(IF(VLOOKUP(LEFT(B820,2),'Humanitarian codes'!$A$2:$A$10,1,FALSE)=LEFT(B820,2),"Yes","Error"),"No")</f>
        <v>Yes</v>
      </c>
    </row>
    <row r="821" spans="1:13" x14ac:dyDescent="0.25">
      <c r="A821" t="s">
        <v>2783</v>
      </c>
      <c r="B821" t="s">
        <v>74</v>
      </c>
      <c r="C821" t="s">
        <v>2882</v>
      </c>
      <c r="D821" t="s">
        <v>30</v>
      </c>
      <c r="E821" t="s">
        <v>903</v>
      </c>
      <c r="F821" t="s">
        <v>2885</v>
      </c>
      <c r="G821">
        <v>4500323194</v>
      </c>
      <c r="H821" t="s">
        <v>2789</v>
      </c>
      <c r="I821" t="s">
        <v>236</v>
      </c>
      <c r="J821" t="s">
        <v>903</v>
      </c>
      <c r="K821" s="2">
        <v>272907</v>
      </c>
      <c r="L821" s="2">
        <v>272907</v>
      </c>
      <c r="M821" t="str">
        <f>IFERROR(IF(VLOOKUP(LEFT(B821,2),'Humanitarian codes'!$A$2:$A$10,1,FALSE)=LEFT(B821,2),"Yes","Error"),"No")</f>
        <v>Yes</v>
      </c>
    </row>
    <row r="822" spans="1:13" x14ac:dyDescent="0.25">
      <c r="A822" t="s">
        <v>2783</v>
      </c>
      <c r="B822" t="s">
        <v>74</v>
      </c>
      <c r="C822" t="s">
        <v>2882</v>
      </c>
      <c r="D822" t="s">
        <v>30</v>
      </c>
      <c r="E822" t="s">
        <v>909</v>
      </c>
      <c r="F822" t="s">
        <v>2200</v>
      </c>
      <c r="G822">
        <v>4500317093</v>
      </c>
      <c r="H822" t="s">
        <v>2789</v>
      </c>
      <c r="I822" t="s">
        <v>1331</v>
      </c>
      <c r="J822" t="s">
        <v>909</v>
      </c>
      <c r="K822" s="2">
        <v>2228</v>
      </c>
      <c r="L822" s="2">
        <v>2228</v>
      </c>
      <c r="M822" t="str">
        <f>IFERROR(IF(VLOOKUP(LEFT(B822,2),'Humanitarian codes'!$A$2:$A$10,1,FALSE)=LEFT(B822,2),"Yes","Error"),"No")</f>
        <v>Yes</v>
      </c>
    </row>
    <row r="823" spans="1:13" x14ac:dyDescent="0.25">
      <c r="A823" t="s">
        <v>2783</v>
      </c>
      <c r="B823" t="s">
        <v>74</v>
      </c>
      <c r="C823" t="s">
        <v>2882</v>
      </c>
      <c r="D823" t="s">
        <v>30</v>
      </c>
      <c r="E823" t="s">
        <v>909</v>
      </c>
      <c r="F823" t="s">
        <v>2200</v>
      </c>
      <c r="G823">
        <v>4500317103</v>
      </c>
      <c r="H823" t="s">
        <v>2789</v>
      </c>
      <c r="I823" t="s">
        <v>1331</v>
      </c>
      <c r="J823" t="s">
        <v>909</v>
      </c>
      <c r="K823" s="2">
        <v>2026</v>
      </c>
      <c r="L823" s="2">
        <v>2026</v>
      </c>
      <c r="M823" t="str">
        <f>IFERROR(IF(VLOOKUP(LEFT(B823,2),'Humanitarian codes'!$A$2:$A$10,1,FALSE)=LEFT(B823,2),"Yes","Error"),"No")</f>
        <v>Yes</v>
      </c>
    </row>
    <row r="824" spans="1:13" x14ac:dyDescent="0.25">
      <c r="A824" t="s">
        <v>2783</v>
      </c>
      <c r="B824" t="s">
        <v>74</v>
      </c>
      <c r="C824" t="s">
        <v>2882</v>
      </c>
      <c r="D824" t="s">
        <v>30</v>
      </c>
      <c r="E824" t="s">
        <v>54</v>
      </c>
      <c r="F824" t="s">
        <v>2886</v>
      </c>
      <c r="G824">
        <v>4500304929</v>
      </c>
      <c r="H824" t="s">
        <v>2789</v>
      </c>
      <c r="I824" t="s">
        <v>1858</v>
      </c>
      <c r="J824" t="s">
        <v>54</v>
      </c>
      <c r="K824" s="2">
        <v>200472</v>
      </c>
      <c r="L824" s="2">
        <v>260354</v>
      </c>
      <c r="M824" t="str">
        <f>IFERROR(IF(VLOOKUP(LEFT(B824,2),'Humanitarian codes'!$A$2:$A$10,1,FALSE)=LEFT(B824,2),"Yes","Error"),"No")</f>
        <v>Yes</v>
      </c>
    </row>
    <row r="825" spans="1:13" x14ac:dyDescent="0.25">
      <c r="A825" t="s">
        <v>2783</v>
      </c>
      <c r="B825" t="s">
        <v>74</v>
      </c>
      <c r="C825" t="s">
        <v>2882</v>
      </c>
      <c r="D825" t="s">
        <v>30</v>
      </c>
      <c r="E825" t="s">
        <v>54</v>
      </c>
      <c r="F825" t="s">
        <v>2887</v>
      </c>
      <c r="G825">
        <v>4500305171</v>
      </c>
      <c r="H825" t="s">
        <v>2789</v>
      </c>
      <c r="I825" t="s">
        <v>278</v>
      </c>
      <c r="J825" t="s">
        <v>54</v>
      </c>
      <c r="K825" s="2">
        <v>208670</v>
      </c>
      <c r="L825" s="2">
        <v>271000</v>
      </c>
      <c r="M825" t="str">
        <f>IFERROR(IF(VLOOKUP(LEFT(B825,2),'Humanitarian codes'!$A$2:$A$10,1,FALSE)=LEFT(B825,2),"Yes","Error"),"No")</f>
        <v>Yes</v>
      </c>
    </row>
    <row r="826" spans="1:13" x14ac:dyDescent="0.25">
      <c r="A826" t="s">
        <v>2783</v>
      </c>
      <c r="B826" t="s">
        <v>74</v>
      </c>
      <c r="C826" t="s">
        <v>2882</v>
      </c>
      <c r="D826" t="s">
        <v>30</v>
      </c>
      <c r="E826" t="s">
        <v>54</v>
      </c>
      <c r="F826" t="s">
        <v>2888</v>
      </c>
      <c r="G826">
        <v>4500305412</v>
      </c>
      <c r="H826" t="s">
        <v>2789</v>
      </c>
      <c r="I826" t="s">
        <v>271</v>
      </c>
      <c r="J826" t="s">
        <v>54</v>
      </c>
      <c r="K826" s="2">
        <v>113088</v>
      </c>
      <c r="L826" s="2">
        <v>146868</v>
      </c>
      <c r="M826" t="str">
        <f>IFERROR(IF(VLOOKUP(LEFT(B826,2),'Humanitarian codes'!$A$2:$A$10,1,FALSE)=LEFT(B826,2),"Yes","Error"),"No")</f>
        <v>Yes</v>
      </c>
    </row>
    <row r="827" spans="1:13" x14ac:dyDescent="0.25">
      <c r="A827" t="s">
        <v>2783</v>
      </c>
      <c r="B827" t="s">
        <v>74</v>
      </c>
      <c r="C827" t="s">
        <v>2882</v>
      </c>
      <c r="D827" t="s">
        <v>30</v>
      </c>
      <c r="E827" t="s">
        <v>54</v>
      </c>
      <c r="F827" t="s">
        <v>2889</v>
      </c>
      <c r="G827">
        <v>4500305848</v>
      </c>
      <c r="H827" t="s">
        <v>2789</v>
      </c>
      <c r="I827" t="s">
        <v>274</v>
      </c>
      <c r="J827" t="s">
        <v>54</v>
      </c>
      <c r="K827" s="2">
        <v>107913</v>
      </c>
      <c r="L827" s="2">
        <v>140147</v>
      </c>
      <c r="M827" t="str">
        <f>IFERROR(IF(VLOOKUP(LEFT(B827,2),'Humanitarian codes'!$A$2:$A$10,1,FALSE)=LEFT(B827,2),"Yes","Error"),"No")</f>
        <v>Yes</v>
      </c>
    </row>
    <row r="828" spans="1:13" x14ac:dyDescent="0.25">
      <c r="A828" t="s">
        <v>2783</v>
      </c>
      <c r="B828" t="s">
        <v>74</v>
      </c>
      <c r="C828" t="s">
        <v>2882</v>
      </c>
      <c r="D828" t="s">
        <v>30</v>
      </c>
      <c r="E828" t="s">
        <v>54</v>
      </c>
      <c r="F828" t="s">
        <v>2890</v>
      </c>
      <c r="G828">
        <v>4500305915</v>
      </c>
      <c r="H828" t="s">
        <v>2789</v>
      </c>
      <c r="I828" t="s">
        <v>790</v>
      </c>
      <c r="J828" t="s">
        <v>54</v>
      </c>
      <c r="K828" s="2">
        <v>196720</v>
      </c>
      <c r="L828" s="2">
        <v>255481</v>
      </c>
      <c r="M828" t="str">
        <f>IFERROR(IF(VLOOKUP(LEFT(B828,2),'Humanitarian codes'!$A$2:$A$10,1,FALSE)=LEFT(B828,2),"Yes","Error"),"No")</f>
        <v>Yes</v>
      </c>
    </row>
    <row r="829" spans="1:13" x14ac:dyDescent="0.25">
      <c r="A829" t="s">
        <v>2783</v>
      </c>
      <c r="B829" t="s">
        <v>74</v>
      </c>
      <c r="C829" t="s">
        <v>2882</v>
      </c>
      <c r="D829" t="s">
        <v>30</v>
      </c>
      <c r="E829" t="s">
        <v>54</v>
      </c>
      <c r="F829" t="s">
        <v>2891</v>
      </c>
      <c r="G829">
        <v>4500305966</v>
      </c>
      <c r="H829" t="s">
        <v>2789</v>
      </c>
      <c r="I829" t="s">
        <v>1405</v>
      </c>
      <c r="J829" t="s">
        <v>972</v>
      </c>
      <c r="K829" s="2">
        <v>780000</v>
      </c>
      <c r="L829" s="2">
        <v>780000</v>
      </c>
      <c r="M829" t="str">
        <f>IFERROR(IF(VLOOKUP(LEFT(B829,2),'Humanitarian codes'!$A$2:$A$10,1,FALSE)=LEFT(B829,2),"Yes","Error"),"No")</f>
        <v>Yes</v>
      </c>
    </row>
    <row r="830" spans="1:13" x14ac:dyDescent="0.25">
      <c r="A830" t="s">
        <v>2783</v>
      </c>
      <c r="B830" t="s">
        <v>74</v>
      </c>
      <c r="C830" t="s">
        <v>2882</v>
      </c>
      <c r="D830" t="s">
        <v>30</v>
      </c>
      <c r="E830" t="s">
        <v>54</v>
      </c>
      <c r="F830" t="s">
        <v>2892</v>
      </c>
      <c r="G830">
        <v>4500306517</v>
      </c>
      <c r="H830" t="s">
        <v>2789</v>
      </c>
      <c r="I830" t="s">
        <v>2893</v>
      </c>
      <c r="J830" t="s">
        <v>54</v>
      </c>
      <c r="K830" s="2">
        <v>207981</v>
      </c>
      <c r="L830" s="2">
        <v>277308</v>
      </c>
      <c r="M830" t="str">
        <f>IFERROR(IF(VLOOKUP(LEFT(B830,2),'Humanitarian codes'!$A$2:$A$10,1,FALSE)=LEFT(B830,2),"Yes","Error"),"No")</f>
        <v>Yes</v>
      </c>
    </row>
    <row r="831" spans="1:13" x14ac:dyDescent="0.25">
      <c r="A831" t="s">
        <v>2783</v>
      </c>
      <c r="B831" t="s">
        <v>74</v>
      </c>
      <c r="C831" t="s">
        <v>2882</v>
      </c>
      <c r="D831" t="s">
        <v>30</v>
      </c>
      <c r="E831" t="s">
        <v>54</v>
      </c>
      <c r="F831" t="s">
        <v>2894</v>
      </c>
      <c r="G831">
        <v>4500307596</v>
      </c>
      <c r="H831" t="s">
        <v>2789</v>
      </c>
      <c r="I831" t="s">
        <v>280</v>
      </c>
      <c r="J831" t="s">
        <v>54</v>
      </c>
      <c r="K831" s="2">
        <v>227147</v>
      </c>
      <c r="L831" s="2">
        <v>357209</v>
      </c>
      <c r="M831" t="str">
        <f>IFERROR(IF(VLOOKUP(LEFT(B831,2),'Humanitarian codes'!$A$2:$A$10,1,FALSE)=LEFT(B831,2),"Yes","Error"),"No")</f>
        <v>Yes</v>
      </c>
    </row>
    <row r="832" spans="1:13" x14ac:dyDescent="0.25">
      <c r="A832" t="s">
        <v>2783</v>
      </c>
      <c r="B832" t="s">
        <v>74</v>
      </c>
      <c r="C832" t="s">
        <v>2882</v>
      </c>
      <c r="D832" t="s">
        <v>30</v>
      </c>
      <c r="E832" t="s">
        <v>54</v>
      </c>
      <c r="F832" t="s">
        <v>2895</v>
      </c>
      <c r="G832">
        <v>4500309874</v>
      </c>
      <c r="H832" t="s">
        <v>2789</v>
      </c>
      <c r="I832" t="s">
        <v>1693</v>
      </c>
      <c r="J832" t="s">
        <v>54</v>
      </c>
      <c r="K832" s="2">
        <v>520000</v>
      </c>
      <c r="L832" s="2">
        <v>520000</v>
      </c>
      <c r="M832" t="str">
        <f>IFERROR(IF(VLOOKUP(LEFT(B832,2),'Humanitarian codes'!$A$2:$A$10,1,FALSE)=LEFT(B832,2),"Yes","Error"),"No")</f>
        <v>Yes</v>
      </c>
    </row>
    <row r="833" spans="1:13" x14ac:dyDescent="0.25">
      <c r="A833" t="s">
        <v>2783</v>
      </c>
      <c r="B833" t="s">
        <v>74</v>
      </c>
      <c r="C833" t="s">
        <v>2882</v>
      </c>
      <c r="D833" t="s">
        <v>30</v>
      </c>
      <c r="E833" t="s">
        <v>54</v>
      </c>
      <c r="F833" t="s">
        <v>2896</v>
      </c>
      <c r="G833">
        <v>4500312306</v>
      </c>
      <c r="H833" t="s">
        <v>2789</v>
      </c>
      <c r="I833" t="s">
        <v>789</v>
      </c>
      <c r="J833" t="s">
        <v>54</v>
      </c>
      <c r="K833" s="2">
        <v>179050</v>
      </c>
      <c r="L833" s="2">
        <v>235592</v>
      </c>
      <c r="M833" t="str">
        <f>IFERROR(IF(VLOOKUP(LEFT(B833,2),'Humanitarian codes'!$A$2:$A$10,1,FALSE)=LEFT(B833,2),"Yes","Error"),"No")</f>
        <v>Yes</v>
      </c>
    </row>
    <row r="834" spans="1:13" x14ac:dyDescent="0.25">
      <c r="A834" t="s">
        <v>2783</v>
      </c>
      <c r="B834" t="s">
        <v>74</v>
      </c>
      <c r="C834" t="s">
        <v>2882</v>
      </c>
      <c r="D834" t="s">
        <v>30</v>
      </c>
      <c r="E834" t="s">
        <v>54</v>
      </c>
      <c r="F834" t="s">
        <v>2897</v>
      </c>
      <c r="G834">
        <v>4500314255</v>
      </c>
      <c r="H834" t="s">
        <v>2789</v>
      </c>
      <c r="I834" t="s">
        <v>275</v>
      </c>
      <c r="J834" t="s">
        <v>54</v>
      </c>
      <c r="K834" s="2">
        <v>123200</v>
      </c>
      <c r="L834" s="2">
        <v>140000</v>
      </c>
      <c r="M834" t="str">
        <f>IFERROR(IF(VLOOKUP(LEFT(B834,2),'Humanitarian codes'!$A$2:$A$10,1,FALSE)=LEFT(B834,2),"Yes","Error"),"No")</f>
        <v>Yes</v>
      </c>
    </row>
    <row r="835" spans="1:13" x14ac:dyDescent="0.25">
      <c r="A835" t="s">
        <v>2783</v>
      </c>
      <c r="B835" t="s">
        <v>74</v>
      </c>
      <c r="C835" t="s">
        <v>2882</v>
      </c>
      <c r="D835" t="s">
        <v>30</v>
      </c>
      <c r="E835" t="s">
        <v>54</v>
      </c>
      <c r="F835" t="s">
        <v>2898</v>
      </c>
      <c r="G835">
        <v>4500322492</v>
      </c>
      <c r="H835" t="s">
        <v>2789</v>
      </c>
      <c r="I835" t="s">
        <v>2899</v>
      </c>
      <c r="J835" t="s">
        <v>54</v>
      </c>
      <c r="K835" s="2">
        <v>33000</v>
      </c>
      <c r="L835" s="2">
        <v>33000</v>
      </c>
      <c r="M835" t="str">
        <f>IFERROR(IF(VLOOKUP(LEFT(B835,2),'Humanitarian codes'!$A$2:$A$10,1,FALSE)=LEFT(B835,2),"Yes","Error"),"No")</f>
        <v>Yes</v>
      </c>
    </row>
    <row r="836" spans="1:13" x14ac:dyDescent="0.25">
      <c r="A836" t="s">
        <v>2783</v>
      </c>
      <c r="B836" t="s">
        <v>2900</v>
      </c>
      <c r="C836" t="s">
        <v>2901</v>
      </c>
      <c r="D836" t="s">
        <v>30</v>
      </c>
      <c r="E836" t="s">
        <v>717</v>
      </c>
      <c r="F836" t="s">
        <v>2902</v>
      </c>
      <c r="G836">
        <v>4500310829</v>
      </c>
      <c r="H836" t="s">
        <v>2789</v>
      </c>
      <c r="I836" t="s">
        <v>2903</v>
      </c>
      <c r="J836" t="s">
        <v>717</v>
      </c>
      <c r="K836" s="2">
        <v>13669</v>
      </c>
      <c r="L836" s="2">
        <v>34171</v>
      </c>
      <c r="M836" t="str">
        <f>IFERROR(IF(VLOOKUP(LEFT(B836,2),'Humanitarian codes'!$A$2:$A$10,1,FALSE)=LEFT(B836,2),"Yes","Error"),"No")</f>
        <v>Yes</v>
      </c>
    </row>
    <row r="837" spans="1:13" x14ac:dyDescent="0.25">
      <c r="A837" t="s">
        <v>2783</v>
      </c>
      <c r="B837" t="s">
        <v>2904</v>
      </c>
      <c r="C837" t="s">
        <v>2905</v>
      </c>
      <c r="D837" t="s">
        <v>30</v>
      </c>
      <c r="E837" t="s">
        <v>20</v>
      </c>
      <c r="F837" t="s">
        <v>2906</v>
      </c>
      <c r="G837">
        <v>4500310545</v>
      </c>
      <c r="H837" t="s">
        <v>2789</v>
      </c>
      <c r="I837" t="s">
        <v>2907</v>
      </c>
      <c r="J837" t="s">
        <v>20</v>
      </c>
      <c r="K837" s="2">
        <v>5866</v>
      </c>
      <c r="L837" s="2">
        <v>5866</v>
      </c>
      <c r="M837" t="str">
        <f>IFERROR(IF(VLOOKUP(LEFT(B837,2),'Humanitarian codes'!$A$2:$A$10,1,FALSE)=LEFT(B837,2),"Yes","Error"),"No")</f>
        <v>Yes</v>
      </c>
    </row>
    <row r="838" spans="1:13" x14ac:dyDescent="0.25">
      <c r="A838" t="s">
        <v>2783</v>
      </c>
      <c r="B838" t="s">
        <v>2904</v>
      </c>
      <c r="C838" t="s">
        <v>2905</v>
      </c>
      <c r="D838" t="s">
        <v>30</v>
      </c>
      <c r="E838" t="s">
        <v>20</v>
      </c>
      <c r="F838" t="s">
        <v>2908</v>
      </c>
      <c r="G838">
        <v>4500313902</v>
      </c>
      <c r="H838" t="s">
        <v>2789</v>
      </c>
      <c r="I838" t="s">
        <v>852</v>
      </c>
      <c r="J838" t="s">
        <v>20</v>
      </c>
      <c r="K838" s="2">
        <v>39330</v>
      </c>
      <c r="L838" s="2">
        <v>145666</v>
      </c>
      <c r="M838" t="str">
        <f>IFERROR(IF(VLOOKUP(LEFT(B838,2),'Humanitarian codes'!$A$2:$A$10,1,FALSE)=LEFT(B838,2),"Yes","Error"),"No")</f>
        <v>Yes</v>
      </c>
    </row>
    <row r="839" spans="1:13" x14ac:dyDescent="0.25">
      <c r="A839" t="s">
        <v>2783</v>
      </c>
      <c r="B839" t="s">
        <v>2909</v>
      </c>
      <c r="C839" t="s">
        <v>2910</v>
      </c>
      <c r="D839" t="s">
        <v>30</v>
      </c>
      <c r="E839" t="s">
        <v>303</v>
      </c>
      <c r="F839" t="s">
        <v>2200</v>
      </c>
      <c r="G839">
        <v>4500316696</v>
      </c>
      <c r="H839" t="s">
        <v>2789</v>
      </c>
      <c r="I839" t="s">
        <v>869</v>
      </c>
      <c r="J839" t="s">
        <v>303</v>
      </c>
      <c r="K839" s="2">
        <v>37621</v>
      </c>
      <c r="L839" s="2">
        <v>37621</v>
      </c>
      <c r="M839" t="str">
        <f>IFERROR(IF(VLOOKUP(LEFT(B839,2),'Humanitarian codes'!$A$2:$A$10,1,FALSE)=LEFT(B839,2),"Yes","Error"),"No")</f>
        <v>Yes</v>
      </c>
    </row>
    <row r="840" spans="1:13" x14ac:dyDescent="0.25">
      <c r="A840" t="s">
        <v>2783</v>
      </c>
      <c r="B840" t="s">
        <v>2911</v>
      </c>
      <c r="C840" t="s">
        <v>2912</v>
      </c>
      <c r="D840" t="s">
        <v>30</v>
      </c>
      <c r="E840" t="s">
        <v>356</v>
      </c>
      <c r="F840" t="s">
        <v>2913</v>
      </c>
      <c r="G840">
        <v>4500301866</v>
      </c>
      <c r="H840" t="s">
        <v>2789</v>
      </c>
      <c r="I840" t="s">
        <v>1367</v>
      </c>
      <c r="J840" t="s">
        <v>356</v>
      </c>
      <c r="K840" s="2">
        <v>117118</v>
      </c>
      <c r="L840" s="2">
        <v>117118</v>
      </c>
      <c r="M840" t="str">
        <f>IFERROR(IF(VLOOKUP(LEFT(B840,2),'Humanitarian codes'!$A$2:$A$10,1,FALSE)=LEFT(B840,2),"Yes","Error"),"No")</f>
        <v>Yes</v>
      </c>
    </row>
    <row r="841" spans="1:13" x14ac:dyDescent="0.25">
      <c r="A841" t="s">
        <v>2783</v>
      </c>
      <c r="B841" t="s">
        <v>2911</v>
      </c>
      <c r="C841" t="s">
        <v>2912</v>
      </c>
      <c r="D841" t="s">
        <v>30</v>
      </c>
      <c r="E841" t="s">
        <v>356</v>
      </c>
      <c r="F841" t="s">
        <v>2914</v>
      </c>
      <c r="G841">
        <v>4500303314</v>
      </c>
      <c r="H841" t="s">
        <v>2789</v>
      </c>
      <c r="I841" t="s">
        <v>2915</v>
      </c>
      <c r="J841" t="s">
        <v>356</v>
      </c>
      <c r="K841" s="2">
        <v>95339</v>
      </c>
      <c r="L841" s="2">
        <v>95339</v>
      </c>
      <c r="M841" t="str">
        <f>IFERROR(IF(VLOOKUP(LEFT(B841,2),'Humanitarian codes'!$A$2:$A$10,1,FALSE)=LEFT(B841,2),"Yes","Error"),"No")</f>
        <v>Yes</v>
      </c>
    </row>
    <row r="842" spans="1:13" x14ac:dyDescent="0.25">
      <c r="A842" t="s">
        <v>2783</v>
      </c>
      <c r="B842" t="s">
        <v>2911</v>
      </c>
      <c r="C842" t="s">
        <v>2912</v>
      </c>
      <c r="D842" t="s">
        <v>30</v>
      </c>
      <c r="E842" t="s">
        <v>356</v>
      </c>
      <c r="F842" t="s">
        <v>2916</v>
      </c>
      <c r="G842">
        <v>4500304097</v>
      </c>
      <c r="H842" t="s">
        <v>2789</v>
      </c>
      <c r="I842" t="s">
        <v>2027</v>
      </c>
      <c r="J842" t="s">
        <v>356</v>
      </c>
      <c r="K842" s="2">
        <v>176460</v>
      </c>
      <c r="L842" s="2">
        <v>176460</v>
      </c>
      <c r="M842" t="str">
        <f>IFERROR(IF(VLOOKUP(LEFT(B842,2),'Humanitarian codes'!$A$2:$A$10,1,FALSE)=LEFT(B842,2),"Yes","Error"),"No")</f>
        <v>Yes</v>
      </c>
    </row>
    <row r="843" spans="1:13" x14ac:dyDescent="0.25">
      <c r="A843" t="s">
        <v>2783</v>
      </c>
      <c r="B843" t="s">
        <v>2911</v>
      </c>
      <c r="C843" t="s">
        <v>2912</v>
      </c>
      <c r="D843" t="s">
        <v>30</v>
      </c>
      <c r="E843" t="s">
        <v>356</v>
      </c>
      <c r="F843" t="s">
        <v>2917</v>
      </c>
      <c r="G843">
        <v>4500304646</v>
      </c>
      <c r="H843" t="s">
        <v>2789</v>
      </c>
      <c r="I843" t="s">
        <v>2918</v>
      </c>
      <c r="J843" t="s">
        <v>2919</v>
      </c>
      <c r="K843" s="2">
        <v>91677</v>
      </c>
      <c r="L843" s="2">
        <v>91677</v>
      </c>
      <c r="M843" t="str">
        <f>IFERROR(IF(VLOOKUP(LEFT(B843,2),'Humanitarian codes'!$A$2:$A$10,1,FALSE)=LEFT(B843,2),"Yes","Error"),"No")</f>
        <v>Yes</v>
      </c>
    </row>
    <row r="844" spans="1:13" x14ac:dyDescent="0.25">
      <c r="A844" t="s">
        <v>2783</v>
      </c>
      <c r="B844" t="s">
        <v>2911</v>
      </c>
      <c r="C844" t="s">
        <v>2912</v>
      </c>
      <c r="D844" t="s">
        <v>30</v>
      </c>
      <c r="E844" t="s">
        <v>356</v>
      </c>
      <c r="F844" t="s">
        <v>2920</v>
      </c>
      <c r="G844">
        <v>4500304662</v>
      </c>
      <c r="H844" t="s">
        <v>2789</v>
      </c>
      <c r="I844" t="s">
        <v>1310</v>
      </c>
      <c r="J844" t="s">
        <v>356</v>
      </c>
      <c r="K844" s="2">
        <v>120972</v>
      </c>
      <c r="L844" s="2">
        <v>120972</v>
      </c>
      <c r="M844" t="str">
        <f>IFERROR(IF(VLOOKUP(LEFT(B844,2),'Humanitarian codes'!$A$2:$A$10,1,FALSE)=LEFT(B844,2),"Yes","Error"),"No")</f>
        <v>Yes</v>
      </c>
    </row>
    <row r="845" spans="1:13" x14ac:dyDescent="0.25">
      <c r="A845" t="s">
        <v>2783</v>
      </c>
      <c r="B845" t="s">
        <v>2911</v>
      </c>
      <c r="C845" t="s">
        <v>2912</v>
      </c>
      <c r="D845" t="s">
        <v>30</v>
      </c>
      <c r="E845" t="s">
        <v>356</v>
      </c>
      <c r="F845" t="s">
        <v>2921</v>
      </c>
      <c r="G845">
        <v>4500307470</v>
      </c>
      <c r="H845" t="s">
        <v>2789</v>
      </c>
      <c r="I845" t="s">
        <v>2922</v>
      </c>
      <c r="J845" t="s">
        <v>356</v>
      </c>
      <c r="K845" s="2">
        <v>245083</v>
      </c>
      <c r="L845" s="2">
        <v>245083</v>
      </c>
      <c r="M845" t="str">
        <f>IFERROR(IF(VLOOKUP(LEFT(B845,2),'Humanitarian codes'!$A$2:$A$10,1,FALSE)=LEFT(B845,2),"Yes","Error"),"No")</f>
        <v>Yes</v>
      </c>
    </row>
    <row r="846" spans="1:13" x14ac:dyDescent="0.25">
      <c r="A846" t="s">
        <v>2783</v>
      </c>
      <c r="B846" t="s">
        <v>2911</v>
      </c>
      <c r="C846" t="s">
        <v>2912</v>
      </c>
      <c r="D846" t="s">
        <v>30</v>
      </c>
      <c r="E846" t="s">
        <v>356</v>
      </c>
      <c r="F846" t="s">
        <v>2923</v>
      </c>
      <c r="G846">
        <v>4500311978</v>
      </c>
      <c r="H846" t="s">
        <v>2789</v>
      </c>
      <c r="I846" t="s">
        <v>2025</v>
      </c>
      <c r="J846" t="s">
        <v>356</v>
      </c>
      <c r="K846" s="2">
        <v>80959</v>
      </c>
      <c r="L846" s="2">
        <v>80959</v>
      </c>
      <c r="M846" t="str">
        <f>IFERROR(IF(VLOOKUP(LEFT(B846,2),'Humanitarian codes'!$A$2:$A$10,1,FALSE)=LEFT(B846,2),"Yes","Error"),"No")</f>
        <v>Yes</v>
      </c>
    </row>
    <row r="847" spans="1:13" x14ac:dyDescent="0.25">
      <c r="A847" t="s">
        <v>2783</v>
      </c>
      <c r="B847" t="s">
        <v>2911</v>
      </c>
      <c r="C847" t="s">
        <v>2912</v>
      </c>
      <c r="D847" t="s">
        <v>30</v>
      </c>
      <c r="E847" t="s">
        <v>356</v>
      </c>
      <c r="F847" t="s">
        <v>2924</v>
      </c>
      <c r="G847">
        <v>4500312469</v>
      </c>
      <c r="H847" t="s">
        <v>2789</v>
      </c>
      <c r="I847" t="s">
        <v>827</v>
      </c>
      <c r="J847" t="s">
        <v>356</v>
      </c>
      <c r="K847" s="2">
        <v>291692</v>
      </c>
      <c r="L847" s="2">
        <v>291692</v>
      </c>
      <c r="M847" t="str">
        <f>IFERROR(IF(VLOOKUP(LEFT(B847,2),'Humanitarian codes'!$A$2:$A$10,1,FALSE)=LEFT(B847,2),"Yes","Error"),"No")</f>
        <v>Yes</v>
      </c>
    </row>
    <row r="848" spans="1:13" x14ac:dyDescent="0.25">
      <c r="A848" t="s">
        <v>2783</v>
      </c>
      <c r="B848" t="s">
        <v>2911</v>
      </c>
      <c r="C848" t="s">
        <v>2912</v>
      </c>
      <c r="D848" t="s">
        <v>30</v>
      </c>
      <c r="E848" t="s">
        <v>356</v>
      </c>
      <c r="F848" t="s">
        <v>2925</v>
      </c>
      <c r="G848">
        <v>4500312492</v>
      </c>
      <c r="H848" t="s">
        <v>2789</v>
      </c>
      <c r="I848" t="s">
        <v>2926</v>
      </c>
      <c r="J848" t="s">
        <v>356</v>
      </c>
      <c r="K848" s="2">
        <v>77938</v>
      </c>
      <c r="L848" s="2">
        <v>77938</v>
      </c>
      <c r="M848" t="str">
        <f>IFERROR(IF(VLOOKUP(LEFT(B848,2),'Humanitarian codes'!$A$2:$A$10,1,FALSE)=LEFT(B848,2),"Yes","Error"),"No")</f>
        <v>Yes</v>
      </c>
    </row>
    <row r="849" spans="1:13" x14ac:dyDescent="0.25">
      <c r="A849" t="s">
        <v>2783</v>
      </c>
      <c r="B849" t="s">
        <v>2911</v>
      </c>
      <c r="C849" t="s">
        <v>2912</v>
      </c>
      <c r="D849" t="s">
        <v>30</v>
      </c>
      <c r="E849" t="s">
        <v>356</v>
      </c>
      <c r="F849" t="s">
        <v>2927</v>
      </c>
      <c r="G849">
        <v>4500313223</v>
      </c>
      <c r="H849" t="s">
        <v>2789</v>
      </c>
      <c r="I849" t="s">
        <v>1743</v>
      </c>
      <c r="J849" t="s">
        <v>356</v>
      </c>
      <c r="K849" s="2">
        <v>185150</v>
      </c>
      <c r="L849" s="2">
        <v>185150</v>
      </c>
      <c r="M849" t="str">
        <f>IFERROR(IF(VLOOKUP(LEFT(B849,2),'Humanitarian codes'!$A$2:$A$10,1,FALSE)=LEFT(B849,2),"Yes","Error"),"No")</f>
        <v>Yes</v>
      </c>
    </row>
    <row r="850" spans="1:13" x14ac:dyDescent="0.25">
      <c r="A850" t="s">
        <v>2783</v>
      </c>
      <c r="B850" t="s">
        <v>2911</v>
      </c>
      <c r="C850" t="s">
        <v>2912</v>
      </c>
      <c r="D850" t="s">
        <v>30</v>
      </c>
      <c r="E850" t="s">
        <v>356</v>
      </c>
      <c r="F850" t="s">
        <v>2928</v>
      </c>
      <c r="G850">
        <v>4500314192</v>
      </c>
      <c r="H850" t="s">
        <v>2789</v>
      </c>
      <c r="I850" t="s">
        <v>2929</v>
      </c>
      <c r="J850" t="s">
        <v>356</v>
      </c>
      <c r="K850" s="2">
        <v>103999</v>
      </c>
      <c r="L850" s="2">
        <v>103999</v>
      </c>
      <c r="M850" t="str">
        <f>IFERROR(IF(VLOOKUP(LEFT(B850,2),'Humanitarian codes'!$A$2:$A$10,1,FALSE)=LEFT(B850,2),"Yes","Error"),"No")</f>
        <v>Yes</v>
      </c>
    </row>
    <row r="851" spans="1:13" x14ac:dyDescent="0.25">
      <c r="A851" t="s">
        <v>2783</v>
      </c>
      <c r="B851" t="s">
        <v>2930</v>
      </c>
      <c r="C851" t="s">
        <v>2931</v>
      </c>
      <c r="D851" t="s">
        <v>30</v>
      </c>
      <c r="E851" t="s">
        <v>814</v>
      </c>
      <c r="F851" t="s">
        <v>2932</v>
      </c>
      <c r="G851">
        <v>4500307212</v>
      </c>
      <c r="H851" t="s">
        <v>2789</v>
      </c>
      <c r="I851" t="s">
        <v>112</v>
      </c>
      <c r="J851" t="s">
        <v>814</v>
      </c>
      <c r="K851" s="2">
        <v>4517</v>
      </c>
      <c r="L851" s="2">
        <v>38385</v>
      </c>
      <c r="M851" t="str">
        <f>IFERROR(IF(VLOOKUP(LEFT(B851,2),'Humanitarian codes'!$A$2:$A$10,1,FALSE)=LEFT(B851,2),"Yes","Error"),"No")</f>
        <v>Yes</v>
      </c>
    </row>
    <row r="852" spans="1:13" x14ac:dyDescent="0.25">
      <c r="A852" t="s">
        <v>2783</v>
      </c>
      <c r="B852" t="s">
        <v>2930</v>
      </c>
      <c r="C852" t="s">
        <v>2931</v>
      </c>
      <c r="D852" t="s">
        <v>30</v>
      </c>
      <c r="E852" t="s">
        <v>814</v>
      </c>
      <c r="F852" t="s">
        <v>2933</v>
      </c>
      <c r="G852">
        <v>4500307240</v>
      </c>
      <c r="H852" t="s">
        <v>2789</v>
      </c>
      <c r="I852" t="s">
        <v>116</v>
      </c>
      <c r="J852" t="s">
        <v>814</v>
      </c>
      <c r="K852" s="2">
        <v>3614</v>
      </c>
      <c r="L852" s="2">
        <v>9732</v>
      </c>
      <c r="M852" t="str">
        <f>IFERROR(IF(VLOOKUP(LEFT(B852,2),'Humanitarian codes'!$A$2:$A$10,1,FALSE)=LEFT(B852,2),"Yes","Error"),"No")</f>
        <v>Yes</v>
      </c>
    </row>
    <row r="853" spans="1:13" x14ac:dyDescent="0.25">
      <c r="A853" t="s">
        <v>2783</v>
      </c>
      <c r="B853" t="s">
        <v>87</v>
      </c>
      <c r="C853" t="s">
        <v>2934</v>
      </c>
      <c r="D853" t="s">
        <v>30</v>
      </c>
      <c r="E853" t="s">
        <v>32</v>
      </c>
      <c r="F853" t="s">
        <v>2935</v>
      </c>
      <c r="G853">
        <v>4500303755</v>
      </c>
      <c r="H853" t="s">
        <v>2789</v>
      </c>
      <c r="I853" t="s">
        <v>2936</v>
      </c>
      <c r="J853" t="s">
        <v>32</v>
      </c>
      <c r="K853" s="2">
        <v>225250</v>
      </c>
      <c r="L853" s="2">
        <v>225250</v>
      </c>
      <c r="M853" t="str">
        <f>IFERROR(IF(VLOOKUP(LEFT(B853,2),'Humanitarian codes'!$A$2:$A$10,1,FALSE)=LEFT(B853,2),"Yes","Error"),"No")</f>
        <v>Yes</v>
      </c>
    </row>
    <row r="854" spans="1:13" x14ac:dyDescent="0.25">
      <c r="A854" t="s">
        <v>2783</v>
      </c>
      <c r="B854" t="s">
        <v>87</v>
      </c>
      <c r="C854" t="s">
        <v>2934</v>
      </c>
      <c r="D854" t="s">
        <v>30</v>
      </c>
      <c r="E854" t="s">
        <v>32</v>
      </c>
      <c r="F854" t="s">
        <v>2937</v>
      </c>
      <c r="G854">
        <v>4500315922</v>
      </c>
      <c r="H854" t="s">
        <v>2789</v>
      </c>
      <c r="I854" t="s">
        <v>1261</v>
      </c>
      <c r="J854" t="s">
        <v>32</v>
      </c>
      <c r="K854" s="2">
        <v>300000</v>
      </c>
      <c r="L854" s="2">
        <v>300000</v>
      </c>
      <c r="M854" t="str">
        <f>IFERROR(IF(VLOOKUP(LEFT(B854,2),'Humanitarian codes'!$A$2:$A$10,1,FALSE)=LEFT(B854,2),"Yes","Error"),"No")</f>
        <v>Yes</v>
      </c>
    </row>
    <row r="855" spans="1:13" x14ac:dyDescent="0.25">
      <c r="A855" t="s">
        <v>2783</v>
      </c>
      <c r="B855" t="s">
        <v>87</v>
      </c>
      <c r="C855" t="s">
        <v>2934</v>
      </c>
      <c r="D855" t="s">
        <v>30</v>
      </c>
      <c r="E855" t="s">
        <v>32</v>
      </c>
      <c r="F855" t="s">
        <v>2200</v>
      </c>
      <c r="G855">
        <v>4500319807</v>
      </c>
      <c r="H855" t="s">
        <v>2789</v>
      </c>
      <c r="I855" t="s">
        <v>2938</v>
      </c>
      <c r="J855" t="s">
        <v>32</v>
      </c>
      <c r="K855" s="2">
        <v>200000</v>
      </c>
      <c r="L855" s="2">
        <v>200000</v>
      </c>
      <c r="M855" t="str">
        <f>IFERROR(IF(VLOOKUP(LEFT(B855,2),'Humanitarian codes'!$A$2:$A$10,1,FALSE)=LEFT(B855,2),"Yes","Error"),"No")</f>
        <v>Yes</v>
      </c>
    </row>
    <row r="856" spans="1:13" x14ac:dyDescent="0.25">
      <c r="A856" t="s">
        <v>2783</v>
      </c>
      <c r="B856" t="s">
        <v>2939</v>
      </c>
      <c r="C856" t="s">
        <v>2940</v>
      </c>
      <c r="D856" t="s">
        <v>30</v>
      </c>
      <c r="E856" t="s">
        <v>132</v>
      </c>
      <c r="F856" t="s">
        <v>2941</v>
      </c>
      <c r="G856">
        <v>4500319660</v>
      </c>
      <c r="H856" t="s">
        <v>2789</v>
      </c>
      <c r="I856" t="s">
        <v>819</v>
      </c>
      <c r="J856" t="s">
        <v>132</v>
      </c>
      <c r="K856" s="2">
        <v>19792</v>
      </c>
      <c r="L856" s="2">
        <v>19792</v>
      </c>
      <c r="M856" t="str">
        <f>IFERROR(IF(VLOOKUP(LEFT(B856,2),'Humanitarian codes'!$A$2:$A$10,1,FALSE)=LEFT(B856,2),"Yes","Error"),"No")</f>
        <v>Yes</v>
      </c>
    </row>
    <row r="857" spans="1:13" x14ac:dyDescent="0.25">
      <c r="A857" t="s">
        <v>2783</v>
      </c>
      <c r="B857" t="s">
        <v>2942</v>
      </c>
      <c r="C857" t="s">
        <v>2943</v>
      </c>
      <c r="D857" t="s">
        <v>30</v>
      </c>
      <c r="E857" t="s">
        <v>449</v>
      </c>
      <c r="F857" t="s">
        <v>2944</v>
      </c>
      <c r="G857">
        <v>4500302005</v>
      </c>
      <c r="H857" t="s">
        <v>2789</v>
      </c>
      <c r="I857" t="s">
        <v>2518</v>
      </c>
      <c r="J857" t="s">
        <v>449</v>
      </c>
      <c r="K857" s="2">
        <v>110000</v>
      </c>
      <c r="L857" s="2">
        <v>110000</v>
      </c>
      <c r="M857" t="str">
        <f>IFERROR(IF(VLOOKUP(LEFT(B857,2),'Humanitarian codes'!$A$2:$A$10,1,FALSE)=LEFT(B857,2),"Yes","Error"),"No")</f>
        <v>Yes</v>
      </c>
    </row>
    <row r="858" spans="1:13" x14ac:dyDescent="0.25">
      <c r="A858" t="s">
        <v>2783</v>
      </c>
      <c r="B858" t="s">
        <v>1702</v>
      </c>
      <c r="C858" t="s">
        <v>2945</v>
      </c>
      <c r="D858" t="s">
        <v>30</v>
      </c>
      <c r="E858" t="s">
        <v>257</v>
      </c>
      <c r="F858" t="s">
        <v>2946</v>
      </c>
      <c r="G858">
        <v>4500321494</v>
      </c>
      <c r="H858" t="s">
        <v>2789</v>
      </c>
      <c r="I858" t="s">
        <v>421</v>
      </c>
      <c r="J858" t="s">
        <v>257</v>
      </c>
      <c r="K858" s="2">
        <v>34373</v>
      </c>
      <c r="L858" s="2">
        <v>81841</v>
      </c>
      <c r="M858" t="str">
        <f>IFERROR(IF(VLOOKUP(LEFT(B858,2),'Humanitarian codes'!$A$2:$A$10,1,FALSE)=LEFT(B858,2),"Yes","Error"),"No")</f>
        <v>Yes</v>
      </c>
    </row>
    <row r="859" spans="1:13" x14ac:dyDescent="0.25">
      <c r="A859" t="s">
        <v>2783</v>
      </c>
      <c r="B859" t="s">
        <v>1702</v>
      </c>
      <c r="C859" t="s">
        <v>2945</v>
      </c>
      <c r="D859" t="s">
        <v>30</v>
      </c>
      <c r="E859" t="s">
        <v>257</v>
      </c>
      <c r="F859" t="s">
        <v>2947</v>
      </c>
      <c r="G859">
        <v>4500321496</v>
      </c>
      <c r="H859" t="s">
        <v>2789</v>
      </c>
      <c r="I859" t="s">
        <v>422</v>
      </c>
      <c r="J859" t="s">
        <v>257</v>
      </c>
      <c r="K859" s="2">
        <v>27370</v>
      </c>
      <c r="L859" s="2">
        <v>70180</v>
      </c>
      <c r="M859" t="str">
        <f>IFERROR(IF(VLOOKUP(LEFT(B859,2),'Humanitarian codes'!$A$2:$A$10,1,FALSE)=LEFT(B859,2),"Yes","Error"),"No")</f>
        <v>Yes</v>
      </c>
    </row>
    <row r="860" spans="1:13" x14ac:dyDescent="0.25">
      <c r="A860" t="s">
        <v>2783</v>
      </c>
      <c r="B860" t="s">
        <v>2948</v>
      </c>
      <c r="C860" t="s">
        <v>2949</v>
      </c>
      <c r="D860" t="s">
        <v>30</v>
      </c>
      <c r="E860" t="s">
        <v>54</v>
      </c>
      <c r="F860" t="s">
        <v>2950</v>
      </c>
      <c r="G860">
        <v>4500305402</v>
      </c>
      <c r="H860" t="s">
        <v>2789</v>
      </c>
      <c r="I860" t="s">
        <v>2269</v>
      </c>
      <c r="J860" t="s">
        <v>54</v>
      </c>
      <c r="K860" s="2">
        <v>18960</v>
      </c>
      <c r="L860" s="2">
        <v>19566</v>
      </c>
      <c r="M860" t="str">
        <f>IFERROR(IF(VLOOKUP(LEFT(B860,2),'Humanitarian codes'!$A$2:$A$10,1,FALSE)=LEFT(B860,2),"Yes","Error"),"No")</f>
        <v>Yes</v>
      </c>
    </row>
    <row r="861" spans="1:13" x14ac:dyDescent="0.25">
      <c r="A861" t="s">
        <v>2783</v>
      </c>
      <c r="B861" t="s">
        <v>1705</v>
      </c>
      <c r="C861" t="s">
        <v>2951</v>
      </c>
      <c r="D861" t="s">
        <v>30</v>
      </c>
      <c r="E861" t="s">
        <v>54</v>
      </c>
      <c r="F861" t="s">
        <v>2837</v>
      </c>
      <c r="G861">
        <v>4500302850</v>
      </c>
      <c r="H861" t="s">
        <v>2789</v>
      </c>
      <c r="I861" t="s">
        <v>2012</v>
      </c>
      <c r="J861" t="s">
        <v>54</v>
      </c>
      <c r="K861" s="2">
        <v>532592</v>
      </c>
      <c r="L861" s="2">
        <v>1098127</v>
      </c>
      <c r="M861" t="str">
        <f>IFERROR(IF(VLOOKUP(LEFT(B861,2),'Humanitarian codes'!$A$2:$A$10,1,FALSE)=LEFT(B861,2),"Yes","Error"),"No")</f>
        <v>Yes</v>
      </c>
    </row>
    <row r="862" spans="1:13" x14ac:dyDescent="0.25">
      <c r="A862" t="s">
        <v>2783</v>
      </c>
      <c r="B862" t="s">
        <v>1262</v>
      </c>
      <c r="C862" t="s">
        <v>2952</v>
      </c>
      <c r="D862" t="s">
        <v>30</v>
      </c>
      <c r="E862" t="s">
        <v>167</v>
      </c>
      <c r="F862" t="s">
        <v>2953</v>
      </c>
      <c r="G862">
        <v>4500310235</v>
      </c>
      <c r="H862" t="s">
        <v>2789</v>
      </c>
      <c r="I862" t="s">
        <v>973</v>
      </c>
      <c r="J862" t="s">
        <v>167</v>
      </c>
      <c r="K862" s="2">
        <v>40206</v>
      </c>
      <c r="L862" s="2">
        <v>50257</v>
      </c>
      <c r="M862" t="str">
        <f>IFERROR(IF(VLOOKUP(LEFT(B862,2),'Humanitarian codes'!$A$2:$A$10,1,FALSE)=LEFT(B862,2),"Yes","Error"),"No")</f>
        <v>Yes</v>
      </c>
    </row>
    <row r="863" spans="1:13" x14ac:dyDescent="0.25">
      <c r="A863" t="s">
        <v>2783</v>
      </c>
      <c r="B863" t="s">
        <v>1262</v>
      </c>
      <c r="C863" t="s">
        <v>2952</v>
      </c>
      <c r="D863" t="s">
        <v>30</v>
      </c>
      <c r="E863" t="s">
        <v>167</v>
      </c>
      <c r="F863" t="s">
        <v>2954</v>
      </c>
      <c r="G863">
        <v>4500324495</v>
      </c>
      <c r="H863" t="s">
        <v>2789</v>
      </c>
      <c r="I863" t="s">
        <v>516</v>
      </c>
      <c r="J863" t="s">
        <v>167</v>
      </c>
      <c r="K863" s="2">
        <v>266370</v>
      </c>
      <c r="L863" s="2">
        <v>266370</v>
      </c>
      <c r="M863" t="str">
        <f>IFERROR(IF(VLOOKUP(LEFT(B863,2),'Humanitarian codes'!$A$2:$A$10,1,FALSE)=LEFT(B863,2),"Yes","Error"),"No")</f>
        <v>Yes</v>
      </c>
    </row>
    <row r="864" spans="1:13" x14ac:dyDescent="0.25">
      <c r="A864" t="s">
        <v>2783</v>
      </c>
      <c r="B864" t="s">
        <v>1970</v>
      </c>
      <c r="C864" t="s">
        <v>2955</v>
      </c>
      <c r="D864" t="s">
        <v>30</v>
      </c>
      <c r="E864" t="s">
        <v>155</v>
      </c>
      <c r="F864" t="s">
        <v>2200</v>
      </c>
      <c r="G864">
        <v>4500305708</v>
      </c>
      <c r="H864" t="s">
        <v>2789</v>
      </c>
      <c r="I864" t="s">
        <v>1972</v>
      </c>
      <c r="J864" t="s">
        <v>155</v>
      </c>
      <c r="K864" s="2">
        <v>52324</v>
      </c>
      <c r="L864" s="2">
        <v>52324</v>
      </c>
      <c r="M864" t="str">
        <f>IFERROR(IF(VLOOKUP(LEFT(B864,2),'Humanitarian codes'!$A$2:$A$10,1,FALSE)=LEFT(B864,2),"Yes","Error"),"No")</f>
        <v>Yes</v>
      </c>
    </row>
    <row r="865" spans="1:13" x14ac:dyDescent="0.25">
      <c r="A865" t="s">
        <v>2783</v>
      </c>
      <c r="B865" t="s">
        <v>1970</v>
      </c>
      <c r="C865" t="s">
        <v>2955</v>
      </c>
      <c r="D865" t="s">
        <v>30</v>
      </c>
      <c r="E865" t="s">
        <v>155</v>
      </c>
      <c r="F865" t="s">
        <v>2200</v>
      </c>
      <c r="G865">
        <v>4500305727</v>
      </c>
      <c r="H865" t="s">
        <v>2789</v>
      </c>
      <c r="I865" t="s">
        <v>2956</v>
      </c>
      <c r="J865" t="s">
        <v>155</v>
      </c>
      <c r="K865" s="2">
        <v>46373</v>
      </c>
      <c r="L865" s="2">
        <v>46373</v>
      </c>
      <c r="M865" t="str">
        <f>IFERROR(IF(VLOOKUP(LEFT(B865,2),'Humanitarian codes'!$A$2:$A$10,1,FALSE)=LEFT(B865,2),"Yes","Error"),"No")</f>
        <v>Yes</v>
      </c>
    </row>
    <row r="866" spans="1:13" x14ac:dyDescent="0.25">
      <c r="A866" t="s">
        <v>2783</v>
      </c>
      <c r="B866" t="s">
        <v>2361</v>
      </c>
      <c r="C866" t="s">
        <v>2957</v>
      </c>
      <c r="D866" t="s">
        <v>30</v>
      </c>
      <c r="E866" t="s">
        <v>717</v>
      </c>
      <c r="F866" t="s">
        <v>2958</v>
      </c>
      <c r="G866">
        <v>4500306072</v>
      </c>
      <c r="H866" t="s">
        <v>2789</v>
      </c>
      <c r="I866" t="s">
        <v>728</v>
      </c>
      <c r="J866" t="s">
        <v>717</v>
      </c>
      <c r="K866" s="2">
        <v>34965</v>
      </c>
      <c r="L866" s="2">
        <v>34965</v>
      </c>
      <c r="M866" t="str">
        <f>IFERROR(IF(VLOOKUP(LEFT(B866,2),'Humanitarian codes'!$A$2:$A$10,1,FALSE)=LEFT(B866,2),"Yes","Error"),"No")</f>
        <v>Yes</v>
      </c>
    </row>
    <row r="867" spans="1:13" x14ac:dyDescent="0.25">
      <c r="A867" t="s">
        <v>2783</v>
      </c>
      <c r="B867" t="s">
        <v>2361</v>
      </c>
      <c r="C867" t="s">
        <v>2957</v>
      </c>
      <c r="D867" t="s">
        <v>30</v>
      </c>
      <c r="E867" t="s">
        <v>717</v>
      </c>
      <c r="F867" t="s">
        <v>2959</v>
      </c>
      <c r="G867">
        <v>4500315269</v>
      </c>
      <c r="H867" t="s">
        <v>2789</v>
      </c>
      <c r="I867" t="s">
        <v>2868</v>
      </c>
      <c r="J867" t="s">
        <v>717</v>
      </c>
      <c r="K867" s="2">
        <v>18174</v>
      </c>
      <c r="L867" s="2">
        <v>18174</v>
      </c>
      <c r="M867" t="str">
        <f>IFERROR(IF(VLOOKUP(LEFT(B867,2),'Humanitarian codes'!$A$2:$A$10,1,FALSE)=LEFT(B867,2),"Yes","Error"),"No")</f>
        <v>Yes</v>
      </c>
    </row>
    <row r="868" spans="1:13" x14ac:dyDescent="0.25">
      <c r="A868" t="s">
        <v>2783</v>
      </c>
      <c r="B868" t="s">
        <v>2367</v>
      </c>
      <c r="C868" t="s">
        <v>2960</v>
      </c>
      <c r="D868" t="s">
        <v>30</v>
      </c>
      <c r="E868" t="s">
        <v>123</v>
      </c>
      <c r="F868" t="s">
        <v>2200</v>
      </c>
      <c r="G868">
        <v>4500304666</v>
      </c>
      <c r="H868" t="s">
        <v>2789</v>
      </c>
      <c r="I868" t="s">
        <v>2961</v>
      </c>
      <c r="J868" t="s">
        <v>123</v>
      </c>
      <c r="K868" s="2">
        <v>363915</v>
      </c>
      <c r="L868" s="2">
        <v>363915</v>
      </c>
      <c r="M868" t="str">
        <f>IFERROR(IF(VLOOKUP(LEFT(B868,2),'Humanitarian codes'!$A$2:$A$10,1,FALSE)=LEFT(B868,2),"Yes","Error"),"No")</f>
        <v>Yes</v>
      </c>
    </row>
    <row r="869" spans="1:13" x14ac:dyDescent="0.25">
      <c r="A869" t="s">
        <v>2783</v>
      </c>
      <c r="B869" t="s">
        <v>2367</v>
      </c>
      <c r="C869" t="s">
        <v>2960</v>
      </c>
      <c r="D869" t="s">
        <v>30</v>
      </c>
      <c r="E869" t="s">
        <v>123</v>
      </c>
      <c r="F869" t="s">
        <v>2200</v>
      </c>
      <c r="G869">
        <v>4500309498</v>
      </c>
      <c r="H869" t="s">
        <v>2789</v>
      </c>
      <c r="I869" t="s">
        <v>1980</v>
      </c>
      <c r="J869" t="s">
        <v>123</v>
      </c>
      <c r="K869" s="2">
        <v>297313</v>
      </c>
      <c r="L869" s="2">
        <v>297313</v>
      </c>
      <c r="M869" t="str">
        <f>IFERROR(IF(VLOOKUP(LEFT(B869,2),'Humanitarian codes'!$A$2:$A$10,1,FALSE)=LEFT(B869,2),"Yes","Error"),"No")</f>
        <v>Yes</v>
      </c>
    </row>
    <row r="870" spans="1:13" x14ac:dyDescent="0.25">
      <c r="A870" t="s">
        <v>2783</v>
      </c>
      <c r="B870" t="s">
        <v>2367</v>
      </c>
      <c r="C870" t="s">
        <v>2960</v>
      </c>
      <c r="D870" t="s">
        <v>30</v>
      </c>
      <c r="E870" t="s">
        <v>123</v>
      </c>
      <c r="F870" t="s">
        <v>2200</v>
      </c>
      <c r="G870">
        <v>4500324431</v>
      </c>
      <c r="H870" t="s">
        <v>2789</v>
      </c>
      <c r="I870" t="s">
        <v>366</v>
      </c>
      <c r="J870" t="s">
        <v>123</v>
      </c>
      <c r="K870" s="2">
        <v>12973</v>
      </c>
      <c r="L870" s="2">
        <v>12973</v>
      </c>
      <c r="M870" t="str">
        <f>IFERROR(IF(VLOOKUP(LEFT(B870,2),'Humanitarian codes'!$A$2:$A$10,1,FALSE)=LEFT(B870,2),"Yes","Error"),"No")</f>
        <v>Yes</v>
      </c>
    </row>
    <row r="871" spans="1:13" x14ac:dyDescent="0.25">
      <c r="A871" t="s">
        <v>2783</v>
      </c>
      <c r="B871" t="s">
        <v>2369</v>
      </c>
      <c r="C871" t="s">
        <v>2962</v>
      </c>
      <c r="D871" t="s">
        <v>30</v>
      </c>
      <c r="E871" t="s">
        <v>305</v>
      </c>
      <c r="F871" t="s">
        <v>2499</v>
      </c>
      <c r="G871">
        <v>4500314434</v>
      </c>
      <c r="H871" t="s">
        <v>2789</v>
      </c>
      <c r="I871" t="s">
        <v>908</v>
      </c>
      <c r="J871" t="s">
        <v>305</v>
      </c>
      <c r="K871" s="2">
        <v>47973</v>
      </c>
      <c r="L871" s="2">
        <v>47973</v>
      </c>
      <c r="M871" t="str">
        <f>IFERROR(IF(VLOOKUP(LEFT(B871,2),'Humanitarian codes'!$A$2:$A$10,1,FALSE)=LEFT(B871,2),"Yes","Error"),"No")</f>
        <v>Yes</v>
      </c>
    </row>
    <row r="872" spans="1:13" x14ac:dyDescent="0.25">
      <c r="A872" t="s">
        <v>2783</v>
      </c>
      <c r="B872" t="s">
        <v>2369</v>
      </c>
      <c r="C872" t="s">
        <v>2962</v>
      </c>
      <c r="D872" t="s">
        <v>30</v>
      </c>
      <c r="E872" t="s">
        <v>305</v>
      </c>
      <c r="F872" t="s">
        <v>2499</v>
      </c>
      <c r="G872">
        <v>4500315617</v>
      </c>
      <c r="H872" t="s">
        <v>2789</v>
      </c>
      <c r="I872" t="s">
        <v>2478</v>
      </c>
      <c r="J872" t="s">
        <v>305</v>
      </c>
      <c r="K872" s="2">
        <v>47972</v>
      </c>
      <c r="L872" s="2">
        <v>47972</v>
      </c>
      <c r="M872" t="str">
        <f>IFERROR(IF(VLOOKUP(LEFT(B872,2),'Humanitarian codes'!$A$2:$A$10,1,FALSE)=LEFT(B872,2),"Yes","Error"),"No")</f>
        <v>Yes</v>
      </c>
    </row>
    <row r="873" spans="1:13" x14ac:dyDescent="0.25">
      <c r="A873" t="s">
        <v>2783</v>
      </c>
      <c r="B873" t="s">
        <v>2369</v>
      </c>
      <c r="C873" t="s">
        <v>2962</v>
      </c>
      <c r="D873" t="s">
        <v>30</v>
      </c>
      <c r="E873" t="s">
        <v>305</v>
      </c>
      <c r="F873" t="s">
        <v>2963</v>
      </c>
      <c r="G873">
        <v>4500315636</v>
      </c>
      <c r="H873" t="s">
        <v>2789</v>
      </c>
      <c r="I873" t="s">
        <v>2475</v>
      </c>
      <c r="J873" t="s">
        <v>305</v>
      </c>
      <c r="K873" s="2">
        <v>47086</v>
      </c>
      <c r="L873" s="2">
        <v>47086</v>
      </c>
      <c r="M873" t="str">
        <f>IFERROR(IF(VLOOKUP(LEFT(B873,2),'Humanitarian codes'!$A$2:$A$10,1,FALSE)=LEFT(B873,2),"Yes","Error"),"No")</f>
        <v>Yes</v>
      </c>
    </row>
    <row r="874" spans="1:13" x14ac:dyDescent="0.25">
      <c r="A874" t="s">
        <v>2783</v>
      </c>
      <c r="B874" t="s">
        <v>2369</v>
      </c>
      <c r="C874" t="s">
        <v>2962</v>
      </c>
      <c r="D874" t="s">
        <v>30</v>
      </c>
      <c r="E874" t="s">
        <v>305</v>
      </c>
      <c r="F874" t="s">
        <v>2499</v>
      </c>
      <c r="G874">
        <v>4500316954</v>
      </c>
      <c r="H874" t="s">
        <v>2789</v>
      </c>
      <c r="I874" t="s">
        <v>2480</v>
      </c>
      <c r="J874" t="s">
        <v>305</v>
      </c>
      <c r="K874" s="2">
        <v>47405</v>
      </c>
      <c r="L874" s="2">
        <v>47405</v>
      </c>
      <c r="M874" t="str">
        <f>IFERROR(IF(VLOOKUP(LEFT(B874,2),'Humanitarian codes'!$A$2:$A$10,1,FALSE)=LEFT(B874,2),"Yes","Error"),"No")</f>
        <v>Yes</v>
      </c>
    </row>
    <row r="875" spans="1:13" x14ac:dyDescent="0.25">
      <c r="A875" t="s">
        <v>2783</v>
      </c>
      <c r="B875" t="s">
        <v>2964</v>
      </c>
      <c r="C875" t="s">
        <v>2965</v>
      </c>
      <c r="D875" t="s">
        <v>30</v>
      </c>
      <c r="E875" t="s">
        <v>303</v>
      </c>
      <c r="F875" t="s">
        <v>2966</v>
      </c>
      <c r="G875">
        <v>4500320814</v>
      </c>
      <c r="H875" t="s">
        <v>2789</v>
      </c>
      <c r="I875" t="s">
        <v>2967</v>
      </c>
      <c r="J875" t="s">
        <v>303</v>
      </c>
      <c r="K875" s="2">
        <v>374461</v>
      </c>
      <c r="L875" s="2">
        <v>374461</v>
      </c>
      <c r="M875" t="str">
        <f>IFERROR(IF(VLOOKUP(LEFT(B875,2),'Humanitarian codes'!$A$2:$A$10,1,FALSE)=LEFT(B875,2),"Yes","Error"),"No")</f>
        <v>Yes</v>
      </c>
    </row>
    <row r="876" spans="1:13" x14ac:dyDescent="0.25">
      <c r="A876" t="s">
        <v>2783</v>
      </c>
      <c r="B876" t="s">
        <v>1266</v>
      </c>
      <c r="C876" t="s">
        <v>2968</v>
      </c>
      <c r="D876" t="s">
        <v>30</v>
      </c>
      <c r="E876" t="s">
        <v>150</v>
      </c>
      <c r="F876" t="s">
        <v>2969</v>
      </c>
      <c r="G876">
        <v>4500302956</v>
      </c>
      <c r="H876" t="s">
        <v>2789</v>
      </c>
      <c r="I876" t="s">
        <v>1981</v>
      </c>
      <c r="J876" t="s">
        <v>150</v>
      </c>
      <c r="K876" s="2">
        <v>88387</v>
      </c>
      <c r="L876" s="2">
        <v>88387</v>
      </c>
      <c r="M876" t="str">
        <f>IFERROR(IF(VLOOKUP(LEFT(B876,2),'Humanitarian codes'!$A$2:$A$10,1,FALSE)=LEFT(B876,2),"Yes","Error"),"No")</f>
        <v>Yes</v>
      </c>
    </row>
    <row r="877" spans="1:13" x14ac:dyDescent="0.25">
      <c r="A877" t="s">
        <v>2783</v>
      </c>
      <c r="B877" t="s">
        <v>811</v>
      </c>
      <c r="C877" t="s">
        <v>2970</v>
      </c>
      <c r="D877" t="s">
        <v>30</v>
      </c>
      <c r="E877" t="s">
        <v>123</v>
      </c>
      <c r="F877" t="s">
        <v>2200</v>
      </c>
      <c r="G877">
        <v>4500306949</v>
      </c>
      <c r="H877" t="s">
        <v>2789</v>
      </c>
      <c r="I877" t="s">
        <v>1280</v>
      </c>
      <c r="J877" t="s">
        <v>123</v>
      </c>
      <c r="K877" s="2">
        <v>1325723</v>
      </c>
      <c r="L877" s="2">
        <v>1325723</v>
      </c>
      <c r="M877" t="str">
        <f>IFERROR(IF(VLOOKUP(LEFT(B877,2),'Humanitarian codes'!$A$2:$A$10,1,FALSE)=LEFT(B877,2),"Yes","Error"),"No")</f>
        <v>Yes</v>
      </c>
    </row>
    <row r="878" spans="1:13" x14ac:dyDescent="0.25">
      <c r="A878" t="s">
        <v>2783</v>
      </c>
      <c r="B878" t="s">
        <v>811</v>
      </c>
      <c r="C878" t="s">
        <v>2970</v>
      </c>
      <c r="D878" t="s">
        <v>30</v>
      </c>
      <c r="E878" t="s">
        <v>123</v>
      </c>
      <c r="F878" t="s">
        <v>2200</v>
      </c>
      <c r="G878">
        <v>4500308201</v>
      </c>
      <c r="H878" t="s">
        <v>2789</v>
      </c>
      <c r="I878" t="s">
        <v>366</v>
      </c>
      <c r="J878" t="s">
        <v>123</v>
      </c>
      <c r="K878" s="2">
        <v>1543944</v>
      </c>
      <c r="L878" s="2">
        <v>1543944</v>
      </c>
      <c r="M878" t="str">
        <f>IFERROR(IF(VLOOKUP(LEFT(B878,2),'Humanitarian codes'!$A$2:$A$10,1,FALSE)=LEFT(B878,2),"Yes","Error"),"No")</f>
        <v>Yes</v>
      </c>
    </row>
    <row r="879" spans="1:13" x14ac:dyDescent="0.25">
      <c r="A879" t="s">
        <v>2783</v>
      </c>
      <c r="B879" t="s">
        <v>811</v>
      </c>
      <c r="C879" t="s">
        <v>2970</v>
      </c>
      <c r="D879" t="s">
        <v>30</v>
      </c>
      <c r="E879" t="s">
        <v>123</v>
      </c>
      <c r="F879" t="s">
        <v>2200</v>
      </c>
      <c r="G879">
        <v>4500316287</v>
      </c>
      <c r="H879" t="s">
        <v>2789</v>
      </c>
      <c r="I879" t="s">
        <v>2971</v>
      </c>
      <c r="J879" t="s">
        <v>996</v>
      </c>
      <c r="K879" s="2">
        <v>29361</v>
      </c>
      <c r="L879" s="2">
        <v>29361</v>
      </c>
      <c r="M879" t="str">
        <f>IFERROR(IF(VLOOKUP(LEFT(B879,2),'Humanitarian codes'!$A$2:$A$10,1,FALSE)=LEFT(B879,2),"Yes","Error"),"No")</f>
        <v>Yes</v>
      </c>
    </row>
    <row r="880" spans="1:13" x14ac:dyDescent="0.25">
      <c r="A880" t="s">
        <v>2783</v>
      </c>
      <c r="B880" t="s">
        <v>811</v>
      </c>
      <c r="C880" t="s">
        <v>2970</v>
      </c>
      <c r="D880" t="s">
        <v>30</v>
      </c>
      <c r="E880" t="s">
        <v>123</v>
      </c>
      <c r="F880" t="s">
        <v>2200</v>
      </c>
      <c r="G880">
        <v>4500318611</v>
      </c>
      <c r="H880" t="s">
        <v>2789</v>
      </c>
      <c r="I880" t="s">
        <v>1280</v>
      </c>
      <c r="J880" t="s">
        <v>123</v>
      </c>
      <c r="K880" s="2">
        <v>20967</v>
      </c>
      <c r="L880" s="2">
        <v>20967</v>
      </c>
      <c r="M880" t="str">
        <f>IFERROR(IF(VLOOKUP(LEFT(B880,2),'Humanitarian codes'!$A$2:$A$10,1,FALSE)=LEFT(B880,2),"Yes","Error"),"No")</f>
        <v>Yes</v>
      </c>
    </row>
    <row r="881" spans="1:13" x14ac:dyDescent="0.25">
      <c r="A881" t="s">
        <v>2783</v>
      </c>
      <c r="B881" t="s">
        <v>2377</v>
      </c>
      <c r="C881" t="s">
        <v>2972</v>
      </c>
      <c r="D881" t="s">
        <v>30</v>
      </c>
      <c r="E881" t="s">
        <v>123</v>
      </c>
      <c r="F881" t="s">
        <v>2200</v>
      </c>
      <c r="G881">
        <v>4500322671</v>
      </c>
      <c r="H881" t="s">
        <v>2789</v>
      </c>
      <c r="I881" t="s">
        <v>368</v>
      </c>
      <c r="J881" t="s">
        <v>123</v>
      </c>
      <c r="K881" s="2">
        <v>37179</v>
      </c>
      <c r="L881" s="2">
        <v>37179</v>
      </c>
      <c r="M881" t="str">
        <f>IFERROR(IF(VLOOKUP(LEFT(B881,2),'Humanitarian codes'!$A$2:$A$10,1,FALSE)=LEFT(B881,2),"Yes","Error"),"No")</f>
        <v>Yes</v>
      </c>
    </row>
    <row r="882" spans="1:13" x14ac:dyDescent="0.25">
      <c r="A882" t="s">
        <v>2783</v>
      </c>
      <c r="B882" t="s">
        <v>1268</v>
      </c>
      <c r="C882" t="s">
        <v>2973</v>
      </c>
      <c r="D882" t="s">
        <v>30</v>
      </c>
      <c r="E882" t="s">
        <v>175</v>
      </c>
      <c r="F882" t="s">
        <v>2200</v>
      </c>
      <c r="G882">
        <v>4500308311</v>
      </c>
      <c r="H882" t="s">
        <v>2789</v>
      </c>
      <c r="I882" t="s">
        <v>186</v>
      </c>
      <c r="J882" t="s">
        <v>175</v>
      </c>
      <c r="K882" s="2">
        <v>140186</v>
      </c>
      <c r="L882" s="2">
        <v>140186</v>
      </c>
      <c r="M882" t="str">
        <f>IFERROR(IF(VLOOKUP(LEFT(B882,2),'Humanitarian codes'!$A$2:$A$10,1,FALSE)=LEFT(B882,2),"Yes","Error"),"No")</f>
        <v>Yes</v>
      </c>
    </row>
    <row r="883" spans="1:13" x14ac:dyDescent="0.25">
      <c r="A883" t="s">
        <v>2783</v>
      </c>
      <c r="B883" t="s">
        <v>1268</v>
      </c>
      <c r="C883" t="s">
        <v>2973</v>
      </c>
      <c r="D883" t="s">
        <v>30</v>
      </c>
      <c r="E883" t="s">
        <v>175</v>
      </c>
      <c r="F883" t="s">
        <v>2200</v>
      </c>
      <c r="G883">
        <v>4500308393</v>
      </c>
      <c r="H883" t="s">
        <v>2789</v>
      </c>
      <c r="I883" t="s">
        <v>233</v>
      </c>
      <c r="J883" t="s">
        <v>175</v>
      </c>
      <c r="K883" s="2">
        <v>208000</v>
      </c>
      <c r="L883" s="2">
        <v>208000</v>
      </c>
      <c r="M883" t="str">
        <f>IFERROR(IF(VLOOKUP(LEFT(B883,2),'Humanitarian codes'!$A$2:$A$10,1,FALSE)=LEFT(B883,2),"Yes","Error"),"No")</f>
        <v>Yes</v>
      </c>
    </row>
    <row r="884" spans="1:13" x14ac:dyDescent="0.25">
      <c r="A884" t="s">
        <v>2783</v>
      </c>
      <c r="B884" t="s">
        <v>1268</v>
      </c>
      <c r="C884" t="s">
        <v>2973</v>
      </c>
      <c r="D884" t="s">
        <v>30</v>
      </c>
      <c r="E884" t="s">
        <v>175</v>
      </c>
      <c r="F884" t="s">
        <v>2200</v>
      </c>
      <c r="G884">
        <v>4500308433</v>
      </c>
      <c r="H884" t="s">
        <v>2789</v>
      </c>
      <c r="I884" t="s">
        <v>2974</v>
      </c>
      <c r="J884" t="s">
        <v>175</v>
      </c>
      <c r="K884" s="2">
        <v>305892</v>
      </c>
      <c r="L884" s="2">
        <v>305892</v>
      </c>
      <c r="M884" t="str">
        <f>IFERROR(IF(VLOOKUP(LEFT(B884,2),'Humanitarian codes'!$A$2:$A$10,1,FALSE)=LEFT(B884,2),"Yes","Error"),"No")</f>
        <v>Yes</v>
      </c>
    </row>
    <row r="885" spans="1:13" x14ac:dyDescent="0.25">
      <c r="A885" t="s">
        <v>2783</v>
      </c>
      <c r="B885" t="s">
        <v>1268</v>
      </c>
      <c r="C885" t="s">
        <v>2973</v>
      </c>
      <c r="D885" t="s">
        <v>30</v>
      </c>
      <c r="E885" t="s">
        <v>175</v>
      </c>
      <c r="F885" t="s">
        <v>2975</v>
      </c>
      <c r="G885">
        <v>4500314595</v>
      </c>
      <c r="H885" t="s">
        <v>2789</v>
      </c>
      <c r="I885" t="s">
        <v>390</v>
      </c>
      <c r="J885" t="s">
        <v>175</v>
      </c>
      <c r="K885" s="2">
        <v>225238</v>
      </c>
      <c r="L885" s="2">
        <v>225238</v>
      </c>
      <c r="M885" t="str">
        <f>IFERROR(IF(VLOOKUP(LEFT(B885,2),'Humanitarian codes'!$A$2:$A$10,1,FALSE)=LEFT(B885,2),"Yes","Error"),"No")</f>
        <v>Yes</v>
      </c>
    </row>
    <row r="886" spans="1:13" x14ac:dyDescent="0.25">
      <c r="A886" t="s">
        <v>2783</v>
      </c>
      <c r="B886" t="s">
        <v>1268</v>
      </c>
      <c r="C886" t="s">
        <v>2973</v>
      </c>
      <c r="D886" t="s">
        <v>30</v>
      </c>
      <c r="E886" t="s">
        <v>175</v>
      </c>
      <c r="F886" t="s">
        <v>2976</v>
      </c>
      <c r="G886">
        <v>4500314606</v>
      </c>
      <c r="H886" t="s">
        <v>2789</v>
      </c>
      <c r="I886" t="s">
        <v>182</v>
      </c>
      <c r="J886" t="s">
        <v>175</v>
      </c>
      <c r="K886" s="2">
        <v>412892</v>
      </c>
      <c r="L886" s="2">
        <v>412892</v>
      </c>
      <c r="M886" t="str">
        <f>IFERROR(IF(VLOOKUP(LEFT(B886,2),'Humanitarian codes'!$A$2:$A$10,1,FALSE)=LEFT(B886,2),"Yes","Error"),"No")</f>
        <v>Yes</v>
      </c>
    </row>
    <row r="887" spans="1:13" x14ac:dyDescent="0.25">
      <c r="A887" t="s">
        <v>2783</v>
      </c>
      <c r="B887" t="s">
        <v>1268</v>
      </c>
      <c r="C887" t="s">
        <v>2973</v>
      </c>
      <c r="D887" t="s">
        <v>30</v>
      </c>
      <c r="E887" t="s">
        <v>175</v>
      </c>
      <c r="F887" t="s">
        <v>2200</v>
      </c>
      <c r="G887">
        <v>4500314618</v>
      </c>
      <c r="H887" t="s">
        <v>2789</v>
      </c>
      <c r="I887" t="s">
        <v>185</v>
      </c>
      <c r="J887" t="s">
        <v>175</v>
      </c>
      <c r="K887" s="2">
        <v>69333</v>
      </c>
      <c r="L887" s="2">
        <v>69333</v>
      </c>
      <c r="M887" t="str">
        <f>IFERROR(IF(VLOOKUP(LEFT(B887,2),'Humanitarian codes'!$A$2:$A$10,1,FALSE)=LEFT(B887,2),"Yes","Error"),"No")</f>
        <v>Yes</v>
      </c>
    </row>
    <row r="888" spans="1:13" x14ac:dyDescent="0.25">
      <c r="A888" t="s">
        <v>2783</v>
      </c>
      <c r="B888" t="s">
        <v>1273</v>
      </c>
      <c r="C888" t="s">
        <v>2977</v>
      </c>
      <c r="D888" t="s">
        <v>30</v>
      </c>
      <c r="E888" t="s">
        <v>261</v>
      </c>
      <c r="F888" t="s">
        <v>2978</v>
      </c>
      <c r="G888">
        <v>4500303091</v>
      </c>
      <c r="H888" t="s">
        <v>2789</v>
      </c>
      <c r="I888" t="s">
        <v>897</v>
      </c>
      <c r="J888" t="s">
        <v>261</v>
      </c>
      <c r="K888" s="2">
        <v>53955</v>
      </c>
      <c r="L888" s="2">
        <v>53955</v>
      </c>
      <c r="M888" t="str">
        <f>IFERROR(IF(VLOOKUP(LEFT(B888,2),'Humanitarian codes'!$A$2:$A$10,1,FALSE)=LEFT(B888,2),"Yes","Error"),"No")</f>
        <v>Yes</v>
      </c>
    </row>
    <row r="889" spans="1:13" x14ac:dyDescent="0.25">
      <c r="A889" t="s">
        <v>2783</v>
      </c>
      <c r="B889" t="s">
        <v>1273</v>
      </c>
      <c r="C889" t="s">
        <v>2977</v>
      </c>
      <c r="D889" t="s">
        <v>30</v>
      </c>
      <c r="E889" t="s">
        <v>261</v>
      </c>
      <c r="F889" t="s">
        <v>2979</v>
      </c>
      <c r="G889">
        <v>4500303904</v>
      </c>
      <c r="H889" t="s">
        <v>2789</v>
      </c>
      <c r="I889" t="s">
        <v>2980</v>
      </c>
      <c r="J889" t="s">
        <v>261</v>
      </c>
      <c r="K889" s="2">
        <v>79726</v>
      </c>
      <c r="L889" s="2">
        <v>79726</v>
      </c>
      <c r="M889" t="str">
        <f>IFERROR(IF(VLOOKUP(LEFT(B889,2),'Humanitarian codes'!$A$2:$A$10,1,FALSE)=LEFT(B889,2),"Yes","Error"),"No")</f>
        <v>Yes</v>
      </c>
    </row>
    <row r="890" spans="1:13" x14ac:dyDescent="0.25">
      <c r="A890" t="s">
        <v>2783</v>
      </c>
      <c r="B890" t="s">
        <v>1273</v>
      </c>
      <c r="C890" t="s">
        <v>2977</v>
      </c>
      <c r="D890" t="s">
        <v>30</v>
      </c>
      <c r="E890" t="s">
        <v>261</v>
      </c>
      <c r="F890" t="s">
        <v>2200</v>
      </c>
      <c r="G890">
        <v>4500305227</v>
      </c>
      <c r="H890" t="s">
        <v>2789</v>
      </c>
      <c r="I890" t="s">
        <v>2981</v>
      </c>
      <c r="J890" t="s">
        <v>261</v>
      </c>
      <c r="K890" s="2">
        <v>138442</v>
      </c>
      <c r="L890" s="2">
        <v>138442</v>
      </c>
      <c r="M890" t="str">
        <f>IFERROR(IF(VLOOKUP(LEFT(B890,2),'Humanitarian codes'!$A$2:$A$10,1,FALSE)=LEFT(B890,2),"Yes","Error"),"No")</f>
        <v>Yes</v>
      </c>
    </row>
    <row r="891" spans="1:13" x14ac:dyDescent="0.25">
      <c r="A891" t="s">
        <v>2783</v>
      </c>
      <c r="B891" t="s">
        <v>1273</v>
      </c>
      <c r="C891" t="s">
        <v>2977</v>
      </c>
      <c r="D891" t="s">
        <v>30</v>
      </c>
      <c r="E891" t="s">
        <v>261</v>
      </c>
      <c r="F891" t="s">
        <v>2982</v>
      </c>
      <c r="G891">
        <v>4500306463</v>
      </c>
      <c r="H891" t="s">
        <v>2789</v>
      </c>
      <c r="I891" t="s">
        <v>2981</v>
      </c>
      <c r="J891" t="s">
        <v>261</v>
      </c>
      <c r="K891" s="2">
        <v>78660</v>
      </c>
      <c r="L891" s="2">
        <v>78660</v>
      </c>
      <c r="M891" t="str">
        <f>IFERROR(IF(VLOOKUP(LEFT(B891,2),'Humanitarian codes'!$A$2:$A$10,1,FALSE)=LEFT(B891,2),"Yes","Error"),"No")</f>
        <v>Yes</v>
      </c>
    </row>
    <row r="892" spans="1:13" x14ac:dyDescent="0.25">
      <c r="A892" t="s">
        <v>2783</v>
      </c>
      <c r="B892" t="s">
        <v>1273</v>
      </c>
      <c r="C892" t="s">
        <v>2977</v>
      </c>
      <c r="D892" t="s">
        <v>30</v>
      </c>
      <c r="E892" t="s">
        <v>261</v>
      </c>
      <c r="F892" t="s">
        <v>2983</v>
      </c>
      <c r="G892">
        <v>4500318109</v>
      </c>
      <c r="H892" t="s">
        <v>2789</v>
      </c>
      <c r="I892" t="s">
        <v>2984</v>
      </c>
      <c r="J892" t="s">
        <v>261</v>
      </c>
      <c r="K892" s="2">
        <v>462687</v>
      </c>
      <c r="L892" s="2">
        <v>462687</v>
      </c>
      <c r="M892" t="str">
        <f>IFERROR(IF(VLOOKUP(LEFT(B892,2),'Humanitarian codes'!$A$2:$A$10,1,FALSE)=LEFT(B892,2),"Yes","Error"),"No")</f>
        <v>Yes</v>
      </c>
    </row>
    <row r="893" spans="1:13" x14ac:dyDescent="0.25">
      <c r="A893" t="s">
        <v>2783</v>
      </c>
      <c r="B893" t="s">
        <v>1273</v>
      </c>
      <c r="C893" t="s">
        <v>2977</v>
      </c>
      <c r="D893" t="s">
        <v>30</v>
      </c>
      <c r="E893" t="s">
        <v>261</v>
      </c>
      <c r="F893" t="s">
        <v>2985</v>
      </c>
      <c r="G893">
        <v>4500323419</v>
      </c>
      <c r="H893" t="s">
        <v>2789</v>
      </c>
      <c r="I893" t="s">
        <v>2986</v>
      </c>
      <c r="J893" t="s">
        <v>261</v>
      </c>
      <c r="K893" s="2">
        <v>54470</v>
      </c>
      <c r="L893" s="2">
        <v>54470</v>
      </c>
      <c r="M893" t="str">
        <f>IFERROR(IF(VLOOKUP(LEFT(B893,2),'Humanitarian codes'!$A$2:$A$10,1,FALSE)=LEFT(B893,2),"Yes","Error"),"No")</f>
        <v>Yes</v>
      </c>
    </row>
    <row r="894" spans="1:13" x14ac:dyDescent="0.25">
      <c r="A894" t="s">
        <v>2783</v>
      </c>
      <c r="B894" t="s">
        <v>1275</v>
      </c>
      <c r="C894" t="s">
        <v>2987</v>
      </c>
      <c r="D894" t="s">
        <v>30</v>
      </c>
      <c r="E894" t="s">
        <v>205</v>
      </c>
      <c r="F894" t="s">
        <v>2988</v>
      </c>
      <c r="G894">
        <v>4500310560</v>
      </c>
      <c r="H894" t="s">
        <v>2789</v>
      </c>
      <c r="I894" t="s">
        <v>869</v>
      </c>
      <c r="J894" t="s">
        <v>205</v>
      </c>
      <c r="K894" s="2">
        <v>508722</v>
      </c>
      <c r="L894" s="2">
        <v>508722</v>
      </c>
      <c r="M894" t="str">
        <f>IFERROR(IF(VLOOKUP(LEFT(B894,2),'Humanitarian codes'!$A$2:$A$10,1,FALSE)=LEFT(B894,2),"Yes","Error"),"No")</f>
        <v>Yes</v>
      </c>
    </row>
    <row r="895" spans="1:13" x14ac:dyDescent="0.25">
      <c r="A895" t="s">
        <v>2783</v>
      </c>
      <c r="B895" t="s">
        <v>1275</v>
      </c>
      <c r="C895" t="s">
        <v>2987</v>
      </c>
      <c r="D895" t="s">
        <v>30</v>
      </c>
      <c r="E895" t="s">
        <v>205</v>
      </c>
      <c r="F895" t="s">
        <v>2989</v>
      </c>
      <c r="G895">
        <v>4500312960</v>
      </c>
      <c r="H895" t="s">
        <v>2789</v>
      </c>
      <c r="I895" t="s">
        <v>2990</v>
      </c>
      <c r="J895" t="s">
        <v>205</v>
      </c>
      <c r="K895" s="2">
        <v>12495</v>
      </c>
      <c r="L895" s="2">
        <v>22000</v>
      </c>
      <c r="M895" t="str">
        <f>IFERROR(IF(VLOOKUP(LEFT(B895,2),'Humanitarian codes'!$A$2:$A$10,1,FALSE)=LEFT(B895,2),"Yes","Error"),"No")</f>
        <v>Yes</v>
      </c>
    </row>
    <row r="896" spans="1:13" x14ac:dyDescent="0.25">
      <c r="A896" t="s">
        <v>2783</v>
      </c>
      <c r="B896" t="s">
        <v>1275</v>
      </c>
      <c r="C896" t="s">
        <v>2987</v>
      </c>
      <c r="D896" t="s">
        <v>30</v>
      </c>
      <c r="E896" t="s">
        <v>205</v>
      </c>
      <c r="F896" t="s">
        <v>2991</v>
      </c>
      <c r="G896">
        <v>4500314104</v>
      </c>
      <c r="H896" t="s">
        <v>2789</v>
      </c>
      <c r="I896" t="s">
        <v>875</v>
      </c>
      <c r="J896" t="s">
        <v>205</v>
      </c>
      <c r="K896" s="2">
        <v>180000</v>
      </c>
      <c r="L896" s="2">
        <v>180000</v>
      </c>
      <c r="M896" t="str">
        <f>IFERROR(IF(VLOOKUP(LEFT(B896,2),'Humanitarian codes'!$A$2:$A$10,1,FALSE)=LEFT(B896,2),"Yes","Error"),"No")</f>
        <v>Yes</v>
      </c>
    </row>
    <row r="897" spans="1:13" x14ac:dyDescent="0.25">
      <c r="A897" t="s">
        <v>2783</v>
      </c>
      <c r="B897" t="s">
        <v>1275</v>
      </c>
      <c r="C897" t="s">
        <v>2987</v>
      </c>
      <c r="D897" t="s">
        <v>30</v>
      </c>
      <c r="E897" t="s">
        <v>205</v>
      </c>
      <c r="F897" t="s">
        <v>2992</v>
      </c>
      <c r="G897">
        <v>4500314112</v>
      </c>
      <c r="H897" t="s">
        <v>2789</v>
      </c>
      <c r="I897" t="s">
        <v>207</v>
      </c>
      <c r="J897" t="s">
        <v>205</v>
      </c>
      <c r="K897" s="2">
        <v>150000</v>
      </c>
      <c r="L897" s="2">
        <v>150000</v>
      </c>
      <c r="M897" t="str">
        <f>IFERROR(IF(VLOOKUP(LEFT(B897,2),'Humanitarian codes'!$A$2:$A$10,1,FALSE)=LEFT(B897,2),"Yes","Error"),"No")</f>
        <v>Yes</v>
      </c>
    </row>
    <row r="898" spans="1:13" x14ac:dyDescent="0.25">
      <c r="A898" t="s">
        <v>2783</v>
      </c>
      <c r="B898" t="s">
        <v>1275</v>
      </c>
      <c r="C898" t="s">
        <v>2987</v>
      </c>
      <c r="D898" t="s">
        <v>30</v>
      </c>
      <c r="E898" t="s">
        <v>205</v>
      </c>
      <c r="F898" t="s">
        <v>2993</v>
      </c>
      <c r="G898">
        <v>4500314114</v>
      </c>
      <c r="H898" t="s">
        <v>2789</v>
      </c>
      <c r="I898" t="s">
        <v>208</v>
      </c>
      <c r="J898" t="s">
        <v>205</v>
      </c>
      <c r="K898" s="2">
        <v>115000</v>
      </c>
      <c r="L898" s="2">
        <v>115000</v>
      </c>
      <c r="M898" t="str">
        <f>IFERROR(IF(VLOOKUP(LEFT(B898,2),'Humanitarian codes'!$A$2:$A$10,1,FALSE)=LEFT(B898,2),"Yes","Error"),"No")</f>
        <v>Yes</v>
      </c>
    </row>
    <row r="899" spans="1:13" x14ac:dyDescent="0.25">
      <c r="A899" t="s">
        <v>2783</v>
      </c>
      <c r="B899" t="s">
        <v>1275</v>
      </c>
      <c r="C899" t="s">
        <v>2987</v>
      </c>
      <c r="D899" t="s">
        <v>30</v>
      </c>
      <c r="E899" t="s">
        <v>205</v>
      </c>
      <c r="F899" t="s">
        <v>2994</v>
      </c>
      <c r="G899">
        <v>4500314116</v>
      </c>
      <c r="H899" t="s">
        <v>2789</v>
      </c>
      <c r="I899" t="s">
        <v>874</v>
      </c>
      <c r="J899" t="s">
        <v>205</v>
      </c>
      <c r="K899" s="2">
        <v>80000</v>
      </c>
      <c r="L899" s="2">
        <v>80000</v>
      </c>
      <c r="M899" t="str">
        <f>IFERROR(IF(VLOOKUP(LEFT(B899,2),'Humanitarian codes'!$A$2:$A$10,1,FALSE)=LEFT(B899,2),"Yes","Error"),"No")</f>
        <v>Yes</v>
      </c>
    </row>
    <row r="900" spans="1:13" x14ac:dyDescent="0.25">
      <c r="A900" t="s">
        <v>2783</v>
      </c>
      <c r="B900" t="s">
        <v>1275</v>
      </c>
      <c r="C900" t="s">
        <v>2987</v>
      </c>
      <c r="D900" t="s">
        <v>30</v>
      </c>
      <c r="E900" t="s">
        <v>205</v>
      </c>
      <c r="F900" t="s">
        <v>2995</v>
      </c>
      <c r="G900">
        <v>4500314118</v>
      </c>
      <c r="H900" t="s">
        <v>2789</v>
      </c>
      <c r="I900" t="s">
        <v>2996</v>
      </c>
      <c r="J900" t="s">
        <v>205</v>
      </c>
      <c r="K900" s="2">
        <v>110000</v>
      </c>
      <c r="L900" s="2">
        <v>110000</v>
      </c>
      <c r="M900" t="str">
        <f>IFERROR(IF(VLOOKUP(LEFT(B900,2),'Humanitarian codes'!$A$2:$A$10,1,FALSE)=LEFT(B900,2),"Yes","Error"),"No")</f>
        <v>Yes</v>
      </c>
    </row>
    <row r="901" spans="1:13" x14ac:dyDescent="0.25">
      <c r="A901" t="s">
        <v>2783</v>
      </c>
      <c r="B901" t="s">
        <v>1275</v>
      </c>
      <c r="C901" t="s">
        <v>2987</v>
      </c>
      <c r="D901" t="s">
        <v>30</v>
      </c>
      <c r="E901" t="s">
        <v>205</v>
      </c>
      <c r="F901" t="s">
        <v>2997</v>
      </c>
      <c r="G901">
        <v>4500314125</v>
      </c>
      <c r="H901" t="s">
        <v>2789</v>
      </c>
      <c r="I901" t="s">
        <v>2998</v>
      </c>
      <c r="J901" t="s">
        <v>205</v>
      </c>
      <c r="K901" s="2">
        <v>24000</v>
      </c>
      <c r="L901" s="2">
        <v>24000</v>
      </c>
      <c r="M901" t="str">
        <f>IFERROR(IF(VLOOKUP(LEFT(B901,2),'Humanitarian codes'!$A$2:$A$10,1,FALSE)=LEFT(B901,2),"Yes","Error"),"No")</f>
        <v>Yes</v>
      </c>
    </row>
    <row r="902" spans="1:13" x14ac:dyDescent="0.25">
      <c r="A902" t="s">
        <v>2783</v>
      </c>
      <c r="B902" t="s">
        <v>1275</v>
      </c>
      <c r="C902" t="s">
        <v>2987</v>
      </c>
      <c r="D902" t="s">
        <v>30</v>
      </c>
      <c r="E902" t="s">
        <v>205</v>
      </c>
      <c r="F902" t="s">
        <v>2999</v>
      </c>
      <c r="G902">
        <v>4500322407</v>
      </c>
      <c r="H902" t="s">
        <v>2789</v>
      </c>
      <c r="I902" t="s">
        <v>1986</v>
      </c>
      <c r="J902" t="s">
        <v>205</v>
      </c>
      <c r="K902" s="2">
        <v>50000</v>
      </c>
      <c r="L902" s="2">
        <v>50000</v>
      </c>
      <c r="M902" t="str">
        <f>IFERROR(IF(VLOOKUP(LEFT(B902,2),'Humanitarian codes'!$A$2:$A$10,1,FALSE)=LEFT(B902,2),"Yes","Error"),"No")</f>
        <v>Yes</v>
      </c>
    </row>
    <row r="903" spans="1:13" x14ac:dyDescent="0.25">
      <c r="A903" t="s">
        <v>2783</v>
      </c>
      <c r="B903" t="s">
        <v>1275</v>
      </c>
      <c r="C903" t="s">
        <v>2987</v>
      </c>
      <c r="D903" t="s">
        <v>30</v>
      </c>
      <c r="E903" t="s">
        <v>210</v>
      </c>
      <c r="F903" t="s">
        <v>3000</v>
      </c>
      <c r="G903">
        <v>4500307686</v>
      </c>
      <c r="H903" t="s">
        <v>2789</v>
      </c>
      <c r="I903" t="s">
        <v>213</v>
      </c>
      <c r="J903" t="s">
        <v>210</v>
      </c>
      <c r="K903" s="2">
        <v>296012</v>
      </c>
      <c r="L903" s="2">
        <v>456148</v>
      </c>
      <c r="M903" t="str">
        <f>IFERROR(IF(VLOOKUP(LEFT(B903,2),'Humanitarian codes'!$A$2:$A$10,1,FALSE)=LEFT(B903,2),"Yes","Error"),"No")</f>
        <v>Yes</v>
      </c>
    </row>
    <row r="904" spans="1:13" x14ac:dyDescent="0.25">
      <c r="A904" t="s">
        <v>2783</v>
      </c>
      <c r="B904" t="s">
        <v>1275</v>
      </c>
      <c r="C904" t="s">
        <v>2987</v>
      </c>
      <c r="D904" t="s">
        <v>30</v>
      </c>
      <c r="E904" t="s">
        <v>210</v>
      </c>
      <c r="F904" t="s">
        <v>3001</v>
      </c>
      <c r="G904">
        <v>4500317011</v>
      </c>
      <c r="H904" t="s">
        <v>2789</v>
      </c>
      <c r="I904" t="s">
        <v>468</v>
      </c>
      <c r="J904" t="s">
        <v>210</v>
      </c>
      <c r="K904" s="2">
        <v>169853</v>
      </c>
      <c r="L904" s="2">
        <v>169853</v>
      </c>
      <c r="M904" t="str">
        <f>IFERROR(IF(VLOOKUP(LEFT(B904,2),'Humanitarian codes'!$A$2:$A$10,1,FALSE)=LEFT(B904,2),"Yes","Error"),"No")</f>
        <v>Yes</v>
      </c>
    </row>
    <row r="905" spans="1:13" x14ac:dyDescent="0.25">
      <c r="A905" t="s">
        <v>2783</v>
      </c>
      <c r="B905" t="s">
        <v>1275</v>
      </c>
      <c r="C905" t="s">
        <v>2987</v>
      </c>
      <c r="D905" t="s">
        <v>30</v>
      </c>
      <c r="E905" t="s">
        <v>210</v>
      </c>
      <c r="F905" t="s">
        <v>2357</v>
      </c>
      <c r="G905">
        <v>4500325047</v>
      </c>
      <c r="H905" t="s">
        <v>2789</v>
      </c>
      <c r="I905" t="s">
        <v>211</v>
      </c>
      <c r="J905" t="s">
        <v>210</v>
      </c>
      <c r="K905" s="2">
        <v>101906</v>
      </c>
      <c r="L905" s="2">
        <v>101906</v>
      </c>
      <c r="M905" t="str">
        <f>IFERROR(IF(VLOOKUP(LEFT(B905,2),'Humanitarian codes'!$A$2:$A$10,1,FALSE)=LEFT(B905,2),"Yes","Error"),"No")</f>
        <v>Yes</v>
      </c>
    </row>
    <row r="906" spans="1:13" x14ac:dyDescent="0.25">
      <c r="A906" t="s">
        <v>2783</v>
      </c>
      <c r="B906" t="s">
        <v>3002</v>
      </c>
      <c r="C906" t="s">
        <v>3003</v>
      </c>
      <c r="D906" t="s">
        <v>30</v>
      </c>
      <c r="E906" t="s">
        <v>123</v>
      </c>
      <c r="F906" t="s">
        <v>2200</v>
      </c>
      <c r="G906">
        <v>4500319518</v>
      </c>
      <c r="H906" t="s">
        <v>2789</v>
      </c>
      <c r="I906" t="s">
        <v>1980</v>
      </c>
      <c r="J906" t="s">
        <v>123</v>
      </c>
      <c r="K906" s="2">
        <v>2513364</v>
      </c>
      <c r="L906" s="2">
        <v>2513364</v>
      </c>
      <c r="M906" t="str">
        <f>IFERROR(IF(VLOOKUP(LEFT(B906,2),'Humanitarian codes'!$A$2:$A$10,1,FALSE)=LEFT(B906,2),"Yes","Error"),"No")</f>
        <v>Yes</v>
      </c>
    </row>
    <row r="907" spans="1:13" x14ac:dyDescent="0.25">
      <c r="A907" t="s">
        <v>2783</v>
      </c>
      <c r="B907" t="s">
        <v>3004</v>
      </c>
      <c r="C907" t="s">
        <v>3005</v>
      </c>
      <c r="D907" t="s">
        <v>30</v>
      </c>
      <c r="E907" t="s">
        <v>123</v>
      </c>
      <c r="F907" t="s">
        <v>2200</v>
      </c>
      <c r="G907">
        <v>4500305709</v>
      </c>
      <c r="H907" t="s">
        <v>2789</v>
      </c>
      <c r="I907" t="s">
        <v>813</v>
      </c>
      <c r="J907" t="s">
        <v>123</v>
      </c>
      <c r="K907" s="2">
        <v>321377</v>
      </c>
      <c r="L907" s="2">
        <v>321377</v>
      </c>
      <c r="M907" t="str">
        <f>IFERROR(IF(VLOOKUP(LEFT(B907,2),'Humanitarian codes'!$A$2:$A$10,1,FALSE)=LEFT(B907,2),"Yes","Error"),"No")</f>
        <v>Yes</v>
      </c>
    </row>
    <row r="908" spans="1:13" x14ac:dyDescent="0.25">
      <c r="A908" t="s">
        <v>2783</v>
      </c>
      <c r="B908" t="s">
        <v>3004</v>
      </c>
      <c r="C908" t="s">
        <v>3005</v>
      </c>
      <c r="D908" t="s">
        <v>30</v>
      </c>
      <c r="E908" t="s">
        <v>123</v>
      </c>
      <c r="F908" t="s">
        <v>2200</v>
      </c>
      <c r="G908">
        <v>4500311880</v>
      </c>
      <c r="H908" t="s">
        <v>2789</v>
      </c>
      <c r="I908" t="s">
        <v>2744</v>
      </c>
      <c r="J908" t="s">
        <v>123</v>
      </c>
      <c r="K908" s="2">
        <v>375231</v>
      </c>
      <c r="L908" s="2">
        <v>375231</v>
      </c>
      <c r="M908" t="str">
        <f>IFERROR(IF(VLOOKUP(LEFT(B908,2),'Humanitarian codes'!$A$2:$A$10,1,FALSE)=LEFT(B908,2),"Yes","Error"),"No")</f>
        <v>Yes</v>
      </c>
    </row>
    <row r="909" spans="1:13" x14ac:dyDescent="0.25">
      <c r="A909" t="s">
        <v>2783</v>
      </c>
      <c r="B909" t="s">
        <v>3004</v>
      </c>
      <c r="C909" t="s">
        <v>3005</v>
      </c>
      <c r="D909" t="s">
        <v>30</v>
      </c>
      <c r="E909" t="s">
        <v>123</v>
      </c>
      <c r="F909" t="s">
        <v>2200</v>
      </c>
      <c r="G909">
        <v>4500319186</v>
      </c>
      <c r="H909" t="s">
        <v>2789</v>
      </c>
      <c r="I909" t="s">
        <v>124</v>
      </c>
      <c r="J909" t="s">
        <v>123</v>
      </c>
      <c r="K909" s="2">
        <v>578760</v>
      </c>
      <c r="L909" s="2">
        <v>578760</v>
      </c>
      <c r="M909" t="str">
        <f>IFERROR(IF(VLOOKUP(LEFT(B909,2),'Humanitarian codes'!$A$2:$A$10,1,FALSE)=LEFT(B909,2),"Yes","Error"),"No")</f>
        <v>Yes</v>
      </c>
    </row>
    <row r="910" spans="1:13" x14ac:dyDescent="0.25">
      <c r="A910" t="s">
        <v>2783</v>
      </c>
      <c r="B910" t="s">
        <v>3004</v>
      </c>
      <c r="C910" t="s">
        <v>3005</v>
      </c>
      <c r="D910" t="s">
        <v>30</v>
      </c>
      <c r="E910" t="s">
        <v>123</v>
      </c>
      <c r="F910" t="s">
        <v>2200</v>
      </c>
      <c r="G910">
        <v>4500322725</v>
      </c>
      <c r="H910" t="s">
        <v>2789</v>
      </c>
      <c r="I910" t="s">
        <v>2366</v>
      </c>
      <c r="J910" t="s">
        <v>123</v>
      </c>
      <c r="K910" s="2">
        <v>438920</v>
      </c>
      <c r="L910" s="2">
        <v>438920</v>
      </c>
      <c r="M910" t="str">
        <f>IFERROR(IF(VLOOKUP(LEFT(B910,2),'Humanitarian codes'!$A$2:$A$10,1,FALSE)=LEFT(B910,2),"Yes","Error"),"No")</f>
        <v>Yes</v>
      </c>
    </row>
    <row r="911" spans="1:13" x14ac:dyDescent="0.25">
      <c r="A911" t="s">
        <v>2783</v>
      </c>
      <c r="B911" t="s">
        <v>2421</v>
      </c>
      <c r="C911" t="s">
        <v>3006</v>
      </c>
      <c r="D911" t="s">
        <v>30</v>
      </c>
      <c r="E911" t="s">
        <v>992</v>
      </c>
      <c r="F911" t="s">
        <v>2200</v>
      </c>
      <c r="G911">
        <v>4500308052</v>
      </c>
      <c r="H911" t="s">
        <v>2789</v>
      </c>
      <c r="I911" t="s">
        <v>2423</v>
      </c>
      <c r="J911" t="s">
        <v>992</v>
      </c>
      <c r="K911" s="2">
        <v>62726</v>
      </c>
      <c r="L911" s="2">
        <v>62726</v>
      </c>
      <c r="M911" t="str">
        <f>IFERROR(IF(VLOOKUP(LEFT(B911,2),'Humanitarian codes'!$A$2:$A$10,1,FALSE)=LEFT(B911,2),"Yes","Error"),"No")</f>
        <v>Yes</v>
      </c>
    </row>
    <row r="912" spans="1:13" x14ac:dyDescent="0.25">
      <c r="A912" t="s">
        <v>2783</v>
      </c>
      <c r="B912" t="s">
        <v>2421</v>
      </c>
      <c r="C912" t="s">
        <v>3006</v>
      </c>
      <c r="D912" t="s">
        <v>30</v>
      </c>
      <c r="E912" t="s">
        <v>992</v>
      </c>
      <c r="F912" t="s">
        <v>2200</v>
      </c>
      <c r="G912">
        <v>4500309993</v>
      </c>
      <c r="H912" t="s">
        <v>2789</v>
      </c>
      <c r="I912" t="s">
        <v>2424</v>
      </c>
      <c r="J912" t="s">
        <v>992</v>
      </c>
      <c r="K912" s="2">
        <v>130085</v>
      </c>
      <c r="L912" s="2">
        <v>130085</v>
      </c>
      <c r="M912" t="str">
        <f>IFERROR(IF(VLOOKUP(LEFT(B912,2),'Humanitarian codes'!$A$2:$A$10,1,FALSE)=LEFT(B912,2),"Yes","Error"),"No")</f>
        <v>Yes</v>
      </c>
    </row>
    <row r="913" spans="1:13" x14ac:dyDescent="0.25">
      <c r="A913" t="s">
        <v>2783</v>
      </c>
      <c r="B913" t="s">
        <v>3007</v>
      </c>
      <c r="C913" t="s">
        <v>3008</v>
      </c>
      <c r="D913" t="s">
        <v>30</v>
      </c>
      <c r="E913" t="s">
        <v>210</v>
      </c>
      <c r="F913" t="s">
        <v>3009</v>
      </c>
      <c r="G913">
        <v>4500319750</v>
      </c>
      <c r="H913" t="s">
        <v>2789</v>
      </c>
      <c r="I913" t="s">
        <v>2416</v>
      </c>
      <c r="J913" t="s">
        <v>210</v>
      </c>
      <c r="K913" s="2">
        <v>197752</v>
      </c>
      <c r="L913" s="2">
        <v>197752</v>
      </c>
      <c r="M913" t="str">
        <f>IFERROR(IF(VLOOKUP(LEFT(B913,2),'Humanitarian codes'!$A$2:$A$10,1,FALSE)=LEFT(B913,2),"Yes","Error"),"No")</f>
        <v>Yes</v>
      </c>
    </row>
    <row r="914" spans="1:13" x14ac:dyDescent="0.25">
      <c r="A914" t="s">
        <v>2783</v>
      </c>
      <c r="B914" t="s">
        <v>3007</v>
      </c>
      <c r="C914" t="s">
        <v>3008</v>
      </c>
      <c r="D914" t="s">
        <v>30</v>
      </c>
      <c r="E914" t="s">
        <v>210</v>
      </c>
      <c r="F914" t="s">
        <v>3010</v>
      </c>
      <c r="G914">
        <v>4500319755</v>
      </c>
      <c r="H914" t="s">
        <v>2789</v>
      </c>
      <c r="I914" t="s">
        <v>211</v>
      </c>
      <c r="J914" t="s">
        <v>210</v>
      </c>
      <c r="K914" s="2">
        <v>400492</v>
      </c>
      <c r="L914" s="2">
        <v>400492</v>
      </c>
      <c r="M914" t="str">
        <f>IFERROR(IF(VLOOKUP(LEFT(B914,2),'Humanitarian codes'!$A$2:$A$10,1,FALSE)=LEFT(B914,2),"Yes","Error"),"No")</f>
        <v>Yes</v>
      </c>
    </row>
    <row r="915" spans="1:13" x14ac:dyDescent="0.25">
      <c r="A915" t="s">
        <v>2783</v>
      </c>
      <c r="B915" t="s">
        <v>3007</v>
      </c>
      <c r="C915" t="s">
        <v>3008</v>
      </c>
      <c r="D915" t="s">
        <v>30</v>
      </c>
      <c r="E915" t="s">
        <v>210</v>
      </c>
      <c r="F915" t="s">
        <v>3011</v>
      </c>
      <c r="G915">
        <v>4500319771</v>
      </c>
      <c r="H915" t="s">
        <v>2789</v>
      </c>
      <c r="I915" t="s">
        <v>3012</v>
      </c>
      <c r="J915" t="s">
        <v>210</v>
      </c>
      <c r="K915" s="2">
        <v>197758</v>
      </c>
      <c r="L915" s="2">
        <v>197758</v>
      </c>
      <c r="M915" t="str">
        <f>IFERROR(IF(VLOOKUP(LEFT(B915,2),'Humanitarian codes'!$A$2:$A$10,1,FALSE)=LEFT(B915,2),"Yes","Error"),"No")</f>
        <v>Yes</v>
      </c>
    </row>
    <row r="916" spans="1:13" x14ac:dyDescent="0.25">
      <c r="A916" t="s">
        <v>2783</v>
      </c>
      <c r="B916" t="s">
        <v>3007</v>
      </c>
      <c r="C916" t="s">
        <v>3008</v>
      </c>
      <c r="D916" t="s">
        <v>30</v>
      </c>
      <c r="E916" t="s">
        <v>210</v>
      </c>
      <c r="F916" t="s">
        <v>3013</v>
      </c>
      <c r="G916">
        <v>4500320703</v>
      </c>
      <c r="H916" t="s">
        <v>2789</v>
      </c>
      <c r="I916" t="s">
        <v>3014</v>
      </c>
      <c r="J916" t="s">
        <v>210</v>
      </c>
      <c r="K916" s="2">
        <v>197758</v>
      </c>
      <c r="L916" s="2">
        <v>197758</v>
      </c>
      <c r="M916" t="str">
        <f>IFERROR(IF(VLOOKUP(LEFT(B916,2),'Humanitarian codes'!$A$2:$A$10,1,FALSE)=LEFT(B916,2),"Yes","Error"),"No")</f>
        <v>Yes</v>
      </c>
    </row>
    <row r="917" spans="1:13" x14ac:dyDescent="0.25">
      <c r="A917" t="s">
        <v>2783</v>
      </c>
      <c r="B917" t="s">
        <v>1724</v>
      </c>
      <c r="C917" t="s">
        <v>3015</v>
      </c>
      <c r="D917" t="s">
        <v>30</v>
      </c>
      <c r="E917" t="s">
        <v>175</v>
      </c>
      <c r="F917" t="s">
        <v>2357</v>
      </c>
      <c r="G917">
        <v>4500308450</v>
      </c>
      <c r="H917" t="s">
        <v>2789</v>
      </c>
      <c r="I917" t="s">
        <v>183</v>
      </c>
      <c r="J917" t="s">
        <v>184</v>
      </c>
      <c r="K917" s="2">
        <v>316750</v>
      </c>
      <c r="L917" s="2">
        <v>316750</v>
      </c>
      <c r="M917" t="str">
        <f>IFERROR(IF(VLOOKUP(LEFT(B917,2),'Humanitarian codes'!$A$2:$A$10,1,FALSE)=LEFT(B917,2),"Yes","Error"),"No")</f>
        <v>Yes</v>
      </c>
    </row>
    <row r="918" spans="1:13" x14ac:dyDescent="0.25">
      <c r="A918" t="s">
        <v>2783</v>
      </c>
      <c r="B918" t="s">
        <v>1724</v>
      </c>
      <c r="C918" t="s">
        <v>3015</v>
      </c>
      <c r="D918" t="s">
        <v>30</v>
      </c>
      <c r="E918" t="s">
        <v>175</v>
      </c>
      <c r="F918" t="s">
        <v>2357</v>
      </c>
      <c r="G918">
        <v>4500308498</v>
      </c>
      <c r="H918" t="s">
        <v>2789</v>
      </c>
      <c r="I918" t="s">
        <v>887</v>
      </c>
      <c r="J918" t="s">
        <v>175</v>
      </c>
      <c r="K918" s="2">
        <v>147143</v>
      </c>
      <c r="L918" s="2">
        <v>147143</v>
      </c>
      <c r="M918" t="str">
        <f>IFERROR(IF(VLOOKUP(LEFT(B918,2),'Humanitarian codes'!$A$2:$A$10,1,FALSE)=LEFT(B918,2),"Yes","Error"),"No")</f>
        <v>Yes</v>
      </c>
    </row>
    <row r="919" spans="1:13" x14ac:dyDescent="0.25">
      <c r="A919" t="s">
        <v>2783</v>
      </c>
      <c r="B919" t="s">
        <v>1724</v>
      </c>
      <c r="C919" t="s">
        <v>3015</v>
      </c>
      <c r="D919" t="s">
        <v>30</v>
      </c>
      <c r="E919" t="s">
        <v>175</v>
      </c>
      <c r="F919" t="s">
        <v>2200</v>
      </c>
      <c r="G919">
        <v>4500320534</v>
      </c>
      <c r="H919" t="s">
        <v>2789</v>
      </c>
      <c r="I919" t="s">
        <v>1832</v>
      </c>
      <c r="J919" t="s">
        <v>175</v>
      </c>
      <c r="K919" s="2">
        <v>97642</v>
      </c>
      <c r="L919" s="2">
        <v>97642</v>
      </c>
      <c r="M919" t="str">
        <f>IFERROR(IF(VLOOKUP(LEFT(B919,2),'Humanitarian codes'!$A$2:$A$10,1,FALSE)=LEFT(B919,2),"Yes","Error"),"No")</f>
        <v>Yes</v>
      </c>
    </row>
    <row r="920" spans="1:13" x14ac:dyDescent="0.25">
      <c r="A920" t="s">
        <v>2783</v>
      </c>
      <c r="B920" t="s">
        <v>1724</v>
      </c>
      <c r="C920" t="s">
        <v>3015</v>
      </c>
      <c r="D920" t="s">
        <v>30</v>
      </c>
      <c r="E920" t="s">
        <v>175</v>
      </c>
      <c r="F920" t="s">
        <v>2200</v>
      </c>
      <c r="G920">
        <v>4500323533</v>
      </c>
      <c r="H920" t="s">
        <v>2789</v>
      </c>
      <c r="I920" t="s">
        <v>685</v>
      </c>
      <c r="J920" t="s">
        <v>175</v>
      </c>
      <c r="K920" s="2">
        <v>151879</v>
      </c>
      <c r="L920" s="2">
        <v>151879</v>
      </c>
      <c r="M920" t="str">
        <f>IFERROR(IF(VLOOKUP(LEFT(B920,2),'Humanitarian codes'!$A$2:$A$10,1,FALSE)=LEFT(B920,2),"Yes","Error"),"No")</f>
        <v>Yes</v>
      </c>
    </row>
    <row r="921" spans="1:13" x14ac:dyDescent="0.25">
      <c r="A921" t="s">
        <v>2783</v>
      </c>
      <c r="B921" t="s">
        <v>1994</v>
      </c>
      <c r="C921" t="s">
        <v>3016</v>
      </c>
      <c r="D921" t="s">
        <v>30</v>
      </c>
      <c r="E921" t="s">
        <v>175</v>
      </c>
      <c r="F921" t="s">
        <v>2200</v>
      </c>
      <c r="G921">
        <v>4500320760</v>
      </c>
      <c r="H921" t="s">
        <v>2789</v>
      </c>
      <c r="I921" t="s">
        <v>856</v>
      </c>
      <c r="J921" t="s">
        <v>175</v>
      </c>
      <c r="K921" s="2">
        <v>950249</v>
      </c>
      <c r="L921" s="2">
        <v>950249</v>
      </c>
      <c r="M921" t="str">
        <f>IFERROR(IF(VLOOKUP(LEFT(B921,2),'Humanitarian codes'!$A$2:$A$10,1,FALSE)=LEFT(B921,2),"Yes","Error"),"No")</f>
        <v>Yes</v>
      </c>
    </row>
    <row r="922" spans="1:13" x14ac:dyDescent="0.25">
      <c r="A922" t="s">
        <v>2783</v>
      </c>
      <c r="B922" t="s">
        <v>722</v>
      </c>
      <c r="C922" t="s">
        <v>3017</v>
      </c>
      <c r="D922" t="s">
        <v>30</v>
      </c>
      <c r="E922" t="s">
        <v>717</v>
      </c>
      <c r="F922" t="s">
        <v>3018</v>
      </c>
      <c r="G922">
        <v>4500324731</v>
      </c>
      <c r="H922" t="s">
        <v>2789</v>
      </c>
      <c r="I922" t="s">
        <v>720</v>
      </c>
      <c r="J922" t="s">
        <v>717</v>
      </c>
      <c r="K922" s="2">
        <v>174374</v>
      </c>
      <c r="L922" s="2">
        <v>174374</v>
      </c>
      <c r="M922" t="str">
        <f>IFERROR(IF(VLOOKUP(LEFT(B922,2),'Humanitarian codes'!$A$2:$A$10,1,FALSE)=LEFT(B922,2),"Yes","Error"),"No")</f>
        <v>Yes</v>
      </c>
    </row>
    <row r="923" spans="1:13" x14ac:dyDescent="0.25">
      <c r="A923" t="s">
        <v>2783</v>
      </c>
      <c r="B923" t="s">
        <v>722</v>
      </c>
      <c r="C923" t="s">
        <v>3017</v>
      </c>
      <c r="D923" t="s">
        <v>30</v>
      </c>
      <c r="E923" t="s">
        <v>717</v>
      </c>
      <c r="F923" t="s">
        <v>3019</v>
      </c>
      <c r="G923">
        <v>4500324741</v>
      </c>
      <c r="H923" t="s">
        <v>2789</v>
      </c>
      <c r="I923" t="s">
        <v>1160</v>
      </c>
      <c r="J923" t="s">
        <v>717</v>
      </c>
      <c r="K923" s="2">
        <v>58050</v>
      </c>
      <c r="L923" s="2">
        <v>58050</v>
      </c>
      <c r="M923" t="str">
        <f>IFERROR(IF(VLOOKUP(LEFT(B923,2),'Humanitarian codes'!$A$2:$A$10,1,FALSE)=LEFT(B923,2),"Yes","Error"),"No")</f>
        <v>Yes</v>
      </c>
    </row>
    <row r="924" spans="1:13" x14ac:dyDescent="0.25">
      <c r="A924" t="s">
        <v>2783</v>
      </c>
      <c r="B924" t="s">
        <v>3020</v>
      </c>
      <c r="C924" t="s">
        <v>3021</v>
      </c>
      <c r="D924" t="s">
        <v>9</v>
      </c>
      <c r="E924" t="s">
        <v>253</v>
      </c>
      <c r="F924" t="s">
        <v>3022</v>
      </c>
      <c r="G924">
        <v>4500316013</v>
      </c>
      <c r="H924" t="s">
        <v>2789</v>
      </c>
      <c r="I924" t="s">
        <v>3023</v>
      </c>
      <c r="J924" t="s">
        <v>253</v>
      </c>
      <c r="K924" s="2">
        <v>31650</v>
      </c>
      <c r="L924" s="2">
        <v>31650</v>
      </c>
      <c r="M924" t="str">
        <f>IFERROR(IF(VLOOKUP(LEFT(B924,2),'Humanitarian codes'!$A$2:$A$10,1,FALSE)=LEFT(B924,2),"Yes","Error"),"No")</f>
        <v>Yes</v>
      </c>
    </row>
    <row r="925" spans="1:13" x14ac:dyDescent="0.25">
      <c r="A925" t="s">
        <v>2783</v>
      </c>
      <c r="B925" t="s">
        <v>388</v>
      </c>
      <c r="C925" t="s">
        <v>3024</v>
      </c>
      <c r="D925" t="s">
        <v>9</v>
      </c>
      <c r="E925" t="s">
        <v>175</v>
      </c>
      <c r="F925" t="s">
        <v>3025</v>
      </c>
      <c r="G925">
        <v>4500301940</v>
      </c>
      <c r="H925" t="s">
        <v>2789</v>
      </c>
      <c r="I925" t="s">
        <v>390</v>
      </c>
      <c r="J925" t="s">
        <v>175</v>
      </c>
      <c r="K925" s="2">
        <v>156481</v>
      </c>
      <c r="L925" s="2">
        <v>156481</v>
      </c>
      <c r="M925" t="str">
        <f>IFERROR(IF(VLOOKUP(LEFT(B925,2),'Humanitarian codes'!$A$2:$A$10,1,FALSE)=LEFT(B925,2),"Yes","Error"),"No")</f>
        <v>Yes</v>
      </c>
    </row>
    <row r="926" spans="1:13" x14ac:dyDescent="0.25">
      <c r="A926" t="s">
        <v>2783</v>
      </c>
      <c r="B926" t="s">
        <v>388</v>
      </c>
      <c r="C926" t="s">
        <v>3024</v>
      </c>
      <c r="D926" t="s">
        <v>9</v>
      </c>
      <c r="E926" t="s">
        <v>175</v>
      </c>
      <c r="F926" t="s">
        <v>2200</v>
      </c>
      <c r="G926">
        <v>4500303187</v>
      </c>
      <c r="H926" t="s">
        <v>2789</v>
      </c>
      <c r="I926" t="s">
        <v>187</v>
      </c>
      <c r="J926" t="s">
        <v>175</v>
      </c>
      <c r="K926" s="2">
        <v>133049</v>
      </c>
      <c r="L926" s="2">
        <v>133049</v>
      </c>
      <c r="M926" t="str">
        <f>IFERROR(IF(VLOOKUP(LEFT(B926,2),'Humanitarian codes'!$A$2:$A$10,1,FALSE)=LEFT(B926,2),"Yes","Error"),"No")</f>
        <v>Yes</v>
      </c>
    </row>
    <row r="927" spans="1:13" hidden="1" x14ac:dyDescent="0.25">
      <c r="A927" t="s">
        <v>2783</v>
      </c>
      <c r="B927" t="s">
        <v>3026</v>
      </c>
      <c r="C927" t="s">
        <v>3027</v>
      </c>
      <c r="D927" t="s">
        <v>30</v>
      </c>
      <c r="E927" t="s">
        <v>54</v>
      </c>
      <c r="F927" t="s">
        <v>3028</v>
      </c>
      <c r="G927">
        <v>4500319390</v>
      </c>
      <c r="H927" t="s">
        <v>2789</v>
      </c>
      <c r="I927" t="s">
        <v>3029</v>
      </c>
      <c r="J927" t="s">
        <v>54</v>
      </c>
      <c r="K927" s="2">
        <v>654314</v>
      </c>
      <c r="L927" s="2">
        <v>654314</v>
      </c>
      <c r="M927" t="str">
        <f>IFERROR(IF(VLOOKUP(LEFT(B927,2),'Humanitarian codes'!$A$2:$A$10,1,FALSE)=LEFT(B927,2),"Yes","Error"),"No")</f>
        <v>No</v>
      </c>
    </row>
    <row r="928" spans="1:13" hidden="1" x14ac:dyDescent="0.25">
      <c r="A928" t="s">
        <v>2783</v>
      </c>
      <c r="B928" t="s">
        <v>3030</v>
      </c>
      <c r="C928" t="s">
        <v>3031</v>
      </c>
      <c r="D928" t="s">
        <v>30</v>
      </c>
      <c r="E928" t="s">
        <v>1454</v>
      </c>
      <c r="F928" t="s">
        <v>2200</v>
      </c>
      <c r="G928">
        <v>4500310803</v>
      </c>
      <c r="H928" t="s">
        <v>2789</v>
      </c>
      <c r="I928" t="s">
        <v>3032</v>
      </c>
      <c r="J928" t="s">
        <v>1454</v>
      </c>
      <c r="K928" s="2">
        <v>164852</v>
      </c>
      <c r="L928" s="2">
        <v>164852</v>
      </c>
      <c r="M928" t="str">
        <f>IFERROR(IF(VLOOKUP(LEFT(B928,2),'Humanitarian codes'!$A$2:$A$10,1,FALSE)=LEFT(B928,2),"Yes","Error"),"No")</f>
        <v>No</v>
      </c>
    </row>
    <row r="929" spans="1:13" hidden="1" x14ac:dyDescent="0.25">
      <c r="A929" t="s">
        <v>2783</v>
      </c>
      <c r="B929" t="s">
        <v>3030</v>
      </c>
      <c r="C929" t="s">
        <v>3031</v>
      </c>
      <c r="D929" t="s">
        <v>30</v>
      </c>
      <c r="E929" t="s">
        <v>1454</v>
      </c>
      <c r="F929" t="s">
        <v>2200</v>
      </c>
      <c r="G929">
        <v>4500310830</v>
      </c>
      <c r="H929" t="s">
        <v>2789</v>
      </c>
      <c r="I929" t="s">
        <v>3033</v>
      </c>
      <c r="J929" t="s">
        <v>1454</v>
      </c>
      <c r="K929" s="2">
        <v>118550</v>
      </c>
      <c r="L929" s="2">
        <v>118550</v>
      </c>
      <c r="M929" t="str">
        <f>IFERROR(IF(VLOOKUP(LEFT(B929,2),'Humanitarian codes'!$A$2:$A$10,1,FALSE)=LEFT(B929,2),"Yes","Error"),"No")</f>
        <v>No</v>
      </c>
    </row>
    <row r="930" spans="1:13" x14ac:dyDescent="0.25">
      <c r="A930" t="s">
        <v>2783</v>
      </c>
      <c r="B930" t="s">
        <v>1415</v>
      </c>
      <c r="C930" t="s">
        <v>3034</v>
      </c>
      <c r="D930" t="s">
        <v>30</v>
      </c>
      <c r="E930" t="s">
        <v>814</v>
      </c>
      <c r="F930" t="s">
        <v>3035</v>
      </c>
      <c r="G930">
        <v>4500307205</v>
      </c>
      <c r="H930" t="s">
        <v>2789</v>
      </c>
      <c r="I930" t="s">
        <v>115</v>
      </c>
      <c r="J930" t="s">
        <v>814</v>
      </c>
      <c r="K930" s="2">
        <v>4351</v>
      </c>
      <c r="L930" s="2">
        <v>17404</v>
      </c>
      <c r="M930" t="str">
        <f>IFERROR(IF(VLOOKUP(LEFT(B930,2),'Humanitarian codes'!$A$2:$A$10,1,FALSE)=LEFT(B930,2),"Yes","Error"),"No")</f>
        <v>Yes</v>
      </c>
    </row>
    <row r="931" spans="1:13" x14ac:dyDescent="0.25">
      <c r="A931" t="s">
        <v>2783</v>
      </c>
      <c r="B931" t="s">
        <v>1415</v>
      </c>
      <c r="C931" t="s">
        <v>3034</v>
      </c>
      <c r="D931" t="s">
        <v>30</v>
      </c>
      <c r="E931" t="s">
        <v>814</v>
      </c>
      <c r="F931" t="s">
        <v>2932</v>
      </c>
      <c r="G931">
        <v>4500307212</v>
      </c>
      <c r="H931" t="s">
        <v>2789</v>
      </c>
      <c r="I931" t="s">
        <v>112</v>
      </c>
      <c r="J931" t="s">
        <v>814</v>
      </c>
      <c r="K931" s="2">
        <v>25127</v>
      </c>
      <c r="L931" s="2">
        <v>38385</v>
      </c>
      <c r="M931" t="str">
        <f>IFERROR(IF(VLOOKUP(LEFT(B931,2),'Humanitarian codes'!$A$2:$A$10,1,FALSE)=LEFT(B931,2),"Yes","Error"),"No")</f>
        <v>Yes</v>
      </c>
    </row>
    <row r="932" spans="1:13" x14ac:dyDescent="0.25">
      <c r="A932" t="s">
        <v>2783</v>
      </c>
      <c r="B932" t="s">
        <v>1415</v>
      </c>
      <c r="C932" t="s">
        <v>3034</v>
      </c>
      <c r="D932" t="s">
        <v>30</v>
      </c>
      <c r="E932" t="s">
        <v>814</v>
      </c>
      <c r="F932" t="s">
        <v>3036</v>
      </c>
      <c r="G932">
        <v>4500307233</v>
      </c>
      <c r="H932" t="s">
        <v>2789</v>
      </c>
      <c r="I932" t="s">
        <v>114</v>
      </c>
      <c r="J932" t="s">
        <v>814</v>
      </c>
      <c r="K932">
        <v>515</v>
      </c>
      <c r="L932" s="2">
        <v>2060</v>
      </c>
      <c r="M932" t="str">
        <f>IFERROR(IF(VLOOKUP(LEFT(B932,2),'Humanitarian codes'!$A$2:$A$10,1,FALSE)=LEFT(B932,2),"Yes","Error"),"No")</f>
        <v>Yes</v>
      </c>
    </row>
    <row r="933" spans="1:13" x14ac:dyDescent="0.25">
      <c r="A933" t="s">
        <v>2783</v>
      </c>
      <c r="B933" t="s">
        <v>1415</v>
      </c>
      <c r="C933" t="s">
        <v>3034</v>
      </c>
      <c r="D933" t="s">
        <v>30</v>
      </c>
      <c r="E933" t="s">
        <v>814</v>
      </c>
      <c r="F933" t="s">
        <v>2933</v>
      </c>
      <c r="G933">
        <v>4500307240</v>
      </c>
      <c r="H933" t="s">
        <v>2789</v>
      </c>
      <c r="I933" t="s">
        <v>116</v>
      </c>
      <c r="J933" t="s">
        <v>814</v>
      </c>
      <c r="K933" s="2">
        <v>3027</v>
      </c>
      <c r="L933" s="2">
        <v>9732</v>
      </c>
      <c r="M933" t="str">
        <f>IFERROR(IF(VLOOKUP(LEFT(B933,2),'Humanitarian codes'!$A$2:$A$10,1,FALSE)=LEFT(B933,2),"Yes","Error"),"No")</f>
        <v>Yes</v>
      </c>
    </row>
    <row r="934" spans="1:13" x14ac:dyDescent="0.25">
      <c r="A934" t="s">
        <v>2783</v>
      </c>
      <c r="B934" t="s">
        <v>1415</v>
      </c>
      <c r="C934" t="s">
        <v>3034</v>
      </c>
      <c r="D934" t="s">
        <v>30</v>
      </c>
      <c r="E934" t="s">
        <v>814</v>
      </c>
      <c r="F934" t="s">
        <v>3037</v>
      </c>
      <c r="G934">
        <v>4500307241</v>
      </c>
      <c r="H934" t="s">
        <v>2789</v>
      </c>
      <c r="I934" t="s">
        <v>120</v>
      </c>
      <c r="J934" t="s">
        <v>814</v>
      </c>
      <c r="K934" s="2">
        <v>2650</v>
      </c>
      <c r="L934" s="2">
        <v>10601</v>
      </c>
      <c r="M934" t="str">
        <f>IFERROR(IF(VLOOKUP(LEFT(B934,2),'Humanitarian codes'!$A$2:$A$10,1,FALSE)=LEFT(B934,2),"Yes","Error"),"No")</f>
        <v>Yes</v>
      </c>
    </row>
    <row r="935" spans="1:13" x14ac:dyDescent="0.25">
      <c r="A935" t="s">
        <v>2783</v>
      </c>
      <c r="B935" t="s">
        <v>1415</v>
      </c>
      <c r="C935" t="s">
        <v>3034</v>
      </c>
      <c r="D935" t="s">
        <v>30</v>
      </c>
      <c r="E935" t="s">
        <v>814</v>
      </c>
      <c r="F935" t="s">
        <v>3038</v>
      </c>
      <c r="G935">
        <v>4500307342</v>
      </c>
      <c r="H935" t="s">
        <v>2789</v>
      </c>
      <c r="I935" t="s">
        <v>117</v>
      </c>
      <c r="J935" t="s">
        <v>814</v>
      </c>
      <c r="K935" s="2">
        <v>1710</v>
      </c>
      <c r="L935" s="2">
        <v>6838</v>
      </c>
      <c r="M935" t="str">
        <f>IFERROR(IF(VLOOKUP(LEFT(B935,2),'Humanitarian codes'!$A$2:$A$10,1,FALSE)=LEFT(B935,2),"Yes","Error"),"No")</f>
        <v>Yes</v>
      </c>
    </row>
    <row r="936" spans="1:13" x14ac:dyDescent="0.25">
      <c r="A936" t="s">
        <v>2783</v>
      </c>
      <c r="B936" t="s">
        <v>1415</v>
      </c>
      <c r="C936" t="s">
        <v>3034</v>
      </c>
      <c r="D936" t="s">
        <v>30</v>
      </c>
      <c r="E936" t="s">
        <v>814</v>
      </c>
      <c r="F936" t="s">
        <v>3038</v>
      </c>
      <c r="G936">
        <v>4500307352</v>
      </c>
      <c r="H936" t="s">
        <v>2789</v>
      </c>
      <c r="I936" t="s">
        <v>119</v>
      </c>
      <c r="J936" t="s">
        <v>814</v>
      </c>
      <c r="K936" s="2">
        <v>1230</v>
      </c>
      <c r="L936" s="2">
        <v>4921</v>
      </c>
      <c r="M936" t="str">
        <f>IFERROR(IF(VLOOKUP(LEFT(B936,2),'Humanitarian codes'!$A$2:$A$10,1,FALSE)=LEFT(B936,2),"Yes","Error"),"No")</f>
        <v>Yes</v>
      </c>
    </row>
    <row r="937" spans="1:13" x14ac:dyDescent="0.25">
      <c r="A937" t="s">
        <v>2783</v>
      </c>
      <c r="B937" t="s">
        <v>1415</v>
      </c>
      <c r="C937" t="s">
        <v>3034</v>
      </c>
      <c r="D937" t="s">
        <v>30</v>
      </c>
      <c r="E937" t="s">
        <v>814</v>
      </c>
      <c r="F937" t="s">
        <v>3038</v>
      </c>
      <c r="G937">
        <v>4500307355</v>
      </c>
      <c r="H937" t="s">
        <v>2789</v>
      </c>
      <c r="I937" t="s">
        <v>113</v>
      </c>
      <c r="J937" t="s">
        <v>814</v>
      </c>
      <c r="K937" s="2">
        <v>1136</v>
      </c>
      <c r="L937" s="2">
        <v>4544</v>
      </c>
      <c r="M937" t="str">
        <f>IFERROR(IF(VLOOKUP(LEFT(B937,2),'Humanitarian codes'!$A$2:$A$10,1,FALSE)=LEFT(B937,2),"Yes","Error"),"No")</f>
        <v>Yes</v>
      </c>
    </row>
    <row r="938" spans="1:13" x14ac:dyDescent="0.25">
      <c r="A938" t="s">
        <v>2783</v>
      </c>
      <c r="B938" t="s">
        <v>1415</v>
      </c>
      <c r="C938" t="s">
        <v>3034</v>
      </c>
      <c r="D938" t="s">
        <v>30</v>
      </c>
      <c r="E938" t="s">
        <v>814</v>
      </c>
      <c r="F938" t="s">
        <v>3038</v>
      </c>
      <c r="G938">
        <v>4500307357</v>
      </c>
      <c r="H938" t="s">
        <v>2789</v>
      </c>
      <c r="I938" t="s">
        <v>1721</v>
      </c>
      <c r="J938" t="s">
        <v>814</v>
      </c>
      <c r="K938">
        <v>515</v>
      </c>
      <c r="L938" s="2">
        <v>2060</v>
      </c>
      <c r="M938" t="str">
        <f>IFERROR(IF(VLOOKUP(LEFT(B938,2),'Humanitarian codes'!$A$2:$A$10,1,FALSE)=LEFT(B938,2),"Yes","Error"),"No")</f>
        <v>Yes</v>
      </c>
    </row>
    <row r="939" spans="1:13" x14ac:dyDescent="0.25">
      <c r="A939" t="s">
        <v>2783</v>
      </c>
      <c r="B939" t="s">
        <v>1415</v>
      </c>
      <c r="C939" t="s">
        <v>3034</v>
      </c>
      <c r="D939" t="s">
        <v>30</v>
      </c>
      <c r="E939" t="s">
        <v>814</v>
      </c>
      <c r="F939" t="s">
        <v>3038</v>
      </c>
      <c r="G939">
        <v>4500307358</v>
      </c>
      <c r="H939" t="s">
        <v>2789</v>
      </c>
      <c r="I939" t="s">
        <v>118</v>
      </c>
      <c r="J939" t="s">
        <v>814</v>
      </c>
      <c r="K939" s="2">
        <v>1753</v>
      </c>
      <c r="L939" s="2">
        <v>7013</v>
      </c>
      <c r="M939" t="str">
        <f>IFERROR(IF(VLOOKUP(LEFT(B939,2),'Humanitarian codes'!$A$2:$A$10,1,FALSE)=LEFT(B939,2),"Yes","Error"),"No")</f>
        <v>Yes</v>
      </c>
    </row>
    <row r="940" spans="1:13" x14ac:dyDescent="0.25">
      <c r="A940" t="s">
        <v>2783</v>
      </c>
      <c r="B940" t="s">
        <v>2054</v>
      </c>
      <c r="C940" t="s">
        <v>3039</v>
      </c>
      <c r="D940" t="s">
        <v>30</v>
      </c>
      <c r="E940" t="s">
        <v>257</v>
      </c>
      <c r="F940" t="s">
        <v>2946</v>
      </c>
      <c r="G940">
        <v>4500321494</v>
      </c>
      <c r="H940" t="s">
        <v>2789</v>
      </c>
      <c r="I940" t="s">
        <v>421</v>
      </c>
      <c r="J940" t="s">
        <v>257</v>
      </c>
      <c r="K940" s="2">
        <v>47468</v>
      </c>
      <c r="L940" s="2">
        <v>81841</v>
      </c>
      <c r="M940" t="str">
        <f>IFERROR(IF(VLOOKUP(LEFT(B940,2),'Humanitarian codes'!$A$2:$A$10,1,FALSE)=LEFT(B940,2),"Yes","Error"),"No")</f>
        <v>Yes</v>
      </c>
    </row>
    <row r="941" spans="1:13" x14ac:dyDescent="0.25">
      <c r="A941" t="s">
        <v>2783</v>
      </c>
      <c r="B941" t="s">
        <v>2054</v>
      </c>
      <c r="C941" t="s">
        <v>3039</v>
      </c>
      <c r="D941" t="s">
        <v>30</v>
      </c>
      <c r="E941" t="s">
        <v>257</v>
      </c>
      <c r="F941" t="s">
        <v>2947</v>
      </c>
      <c r="G941">
        <v>4500321496</v>
      </c>
      <c r="H941" t="s">
        <v>2789</v>
      </c>
      <c r="I941" t="s">
        <v>422</v>
      </c>
      <c r="J941" t="s">
        <v>257</v>
      </c>
      <c r="K941" s="2">
        <v>42810</v>
      </c>
      <c r="L941" s="2">
        <v>70180</v>
      </c>
      <c r="M941" t="str">
        <f>IFERROR(IF(VLOOKUP(LEFT(B941,2),'Humanitarian codes'!$A$2:$A$10,1,FALSE)=LEFT(B941,2),"Yes","Error"),"No")</f>
        <v>Yes</v>
      </c>
    </row>
    <row r="942" spans="1:13" hidden="1" x14ac:dyDescent="0.25">
      <c r="A942" t="s">
        <v>2783</v>
      </c>
      <c r="B942" t="s">
        <v>1785</v>
      </c>
      <c r="C942" t="s">
        <v>3040</v>
      </c>
      <c r="D942" t="s">
        <v>30</v>
      </c>
      <c r="E942" t="s">
        <v>257</v>
      </c>
      <c r="F942" t="s">
        <v>3041</v>
      </c>
      <c r="G942">
        <v>4500318082</v>
      </c>
      <c r="H942" t="s">
        <v>2789</v>
      </c>
      <c r="I942" t="s">
        <v>3042</v>
      </c>
      <c r="J942" t="s">
        <v>257</v>
      </c>
      <c r="K942" s="2">
        <v>108037</v>
      </c>
      <c r="L942" s="2">
        <v>108037</v>
      </c>
      <c r="M942" t="str">
        <f>IFERROR(IF(VLOOKUP(LEFT(B942,2),'Humanitarian codes'!$A$2:$A$10,1,FALSE)=LEFT(B942,2),"Yes","Error"),"No")</f>
        <v>No</v>
      </c>
    </row>
    <row r="943" spans="1:13" hidden="1" x14ac:dyDescent="0.25">
      <c r="A943" t="s">
        <v>2783</v>
      </c>
      <c r="B943" t="s">
        <v>1805</v>
      </c>
      <c r="C943" t="s">
        <v>3043</v>
      </c>
      <c r="D943" t="s">
        <v>543</v>
      </c>
      <c r="E943" t="s">
        <v>257</v>
      </c>
      <c r="F943" t="s">
        <v>3044</v>
      </c>
      <c r="G943">
        <v>4500315520</v>
      </c>
      <c r="H943" t="s">
        <v>2789</v>
      </c>
      <c r="I943" t="s">
        <v>1808</v>
      </c>
      <c r="J943" t="s">
        <v>257</v>
      </c>
      <c r="K943" s="2">
        <v>42481</v>
      </c>
      <c r="L943" s="2">
        <v>42481</v>
      </c>
      <c r="M943" t="str">
        <f>IFERROR(IF(VLOOKUP(LEFT(B943,2),'Humanitarian codes'!$A$2:$A$10,1,FALSE)=LEFT(B943,2),"Yes","Error"),"No")</f>
        <v>No</v>
      </c>
    </row>
    <row r="944" spans="1:13" hidden="1" x14ac:dyDescent="0.25">
      <c r="A944" t="s">
        <v>2783</v>
      </c>
      <c r="B944" t="s">
        <v>3045</v>
      </c>
      <c r="C944" t="s">
        <v>3046</v>
      </c>
      <c r="D944" t="s">
        <v>543</v>
      </c>
      <c r="E944" t="s">
        <v>534</v>
      </c>
      <c r="F944" t="s">
        <v>3047</v>
      </c>
      <c r="G944">
        <v>4500319849</v>
      </c>
      <c r="H944" t="s">
        <v>2789</v>
      </c>
      <c r="I944" t="s">
        <v>1092</v>
      </c>
      <c r="J944" t="s">
        <v>985</v>
      </c>
      <c r="K944" s="2">
        <v>22106760</v>
      </c>
      <c r="L944" s="2">
        <v>22106760</v>
      </c>
      <c r="M944" t="str">
        <f>IFERROR(IF(VLOOKUP(LEFT(B944,2),'Humanitarian codes'!$A$2:$A$10,1,FALSE)=LEFT(B944,2),"Yes","Error"),"No")</f>
        <v>No</v>
      </c>
    </row>
    <row r="945" spans="1:13" hidden="1" x14ac:dyDescent="0.25">
      <c r="A945" t="s">
        <v>2783</v>
      </c>
      <c r="B945" t="s">
        <v>3048</v>
      </c>
      <c r="C945" t="s">
        <v>3049</v>
      </c>
      <c r="D945" t="s">
        <v>543</v>
      </c>
      <c r="E945" t="s">
        <v>903</v>
      </c>
      <c r="F945" t="s">
        <v>3050</v>
      </c>
      <c r="G945">
        <v>4500311123</v>
      </c>
      <c r="H945" t="s">
        <v>2789</v>
      </c>
      <c r="I945" t="s">
        <v>80</v>
      </c>
      <c r="J945" t="s">
        <v>903</v>
      </c>
      <c r="K945" s="2">
        <v>29282</v>
      </c>
      <c r="L945" s="2">
        <v>29282</v>
      </c>
      <c r="M945" t="str">
        <f>IFERROR(IF(VLOOKUP(LEFT(B945,2),'Humanitarian codes'!$A$2:$A$10,1,FALSE)=LEFT(B945,2),"Yes","Error"),"No")</f>
        <v>No</v>
      </c>
    </row>
    <row r="946" spans="1:13" hidden="1" x14ac:dyDescent="0.25">
      <c r="A946" t="s">
        <v>2783</v>
      </c>
      <c r="B946" t="s">
        <v>1459</v>
      </c>
      <c r="C946" t="s">
        <v>3051</v>
      </c>
      <c r="D946" t="s">
        <v>466</v>
      </c>
      <c r="E946" t="s">
        <v>1278</v>
      </c>
      <c r="F946" t="s">
        <v>2200</v>
      </c>
      <c r="G946">
        <v>4500306378</v>
      </c>
      <c r="H946" t="s">
        <v>2789</v>
      </c>
      <c r="I946" t="s">
        <v>3052</v>
      </c>
      <c r="J946" t="s">
        <v>1278</v>
      </c>
      <c r="K946" s="2">
        <v>16650</v>
      </c>
      <c r="L946" s="2">
        <v>16650</v>
      </c>
      <c r="M946" t="str">
        <f>IFERROR(IF(VLOOKUP(LEFT(B946,2),'Humanitarian codes'!$A$2:$A$10,1,FALSE)=LEFT(B946,2),"Yes","Error"),"No")</f>
        <v>No</v>
      </c>
    </row>
    <row r="947" spans="1:13" hidden="1" x14ac:dyDescent="0.25">
      <c r="A947" t="s">
        <v>2783</v>
      </c>
      <c r="B947" t="s">
        <v>1459</v>
      </c>
      <c r="C947" t="s">
        <v>3051</v>
      </c>
      <c r="D947" t="s">
        <v>466</v>
      </c>
      <c r="E947" t="s">
        <v>1278</v>
      </c>
      <c r="F947" t="s">
        <v>2200</v>
      </c>
      <c r="G947">
        <v>4500317306</v>
      </c>
      <c r="H947" t="s">
        <v>2789</v>
      </c>
      <c r="I947" t="s">
        <v>3053</v>
      </c>
      <c r="J947" t="s">
        <v>1278</v>
      </c>
      <c r="K947" s="2">
        <v>13839</v>
      </c>
      <c r="L947" s="2">
        <v>13839</v>
      </c>
      <c r="M947" t="str">
        <f>IFERROR(IF(VLOOKUP(LEFT(B947,2),'Humanitarian codes'!$A$2:$A$10,1,FALSE)=LEFT(B947,2),"Yes","Error"),"No")</f>
        <v>No</v>
      </c>
    </row>
    <row r="948" spans="1:13" hidden="1" x14ac:dyDescent="0.25">
      <c r="A948" t="s">
        <v>2783</v>
      </c>
      <c r="B948" t="s">
        <v>1459</v>
      </c>
      <c r="C948" t="s">
        <v>3051</v>
      </c>
      <c r="D948" t="s">
        <v>466</v>
      </c>
      <c r="E948" t="s">
        <v>1278</v>
      </c>
      <c r="F948" t="s">
        <v>2200</v>
      </c>
      <c r="G948">
        <v>4500317391</v>
      </c>
      <c r="H948" t="s">
        <v>2789</v>
      </c>
      <c r="I948" t="s">
        <v>3054</v>
      </c>
      <c r="J948" t="s">
        <v>1278</v>
      </c>
      <c r="K948" s="2">
        <v>31742</v>
      </c>
      <c r="L948" s="2">
        <v>31742</v>
      </c>
      <c r="M948" t="str">
        <f>IFERROR(IF(VLOOKUP(LEFT(B948,2),'Humanitarian codes'!$A$2:$A$10,1,FALSE)=LEFT(B948,2),"Yes","Error"),"No")</f>
        <v>No</v>
      </c>
    </row>
    <row r="949" spans="1:13" hidden="1" x14ac:dyDescent="0.25">
      <c r="A949" t="s">
        <v>2783</v>
      </c>
      <c r="B949" t="s">
        <v>1459</v>
      </c>
      <c r="C949" t="s">
        <v>3051</v>
      </c>
      <c r="D949" t="s">
        <v>466</v>
      </c>
      <c r="E949" t="s">
        <v>1278</v>
      </c>
      <c r="F949" t="s">
        <v>2200</v>
      </c>
      <c r="G949">
        <v>4500321528</v>
      </c>
      <c r="H949" t="s">
        <v>2789</v>
      </c>
      <c r="I949" t="s">
        <v>3055</v>
      </c>
      <c r="J949" t="s">
        <v>1278</v>
      </c>
      <c r="K949" s="2">
        <v>35350</v>
      </c>
      <c r="L949" s="2">
        <v>35350</v>
      </c>
      <c r="M949" t="str">
        <f>IFERROR(IF(VLOOKUP(LEFT(B949,2),'Humanitarian codes'!$A$2:$A$10,1,FALSE)=LEFT(B949,2),"Yes","Error"),"No")</f>
        <v>No</v>
      </c>
    </row>
    <row r="950" spans="1:13" hidden="1" x14ac:dyDescent="0.25">
      <c r="A950" t="s">
        <v>2783</v>
      </c>
      <c r="B950" t="s">
        <v>1463</v>
      </c>
      <c r="C950" t="s">
        <v>3056</v>
      </c>
      <c r="D950" t="s">
        <v>466</v>
      </c>
      <c r="E950" t="s">
        <v>504</v>
      </c>
      <c r="F950" t="s">
        <v>3057</v>
      </c>
      <c r="G950">
        <v>4500319454</v>
      </c>
      <c r="H950" t="s">
        <v>2789</v>
      </c>
      <c r="I950" t="s">
        <v>3058</v>
      </c>
      <c r="J950" t="s">
        <v>504</v>
      </c>
      <c r="K950" s="2">
        <v>43321</v>
      </c>
      <c r="L950" s="2">
        <v>43321</v>
      </c>
      <c r="M950" t="str">
        <f>IFERROR(IF(VLOOKUP(LEFT(B950,2),'Humanitarian codes'!$A$2:$A$10,1,FALSE)=LEFT(B950,2),"Yes","Error"),"No")</f>
        <v>No</v>
      </c>
    </row>
    <row r="951" spans="1:13" hidden="1" x14ac:dyDescent="0.25">
      <c r="A951" t="s">
        <v>2783</v>
      </c>
      <c r="B951" t="s">
        <v>3059</v>
      </c>
      <c r="C951" t="s">
        <v>3060</v>
      </c>
      <c r="D951" t="s">
        <v>466</v>
      </c>
      <c r="E951" t="s">
        <v>509</v>
      </c>
      <c r="F951" t="s">
        <v>2200</v>
      </c>
      <c r="G951">
        <v>4500323385</v>
      </c>
      <c r="H951" t="s">
        <v>2789</v>
      </c>
      <c r="I951" t="s">
        <v>3061</v>
      </c>
      <c r="J951" t="s">
        <v>3062</v>
      </c>
      <c r="K951" s="2">
        <v>136967</v>
      </c>
      <c r="L951" s="2">
        <v>136967</v>
      </c>
      <c r="M951" t="str">
        <f>IFERROR(IF(VLOOKUP(LEFT(B951,2),'Humanitarian codes'!$A$2:$A$10,1,FALSE)=LEFT(B951,2),"Yes","Error"),"No")</f>
        <v>No</v>
      </c>
    </row>
    <row r="952" spans="1:13" hidden="1" x14ac:dyDescent="0.25">
      <c r="A952" t="s">
        <v>2783</v>
      </c>
      <c r="B952" t="s">
        <v>2522</v>
      </c>
      <c r="C952" t="s">
        <v>3063</v>
      </c>
      <c r="D952" t="s">
        <v>466</v>
      </c>
      <c r="E952" t="s">
        <v>909</v>
      </c>
      <c r="F952" t="s">
        <v>2200</v>
      </c>
      <c r="G952">
        <v>4500323133</v>
      </c>
      <c r="H952" t="s">
        <v>2789</v>
      </c>
      <c r="I952" t="s">
        <v>1331</v>
      </c>
      <c r="J952" t="s">
        <v>909</v>
      </c>
      <c r="K952" s="2">
        <v>1091</v>
      </c>
      <c r="L952" s="2">
        <v>1091</v>
      </c>
      <c r="M952" t="str">
        <f>IFERROR(IF(VLOOKUP(LEFT(B952,2),'Humanitarian codes'!$A$2:$A$10,1,FALSE)=LEFT(B952,2),"Yes","Error"),"No")</f>
        <v>No</v>
      </c>
    </row>
    <row r="953" spans="1:13" hidden="1" x14ac:dyDescent="0.25">
      <c r="A953" t="s">
        <v>2783</v>
      </c>
      <c r="B953" t="s">
        <v>2522</v>
      </c>
      <c r="C953" t="s">
        <v>3063</v>
      </c>
      <c r="D953" t="s">
        <v>466</v>
      </c>
      <c r="E953" t="s">
        <v>909</v>
      </c>
      <c r="F953" t="s">
        <v>2200</v>
      </c>
      <c r="G953">
        <v>4500323138</v>
      </c>
      <c r="H953" t="s">
        <v>2789</v>
      </c>
      <c r="I953" t="s">
        <v>1331</v>
      </c>
      <c r="J953" t="s">
        <v>909</v>
      </c>
      <c r="K953" s="2">
        <v>9292</v>
      </c>
      <c r="L953" s="2">
        <v>9292</v>
      </c>
      <c r="M953" t="str">
        <f>IFERROR(IF(VLOOKUP(LEFT(B953,2),'Humanitarian codes'!$A$2:$A$10,1,FALSE)=LEFT(B953,2),"Yes","Error"),"No")</f>
        <v>No</v>
      </c>
    </row>
    <row r="954" spans="1:13" hidden="1" x14ac:dyDescent="0.25">
      <c r="A954" t="s">
        <v>2783</v>
      </c>
      <c r="B954" t="s">
        <v>2522</v>
      </c>
      <c r="C954" t="s">
        <v>3063</v>
      </c>
      <c r="D954" t="s">
        <v>466</v>
      </c>
      <c r="E954" t="s">
        <v>909</v>
      </c>
      <c r="F954" t="s">
        <v>2200</v>
      </c>
      <c r="G954">
        <v>4500323139</v>
      </c>
      <c r="H954" t="s">
        <v>2789</v>
      </c>
      <c r="I954" t="s">
        <v>1331</v>
      </c>
      <c r="J954" t="s">
        <v>909</v>
      </c>
      <c r="K954" s="2">
        <v>9292</v>
      </c>
      <c r="L954" s="2">
        <v>9292</v>
      </c>
      <c r="M954" t="str">
        <f>IFERROR(IF(VLOOKUP(LEFT(B954,2),'Humanitarian codes'!$A$2:$A$10,1,FALSE)=LEFT(B954,2),"Yes","Error"),"No")</f>
        <v>No</v>
      </c>
    </row>
    <row r="955" spans="1:13" hidden="1" x14ac:dyDescent="0.25">
      <c r="A955" t="s">
        <v>2783</v>
      </c>
      <c r="B955" t="s">
        <v>2522</v>
      </c>
      <c r="C955" t="s">
        <v>3063</v>
      </c>
      <c r="D955" t="s">
        <v>466</v>
      </c>
      <c r="E955" t="s">
        <v>909</v>
      </c>
      <c r="F955" t="s">
        <v>2200</v>
      </c>
      <c r="G955">
        <v>4500323141</v>
      </c>
      <c r="H955" t="s">
        <v>2789</v>
      </c>
      <c r="I955" t="s">
        <v>1331</v>
      </c>
      <c r="J955" t="s">
        <v>909</v>
      </c>
      <c r="K955" s="2">
        <v>9292</v>
      </c>
      <c r="L955" s="2">
        <v>9292</v>
      </c>
      <c r="M955" t="str">
        <f>IFERROR(IF(VLOOKUP(LEFT(B955,2),'Humanitarian codes'!$A$2:$A$10,1,FALSE)=LEFT(B955,2),"Yes","Error"),"No")</f>
        <v>No</v>
      </c>
    </row>
    <row r="956" spans="1:13" hidden="1" x14ac:dyDescent="0.25">
      <c r="A956" t="s">
        <v>2783</v>
      </c>
      <c r="B956" t="s">
        <v>2522</v>
      </c>
      <c r="C956" t="s">
        <v>3063</v>
      </c>
      <c r="D956" t="s">
        <v>466</v>
      </c>
      <c r="E956" t="s">
        <v>909</v>
      </c>
      <c r="F956" t="s">
        <v>2200</v>
      </c>
      <c r="G956">
        <v>4500323144</v>
      </c>
      <c r="H956" t="s">
        <v>2789</v>
      </c>
      <c r="I956" t="s">
        <v>1331</v>
      </c>
      <c r="J956" t="s">
        <v>909</v>
      </c>
      <c r="K956" s="2">
        <v>10404</v>
      </c>
      <c r="L956" s="2">
        <v>10404</v>
      </c>
      <c r="M956" t="str">
        <f>IFERROR(IF(VLOOKUP(LEFT(B956,2),'Humanitarian codes'!$A$2:$A$10,1,FALSE)=LEFT(B956,2),"Yes","Error"),"No")</f>
        <v>No</v>
      </c>
    </row>
    <row r="957" spans="1:13" hidden="1" x14ac:dyDescent="0.25">
      <c r="A957" t="s">
        <v>2783</v>
      </c>
      <c r="B957" t="s">
        <v>2522</v>
      </c>
      <c r="C957" t="s">
        <v>3063</v>
      </c>
      <c r="D957" t="s">
        <v>466</v>
      </c>
      <c r="E957" t="s">
        <v>909</v>
      </c>
      <c r="F957" t="s">
        <v>2200</v>
      </c>
      <c r="G957">
        <v>4500323152</v>
      </c>
      <c r="H957" t="s">
        <v>2789</v>
      </c>
      <c r="I957" t="s">
        <v>1331</v>
      </c>
      <c r="J957" t="s">
        <v>909</v>
      </c>
      <c r="K957" s="2">
        <v>10405</v>
      </c>
      <c r="L957" s="2">
        <v>10405</v>
      </c>
      <c r="M957" t="str">
        <f>IFERROR(IF(VLOOKUP(LEFT(B957,2),'Humanitarian codes'!$A$2:$A$10,1,FALSE)=LEFT(B957,2),"Yes","Error"),"No")</f>
        <v>No</v>
      </c>
    </row>
    <row r="958" spans="1:13" hidden="1" x14ac:dyDescent="0.25">
      <c r="A958" t="s">
        <v>2783</v>
      </c>
      <c r="B958" t="s">
        <v>2531</v>
      </c>
      <c r="C958" t="s">
        <v>3064</v>
      </c>
      <c r="D958" t="s">
        <v>466</v>
      </c>
      <c r="E958" t="s">
        <v>523</v>
      </c>
      <c r="F958" t="s">
        <v>2517</v>
      </c>
      <c r="G958">
        <v>4500313415</v>
      </c>
      <c r="H958" t="s">
        <v>2789</v>
      </c>
      <c r="I958" t="s">
        <v>3065</v>
      </c>
      <c r="J958" t="s">
        <v>523</v>
      </c>
      <c r="K958" s="2">
        <v>4286</v>
      </c>
      <c r="L958" s="2">
        <v>4286</v>
      </c>
      <c r="M958" t="str">
        <f>IFERROR(IF(VLOOKUP(LEFT(B958,2),'Humanitarian codes'!$A$2:$A$10,1,FALSE)=LEFT(B958,2),"Yes","Error"),"No")</f>
        <v>No</v>
      </c>
    </row>
    <row r="959" spans="1:13" hidden="1" x14ac:dyDescent="0.25">
      <c r="A959" t="s">
        <v>2783</v>
      </c>
      <c r="B959" t="s">
        <v>1486</v>
      </c>
      <c r="C959" t="s">
        <v>3066</v>
      </c>
      <c r="D959" t="s">
        <v>466</v>
      </c>
      <c r="E959" t="s">
        <v>253</v>
      </c>
      <c r="F959" t="s">
        <v>3067</v>
      </c>
      <c r="G959">
        <v>4500303469</v>
      </c>
      <c r="H959" t="s">
        <v>2789</v>
      </c>
      <c r="I959" t="s">
        <v>3068</v>
      </c>
      <c r="J959" t="s">
        <v>253</v>
      </c>
      <c r="K959" s="2">
        <v>1814</v>
      </c>
      <c r="L959" s="2">
        <v>1814</v>
      </c>
      <c r="M959" t="str">
        <f>IFERROR(IF(VLOOKUP(LEFT(B959,2),'Humanitarian codes'!$A$2:$A$10,1,FALSE)=LEFT(B959,2),"Yes","Error"),"No")</f>
        <v>No</v>
      </c>
    </row>
    <row r="960" spans="1:13" hidden="1" x14ac:dyDescent="0.25">
      <c r="A960" t="s">
        <v>2783</v>
      </c>
      <c r="B960" t="s">
        <v>1486</v>
      </c>
      <c r="C960" t="s">
        <v>3066</v>
      </c>
      <c r="D960" t="s">
        <v>466</v>
      </c>
      <c r="E960" t="s">
        <v>253</v>
      </c>
      <c r="F960" t="s">
        <v>3069</v>
      </c>
      <c r="G960">
        <v>4500306296</v>
      </c>
      <c r="H960" t="s">
        <v>2789</v>
      </c>
      <c r="I960" t="s">
        <v>3068</v>
      </c>
      <c r="J960" t="s">
        <v>253</v>
      </c>
      <c r="K960" s="2">
        <v>27209</v>
      </c>
      <c r="L960" s="2">
        <v>27209</v>
      </c>
      <c r="M960" t="str">
        <f>IFERROR(IF(VLOOKUP(LEFT(B960,2),'Humanitarian codes'!$A$2:$A$10,1,FALSE)=LEFT(B960,2),"Yes","Error"),"No")</f>
        <v>No</v>
      </c>
    </row>
    <row r="961" spans="1:13" hidden="1" x14ac:dyDescent="0.25">
      <c r="A961" t="s">
        <v>2783</v>
      </c>
      <c r="B961" t="s">
        <v>1816</v>
      </c>
      <c r="C961" t="s">
        <v>3070</v>
      </c>
      <c r="D961" t="s">
        <v>466</v>
      </c>
      <c r="E961" t="s">
        <v>518</v>
      </c>
      <c r="F961" t="s">
        <v>3071</v>
      </c>
      <c r="G961">
        <v>4500321137</v>
      </c>
      <c r="H961" t="s">
        <v>2789</v>
      </c>
      <c r="I961" t="s">
        <v>3072</v>
      </c>
      <c r="J961" t="s">
        <v>518</v>
      </c>
      <c r="K961" s="2">
        <v>52576</v>
      </c>
      <c r="L961" s="2">
        <v>52576</v>
      </c>
      <c r="M961" t="str">
        <f>IFERROR(IF(VLOOKUP(LEFT(B961,2),'Humanitarian codes'!$A$2:$A$10,1,FALSE)=LEFT(B961,2),"Yes","Error"),"No")</f>
        <v>No</v>
      </c>
    </row>
    <row r="962" spans="1:13" hidden="1" x14ac:dyDescent="0.25">
      <c r="A962" t="s">
        <v>2783</v>
      </c>
      <c r="B962" t="s">
        <v>1816</v>
      </c>
      <c r="C962" t="s">
        <v>3070</v>
      </c>
      <c r="D962" t="s">
        <v>466</v>
      </c>
      <c r="E962" t="s">
        <v>518</v>
      </c>
      <c r="F962" t="s">
        <v>3071</v>
      </c>
      <c r="G962">
        <v>4500321140</v>
      </c>
      <c r="H962" t="s">
        <v>2789</v>
      </c>
      <c r="I962" t="s">
        <v>3073</v>
      </c>
      <c r="J962" t="s">
        <v>518</v>
      </c>
      <c r="K962" s="2">
        <v>49926</v>
      </c>
      <c r="L962" s="2">
        <v>49926</v>
      </c>
      <c r="M962" t="str">
        <f>IFERROR(IF(VLOOKUP(LEFT(B962,2),'Humanitarian codes'!$A$2:$A$10,1,FALSE)=LEFT(B962,2),"Yes","Error"),"No")</f>
        <v>No</v>
      </c>
    </row>
    <row r="963" spans="1:13" hidden="1" x14ac:dyDescent="0.25">
      <c r="A963" t="s">
        <v>2783</v>
      </c>
      <c r="B963" t="s">
        <v>1816</v>
      </c>
      <c r="C963" t="s">
        <v>3070</v>
      </c>
      <c r="D963" t="s">
        <v>466</v>
      </c>
      <c r="E963" t="s">
        <v>518</v>
      </c>
      <c r="F963" t="s">
        <v>3071</v>
      </c>
      <c r="G963">
        <v>4500321142</v>
      </c>
      <c r="H963" t="s">
        <v>2789</v>
      </c>
      <c r="I963" t="s">
        <v>3074</v>
      </c>
      <c r="J963" t="s">
        <v>518</v>
      </c>
      <c r="K963" s="2">
        <v>50000</v>
      </c>
      <c r="L963" s="2">
        <v>50000</v>
      </c>
      <c r="M963" t="str">
        <f>IFERROR(IF(VLOOKUP(LEFT(B963,2),'Humanitarian codes'!$A$2:$A$10,1,FALSE)=LEFT(B963,2),"Yes","Error"),"No")</f>
        <v>No</v>
      </c>
    </row>
    <row r="964" spans="1:13" hidden="1" x14ac:dyDescent="0.25">
      <c r="A964" t="s">
        <v>2783</v>
      </c>
      <c r="B964" t="s">
        <v>1816</v>
      </c>
      <c r="C964" t="s">
        <v>3070</v>
      </c>
      <c r="D964" t="s">
        <v>466</v>
      </c>
      <c r="E964" t="s">
        <v>518</v>
      </c>
      <c r="F964" t="s">
        <v>3071</v>
      </c>
      <c r="G964">
        <v>4500321143</v>
      </c>
      <c r="H964" t="s">
        <v>2789</v>
      </c>
      <c r="I964" t="s">
        <v>3075</v>
      </c>
      <c r="J964" t="s">
        <v>518</v>
      </c>
      <c r="K964" s="2">
        <v>49974</v>
      </c>
      <c r="L964" s="2">
        <v>49974</v>
      </c>
      <c r="M964" t="str">
        <f>IFERROR(IF(VLOOKUP(LEFT(B964,2),'Humanitarian codes'!$A$2:$A$10,1,FALSE)=LEFT(B964,2),"Yes","Error"),"No")</f>
        <v>No</v>
      </c>
    </row>
    <row r="965" spans="1:13" hidden="1" x14ac:dyDescent="0.25">
      <c r="A965" t="s">
        <v>2783</v>
      </c>
      <c r="B965" t="s">
        <v>1816</v>
      </c>
      <c r="C965" t="s">
        <v>3070</v>
      </c>
      <c r="D965" t="s">
        <v>466</v>
      </c>
      <c r="E965" t="s">
        <v>518</v>
      </c>
      <c r="F965" t="s">
        <v>3076</v>
      </c>
      <c r="G965">
        <v>4500321700</v>
      </c>
      <c r="H965" t="s">
        <v>2789</v>
      </c>
      <c r="I965" t="s">
        <v>3077</v>
      </c>
      <c r="J965" t="s">
        <v>518</v>
      </c>
      <c r="K965" s="2">
        <v>49820</v>
      </c>
      <c r="L965" s="2">
        <v>49820</v>
      </c>
      <c r="M965" t="str">
        <f>IFERROR(IF(VLOOKUP(LEFT(B965,2),'Humanitarian codes'!$A$2:$A$10,1,FALSE)=LEFT(B965,2),"Yes","Error"),"No")</f>
        <v>No</v>
      </c>
    </row>
    <row r="966" spans="1:13" hidden="1" x14ac:dyDescent="0.25">
      <c r="A966" t="s">
        <v>2783</v>
      </c>
      <c r="B966" t="s">
        <v>1816</v>
      </c>
      <c r="C966" t="s">
        <v>3070</v>
      </c>
      <c r="D966" t="s">
        <v>466</v>
      </c>
      <c r="E966" t="s">
        <v>518</v>
      </c>
      <c r="F966" t="s">
        <v>3071</v>
      </c>
      <c r="G966">
        <v>4500321712</v>
      </c>
      <c r="H966" t="s">
        <v>2789</v>
      </c>
      <c r="I966" t="s">
        <v>3078</v>
      </c>
      <c r="J966" t="s">
        <v>518</v>
      </c>
      <c r="K966" s="2">
        <v>48409</v>
      </c>
      <c r="L966" s="2">
        <v>48409</v>
      </c>
      <c r="M966" t="str">
        <f>IFERROR(IF(VLOOKUP(LEFT(B966,2),'Humanitarian codes'!$A$2:$A$10,1,FALSE)=LEFT(B966,2),"Yes","Error"),"No")</f>
        <v>No</v>
      </c>
    </row>
    <row r="967" spans="1:13" hidden="1" x14ac:dyDescent="0.25">
      <c r="A967" t="s">
        <v>2783</v>
      </c>
      <c r="B967" t="s">
        <v>1816</v>
      </c>
      <c r="C967" t="s">
        <v>3070</v>
      </c>
      <c r="D967" t="s">
        <v>466</v>
      </c>
      <c r="E967" t="s">
        <v>518</v>
      </c>
      <c r="F967" t="s">
        <v>3071</v>
      </c>
      <c r="G967">
        <v>4500321720</v>
      </c>
      <c r="H967" t="s">
        <v>2789</v>
      </c>
      <c r="I967" t="s">
        <v>3079</v>
      </c>
      <c r="J967" t="s">
        <v>518</v>
      </c>
      <c r="K967" s="2">
        <v>49533</v>
      </c>
      <c r="L967" s="2">
        <v>49533</v>
      </c>
      <c r="M967" t="str">
        <f>IFERROR(IF(VLOOKUP(LEFT(B967,2),'Humanitarian codes'!$A$2:$A$10,1,FALSE)=LEFT(B967,2),"Yes","Error"),"No")</f>
        <v>No</v>
      </c>
    </row>
    <row r="968" spans="1:13" hidden="1" x14ac:dyDescent="0.25">
      <c r="A968" t="s">
        <v>2783</v>
      </c>
      <c r="B968" t="s">
        <v>1816</v>
      </c>
      <c r="C968" t="s">
        <v>3070</v>
      </c>
      <c r="D968" t="s">
        <v>466</v>
      </c>
      <c r="E968" t="s">
        <v>518</v>
      </c>
      <c r="F968" t="s">
        <v>3071</v>
      </c>
      <c r="G968">
        <v>4500321723</v>
      </c>
      <c r="H968" t="s">
        <v>2789</v>
      </c>
      <c r="I968" t="s">
        <v>3080</v>
      </c>
      <c r="J968" t="s">
        <v>518</v>
      </c>
      <c r="K968" s="2">
        <v>40560</v>
      </c>
      <c r="L968" s="2">
        <v>40560</v>
      </c>
      <c r="M968" t="str">
        <f>IFERROR(IF(VLOOKUP(LEFT(B968,2),'Humanitarian codes'!$A$2:$A$10,1,FALSE)=LEFT(B968,2),"Yes","Error"),"No")</f>
        <v>No</v>
      </c>
    </row>
    <row r="969" spans="1:13" hidden="1" x14ac:dyDescent="0.25">
      <c r="A969" t="s">
        <v>2783</v>
      </c>
      <c r="B969" t="s">
        <v>491</v>
      </c>
      <c r="C969" t="s">
        <v>3081</v>
      </c>
      <c r="D969" t="s">
        <v>466</v>
      </c>
      <c r="E969" t="s">
        <v>493</v>
      </c>
      <c r="F969" t="s">
        <v>3082</v>
      </c>
      <c r="G969">
        <v>4500319686</v>
      </c>
      <c r="H969" t="s">
        <v>2789</v>
      </c>
      <c r="I969" t="s">
        <v>3083</v>
      </c>
      <c r="J969" t="s">
        <v>493</v>
      </c>
      <c r="K969" s="2">
        <v>61321</v>
      </c>
      <c r="L969" s="2">
        <v>61321</v>
      </c>
      <c r="M969" t="str">
        <f>IFERROR(IF(VLOOKUP(LEFT(B969,2),'Humanitarian codes'!$A$2:$A$10,1,FALSE)=LEFT(B969,2),"Yes","Error"),"No")</f>
        <v>No</v>
      </c>
    </row>
    <row r="970" spans="1:13" hidden="1" x14ac:dyDescent="0.25">
      <c r="A970" t="s">
        <v>2783</v>
      </c>
      <c r="B970" t="s">
        <v>491</v>
      </c>
      <c r="C970" t="s">
        <v>3081</v>
      </c>
      <c r="D970" t="s">
        <v>466</v>
      </c>
      <c r="E970" t="s">
        <v>493</v>
      </c>
      <c r="F970" t="s">
        <v>3084</v>
      </c>
      <c r="G970">
        <v>4500320263</v>
      </c>
      <c r="H970" t="s">
        <v>2789</v>
      </c>
      <c r="I970" t="s">
        <v>3085</v>
      </c>
      <c r="J970" t="s">
        <v>493</v>
      </c>
      <c r="K970" s="2">
        <v>20442</v>
      </c>
      <c r="L970" s="2">
        <v>20442</v>
      </c>
      <c r="M970" t="str">
        <f>IFERROR(IF(VLOOKUP(LEFT(B970,2),'Humanitarian codes'!$A$2:$A$10,1,FALSE)=LEFT(B970,2),"Yes","Error"),"No")</f>
        <v>No</v>
      </c>
    </row>
    <row r="971" spans="1:13" hidden="1" x14ac:dyDescent="0.25">
      <c r="A971" t="s">
        <v>2783</v>
      </c>
      <c r="B971" t="s">
        <v>491</v>
      </c>
      <c r="C971" t="s">
        <v>3081</v>
      </c>
      <c r="D971" t="s">
        <v>466</v>
      </c>
      <c r="E971" t="s">
        <v>493</v>
      </c>
      <c r="F971" t="s">
        <v>3086</v>
      </c>
      <c r="G971">
        <v>4500320546</v>
      </c>
      <c r="H971" t="s">
        <v>2789</v>
      </c>
      <c r="I971" t="s">
        <v>494</v>
      </c>
      <c r="J971" t="s">
        <v>493</v>
      </c>
      <c r="K971" s="2">
        <v>31409</v>
      </c>
      <c r="L971" s="2">
        <v>31409</v>
      </c>
      <c r="M971" t="str">
        <f>IFERROR(IF(VLOOKUP(LEFT(B971,2),'Humanitarian codes'!$A$2:$A$10,1,FALSE)=LEFT(B971,2),"Yes","Error"),"No")</f>
        <v>No</v>
      </c>
    </row>
    <row r="972" spans="1:13" hidden="1" x14ac:dyDescent="0.25">
      <c r="A972" t="s">
        <v>2783</v>
      </c>
      <c r="B972" t="s">
        <v>491</v>
      </c>
      <c r="C972" t="s">
        <v>3081</v>
      </c>
      <c r="D972" t="s">
        <v>466</v>
      </c>
      <c r="E972" t="s">
        <v>493</v>
      </c>
      <c r="F972" t="s">
        <v>3087</v>
      </c>
      <c r="G972">
        <v>4500322528</v>
      </c>
      <c r="H972" t="s">
        <v>2789</v>
      </c>
      <c r="I972" t="s">
        <v>3088</v>
      </c>
      <c r="J972" t="s">
        <v>132</v>
      </c>
      <c r="K972" s="2">
        <v>31889</v>
      </c>
      <c r="L972" s="2">
        <v>31889</v>
      </c>
      <c r="M972" t="str">
        <f>IFERROR(IF(VLOOKUP(LEFT(B972,2),'Humanitarian codes'!$A$2:$A$10,1,FALSE)=LEFT(B972,2),"Yes","Error"),"No")</f>
        <v>No</v>
      </c>
    </row>
    <row r="973" spans="1:13" hidden="1" x14ac:dyDescent="0.25">
      <c r="A973" t="s">
        <v>2783</v>
      </c>
      <c r="B973" t="s">
        <v>491</v>
      </c>
      <c r="C973" t="s">
        <v>3081</v>
      </c>
      <c r="D973" t="s">
        <v>466</v>
      </c>
      <c r="E973" t="s">
        <v>493</v>
      </c>
      <c r="F973" t="s">
        <v>3089</v>
      </c>
      <c r="G973">
        <v>4500323306</v>
      </c>
      <c r="H973" t="s">
        <v>2789</v>
      </c>
      <c r="I973" t="s">
        <v>3090</v>
      </c>
      <c r="J973" t="s">
        <v>493</v>
      </c>
      <c r="K973" s="2">
        <v>42518</v>
      </c>
      <c r="L973" s="2">
        <v>42518</v>
      </c>
      <c r="M973" t="str">
        <f>IFERROR(IF(VLOOKUP(LEFT(B973,2),'Humanitarian codes'!$A$2:$A$10,1,FALSE)=LEFT(B973,2),"Yes","Error"),"No")</f>
        <v>No</v>
      </c>
    </row>
    <row r="974" spans="1:13" hidden="1" x14ac:dyDescent="0.25">
      <c r="A974" t="s">
        <v>2783</v>
      </c>
      <c r="B974" t="s">
        <v>491</v>
      </c>
      <c r="C974" t="s">
        <v>3081</v>
      </c>
      <c r="D974" t="s">
        <v>466</v>
      </c>
      <c r="E974" t="s">
        <v>493</v>
      </c>
      <c r="F974" t="s">
        <v>3091</v>
      </c>
      <c r="G974">
        <v>4500324833</v>
      </c>
      <c r="H974" t="s">
        <v>2789</v>
      </c>
      <c r="I974" t="s">
        <v>3092</v>
      </c>
      <c r="J974" t="s">
        <v>493</v>
      </c>
      <c r="K974" s="2">
        <v>21259</v>
      </c>
      <c r="L974" s="2">
        <v>21259</v>
      </c>
      <c r="M974" t="str">
        <f>IFERROR(IF(VLOOKUP(LEFT(B974,2),'Humanitarian codes'!$A$2:$A$10,1,FALSE)=LEFT(B974,2),"Yes","Error"),"No")</f>
        <v>No</v>
      </c>
    </row>
    <row r="975" spans="1:13" hidden="1" x14ac:dyDescent="0.25">
      <c r="A975" t="s">
        <v>2783</v>
      </c>
      <c r="B975" t="s">
        <v>732</v>
      </c>
      <c r="C975" t="s">
        <v>3093</v>
      </c>
      <c r="D975" t="s">
        <v>466</v>
      </c>
      <c r="E975" t="s">
        <v>1453</v>
      </c>
      <c r="F975" t="s">
        <v>3094</v>
      </c>
      <c r="G975">
        <v>4500305627</v>
      </c>
      <c r="H975" t="s">
        <v>2789</v>
      </c>
      <c r="I975" t="s">
        <v>2543</v>
      </c>
      <c r="J975" t="s">
        <v>1453</v>
      </c>
      <c r="K975" s="2">
        <v>2863</v>
      </c>
      <c r="L975" s="2">
        <v>2863</v>
      </c>
      <c r="M975" t="str">
        <f>IFERROR(IF(VLOOKUP(LEFT(B975,2),'Humanitarian codes'!$A$2:$A$10,1,FALSE)=LEFT(B975,2),"Yes","Error"),"No")</f>
        <v>No</v>
      </c>
    </row>
    <row r="976" spans="1:13" hidden="1" x14ac:dyDescent="0.25">
      <c r="A976" t="s">
        <v>2783</v>
      </c>
      <c r="B976" t="s">
        <v>732</v>
      </c>
      <c r="C976" t="s">
        <v>3093</v>
      </c>
      <c r="D976" t="s">
        <v>466</v>
      </c>
      <c r="E976" t="s">
        <v>1453</v>
      </c>
      <c r="F976" t="s">
        <v>3095</v>
      </c>
      <c r="G976">
        <v>4500314928</v>
      </c>
      <c r="H976" t="s">
        <v>2789</v>
      </c>
      <c r="I976" t="s">
        <v>2543</v>
      </c>
      <c r="J976" t="s">
        <v>1453</v>
      </c>
      <c r="K976">
        <v>100</v>
      </c>
      <c r="L976">
        <v>100</v>
      </c>
      <c r="M976" t="str">
        <f>IFERROR(IF(VLOOKUP(LEFT(B976,2),'Humanitarian codes'!$A$2:$A$10,1,FALSE)=LEFT(B976,2),"Yes","Error"),"No")</f>
        <v>No</v>
      </c>
    </row>
    <row r="977" spans="1:13" hidden="1" x14ac:dyDescent="0.25">
      <c r="A977" t="s">
        <v>2783</v>
      </c>
      <c r="B977" t="s">
        <v>732</v>
      </c>
      <c r="C977" t="s">
        <v>3093</v>
      </c>
      <c r="D977" t="s">
        <v>466</v>
      </c>
      <c r="E977" t="s">
        <v>1453</v>
      </c>
      <c r="F977" t="s">
        <v>3096</v>
      </c>
      <c r="G977">
        <v>4500317440</v>
      </c>
      <c r="H977" t="s">
        <v>2789</v>
      </c>
      <c r="I977" t="s">
        <v>2543</v>
      </c>
      <c r="J977" t="s">
        <v>1453</v>
      </c>
      <c r="K977" s="2">
        <v>1950</v>
      </c>
      <c r="L977" s="2">
        <v>1950</v>
      </c>
      <c r="M977" t="str">
        <f>IFERROR(IF(VLOOKUP(LEFT(B977,2),'Humanitarian codes'!$A$2:$A$10,1,FALSE)=LEFT(B977,2),"Yes","Error"),"No")</f>
        <v>No</v>
      </c>
    </row>
    <row r="978" spans="1:13" hidden="1" x14ac:dyDescent="0.25">
      <c r="A978" t="s">
        <v>2783</v>
      </c>
      <c r="B978" t="s">
        <v>732</v>
      </c>
      <c r="C978" t="s">
        <v>3093</v>
      </c>
      <c r="D978" t="s">
        <v>466</v>
      </c>
      <c r="E978" t="s">
        <v>1453</v>
      </c>
      <c r="F978" t="s">
        <v>3097</v>
      </c>
      <c r="G978">
        <v>4500322838</v>
      </c>
      <c r="H978" t="s">
        <v>2789</v>
      </c>
      <c r="I978" t="s">
        <v>2543</v>
      </c>
      <c r="J978" t="s">
        <v>1453</v>
      </c>
      <c r="K978">
        <v>314</v>
      </c>
      <c r="L978">
        <v>314</v>
      </c>
      <c r="M978" t="str">
        <f>IFERROR(IF(VLOOKUP(LEFT(B978,2),'Humanitarian codes'!$A$2:$A$10,1,FALSE)=LEFT(B978,2),"Yes","Error"),"No")</f>
        <v>No</v>
      </c>
    </row>
    <row r="979" spans="1:13" hidden="1" x14ac:dyDescent="0.25">
      <c r="A979" t="s">
        <v>2783</v>
      </c>
      <c r="B979" t="s">
        <v>732</v>
      </c>
      <c r="C979" t="s">
        <v>3093</v>
      </c>
      <c r="D979" t="s">
        <v>466</v>
      </c>
      <c r="E979" t="s">
        <v>167</v>
      </c>
      <c r="F979" t="s">
        <v>2953</v>
      </c>
      <c r="G979">
        <v>4500310235</v>
      </c>
      <c r="H979" t="s">
        <v>2789</v>
      </c>
      <c r="I979" t="s">
        <v>973</v>
      </c>
      <c r="J979" t="s">
        <v>167</v>
      </c>
      <c r="K979" s="2">
        <v>10051</v>
      </c>
      <c r="L979" s="2">
        <v>50257</v>
      </c>
      <c r="M979" t="str">
        <f>IFERROR(IF(VLOOKUP(LEFT(B979,2),'Humanitarian codes'!$A$2:$A$10,1,FALSE)=LEFT(B979,2),"Yes","Error"),"No")</f>
        <v>No</v>
      </c>
    </row>
    <row r="980" spans="1:13" hidden="1" x14ac:dyDescent="0.25">
      <c r="A980" t="s">
        <v>2783</v>
      </c>
      <c r="B980" t="s">
        <v>2553</v>
      </c>
      <c r="C980" t="s">
        <v>3098</v>
      </c>
      <c r="D980" t="s">
        <v>466</v>
      </c>
      <c r="E980" t="s">
        <v>549</v>
      </c>
      <c r="F980" t="s">
        <v>2200</v>
      </c>
      <c r="G980">
        <v>4500307269</v>
      </c>
      <c r="H980" t="s">
        <v>2789</v>
      </c>
      <c r="I980" t="s">
        <v>2555</v>
      </c>
      <c r="J980" t="s">
        <v>549</v>
      </c>
      <c r="K980" s="2">
        <v>1400</v>
      </c>
      <c r="L980" s="2">
        <v>1400</v>
      </c>
      <c r="M980" t="str">
        <f>IFERROR(IF(VLOOKUP(LEFT(B980,2),'Humanitarian codes'!$A$2:$A$10,1,FALSE)=LEFT(B980,2),"Yes","Error"),"No")</f>
        <v>No</v>
      </c>
    </row>
    <row r="981" spans="1:13" hidden="1" x14ac:dyDescent="0.25">
      <c r="A981" t="s">
        <v>2783</v>
      </c>
      <c r="B981" t="s">
        <v>2553</v>
      </c>
      <c r="C981" t="s">
        <v>3098</v>
      </c>
      <c r="D981" t="s">
        <v>466</v>
      </c>
      <c r="E981" t="s">
        <v>449</v>
      </c>
      <c r="F981" t="s">
        <v>3099</v>
      </c>
      <c r="G981">
        <v>4500301755</v>
      </c>
      <c r="H981" t="s">
        <v>2789</v>
      </c>
      <c r="I981" t="s">
        <v>553</v>
      </c>
      <c r="J981" t="s">
        <v>449</v>
      </c>
      <c r="K981" s="2">
        <v>437444</v>
      </c>
      <c r="L981" s="2">
        <v>437444</v>
      </c>
      <c r="M981" t="str">
        <f>IFERROR(IF(VLOOKUP(LEFT(B981,2),'Humanitarian codes'!$A$2:$A$10,1,FALSE)=LEFT(B981,2),"Yes","Error"),"No")</f>
        <v>No</v>
      </c>
    </row>
    <row r="982" spans="1:13" hidden="1" x14ac:dyDescent="0.25">
      <c r="A982" t="s">
        <v>2783</v>
      </c>
      <c r="B982" t="s">
        <v>524</v>
      </c>
      <c r="C982" t="s">
        <v>3100</v>
      </c>
      <c r="D982" t="s">
        <v>512</v>
      </c>
      <c r="E982" t="s">
        <v>25</v>
      </c>
      <c r="F982" t="s">
        <v>2357</v>
      </c>
      <c r="G982">
        <v>4500311237</v>
      </c>
      <c r="H982" t="s">
        <v>2789</v>
      </c>
      <c r="I982" t="s">
        <v>1493</v>
      </c>
      <c r="J982" t="s">
        <v>1494</v>
      </c>
      <c r="K982" s="2">
        <v>55006</v>
      </c>
      <c r="L982" s="2">
        <v>55006</v>
      </c>
      <c r="M982" t="str">
        <f>IFERROR(IF(VLOOKUP(LEFT(B982,2),'Humanitarian codes'!$A$2:$A$10,1,FALSE)=LEFT(B982,2),"Yes","Error"),"No")</f>
        <v>No</v>
      </c>
    </row>
    <row r="983" spans="1:13" hidden="1" x14ac:dyDescent="0.25">
      <c r="A983" t="s">
        <v>2783</v>
      </c>
      <c r="B983" t="s">
        <v>3101</v>
      </c>
      <c r="C983" t="s">
        <v>3102</v>
      </c>
      <c r="D983" t="s">
        <v>512</v>
      </c>
      <c r="E983" t="s">
        <v>561</v>
      </c>
      <c r="F983" t="s">
        <v>2200</v>
      </c>
      <c r="G983">
        <v>4500314933</v>
      </c>
      <c r="H983" t="s">
        <v>2789</v>
      </c>
      <c r="I983" t="s">
        <v>3103</v>
      </c>
      <c r="J983" t="s">
        <v>561</v>
      </c>
      <c r="K983" s="2">
        <v>22125</v>
      </c>
      <c r="L983" s="2">
        <v>22125</v>
      </c>
      <c r="M983" t="str">
        <f>IFERROR(IF(VLOOKUP(LEFT(B983,2),'Humanitarian codes'!$A$2:$A$10,1,FALSE)=LEFT(B983,2),"Yes","Error"),"No")</f>
        <v>No</v>
      </c>
    </row>
    <row r="984" spans="1:13" hidden="1" x14ac:dyDescent="0.25">
      <c r="A984" t="s">
        <v>2783</v>
      </c>
      <c r="B984" t="s">
        <v>3104</v>
      </c>
      <c r="C984" t="s">
        <v>3105</v>
      </c>
      <c r="D984" t="s">
        <v>512</v>
      </c>
      <c r="E984" t="s">
        <v>477</v>
      </c>
      <c r="F984" t="s">
        <v>3106</v>
      </c>
      <c r="G984">
        <v>4500304941</v>
      </c>
      <c r="H984" t="s">
        <v>2789</v>
      </c>
      <c r="I984" t="s">
        <v>3107</v>
      </c>
      <c r="J984" t="s">
        <v>477</v>
      </c>
      <c r="K984" s="2">
        <v>17709</v>
      </c>
      <c r="L984" s="2">
        <v>17709</v>
      </c>
      <c r="M984" t="str">
        <f>IFERROR(IF(VLOOKUP(LEFT(B984,2),'Humanitarian codes'!$A$2:$A$10,1,FALSE)=LEFT(B984,2),"Yes","Error"),"No")</f>
        <v>No</v>
      </c>
    </row>
    <row r="985" spans="1:13" hidden="1" x14ac:dyDescent="0.25">
      <c r="A985" t="s">
        <v>2783</v>
      </c>
      <c r="B985" t="s">
        <v>988</v>
      </c>
      <c r="C985" t="s">
        <v>3108</v>
      </c>
      <c r="D985" t="s">
        <v>512</v>
      </c>
      <c r="E985" t="s">
        <v>992</v>
      </c>
      <c r="F985" t="s">
        <v>2200</v>
      </c>
      <c r="G985">
        <v>4500303444</v>
      </c>
      <c r="H985" t="s">
        <v>2789</v>
      </c>
      <c r="I985" t="s">
        <v>993</v>
      </c>
      <c r="J985" t="s">
        <v>992</v>
      </c>
      <c r="K985" s="2">
        <v>55499</v>
      </c>
      <c r="L985" s="2">
        <v>55499</v>
      </c>
      <c r="M985" t="str">
        <f>IFERROR(IF(VLOOKUP(LEFT(B985,2),'Humanitarian codes'!$A$2:$A$10,1,FALSE)=LEFT(B985,2),"Yes","Error"),"No")</f>
        <v>No</v>
      </c>
    </row>
    <row r="986" spans="1:13" hidden="1" x14ac:dyDescent="0.25">
      <c r="A986" t="s">
        <v>2783</v>
      </c>
      <c r="B986" t="s">
        <v>988</v>
      </c>
      <c r="C986" t="s">
        <v>3108</v>
      </c>
      <c r="D986" t="s">
        <v>512</v>
      </c>
      <c r="E986" t="s">
        <v>992</v>
      </c>
      <c r="F986" t="s">
        <v>2200</v>
      </c>
      <c r="G986">
        <v>4500307525</v>
      </c>
      <c r="H986" t="s">
        <v>2789</v>
      </c>
      <c r="I986" t="s">
        <v>993</v>
      </c>
      <c r="J986" t="s">
        <v>992</v>
      </c>
      <c r="K986" s="2">
        <v>55499</v>
      </c>
      <c r="L986" s="2">
        <v>55499</v>
      </c>
      <c r="M986" t="str">
        <f>IFERROR(IF(VLOOKUP(LEFT(B986,2),'Humanitarian codes'!$A$2:$A$10,1,FALSE)=LEFT(B986,2),"Yes","Error"),"No")</f>
        <v>No</v>
      </c>
    </row>
    <row r="987" spans="1:13" hidden="1" x14ac:dyDescent="0.25">
      <c r="A987" t="s">
        <v>2783</v>
      </c>
      <c r="B987" t="s">
        <v>988</v>
      </c>
      <c r="C987" t="s">
        <v>3108</v>
      </c>
      <c r="D987" t="s">
        <v>512</v>
      </c>
      <c r="E987" t="s">
        <v>992</v>
      </c>
      <c r="F987" t="s">
        <v>2200</v>
      </c>
      <c r="G987">
        <v>4500317192</v>
      </c>
      <c r="H987" t="s">
        <v>2789</v>
      </c>
      <c r="I987" t="s">
        <v>993</v>
      </c>
      <c r="J987" t="s">
        <v>992</v>
      </c>
      <c r="K987" s="2">
        <v>55499</v>
      </c>
      <c r="L987" s="2">
        <v>55499</v>
      </c>
      <c r="M987" t="str">
        <f>IFERROR(IF(VLOOKUP(LEFT(B987,2),'Humanitarian codes'!$A$2:$A$10,1,FALSE)=LEFT(B987,2),"Yes","Error"),"No")</f>
        <v>No</v>
      </c>
    </row>
    <row r="988" spans="1:13" hidden="1" x14ac:dyDescent="0.25">
      <c r="A988" t="s">
        <v>2783</v>
      </c>
      <c r="B988" t="s">
        <v>994</v>
      </c>
      <c r="C988" t="s">
        <v>3109</v>
      </c>
      <c r="D988" t="s">
        <v>512</v>
      </c>
      <c r="E988" t="s">
        <v>996</v>
      </c>
      <c r="F988" t="s">
        <v>2517</v>
      </c>
      <c r="G988">
        <v>4500307637</v>
      </c>
      <c r="H988" t="s">
        <v>2789</v>
      </c>
      <c r="I988" t="s">
        <v>997</v>
      </c>
      <c r="J988" t="s">
        <v>996</v>
      </c>
      <c r="K988" s="2">
        <v>65502</v>
      </c>
      <c r="L988" s="2">
        <v>65502</v>
      </c>
      <c r="M988" t="str">
        <f>IFERROR(IF(VLOOKUP(LEFT(B988,2),'Humanitarian codes'!$A$2:$A$10,1,FALSE)=LEFT(B988,2),"Yes","Error"),"No")</f>
        <v>No</v>
      </c>
    </row>
    <row r="989" spans="1:13" hidden="1" x14ac:dyDescent="0.25">
      <c r="A989" t="s">
        <v>2783</v>
      </c>
      <c r="B989" t="s">
        <v>994</v>
      </c>
      <c r="C989" t="s">
        <v>3109</v>
      </c>
      <c r="D989" t="s">
        <v>512</v>
      </c>
      <c r="E989" t="s">
        <v>996</v>
      </c>
      <c r="F989" t="s">
        <v>3110</v>
      </c>
      <c r="G989">
        <v>4500309316</v>
      </c>
      <c r="H989" t="s">
        <v>2789</v>
      </c>
      <c r="I989" t="s">
        <v>999</v>
      </c>
      <c r="J989" t="s">
        <v>996</v>
      </c>
      <c r="K989" s="2">
        <v>8471</v>
      </c>
      <c r="L989" s="2">
        <v>8471</v>
      </c>
      <c r="M989" t="str">
        <f>IFERROR(IF(VLOOKUP(LEFT(B989,2),'Humanitarian codes'!$A$2:$A$10,1,FALSE)=LEFT(B989,2),"Yes","Error"),"No")</f>
        <v>No</v>
      </c>
    </row>
    <row r="990" spans="1:13" hidden="1" x14ac:dyDescent="0.25">
      <c r="A990" t="s">
        <v>2783</v>
      </c>
      <c r="B990" t="s">
        <v>3111</v>
      </c>
      <c r="C990" t="s">
        <v>3112</v>
      </c>
      <c r="D990" t="s">
        <v>512</v>
      </c>
      <c r="E990" t="s">
        <v>20</v>
      </c>
      <c r="F990" t="s">
        <v>2908</v>
      </c>
      <c r="G990">
        <v>4500313902</v>
      </c>
      <c r="H990" t="s">
        <v>2789</v>
      </c>
      <c r="I990" t="s">
        <v>852</v>
      </c>
      <c r="J990" t="s">
        <v>20</v>
      </c>
      <c r="K990" s="2">
        <v>106336</v>
      </c>
      <c r="L990" s="2">
        <v>145666</v>
      </c>
      <c r="M990" t="str">
        <f>IFERROR(IF(VLOOKUP(LEFT(B990,2),'Humanitarian codes'!$A$2:$A$10,1,FALSE)=LEFT(B990,2),"Yes","Error"),"No")</f>
        <v>No</v>
      </c>
    </row>
    <row r="991" spans="1:13" hidden="1" x14ac:dyDescent="0.25">
      <c r="A991" t="s">
        <v>2783</v>
      </c>
      <c r="B991" t="s">
        <v>3113</v>
      </c>
      <c r="C991" t="s">
        <v>3114</v>
      </c>
      <c r="D991" t="s">
        <v>9</v>
      </c>
      <c r="E991" t="s">
        <v>3115</v>
      </c>
      <c r="F991" t="s">
        <v>3116</v>
      </c>
      <c r="G991">
        <v>4500305251</v>
      </c>
      <c r="H991" t="s">
        <v>2789</v>
      </c>
      <c r="I991" t="s">
        <v>3117</v>
      </c>
      <c r="J991" t="s">
        <v>3115</v>
      </c>
      <c r="K991" s="2">
        <v>12220</v>
      </c>
      <c r="L991" s="2">
        <v>12220</v>
      </c>
      <c r="M991" t="str">
        <f>IFERROR(IF(VLOOKUP(LEFT(B991,2),'Humanitarian codes'!$A$2:$A$10,1,FALSE)=LEFT(B991,2),"Yes","Error"),"No")</f>
        <v>No</v>
      </c>
    </row>
    <row r="992" spans="1:13" hidden="1" x14ac:dyDescent="0.25">
      <c r="A992" t="s">
        <v>2783</v>
      </c>
      <c r="B992" t="s">
        <v>3113</v>
      </c>
      <c r="C992" t="s">
        <v>3114</v>
      </c>
      <c r="D992" t="s">
        <v>9</v>
      </c>
      <c r="E992" t="s">
        <v>3115</v>
      </c>
      <c r="F992" t="s">
        <v>3118</v>
      </c>
      <c r="G992">
        <v>4500306957</v>
      </c>
      <c r="H992" t="s">
        <v>2789</v>
      </c>
      <c r="I992" t="s">
        <v>3119</v>
      </c>
      <c r="J992" t="s">
        <v>3115</v>
      </c>
      <c r="K992" s="2">
        <v>13519</v>
      </c>
      <c r="L992" s="2">
        <v>17424</v>
      </c>
      <c r="M992" t="str">
        <f>IFERROR(IF(VLOOKUP(LEFT(B992,2),'Humanitarian codes'!$A$2:$A$10,1,FALSE)=LEFT(B992,2),"Yes","Error"),"No")</f>
        <v>No</v>
      </c>
    </row>
    <row r="993" spans="1:13" hidden="1" x14ac:dyDescent="0.25">
      <c r="A993" t="s">
        <v>2783</v>
      </c>
      <c r="B993" t="s">
        <v>3113</v>
      </c>
      <c r="C993" t="s">
        <v>3114</v>
      </c>
      <c r="D993" t="s">
        <v>9</v>
      </c>
      <c r="E993" t="s">
        <v>3115</v>
      </c>
      <c r="F993" t="s">
        <v>3120</v>
      </c>
      <c r="G993">
        <v>4500314972</v>
      </c>
      <c r="H993" t="s">
        <v>2789</v>
      </c>
      <c r="I993" t="s">
        <v>3121</v>
      </c>
      <c r="J993" t="s">
        <v>3115</v>
      </c>
      <c r="K993" s="2">
        <v>8538</v>
      </c>
      <c r="L993" s="2">
        <v>8538</v>
      </c>
      <c r="M993" t="str">
        <f>IFERROR(IF(VLOOKUP(LEFT(B993,2),'Humanitarian codes'!$A$2:$A$10,1,FALSE)=LEFT(B993,2),"Yes","Error"),"No")</f>
        <v>No</v>
      </c>
    </row>
    <row r="994" spans="1:13" hidden="1" x14ac:dyDescent="0.25">
      <c r="A994" t="s">
        <v>2783</v>
      </c>
      <c r="B994" t="s">
        <v>2569</v>
      </c>
      <c r="C994" t="s">
        <v>3122</v>
      </c>
      <c r="D994" t="s">
        <v>9</v>
      </c>
      <c r="E994" t="s">
        <v>205</v>
      </c>
      <c r="F994" t="s">
        <v>2989</v>
      </c>
      <c r="G994">
        <v>4500312960</v>
      </c>
      <c r="H994" t="s">
        <v>2789</v>
      </c>
      <c r="I994" t="s">
        <v>2990</v>
      </c>
      <c r="J994" t="s">
        <v>205</v>
      </c>
      <c r="K994" s="2">
        <v>9505</v>
      </c>
      <c r="L994" s="2">
        <v>22000</v>
      </c>
      <c r="M994" t="str">
        <f>IFERROR(IF(VLOOKUP(LEFT(B994,2),'Humanitarian codes'!$A$2:$A$10,1,FALSE)=LEFT(B994,2),"Yes","Error"),"No")</f>
        <v>No</v>
      </c>
    </row>
    <row r="995" spans="1:13" hidden="1" x14ac:dyDescent="0.25">
      <c r="A995" t="s">
        <v>2783</v>
      </c>
      <c r="B995" t="s">
        <v>2569</v>
      </c>
      <c r="C995" t="s">
        <v>3122</v>
      </c>
      <c r="D995" t="s">
        <v>9</v>
      </c>
      <c r="E995" t="s">
        <v>504</v>
      </c>
      <c r="F995" t="s">
        <v>3123</v>
      </c>
      <c r="G995">
        <v>4500312242</v>
      </c>
      <c r="H995" t="s">
        <v>2789</v>
      </c>
      <c r="I995" t="s">
        <v>3124</v>
      </c>
      <c r="J995" t="s">
        <v>1126</v>
      </c>
      <c r="K995" s="2">
        <v>4200</v>
      </c>
      <c r="L995" s="2">
        <v>4200</v>
      </c>
      <c r="M995" t="str">
        <f>IFERROR(IF(VLOOKUP(LEFT(B995,2),'Humanitarian codes'!$A$2:$A$10,1,FALSE)=LEFT(B995,2),"Yes","Error"),"No")</f>
        <v>No</v>
      </c>
    </row>
    <row r="996" spans="1:13" x14ac:dyDescent="0.25">
      <c r="A996" t="s">
        <v>2783</v>
      </c>
      <c r="B996" t="s">
        <v>2576</v>
      </c>
      <c r="C996" t="s">
        <v>3125</v>
      </c>
      <c r="D996" t="s">
        <v>512</v>
      </c>
      <c r="E996" t="s">
        <v>261</v>
      </c>
      <c r="F996" t="s">
        <v>3126</v>
      </c>
      <c r="G996">
        <v>4500302401</v>
      </c>
      <c r="H996" t="s">
        <v>2789</v>
      </c>
      <c r="I996" t="s">
        <v>3127</v>
      </c>
      <c r="J996" t="s">
        <v>261</v>
      </c>
      <c r="K996" s="2">
        <v>81575</v>
      </c>
      <c r="L996" s="2">
        <v>81575</v>
      </c>
      <c r="M996" t="str">
        <f>IFERROR(IF(VLOOKUP(LEFT(B996,2),'Humanitarian codes'!$A$2:$A$10,1,FALSE)=LEFT(B996,2),"Yes","Error"),"No")</f>
        <v>Yes</v>
      </c>
    </row>
    <row r="997" spans="1:13" x14ac:dyDescent="0.25">
      <c r="A997" t="s">
        <v>2783</v>
      </c>
      <c r="B997" t="s">
        <v>2576</v>
      </c>
      <c r="C997" t="s">
        <v>3125</v>
      </c>
      <c r="D997" t="s">
        <v>512</v>
      </c>
      <c r="E997" t="s">
        <v>676</v>
      </c>
      <c r="F997" t="s">
        <v>2357</v>
      </c>
      <c r="G997">
        <v>4500302042</v>
      </c>
      <c r="H997" t="s">
        <v>2789</v>
      </c>
      <c r="I997" t="s">
        <v>1834</v>
      </c>
      <c r="J997" t="s">
        <v>751</v>
      </c>
      <c r="K997" s="2">
        <v>25000</v>
      </c>
      <c r="L997" s="2">
        <v>25000</v>
      </c>
      <c r="M997" t="str">
        <f>IFERROR(IF(VLOOKUP(LEFT(B997,2),'Humanitarian codes'!$A$2:$A$10,1,FALSE)=LEFT(B997,2),"Yes","Error"),"No")</f>
        <v>Yes</v>
      </c>
    </row>
    <row r="998" spans="1:13" x14ac:dyDescent="0.25">
      <c r="A998" t="s">
        <v>2783</v>
      </c>
      <c r="B998" t="s">
        <v>2576</v>
      </c>
      <c r="C998" t="s">
        <v>3125</v>
      </c>
      <c r="D998" t="s">
        <v>512</v>
      </c>
      <c r="E998" t="s">
        <v>676</v>
      </c>
      <c r="F998" t="s">
        <v>3128</v>
      </c>
      <c r="G998">
        <v>4500306044</v>
      </c>
      <c r="H998" t="s">
        <v>2789</v>
      </c>
      <c r="I998" t="s">
        <v>3129</v>
      </c>
      <c r="J998" t="s">
        <v>261</v>
      </c>
      <c r="K998" s="2">
        <v>43050</v>
      </c>
      <c r="L998" s="2">
        <v>43050</v>
      </c>
      <c r="M998" t="str">
        <f>IFERROR(IF(VLOOKUP(LEFT(B998,2),'Humanitarian codes'!$A$2:$A$10,1,FALSE)=LEFT(B998,2),"Yes","Error"),"No")</f>
        <v>Yes</v>
      </c>
    </row>
    <row r="999" spans="1:13" x14ac:dyDescent="0.25">
      <c r="A999" t="s">
        <v>2783</v>
      </c>
      <c r="B999" t="s">
        <v>2576</v>
      </c>
      <c r="C999" t="s">
        <v>3125</v>
      </c>
      <c r="D999" t="s">
        <v>512</v>
      </c>
      <c r="E999" t="s">
        <v>676</v>
      </c>
      <c r="F999" t="s">
        <v>3130</v>
      </c>
      <c r="G999">
        <v>4500310556</v>
      </c>
      <c r="H999" t="s">
        <v>2789</v>
      </c>
      <c r="I999" t="s">
        <v>1834</v>
      </c>
      <c r="J999" t="s">
        <v>751</v>
      </c>
      <c r="K999" s="2">
        <v>7000</v>
      </c>
      <c r="L999" s="2">
        <v>7000</v>
      </c>
      <c r="M999" t="str">
        <f>IFERROR(IF(VLOOKUP(LEFT(B999,2),'Humanitarian codes'!$A$2:$A$10,1,FALSE)=LEFT(B999,2),"Yes","Error"),"No")</f>
        <v>Yes</v>
      </c>
    </row>
    <row r="1000" spans="1:13" x14ac:dyDescent="0.25">
      <c r="A1000" t="s">
        <v>2783</v>
      </c>
      <c r="B1000" t="s">
        <v>2576</v>
      </c>
      <c r="C1000" t="s">
        <v>3125</v>
      </c>
      <c r="D1000" t="s">
        <v>512</v>
      </c>
      <c r="E1000" t="s">
        <v>210</v>
      </c>
      <c r="F1000" t="s">
        <v>3131</v>
      </c>
      <c r="G1000">
        <v>4500307984</v>
      </c>
      <c r="H1000" t="s">
        <v>2789</v>
      </c>
      <c r="I1000" t="s">
        <v>215</v>
      </c>
      <c r="J1000" t="s">
        <v>210</v>
      </c>
      <c r="K1000" s="2">
        <v>71426</v>
      </c>
      <c r="L1000" s="2">
        <v>88728</v>
      </c>
      <c r="M1000" t="str">
        <f>IFERROR(IF(VLOOKUP(LEFT(B1000,2),'Humanitarian codes'!$A$2:$A$10,1,FALSE)=LEFT(B1000,2),"Yes","Error"),"No")</f>
        <v>Yes</v>
      </c>
    </row>
    <row r="1001" spans="1:13" x14ac:dyDescent="0.25">
      <c r="A1001" t="s">
        <v>2783</v>
      </c>
      <c r="B1001" t="s">
        <v>2579</v>
      </c>
      <c r="C1001" t="s">
        <v>3132</v>
      </c>
      <c r="D1001" t="s">
        <v>512</v>
      </c>
      <c r="E1001" t="s">
        <v>890</v>
      </c>
      <c r="F1001" t="s">
        <v>3133</v>
      </c>
      <c r="G1001">
        <v>4500319375</v>
      </c>
      <c r="H1001" t="s">
        <v>2789</v>
      </c>
      <c r="I1001" t="s">
        <v>3134</v>
      </c>
      <c r="J1001" t="s">
        <v>890</v>
      </c>
      <c r="K1001" s="2">
        <v>450000</v>
      </c>
      <c r="L1001" s="2">
        <v>450000</v>
      </c>
      <c r="M1001" t="str">
        <f>IFERROR(IF(VLOOKUP(LEFT(B1001,2),'Humanitarian codes'!$A$2:$A$10,1,FALSE)=LEFT(B1001,2),"Yes","Error"),"No")</f>
        <v>Yes</v>
      </c>
    </row>
    <row r="1002" spans="1:13" x14ac:dyDescent="0.25">
      <c r="A1002" t="s">
        <v>2783</v>
      </c>
      <c r="B1002" t="s">
        <v>2579</v>
      </c>
      <c r="C1002" t="s">
        <v>3132</v>
      </c>
      <c r="D1002" t="s">
        <v>512</v>
      </c>
      <c r="E1002" t="s">
        <v>890</v>
      </c>
      <c r="F1002" t="s">
        <v>2200</v>
      </c>
      <c r="G1002">
        <v>4500321486</v>
      </c>
      <c r="H1002" t="s">
        <v>2789</v>
      </c>
      <c r="I1002" t="s">
        <v>892</v>
      </c>
      <c r="J1002" t="s">
        <v>890</v>
      </c>
      <c r="K1002" s="2">
        <v>130792</v>
      </c>
      <c r="L1002" s="2">
        <v>130792</v>
      </c>
      <c r="M1002" t="str">
        <f>IFERROR(IF(VLOOKUP(LEFT(B1002,2),'Humanitarian codes'!$A$2:$A$10,1,FALSE)=LEFT(B1002,2),"Yes","Error"),"No")</f>
        <v>Yes</v>
      </c>
    </row>
    <row r="1003" spans="1:13" hidden="1" x14ac:dyDescent="0.25">
      <c r="A1003" t="s">
        <v>2783</v>
      </c>
      <c r="B1003" t="s">
        <v>3135</v>
      </c>
      <c r="C1003" t="s">
        <v>3136</v>
      </c>
      <c r="D1003" t="s">
        <v>543</v>
      </c>
      <c r="E1003" t="s">
        <v>1128</v>
      </c>
      <c r="F1003" t="s">
        <v>3137</v>
      </c>
      <c r="G1003">
        <v>4500319834</v>
      </c>
      <c r="H1003" t="s">
        <v>2789</v>
      </c>
      <c r="I1003" t="s">
        <v>3138</v>
      </c>
      <c r="J1003" t="s">
        <v>1128</v>
      </c>
      <c r="K1003" s="2">
        <v>20826</v>
      </c>
      <c r="L1003" s="2">
        <v>20826</v>
      </c>
      <c r="M1003" t="str">
        <f>IFERROR(IF(VLOOKUP(LEFT(B1003,2),'Humanitarian codes'!$A$2:$A$10,1,FALSE)=LEFT(B1003,2),"Yes","Error"),"No")</f>
        <v>No</v>
      </c>
    </row>
    <row r="1004" spans="1:13" hidden="1" x14ac:dyDescent="0.25">
      <c r="A1004" t="s">
        <v>2783</v>
      </c>
      <c r="B1004" t="s">
        <v>3139</v>
      </c>
      <c r="C1004" t="s">
        <v>3140</v>
      </c>
      <c r="D1004" t="s">
        <v>543</v>
      </c>
      <c r="E1004" t="s">
        <v>1395</v>
      </c>
      <c r="F1004" t="s">
        <v>3141</v>
      </c>
      <c r="G1004">
        <v>4500319254</v>
      </c>
      <c r="H1004" t="s">
        <v>2789</v>
      </c>
      <c r="I1004" t="s">
        <v>3142</v>
      </c>
      <c r="J1004" t="s">
        <v>1395</v>
      </c>
      <c r="K1004" s="2">
        <v>17579</v>
      </c>
      <c r="L1004" s="2">
        <v>17579</v>
      </c>
      <c r="M1004" t="str">
        <f>IFERROR(IF(VLOOKUP(LEFT(B1004,2),'Humanitarian codes'!$A$2:$A$10,1,FALSE)=LEFT(B1004,2),"Yes","Error"),"No")</f>
        <v>No</v>
      </c>
    </row>
    <row r="1005" spans="1:13" hidden="1" x14ac:dyDescent="0.25">
      <c r="A1005" t="s">
        <v>2783</v>
      </c>
      <c r="B1005" t="s">
        <v>2098</v>
      </c>
      <c r="C1005" t="s">
        <v>3143</v>
      </c>
      <c r="D1005" t="s">
        <v>9</v>
      </c>
      <c r="E1005" t="s">
        <v>1426</v>
      </c>
      <c r="F1005" t="s">
        <v>3144</v>
      </c>
      <c r="G1005">
        <v>4500313792</v>
      </c>
      <c r="H1005" t="s">
        <v>2789</v>
      </c>
      <c r="I1005" t="s">
        <v>3145</v>
      </c>
      <c r="J1005" t="s">
        <v>1426</v>
      </c>
      <c r="K1005" s="2">
        <v>12500</v>
      </c>
      <c r="L1005" s="2">
        <v>12500</v>
      </c>
      <c r="M1005" t="str">
        <f>IFERROR(IF(VLOOKUP(LEFT(B1005,2),'Humanitarian codes'!$A$2:$A$10,1,FALSE)=LEFT(B1005,2),"Yes","Error"),"No")</f>
        <v>No</v>
      </c>
    </row>
    <row r="1006" spans="1:13" hidden="1" x14ac:dyDescent="0.25">
      <c r="A1006" t="s">
        <v>2783</v>
      </c>
      <c r="B1006" t="s">
        <v>2098</v>
      </c>
      <c r="C1006" t="s">
        <v>3143</v>
      </c>
      <c r="D1006" t="s">
        <v>9</v>
      </c>
      <c r="E1006" t="s">
        <v>924</v>
      </c>
      <c r="F1006" t="s">
        <v>3146</v>
      </c>
      <c r="G1006">
        <v>4500323094</v>
      </c>
      <c r="H1006" t="s">
        <v>2789</v>
      </c>
      <c r="I1006" t="s">
        <v>925</v>
      </c>
      <c r="J1006" t="s">
        <v>924</v>
      </c>
      <c r="K1006" s="2">
        <v>12483</v>
      </c>
      <c r="L1006" s="2">
        <v>12483</v>
      </c>
      <c r="M1006" t="str">
        <f>IFERROR(IF(VLOOKUP(LEFT(B1006,2),'Humanitarian codes'!$A$2:$A$10,1,FALSE)=LEFT(B1006,2),"Yes","Error"),"No")</f>
        <v>No</v>
      </c>
    </row>
    <row r="1007" spans="1:13" hidden="1" x14ac:dyDescent="0.25">
      <c r="A1007" t="s">
        <v>2783</v>
      </c>
      <c r="B1007" t="s">
        <v>2098</v>
      </c>
      <c r="C1007" t="s">
        <v>3143</v>
      </c>
      <c r="D1007" t="s">
        <v>9</v>
      </c>
      <c r="E1007" t="s">
        <v>924</v>
      </c>
      <c r="F1007" t="s">
        <v>3147</v>
      </c>
      <c r="G1007">
        <v>4500323095</v>
      </c>
      <c r="H1007" t="s">
        <v>2789</v>
      </c>
      <c r="I1007" t="s">
        <v>3148</v>
      </c>
      <c r="J1007" t="s">
        <v>924</v>
      </c>
      <c r="K1007" s="2">
        <v>12500</v>
      </c>
      <c r="L1007" s="2">
        <v>12500</v>
      </c>
      <c r="M1007" t="str">
        <f>IFERROR(IF(VLOOKUP(LEFT(B1007,2),'Humanitarian codes'!$A$2:$A$10,1,FALSE)=LEFT(B1007,2),"Yes","Error"),"No")</f>
        <v>No</v>
      </c>
    </row>
    <row r="1008" spans="1:13" hidden="1" x14ac:dyDescent="0.25">
      <c r="A1008" t="s">
        <v>2783</v>
      </c>
      <c r="B1008" t="s">
        <v>2098</v>
      </c>
      <c r="C1008" t="s">
        <v>3143</v>
      </c>
      <c r="D1008" t="s">
        <v>9</v>
      </c>
      <c r="E1008" t="s">
        <v>924</v>
      </c>
      <c r="F1008" t="s">
        <v>3149</v>
      </c>
      <c r="G1008">
        <v>4500325555</v>
      </c>
      <c r="H1008" t="s">
        <v>2789</v>
      </c>
      <c r="I1008" t="s">
        <v>3150</v>
      </c>
      <c r="J1008" t="s">
        <v>924</v>
      </c>
      <c r="K1008" s="2">
        <v>12500</v>
      </c>
      <c r="L1008" s="2">
        <v>12500</v>
      </c>
      <c r="M1008" t="str">
        <f>IFERROR(IF(VLOOKUP(LEFT(B1008,2),'Humanitarian codes'!$A$2:$A$10,1,FALSE)=LEFT(B1008,2),"Yes","Error"),"No")</f>
        <v>No</v>
      </c>
    </row>
    <row r="1009" spans="1:13" hidden="1" x14ac:dyDescent="0.25">
      <c r="A1009" t="s">
        <v>2783</v>
      </c>
      <c r="B1009" t="s">
        <v>2102</v>
      </c>
      <c r="C1009" t="s">
        <v>3151</v>
      </c>
      <c r="D1009" t="s">
        <v>9</v>
      </c>
      <c r="E1009" t="s">
        <v>1380</v>
      </c>
      <c r="F1009" t="s">
        <v>2499</v>
      </c>
      <c r="G1009">
        <v>4500306508</v>
      </c>
      <c r="H1009" t="s">
        <v>2789</v>
      </c>
      <c r="I1009" t="s">
        <v>3152</v>
      </c>
      <c r="J1009" t="s">
        <v>1380</v>
      </c>
      <c r="K1009" s="2">
        <v>798736</v>
      </c>
      <c r="L1009" s="2">
        <v>798736</v>
      </c>
      <c r="M1009" t="str">
        <f>IFERROR(IF(VLOOKUP(LEFT(B1009,2),'Humanitarian codes'!$A$2:$A$10,1,FALSE)=LEFT(B1009,2),"Yes","Error"),"No")</f>
        <v>No</v>
      </c>
    </row>
    <row r="1010" spans="1:13" hidden="1" x14ac:dyDescent="0.25">
      <c r="A1010" t="s">
        <v>2783</v>
      </c>
      <c r="B1010" t="s">
        <v>1841</v>
      </c>
      <c r="C1010" t="s">
        <v>3153</v>
      </c>
      <c r="D1010" t="s">
        <v>30</v>
      </c>
      <c r="E1010" t="s">
        <v>1166</v>
      </c>
      <c r="F1010" t="s">
        <v>3154</v>
      </c>
      <c r="G1010">
        <v>4500306943</v>
      </c>
      <c r="H1010" t="s">
        <v>2789</v>
      </c>
      <c r="I1010" t="s">
        <v>3155</v>
      </c>
      <c r="J1010" t="s">
        <v>1166</v>
      </c>
      <c r="K1010" s="2">
        <v>15346</v>
      </c>
      <c r="L1010" s="2">
        <v>15346</v>
      </c>
      <c r="M1010" t="str">
        <f>IFERROR(IF(VLOOKUP(LEFT(B1010,2),'Humanitarian codes'!$A$2:$A$10,1,FALSE)=LEFT(B1010,2),"Yes","Error"),"No")</f>
        <v>No</v>
      </c>
    </row>
    <row r="1011" spans="1:13" hidden="1" x14ac:dyDescent="0.25">
      <c r="A1011" t="s">
        <v>2783</v>
      </c>
      <c r="B1011" t="s">
        <v>1841</v>
      </c>
      <c r="C1011" t="s">
        <v>3153</v>
      </c>
      <c r="D1011" t="s">
        <v>30</v>
      </c>
      <c r="E1011" t="s">
        <v>1166</v>
      </c>
      <c r="F1011" t="s">
        <v>3156</v>
      </c>
      <c r="G1011">
        <v>4500311581</v>
      </c>
      <c r="H1011" t="s">
        <v>2789</v>
      </c>
      <c r="I1011" t="s">
        <v>3157</v>
      </c>
      <c r="J1011" t="s">
        <v>1166</v>
      </c>
      <c r="K1011" s="2">
        <v>10568</v>
      </c>
      <c r="L1011" s="2">
        <v>10568</v>
      </c>
      <c r="M1011" t="str">
        <f>IFERROR(IF(VLOOKUP(LEFT(B1011,2),'Humanitarian codes'!$A$2:$A$10,1,FALSE)=LEFT(B1011,2),"Yes","Error"),"No")</f>
        <v>No</v>
      </c>
    </row>
    <row r="1012" spans="1:13" hidden="1" x14ac:dyDescent="0.25">
      <c r="A1012" t="s">
        <v>2783</v>
      </c>
      <c r="B1012" t="s">
        <v>1841</v>
      </c>
      <c r="C1012" t="s">
        <v>3153</v>
      </c>
      <c r="D1012" t="s">
        <v>30</v>
      </c>
      <c r="E1012" t="s">
        <v>1166</v>
      </c>
      <c r="F1012" t="s">
        <v>3156</v>
      </c>
      <c r="G1012">
        <v>4500312380</v>
      </c>
      <c r="H1012" t="s">
        <v>2789</v>
      </c>
      <c r="I1012" t="s">
        <v>3158</v>
      </c>
      <c r="J1012" t="s">
        <v>1166</v>
      </c>
      <c r="K1012" s="2">
        <v>12936</v>
      </c>
      <c r="L1012" s="2">
        <v>12936</v>
      </c>
      <c r="M1012" t="str">
        <f>IFERROR(IF(VLOOKUP(LEFT(B1012,2),'Humanitarian codes'!$A$2:$A$10,1,FALSE)=LEFT(B1012,2),"Yes","Error"),"No")</f>
        <v>No</v>
      </c>
    </row>
    <row r="1013" spans="1:13" hidden="1" x14ac:dyDescent="0.25">
      <c r="A1013" t="s">
        <v>2783</v>
      </c>
      <c r="B1013" t="s">
        <v>1841</v>
      </c>
      <c r="C1013" t="s">
        <v>3153</v>
      </c>
      <c r="D1013" t="s">
        <v>30</v>
      </c>
      <c r="E1013" t="s">
        <v>1166</v>
      </c>
      <c r="F1013" t="s">
        <v>3156</v>
      </c>
      <c r="G1013">
        <v>4500312472</v>
      </c>
      <c r="H1013" t="s">
        <v>2789</v>
      </c>
      <c r="I1013" t="s">
        <v>3159</v>
      </c>
      <c r="J1013" t="s">
        <v>1166</v>
      </c>
      <c r="K1013" s="2">
        <v>21935</v>
      </c>
      <c r="L1013" s="2">
        <v>21935</v>
      </c>
      <c r="M1013" t="str">
        <f>IFERROR(IF(VLOOKUP(LEFT(B1013,2),'Humanitarian codes'!$A$2:$A$10,1,FALSE)=LEFT(B1013,2),"Yes","Error"),"No")</f>
        <v>No</v>
      </c>
    </row>
    <row r="1014" spans="1:13" hidden="1" x14ac:dyDescent="0.25">
      <c r="A1014" t="s">
        <v>2783</v>
      </c>
      <c r="B1014" t="s">
        <v>1841</v>
      </c>
      <c r="C1014" t="s">
        <v>3153</v>
      </c>
      <c r="D1014" t="s">
        <v>30</v>
      </c>
      <c r="E1014" t="s">
        <v>1166</v>
      </c>
      <c r="F1014" t="s">
        <v>3156</v>
      </c>
      <c r="G1014">
        <v>4500313447</v>
      </c>
      <c r="H1014" t="s">
        <v>2789</v>
      </c>
      <c r="I1014" t="s">
        <v>3160</v>
      </c>
      <c r="J1014" t="s">
        <v>1166</v>
      </c>
      <c r="K1014" s="2">
        <v>28015</v>
      </c>
      <c r="L1014" s="2">
        <v>28015</v>
      </c>
      <c r="M1014" t="str">
        <f>IFERROR(IF(VLOOKUP(LEFT(B1014,2),'Humanitarian codes'!$A$2:$A$10,1,FALSE)=LEFT(B1014,2),"Yes","Error"),"No")</f>
        <v>No</v>
      </c>
    </row>
    <row r="1015" spans="1:13" hidden="1" x14ac:dyDescent="0.25">
      <c r="A1015" t="s">
        <v>2783</v>
      </c>
      <c r="B1015" t="s">
        <v>1164</v>
      </c>
      <c r="C1015" t="s">
        <v>3161</v>
      </c>
      <c r="D1015" t="s">
        <v>30</v>
      </c>
      <c r="E1015" t="s">
        <v>1166</v>
      </c>
      <c r="F1015" t="s">
        <v>3162</v>
      </c>
      <c r="G1015">
        <v>4500303709</v>
      </c>
      <c r="H1015" t="s">
        <v>2789</v>
      </c>
      <c r="I1015" t="s">
        <v>3163</v>
      </c>
      <c r="J1015" t="s">
        <v>1166</v>
      </c>
      <c r="K1015" s="2">
        <v>375242</v>
      </c>
      <c r="L1015" s="2">
        <v>375242</v>
      </c>
      <c r="M1015" t="str">
        <f>IFERROR(IF(VLOOKUP(LEFT(B1015,2),'Humanitarian codes'!$A$2:$A$10,1,FALSE)=LEFT(B1015,2),"Yes","Error"),"No")</f>
        <v>No</v>
      </c>
    </row>
    <row r="1016" spans="1:13" hidden="1" x14ac:dyDescent="0.25">
      <c r="A1016" t="s">
        <v>2783</v>
      </c>
      <c r="B1016" t="s">
        <v>1164</v>
      </c>
      <c r="C1016" t="s">
        <v>3161</v>
      </c>
      <c r="D1016" t="s">
        <v>30</v>
      </c>
      <c r="E1016" t="s">
        <v>1166</v>
      </c>
      <c r="F1016" t="s">
        <v>3164</v>
      </c>
      <c r="G1016">
        <v>4500313278</v>
      </c>
      <c r="H1016" t="s">
        <v>2789</v>
      </c>
      <c r="I1016" t="s">
        <v>3165</v>
      </c>
      <c r="J1016" t="s">
        <v>1166</v>
      </c>
      <c r="K1016" s="2">
        <v>137745</v>
      </c>
      <c r="L1016" s="2">
        <v>137745</v>
      </c>
      <c r="M1016" t="str">
        <f>IFERROR(IF(VLOOKUP(LEFT(B1016,2),'Humanitarian codes'!$A$2:$A$10,1,FALSE)=LEFT(B1016,2),"Yes","Error"),"No")</f>
        <v>No</v>
      </c>
    </row>
    <row r="1017" spans="1:13" hidden="1" x14ac:dyDescent="0.25">
      <c r="A1017" t="s">
        <v>2783</v>
      </c>
      <c r="B1017" t="s">
        <v>3166</v>
      </c>
      <c r="C1017" t="s">
        <v>3167</v>
      </c>
      <c r="D1017" t="s">
        <v>30</v>
      </c>
      <c r="E1017" t="s">
        <v>356</v>
      </c>
      <c r="F1017" t="s">
        <v>3168</v>
      </c>
      <c r="G1017">
        <v>4500320531</v>
      </c>
      <c r="H1017" t="s">
        <v>2789</v>
      </c>
      <c r="I1017" t="s">
        <v>1574</v>
      </c>
      <c r="J1017" t="s">
        <v>356</v>
      </c>
      <c r="K1017" s="2">
        <v>63250</v>
      </c>
      <c r="L1017" s="2">
        <v>63250</v>
      </c>
      <c r="M1017" t="str">
        <f>IFERROR(IF(VLOOKUP(LEFT(B1017,2),'Humanitarian codes'!$A$2:$A$10,1,FALSE)=LEFT(B1017,2),"Yes","Error"),"No")</f>
        <v>No</v>
      </c>
    </row>
    <row r="1018" spans="1:13" hidden="1" x14ac:dyDescent="0.25">
      <c r="A1018" t="s">
        <v>2783</v>
      </c>
      <c r="B1018" t="s">
        <v>2635</v>
      </c>
      <c r="C1018" t="s">
        <v>3169</v>
      </c>
      <c r="D1018" t="s">
        <v>30</v>
      </c>
      <c r="E1018" t="s">
        <v>1166</v>
      </c>
      <c r="F1018" t="s">
        <v>3170</v>
      </c>
      <c r="G1018">
        <v>4500309343</v>
      </c>
      <c r="H1018" t="s">
        <v>2789</v>
      </c>
      <c r="I1018" t="s">
        <v>3171</v>
      </c>
      <c r="J1018" t="s">
        <v>1166</v>
      </c>
      <c r="K1018" s="2">
        <v>22497</v>
      </c>
      <c r="L1018" s="2">
        <v>22497</v>
      </c>
      <c r="M1018" t="str">
        <f>IFERROR(IF(VLOOKUP(LEFT(B1018,2),'Humanitarian codes'!$A$2:$A$10,1,FALSE)=LEFT(B1018,2),"Yes","Error"),"No")</f>
        <v>No</v>
      </c>
    </row>
    <row r="1019" spans="1:13" hidden="1" x14ac:dyDescent="0.25">
      <c r="A1019" t="s">
        <v>2783</v>
      </c>
      <c r="B1019" t="s">
        <v>2635</v>
      </c>
      <c r="C1019" t="s">
        <v>3169</v>
      </c>
      <c r="D1019" t="s">
        <v>30</v>
      </c>
      <c r="E1019" t="s">
        <v>1166</v>
      </c>
      <c r="F1019" t="s">
        <v>3172</v>
      </c>
      <c r="G1019">
        <v>4500310370</v>
      </c>
      <c r="H1019" t="s">
        <v>2789</v>
      </c>
      <c r="I1019" t="s">
        <v>3173</v>
      </c>
      <c r="J1019" t="s">
        <v>1166</v>
      </c>
      <c r="K1019" s="2">
        <v>22216</v>
      </c>
      <c r="L1019" s="2">
        <v>22216</v>
      </c>
      <c r="M1019" t="str">
        <f>IFERROR(IF(VLOOKUP(LEFT(B1019,2),'Humanitarian codes'!$A$2:$A$10,1,FALSE)=LEFT(B1019,2),"Yes","Error"),"No")</f>
        <v>No</v>
      </c>
    </row>
    <row r="1020" spans="1:13" hidden="1" x14ac:dyDescent="0.25">
      <c r="A1020" t="s">
        <v>2783</v>
      </c>
      <c r="B1020" t="s">
        <v>2635</v>
      </c>
      <c r="C1020" t="s">
        <v>3169</v>
      </c>
      <c r="D1020" t="s">
        <v>30</v>
      </c>
      <c r="E1020" t="s">
        <v>1166</v>
      </c>
      <c r="F1020" t="s">
        <v>3174</v>
      </c>
      <c r="G1020">
        <v>4500317345</v>
      </c>
      <c r="H1020" t="s">
        <v>2789</v>
      </c>
      <c r="I1020" t="s">
        <v>3175</v>
      </c>
      <c r="J1020" t="s">
        <v>1166</v>
      </c>
      <c r="K1020" s="2">
        <v>8534</v>
      </c>
      <c r="L1020" s="2">
        <v>8534</v>
      </c>
      <c r="M1020" t="str">
        <f>IFERROR(IF(VLOOKUP(LEFT(B1020,2),'Humanitarian codes'!$A$2:$A$10,1,FALSE)=LEFT(B1020,2),"Yes","Error"),"No")</f>
        <v>No</v>
      </c>
    </row>
    <row r="1021" spans="1:13" hidden="1" x14ac:dyDescent="0.25">
      <c r="A1021" t="s">
        <v>2783</v>
      </c>
      <c r="B1021" t="s">
        <v>2635</v>
      </c>
      <c r="C1021" t="s">
        <v>3169</v>
      </c>
      <c r="D1021" t="s">
        <v>30</v>
      </c>
      <c r="E1021" t="s">
        <v>1166</v>
      </c>
      <c r="F1021" t="s">
        <v>3176</v>
      </c>
      <c r="G1021">
        <v>4500320046</v>
      </c>
      <c r="H1021" t="s">
        <v>2789</v>
      </c>
      <c r="I1021" t="s">
        <v>3177</v>
      </c>
      <c r="J1021" t="s">
        <v>1166</v>
      </c>
      <c r="K1021" s="2">
        <v>23039</v>
      </c>
      <c r="L1021" s="2">
        <v>23039</v>
      </c>
      <c r="M1021" t="str">
        <f>IFERROR(IF(VLOOKUP(LEFT(B1021,2),'Humanitarian codes'!$A$2:$A$10,1,FALSE)=LEFT(B1021,2),"Yes","Error"),"No")</f>
        <v>No</v>
      </c>
    </row>
    <row r="1022" spans="1:13" hidden="1" x14ac:dyDescent="0.25">
      <c r="A1022" t="s">
        <v>2783</v>
      </c>
      <c r="B1022" t="s">
        <v>2635</v>
      </c>
      <c r="C1022" t="s">
        <v>3169</v>
      </c>
      <c r="D1022" t="s">
        <v>30</v>
      </c>
      <c r="E1022" t="s">
        <v>1166</v>
      </c>
      <c r="F1022" t="s">
        <v>3178</v>
      </c>
      <c r="G1022">
        <v>4500320817</v>
      </c>
      <c r="H1022" t="s">
        <v>2789</v>
      </c>
      <c r="I1022" t="s">
        <v>3179</v>
      </c>
      <c r="J1022" t="s">
        <v>1166</v>
      </c>
      <c r="K1022" s="2">
        <v>18715</v>
      </c>
      <c r="L1022" s="2">
        <v>18715</v>
      </c>
      <c r="M1022" t="str">
        <f>IFERROR(IF(VLOOKUP(LEFT(B1022,2),'Humanitarian codes'!$A$2:$A$10,1,FALSE)=LEFT(B1022,2),"Yes","Error"),"No")</f>
        <v>No</v>
      </c>
    </row>
    <row r="1023" spans="1:13" hidden="1" x14ac:dyDescent="0.25">
      <c r="A1023" t="s">
        <v>2783</v>
      </c>
      <c r="B1023" t="s">
        <v>2118</v>
      </c>
      <c r="C1023" t="s">
        <v>3180</v>
      </c>
      <c r="D1023" t="s">
        <v>30</v>
      </c>
      <c r="E1023" t="s">
        <v>128</v>
      </c>
      <c r="F1023" t="s">
        <v>3181</v>
      </c>
      <c r="G1023">
        <v>4500318817</v>
      </c>
      <c r="H1023" t="s">
        <v>2789</v>
      </c>
      <c r="I1023" t="s">
        <v>3182</v>
      </c>
      <c r="J1023" t="s">
        <v>972</v>
      </c>
      <c r="K1023" s="2">
        <v>100000</v>
      </c>
      <c r="L1023" s="2">
        <v>100000</v>
      </c>
      <c r="M1023" t="str">
        <f>IFERROR(IF(VLOOKUP(LEFT(B1023,2),'Humanitarian codes'!$A$2:$A$10,1,FALSE)=LEFT(B1023,2),"Yes","Error"),"No")</f>
        <v>No</v>
      </c>
    </row>
    <row r="1024" spans="1:13" hidden="1" x14ac:dyDescent="0.25">
      <c r="A1024" t="s">
        <v>2783</v>
      </c>
      <c r="B1024" t="s">
        <v>3183</v>
      </c>
      <c r="C1024" t="s">
        <v>3184</v>
      </c>
      <c r="D1024" t="s">
        <v>543</v>
      </c>
      <c r="E1024" t="s">
        <v>903</v>
      </c>
      <c r="F1024" t="s">
        <v>3185</v>
      </c>
      <c r="G1024">
        <v>4500307831</v>
      </c>
      <c r="H1024" t="s">
        <v>2789</v>
      </c>
      <c r="I1024" t="s">
        <v>950</v>
      </c>
      <c r="J1024" t="s">
        <v>903</v>
      </c>
      <c r="K1024" s="2">
        <v>50002</v>
      </c>
      <c r="L1024" s="2">
        <v>50002</v>
      </c>
      <c r="M1024" t="str">
        <f>IFERROR(IF(VLOOKUP(LEFT(B1024,2),'Humanitarian codes'!$A$2:$A$10,1,FALSE)=LEFT(B1024,2),"Yes","Error"),"No")</f>
        <v>No</v>
      </c>
    </row>
    <row r="1025" spans="1:13" hidden="1" x14ac:dyDescent="0.25">
      <c r="A1025" t="s">
        <v>2783</v>
      </c>
      <c r="B1025" t="s">
        <v>2128</v>
      </c>
      <c r="C1025" t="s">
        <v>2782</v>
      </c>
      <c r="D1025" t="s">
        <v>543</v>
      </c>
      <c r="E1025" t="s">
        <v>2130</v>
      </c>
      <c r="F1025" t="s">
        <v>2499</v>
      </c>
      <c r="G1025">
        <v>4500319823</v>
      </c>
      <c r="H1025" t="s">
        <v>2789</v>
      </c>
      <c r="I1025" t="s">
        <v>3186</v>
      </c>
      <c r="J1025" t="s">
        <v>463</v>
      </c>
      <c r="K1025" s="2">
        <v>311483</v>
      </c>
      <c r="L1025" s="2">
        <v>311483</v>
      </c>
      <c r="M1025" t="str">
        <f>IFERROR(IF(VLOOKUP(LEFT(B1025,2),'Humanitarian codes'!$A$2:$A$10,1,FALSE)=LEFT(B1025,2),"Yes","Error"),"No")</f>
        <v>No</v>
      </c>
    </row>
    <row r="1026" spans="1:13" hidden="1" x14ac:dyDescent="0.25">
      <c r="A1026" t="s">
        <v>2783</v>
      </c>
      <c r="B1026" t="s">
        <v>3187</v>
      </c>
      <c r="C1026" t="s">
        <v>3188</v>
      </c>
      <c r="D1026" t="s">
        <v>543</v>
      </c>
      <c r="E1026" t="s">
        <v>717</v>
      </c>
      <c r="F1026" t="s">
        <v>3189</v>
      </c>
      <c r="G1026">
        <v>4500302721</v>
      </c>
      <c r="H1026" t="s">
        <v>2789</v>
      </c>
      <c r="I1026" t="s">
        <v>3190</v>
      </c>
      <c r="J1026" t="s">
        <v>717</v>
      </c>
      <c r="K1026" s="2">
        <v>4000</v>
      </c>
      <c r="L1026" s="2">
        <v>4000</v>
      </c>
      <c r="M1026" t="str">
        <f>IFERROR(IF(VLOOKUP(LEFT(B1026,2),'Humanitarian codes'!$A$2:$A$10,1,FALSE)=LEFT(B1026,2),"Yes","Error"),"No")</f>
        <v>No</v>
      </c>
    </row>
    <row r="1027" spans="1:13" hidden="1" x14ac:dyDescent="0.25">
      <c r="A1027" t="s">
        <v>2783</v>
      </c>
      <c r="B1027" t="s">
        <v>2668</v>
      </c>
      <c r="C1027" t="s">
        <v>3191</v>
      </c>
      <c r="D1027" t="s">
        <v>543</v>
      </c>
      <c r="E1027" t="s">
        <v>663</v>
      </c>
      <c r="F1027" t="s">
        <v>3192</v>
      </c>
      <c r="G1027">
        <v>4500311727</v>
      </c>
      <c r="H1027" t="s">
        <v>2789</v>
      </c>
      <c r="I1027" t="s">
        <v>664</v>
      </c>
      <c r="J1027" t="s">
        <v>663</v>
      </c>
      <c r="K1027" s="2">
        <v>151651</v>
      </c>
      <c r="L1027" s="2">
        <v>151651</v>
      </c>
      <c r="M1027" t="str">
        <f>IFERROR(IF(VLOOKUP(LEFT(B1027,2),'Humanitarian codes'!$A$2:$A$10,1,FALSE)=LEFT(B1027,2),"Yes","Error"),"No")</f>
        <v>No</v>
      </c>
    </row>
    <row r="1028" spans="1:13" hidden="1" x14ac:dyDescent="0.25">
      <c r="A1028" t="s">
        <v>2783</v>
      </c>
      <c r="B1028" t="s">
        <v>1046</v>
      </c>
      <c r="C1028" t="s">
        <v>3193</v>
      </c>
      <c r="D1028" t="s">
        <v>543</v>
      </c>
      <c r="E1028" t="s">
        <v>1048</v>
      </c>
      <c r="F1028" t="s">
        <v>2200</v>
      </c>
      <c r="G1028">
        <v>4500324134</v>
      </c>
      <c r="H1028" t="s">
        <v>2789</v>
      </c>
      <c r="I1028" t="s">
        <v>222</v>
      </c>
      <c r="J1028" t="s">
        <v>1048</v>
      </c>
      <c r="K1028" s="2">
        <v>5262</v>
      </c>
      <c r="L1028" s="2">
        <v>5262</v>
      </c>
      <c r="M1028" t="str">
        <f>IFERROR(IF(VLOOKUP(LEFT(B1028,2),'Humanitarian codes'!$A$2:$A$10,1,FALSE)=LEFT(B1028,2),"Yes","Error"),"No")</f>
        <v>No</v>
      </c>
    </row>
    <row r="1029" spans="1:13" hidden="1" x14ac:dyDescent="0.25">
      <c r="A1029" t="s">
        <v>2783</v>
      </c>
      <c r="B1029" t="s">
        <v>607</v>
      </c>
      <c r="C1029" t="s">
        <v>3194</v>
      </c>
      <c r="D1029" t="s">
        <v>543</v>
      </c>
      <c r="E1029" t="s">
        <v>474</v>
      </c>
      <c r="F1029" t="s">
        <v>3195</v>
      </c>
      <c r="G1029">
        <v>4500304702</v>
      </c>
      <c r="H1029" t="s">
        <v>2789</v>
      </c>
      <c r="I1029" t="s">
        <v>1562</v>
      </c>
      <c r="J1029" t="s">
        <v>474</v>
      </c>
      <c r="K1029" s="2">
        <v>9529</v>
      </c>
      <c r="L1029" s="2">
        <v>9529</v>
      </c>
      <c r="M1029" t="str">
        <f>IFERROR(IF(VLOOKUP(LEFT(B1029,2),'Humanitarian codes'!$A$2:$A$10,1,FALSE)=LEFT(B1029,2),"Yes","Error"),"No")</f>
        <v>No</v>
      </c>
    </row>
    <row r="1030" spans="1:13" hidden="1" x14ac:dyDescent="0.25">
      <c r="A1030" t="s">
        <v>2783</v>
      </c>
      <c r="B1030" t="s">
        <v>607</v>
      </c>
      <c r="C1030" t="s">
        <v>3194</v>
      </c>
      <c r="D1030" t="s">
        <v>543</v>
      </c>
      <c r="E1030" t="s">
        <v>474</v>
      </c>
      <c r="F1030" t="s">
        <v>3195</v>
      </c>
      <c r="G1030">
        <v>4500304706</v>
      </c>
      <c r="H1030" t="s">
        <v>2789</v>
      </c>
      <c r="I1030" t="s">
        <v>1560</v>
      </c>
      <c r="J1030" t="s">
        <v>474</v>
      </c>
      <c r="K1030" s="2">
        <v>9529</v>
      </c>
      <c r="L1030" s="2">
        <v>9529</v>
      </c>
      <c r="M1030" t="str">
        <f>IFERROR(IF(VLOOKUP(LEFT(B1030,2),'Humanitarian codes'!$A$2:$A$10,1,FALSE)=LEFT(B1030,2),"Yes","Error"),"No")</f>
        <v>No</v>
      </c>
    </row>
    <row r="1031" spans="1:13" hidden="1" x14ac:dyDescent="0.25">
      <c r="A1031" t="s">
        <v>2783</v>
      </c>
      <c r="B1031" t="s">
        <v>607</v>
      </c>
      <c r="C1031" t="s">
        <v>3194</v>
      </c>
      <c r="D1031" t="s">
        <v>543</v>
      </c>
      <c r="E1031" t="s">
        <v>474</v>
      </c>
      <c r="F1031" t="s">
        <v>3195</v>
      </c>
      <c r="G1031">
        <v>4500305395</v>
      </c>
      <c r="H1031" t="s">
        <v>2789</v>
      </c>
      <c r="I1031" t="s">
        <v>3196</v>
      </c>
      <c r="J1031" t="s">
        <v>474</v>
      </c>
      <c r="K1031" s="2">
        <v>9529</v>
      </c>
      <c r="L1031" s="2">
        <v>9529</v>
      </c>
      <c r="M1031" t="str">
        <f>IFERROR(IF(VLOOKUP(LEFT(B1031,2),'Humanitarian codes'!$A$2:$A$10,1,FALSE)=LEFT(B1031,2),"Yes","Error"),"No")</f>
        <v>No</v>
      </c>
    </row>
    <row r="1032" spans="1:13" hidden="1" x14ac:dyDescent="0.25">
      <c r="A1032" t="s">
        <v>2783</v>
      </c>
      <c r="B1032" t="s">
        <v>607</v>
      </c>
      <c r="C1032" t="s">
        <v>3194</v>
      </c>
      <c r="D1032" t="s">
        <v>543</v>
      </c>
      <c r="E1032" t="s">
        <v>474</v>
      </c>
      <c r="F1032" t="s">
        <v>3195</v>
      </c>
      <c r="G1032">
        <v>4500305399</v>
      </c>
      <c r="H1032" t="s">
        <v>2789</v>
      </c>
      <c r="I1032" t="s">
        <v>475</v>
      </c>
      <c r="J1032" t="s">
        <v>474</v>
      </c>
      <c r="K1032" s="2">
        <v>9529</v>
      </c>
      <c r="L1032" s="2">
        <v>9529</v>
      </c>
      <c r="M1032" t="str">
        <f>IFERROR(IF(VLOOKUP(LEFT(B1032,2),'Humanitarian codes'!$A$2:$A$10,1,FALSE)=LEFT(B1032,2),"Yes","Error"),"No")</f>
        <v>No</v>
      </c>
    </row>
    <row r="1033" spans="1:13" hidden="1" x14ac:dyDescent="0.25">
      <c r="A1033" t="s">
        <v>2783</v>
      </c>
      <c r="B1033" t="s">
        <v>607</v>
      </c>
      <c r="C1033" t="s">
        <v>3194</v>
      </c>
      <c r="D1033" t="s">
        <v>543</v>
      </c>
      <c r="E1033" t="s">
        <v>474</v>
      </c>
      <c r="F1033" t="s">
        <v>3195</v>
      </c>
      <c r="G1033">
        <v>4500306685</v>
      </c>
      <c r="H1033" t="s">
        <v>2789</v>
      </c>
      <c r="I1033" t="s">
        <v>475</v>
      </c>
      <c r="J1033" t="s">
        <v>474</v>
      </c>
      <c r="K1033" s="2">
        <v>21422</v>
      </c>
      <c r="L1033" s="2">
        <v>21422</v>
      </c>
      <c r="M1033" t="str">
        <f>IFERROR(IF(VLOOKUP(LEFT(B1033,2),'Humanitarian codes'!$A$2:$A$10,1,FALSE)=LEFT(B1033,2),"Yes","Error"),"No")</f>
        <v>No</v>
      </c>
    </row>
    <row r="1034" spans="1:13" hidden="1" x14ac:dyDescent="0.25">
      <c r="A1034" t="s">
        <v>2783</v>
      </c>
      <c r="B1034" t="s">
        <v>607</v>
      </c>
      <c r="C1034" t="s">
        <v>3194</v>
      </c>
      <c r="D1034" t="s">
        <v>543</v>
      </c>
      <c r="E1034" t="s">
        <v>474</v>
      </c>
      <c r="F1034" t="s">
        <v>3195</v>
      </c>
      <c r="G1034">
        <v>4500306691</v>
      </c>
      <c r="H1034" t="s">
        <v>2789</v>
      </c>
      <c r="I1034" t="s">
        <v>1560</v>
      </c>
      <c r="J1034" t="s">
        <v>474</v>
      </c>
      <c r="K1034" s="2">
        <v>21422</v>
      </c>
      <c r="L1034" s="2">
        <v>21422</v>
      </c>
      <c r="M1034" t="str">
        <f>IFERROR(IF(VLOOKUP(LEFT(B1034,2),'Humanitarian codes'!$A$2:$A$10,1,FALSE)=LEFT(B1034,2),"Yes","Error"),"No")</f>
        <v>No</v>
      </c>
    </row>
    <row r="1035" spans="1:13" hidden="1" x14ac:dyDescent="0.25">
      <c r="A1035" t="s">
        <v>2783</v>
      </c>
      <c r="B1035" t="s">
        <v>607</v>
      </c>
      <c r="C1035" t="s">
        <v>3194</v>
      </c>
      <c r="D1035" t="s">
        <v>543</v>
      </c>
      <c r="E1035" t="s">
        <v>477</v>
      </c>
      <c r="F1035" t="s">
        <v>3197</v>
      </c>
      <c r="G1035">
        <v>4500309234</v>
      </c>
      <c r="H1035" t="s">
        <v>2789</v>
      </c>
      <c r="I1035" t="s">
        <v>744</v>
      </c>
      <c r="J1035" t="s">
        <v>477</v>
      </c>
      <c r="K1035" s="2">
        <v>2821</v>
      </c>
      <c r="L1035" s="2">
        <v>2821</v>
      </c>
      <c r="M1035" t="str">
        <f>IFERROR(IF(VLOOKUP(LEFT(B1035,2),'Humanitarian codes'!$A$2:$A$10,1,FALSE)=LEFT(B1035,2),"Yes","Error"),"No")</f>
        <v>No</v>
      </c>
    </row>
    <row r="1036" spans="1:13" hidden="1" x14ac:dyDescent="0.25">
      <c r="A1036" t="s">
        <v>2783</v>
      </c>
      <c r="B1036" t="s">
        <v>607</v>
      </c>
      <c r="C1036" t="s">
        <v>3194</v>
      </c>
      <c r="D1036" t="s">
        <v>543</v>
      </c>
      <c r="E1036" t="s">
        <v>477</v>
      </c>
      <c r="F1036" t="s">
        <v>3198</v>
      </c>
      <c r="G1036">
        <v>4500309239</v>
      </c>
      <c r="H1036" t="s">
        <v>2789</v>
      </c>
      <c r="I1036" t="s">
        <v>745</v>
      </c>
      <c r="J1036" t="s">
        <v>477</v>
      </c>
      <c r="K1036" s="2">
        <v>2758</v>
      </c>
      <c r="L1036" s="2">
        <v>2758</v>
      </c>
      <c r="M1036" t="str">
        <f>IFERROR(IF(VLOOKUP(LEFT(B1036,2),'Humanitarian codes'!$A$2:$A$10,1,FALSE)=LEFT(B1036,2),"Yes","Error"),"No")</f>
        <v>No</v>
      </c>
    </row>
    <row r="1037" spans="1:13" hidden="1" x14ac:dyDescent="0.25">
      <c r="A1037" t="s">
        <v>2783</v>
      </c>
      <c r="B1037" t="s">
        <v>607</v>
      </c>
      <c r="C1037" t="s">
        <v>3194</v>
      </c>
      <c r="D1037" t="s">
        <v>543</v>
      </c>
      <c r="E1037" t="s">
        <v>477</v>
      </c>
      <c r="F1037" t="s">
        <v>3199</v>
      </c>
      <c r="G1037">
        <v>4500309243</v>
      </c>
      <c r="H1037" t="s">
        <v>2789</v>
      </c>
      <c r="I1037" t="s">
        <v>3200</v>
      </c>
      <c r="J1037" t="s">
        <v>477</v>
      </c>
      <c r="K1037" s="2">
        <v>3495</v>
      </c>
      <c r="L1037" s="2">
        <v>3495</v>
      </c>
      <c r="M1037" t="str">
        <f>IFERROR(IF(VLOOKUP(LEFT(B1037,2),'Humanitarian codes'!$A$2:$A$10,1,FALSE)=LEFT(B1037,2),"Yes","Error"),"No")</f>
        <v>No</v>
      </c>
    </row>
    <row r="1038" spans="1:13" hidden="1" x14ac:dyDescent="0.25">
      <c r="A1038" t="s">
        <v>2783</v>
      </c>
      <c r="B1038" t="s">
        <v>607</v>
      </c>
      <c r="C1038" t="s">
        <v>3194</v>
      </c>
      <c r="D1038" t="s">
        <v>543</v>
      </c>
      <c r="E1038" t="s">
        <v>477</v>
      </c>
      <c r="F1038" t="s">
        <v>3201</v>
      </c>
      <c r="G1038">
        <v>4500309249</v>
      </c>
      <c r="H1038" t="s">
        <v>2789</v>
      </c>
      <c r="I1038" t="s">
        <v>1050</v>
      </c>
      <c r="J1038" t="s">
        <v>477</v>
      </c>
      <c r="K1038" s="2">
        <v>2758</v>
      </c>
      <c r="L1038" s="2">
        <v>2758</v>
      </c>
      <c r="M1038" t="str">
        <f>IFERROR(IF(VLOOKUP(LEFT(B1038,2),'Humanitarian codes'!$A$2:$A$10,1,FALSE)=LEFT(B1038,2),"Yes","Error"),"No")</f>
        <v>No</v>
      </c>
    </row>
    <row r="1039" spans="1:13" hidden="1" x14ac:dyDescent="0.25">
      <c r="A1039" t="s">
        <v>2783</v>
      </c>
      <c r="B1039" t="s">
        <v>607</v>
      </c>
      <c r="C1039" t="s">
        <v>3194</v>
      </c>
      <c r="D1039" t="s">
        <v>543</v>
      </c>
      <c r="E1039" t="s">
        <v>477</v>
      </c>
      <c r="F1039" t="s">
        <v>3202</v>
      </c>
      <c r="G1039">
        <v>4500309253</v>
      </c>
      <c r="H1039" t="s">
        <v>2789</v>
      </c>
      <c r="I1039" t="s">
        <v>612</v>
      </c>
      <c r="J1039" t="s">
        <v>477</v>
      </c>
      <c r="K1039" s="2">
        <v>2758</v>
      </c>
      <c r="L1039" s="2">
        <v>2758</v>
      </c>
      <c r="M1039" t="str">
        <f>IFERROR(IF(VLOOKUP(LEFT(B1039,2),'Humanitarian codes'!$A$2:$A$10,1,FALSE)=LEFT(B1039,2),"Yes","Error"),"No")</f>
        <v>No</v>
      </c>
    </row>
    <row r="1040" spans="1:13" hidden="1" x14ac:dyDescent="0.25">
      <c r="A1040" t="s">
        <v>2783</v>
      </c>
      <c r="B1040" t="s">
        <v>607</v>
      </c>
      <c r="C1040" t="s">
        <v>3194</v>
      </c>
      <c r="D1040" t="s">
        <v>543</v>
      </c>
      <c r="E1040" t="s">
        <v>477</v>
      </c>
      <c r="F1040" t="s">
        <v>3203</v>
      </c>
      <c r="G1040">
        <v>4500309263</v>
      </c>
      <c r="H1040" t="s">
        <v>2789</v>
      </c>
      <c r="I1040" t="s">
        <v>1564</v>
      </c>
      <c r="J1040" t="s">
        <v>477</v>
      </c>
      <c r="K1040" s="2">
        <v>2821</v>
      </c>
      <c r="L1040" s="2">
        <v>2821</v>
      </c>
      <c r="M1040" t="str">
        <f>IFERROR(IF(VLOOKUP(LEFT(B1040,2),'Humanitarian codes'!$A$2:$A$10,1,FALSE)=LEFT(B1040,2),"Yes","Error"),"No")</f>
        <v>No</v>
      </c>
    </row>
    <row r="1041" spans="1:13" hidden="1" x14ac:dyDescent="0.25">
      <c r="A1041" t="s">
        <v>2783</v>
      </c>
      <c r="B1041" t="s">
        <v>607</v>
      </c>
      <c r="C1041" t="s">
        <v>3194</v>
      </c>
      <c r="D1041" t="s">
        <v>543</v>
      </c>
      <c r="E1041" t="s">
        <v>477</v>
      </c>
      <c r="F1041" t="s">
        <v>3204</v>
      </c>
      <c r="G1041">
        <v>4500309272</v>
      </c>
      <c r="H1041" t="s">
        <v>2789</v>
      </c>
      <c r="I1041" t="s">
        <v>1568</v>
      </c>
      <c r="J1041" t="s">
        <v>477</v>
      </c>
      <c r="K1041" s="2">
        <v>3495</v>
      </c>
      <c r="L1041" s="2">
        <v>3495</v>
      </c>
      <c r="M1041" t="str">
        <f>IFERROR(IF(VLOOKUP(LEFT(B1041,2),'Humanitarian codes'!$A$2:$A$10,1,FALSE)=LEFT(B1041,2),"Yes","Error"),"No")</f>
        <v>No</v>
      </c>
    </row>
    <row r="1042" spans="1:13" hidden="1" x14ac:dyDescent="0.25">
      <c r="A1042" t="s">
        <v>2783</v>
      </c>
      <c r="B1042" t="s">
        <v>607</v>
      </c>
      <c r="C1042" t="s">
        <v>3194</v>
      </c>
      <c r="D1042" t="s">
        <v>543</v>
      </c>
      <c r="E1042" t="s">
        <v>477</v>
      </c>
      <c r="F1042" t="s">
        <v>3205</v>
      </c>
      <c r="G1042">
        <v>4500309280</v>
      </c>
      <c r="H1042" t="s">
        <v>2789</v>
      </c>
      <c r="I1042" t="s">
        <v>1566</v>
      </c>
      <c r="J1042" t="s">
        <v>477</v>
      </c>
      <c r="K1042" s="2">
        <v>2758</v>
      </c>
      <c r="L1042" s="2">
        <v>2758</v>
      </c>
      <c r="M1042" t="str">
        <f>IFERROR(IF(VLOOKUP(LEFT(B1042,2),'Humanitarian codes'!$A$2:$A$10,1,FALSE)=LEFT(B1042,2),"Yes","Error"),"No")</f>
        <v>No</v>
      </c>
    </row>
    <row r="1043" spans="1:13" hidden="1" x14ac:dyDescent="0.25">
      <c r="A1043" t="s">
        <v>2783</v>
      </c>
      <c r="B1043" t="s">
        <v>607</v>
      </c>
      <c r="C1043" t="s">
        <v>3194</v>
      </c>
      <c r="D1043" t="s">
        <v>543</v>
      </c>
      <c r="E1043" t="s">
        <v>477</v>
      </c>
      <c r="F1043" t="s">
        <v>3206</v>
      </c>
      <c r="G1043">
        <v>4500309440</v>
      </c>
      <c r="H1043" t="s">
        <v>2789</v>
      </c>
      <c r="I1043" t="s">
        <v>1565</v>
      </c>
      <c r="J1043" t="s">
        <v>477</v>
      </c>
      <c r="K1043" s="2">
        <v>2821</v>
      </c>
      <c r="L1043" s="2">
        <v>2821</v>
      </c>
      <c r="M1043" t="str">
        <f>IFERROR(IF(VLOOKUP(LEFT(B1043,2),'Humanitarian codes'!$A$2:$A$10,1,FALSE)=LEFT(B1043,2),"Yes","Error"),"No")</f>
        <v>No</v>
      </c>
    </row>
    <row r="1044" spans="1:13" hidden="1" x14ac:dyDescent="0.25">
      <c r="A1044" t="s">
        <v>2783</v>
      </c>
      <c r="B1044" t="s">
        <v>607</v>
      </c>
      <c r="C1044" t="s">
        <v>3194</v>
      </c>
      <c r="D1044" t="s">
        <v>543</v>
      </c>
      <c r="E1044" t="s">
        <v>477</v>
      </c>
      <c r="F1044" t="s">
        <v>3207</v>
      </c>
      <c r="G1044">
        <v>4500309443</v>
      </c>
      <c r="H1044" t="s">
        <v>2789</v>
      </c>
      <c r="I1044" t="s">
        <v>1900</v>
      </c>
      <c r="J1044" t="s">
        <v>477</v>
      </c>
      <c r="K1044" s="2">
        <v>2758</v>
      </c>
      <c r="L1044" s="2">
        <v>2758</v>
      </c>
      <c r="M1044" t="str">
        <f>IFERROR(IF(VLOOKUP(LEFT(B1044,2),'Humanitarian codes'!$A$2:$A$10,1,FALSE)=LEFT(B1044,2),"Yes","Error"),"No")</f>
        <v>No</v>
      </c>
    </row>
    <row r="1045" spans="1:13" hidden="1" x14ac:dyDescent="0.25">
      <c r="A1045" t="s">
        <v>2783</v>
      </c>
      <c r="B1045" t="s">
        <v>607</v>
      </c>
      <c r="C1045" t="s">
        <v>3194</v>
      </c>
      <c r="D1045" t="s">
        <v>543</v>
      </c>
      <c r="E1045" t="s">
        <v>477</v>
      </c>
      <c r="F1045" t="s">
        <v>3208</v>
      </c>
      <c r="G1045">
        <v>4500310717</v>
      </c>
      <c r="H1045" t="s">
        <v>2789</v>
      </c>
      <c r="I1045" t="s">
        <v>3209</v>
      </c>
      <c r="J1045" t="s">
        <v>477</v>
      </c>
      <c r="K1045" s="2">
        <v>2758</v>
      </c>
      <c r="L1045" s="2">
        <v>2758</v>
      </c>
      <c r="M1045" t="str">
        <f>IFERROR(IF(VLOOKUP(LEFT(B1045,2),'Humanitarian codes'!$A$2:$A$10,1,FALSE)=LEFT(B1045,2),"Yes","Error"),"No")</f>
        <v>No</v>
      </c>
    </row>
    <row r="1046" spans="1:13" hidden="1" x14ac:dyDescent="0.25">
      <c r="A1046" t="s">
        <v>2783</v>
      </c>
      <c r="B1046" t="s">
        <v>607</v>
      </c>
      <c r="C1046" t="s">
        <v>3194</v>
      </c>
      <c r="D1046" t="s">
        <v>543</v>
      </c>
      <c r="E1046" t="s">
        <v>477</v>
      </c>
      <c r="F1046" t="s">
        <v>3210</v>
      </c>
      <c r="G1046">
        <v>4500312671</v>
      </c>
      <c r="H1046" t="s">
        <v>2789</v>
      </c>
      <c r="I1046" t="s">
        <v>3200</v>
      </c>
      <c r="J1046" t="s">
        <v>477</v>
      </c>
      <c r="K1046" s="2">
        <v>1087</v>
      </c>
      <c r="L1046" s="2">
        <v>1087</v>
      </c>
      <c r="M1046" t="str">
        <f>IFERROR(IF(VLOOKUP(LEFT(B1046,2),'Humanitarian codes'!$A$2:$A$10,1,FALSE)=LEFT(B1046,2),"Yes","Error"),"No")</f>
        <v>No</v>
      </c>
    </row>
    <row r="1047" spans="1:13" hidden="1" x14ac:dyDescent="0.25">
      <c r="A1047" t="s">
        <v>2783</v>
      </c>
      <c r="B1047" t="s">
        <v>607</v>
      </c>
      <c r="C1047" t="s">
        <v>3194</v>
      </c>
      <c r="D1047" t="s">
        <v>543</v>
      </c>
      <c r="E1047" t="s">
        <v>477</v>
      </c>
      <c r="F1047" t="s">
        <v>3211</v>
      </c>
      <c r="G1047">
        <v>4500313966</v>
      </c>
      <c r="H1047" t="s">
        <v>2789</v>
      </c>
      <c r="I1047" t="s">
        <v>506</v>
      </c>
      <c r="J1047" t="s">
        <v>477</v>
      </c>
      <c r="K1047">
        <v>841</v>
      </c>
      <c r="L1047">
        <v>841</v>
      </c>
      <c r="M1047" t="str">
        <f>IFERROR(IF(VLOOKUP(LEFT(B1047,2),'Humanitarian codes'!$A$2:$A$10,1,FALSE)=LEFT(B1047,2),"Yes","Error"),"No")</f>
        <v>No</v>
      </c>
    </row>
    <row r="1048" spans="1:13" hidden="1" x14ac:dyDescent="0.25">
      <c r="A1048" t="s">
        <v>2783</v>
      </c>
      <c r="B1048" t="s">
        <v>607</v>
      </c>
      <c r="C1048" t="s">
        <v>3194</v>
      </c>
      <c r="D1048" t="s">
        <v>543</v>
      </c>
      <c r="E1048" t="s">
        <v>477</v>
      </c>
      <c r="F1048" t="s">
        <v>3212</v>
      </c>
      <c r="G1048">
        <v>4500314971</v>
      </c>
      <c r="H1048" t="s">
        <v>2789</v>
      </c>
      <c r="I1048" t="s">
        <v>744</v>
      </c>
      <c r="J1048" t="s">
        <v>477</v>
      </c>
      <c r="K1048" s="2">
        <v>3368</v>
      </c>
      <c r="L1048" s="2">
        <v>3368</v>
      </c>
      <c r="M1048" t="str">
        <f>IFERROR(IF(VLOOKUP(LEFT(B1048,2),'Humanitarian codes'!$A$2:$A$10,1,FALSE)=LEFT(B1048,2),"Yes","Error"),"No")</f>
        <v>No</v>
      </c>
    </row>
    <row r="1049" spans="1:13" hidden="1" x14ac:dyDescent="0.25">
      <c r="A1049" t="s">
        <v>2783</v>
      </c>
      <c r="B1049" t="s">
        <v>607</v>
      </c>
      <c r="C1049" t="s">
        <v>3194</v>
      </c>
      <c r="D1049" t="s">
        <v>543</v>
      </c>
      <c r="E1049" t="s">
        <v>477</v>
      </c>
      <c r="F1049" t="s">
        <v>3213</v>
      </c>
      <c r="G1049">
        <v>4500315184</v>
      </c>
      <c r="H1049" t="s">
        <v>2789</v>
      </c>
      <c r="I1049" t="s">
        <v>1567</v>
      </c>
      <c r="J1049" t="s">
        <v>477</v>
      </c>
      <c r="K1049" s="2">
        <v>3368</v>
      </c>
      <c r="L1049" s="2">
        <v>3368</v>
      </c>
      <c r="M1049" t="str">
        <f>IFERROR(IF(VLOOKUP(LEFT(B1049,2),'Humanitarian codes'!$A$2:$A$10,1,FALSE)=LEFT(B1049,2),"Yes","Error"),"No")</f>
        <v>No</v>
      </c>
    </row>
    <row r="1050" spans="1:13" hidden="1" x14ac:dyDescent="0.25">
      <c r="A1050" t="s">
        <v>2783</v>
      </c>
      <c r="B1050" t="s">
        <v>607</v>
      </c>
      <c r="C1050" t="s">
        <v>3194</v>
      </c>
      <c r="D1050" t="s">
        <v>543</v>
      </c>
      <c r="E1050" t="s">
        <v>477</v>
      </c>
      <c r="F1050" t="s">
        <v>3214</v>
      </c>
      <c r="G1050">
        <v>4500322179</v>
      </c>
      <c r="H1050" t="s">
        <v>2789</v>
      </c>
      <c r="I1050" t="s">
        <v>506</v>
      </c>
      <c r="J1050" t="s">
        <v>477</v>
      </c>
      <c r="K1050" s="2">
        <v>5452</v>
      </c>
      <c r="L1050" s="2">
        <v>5452</v>
      </c>
      <c r="M1050" t="str">
        <f>IFERROR(IF(VLOOKUP(LEFT(B1050,2),'Humanitarian codes'!$A$2:$A$10,1,FALSE)=LEFT(B1050,2),"Yes","Error"),"No")</f>
        <v>No</v>
      </c>
    </row>
    <row r="1051" spans="1:13" hidden="1" x14ac:dyDescent="0.25">
      <c r="A1051" t="s">
        <v>2783</v>
      </c>
      <c r="B1051" t="s">
        <v>607</v>
      </c>
      <c r="C1051" t="s">
        <v>3194</v>
      </c>
      <c r="D1051" t="s">
        <v>543</v>
      </c>
      <c r="E1051" t="s">
        <v>477</v>
      </c>
      <c r="F1051" t="s">
        <v>3215</v>
      </c>
      <c r="G1051">
        <v>4500323255</v>
      </c>
      <c r="H1051" t="s">
        <v>2789</v>
      </c>
      <c r="I1051" t="s">
        <v>3216</v>
      </c>
      <c r="J1051" t="s">
        <v>477</v>
      </c>
      <c r="K1051" s="2">
        <v>3368</v>
      </c>
      <c r="L1051" s="2">
        <v>3368</v>
      </c>
      <c r="M1051" t="str">
        <f>IFERROR(IF(VLOOKUP(LEFT(B1051,2),'Humanitarian codes'!$A$2:$A$10,1,FALSE)=LEFT(B1051,2),"Yes","Error"),"No")</f>
        <v>No</v>
      </c>
    </row>
    <row r="1052" spans="1:13" hidden="1" x14ac:dyDescent="0.25">
      <c r="A1052" t="s">
        <v>2783</v>
      </c>
      <c r="B1052" t="s">
        <v>1569</v>
      </c>
      <c r="C1052" t="s">
        <v>3217</v>
      </c>
      <c r="D1052" t="s">
        <v>543</v>
      </c>
      <c r="E1052" t="s">
        <v>159</v>
      </c>
      <c r="F1052" t="s">
        <v>3218</v>
      </c>
      <c r="G1052">
        <v>4500305176</v>
      </c>
      <c r="H1052" t="s">
        <v>2789</v>
      </c>
      <c r="I1052" t="s">
        <v>3219</v>
      </c>
      <c r="J1052" t="s">
        <v>159</v>
      </c>
      <c r="K1052" s="2">
        <v>18000</v>
      </c>
      <c r="L1052" s="2">
        <v>18000</v>
      </c>
      <c r="M1052" t="str">
        <f>IFERROR(IF(VLOOKUP(LEFT(B1052,2),'Humanitarian codes'!$A$2:$A$10,1,FALSE)=LEFT(B1052,2),"Yes","Error"),"No")</f>
        <v>No</v>
      </c>
    </row>
    <row r="1053" spans="1:13" hidden="1" x14ac:dyDescent="0.25">
      <c r="A1053" t="s">
        <v>2783</v>
      </c>
      <c r="B1053" t="s">
        <v>1569</v>
      </c>
      <c r="C1053" t="s">
        <v>3217</v>
      </c>
      <c r="D1053" t="s">
        <v>543</v>
      </c>
      <c r="E1053" t="s">
        <v>159</v>
      </c>
      <c r="F1053" t="s">
        <v>3220</v>
      </c>
      <c r="G1053">
        <v>4500308043</v>
      </c>
      <c r="H1053" t="s">
        <v>2789</v>
      </c>
      <c r="I1053" t="s">
        <v>3221</v>
      </c>
      <c r="J1053" t="s">
        <v>159</v>
      </c>
      <c r="K1053" s="2">
        <v>12500</v>
      </c>
      <c r="L1053" s="2">
        <v>12500</v>
      </c>
      <c r="M1053" t="str">
        <f>IFERROR(IF(VLOOKUP(LEFT(B1053,2),'Humanitarian codes'!$A$2:$A$10,1,FALSE)=LEFT(B1053,2),"Yes","Error"),"No")</f>
        <v>No</v>
      </c>
    </row>
    <row r="1054" spans="1:13" hidden="1" x14ac:dyDescent="0.25">
      <c r="A1054" t="s">
        <v>2783</v>
      </c>
      <c r="B1054" t="s">
        <v>1062</v>
      </c>
      <c r="C1054" t="s">
        <v>3222</v>
      </c>
      <c r="D1054" t="s">
        <v>543</v>
      </c>
      <c r="E1054" t="s">
        <v>523</v>
      </c>
      <c r="F1054" t="s">
        <v>2517</v>
      </c>
      <c r="G1054">
        <v>4500309854</v>
      </c>
      <c r="H1054" t="s">
        <v>2789</v>
      </c>
      <c r="I1054" t="s">
        <v>3223</v>
      </c>
      <c r="J1054" t="s">
        <v>523</v>
      </c>
      <c r="K1054" s="2">
        <v>1721</v>
      </c>
      <c r="L1054" s="2">
        <v>1721</v>
      </c>
      <c r="M1054" t="str">
        <f>IFERROR(IF(VLOOKUP(LEFT(B1054,2),'Humanitarian codes'!$A$2:$A$10,1,FALSE)=LEFT(B1054,2),"Yes","Error"),"No")</f>
        <v>No</v>
      </c>
    </row>
    <row r="1055" spans="1:13" hidden="1" x14ac:dyDescent="0.25">
      <c r="A1055" t="s">
        <v>2783</v>
      </c>
      <c r="B1055" t="s">
        <v>3224</v>
      </c>
      <c r="C1055" t="s">
        <v>3225</v>
      </c>
      <c r="D1055" t="s">
        <v>543</v>
      </c>
      <c r="E1055" t="s">
        <v>54</v>
      </c>
      <c r="F1055" t="s">
        <v>2894</v>
      </c>
      <c r="G1055">
        <v>4500307596</v>
      </c>
      <c r="H1055" t="s">
        <v>2789</v>
      </c>
      <c r="I1055" t="s">
        <v>280</v>
      </c>
      <c r="J1055" t="s">
        <v>54</v>
      </c>
      <c r="K1055" s="2">
        <v>62212</v>
      </c>
      <c r="L1055" s="2">
        <v>357209</v>
      </c>
      <c r="M1055" t="str">
        <f>IFERROR(IF(VLOOKUP(LEFT(B1055,2),'Humanitarian codes'!$A$2:$A$10,1,FALSE)=LEFT(B1055,2),"Yes","Error"),"No")</f>
        <v>No</v>
      </c>
    </row>
    <row r="1056" spans="1:13" hidden="1" x14ac:dyDescent="0.25">
      <c r="A1056" t="s">
        <v>2783</v>
      </c>
      <c r="B1056" t="s">
        <v>625</v>
      </c>
      <c r="C1056" t="s">
        <v>3226</v>
      </c>
      <c r="D1056" t="s">
        <v>543</v>
      </c>
      <c r="E1056" t="s">
        <v>261</v>
      </c>
      <c r="F1056" t="s">
        <v>3227</v>
      </c>
      <c r="G1056">
        <v>4500304815</v>
      </c>
      <c r="H1056" t="s">
        <v>2789</v>
      </c>
      <c r="I1056" t="s">
        <v>3228</v>
      </c>
      <c r="J1056" t="s">
        <v>261</v>
      </c>
      <c r="K1056" s="2">
        <v>168955</v>
      </c>
      <c r="L1056" s="2">
        <v>168955</v>
      </c>
      <c r="M1056" t="str">
        <f>IFERROR(IF(VLOOKUP(LEFT(B1056,2),'Humanitarian codes'!$A$2:$A$10,1,FALSE)=LEFT(B1056,2),"Yes","Error"),"No")</f>
        <v>No</v>
      </c>
    </row>
    <row r="1057" spans="1:13" hidden="1" x14ac:dyDescent="0.25">
      <c r="A1057" t="s">
        <v>2783</v>
      </c>
      <c r="B1057" t="s">
        <v>625</v>
      </c>
      <c r="C1057" t="s">
        <v>3226</v>
      </c>
      <c r="D1057" t="s">
        <v>543</v>
      </c>
      <c r="E1057" t="s">
        <v>210</v>
      </c>
      <c r="F1057" t="s">
        <v>3000</v>
      </c>
      <c r="G1057">
        <v>4500307686</v>
      </c>
      <c r="H1057" t="s">
        <v>2789</v>
      </c>
      <c r="I1057" t="s">
        <v>213</v>
      </c>
      <c r="J1057" t="s">
        <v>210</v>
      </c>
      <c r="K1057" s="2">
        <v>160136</v>
      </c>
      <c r="L1057" s="2">
        <v>456148</v>
      </c>
      <c r="M1057" t="str">
        <f>IFERROR(IF(VLOOKUP(LEFT(B1057,2),'Humanitarian codes'!$A$2:$A$10,1,FALSE)=LEFT(B1057,2),"Yes","Error"),"No")</f>
        <v>No</v>
      </c>
    </row>
    <row r="1058" spans="1:13" hidden="1" x14ac:dyDescent="0.25">
      <c r="A1058" t="s">
        <v>2783</v>
      </c>
      <c r="B1058" t="s">
        <v>625</v>
      </c>
      <c r="C1058" t="s">
        <v>3226</v>
      </c>
      <c r="D1058" t="s">
        <v>543</v>
      </c>
      <c r="E1058" t="s">
        <v>210</v>
      </c>
      <c r="F1058" t="s">
        <v>3131</v>
      </c>
      <c r="G1058">
        <v>4500307984</v>
      </c>
      <c r="H1058" t="s">
        <v>2789</v>
      </c>
      <c r="I1058" t="s">
        <v>215</v>
      </c>
      <c r="J1058" t="s">
        <v>210</v>
      </c>
      <c r="K1058" s="2">
        <v>17302</v>
      </c>
      <c r="L1058" s="2">
        <v>88728</v>
      </c>
      <c r="M1058" t="str">
        <f>IFERROR(IF(VLOOKUP(LEFT(B1058,2),'Humanitarian codes'!$A$2:$A$10,1,FALSE)=LEFT(B1058,2),"Yes","Error"),"No")</f>
        <v>No</v>
      </c>
    </row>
    <row r="1059" spans="1:13" hidden="1" x14ac:dyDescent="0.25">
      <c r="A1059" t="s">
        <v>2783</v>
      </c>
      <c r="B1059" t="s">
        <v>628</v>
      </c>
      <c r="C1059" t="s">
        <v>3229</v>
      </c>
      <c r="D1059" t="s">
        <v>543</v>
      </c>
      <c r="E1059" t="s">
        <v>155</v>
      </c>
      <c r="F1059" t="s">
        <v>2357</v>
      </c>
      <c r="G1059">
        <v>4500305914</v>
      </c>
      <c r="H1059" t="s">
        <v>2789</v>
      </c>
      <c r="I1059" t="s">
        <v>630</v>
      </c>
      <c r="J1059" t="s">
        <v>155</v>
      </c>
      <c r="K1059" s="2">
        <v>60210</v>
      </c>
      <c r="L1059" s="2">
        <v>60210</v>
      </c>
      <c r="M1059" t="str">
        <f>IFERROR(IF(VLOOKUP(LEFT(B1059,2),'Humanitarian codes'!$A$2:$A$10,1,FALSE)=LEFT(B1059,2),"Yes","Error"),"No")</f>
        <v>No</v>
      </c>
    </row>
    <row r="1060" spans="1:13" hidden="1" x14ac:dyDescent="0.25">
      <c r="A1060" t="s">
        <v>2783</v>
      </c>
      <c r="B1060" t="s">
        <v>628</v>
      </c>
      <c r="C1060" t="s">
        <v>3229</v>
      </c>
      <c r="D1060" t="s">
        <v>543</v>
      </c>
      <c r="E1060" t="s">
        <v>155</v>
      </c>
      <c r="F1060" t="s">
        <v>2357</v>
      </c>
      <c r="G1060">
        <v>4500305937</v>
      </c>
      <c r="H1060" t="s">
        <v>2789</v>
      </c>
      <c r="I1060" t="s">
        <v>3230</v>
      </c>
      <c r="J1060" t="s">
        <v>155</v>
      </c>
      <c r="K1060" s="2">
        <v>43682</v>
      </c>
      <c r="L1060" s="2">
        <v>43682</v>
      </c>
      <c r="M1060" t="str">
        <f>IFERROR(IF(VLOOKUP(LEFT(B1060,2),'Humanitarian codes'!$A$2:$A$10,1,FALSE)=LEFT(B1060,2),"Yes","Error"),"No")</f>
        <v>No</v>
      </c>
    </row>
    <row r="1061" spans="1:13" hidden="1" x14ac:dyDescent="0.25">
      <c r="A1061" t="s">
        <v>2783</v>
      </c>
      <c r="B1061" t="s">
        <v>628</v>
      </c>
      <c r="C1061" t="s">
        <v>3229</v>
      </c>
      <c r="D1061" t="s">
        <v>543</v>
      </c>
      <c r="E1061" t="s">
        <v>155</v>
      </c>
      <c r="F1061" t="s">
        <v>2357</v>
      </c>
      <c r="G1061">
        <v>4500322147</v>
      </c>
      <c r="H1061" t="s">
        <v>2789</v>
      </c>
      <c r="I1061" t="s">
        <v>3231</v>
      </c>
      <c r="J1061" t="s">
        <v>751</v>
      </c>
      <c r="K1061" s="2">
        <v>176899</v>
      </c>
      <c r="L1061" s="2">
        <v>176899</v>
      </c>
      <c r="M1061" t="str">
        <f>IFERROR(IF(VLOOKUP(LEFT(B1061,2),'Humanitarian codes'!$A$2:$A$10,1,FALSE)=LEFT(B1061,2),"Yes","Error"),"No")</f>
        <v>No</v>
      </c>
    </row>
    <row r="1062" spans="1:13" hidden="1" x14ac:dyDescent="0.25">
      <c r="A1062" t="s">
        <v>2783</v>
      </c>
      <c r="B1062" t="s">
        <v>2132</v>
      </c>
      <c r="C1062" t="s">
        <v>3188</v>
      </c>
      <c r="D1062" t="s">
        <v>543</v>
      </c>
      <c r="E1062" t="s">
        <v>534</v>
      </c>
      <c r="F1062" t="s">
        <v>2357</v>
      </c>
      <c r="G1062">
        <v>4500310033</v>
      </c>
      <c r="H1062" t="s">
        <v>2789</v>
      </c>
      <c r="I1062" t="s">
        <v>1599</v>
      </c>
      <c r="J1062" t="s">
        <v>534</v>
      </c>
      <c r="K1062" s="2">
        <v>35651</v>
      </c>
      <c r="L1062" s="2">
        <v>35651</v>
      </c>
      <c r="M1062" t="str">
        <f>IFERROR(IF(VLOOKUP(LEFT(B1062,2),'Humanitarian codes'!$A$2:$A$10,1,FALSE)=LEFT(B1062,2),"Yes","Error"),"No")</f>
        <v>No</v>
      </c>
    </row>
    <row r="1063" spans="1:13" hidden="1" x14ac:dyDescent="0.25">
      <c r="A1063" t="s">
        <v>2783</v>
      </c>
      <c r="B1063" t="s">
        <v>2132</v>
      </c>
      <c r="C1063" t="s">
        <v>3188</v>
      </c>
      <c r="D1063" t="s">
        <v>543</v>
      </c>
      <c r="E1063" t="s">
        <v>717</v>
      </c>
      <c r="F1063" t="s">
        <v>2902</v>
      </c>
      <c r="G1063">
        <v>4500310829</v>
      </c>
      <c r="H1063" t="s">
        <v>2789</v>
      </c>
      <c r="I1063" t="s">
        <v>2903</v>
      </c>
      <c r="J1063" t="s">
        <v>717</v>
      </c>
      <c r="K1063" s="2">
        <v>20503</v>
      </c>
      <c r="L1063" s="2">
        <v>34171</v>
      </c>
      <c r="M1063" t="str">
        <f>IFERROR(IF(VLOOKUP(LEFT(B1063,2),'Humanitarian codes'!$A$2:$A$10,1,FALSE)=LEFT(B1063,2),"Yes","Error"),"No")</f>
        <v>No</v>
      </c>
    </row>
    <row r="1064" spans="1:13" hidden="1" x14ac:dyDescent="0.25">
      <c r="A1064" t="s">
        <v>2783</v>
      </c>
      <c r="B1064" t="s">
        <v>2132</v>
      </c>
      <c r="C1064" t="s">
        <v>3188</v>
      </c>
      <c r="D1064" t="s">
        <v>543</v>
      </c>
      <c r="E1064" t="s">
        <v>717</v>
      </c>
      <c r="F1064" t="s">
        <v>3232</v>
      </c>
      <c r="G1064">
        <v>4500322488</v>
      </c>
      <c r="H1064" t="s">
        <v>2789</v>
      </c>
      <c r="I1064" t="s">
        <v>3233</v>
      </c>
      <c r="J1064" t="s">
        <v>717</v>
      </c>
      <c r="K1064" s="2">
        <v>46732</v>
      </c>
      <c r="L1064" s="2">
        <v>46732</v>
      </c>
      <c r="M1064" t="str">
        <f>IFERROR(IF(VLOOKUP(LEFT(B1064,2),'Humanitarian codes'!$A$2:$A$10,1,FALSE)=LEFT(B1064,2),"Yes","Error"),"No")</f>
        <v>No</v>
      </c>
    </row>
    <row r="1065" spans="1:13" hidden="1" x14ac:dyDescent="0.25">
      <c r="A1065" t="s">
        <v>2783</v>
      </c>
      <c r="B1065" t="s">
        <v>2132</v>
      </c>
      <c r="C1065" t="s">
        <v>3188</v>
      </c>
      <c r="D1065" t="s">
        <v>543</v>
      </c>
      <c r="E1065" t="s">
        <v>717</v>
      </c>
      <c r="F1065" t="s">
        <v>3234</v>
      </c>
      <c r="G1065">
        <v>4500322499</v>
      </c>
      <c r="H1065" t="s">
        <v>2789</v>
      </c>
      <c r="I1065" t="s">
        <v>3235</v>
      </c>
      <c r="J1065" t="s">
        <v>717</v>
      </c>
      <c r="K1065" s="2">
        <v>40546</v>
      </c>
      <c r="L1065" s="2">
        <v>40546</v>
      </c>
      <c r="M1065" t="str">
        <f>IFERROR(IF(VLOOKUP(LEFT(B1065,2),'Humanitarian codes'!$A$2:$A$10,1,FALSE)=LEFT(B1065,2),"Yes","Error"),"No")</f>
        <v>No</v>
      </c>
    </row>
    <row r="1066" spans="1:13" hidden="1" x14ac:dyDescent="0.25">
      <c r="A1066" t="s">
        <v>2783</v>
      </c>
      <c r="B1066" t="s">
        <v>2132</v>
      </c>
      <c r="C1066" t="s">
        <v>3188</v>
      </c>
      <c r="D1066" t="s">
        <v>543</v>
      </c>
      <c r="E1066" t="s">
        <v>717</v>
      </c>
      <c r="F1066" t="s">
        <v>3236</v>
      </c>
      <c r="G1066">
        <v>4500322609</v>
      </c>
      <c r="H1066" t="s">
        <v>2789</v>
      </c>
      <c r="I1066" t="s">
        <v>720</v>
      </c>
      <c r="J1066" t="s">
        <v>717</v>
      </c>
      <c r="K1066" s="2">
        <v>42063</v>
      </c>
      <c r="L1066" s="2">
        <v>42063</v>
      </c>
      <c r="M1066" t="str">
        <f>IFERROR(IF(VLOOKUP(LEFT(B1066,2),'Humanitarian codes'!$A$2:$A$10,1,FALSE)=LEFT(B1066,2),"Yes","Error"),"No")</f>
        <v>No</v>
      </c>
    </row>
    <row r="1067" spans="1:13" hidden="1" x14ac:dyDescent="0.25">
      <c r="A1067" t="s">
        <v>2783</v>
      </c>
      <c r="B1067" t="s">
        <v>2132</v>
      </c>
      <c r="C1067" t="s">
        <v>3188</v>
      </c>
      <c r="D1067" t="s">
        <v>543</v>
      </c>
      <c r="E1067" t="s">
        <v>45</v>
      </c>
      <c r="F1067" t="s">
        <v>2200</v>
      </c>
      <c r="G1067">
        <v>4500322708</v>
      </c>
      <c r="H1067" t="s">
        <v>2789</v>
      </c>
      <c r="I1067" t="s">
        <v>327</v>
      </c>
      <c r="J1067" t="s">
        <v>45</v>
      </c>
      <c r="K1067" s="2">
        <v>15000</v>
      </c>
      <c r="L1067" s="2">
        <v>15000</v>
      </c>
      <c r="M1067" t="str">
        <f>IFERROR(IF(VLOOKUP(LEFT(B1067,2),'Humanitarian codes'!$A$2:$A$10,1,FALSE)=LEFT(B1067,2),"Yes","Error"),"No")</f>
        <v>No</v>
      </c>
    </row>
    <row r="1068" spans="1:13" hidden="1" x14ac:dyDescent="0.25">
      <c r="A1068" t="s">
        <v>2783</v>
      </c>
      <c r="B1068" t="s">
        <v>2132</v>
      </c>
      <c r="C1068" t="s">
        <v>3188</v>
      </c>
      <c r="D1068" t="s">
        <v>543</v>
      </c>
      <c r="E1068" t="s">
        <v>226</v>
      </c>
      <c r="F1068" t="s">
        <v>3237</v>
      </c>
      <c r="G1068">
        <v>4500323621</v>
      </c>
      <c r="H1068" t="s">
        <v>2789</v>
      </c>
      <c r="I1068" t="s">
        <v>2514</v>
      </c>
      <c r="J1068" t="s">
        <v>226</v>
      </c>
      <c r="K1068" s="2">
        <v>41035</v>
      </c>
      <c r="L1068" s="2">
        <v>41035</v>
      </c>
      <c r="M1068" t="str">
        <f>IFERROR(IF(VLOOKUP(LEFT(B1068,2),'Humanitarian codes'!$A$2:$A$10,1,FALSE)=LEFT(B1068,2),"Yes","Error"),"No")</f>
        <v>No</v>
      </c>
    </row>
    <row r="1069" spans="1:13" hidden="1" x14ac:dyDescent="0.25">
      <c r="A1069" t="s">
        <v>2783</v>
      </c>
      <c r="B1069" t="s">
        <v>2132</v>
      </c>
      <c r="C1069" t="s">
        <v>3188</v>
      </c>
      <c r="D1069" t="s">
        <v>543</v>
      </c>
      <c r="E1069" t="s">
        <v>20</v>
      </c>
      <c r="F1069" t="s">
        <v>3238</v>
      </c>
      <c r="G1069">
        <v>4500305167</v>
      </c>
      <c r="H1069" t="s">
        <v>2789</v>
      </c>
      <c r="I1069" t="s">
        <v>3239</v>
      </c>
      <c r="J1069" t="s">
        <v>20</v>
      </c>
      <c r="K1069" s="2">
        <v>21126</v>
      </c>
      <c r="L1069" s="2">
        <v>21126</v>
      </c>
      <c r="M1069" t="str">
        <f>IFERROR(IF(VLOOKUP(LEFT(B1069,2),'Humanitarian codes'!$A$2:$A$10,1,FALSE)=LEFT(B1069,2),"Yes","Error"),"No")</f>
        <v>No</v>
      </c>
    </row>
    <row r="1070" spans="1:13" hidden="1" x14ac:dyDescent="0.25">
      <c r="A1070" t="s">
        <v>2783</v>
      </c>
      <c r="B1070" t="s">
        <v>3240</v>
      </c>
      <c r="C1070" t="s">
        <v>3241</v>
      </c>
      <c r="D1070" t="s">
        <v>543</v>
      </c>
      <c r="E1070" t="s">
        <v>25</v>
      </c>
      <c r="F1070" t="s">
        <v>2200</v>
      </c>
      <c r="G1070">
        <v>4500301581</v>
      </c>
      <c r="H1070" t="s">
        <v>2789</v>
      </c>
      <c r="I1070" t="s">
        <v>3242</v>
      </c>
      <c r="J1070" t="s">
        <v>25</v>
      </c>
      <c r="K1070" s="2">
        <v>19610</v>
      </c>
      <c r="L1070" s="2">
        <v>19610</v>
      </c>
      <c r="M1070" t="str">
        <f>IFERROR(IF(VLOOKUP(LEFT(B1070,2),'Humanitarian codes'!$A$2:$A$10,1,FALSE)=LEFT(B1070,2),"Yes","Error"),"No")</f>
        <v>No</v>
      </c>
    </row>
    <row r="1071" spans="1:13" hidden="1" x14ac:dyDescent="0.25">
      <c r="A1071" t="s">
        <v>2783</v>
      </c>
      <c r="B1071" t="s">
        <v>3240</v>
      </c>
      <c r="C1071" t="s">
        <v>3241</v>
      </c>
      <c r="D1071" t="s">
        <v>543</v>
      </c>
      <c r="E1071" t="s">
        <v>25</v>
      </c>
      <c r="F1071" t="s">
        <v>2200</v>
      </c>
      <c r="G1071">
        <v>4500316989</v>
      </c>
      <c r="H1071" t="s">
        <v>2789</v>
      </c>
      <c r="I1071" t="s">
        <v>641</v>
      </c>
      <c r="J1071" t="s">
        <v>25</v>
      </c>
      <c r="K1071" s="2">
        <v>49169</v>
      </c>
      <c r="L1071" s="2">
        <v>49169</v>
      </c>
      <c r="M1071" t="str">
        <f>IFERROR(IF(VLOOKUP(LEFT(B1071,2),'Humanitarian codes'!$A$2:$A$10,1,FALSE)=LEFT(B1071,2),"Yes","Error"),"No")</f>
        <v>No</v>
      </c>
    </row>
    <row r="1072" spans="1:13" hidden="1" x14ac:dyDescent="0.25">
      <c r="A1072" t="s">
        <v>2783</v>
      </c>
      <c r="B1072" t="s">
        <v>3240</v>
      </c>
      <c r="C1072" t="s">
        <v>3241</v>
      </c>
      <c r="D1072" t="s">
        <v>543</v>
      </c>
      <c r="E1072" t="s">
        <v>25</v>
      </c>
      <c r="F1072" t="s">
        <v>2200</v>
      </c>
      <c r="G1072">
        <v>4500319175</v>
      </c>
      <c r="H1072" t="s">
        <v>2789</v>
      </c>
      <c r="I1072" t="s">
        <v>3243</v>
      </c>
      <c r="J1072" t="s">
        <v>25</v>
      </c>
      <c r="K1072" s="2">
        <v>15000</v>
      </c>
      <c r="L1072" s="2">
        <v>15000</v>
      </c>
      <c r="M1072" t="str">
        <f>IFERROR(IF(VLOOKUP(LEFT(B1072,2),'Humanitarian codes'!$A$2:$A$10,1,FALSE)=LEFT(B1072,2),"Yes","Error"),"No")</f>
        <v>No</v>
      </c>
    </row>
    <row r="1073" spans="1:13" hidden="1" x14ac:dyDescent="0.25">
      <c r="A1073" t="s">
        <v>2783</v>
      </c>
      <c r="B1073" t="s">
        <v>3244</v>
      </c>
      <c r="C1073" t="s">
        <v>3245</v>
      </c>
      <c r="D1073" t="s">
        <v>543</v>
      </c>
      <c r="E1073" t="s">
        <v>530</v>
      </c>
      <c r="F1073" t="s">
        <v>2357</v>
      </c>
      <c r="G1073">
        <v>4500308974</v>
      </c>
      <c r="H1073" t="s">
        <v>2789</v>
      </c>
      <c r="I1073" t="s">
        <v>3246</v>
      </c>
      <c r="J1073" t="s">
        <v>11</v>
      </c>
      <c r="K1073" s="2">
        <v>400000</v>
      </c>
      <c r="L1073" s="2">
        <v>400000</v>
      </c>
      <c r="M1073" t="str">
        <f>IFERROR(IF(VLOOKUP(LEFT(B1073,2),'Humanitarian codes'!$A$2:$A$10,1,FALSE)=LEFT(B1073,2),"Yes","Error"),"No")</f>
        <v>No</v>
      </c>
    </row>
    <row r="1074" spans="1:13" hidden="1" x14ac:dyDescent="0.25">
      <c r="A1074" t="s">
        <v>2783</v>
      </c>
      <c r="B1074" t="s">
        <v>2134</v>
      </c>
      <c r="C1074" t="s">
        <v>3247</v>
      </c>
      <c r="D1074" t="s">
        <v>543</v>
      </c>
      <c r="E1074" t="s">
        <v>890</v>
      </c>
      <c r="F1074" t="s">
        <v>2200</v>
      </c>
      <c r="G1074">
        <v>4500304392</v>
      </c>
      <c r="H1074" t="s">
        <v>2789</v>
      </c>
      <c r="I1074" t="s">
        <v>1088</v>
      </c>
      <c r="J1074" t="s">
        <v>890</v>
      </c>
      <c r="K1074" s="2">
        <v>20224</v>
      </c>
      <c r="L1074" s="2">
        <v>20224</v>
      </c>
      <c r="M1074" t="str">
        <f>IFERROR(IF(VLOOKUP(LEFT(B1074,2),'Humanitarian codes'!$A$2:$A$10,1,FALSE)=LEFT(B1074,2),"Yes","Error"),"No")</f>
        <v>No</v>
      </c>
    </row>
    <row r="1075" spans="1:13" hidden="1" x14ac:dyDescent="0.25">
      <c r="A1075" t="s">
        <v>2783</v>
      </c>
      <c r="B1075" t="s">
        <v>2134</v>
      </c>
      <c r="C1075" t="s">
        <v>3247</v>
      </c>
      <c r="D1075" t="s">
        <v>543</v>
      </c>
      <c r="E1075" t="s">
        <v>890</v>
      </c>
      <c r="F1075" t="s">
        <v>3248</v>
      </c>
      <c r="G1075">
        <v>4500308273</v>
      </c>
      <c r="H1075" t="s">
        <v>2789</v>
      </c>
      <c r="I1075" t="s">
        <v>1088</v>
      </c>
      <c r="J1075" t="s">
        <v>890</v>
      </c>
      <c r="K1075" s="2">
        <v>39475</v>
      </c>
      <c r="L1075" s="2">
        <v>39475</v>
      </c>
      <c r="M1075" t="str">
        <f>IFERROR(IF(VLOOKUP(LEFT(B1075,2),'Humanitarian codes'!$A$2:$A$10,1,FALSE)=LEFT(B1075,2),"Yes","Error"),"No")</f>
        <v>No</v>
      </c>
    </row>
    <row r="1076" spans="1:13" hidden="1" x14ac:dyDescent="0.25">
      <c r="A1076" t="s">
        <v>2783</v>
      </c>
      <c r="B1076" t="s">
        <v>1070</v>
      </c>
      <c r="C1076" t="s">
        <v>3249</v>
      </c>
      <c r="D1076" t="s">
        <v>543</v>
      </c>
      <c r="E1076" t="s">
        <v>54</v>
      </c>
      <c r="F1076" t="s">
        <v>2886</v>
      </c>
      <c r="G1076">
        <v>4500304929</v>
      </c>
      <c r="H1076" t="s">
        <v>2789</v>
      </c>
      <c r="I1076" t="s">
        <v>1858</v>
      </c>
      <c r="J1076" t="s">
        <v>54</v>
      </c>
      <c r="K1076" s="2">
        <v>59881</v>
      </c>
      <c r="L1076" s="2">
        <v>260354</v>
      </c>
      <c r="M1076" t="str">
        <f>IFERROR(IF(VLOOKUP(LEFT(B1076,2),'Humanitarian codes'!$A$2:$A$10,1,FALSE)=LEFT(B1076,2),"Yes","Error"),"No")</f>
        <v>No</v>
      </c>
    </row>
    <row r="1077" spans="1:13" hidden="1" x14ac:dyDescent="0.25">
      <c r="A1077" t="s">
        <v>2783</v>
      </c>
      <c r="B1077" t="s">
        <v>1070</v>
      </c>
      <c r="C1077" t="s">
        <v>3249</v>
      </c>
      <c r="D1077" t="s">
        <v>543</v>
      </c>
      <c r="E1077" t="s">
        <v>54</v>
      </c>
      <c r="F1077" t="s">
        <v>2887</v>
      </c>
      <c r="G1077">
        <v>4500305171</v>
      </c>
      <c r="H1077" t="s">
        <v>2789</v>
      </c>
      <c r="I1077" t="s">
        <v>278</v>
      </c>
      <c r="J1077" t="s">
        <v>54</v>
      </c>
      <c r="K1077" s="2">
        <v>62330</v>
      </c>
      <c r="L1077" s="2">
        <v>271000</v>
      </c>
      <c r="M1077" t="str">
        <f>IFERROR(IF(VLOOKUP(LEFT(B1077,2),'Humanitarian codes'!$A$2:$A$10,1,FALSE)=LEFT(B1077,2),"Yes","Error"),"No")</f>
        <v>No</v>
      </c>
    </row>
    <row r="1078" spans="1:13" hidden="1" x14ac:dyDescent="0.25">
      <c r="A1078" t="s">
        <v>2783</v>
      </c>
      <c r="B1078" t="s">
        <v>1070</v>
      </c>
      <c r="C1078" t="s">
        <v>3249</v>
      </c>
      <c r="D1078" t="s">
        <v>543</v>
      </c>
      <c r="E1078" t="s">
        <v>54</v>
      </c>
      <c r="F1078" t="s">
        <v>2888</v>
      </c>
      <c r="G1078">
        <v>4500305412</v>
      </c>
      <c r="H1078" t="s">
        <v>2789</v>
      </c>
      <c r="I1078" t="s">
        <v>271</v>
      </c>
      <c r="J1078" t="s">
        <v>54</v>
      </c>
      <c r="K1078" s="2">
        <v>33780</v>
      </c>
      <c r="L1078" s="2">
        <v>146868</v>
      </c>
      <c r="M1078" t="str">
        <f>IFERROR(IF(VLOOKUP(LEFT(B1078,2),'Humanitarian codes'!$A$2:$A$10,1,FALSE)=LEFT(B1078,2),"Yes","Error"),"No")</f>
        <v>No</v>
      </c>
    </row>
    <row r="1079" spans="1:13" hidden="1" x14ac:dyDescent="0.25">
      <c r="A1079" t="s">
        <v>2783</v>
      </c>
      <c r="B1079" t="s">
        <v>1070</v>
      </c>
      <c r="C1079" t="s">
        <v>3249</v>
      </c>
      <c r="D1079" t="s">
        <v>543</v>
      </c>
      <c r="E1079" t="s">
        <v>54</v>
      </c>
      <c r="F1079" t="s">
        <v>2889</v>
      </c>
      <c r="G1079">
        <v>4500305848</v>
      </c>
      <c r="H1079" t="s">
        <v>2789</v>
      </c>
      <c r="I1079" t="s">
        <v>274</v>
      </c>
      <c r="J1079" t="s">
        <v>54</v>
      </c>
      <c r="K1079" s="2">
        <v>32234</v>
      </c>
      <c r="L1079" s="2">
        <v>140147</v>
      </c>
      <c r="M1079" t="str">
        <f>IFERROR(IF(VLOOKUP(LEFT(B1079,2),'Humanitarian codes'!$A$2:$A$10,1,FALSE)=LEFT(B1079,2),"Yes","Error"),"No")</f>
        <v>No</v>
      </c>
    </row>
    <row r="1080" spans="1:13" hidden="1" x14ac:dyDescent="0.25">
      <c r="A1080" t="s">
        <v>2783</v>
      </c>
      <c r="B1080" t="s">
        <v>1070</v>
      </c>
      <c r="C1080" t="s">
        <v>3249</v>
      </c>
      <c r="D1080" t="s">
        <v>543</v>
      </c>
      <c r="E1080" t="s">
        <v>54</v>
      </c>
      <c r="F1080" t="s">
        <v>2890</v>
      </c>
      <c r="G1080">
        <v>4500305915</v>
      </c>
      <c r="H1080" t="s">
        <v>2789</v>
      </c>
      <c r="I1080" t="s">
        <v>790</v>
      </c>
      <c r="J1080" t="s">
        <v>54</v>
      </c>
      <c r="K1080" s="2">
        <v>58761</v>
      </c>
      <c r="L1080" s="2">
        <v>255481</v>
      </c>
      <c r="M1080" t="str">
        <f>IFERROR(IF(VLOOKUP(LEFT(B1080,2),'Humanitarian codes'!$A$2:$A$10,1,FALSE)=LEFT(B1080,2),"Yes","Error"),"No")</f>
        <v>No</v>
      </c>
    </row>
    <row r="1081" spans="1:13" hidden="1" x14ac:dyDescent="0.25">
      <c r="A1081" t="s">
        <v>2783</v>
      </c>
      <c r="B1081" t="s">
        <v>1070</v>
      </c>
      <c r="C1081" t="s">
        <v>3249</v>
      </c>
      <c r="D1081" t="s">
        <v>543</v>
      </c>
      <c r="E1081" t="s">
        <v>54</v>
      </c>
      <c r="F1081" t="s">
        <v>2892</v>
      </c>
      <c r="G1081">
        <v>4500306517</v>
      </c>
      <c r="H1081" t="s">
        <v>2789</v>
      </c>
      <c r="I1081" t="s">
        <v>2893</v>
      </c>
      <c r="J1081" t="s">
        <v>54</v>
      </c>
      <c r="K1081" s="2">
        <v>69327</v>
      </c>
      <c r="L1081" s="2">
        <v>277308</v>
      </c>
      <c r="M1081" t="str">
        <f>IFERROR(IF(VLOOKUP(LEFT(B1081,2),'Humanitarian codes'!$A$2:$A$10,1,FALSE)=LEFT(B1081,2),"Yes","Error"),"No")</f>
        <v>No</v>
      </c>
    </row>
    <row r="1082" spans="1:13" hidden="1" x14ac:dyDescent="0.25">
      <c r="A1082" t="s">
        <v>2783</v>
      </c>
      <c r="B1082" t="s">
        <v>1070</v>
      </c>
      <c r="C1082" t="s">
        <v>3249</v>
      </c>
      <c r="D1082" t="s">
        <v>543</v>
      </c>
      <c r="E1082" t="s">
        <v>54</v>
      </c>
      <c r="F1082" t="s">
        <v>2894</v>
      </c>
      <c r="G1082">
        <v>4500307596</v>
      </c>
      <c r="H1082" t="s">
        <v>2789</v>
      </c>
      <c r="I1082" t="s">
        <v>280</v>
      </c>
      <c r="J1082" t="s">
        <v>54</v>
      </c>
      <c r="K1082" s="2">
        <v>67849</v>
      </c>
      <c r="L1082" s="2">
        <v>357209</v>
      </c>
      <c r="M1082" t="str">
        <f>IFERROR(IF(VLOOKUP(LEFT(B1082,2),'Humanitarian codes'!$A$2:$A$10,1,FALSE)=LEFT(B1082,2),"Yes","Error"),"No")</f>
        <v>No</v>
      </c>
    </row>
    <row r="1083" spans="1:13" hidden="1" x14ac:dyDescent="0.25">
      <c r="A1083" t="s">
        <v>2783</v>
      </c>
      <c r="B1083" t="s">
        <v>1070</v>
      </c>
      <c r="C1083" t="s">
        <v>3249</v>
      </c>
      <c r="D1083" t="s">
        <v>543</v>
      </c>
      <c r="E1083" t="s">
        <v>54</v>
      </c>
      <c r="F1083" t="s">
        <v>2896</v>
      </c>
      <c r="G1083">
        <v>4500312306</v>
      </c>
      <c r="H1083" t="s">
        <v>2789</v>
      </c>
      <c r="I1083" t="s">
        <v>789</v>
      </c>
      <c r="J1083" t="s">
        <v>54</v>
      </c>
      <c r="K1083" s="2">
        <v>56542</v>
      </c>
      <c r="L1083" s="2">
        <v>235592</v>
      </c>
      <c r="M1083" t="str">
        <f>IFERROR(IF(VLOOKUP(LEFT(B1083,2),'Humanitarian codes'!$A$2:$A$10,1,FALSE)=LEFT(B1083,2),"Yes","Error"),"No")</f>
        <v>No</v>
      </c>
    </row>
    <row r="1084" spans="1:13" hidden="1" x14ac:dyDescent="0.25">
      <c r="A1084" t="s">
        <v>2783</v>
      </c>
      <c r="B1084" t="s">
        <v>1070</v>
      </c>
      <c r="C1084" t="s">
        <v>3249</v>
      </c>
      <c r="D1084" t="s">
        <v>543</v>
      </c>
      <c r="E1084" t="s">
        <v>54</v>
      </c>
      <c r="F1084" t="s">
        <v>2897</v>
      </c>
      <c r="G1084">
        <v>4500314255</v>
      </c>
      <c r="H1084" t="s">
        <v>2789</v>
      </c>
      <c r="I1084" t="s">
        <v>275</v>
      </c>
      <c r="J1084" t="s">
        <v>54</v>
      </c>
      <c r="K1084" s="2">
        <v>16800</v>
      </c>
      <c r="L1084" s="2">
        <v>140000</v>
      </c>
      <c r="M1084" t="str">
        <f>IFERROR(IF(VLOOKUP(LEFT(B1084,2),'Humanitarian codes'!$A$2:$A$10,1,FALSE)=LEFT(B1084,2),"Yes","Error"),"No")</f>
        <v>No</v>
      </c>
    </row>
    <row r="1085" spans="1:13" hidden="1" x14ac:dyDescent="0.25">
      <c r="A1085" t="s">
        <v>2783</v>
      </c>
      <c r="B1085" t="s">
        <v>1070</v>
      </c>
      <c r="C1085" t="s">
        <v>3249</v>
      </c>
      <c r="D1085" t="s">
        <v>543</v>
      </c>
      <c r="E1085" t="s">
        <v>54</v>
      </c>
      <c r="F1085" t="s">
        <v>3250</v>
      </c>
      <c r="G1085">
        <v>4500314295</v>
      </c>
      <c r="H1085" t="s">
        <v>2789</v>
      </c>
      <c r="I1085" t="s">
        <v>3251</v>
      </c>
      <c r="J1085" t="s">
        <v>54</v>
      </c>
      <c r="K1085" s="2">
        <v>99734</v>
      </c>
      <c r="L1085" s="2">
        <v>99734</v>
      </c>
      <c r="M1085" t="str">
        <f>IFERROR(IF(VLOOKUP(LEFT(B1085,2),'Humanitarian codes'!$A$2:$A$10,1,FALSE)=LEFT(B1085,2),"Yes","Error"),"No")</f>
        <v>No</v>
      </c>
    </row>
    <row r="1086" spans="1:13" hidden="1" x14ac:dyDescent="0.25">
      <c r="A1086" t="s">
        <v>2783</v>
      </c>
      <c r="B1086" t="s">
        <v>1070</v>
      </c>
      <c r="C1086" t="s">
        <v>3249</v>
      </c>
      <c r="D1086" t="s">
        <v>543</v>
      </c>
      <c r="E1086" t="s">
        <v>54</v>
      </c>
      <c r="F1086" t="s">
        <v>3252</v>
      </c>
      <c r="G1086">
        <v>4500314304</v>
      </c>
      <c r="H1086" t="s">
        <v>2789</v>
      </c>
      <c r="I1086" t="s">
        <v>3253</v>
      </c>
      <c r="J1086" t="s">
        <v>54</v>
      </c>
      <c r="K1086" s="2">
        <v>100000</v>
      </c>
      <c r="L1086" s="2">
        <v>100000</v>
      </c>
      <c r="M1086" t="str">
        <f>IFERROR(IF(VLOOKUP(LEFT(B1086,2),'Humanitarian codes'!$A$2:$A$10,1,FALSE)=LEFT(B1086,2),"Yes","Error"),"No")</f>
        <v>No</v>
      </c>
    </row>
    <row r="1087" spans="1:13" hidden="1" x14ac:dyDescent="0.25">
      <c r="A1087" t="s">
        <v>2783</v>
      </c>
      <c r="B1087" t="s">
        <v>1070</v>
      </c>
      <c r="C1087" t="s">
        <v>3249</v>
      </c>
      <c r="D1087" t="s">
        <v>543</v>
      </c>
      <c r="E1087" t="s">
        <v>54</v>
      </c>
      <c r="F1087" t="s">
        <v>3254</v>
      </c>
      <c r="G1087">
        <v>4500314316</v>
      </c>
      <c r="H1087" t="s">
        <v>2789</v>
      </c>
      <c r="I1087" t="s">
        <v>3255</v>
      </c>
      <c r="J1087" t="s">
        <v>54</v>
      </c>
      <c r="K1087" s="2">
        <v>98645</v>
      </c>
      <c r="L1087" s="2">
        <v>98645</v>
      </c>
      <c r="M1087" t="str">
        <f>IFERROR(IF(VLOOKUP(LEFT(B1087,2),'Humanitarian codes'!$A$2:$A$10,1,FALSE)=LEFT(B1087,2),"Yes","Error"),"No")</f>
        <v>No</v>
      </c>
    </row>
    <row r="1088" spans="1:13" hidden="1" x14ac:dyDescent="0.25">
      <c r="A1088" t="s">
        <v>2783</v>
      </c>
      <c r="B1088" t="s">
        <v>1070</v>
      </c>
      <c r="C1088" t="s">
        <v>3249</v>
      </c>
      <c r="D1088" t="s">
        <v>543</v>
      </c>
      <c r="E1088" t="s">
        <v>54</v>
      </c>
      <c r="F1088" t="s">
        <v>3256</v>
      </c>
      <c r="G1088">
        <v>4500314330</v>
      </c>
      <c r="H1088" t="s">
        <v>2789</v>
      </c>
      <c r="I1088" t="s">
        <v>3257</v>
      </c>
      <c r="J1088" t="s">
        <v>54</v>
      </c>
      <c r="K1088" s="2">
        <v>95111</v>
      </c>
      <c r="L1088" s="2">
        <v>95111</v>
      </c>
      <c r="M1088" t="str">
        <f>IFERROR(IF(VLOOKUP(LEFT(B1088,2),'Humanitarian codes'!$A$2:$A$10,1,FALSE)=LEFT(B1088,2),"Yes","Error"),"No")</f>
        <v>No</v>
      </c>
    </row>
    <row r="1089" spans="1:13" hidden="1" x14ac:dyDescent="0.25">
      <c r="A1089" t="s">
        <v>2783</v>
      </c>
      <c r="B1089" t="s">
        <v>1070</v>
      </c>
      <c r="C1089" t="s">
        <v>3249</v>
      </c>
      <c r="D1089" t="s">
        <v>543</v>
      </c>
      <c r="E1089" t="s">
        <v>54</v>
      </c>
      <c r="F1089" t="s">
        <v>3258</v>
      </c>
      <c r="G1089">
        <v>4500314357</v>
      </c>
      <c r="H1089" t="s">
        <v>2789</v>
      </c>
      <c r="I1089" t="s">
        <v>3259</v>
      </c>
      <c r="J1089" t="s">
        <v>54</v>
      </c>
      <c r="K1089" s="2">
        <v>97726</v>
      </c>
      <c r="L1089" s="2">
        <v>97726</v>
      </c>
      <c r="M1089" t="str">
        <f>IFERROR(IF(VLOOKUP(LEFT(B1089,2),'Humanitarian codes'!$A$2:$A$10,1,FALSE)=LEFT(B1089,2),"Yes","Error"),"No")</f>
        <v>No</v>
      </c>
    </row>
    <row r="1090" spans="1:13" hidden="1" x14ac:dyDescent="0.25">
      <c r="A1090" t="s">
        <v>2783</v>
      </c>
      <c r="B1090" t="s">
        <v>1070</v>
      </c>
      <c r="C1090" t="s">
        <v>3249</v>
      </c>
      <c r="D1090" t="s">
        <v>543</v>
      </c>
      <c r="E1090" t="s">
        <v>54</v>
      </c>
      <c r="F1090" t="s">
        <v>3260</v>
      </c>
      <c r="G1090">
        <v>4500315195</v>
      </c>
      <c r="H1090" t="s">
        <v>2789</v>
      </c>
      <c r="I1090" t="s">
        <v>3261</v>
      </c>
      <c r="J1090" t="s">
        <v>54</v>
      </c>
      <c r="K1090" s="2">
        <v>100000</v>
      </c>
      <c r="L1090" s="2">
        <v>100000</v>
      </c>
      <c r="M1090" t="str">
        <f>IFERROR(IF(VLOOKUP(LEFT(B1090,2),'Humanitarian codes'!$A$2:$A$10,1,FALSE)=LEFT(B1090,2),"Yes","Error"),"No")</f>
        <v>No</v>
      </c>
    </row>
    <row r="1091" spans="1:13" hidden="1" x14ac:dyDescent="0.25">
      <c r="A1091" t="s">
        <v>2783</v>
      </c>
      <c r="B1091" t="s">
        <v>1070</v>
      </c>
      <c r="C1091" t="s">
        <v>3249</v>
      </c>
      <c r="D1091" t="s">
        <v>543</v>
      </c>
      <c r="E1091" t="s">
        <v>54</v>
      </c>
      <c r="F1091" t="s">
        <v>3262</v>
      </c>
      <c r="G1091">
        <v>4500319843</v>
      </c>
      <c r="H1091" t="s">
        <v>2789</v>
      </c>
      <c r="I1091" t="s">
        <v>2893</v>
      </c>
      <c r="J1091" t="s">
        <v>54</v>
      </c>
      <c r="K1091" s="2">
        <v>13720</v>
      </c>
      <c r="L1091" s="2">
        <v>13720</v>
      </c>
      <c r="M1091" t="str">
        <f>IFERROR(IF(VLOOKUP(LEFT(B1091,2),'Humanitarian codes'!$A$2:$A$10,1,FALSE)=LEFT(B1091,2),"Yes","Error"),"No")</f>
        <v>No</v>
      </c>
    </row>
    <row r="1092" spans="1:13" hidden="1" x14ac:dyDescent="0.25">
      <c r="A1092" t="s">
        <v>2783</v>
      </c>
      <c r="B1092" t="s">
        <v>1070</v>
      </c>
      <c r="C1092" t="s">
        <v>3249</v>
      </c>
      <c r="D1092" t="s">
        <v>543</v>
      </c>
      <c r="E1092" t="s">
        <v>54</v>
      </c>
      <c r="F1092" t="s">
        <v>3263</v>
      </c>
      <c r="G1092">
        <v>4500319846</v>
      </c>
      <c r="H1092" t="s">
        <v>2789</v>
      </c>
      <c r="I1092" t="s">
        <v>789</v>
      </c>
      <c r="J1092" t="s">
        <v>54</v>
      </c>
      <c r="K1092" s="2">
        <v>134783</v>
      </c>
      <c r="L1092" s="2">
        <v>134783</v>
      </c>
      <c r="M1092" t="str">
        <f>IFERROR(IF(VLOOKUP(LEFT(B1092,2),'Humanitarian codes'!$A$2:$A$10,1,FALSE)=LEFT(B1092,2),"Yes","Error"),"No")</f>
        <v>No</v>
      </c>
    </row>
    <row r="1093" spans="1:13" hidden="1" x14ac:dyDescent="0.25">
      <c r="A1093" t="s">
        <v>2783</v>
      </c>
      <c r="B1093" t="s">
        <v>1070</v>
      </c>
      <c r="C1093" t="s">
        <v>3249</v>
      </c>
      <c r="D1093" t="s">
        <v>543</v>
      </c>
      <c r="E1093" t="s">
        <v>54</v>
      </c>
      <c r="F1093" t="s">
        <v>3264</v>
      </c>
      <c r="G1093">
        <v>4500322508</v>
      </c>
      <c r="H1093" t="s">
        <v>2789</v>
      </c>
      <c r="I1093" t="s">
        <v>2878</v>
      </c>
      <c r="J1093" t="s">
        <v>54</v>
      </c>
      <c r="K1093" s="2">
        <v>4384</v>
      </c>
      <c r="L1093" s="2">
        <v>4384</v>
      </c>
      <c r="M1093" t="str">
        <f>IFERROR(IF(VLOOKUP(LEFT(B1093,2),'Humanitarian codes'!$A$2:$A$10,1,FALSE)=LEFT(B1093,2),"Yes","Error"),"No")</f>
        <v>No</v>
      </c>
    </row>
    <row r="1094" spans="1:13" hidden="1" x14ac:dyDescent="0.25">
      <c r="A1094" t="s">
        <v>2783</v>
      </c>
      <c r="B1094" t="s">
        <v>1070</v>
      </c>
      <c r="C1094" t="s">
        <v>3249</v>
      </c>
      <c r="D1094" t="s">
        <v>543</v>
      </c>
      <c r="E1094" t="s">
        <v>54</v>
      </c>
      <c r="F1094" t="s">
        <v>3265</v>
      </c>
      <c r="G1094">
        <v>4500322511</v>
      </c>
      <c r="H1094" t="s">
        <v>2789</v>
      </c>
      <c r="I1094" t="s">
        <v>1858</v>
      </c>
      <c r="J1094" t="s">
        <v>54</v>
      </c>
      <c r="K1094" s="2">
        <v>4410</v>
      </c>
      <c r="L1094" s="2">
        <v>4410</v>
      </c>
      <c r="M1094" t="str">
        <f>IFERROR(IF(VLOOKUP(LEFT(B1094,2),'Humanitarian codes'!$A$2:$A$10,1,FALSE)=LEFT(B1094,2),"Yes","Error"),"No")</f>
        <v>No</v>
      </c>
    </row>
    <row r="1095" spans="1:13" hidden="1" x14ac:dyDescent="0.25">
      <c r="A1095" t="s">
        <v>2783</v>
      </c>
      <c r="B1095" t="s">
        <v>1070</v>
      </c>
      <c r="C1095" t="s">
        <v>3249</v>
      </c>
      <c r="D1095" t="s">
        <v>543</v>
      </c>
      <c r="E1095" t="s">
        <v>54</v>
      </c>
      <c r="F1095" t="s">
        <v>3266</v>
      </c>
      <c r="G1095">
        <v>4500322513</v>
      </c>
      <c r="H1095" t="s">
        <v>2789</v>
      </c>
      <c r="I1095" t="s">
        <v>1859</v>
      </c>
      <c r="J1095" t="s">
        <v>54</v>
      </c>
      <c r="K1095" s="2">
        <v>8807</v>
      </c>
      <c r="L1095" s="2">
        <v>8807</v>
      </c>
      <c r="M1095" t="str">
        <f>IFERROR(IF(VLOOKUP(LEFT(B1095,2),'Humanitarian codes'!$A$2:$A$10,1,FALSE)=LEFT(B1095,2),"Yes","Error"),"No")</f>
        <v>No</v>
      </c>
    </row>
    <row r="1096" spans="1:13" hidden="1" x14ac:dyDescent="0.25">
      <c r="A1096" t="s">
        <v>2783</v>
      </c>
      <c r="B1096" t="s">
        <v>1862</v>
      </c>
      <c r="C1096" t="s">
        <v>3267</v>
      </c>
      <c r="D1096" t="s">
        <v>543</v>
      </c>
      <c r="E1096" t="s">
        <v>903</v>
      </c>
      <c r="F1096" t="s">
        <v>3268</v>
      </c>
      <c r="G1096">
        <v>4500304305</v>
      </c>
      <c r="H1096" t="s">
        <v>2789</v>
      </c>
      <c r="I1096" t="s">
        <v>80</v>
      </c>
      <c r="J1096" t="s">
        <v>903</v>
      </c>
      <c r="K1096" s="2">
        <v>48537</v>
      </c>
      <c r="L1096" s="2">
        <v>48537</v>
      </c>
      <c r="M1096" t="str">
        <f>IFERROR(IF(VLOOKUP(LEFT(B1096,2),'Humanitarian codes'!$A$2:$A$10,1,FALSE)=LEFT(B1096,2),"Yes","Error"),"No")</f>
        <v>No</v>
      </c>
    </row>
    <row r="1097" spans="1:13" hidden="1" x14ac:dyDescent="0.25">
      <c r="A1097" t="s">
        <v>2783</v>
      </c>
      <c r="B1097" t="s">
        <v>3269</v>
      </c>
      <c r="C1097" t="s">
        <v>3270</v>
      </c>
      <c r="D1097" t="s">
        <v>1112</v>
      </c>
      <c r="E1097" t="s">
        <v>1454</v>
      </c>
      <c r="F1097" t="s">
        <v>2200</v>
      </c>
      <c r="G1097">
        <v>4500324730</v>
      </c>
      <c r="H1097" t="s">
        <v>2789</v>
      </c>
      <c r="I1097" t="s">
        <v>3271</v>
      </c>
      <c r="J1097" t="s">
        <v>1454</v>
      </c>
      <c r="K1097" s="2">
        <v>24982</v>
      </c>
      <c r="L1097" s="2">
        <v>24982</v>
      </c>
      <c r="M1097" t="str">
        <f>IFERROR(IF(VLOOKUP(LEFT(B1097,2),'Humanitarian codes'!$A$2:$A$10,1,FALSE)=LEFT(B1097,2),"Yes","Error"),"No")</f>
        <v>No</v>
      </c>
    </row>
    <row r="1098" spans="1:13" hidden="1" x14ac:dyDescent="0.25">
      <c r="A1098" t="s">
        <v>2783</v>
      </c>
      <c r="B1098" t="s">
        <v>671</v>
      </c>
      <c r="C1098" t="s">
        <v>3272</v>
      </c>
      <c r="D1098" t="s">
        <v>543</v>
      </c>
      <c r="E1098" t="s">
        <v>549</v>
      </c>
      <c r="F1098" t="s">
        <v>2200</v>
      </c>
      <c r="G1098">
        <v>4500310618</v>
      </c>
      <c r="H1098" t="s">
        <v>2789</v>
      </c>
      <c r="I1098" t="s">
        <v>3273</v>
      </c>
      <c r="J1098" t="s">
        <v>549</v>
      </c>
      <c r="K1098" s="2">
        <v>14550</v>
      </c>
      <c r="L1098" s="2">
        <v>14550</v>
      </c>
      <c r="M1098" t="str">
        <f>IFERROR(IF(VLOOKUP(LEFT(B1098,2),'Humanitarian codes'!$A$2:$A$10,1,FALSE)=LEFT(B1098,2),"Yes","Error"),"No")</f>
        <v>No</v>
      </c>
    </row>
    <row r="1099" spans="1:13" hidden="1" x14ac:dyDescent="0.25">
      <c r="A1099" t="s">
        <v>2783</v>
      </c>
      <c r="B1099" t="s">
        <v>3274</v>
      </c>
      <c r="C1099" t="s">
        <v>3275</v>
      </c>
      <c r="D1099" t="s">
        <v>543</v>
      </c>
      <c r="E1099" t="s">
        <v>11</v>
      </c>
      <c r="F1099" t="s">
        <v>2200</v>
      </c>
      <c r="G1099">
        <v>4500307709</v>
      </c>
      <c r="H1099" t="s">
        <v>2789</v>
      </c>
      <c r="I1099" t="s">
        <v>1659</v>
      </c>
      <c r="J1099" t="s">
        <v>11</v>
      </c>
      <c r="K1099" s="2">
        <v>295000</v>
      </c>
      <c r="L1099" s="2">
        <v>295000</v>
      </c>
      <c r="M1099" t="str">
        <f>IFERROR(IF(VLOOKUP(LEFT(B1099,2),'Humanitarian codes'!$A$2:$A$10,1,FALSE)=LEFT(B1099,2),"Yes","Error"),"No")</f>
        <v>No</v>
      </c>
    </row>
    <row r="1100" spans="1:13" hidden="1" x14ac:dyDescent="0.25">
      <c r="A1100" t="s">
        <v>2783</v>
      </c>
      <c r="B1100" t="s">
        <v>3274</v>
      </c>
      <c r="C1100" t="s">
        <v>3275</v>
      </c>
      <c r="D1100" t="s">
        <v>543</v>
      </c>
      <c r="E1100" t="s">
        <v>11</v>
      </c>
      <c r="F1100" t="s">
        <v>2200</v>
      </c>
      <c r="G1100">
        <v>4500322531</v>
      </c>
      <c r="H1100" t="s">
        <v>2789</v>
      </c>
      <c r="I1100" t="s">
        <v>3276</v>
      </c>
      <c r="J1100" t="s">
        <v>11</v>
      </c>
      <c r="K1100" s="2">
        <v>228766</v>
      </c>
      <c r="L1100" s="2">
        <v>228766</v>
      </c>
      <c r="M1100" t="str">
        <f>IFERROR(IF(VLOOKUP(LEFT(B1100,2),'Humanitarian codes'!$A$2:$A$10,1,FALSE)=LEFT(B1100,2),"Yes","Error"),"No")</f>
        <v>No</v>
      </c>
    </row>
    <row r="1101" spans="1:13" hidden="1" x14ac:dyDescent="0.25">
      <c r="A1101" t="s">
        <v>2783</v>
      </c>
      <c r="B1101" t="s">
        <v>3277</v>
      </c>
      <c r="C1101" t="s">
        <v>3278</v>
      </c>
      <c r="D1101" t="s">
        <v>543</v>
      </c>
      <c r="E1101" t="s">
        <v>890</v>
      </c>
      <c r="F1101" t="s">
        <v>2200</v>
      </c>
      <c r="G1101">
        <v>4500303849</v>
      </c>
      <c r="H1101" t="s">
        <v>2789</v>
      </c>
      <c r="I1101" t="s">
        <v>246</v>
      </c>
      <c r="J1101" t="s">
        <v>890</v>
      </c>
      <c r="K1101" s="2">
        <v>8000</v>
      </c>
      <c r="L1101" s="2">
        <v>8000</v>
      </c>
      <c r="M1101" t="str">
        <f>IFERROR(IF(VLOOKUP(LEFT(B1101,2),'Humanitarian codes'!$A$2:$A$10,1,FALSE)=LEFT(B1101,2),"Yes","Error"),"No")</f>
        <v>No</v>
      </c>
    </row>
    <row r="1102" spans="1:13" hidden="1" x14ac:dyDescent="0.25">
      <c r="A1102" t="s">
        <v>2783</v>
      </c>
      <c r="B1102" t="s">
        <v>1629</v>
      </c>
      <c r="C1102" t="s">
        <v>3279</v>
      </c>
      <c r="D1102" t="s">
        <v>543</v>
      </c>
      <c r="E1102" t="s">
        <v>239</v>
      </c>
      <c r="F1102" t="s">
        <v>2499</v>
      </c>
      <c r="G1102">
        <v>4500322552</v>
      </c>
      <c r="H1102" t="s">
        <v>2789</v>
      </c>
      <c r="I1102" t="s">
        <v>954</v>
      </c>
      <c r="J1102" t="s">
        <v>616</v>
      </c>
      <c r="K1102" s="2">
        <v>1018746</v>
      </c>
      <c r="L1102" s="2">
        <v>1018746</v>
      </c>
      <c r="M1102" t="str">
        <f>IFERROR(IF(VLOOKUP(LEFT(B1102,2),'Humanitarian codes'!$A$2:$A$10,1,FALSE)=LEFT(B1102,2),"Yes","Error"),"No")</f>
        <v>No</v>
      </c>
    </row>
    <row r="1103" spans="1:13" x14ac:dyDescent="0.25">
      <c r="A1103" t="s">
        <v>2783</v>
      </c>
      <c r="B1103" t="s">
        <v>2730</v>
      </c>
      <c r="C1103" t="s">
        <v>3280</v>
      </c>
      <c r="D1103" t="s">
        <v>30</v>
      </c>
      <c r="E1103" t="s">
        <v>814</v>
      </c>
      <c r="F1103" t="s">
        <v>3035</v>
      </c>
      <c r="G1103">
        <v>4500307205</v>
      </c>
      <c r="H1103" t="s">
        <v>2789</v>
      </c>
      <c r="I1103" t="s">
        <v>115</v>
      </c>
      <c r="J1103" t="s">
        <v>814</v>
      </c>
      <c r="K1103" s="2">
        <v>13053</v>
      </c>
      <c r="L1103" s="2">
        <v>17404</v>
      </c>
      <c r="M1103" t="str">
        <f>IFERROR(IF(VLOOKUP(LEFT(B1103,2),'Humanitarian codes'!$A$2:$A$10,1,FALSE)=LEFT(B1103,2),"Yes","Error"),"No")</f>
        <v>Yes</v>
      </c>
    </row>
    <row r="1104" spans="1:13" x14ac:dyDescent="0.25">
      <c r="A1104" t="s">
        <v>2783</v>
      </c>
      <c r="B1104" t="s">
        <v>2730</v>
      </c>
      <c r="C1104" t="s">
        <v>3280</v>
      </c>
      <c r="D1104" t="s">
        <v>30</v>
      </c>
      <c r="E1104" t="s">
        <v>814</v>
      </c>
      <c r="F1104" t="s">
        <v>2932</v>
      </c>
      <c r="G1104">
        <v>4500307212</v>
      </c>
      <c r="H1104" t="s">
        <v>2789</v>
      </c>
      <c r="I1104" t="s">
        <v>112</v>
      </c>
      <c r="J1104" t="s">
        <v>814</v>
      </c>
      <c r="K1104" s="2">
        <v>8741</v>
      </c>
      <c r="L1104" s="2">
        <v>38385</v>
      </c>
      <c r="M1104" t="str">
        <f>IFERROR(IF(VLOOKUP(LEFT(B1104,2),'Humanitarian codes'!$A$2:$A$10,1,FALSE)=LEFT(B1104,2),"Yes","Error"),"No")</f>
        <v>Yes</v>
      </c>
    </row>
    <row r="1105" spans="1:13" x14ac:dyDescent="0.25">
      <c r="A1105" t="s">
        <v>2783</v>
      </c>
      <c r="B1105" t="s">
        <v>2730</v>
      </c>
      <c r="C1105" t="s">
        <v>3280</v>
      </c>
      <c r="D1105" t="s">
        <v>30</v>
      </c>
      <c r="E1105" t="s">
        <v>814</v>
      </c>
      <c r="F1105" t="s">
        <v>3036</v>
      </c>
      <c r="G1105">
        <v>4500307233</v>
      </c>
      <c r="H1105" t="s">
        <v>2789</v>
      </c>
      <c r="I1105" t="s">
        <v>114</v>
      </c>
      <c r="J1105" t="s">
        <v>814</v>
      </c>
      <c r="K1105" s="2">
        <v>1545</v>
      </c>
      <c r="L1105" s="2">
        <v>2060</v>
      </c>
      <c r="M1105" t="str">
        <f>IFERROR(IF(VLOOKUP(LEFT(B1105,2),'Humanitarian codes'!$A$2:$A$10,1,FALSE)=LEFT(B1105,2),"Yes","Error"),"No")</f>
        <v>Yes</v>
      </c>
    </row>
    <row r="1106" spans="1:13" x14ac:dyDescent="0.25">
      <c r="A1106" t="s">
        <v>2783</v>
      </c>
      <c r="B1106" t="s">
        <v>2730</v>
      </c>
      <c r="C1106" t="s">
        <v>3280</v>
      </c>
      <c r="D1106" t="s">
        <v>30</v>
      </c>
      <c r="E1106" t="s">
        <v>814</v>
      </c>
      <c r="F1106" t="s">
        <v>2933</v>
      </c>
      <c r="G1106">
        <v>4500307240</v>
      </c>
      <c r="H1106" t="s">
        <v>2789</v>
      </c>
      <c r="I1106" t="s">
        <v>116</v>
      </c>
      <c r="J1106" t="s">
        <v>814</v>
      </c>
      <c r="K1106" s="2">
        <v>3091</v>
      </c>
      <c r="L1106" s="2">
        <v>9732</v>
      </c>
      <c r="M1106" t="str">
        <f>IFERROR(IF(VLOOKUP(LEFT(B1106,2),'Humanitarian codes'!$A$2:$A$10,1,FALSE)=LEFT(B1106,2),"Yes","Error"),"No")</f>
        <v>Yes</v>
      </c>
    </row>
    <row r="1107" spans="1:13" x14ac:dyDescent="0.25">
      <c r="A1107" t="s">
        <v>2783</v>
      </c>
      <c r="B1107" t="s">
        <v>2730</v>
      </c>
      <c r="C1107" t="s">
        <v>3280</v>
      </c>
      <c r="D1107" t="s">
        <v>30</v>
      </c>
      <c r="E1107" t="s">
        <v>814</v>
      </c>
      <c r="F1107" t="s">
        <v>3037</v>
      </c>
      <c r="G1107">
        <v>4500307241</v>
      </c>
      <c r="H1107" t="s">
        <v>2789</v>
      </c>
      <c r="I1107" t="s">
        <v>120</v>
      </c>
      <c r="J1107" t="s">
        <v>814</v>
      </c>
      <c r="K1107" s="2">
        <v>7951</v>
      </c>
      <c r="L1107" s="2">
        <v>10601</v>
      </c>
      <c r="M1107" t="str">
        <f>IFERROR(IF(VLOOKUP(LEFT(B1107,2),'Humanitarian codes'!$A$2:$A$10,1,FALSE)=LEFT(B1107,2),"Yes","Error"),"No")</f>
        <v>Yes</v>
      </c>
    </row>
    <row r="1108" spans="1:13" x14ac:dyDescent="0.25">
      <c r="A1108" t="s">
        <v>2783</v>
      </c>
      <c r="B1108" t="s">
        <v>2730</v>
      </c>
      <c r="C1108" t="s">
        <v>3280</v>
      </c>
      <c r="D1108" t="s">
        <v>30</v>
      </c>
      <c r="E1108" t="s">
        <v>814</v>
      </c>
      <c r="F1108" t="s">
        <v>3038</v>
      </c>
      <c r="G1108">
        <v>4500307342</v>
      </c>
      <c r="H1108" t="s">
        <v>2789</v>
      </c>
      <c r="I1108" t="s">
        <v>117</v>
      </c>
      <c r="J1108" t="s">
        <v>814</v>
      </c>
      <c r="K1108" s="2">
        <v>5129</v>
      </c>
      <c r="L1108" s="2">
        <v>6838</v>
      </c>
      <c r="M1108" t="str">
        <f>IFERROR(IF(VLOOKUP(LEFT(B1108,2),'Humanitarian codes'!$A$2:$A$10,1,FALSE)=LEFT(B1108,2),"Yes","Error"),"No")</f>
        <v>Yes</v>
      </c>
    </row>
    <row r="1109" spans="1:13" x14ac:dyDescent="0.25">
      <c r="A1109" t="s">
        <v>2783</v>
      </c>
      <c r="B1109" t="s">
        <v>2730</v>
      </c>
      <c r="C1109" t="s">
        <v>3280</v>
      </c>
      <c r="D1109" t="s">
        <v>30</v>
      </c>
      <c r="E1109" t="s">
        <v>814</v>
      </c>
      <c r="F1109" t="s">
        <v>3038</v>
      </c>
      <c r="G1109">
        <v>4500307352</v>
      </c>
      <c r="H1109" t="s">
        <v>2789</v>
      </c>
      <c r="I1109" t="s">
        <v>119</v>
      </c>
      <c r="J1109" t="s">
        <v>814</v>
      </c>
      <c r="K1109" s="2">
        <v>3691</v>
      </c>
      <c r="L1109" s="2">
        <v>4921</v>
      </c>
      <c r="M1109" t="str">
        <f>IFERROR(IF(VLOOKUP(LEFT(B1109,2),'Humanitarian codes'!$A$2:$A$10,1,FALSE)=LEFT(B1109,2),"Yes","Error"),"No")</f>
        <v>Yes</v>
      </c>
    </row>
    <row r="1110" spans="1:13" x14ac:dyDescent="0.25">
      <c r="A1110" t="s">
        <v>2783</v>
      </c>
      <c r="B1110" t="s">
        <v>2730</v>
      </c>
      <c r="C1110" t="s">
        <v>3280</v>
      </c>
      <c r="D1110" t="s">
        <v>30</v>
      </c>
      <c r="E1110" t="s">
        <v>814</v>
      </c>
      <c r="F1110" t="s">
        <v>3038</v>
      </c>
      <c r="G1110">
        <v>4500307355</v>
      </c>
      <c r="H1110" t="s">
        <v>2789</v>
      </c>
      <c r="I1110" t="s">
        <v>113</v>
      </c>
      <c r="J1110" t="s">
        <v>814</v>
      </c>
      <c r="K1110" s="2">
        <v>3408</v>
      </c>
      <c r="L1110" s="2">
        <v>4544</v>
      </c>
      <c r="M1110" t="str">
        <f>IFERROR(IF(VLOOKUP(LEFT(B1110,2),'Humanitarian codes'!$A$2:$A$10,1,FALSE)=LEFT(B1110,2),"Yes","Error"),"No")</f>
        <v>Yes</v>
      </c>
    </row>
    <row r="1111" spans="1:13" x14ac:dyDescent="0.25">
      <c r="A1111" t="s">
        <v>2783</v>
      </c>
      <c r="B1111" t="s">
        <v>2730</v>
      </c>
      <c r="C1111" t="s">
        <v>3280</v>
      </c>
      <c r="D1111" t="s">
        <v>30</v>
      </c>
      <c r="E1111" t="s">
        <v>814</v>
      </c>
      <c r="F1111" t="s">
        <v>3038</v>
      </c>
      <c r="G1111">
        <v>4500307357</v>
      </c>
      <c r="H1111" t="s">
        <v>2789</v>
      </c>
      <c r="I1111" t="s">
        <v>1721</v>
      </c>
      <c r="J1111" t="s">
        <v>814</v>
      </c>
      <c r="K1111" s="2">
        <v>1545</v>
      </c>
      <c r="L1111" s="2">
        <v>2060</v>
      </c>
      <c r="M1111" t="str">
        <f>IFERROR(IF(VLOOKUP(LEFT(B1111,2),'Humanitarian codes'!$A$2:$A$10,1,FALSE)=LEFT(B1111,2),"Yes","Error"),"No")</f>
        <v>Yes</v>
      </c>
    </row>
    <row r="1112" spans="1:13" x14ac:dyDescent="0.25">
      <c r="A1112" t="s">
        <v>2783</v>
      </c>
      <c r="B1112" t="s">
        <v>2730</v>
      </c>
      <c r="C1112" t="s">
        <v>3280</v>
      </c>
      <c r="D1112" t="s">
        <v>30</v>
      </c>
      <c r="E1112" t="s">
        <v>814</v>
      </c>
      <c r="F1112" t="s">
        <v>3038</v>
      </c>
      <c r="G1112">
        <v>4500307358</v>
      </c>
      <c r="H1112" t="s">
        <v>2789</v>
      </c>
      <c r="I1112" t="s">
        <v>118</v>
      </c>
      <c r="J1112" t="s">
        <v>814</v>
      </c>
      <c r="K1112" s="2">
        <v>5260</v>
      </c>
      <c r="L1112" s="2">
        <v>7013</v>
      </c>
      <c r="M1112" t="str">
        <f>IFERROR(IF(VLOOKUP(LEFT(B1112,2),'Humanitarian codes'!$A$2:$A$10,1,FALSE)=LEFT(B1112,2),"Yes","Error"),"No")</f>
        <v>Yes</v>
      </c>
    </row>
    <row r="1113" spans="1:13" x14ac:dyDescent="0.25">
      <c r="A1113" t="s">
        <v>2783</v>
      </c>
      <c r="B1113" t="s">
        <v>2730</v>
      </c>
      <c r="C1113" t="s">
        <v>3280</v>
      </c>
      <c r="D1113" t="s">
        <v>30</v>
      </c>
      <c r="E1113" t="s">
        <v>814</v>
      </c>
      <c r="F1113" t="s">
        <v>3281</v>
      </c>
      <c r="G1113">
        <v>4500313102</v>
      </c>
      <c r="H1113" t="s">
        <v>2789</v>
      </c>
      <c r="I1113" t="s">
        <v>1721</v>
      </c>
      <c r="J1113" t="s">
        <v>814</v>
      </c>
      <c r="K1113" s="2">
        <v>8434</v>
      </c>
      <c r="L1113" s="2">
        <v>8434</v>
      </c>
      <c r="M1113" t="str">
        <f>IFERROR(IF(VLOOKUP(LEFT(B1113,2),'Humanitarian codes'!$A$2:$A$10,1,FALSE)=LEFT(B1113,2),"Yes","Error"),"No")</f>
        <v>Yes</v>
      </c>
    </row>
    <row r="1114" spans="1:13" x14ac:dyDescent="0.25">
      <c r="A1114" t="s">
        <v>2783</v>
      </c>
      <c r="B1114" t="s">
        <v>2730</v>
      </c>
      <c r="C1114" t="s">
        <v>3280</v>
      </c>
      <c r="D1114" t="s">
        <v>30</v>
      </c>
      <c r="E1114" t="s">
        <v>814</v>
      </c>
      <c r="F1114" t="s">
        <v>3282</v>
      </c>
      <c r="G1114">
        <v>4500315890</v>
      </c>
      <c r="H1114" t="s">
        <v>2789</v>
      </c>
      <c r="I1114" t="s">
        <v>113</v>
      </c>
      <c r="J1114" t="s">
        <v>814</v>
      </c>
      <c r="K1114" s="2">
        <v>8387</v>
      </c>
      <c r="L1114" s="2">
        <v>8387</v>
      </c>
      <c r="M1114" t="str">
        <f>IFERROR(IF(VLOOKUP(LEFT(B1114,2),'Humanitarian codes'!$A$2:$A$10,1,FALSE)=LEFT(B1114,2),"Yes","Error"),"No")</f>
        <v>Yes</v>
      </c>
    </row>
    <row r="1115" spans="1:13" x14ac:dyDescent="0.25">
      <c r="A1115" t="s">
        <v>2783</v>
      </c>
      <c r="B1115" t="s">
        <v>2730</v>
      </c>
      <c r="C1115" t="s">
        <v>3280</v>
      </c>
      <c r="D1115" t="s">
        <v>30</v>
      </c>
      <c r="E1115" t="s">
        <v>814</v>
      </c>
      <c r="F1115" t="s">
        <v>3282</v>
      </c>
      <c r="G1115">
        <v>4500315935</v>
      </c>
      <c r="H1115" t="s">
        <v>2789</v>
      </c>
      <c r="I1115" t="s">
        <v>114</v>
      </c>
      <c r="J1115" t="s">
        <v>814</v>
      </c>
      <c r="K1115" s="2">
        <v>8387</v>
      </c>
      <c r="L1115" s="2">
        <v>8387</v>
      </c>
      <c r="M1115" t="str">
        <f>IFERROR(IF(VLOOKUP(LEFT(B1115,2),'Humanitarian codes'!$A$2:$A$10,1,FALSE)=LEFT(B1115,2),"Yes","Error"),"No")</f>
        <v>Yes</v>
      </c>
    </row>
    <row r="1116" spans="1:13" x14ac:dyDescent="0.25">
      <c r="A1116" t="s">
        <v>2783</v>
      </c>
      <c r="B1116" t="s">
        <v>2730</v>
      </c>
      <c r="C1116" t="s">
        <v>3280</v>
      </c>
      <c r="D1116" t="s">
        <v>30</v>
      </c>
      <c r="E1116" t="s">
        <v>814</v>
      </c>
      <c r="F1116" t="s">
        <v>3283</v>
      </c>
      <c r="G1116">
        <v>4500321775</v>
      </c>
      <c r="H1116" t="s">
        <v>2789</v>
      </c>
      <c r="I1116" t="s">
        <v>1721</v>
      </c>
      <c r="J1116" t="s">
        <v>814</v>
      </c>
      <c r="K1116" s="2">
        <v>4906</v>
      </c>
      <c r="L1116" s="2">
        <v>4906</v>
      </c>
      <c r="M1116" t="str">
        <f>IFERROR(IF(VLOOKUP(LEFT(B1116,2),'Humanitarian codes'!$A$2:$A$10,1,FALSE)=LEFT(B1116,2),"Yes","Error"),"No")</f>
        <v>Yes</v>
      </c>
    </row>
    <row r="1117" spans="1:13" x14ac:dyDescent="0.25">
      <c r="A1117" t="s">
        <v>2783</v>
      </c>
      <c r="B1117" t="s">
        <v>3284</v>
      </c>
      <c r="C1117" t="s">
        <v>3285</v>
      </c>
      <c r="D1117" t="s">
        <v>30</v>
      </c>
      <c r="E1117" t="s">
        <v>320</v>
      </c>
      <c r="F1117" t="s">
        <v>2200</v>
      </c>
      <c r="G1117">
        <v>4500309797</v>
      </c>
      <c r="H1117" t="s">
        <v>2789</v>
      </c>
      <c r="I1117" t="s">
        <v>3286</v>
      </c>
      <c r="J1117" t="s">
        <v>320</v>
      </c>
      <c r="K1117" s="2">
        <v>6574</v>
      </c>
      <c r="L1117" s="2">
        <v>6574</v>
      </c>
      <c r="M1117" t="str">
        <f>IFERROR(IF(VLOOKUP(LEFT(B1117,2),'Humanitarian codes'!$A$2:$A$10,1,FALSE)=LEFT(B1117,2),"Yes","Error"),"No")</f>
        <v>Yes</v>
      </c>
    </row>
    <row r="1118" spans="1:13" x14ac:dyDescent="0.25">
      <c r="A1118" t="s">
        <v>2783</v>
      </c>
      <c r="B1118" t="s">
        <v>3284</v>
      </c>
      <c r="C1118" t="s">
        <v>3285</v>
      </c>
      <c r="D1118" t="s">
        <v>30</v>
      </c>
      <c r="E1118" t="s">
        <v>320</v>
      </c>
      <c r="F1118" t="s">
        <v>2200</v>
      </c>
      <c r="G1118">
        <v>4500309798</v>
      </c>
      <c r="H1118" t="s">
        <v>2789</v>
      </c>
      <c r="I1118" t="s">
        <v>3286</v>
      </c>
      <c r="J1118" t="s">
        <v>320</v>
      </c>
      <c r="K1118" s="2">
        <v>10206</v>
      </c>
      <c r="L1118" s="2">
        <v>10206</v>
      </c>
      <c r="M1118" t="str">
        <f>IFERROR(IF(VLOOKUP(LEFT(B1118,2),'Humanitarian codes'!$A$2:$A$10,1,FALSE)=LEFT(B1118,2),"Yes","Error"),"No")</f>
        <v>Yes</v>
      </c>
    </row>
    <row r="1119" spans="1:13" x14ac:dyDescent="0.25">
      <c r="A1119" t="s">
        <v>2783</v>
      </c>
      <c r="B1119" t="s">
        <v>2736</v>
      </c>
      <c r="C1119" t="s">
        <v>3287</v>
      </c>
      <c r="D1119" t="s">
        <v>30</v>
      </c>
      <c r="E1119" t="s">
        <v>54</v>
      </c>
      <c r="F1119" t="s">
        <v>3288</v>
      </c>
      <c r="G1119">
        <v>4500302641</v>
      </c>
      <c r="H1119" t="s">
        <v>2789</v>
      </c>
      <c r="I1119" t="s">
        <v>1248</v>
      </c>
      <c r="J1119" t="s">
        <v>54</v>
      </c>
      <c r="K1119" s="2">
        <v>7386</v>
      </c>
      <c r="L1119" s="2">
        <v>7386</v>
      </c>
      <c r="M1119" t="str">
        <f>IFERROR(IF(VLOOKUP(LEFT(B1119,2),'Humanitarian codes'!$A$2:$A$10,1,FALSE)=LEFT(B1119,2),"Yes","Error"),"No")</f>
        <v>Yes</v>
      </c>
    </row>
    <row r="1120" spans="1:13" x14ac:dyDescent="0.25">
      <c r="A1120" t="s">
        <v>2783</v>
      </c>
      <c r="B1120" t="s">
        <v>2736</v>
      </c>
      <c r="C1120" t="s">
        <v>3287</v>
      </c>
      <c r="D1120" t="s">
        <v>30</v>
      </c>
      <c r="E1120" t="s">
        <v>54</v>
      </c>
      <c r="F1120" t="s">
        <v>3289</v>
      </c>
      <c r="G1120">
        <v>4500309066</v>
      </c>
      <c r="H1120" t="s">
        <v>2789</v>
      </c>
      <c r="I1120" t="s">
        <v>1728</v>
      </c>
      <c r="J1120" t="s">
        <v>54</v>
      </c>
      <c r="K1120" s="2">
        <v>6435</v>
      </c>
      <c r="L1120" s="2">
        <v>6435</v>
      </c>
      <c r="M1120" t="str">
        <f>IFERROR(IF(VLOOKUP(LEFT(B1120,2),'Humanitarian codes'!$A$2:$A$10,1,FALSE)=LEFT(B1120,2),"Yes","Error"),"No")</f>
        <v>Yes</v>
      </c>
    </row>
    <row r="1121" spans="1:13" x14ac:dyDescent="0.25">
      <c r="A1121" t="s">
        <v>2783</v>
      </c>
      <c r="B1121" t="s">
        <v>2736</v>
      </c>
      <c r="C1121" t="s">
        <v>3287</v>
      </c>
      <c r="D1121" t="s">
        <v>30</v>
      </c>
      <c r="E1121" t="s">
        <v>54</v>
      </c>
      <c r="F1121" t="s">
        <v>3290</v>
      </c>
      <c r="G1121">
        <v>4500320504</v>
      </c>
      <c r="H1121" t="s">
        <v>2789</v>
      </c>
      <c r="I1121" t="s">
        <v>1707</v>
      </c>
      <c r="J1121" t="s">
        <v>54</v>
      </c>
      <c r="K1121" s="2">
        <v>64324</v>
      </c>
      <c r="L1121" s="2">
        <v>64324</v>
      </c>
      <c r="M1121" t="str">
        <f>IFERROR(IF(VLOOKUP(LEFT(B1121,2),'Humanitarian codes'!$A$2:$A$10,1,FALSE)=LEFT(B1121,2),"Yes","Error"),"No")</f>
        <v>Yes</v>
      </c>
    </row>
    <row r="1122" spans="1:13" x14ac:dyDescent="0.25">
      <c r="A1122" t="s">
        <v>2783</v>
      </c>
      <c r="B1122" t="s">
        <v>3291</v>
      </c>
      <c r="C1122" t="s">
        <v>3292</v>
      </c>
      <c r="D1122" t="s">
        <v>30</v>
      </c>
      <c r="E1122" t="s">
        <v>54</v>
      </c>
      <c r="F1122" t="s">
        <v>2950</v>
      </c>
      <c r="G1122">
        <v>4500305402</v>
      </c>
      <c r="H1122" t="s">
        <v>2789</v>
      </c>
      <c r="I1122" t="s">
        <v>2269</v>
      </c>
      <c r="J1122" t="s">
        <v>54</v>
      </c>
      <c r="K1122">
        <v>607</v>
      </c>
      <c r="L1122" s="2">
        <v>19566</v>
      </c>
      <c r="M1122" t="str">
        <f>IFERROR(IF(VLOOKUP(LEFT(B1122,2),'Humanitarian codes'!$A$2:$A$10,1,FALSE)=LEFT(B1122,2),"Yes","Error"),"No")</f>
        <v>Yes</v>
      </c>
    </row>
    <row r="1123" spans="1:13" x14ac:dyDescent="0.25">
      <c r="A1123" t="s">
        <v>2783</v>
      </c>
      <c r="B1123" t="s">
        <v>3293</v>
      </c>
      <c r="C1123" t="s">
        <v>3294</v>
      </c>
      <c r="D1123" t="s">
        <v>30</v>
      </c>
      <c r="E1123" t="s">
        <v>226</v>
      </c>
      <c r="F1123" t="s">
        <v>3295</v>
      </c>
      <c r="G1123">
        <v>4500302023</v>
      </c>
      <c r="H1123" t="s">
        <v>2789</v>
      </c>
      <c r="I1123" t="s">
        <v>3296</v>
      </c>
      <c r="J1123" t="s">
        <v>226</v>
      </c>
      <c r="K1123" s="2">
        <v>111074</v>
      </c>
      <c r="L1123" s="2">
        <v>111074</v>
      </c>
      <c r="M1123" t="str">
        <f>IFERROR(IF(VLOOKUP(LEFT(B1123,2),'Humanitarian codes'!$A$2:$A$10,1,FALSE)=LEFT(B1123,2),"Yes","Error"),"No")</f>
        <v>Yes</v>
      </c>
    </row>
    <row r="1124" spans="1:13" x14ac:dyDescent="0.25">
      <c r="A1124" t="s">
        <v>2783</v>
      </c>
      <c r="B1124" t="s">
        <v>3293</v>
      </c>
      <c r="C1124" t="s">
        <v>3294</v>
      </c>
      <c r="D1124" t="s">
        <v>30</v>
      </c>
      <c r="E1124" t="s">
        <v>226</v>
      </c>
      <c r="F1124" t="s">
        <v>3297</v>
      </c>
      <c r="G1124">
        <v>4500303641</v>
      </c>
      <c r="H1124" t="s">
        <v>2789</v>
      </c>
      <c r="I1124" t="s">
        <v>3298</v>
      </c>
      <c r="J1124" t="s">
        <v>226</v>
      </c>
      <c r="K1124" s="2">
        <v>91102</v>
      </c>
      <c r="L1124" s="2">
        <v>91102</v>
      </c>
      <c r="M1124" t="str">
        <f>IFERROR(IF(VLOOKUP(LEFT(B1124,2),'Humanitarian codes'!$A$2:$A$10,1,FALSE)=LEFT(B1124,2),"Yes","Error"),"No")</f>
        <v>Yes</v>
      </c>
    </row>
    <row r="1125" spans="1:13" x14ac:dyDescent="0.25">
      <c r="A1125" t="s">
        <v>2783</v>
      </c>
      <c r="B1125" t="s">
        <v>2158</v>
      </c>
      <c r="C1125" t="s">
        <v>3299</v>
      </c>
      <c r="D1125" t="s">
        <v>30</v>
      </c>
      <c r="E1125" t="s">
        <v>123</v>
      </c>
      <c r="F1125" t="s">
        <v>2200</v>
      </c>
      <c r="G1125">
        <v>4500318454</v>
      </c>
      <c r="H1125" t="s">
        <v>2789</v>
      </c>
      <c r="I1125" t="s">
        <v>3300</v>
      </c>
      <c r="J1125" t="s">
        <v>123</v>
      </c>
      <c r="K1125" s="2">
        <v>6783</v>
      </c>
      <c r="L1125" s="2">
        <v>6783</v>
      </c>
      <c r="M1125" t="str">
        <f>IFERROR(IF(VLOOKUP(LEFT(B1125,2),'Humanitarian codes'!$A$2:$A$10,1,FALSE)=LEFT(B1125,2),"Yes","Error"),"No")</f>
        <v>Yes</v>
      </c>
    </row>
    <row r="1126" spans="1:13" x14ac:dyDescent="0.25">
      <c r="A1126" t="s">
        <v>2783</v>
      </c>
      <c r="B1126" t="s">
        <v>2158</v>
      </c>
      <c r="C1126" t="s">
        <v>3299</v>
      </c>
      <c r="D1126" t="s">
        <v>30</v>
      </c>
      <c r="E1126" t="s">
        <v>123</v>
      </c>
      <c r="F1126" t="s">
        <v>2200</v>
      </c>
      <c r="G1126">
        <v>4500323718</v>
      </c>
      <c r="H1126" t="s">
        <v>2789</v>
      </c>
      <c r="I1126" t="s">
        <v>124</v>
      </c>
      <c r="J1126" t="s">
        <v>123</v>
      </c>
      <c r="K1126" s="2">
        <v>45210</v>
      </c>
      <c r="L1126" s="2">
        <v>45210</v>
      </c>
      <c r="M1126" t="str">
        <f>IFERROR(IF(VLOOKUP(LEFT(B1126,2),'Humanitarian codes'!$A$2:$A$10,1,FALSE)=LEFT(B1126,2),"Yes","Error"),"No")</f>
        <v>Yes</v>
      </c>
    </row>
    <row r="1127" spans="1:13" x14ac:dyDescent="0.25">
      <c r="A1127" t="s">
        <v>2783</v>
      </c>
      <c r="B1127" t="s">
        <v>1639</v>
      </c>
      <c r="C1127" t="s">
        <v>3301</v>
      </c>
      <c r="D1127" t="s">
        <v>30</v>
      </c>
      <c r="E1127" t="s">
        <v>123</v>
      </c>
      <c r="F1127" t="s">
        <v>2200</v>
      </c>
      <c r="G1127">
        <v>4500316256</v>
      </c>
      <c r="H1127" t="s">
        <v>2789</v>
      </c>
      <c r="I1127" t="s">
        <v>1730</v>
      </c>
      <c r="J1127" t="s">
        <v>123</v>
      </c>
      <c r="K1127" s="2">
        <v>175000</v>
      </c>
      <c r="L1127" s="2">
        <v>175000</v>
      </c>
      <c r="M1127" t="str">
        <f>IFERROR(IF(VLOOKUP(LEFT(B1127,2),'Humanitarian codes'!$A$2:$A$10,1,FALSE)=LEFT(B1127,2),"Yes","Error"),"No")</f>
        <v>Yes</v>
      </c>
    </row>
    <row r="1128" spans="1:13" hidden="1" x14ac:dyDescent="0.25">
      <c r="A1128" t="s">
        <v>2783</v>
      </c>
      <c r="B1128" t="s">
        <v>3302</v>
      </c>
      <c r="C1128" t="s">
        <v>3303</v>
      </c>
      <c r="D1128" t="s">
        <v>9</v>
      </c>
      <c r="E1128" t="s">
        <v>3115</v>
      </c>
      <c r="F1128" t="s">
        <v>3118</v>
      </c>
      <c r="G1128">
        <v>4500306957</v>
      </c>
      <c r="H1128" t="s">
        <v>2789</v>
      </c>
      <c r="I1128" t="s">
        <v>3119</v>
      </c>
      <c r="J1128" t="s">
        <v>3115</v>
      </c>
      <c r="K1128" s="2">
        <v>3906</v>
      </c>
      <c r="L1128" s="2">
        <v>17424</v>
      </c>
      <c r="M1128" t="str">
        <f>IFERROR(IF(VLOOKUP(LEFT(B1128,2),'Humanitarian codes'!$A$2:$A$10,1,FALSE)=LEFT(B1128,2),"Yes","Error"),"No")</f>
        <v>No</v>
      </c>
    </row>
    <row r="1129" spans="1:13" hidden="1" x14ac:dyDescent="0.25">
      <c r="A1129" t="s">
        <v>3331</v>
      </c>
      <c r="B1129" t="s">
        <v>1186</v>
      </c>
      <c r="C1129" t="s">
        <v>1187</v>
      </c>
      <c r="D1129" t="s">
        <v>30</v>
      </c>
      <c r="E1129" t="s">
        <v>261</v>
      </c>
      <c r="F1129" t="s">
        <v>3304</v>
      </c>
      <c r="G1129">
        <v>4500291169</v>
      </c>
      <c r="H1129" t="s">
        <v>713</v>
      </c>
      <c r="I1129" t="s">
        <v>3305</v>
      </c>
      <c r="J1129" t="s">
        <v>261</v>
      </c>
      <c r="K1129" s="1">
        <v>32432.42</v>
      </c>
      <c r="L1129" s="1">
        <v>32432.42</v>
      </c>
      <c r="M1129" t="str">
        <f>IFERROR(IF(VLOOKUP(LEFT(B1129,2),'Humanitarian codes'!$A$2:$A$10,1,FALSE)=LEFT(B1129,2),"Yes","Error"),"No")</f>
        <v>No</v>
      </c>
    </row>
    <row r="1130" spans="1:13" hidden="1" x14ac:dyDescent="0.25">
      <c r="A1130" t="s">
        <v>3331</v>
      </c>
      <c r="B1130" t="s">
        <v>3306</v>
      </c>
      <c r="C1130" t="s">
        <v>3307</v>
      </c>
      <c r="D1130" t="s">
        <v>543</v>
      </c>
      <c r="E1130" t="s">
        <v>2130</v>
      </c>
      <c r="F1130" t="s">
        <v>2179</v>
      </c>
      <c r="G1130">
        <v>4500293867</v>
      </c>
      <c r="H1130" t="s">
        <v>713</v>
      </c>
      <c r="I1130" t="s">
        <v>3308</v>
      </c>
      <c r="J1130" t="s">
        <v>2130</v>
      </c>
      <c r="K1130" s="1">
        <v>40916.32</v>
      </c>
      <c r="L1130" s="1">
        <v>40916.32</v>
      </c>
      <c r="M1130" t="str">
        <f>IFERROR(IF(VLOOKUP(LEFT(B1130,2),'Humanitarian codes'!$A$2:$A$10,1,FALSE)=LEFT(B1130,2),"Yes","Error"),"No")</f>
        <v>No</v>
      </c>
    </row>
    <row r="1131" spans="1:13" hidden="1" x14ac:dyDescent="0.25">
      <c r="A1131" t="s">
        <v>3331</v>
      </c>
      <c r="B1131" t="s">
        <v>1186</v>
      </c>
      <c r="C1131" t="s">
        <v>1187</v>
      </c>
      <c r="D1131" t="s">
        <v>30</v>
      </c>
      <c r="E1131" t="s">
        <v>261</v>
      </c>
      <c r="F1131" t="s">
        <v>3309</v>
      </c>
      <c r="G1131">
        <v>4500296798</v>
      </c>
      <c r="H1131" t="s">
        <v>713</v>
      </c>
      <c r="I1131" t="s">
        <v>3310</v>
      </c>
      <c r="J1131" t="s">
        <v>261</v>
      </c>
      <c r="K1131" s="1">
        <v>42685.91</v>
      </c>
      <c r="L1131" s="1">
        <v>42685.91</v>
      </c>
      <c r="M1131" t="str">
        <f>IFERROR(IF(VLOOKUP(LEFT(B1131,2),'Humanitarian codes'!$A$2:$A$10,1,FALSE)=LEFT(B1131,2),"Yes","Error"),"No")</f>
        <v>No</v>
      </c>
    </row>
    <row r="1132" spans="1:13" hidden="1" x14ac:dyDescent="0.25">
      <c r="A1132" t="s">
        <v>3331</v>
      </c>
      <c r="B1132" t="s">
        <v>1186</v>
      </c>
      <c r="C1132" t="s">
        <v>1187</v>
      </c>
      <c r="D1132" t="s">
        <v>30</v>
      </c>
      <c r="E1132" t="s">
        <v>261</v>
      </c>
      <c r="F1132" t="s">
        <v>3311</v>
      </c>
      <c r="G1132">
        <v>4500294064</v>
      </c>
      <c r="H1132" t="s">
        <v>713</v>
      </c>
      <c r="I1132" t="s">
        <v>3312</v>
      </c>
      <c r="J1132" t="s">
        <v>261</v>
      </c>
      <c r="K1132" s="1">
        <v>45731.199999999997</v>
      </c>
      <c r="L1132" s="1">
        <v>45731.199999999997</v>
      </c>
      <c r="M1132" t="str">
        <f>IFERROR(IF(VLOOKUP(LEFT(B1132,2),'Humanitarian codes'!$A$2:$A$10,1,FALSE)=LEFT(B1132,2),"Yes","Error"),"No")</f>
        <v>No</v>
      </c>
    </row>
    <row r="1133" spans="1:13" hidden="1" x14ac:dyDescent="0.25">
      <c r="A1133" t="s">
        <v>3331</v>
      </c>
      <c r="B1133" t="s">
        <v>1186</v>
      </c>
      <c r="C1133" t="s">
        <v>1187</v>
      </c>
      <c r="D1133" t="s">
        <v>30</v>
      </c>
      <c r="E1133" t="s">
        <v>261</v>
      </c>
      <c r="F1133" t="s">
        <v>3313</v>
      </c>
      <c r="G1133">
        <v>4500293498</v>
      </c>
      <c r="H1133" t="s">
        <v>713</v>
      </c>
      <c r="I1133" t="s">
        <v>3314</v>
      </c>
      <c r="J1133" t="s">
        <v>261</v>
      </c>
      <c r="K1133" s="1">
        <v>61393.02</v>
      </c>
      <c r="L1133" s="1">
        <v>61393.02</v>
      </c>
      <c r="M1133" t="str">
        <f>IFERROR(IF(VLOOKUP(LEFT(B1133,2),'Humanitarian codes'!$A$2:$A$10,1,FALSE)=LEFT(B1133,2),"Yes","Error"),"No")</f>
        <v>No</v>
      </c>
    </row>
    <row r="1134" spans="1:13" hidden="1" x14ac:dyDescent="0.25">
      <c r="A1134" t="s">
        <v>3331</v>
      </c>
      <c r="B1134" t="s">
        <v>1186</v>
      </c>
      <c r="C1134" t="s">
        <v>1187</v>
      </c>
      <c r="D1134" t="s">
        <v>30</v>
      </c>
      <c r="E1134" t="s">
        <v>261</v>
      </c>
      <c r="F1134" t="s">
        <v>2179</v>
      </c>
      <c r="G1134">
        <v>4500296955</v>
      </c>
      <c r="H1134" t="s">
        <v>713</v>
      </c>
      <c r="I1134" t="s">
        <v>3315</v>
      </c>
      <c r="J1134" t="s">
        <v>261</v>
      </c>
      <c r="K1134" s="1">
        <v>62032.83</v>
      </c>
      <c r="L1134" s="1">
        <v>62032.83</v>
      </c>
      <c r="M1134" t="str">
        <f>IFERROR(IF(VLOOKUP(LEFT(B1134,2),'Humanitarian codes'!$A$2:$A$10,1,FALSE)=LEFT(B1134,2),"Yes","Error"),"No")</f>
        <v>No</v>
      </c>
    </row>
    <row r="1135" spans="1:13" hidden="1" x14ac:dyDescent="0.25">
      <c r="A1135" t="s">
        <v>3331</v>
      </c>
      <c r="B1135" t="s">
        <v>1186</v>
      </c>
      <c r="C1135" t="s">
        <v>1187</v>
      </c>
      <c r="D1135" t="s">
        <v>30</v>
      </c>
      <c r="E1135" t="s">
        <v>261</v>
      </c>
      <c r="F1135" t="s">
        <v>3316</v>
      </c>
      <c r="G1135">
        <v>4500294071</v>
      </c>
      <c r="H1135" t="s">
        <v>713</v>
      </c>
      <c r="I1135" t="s">
        <v>3317</v>
      </c>
      <c r="J1135" t="s">
        <v>261</v>
      </c>
      <c r="K1135" s="1">
        <v>62238.27</v>
      </c>
      <c r="L1135" s="1">
        <v>62238.27</v>
      </c>
      <c r="M1135" t="str">
        <f>IFERROR(IF(VLOOKUP(LEFT(B1135,2),'Humanitarian codes'!$A$2:$A$10,1,FALSE)=LEFT(B1135,2),"Yes","Error"),"No")</f>
        <v>No</v>
      </c>
    </row>
    <row r="1136" spans="1:13" hidden="1" x14ac:dyDescent="0.25">
      <c r="A1136" t="s">
        <v>3331</v>
      </c>
      <c r="B1136" t="s">
        <v>1186</v>
      </c>
      <c r="C1136" t="s">
        <v>1187</v>
      </c>
      <c r="D1136" t="s">
        <v>30</v>
      </c>
      <c r="E1136" t="s">
        <v>261</v>
      </c>
      <c r="F1136" t="s">
        <v>3318</v>
      </c>
      <c r="G1136">
        <v>4500296775</v>
      </c>
      <c r="H1136" t="s">
        <v>713</v>
      </c>
      <c r="I1136" t="s">
        <v>3319</v>
      </c>
      <c r="J1136" t="s">
        <v>261</v>
      </c>
      <c r="K1136" s="1">
        <v>62313.03</v>
      </c>
      <c r="L1136" s="1">
        <v>62313.03</v>
      </c>
      <c r="M1136" t="str">
        <f>IFERROR(IF(VLOOKUP(LEFT(B1136,2),'Humanitarian codes'!$A$2:$A$10,1,FALSE)=LEFT(B1136,2),"Yes","Error"),"No")</f>
        <v>No</v>
      </c>
    </row>
    <row r="1137" spans="1:13" hidden="1" x14ac:dyDescent="0.25">
      <c r="A1137" t="s">
        <v>3331</v>
      </c>
      <c r="B1137" t="s">
        <v>1186</v>
      </c>
      <c r="C1137" t="s">
        <v>1187</v>
      </c>
      <c r="D1137" t="s">
        <v>30</v>
      </c>
      <c r="E1137" t="s">
        <v>261</v>
      </c>
      <c r="F1137" t="s">
        <v>3320</v>
      </c>
      <c r="G1137">
        <v>4500293130</v>
      </c>
      <c r="H1137" t="s">
        <v>713</v>
      </c>
      <c r="I1137" t="s">
        <v>3321</v>
      </c>
      <c r="J1137" t="s">
        <v>261</v>
      </c>
      <c r="K1137" s="1">
        <v>62318.23</v>
      </c>
      <c r="L1137" s="1">
        <v>62318.23</v>
      </c>
      <c r="M1137" t="str">
        <f>IFERROR(IF(VLOOKUP(LEFT(B1137,2),'Humanitarian codes'!$A$2:$A$10,1,FALSE)=LEFT(B1137,2),"Yes","Error"),"No")</f>
        <v>No</v>
      </c>
    </row>
    <row r="1138" spans="1:13" hidden="1" x14ac:dyDescent="0.25">
      <c r="A1138" t="s">
        <v>3331</v>
      </c>
      <c r="B1138" t="s">
        <v>1186</v>
      </c>
      <c r="C1138" t="s">
        <v>1187</v>
      </c>
      <c r="D1138" t="s">
        <v>30</v>
      </c>
      <c r="E1138" t="s">
        <v>261</v>
      </c>
      <c r="F1138" t="s">
        <v>3322</v>
      </c>
      <c r="G1138">
        <v>4500293153</v>
      </c>
      <c r="H1138" t="s">
        <v>713</v>
      </c>
      <c r="I1138" t="s">
        <v>3323</v>
      </c>
      <c r="J1138" t="s">
        <v>261</v>
      </c>
      <c r="K1138" s="1">
        <v>62318.23</v>
      </c>
      <c r="L1138" s="1">
        <v>62318.23</v>
      </c>
      <c r="M1138" t="str">
        <f>IFERROR(IF(VLOOKUP(LEFT(B1138,2),'Humanitarian codes'!$A$2:$A$10,1,FALSE)=LEFT(B1138,2),"Yes","Error"),"No")</f>
        <v>No</v>
      </c>
    </row>
    <row r="1139" spans="1:13" hidden="1" x14ac:dyDescent="0.25">
      <c r="A1139" t="s">
        <v>3331</v>
      </c>
      <c r="B1139" t="s">
        <v>1186</v>
      </c>
      <c r="C1139" t="s">
        <v>1187</v>
      </c>
      <c r="D1139" t="s">
        <v>30</v>
      </c>
      <c r="E1139" t="s">
        <v>261</v>
      </c>
      <c r="F1139" t="s">
        <v>3324</v>
      </c>
      <c r="G1139">
        <v>4500293523</v>
      </c>
      <c r="H1139" t="s">
        <v>713</v>
      </c>
      <c r="I1139" t="s">
        <v>2634</v>
      </c>
      <c r="J1139" t="s">
        <v>261</v>
      </c>
      <c r="K1139" s="1">
        <v>62318.23</v>
      </c>
      <c r="L1139" s="1">
        <v>62318.23</v>
      </c>
      <c r="M1139" t="str">
        <f>IFERROR(IF(VLOOKUP(LEFT(B1139,2),'Humanitarian codes'!$A$2:$A$10,1,FALSE)=LEFT(B1139,2),"Yes","Error"),"No")</f>
        <v>No</v>
      </c>
    </row>
    <row r="1140" spans="1:13" hidden="1" x14ac:dyDescent="0.25">
      <c r="A1140" t="s">
        <v>3331</v>
      </c>
      <c r="B1140" t="s">
        <v>1186</v>
      </c>
      <c r="C1140" t="s">
        <v>1187</v>
      </c>
      <c r="D1140" t="s">
        <v>30</v>
      </c>
      <c r="E1140" t="s">
        <v>261</v>
      </c>
      <c r="F1140" t="s">
        <v>3325</v>
      </c>
      <c r="G1140">
        <v>4500293203</v>
      </c>
      <c r="H1140" t="s">
        <v>713</v>
      </c>
      <c r="I1140" t="s">
        <v>3326</v>
      </c>
      <c r="J1140" t="s">
        <v>261</v>
      </c>
      <c r="K1140" s="1">
        <v>62318.239999999998</v>
      </c>
      <c r="L1140" s="1">
        <v>62318.239999999998</v>
      </c>
      <c r="M1140" t="str">
        <f>IFERROR(IF(VLOOKUP(LEFT(B1140,2),'Humanitarian codes'!$A$2:$A$10,1,FALSE)=LEFT(B1140,2),"Yes","Error"),"No")</f>
        <v>No</v>
      </c>
    </row>
    <row r="1141" spans="1:13" hidden="1" x14ac:dyDescent="0.25">
      <c r="A1141" t="s">
        <v>3331</v>
      </c>
      <c r="B1141" t="s">
        <v>1186</v>
      </c>
      <c r="C1141" t="s">
        <v>1187</v>
      </c>
      <c r="D1141" t="s">
        <v>30</v>
      </c>
      <c r="E1141" t="s">
        <v>261</v>
      </c>
      <c r="F1141" t="s">
        <v>3327</v>
      </c>
      <c r="G1141">
        <v>4500296965</v>
      </c>
      <c r="H1141" t="s">
        <v>713</v>
      </c>
      <c r="I1141" t="s">
        <v>3127</v>
      </c>
      <c r="J1141" t="s">
        <v>261</v>
      </c>
      <c r="K1141" s="1">
        <v>62318.239999999998</v>
      </c>
      <c r="L1141" s="1">
        <v>62318.239999999998</v>
      </c>
      <c r="M1141" t="str">
        <f>IFERROR(IF(VLOOKUP(LEFT(B1141,2),'Humanitarian codes'!$A$2:$A$10,1,FALSE)=LEFT(B1141,2),"Yes","Error"),"No")</f>
        <v>No</v>
      </c>
    </row>
    <row r="1142" spans="1:13" x14ac:dyDescent="0.25">
      <c r="A1142" t="s">
        <v>3331</v>
      </c>
      <c r="B1142" t="s">
        <v>3328</v>
      </c>
      <c r="C1142" t="s">
        <v>3329</v>
      </c>
      <c r="D1142" t="s">
        <v>30</v>
      </c>
      <c r="E1142" t="s">
        <v>305</v>
      </c>
      <c r="F1142" t="s">
        <v>3330</v>
      </c>
      <c r="G1142">
        <v>4500295271</v>
      </c>
      <c r="H1142" t="s">
        <v>713</v>
      </c>
      <c r="I1142" t="s">
        <v>1329</v>
      </c>
      <c r="J1142" t="s">
        <v>305</v>
      </c>
      <c r="K1142" s="1">
        <v>100050</v>
      </c>
      <c r="L1142" s="1">
        <v>100050</v>
      </c>
      <c r="M1142" t="str">
        <f>IFERROR(IF(VLOOKUP(LEFT(B1142,2),'Humanitarian codes'!$A$2:$A$10,1,FALSE)=LEFT(B1142,2),"Yes","Error"),"No")</f>
        <v>Yes</v>
      </c>
    </row>
    <row r="1143" spans="1:13" hidden="1" x14ac:dyDescent="0.25">
      <c r="A1143" t="s">
        <v>3331</v>
      </c>
      <c r="B1143" t="s">
        <v>3332</v>
      </c>
      <c r="C1143" t="s">
        <v>3333</v>
      </c>
      <c r="D1143" t="s">
        <v>9</v>
      </c>
      <c r="E1143" t="s">
        <v>25</v>
      </c>
      <c r="F1143" t="s">
        <v>2200</v>
      </c>
      <c r="G1143">
        <v>4500277235</v>
      </c>
      <c r="H1143" t="s">
        <v>3334</v>
      </c>
      <c r="I1143" t="s">
        <v>3335</v>
      </c>
      <c r="J1143" t="s">
        <v>25</v>
      </c>
      <c r="K1143" s="1">
        <v>99622.89</v>
      </c>
      <c r="L1143" s="1">
        <v>99622.89</v>
      </c>
      <c r="M1143" t="str">
        <f>IFERROR(IF(VLOOKUP(LEFT(B1143,2),'Humanitarian codes'!$A$2:$A$10,1,FALSE)=LEFT(B1143,2),"Yes","Error"),"No")</f>
        <v>No</v>
      </c>
    </row>
    <row r="1144" spans="1:13" hidden="1" x14ac:dyDescent="0.25">
      <c r="A1144" t="s">
        <v>3331</v>
      </c>
      <c r="B1144" t="s">
        <v>3332</v>
      </c>
      <c r="C1144" t="s">
        <v>3333</v>
      </c>
      <c r="D1144" t="s">
        <v>9</v>
      </c>
      <c r="E1144" t="s">
        <v>25</v>
      </c>
      <c r="F1144" t="s">
        <v>2200</v>
      </c>
      <c r="G1144">
        <v>4500288510</v>
      </c>
      <c r="H1144" t="s">
        <v>3334</v>
      </c>
      <c r="I1144" t="s">
        <v>3336</v>
      </c>
      <c r="J1144" t="s">
        <v>25</v>
      </c>
      <c r="K1144" s="1">
        <v>22254.61</v>
      </c>
      <c r="L1144" s="1">
        <v>22254.61</v>
      </c>
      <c r="M1144" t="str">
        <f>IFERROR(IF(VLOOKUP(LEFT(B1144,2),'Humanitarian codes'!$A$2:$A$10,1,FALSE)=LEFT(B1144,2),"Yes","Error"),"No")</f>
        <v>No</v>
      </c>
    </row>
    <row r="1145" spans="1:13" hidden="1" x14ac:dyDescent="0.25">
      <c r="A1145" t="s">
        <v>3331</v>
      </c>
      <c r="B1145" t="s">
        <v>3332</v>
      </c>
      <c r="C1145" t="s">
        <v>3333</v>
      </c>
      <c r="D1145" t="s">
        <v>9</v>
      </c>
      <c r="E1145" t="s">
        <v>25</v>
      </c>
      <c r="F1145" t="s">
        <v>2200</v>
      </c>
      <c r="G1145">
        <v>4500288524</v>
      </c>
      <c r="H1145" t="s">
        <v>3334</v>
      </c>
      <c r="I1145" t="s">
        <v>3337</v>
      </c>
      <c r="J1145" t="s">
        <v>25</v>
      </c>
      <c r="K1145" s="1">
        <v>48555.26</v>
      </c>
      <c r="L1145" s="1">
        <v>48555.26</v>
      </c>
      <c r="M1145" t="str">
        <f>IFERROR(IF(VLOOKUP(LEFT(B1145,2),'Humanitarian codes'!$A$2:$A$10,1,FALSE)=LEFT(B1145,2),"Yes","Error"),"No")</f>
        <v>No</v>
      </c>
    </row>
    <row r="1146" spans="1:13" hidden="1" x14ac:dyDescent="0.25">
      <c r="A1146" t="s">
        <v>3331</v>
      </c>
      <c r="B1146" t="s">
        <v>3332</v>
      </c>
      <c r="C1146" t="s">
        <v>3333</v>
      </c>
      <c r="D1146" t="s">
        <v>9</v>
      </c>
      <c r="E1146" t="s">
        <v>25</v>
      </c>
      <c r="F1146" t="s">
        <v>2200</v>
      </c>
      <c r="G1146">
        <v>4500288533</v>
      </c>
      <c r="H1146" t="s">
        <v>3334</v>
      </c>
      <c r="I1146" t="s">
        <v>3338</v>
      </c>
      <c r="J1146" t="s">
        <v>25</v>
      </c>
      <c r="K1146" s="1">
        <v>46308.73</v>
      </c>
      <c r="L1146" s="1">
        <v>46308.73</v>
      </c>
      <c r="M1146" t="str">
        <f>IFERROR(IF(VLOOKUP(LEFT(B1146,2),'Humanitarian codes'!$A$2:$A$10,1,FALSE)=LEFT(B1146,2),"Yes","Error"),"No")</f>
        <v>No</v>
      </c>
    </row>
    <row r="1147" spans="1:13" hidden="1" x14ac:dyDescent="0.25">
      <c r="A1147" t="s">
        <v>3331</v>
      </c>
      <c r="B1147" t="s">
        <v>3332</v>
      </c>
      <c r="C1147" t="s">
        <v>3333</v>
      </c>
      <c r="D1147" t="s">
        <v>9</v>
      </c>
      <c r="E1147" t="s">
        <v>25</v>
      </c>
      <c r="F1147" t="s">
        <v>2200</v>
      </c>
      <c r="G1147">
        <v>4500288958</v>
      </c>
      <c r="H1147" t="s">
        <v>3334</v>
      </c>
      <c r="I1147" t="s">
        <v>3339</v>
      </c>
      <c r="J1147" t="s">
        <v>25</v>
      </c>
      <c r="K1147" s="1">
        <v>49207.75</v>
      </c>
      <c r="L1147" s="1">
        <v>49207.75</v>
      </c>
      <c r="M1147" t="str">
        <f>IFERROR(IF(VLOOKUP(LEFT(B1147,2),'Humanitarian codes'!$A$2:$A$10,1,FALSE)=LEFT(B1147,2),"Yes","Error"),"No")</f>
        <v>No</v>
      </c>
    </row>
    <row r="1148" spans="1:13" hidden="1" x14ac:dyDescent="0.25">
      <c r="A1148" t="s">
        <v>3331</v>
      </c>
      <c r="B1148" t="s">
        <v>3332</v>
      </c>
      <c r="C1148" t="s">
        <v>3333</v>
      </c>
      <c r="D1148" t="s">
        <v>9</v>
      </c>
      <c r="E1148" t="s">
        <v>25</v>
      </c>
      <c r="F1148" t="s">
        <v>2200</v>
      </c>
      <c r="G1148">
        <v>4500292171</v>
      </c>
      <c r="H1148" t="s">
        <v>3334</v>
      </c>
      <c r="I1148" t="s">
        <v>3340</v>
      </c>
      <c r="J1148" t="s">
        <v>25</v>
      </c>
      <c r="K1148" s="1">
        <v>48132.45</v>
      </c>
      <c r="L1148" s="1">
        <v>48132.45</v>
      </c>
      <c r="M1148" t="str">
        <f>IFERROR(IF(VLOOKUP(LEFT(B1148,2),'Humanitarian codes'!$A$2:$A$10,1,FALSE)=LEFT(B1148,2),"Yes","Error"),"No")</f>
        <v>No</v>
      </c>
    </row>
    <row r="1149" spans="1:13" hidden="1" x14ac:dyDescent="0.25">
      <c r="A1149" t="s">
        <v>3331</v>
      </c>
      <c r="B1149" t="s">
        <v>3332</v>
      </c>
      <c r="C1149" t="s">
        <v>3333</v>
      </c>
      <c r="D1149" t="s">
        <v>9</v>
      </c>
      <c r="E1149" t="s">
        <v>25</v>
      </c>
      <c r="F1149" t="s">
        <v>2200</v>
      </c>
      <c r="G1149">
        <v>4500293520</v>
      </c>
      <c r="H1149" t="s">
        <v>3334</v>
      </c>
      <c r="I1149" t="s">
        <v>3341</v>
      </c>
      <c r="J1149" t="s">
        <v>25</v>
      </c>
      <c r="K1149" s="1">
        <v>22444.17</v>
      </c>
      <c r="L1149" s="1">
        <v>22444.17</v>
      </c>
      <c r="M1149" t="str">
        <f>IFERROR(IF(VLOOKUP(LEFT(B1149,2),'Humanitarian codes'!$A$2:$A$10,1,FALSE)=LEFT(B1149,2),"Yes","Error"),"No")</f>
        <v>No</v>
      </c>
    </row>
    <row r="1150" spans="1:13" hidden="1" x14ac:dyDescent="0.25">
      <c r="A1150" t="s">
        <v>3331</v>
      </c>
      <c r="B1150" t="s">
        <v>3332</v>
      </c>
      <c r="C1150" t="s">
        <v>3333</v>
      </c>
      <c r="D1150" t="s">
        <v>9</v>
      </c>
      <c r="E1150" t="s">
        <v>25</v>
      </c>
      <c r="F1150" t="s">
        <v>2200</v>
      </c>
      <c r="G1150">
        <v>4500297848</v>
      </c>
      <c r="H1150" t="s">
        <v>3334</v>
      </c>
      <c r="I1150" t="s">
        <v>3342</v>
      </c>
      <c r="J1150" t="s">
        <v>25</v>
      </c>
      <c r="K1150" s="1">
        <v>33692.720000000001</v>
      </c>
      <c r="L1150" s="1">
        <v>33692.720000000001</v>
      </c>
      <c r="M1150" t="str">
        <f>IFERROR(IF(VLOOKUP(LEFT(B1150,2),'Humanitarian codes'!$A$2:$A$10,1,FALSE)=LEFT(B1150,2),"Yes","Error"),"No")</f>
        <v>No</v>
      </c>
    </row>
    <row r="1151" spans="1:13" hidden="1" x14ac:dyDescent="0.25">
      <c r="A1151" t="s">
        <v>3331</v>
      </c>
      <c r="B1151" t="s">
        <v>1178</v>
      </c>
      <c r="C1151" t="s">
        <v>1179</v>
      </c>
      <c r="D1151" t="s">
        <v>9</v>
      </c>
      <c r="E1151" t="s">
        <v>54</v>
      </c>
      <c r="F1151" t="s">
        <v>3343</v>
      </c>
      <c r="G1151">
        <v>4500277529</v>
      </c>
      <c r="H1151" t="s">
        <v>3334</v>
      </c>
      <c r="I1151" t="s">
        <v>3344</v>
      </c>
      <c r="J1151" t="s">
        <v>54</v>
      </c>
      <c r="K1151" s="1">
        <v>200716.22</v>
      </c>
      <c r="L1151" s="1">
        <v>200716.22</v>
      </c>
      <c r="M1151" t="str">
        <f>IFERROR(IF(VLOOKUP(LEFT(B1151,2),'Humanitarian codes'!$A$2:$A$10,1,FALSE)=LEFT(B1151,2),"Yes","Error"),"No")</f>
        <v>No</v>
      </c>
    </row>
    <row r="1152" spans="1:13" hidden="1" x14ac:dyDescent="0.25">
      <c r="A1152" t="s">
        <v>3331</v>
      </c>
      <c r="B1152" t="s">
        <v>1178</v>
      </c>
      <c r="C1152" t="s">
        <v>1179</v>
      </c>
      <c r="D1152" t="s">
        <v>9</v>
      </c>
      <c r="E1152" t="s">
        <v>54</v>
      </c>
      <c r="F1152" t="s">
        <v>3345</v>
      </c>
      <c r="G1152">
        <v>4500285840</v>
      </c>
      <c r="H1152" t="s">
        <v>3334</v>
      </c>
      <c r="I1152" t="s">
        <v>3346</v>
      </c>
      <c r="J1152" t="s">
        <v>54</v>
      </c>
      <c r="K1152" s="1">
        <v>110557.57</v>
      </c>
      <c r="L1152" s="1">
        <v>110557.57</v>
      </c>
      <c r="M1152" t="str">
        <f>IFERROR(IF(VLOOKUP(LEFT(B1152,2),'Humanitarian codes'!$A$2:$A$10,1,FALSE)=LEFT(B1152,2),"Yes","Error"),"No")</f>
        <v>No</v>
      </c>
    </row>
    <row r="1153" spans="1:13" hidden="1" x14ac:dyDescent="0.25">
      <c r="A1153" t="s">
        <v>3331</v>
      </c>
      <c r="B1153" t="s">
        <v>1178</v>
      </c>
      <c r="C1153" t="s">
        <v>1179</v>
      </c>
      <c r="D1153" t="s">
        <v>9</v>
      </c>
      <c r="E1153" t="s">
        <v>54</v>
      </c>
      <c r="F1153" t="s">
        <v>3347</v>
      </c>
      <c r="G1153">
        <v>4500286249</v>
      </c>
      <c r="H1153" t="s">
        <v>3334</v>
      </c>
      <c r="I1153" t="s">
        <v>3348</v>
      </c>
      <c r="J1153" t="s">
        <v>54</v>
      </c>
      <c r="K1153" s="1">
        <v>3226.49</v>
      </c>
      <c r="L1153" s="1">
        <v>3226.49</v>
      </c>
      <c r="M1153" t="str">
        <f>IFERROR(IF(VLOOKUP(LEFT(B1153,2),'Humanitarian codes'!$A$2:$A$10,1,FALSE)=LEFT(B1153,2),"Yes","Error"),"No")</f>
        <v>No</v>
      </c>
    </row>
    <row r="1154" spans="1:13" hidden="1" x14ac:dyDescent="0.25">
      <c r="A1154" t="s">
        <v>3331</v>
      </c>
      <c r="B1154" t="s">
        <v>1178</v>
      </c>
      <c r="C1154" t="s">
        <v>1179</v>
      </c>
      <c r="D1154" t="s">
        <v>9</v>
      </c>
      <c r="E1154" t="s">
        <v>54</v>
      </c>
      <c r="F1154" t="s">
        <v>3349</v>
      </c>
      <c r="G1154">
        <v>4500286384</v>
      </c>
      <c r="H1154" t="s">
        <v>3334</v>
      </c>
      <c r="I1154" t="s">
        <v>3346</v>
      </c>
      <c r="J1154" t="s">
        <v>54</v>
      </c>
      <c r="K1154" s="1">
        <v>42324.32</v>
      </c>
      <c r="L1154" s="1">
        <v>42324.32</v>
      </c>
      <c r="M1154" t="str">
        <f>IFERROR(IF(VLOOKUP(LEFT(B1154,2),'Humanitarian codes'!$A$2:$A$10,1,FALSE)=LEFT(B1154,2),"Yes","Error"),"No")</f>
        <v>No</v>
      </c>
    </row>
    <row r="1155" spans="1:13" hidden="1" x14ac:dyDescent="0.25">
      <c r="A1155" t="s">
        <v>3331</v>
      </c>
      <c r="B1155" t="s">
        <v>1178</v>
      </c>
      <c r="C1155" t="s">
        <v>1179</v>
      </c>
      <c r="D1155" t="s">
        <v>9</v>
      </c>
      <c r="E1155" t="s">
        <v>54</v>
      </c>
      <c r="F1155" t="s">
        <v>3350</v>
      </c>
      <c r="G1155">
        <v>4500294715</v>
      </c>
      <c r="H1155" t="s">
        <v>3334</v>
      </c>
      <c r="I1155" t="s">
        <v>3351</v>
      </c>
      <c r="J1155" t="s">
        <v>54</v>
      </c>
      <c r="K1155" s="1">
        <v>8416.2199999999993</v>
      </c>
      <c r="L1155" s="1">
        <v>8416.2199999999993</v>
      </c>
      <c r="M1155" t="str">
        <f>IFERROR(IF(VLOOKUP(LEFT(B1155,2),'Humanitarian codes'!$A$2:$A$10,1,FALSE)=LEFT(B1155,2),"Yes","Error"),"No")</f>
        <v>No</v>
      </c>
    </row>
    <row r="1156" spans="1:13" hidden="1" x14ac:dyDescent="0.25">
      <c r="A1156" t="s">
        <v>3331</v>
      </c>
      <c r="B1156" t="s">
        <v>3352</v>
      </c>
      <c r="C1156" t="s">
        <v>3353</v>
      </c>
      <c r="D1156" t="s">
        <v>30</v>
      </c>
      <c r="E1156" t="s">
        <v>20</v>
      </c>
      <c r="F1156" t="s">
        <v>3354</v>
      </c>
      <c r="G1156">
        <v>4500284658</v>
      </c>
      <c r="H1156" t="s">
        <v>3334</v>
      </c>
      <c r="I1156" t="s">
        <v>3355</v>
      </c>
      <c r="J1156" t="s">
        <v>20</v>
      </c>
      <c r="K1156" s="1">
        <v>1660.92</v>
      </c>
      <c r="L1156" s="1">
        <v>1660.92</v>
      </c>
      <c r="M1156" t="str">
        <f>IFERROR(IF(VLOOKUP(LEFT(B1156,2),'Humanitarian codes'!$A$2:$A$10,1,FALSE)=LEFT(B1156,2),"Yes","Error"),"No")</f>
        <v>No</v>
      </c>
    </row>
    <row r="1157" spans="1:13" hidden="1" x14ac:dyDescent="0.25">
      <c r="A1157" t="s">
        <v>3331</v>
      </c>
      <c r="B1157" t="s">
        <v>1186</v>
      </c>
      <c r="C1157" t="s">
        <v>1187</v>
      </c>
      <c r="D1157" t="s">
        <v>30</v>
      </c>
      <c r="E1157" t="s">
        <v>261</v>
      </c>
      <c r="F1157" t="s">
        <v>3356</v>
      </c>
      <c r="G1157">
        <v>4500293635</v>
      </c>
      <c r="H1157" t="s">
        <v>3334</v>
      </c>
      <c r="I1157" t="s">
        <v>1189</v>
      </c>
      <c r="J1157" t="s">
        <v>261</v>
      </c>
      <c r="K1157" s="1">
        <v>149723.82999999999</v>
      </c>
      <c r="L1157" s="1">
        <v>149723.82999999999</v>
      </c>
      <c r="M1157" t="str">
        <f>IFERROR(IF(VLOOKUP(LEFT(B1157,2),'Humanitarian codes'!$A$2:$A$10,1,FALSE)=LEFT(B1157,2),"Yes","Error"),"No")</f>
        <v>No</v>
      </c>
    </row>
    <row r="1158" spans="1:13" hidden="1" x14ac:dyDescent="0.25">
      <c r="A1158" t="s">
        <v>3331</v>
      </c>
      <c r="B1158" t="s">
        <v>1186</v>
      </c>
      <c r="C1158" t="s">
        <v>1187</v>
      </c>
      <c r="D1158" t="s">
        <v>30</v>
      </c>
      <c r="E1158" t="s">
        <v>261</v>
      </c>
      <c r="F1158" t="s">
        <v>3357</v>
      </c>
      <c r="G1158">
        <v>4500302433</v>
      </c>
      <c r="H1158" t="s">
        <v>3334</v>
      </c>
      <c r="I1158" t="s">
        <v>3358</v>
      </c>
      <c r="J1158" t="s">
        <v>261</v>
      </c>
      <c r="K1158" s="1">
        <v>51223.4</v>
      </c>
      <c r="L1158" s="1">
        <v>51223.4</v>
      </c>
      <c r="M1158" t="str">
        <f>IFERROR(IF(VLOOKUP(LEFT(B1158,2),'Humanitarian codes'!$A$2:$A$10,1,FALSE)=LEFT(B1158,2),"Yes","Error"),"No")</f>
        <v>No</v>
      </c>
    </row>
    <row r="1159" spans="1:13" hidden="1" x14ac:dyDescent="0.25">
      <c r="A1159" t="s">
        <v>3331</v>
      </c>
      <c r="B1159" t="s">
        <v>762</v>
      </c>
      <c r="C1159" t="s">
        <v>763</v>
      </c>
      <c r="D1159" t="s">
        <v>30</v>
      </c>
      <c r="E1159" t="s">
        <v>663</v>
      </c>
      <c r="F1159" t="s">
        <v>3359</v>
      </c>
      <c r="G1159">
        <v>4500297105</v>
      </c>
      <c r="H1159" t="s">
        <v>3334</v>
      </c>
      <c r="I1159" t="s">
        <v>3360</v>
      </c>
      <c r="J1159" t="s">
        <v>663</v>
      </c>
      <c r="K1159" s="1">
        <v>148078.35</v>
      </c>
      <c r="L1159" s="1">
        <v>148078.35</v>
      </c>
      <c r="M1159" t="str">
        <f>IFERROR(IF(VLOOKUP(LEFT(B1159,2),'Humanitarian codes'!$A$2:$A$10,1,FALSE)=LEFT(B1159,2),"Yes","Error"),"No")</f>
        <v>No</v>
      </c>
    </row>
    <row r="1160" spans="1:13" hidden="1" x14ac:dyDescent="0.25">
      <c r="A1160" t="s">
        <v>3331</v>
      </c>
      <c r="B1160" t="s">
        <v>762</v>
      </c>
      <c r="C1160" t="s">
        <v>763</v>
      </c>
      <c r="D1160" t="s">
        <v>30</v>
      </c>
      <c r="E1160" t="s">
        <v>663</v>
      </c>
      <c r="F1160" t="s">
        <v>3361</v>
      </c>
      <c r="G1160">
        <v>4500297107</v>
      </c>
      <c r="H1160" t="s">
        <v>3334</v>
      </c>
      <c r="I1160" t="s">
        <v>3362</v>
      </c>
      <c r="J1160" t="s">
        <v>663</v>
      </c>
      <c r="K1160" s="1">
        <v>102244.91</v>
      </c>
      <c r="L1160" s="1">
        <v>102244.91</v>
      </c>
      <c r="M1160" t="str">
        <f>IFERROR(IF(VLOOKUP(LEFT(B1160,2),'Humanitarian codes'!$A$2:$A$10,1,FALSE)=LEFT(B1160,2),"Yes","Error"),"No")</f>
        <v>No</v>
      </c>
    </row>
    <row r="1161" spans="1:13" hidden="1" x14ac:dyDescent="0.25">
      <c r="A1161" t="s">
        <v>3331</v>
      </c>
      <c r="B1161" t="s">
        <v>762</v>
      </c>
      <c r="C1161" t="s">
        <v>763</v>
      </c>
      <c r="D1161" t="s">
        <v>30</v>
      </c>
      <c r="E1161" t="s">
        <v>663</v>
      </c>
      <c r="F1161" t="s">
        <v>3363</v>
      </c>
      <c r="G1161">
        <v>4500297108</v>
      </c>
      <c r="H1161" t="s">
        <v>3334</v>
      </c>
      <c r="I1161" t="s">
        <v>3364</v>
      </c>
      <c r="J1161" t="s">
        <v>663</v>
      </c>
      <c r="K1161" s="1">
        <v>99999.87</v>
      </c>
      <c r="L1161" s="1">
        <v>99999.87</v>
      </c>
      <c r="M1161" t="str">
        <f>IFERROR(IF(VLOOKUP(LEFT(B1161,2),'Humanitarian codes'!$A$2:$A$10,1,FALSE)=LEFT(B1161,2),"Yes","Error"),"No")</f>
        <v>No</v>
      </c>
    </row>
    <row r="1162" spans="1:13" hidden="1" x14ac:dyDescent="0.25">
      <c r="A1162" t="s">
        <v>3331</v>
      </c>
      <c r="B1162" t="s">
        <v>762</v>
      </c>
      <c r="C1162" t="s">
        <v>763</v>
      </c>
      <c r="D1162" t="s">
        <v>30</v>
      </c>
      <c r="E1162" t="s">
        <v>663</v>
      </c>
      <c r="F1162" t="s">
        <v>3365</v>
      </c>
      <c r="G1162">
        <v>4500300513</v>
      </c>
      <c r="H1162" t="s">
        <v>3334</v>
      </c>
      <c r="I1162" t="s">
        <v>3366</v>
      </c>
      <c r="J1162" t="s">
        <v>663</v>
      </c>
      <c r="K1162" s="1">
        <v>144382.42000000001</v>
      </c>
      <c r="L1162" s="1">
        <v>144382.42000000001</v>
      </c>
      <c r="M1162" t="str">
        <f>IFERROR(IF(VLOOKUP(LEFT(B1162,2),'Humanitarian codes'!$A$2:$A$10,1,FALSE)=LEFT(B1162,2),"Yes","Error"),"No")</f>
        <v>No</v>
      </c>
    </row>
    <row r="1163" spans="1:13" hidden="1" x14ac:dyDescent="0.25">
      <c r="A1163" t="s">
        <v>3331</v>
      </c>
      <c r="B1163" t="s">
        <v>762</v>
      </c>
      <c r="C1163" t="s">
        <v>763</v>
      </c>
      <c r="D1163" t="s">
        <v>30</v>
      </c>
      <c r="E1163" t="s">
        <v>663</v>
      </c>
      <c r="F1163" t="s">
        <v>3367</v>
      </c>
      <c r="G1163">
        <v>4500300554</v>
      </c>
      <c r="H1163" t="s">
        <v>3334</v>
      </c>
      <c r="I1163" t="s">
        <v>3368</v>
      </c>
      <c r="J1163" t="s">
        <v>663</v>
      </c>
      <c r="K1163" s="1">
        <v>97000</v>
      </c>
      <c r="L1163" s="1">
        <v>97000</v>
      </c>
      <c r="M1163" t="str">
        <f>IFERROR(IF(VLOOKUP(LEFT(B1163,2),'Humanitarian codes'!$A$2:$A$10,1,FALSE)=LEFT(B1163,2),"Yes","Error"),"No")</f>
        <v>No</v>
      </c>
    </row>
    <row r="1164" spans="1:13" hidden="1" x14ac:dyDescent="0.25">
      <c r="A1164" t="s">
        <v>3331</v>
      </c>
      <c r="B1164" t="s">
        <v>3369</v>
      </c>
      <c r="C1164" t="s">
        <v>3370</v>
      </c>
      <c r="D1164" t="s">
        <v>30</v>
      </c>
      <c r="E1164" t="s">
        <v>831</v>
      </c>
      <c r="F1164" t="s">
        <v>3371</v>
      </c>
      <c r="G1164">
        <v>4500294905</v>
      </c>
      <c r="H1164" t="s">
        <v>3334</v>
      </c>
      <c r="I1164" t="s">
        <v>556</v>
      </c>
      <c r="J1164" t="s">
        <v>831</v>
      </c>
      <c r="K1164" s="1">
        <v>49706</v>
      </c>
      <c r="L1164" s="1">
        <v>49706</v>
      </c>
      <c r="M1164" t="str">
        <f>IFERROR(IF(VLOOKUP(LEFT(B1164,2),'Humanitarian codes'!$A$2:$A$10,1,FALSE)=LEFT(B1164,2),"Yes","Error"),"No")</f>
        <v>No</v>
      </c>
    </row>
    <row r="1165" spans="1:13" hidden="1" x14ac:dyDescent="0.25">
      <c r="A1165" t="s">
        <v>3331</v>
      </c>
      <c r="B1165" t="s">
        <v>3369</v>
      </c>
      <c r="C1165" t="s">
        <v>3370</v>
      </c>
      <c r="D1165" t="s">
        <v>30</v>
      </c>
      <c r="E1165" t="s">
        <v>831</v>
      </c>
      <c r="F1165" t="s">
        <v>3372</v>
      </c>
      <c r="G1165">
        <v>4500294907</v>
      </c>
      <c r="H1165" t="s">
        <v>3334</v>
      </c>
      <c r="I1165" t="s">
        <v>351</v>
      </c>
      <c r="J1165" t="s">
        <v>831</v>
      </c>
      <c r="K1165" s="1">
        <v>16652.79</v>
      </c>
      <c r="L1165" s="1">
        <v>16652.79</v>
      </c>
      <c r="M1165" t="str">
        <f>IFERROR(IF(VLOOKUP(LEFT(B1165,2),'Humanitarian codes'!$A$2:$A$10,1,FALSE)=LEFT(B1165,2),"Yes","Error"),"No")</f>
        <v>No</v>
      </c>
    </row>
    <row r="1166" spans="1:13" hidden="1" x14ac:dyDescent="0.25">
      <c r="A1166" t="s">
        <v>3331</v>
      </c>
      <c r="B1166" t="s">
        <v>29</v>
      </c>
      <c r="C1166" t="s">
        <v>31</v>
      </c>
      <c r="D1166" t="s">
        <v>30</v>
      </c>
      <c r="E1166" t="s">
        <v>356</v>
      </c>
      <c r="F1166" t="s">
        <v>2499</v>
      </c>
      <c r="G1166">
        <v>4500290985</v>
      </c>
      <c r="H1166" t="s">
        <v>3334</v>
      </c>
      <c r="I1166" t="s">
        <v>3373</v>
      </c>
      <c r="J1166" t="s">
        <v>32</v>
      </c>
      <c r="K1166" s="1">
        <v>846896</v>
      </c>
      <c r="L1166" s="1">
        <v>846896</v>
      </c>
      <c r="M1166" t="str">
        <f>IFERROR(IF(VLOOKUP(LEFT(B1166,2),'Humanitarian codes'!$A$2:$A$10,1,FALSE)=LEFT(B1166,2),"Yes","Error"),"No")</f>
        <v>No</v>
      </c>
    </row>
    <row r="1167" spans="1:13" hidden="1" x14ac:dyDescent="0.25">
      <c r="A1167" t="s">
        <v>3331</v>
      </c>
      <c r="B1167" t="s">
        <v>3374</v>
      </c>
      <c r="C1167" t="s">
        <v>3375</v>
      </c>
      <c r="D1167" t="s">
        <v>30</v>
      </c>
      <c r="E1167" t="s">
        <v>128</v>
      </c>
      <c r="F1167" t="s">
        <v>3376</v>
      </c>
      <c r="G1167">
        <v>4500286823</v>
      </c>
      <c r="H1167" t="s">
        <v>3334</v>
      </c>
      <c r="I1167" t="s">
        <v>3377</v>
      </c>
      <c r="J1167" t="s">
        <v>616</v>
      </c>
      <c r="K1167" s="1">
        <v>25000</v>
      </c>
      <c r="L1167" s="1">
        <v>25000</v>
      </c>
      <c r="M1167" t="str">
        <f>IFERROR(IF(VLOOKUP(LEFT(B1167,2),'Humanitarian codes'!$A$2:$A$10,1,FALSE)=LEFT(B1167,2),"Yes","Error"),"No")</f>
        <v>No</v>
      </c>
    </row>
    <row r="1168" spans="1:13" hidden="1" x14ac:dyDescent="0.25">
      <c r="A1168" t="s">
        <v>3331</v>
      </c>
      <c r="B1168" t="s">
        <v>2813</v>
      </c>
      <c r="C1168" t="s">
        <v>3378</v>
      </c>
      <c r="D1168" t="s">
        <v>30</v>
      </c>
      <c r="E1168" t="s">
        <v>123</v>
      </c>
      <c r="F1168" t="s">
        <v>3379</v>
      </c>
      <c r="G1168">
        <v>4500278555</v>
      </c>
      <c r="H1168" t="s">
        <v>3334</v>
      </c>
      <c r="I1168" t="s">
        <v>3380</v>
      </c>
      <c r="J1168" t="s">
        <v>123</v>
      </c>
      <c r="K1168" s="1">
        <v>32390</v>
      </c>
      <c r="L1168" s="1">
        <v>32390</v>
      </c>
      <c r="M1168" t="str">
        <f>IFERROR(IF(VLOOKUP(LEFT(B1168,2),'Humanitarian codes'!$A$2:$A$10,1,FALSE)=LEFT(B1168,2),"Yes","Error"),"No")</f>
        <v>No</v>
      </c>
    </row>
    <row r="1169" spans="1:13" hidden="1" x14ac:dyDescent="0.25">
      <c r="A1169" t="s">
        <v>3331</v>
      </c>
      <c r="B1169" t="s">
        <v>3381</v>
      </c>
      <c r="C1169" t="s">
        <v>3382</v>
      </c>
      <c r="D1169" t="s">
        <v>30</v>
      </c>
      <c r="E1169" t="s">
        <v>128</v>
      </c>
      <c r="F1169" t="s">
        <v>3383</v>
      </c>
      <c r="G1169">
        <v>4500284909</v>
      </c>
      <c r="H1169" t="s">
        <v>3334</v>
      </c>
      <c r="I1169" t="s">
        <v>1042</v>
      </c>
      <c r="J1169" t="s">
        <v>616</v>
      </c>
      <c r="K1169" s="1">
        <v>71112.509999999995</v>
      </c>
      <c r="L1169" s="1">
        <v>71112.509999999995</v>
      </c>
      <c r="M1169" t="str">
        <f>IFERROR(IF(VLOOKUP(LEFT(B1169,2),'Humanitarian codes'!$A$2:$A$10,1,FALSE)=LEFT(B1169,2),"Yes","Error"),"No")</f>
        <v>No</v>
      </c>
    </row>
    <row r="1170" spans="1:13" hidden="1" x14ac:dyDescent="0.25">
      <c r="A1170" t="s">
        <v>3331</v>
      </c>
      <c r="B1170" t="s">
        <v>3384</v>
      </c>
      <c r="C1170" t="s">
        <v>3385</v>
      </c>
      <c r="D1170" t="s">
        <v>30</v>
      </c>
      <c r="E1170" t="s">
        <v>3386</v>
      </c>
      <c r="F1170" t="s">
        <v>2200</v>
      </c>
      <c r="G1170">
        <v>4500294328</v>
      </c>
      <c r="H1170" t="s">
        <v>3334</v>
      </c>
      <c r="I1170" t="s">
        <v>3387</v>
      </c>
      <c r="J1170" t="s">
        <v>3386</v>
      </c>
      <c r="K1170" s="1">
        <v>60000</v>
      </c>
      <c r="L1170" s="1">
        <v>60000</v>
      </c>
      <c r="M1170" t="str">
        <f>IFERROR(IF(VLOOKUP(LEFT(B1170,2),'Humanitarian codes'!$A$2:$A$10,1,FALSE)=LEFT(B1170,2),"Yes","Error"),"No")</f>
        <v>No</v>
      </c>
    </row>
    <row r="1171" spans="1:13" hidden="1" x14ac:dyDescent="0.25">
      <c r="A1171" t="s">
        <v>3331</v>
      </c>
      <c r="B1171" t="s">
        <v>3384</v>
      </c>
      <c r="C1171" t="s">
        <v>3385</v>
      </c>
      <c r="D1171" t="s">
        <v>30</v>
      </c>
      <c r="E1171" t="s">
        <v>3386</v>
      </c>
      <c r="F1171" t="s">
        <v>2200</v>
      </c>
      <c r="G1171">
        <v>4500294345</v>
      </c>
      <c r="H1171" t="s">
        <v>3334</v>
      </c>
      <c r="I1171" t="s">
        <v>3388</v>
      </c>
      <c r="J1171" t="s">
        <v>3386</v>
      </c>
      <c r="K1171" s="1">
        <v>99999.94</v>
      </c>
      <c r="L1171" s="1">
        <v>99999.94</v>
      </c>
      <c r="M1171" t="str">
        <f>IFERROR(IF(VLOOKUP(LEFT(B1171,2),'Humanitarian codes'!$A$2:$A$10,1,FALSE)=LEFT(B1171,2),"Yes","Error"),"No")</f>
        <v>No</v>
      </c>
    </row>
    <row r="1172" spans="1:13" hidden="1" x14ac:dyDescent="0.25">
      <c r="A1172" t="s">
        <v>3331</v>
      </c>
      <c r="B1172" t="s">
        <v>3389</v>
      </c>
      <c r="C1172" t="s">
        <v>3390</v>
      </c>
      <c r="D1172" t="s">
        <v>30</v>
      </c>
      <c r="E1172" t="s">
        <v>940</v>
      </c>
      <c r="F1172" t="s">
        <v>2200</v>
      </c>
      <c r="G1172">
        <v>4500287395</v>
      </c>
      <c r="H1172" t="s">
        <v>3334</v>
      </c>
      <c r="I1172" t="s">
        <v>1388</v>
      </c>
      <c r="J1172" t="s">
        <v>940</v>
      </c>
      <c r="K1172" s="1">
        <v>21000</v>
      </c>
      <c r="L1172" s="1">
        <v>21000</v>
      </c>
      <c r="M1172" t="str">
        <f>IFERROR(IF(VLOOKUP(LEFT(B1172,2),'Humanitarian codes'!$A$2:$A$10,1,FALSE)=LEFT(B1172,2),"Yes","Error"),"No")</f>
        <v>No</v>
      </c>
    </row>
    <row r="1173" spans="1:13" hidden="1" x14ac:dyDescent="0.25">
      <c r="A1173" t="s">
        <v>3331</v>
      </c>
      <c r="B1173" t="s">
        <v>1221</v>
      </c>
      <c r="C1173" t="s">
        <v>1222</v>
      </c>
      <c r="D1173" t="s">
        <v>30</v>
      </c>
      <c r="E1173" t="s">
        <v>54</v>
      </c>
      <c r="F1173" t="s">
        <v>3391</v>
      </c>
      <c r="G1173">
        <v>4500283697</v>
      </c>
      <c r="H1173" t="s">
        <v>3334</v>
      </c>
      <c r="I1173" t="s">
        <v>2878</v>
      </c>
      <c r="J1173" t="s">
        <v>54</v>
      </c>
      <c r="K1173" s="1">
        <v>72569.259999999995</v>
      </c>
      <c r="L1173" s="1">
        <v>181423.15</v>
      </c>
      <c r="M1173" t="str">
        <f>IFERROR(IF(VLOOKUP(LEFT(B1173,2),'Humanitarian codes'!$A$2:$A$10,1,FALSE)=LEFT(B1173,2),"Yes","Error"),"No")</f>
        <v>No</v>
      </c>
    </row>
    <row r="1174" spans="1:13" hidden="1" x14ac:dyDescent="0.25">
      <c r="A1174" t="s">
        <v>3331</v>
      </c>
      <c r="B1174" t="s">
        <v>1221</v>
      </c>
      <c r="C1174" t="s">
        <v>1222</v>
      </c>
      <c r="D1174" t="s">
        <v>30</v>
      </c>
      <c r="E1174" t="s">
        <v>54</v>
      </c>
      <c r="F1174" t="s">
        <v>3392</v>
      </c>
      <c r="G1174">
        <v>4500292126</v>
      </c>
      <c r="H1174" t="s">
        <v>3334</v>
      </c>
      <c r="I1174" t="s">
        <v>3393</v>
      </c>
      <c r="J1174" t="s">
        <v>54</v>
      </c>
      <c r="K1174" s="1">
        <v>105643.79</v>
      </c>
      <c r="L1174" s="1">
        <v>140858.39000000001</v>
      </c>
      <c r="M1174" t="str">
        <f>IFERROR(IF(VLOOKUP(LEFT(B1174,2),'Humanitarian codes'!$A$2:$A$10,1,FALSE)=LEFT(B1174,2),"Yes","Error"),"No")</f>
        <v>No</v>
      </c>
    </row>
    <row r="1175" spans="1:13" hidden="1" x14ac:dyDescent="0.25">
      <c r="A1175" t="s">
        <v>3331</v>
      </c>
      <c r="B1175" t="s">
        <v>3394</v>
      </c>
      <c r="C1175" t="s">
        <v>3395</v>
      </c>
      <c r="D1175" t="s">
        <v>543</v>
      </c>
      <c r="E1175" t="s">
        <v>3396</v>
      </c>
      <c r="F1175" t="s">
        <v>3397</v>
      </c>
      <c r="G1175">
        <v>4500289028</v>
      </c>
      <c r="H1175" t="s">
        <v>3334</v>
      </c>
      <c r="I1175" t="s">
        <v>3398</v>
      </c>
      <c r="J1175" t="s">
        <v>3396</v>
      </c>
      <c r="K1175" s="1">
        <v>4407.2</v>
      </c>
      <c r="L1175" s="1">
        <v>4407.2</v>
      </c>
      <c r="M1175" t="str">
        <f>IFERROR(IF(VLOOKUP(LEFT(B1175,2),'Humanitarian codes'!$A$2:$A$10,1,FALSE)=LEFT(B1175,2),"Yes","Error"),"No")</f>
        <v>No</v>
      </c>
    </row>
    <row r="1176" spans="1:13" hidden="1" x14ac:dyDescent="0.25">
      <c r="A1176" t="s">
        <v>3331</v>
      </c>
      <c r="B1176" t="s">
        <v>3394</v>
      </c>
      <c r="C1176" t="s">
        <v>3395</v>
      </c>
      <c r="D1176" t="s">
        <v>543</v>
      </c>
      <c r="E1176" t="s">
        <v>3396</v>
      </c>
      <c r="F1176" t="s">
        <v>3399</v>
      </c>
      <c r="G1176">
        <v>4500290703</v>
      </c>
      <c r="H1176" t="s">
        <v>3334</v>
      </c>
      <c r="I1176" t="s">
        <v>3400</v>
      </c>
      <c r="J1176" t="s">
        <v>3396</v>
      </c>
      <c r="K1176" s="1">
        <v>63899.24</v>
      </c>
      <c r="L1176" s="1">
        <v>63899.24</v>
      </c>
      <c r="M1176" t="str">
        <f>IFERROR(IF(VLOOKUP(LEFT(B1176,2),'Humanitarian codes'!$A$2:$A$10,1,FALSE)=LEFT(B1176,2),"Yes","Error"),"No")</f>
        <v>No</v>
      </c>
    </row>
    <row r="1177" spans="1:13" hidden="1" x14ac:dyDescent="0.25">
      <c r="A1177" t="s">
        <v>3331</v>
      </c>
      <c r="B1177" t="s">
        <v>3394</v>
      </c>
      <c r="C1177" t="s">
        <v>3395</v>
      </c>
      <c r="D1177" t="s">
        <v>543</v>
      </c>
      <c r="E1177" t="s">
        <v>3396</v>
      </c>
      <c r="F1177" t="s">
        <v>3401</v>
      </c>
      <c r="G1177">
        <v>4500297366</v>
      </c>
      <c r="H1177" t="s">
        <v>3334</v>
      </c>
      <c r="I1177" t="s">
        <v>3402</v>
      </c>
      <c r="J1177" t="s">
        <v>3396</v>
      </c>
      <c r="K1177" s="1">
        <v>12742.94</v>
      </c>
      <c r="L1177" s="1">
        <v>12742.94</v>
      </c>
      <c r="M1177" t="str">
        <f>IFERROR(IF(VLOOKUP(LEFT(B1177,2),'Humanitarian codes'!$A$2:$A$10,1,FALSE)=LEFT(B1177,2),"Yes","Error"),"No")</f>
        <v>No</v>
      </c>
    </row>
    <row r="1178" spans="1:13" x14ac:dyDescent="0.25">
      <c r="A1178" t="s">
        <v>3331</v>
      </c>
      <c r="B1178" t="s">
        <v>2298</v>
      </c>
      <c r="C1178" t="s">
        <v>2299</v>
      </c>
      <c r="D1178" t="s">
        <v>30</v>
      </c>
      <c r="E1178" t="s">
        <v>1166</v>
      </c>
      <c r="F1178" t="s">
        <v>3403</v>
      </c>
      <c r="G1178">
        <v>4500277640</v>
      </c>
      <c r="H1178" t="s">
        <v>3334</v>
      </c>
      <c r="I1178" t="s">
        <v>3404</v>
      </c>
      <c r="J1178" t="s">
        <v>1166</v>
      </c>
      <c r="K1178" s="1">
        <v>22597.62</v>
      </c>
      <c r="L1178" s="1">
        <v>22597.62</v>
      </c>
      <c r="M1178" t="str">
        <f>IFERROR(IF(VLOOKUP(LEFT(B1178,2),'Humanitarian codes'!$A$2:$A$10,1,FALSE)=LEFT(B1178,2),"Yes","Error"),"No")</f>
        <v>Yes</v>
      </c>
    </row>
    <row r="1179" spans="1:13" x14ac:dyDescent="0.25">
      <c r="A1179" t="s">
        <v>3331</v>
      </c>
      <c r="B1179" t="s">
        <v>3405</v>
      </c>
      <c r="C1179" t="s">
        <v>3406</v>
      </c>
      <c r="D1179" t="s">
        <v>30</v>
      </c>
      <c r="E1179" t="s">
        <v>940</v>
      </c>
      <c r="F1179" t="s">
        <v>2200</v>
      </c>
      <c r="G1179">
        <v>4500283644</v>
      </c>
      <c r="H1179" t="s">
        <v>3334</v>
      </c>
      <c r="I1179" t="s">
        <v>1260</v>
      </c>
      <c r="J1179" t="s">
        <v>940</v>
      </c>
      <c r="K1179" s="1">
        <v>3859</v>
      </c>
      <c r="L1179" s="1">
        <v>96475</v>
      </c>
      <c r="M1179" t="str">
        <f>IFERROR(IF(VLOOKUP(LEFT(B1179,2),'Humanitarian codes'!$A$2:$A$10,1,FALSE)=LEFT(B1179,2),"Yes","Error"),"No")</f>
        <v>Yes</v>
      </c>
    </row>
    <row r="1180" spans="1:13" x14ac:dyDescent="0.25">
      <c r="A1180" t="s">
        <v>3331</v>
      </c>
      <c r="B1180" t="s">
        <v>3405</v>
      </c>
      <c r="C1180" t="s">
        <v>3406</v>
      </c>
      <c r="D1180" t="s">
        <v>30</v>
      </c>
      <c r="E1180" t="s">
        <v>940</v>
      </c>
      <c r="F1180" t="s">
        <v>2200</v>
      </c>
      <c r="G1180">
        <v>4500283652</v>
      </c>
      <c r="H1180" t="s">
        <v>3334</v>
      </c>
      <c r="I1180" t="s">
        <v>1259</v>
      </c>
      <c r="J1180" t="s">
        <v>940</v>
      </c>
      <c r="K1180" s="1">
        <v>4127.08</v>
      </c>
      <c r="L1180" s="1">
        <v>103177</v>
      </c>
      <c r="M1180" t="str">
        <f>IFERROR(IF(VLOOKUP(LEFT(B1180,2),'Humanitarian codes'!$A$2:$A$10,1,FALSE)=LEFT(B1180,2),"Yes","Error"),"No")</f>
        <v>Yes</v>
      </c>
    </row>
    <row r="1181" spans="1:13" x14ac:dyDescent="0.25">
      <c r="A1181" t="s">
        <v>3331</v>
      </c>
      <c r="B1181" t="s">
        <v>3405</v>
      </c>
      <c r="C1181" t="s">
        <v>3406</v>
      </c>
      <c r="D1181" t="s">
        <v>30</v>
      </c>
      <c r="E1181" t="s">
        <v>940</v>
      </c>
      <c r="F1181" t="s">
        <v>2200</v>
      </c>
      <c r="G1181">
        <v>4500283672</v>
      </c>
      <c r="H1181" t="s">
        <v>3334</v>
      </c>
      <c r="I1181" t="s">
        <v>1260</v>
      </c>
      <c r="J1181" t="s">
        <v>940</v>
      </c>
      <c r="K1181" s="1">
        <v>3830.36</v>
      </c>
      <c r="L1181" s="1">
        <v>95759</v>
      </c>
      <c r="M1181" t="str">
        <f>IFERROR(IF(VLOOKUP(LEFT(B1181,2),'Humanitarian codes'!$A$2:$A$10,1,FALSE)=LEFT(B1181,2),"Yes","Error"),"No")</f>
        <v>Yes</v>
      </c>
    </row>
    <row r="1182" spans="1:13" x14ac:dyDescent="0.25">
      <c r="A1182" t="s">
        <v>3331</v>
      </c>
      <c r="B1182" t="s">
        <v>3405</v>
      </c>
      <c r="C1182" t="s">
        <v>3406</v>
      </c>
      <c r="D1182" t="s">
        <v>30</v>
      </c>
      <c r="E1182" t="s">
        <v>940</v>
      </c>
      <c r="F1182" t="s">
        <v>2200</v>
      </c>
      <c r="G1182">
        <v>4500283685</v>
      </c>
      <c r="H1182" t="s">
        <v>3334</v>
      </c>
      <c r="I1182" t="s">
        <v>2201</v>
      </c>
      <c r="J1182" t="s">
        <v>940</v>
      </c>
      <c r="K1182" s="1">
        <v>4453.32</v>
      </c>
      <c r="L1182" s="1">
        <v>111333</v>
      </c>
      <c r="M1182" t="str">
        <f>IFERROR(IF(VLOOKUP(LEFT(B1182,2),'Humanitarian codes'!$A$2:$A$10,1,FALSE)=LEFT(B1182,2),"Yes","Error"),"No")</f>
        <v>Yes</v>
      </c>
    </row>
    <row r="1183" spans="1:13" x14ac:dyDescent="0.25">
      <c r="A1183" t="s">
        <v>3331</v>
      </c>
      <c r="B1183" t="s">
        <v>66</v>
      </c>
      <c r="C1183" t="s">
        <v>67</v>
      </c>
      <c r="D1183" t="s">
        <v>30</v>
      </c>
      <c r="E1183" t="s">
        <v>1166</v>
      </c>
      <c r="F1183" t="s">
        <v>3407</v>
      </c>
      <c r="G1183">
        <v>4500279809</v>
      </c>
      <c r="H1183" t="s">
        <v>3334</v>
      </c>
      <c r="I1183" t="s">
        <v>1837</v>
      </c>
      <c r="J1183" t="s">
        <v>1166</v>
      </c>
      <c r="K1183" s="1">
        <v>1257833.95</v>
      </c>
      <c r="L1183" s="1">
        <v>1257833.95</v>
      </c>
      <c r="M1183" t="str">
        <f>IFERROR(IF(VLOOKUP(LEFT(B1183,2),'Humanitarian codes'!$A$2:$A$10,1,FALSE)=LEFT(B1183,2),"Yes","Error"),"No")</f>
        <v>Yes</v>
      </c>
    </row>
    <row r="1184" spans="1:13" x14ac:dyDescent="0.25">
      <c r="A1184" t="s">
        <v>3331</v>
      </c>
      <c r="B1184" t="s">
        <v>66</v>
      </c>
      <c r="C1184" t="s">
        <v>67</v>
      </c>
      <c r="D1184" t="s">
        <v>30</v>
      </c>
      <c r="E1184" t="s">
        <v>1166</v>
      </c>
      <c r="F1184" t="s">
        <v>3407</v>
      </c>
      <c r="G1184">
        <v>4500279818</v>
      </c>
      <c r="H1184" t="s">
        <v>3334</v>
      </c>
      <c r="I1184" t="s">
        <v>3408</v>
      </c>
      <c r="J1184" t="s">
        <v>1166</v>
      </c>
      <c r="K1184" s="1">
        <v>1462526.87</v>
      </c>
      <c r="L1184" s="1">
        <v>1462526.87</v>
      </c>
      <c r="M1184" t="str">
        <f>IFERROR(IF(VLOOKUP(LEFT(B1184,2),'Humanitarian codes'!$A$2:$A$10,1,FALSE)=LEFT(B1184,2),"Yes","Error"),"No")</f>
        <v>Yes</v>
      </c>
    </row>
    <row r="1185" spans="1:13" x14ac:dyDescent="0.25">
      <c r="A1185" t="s">
        <v>3331</v>
      </c>
      <c r="B1185" t="s">
        <v>66</v>
      </c>
      <c r="C1185" t="s">
        <v>67</v>
      </c>
      <c r="D1185" t="s">
        <v>30</v>
      </c>
      <c r="E1185" t="s">
        <v>1166</v>
      </c>
      <c r="F1185" t="s">
        <v>3407</v>
      </c>
      <c r="G1185">
        <v>4500279834</v>
      </c>
      <c r="H1185" t="s">
        <v>3334</v>
      </c>
      <c r="I1185" t="s">
        <v>771</v>
      </c>
      <c r="J1185" t="s">
        <v>1166</v>
      </c>
      <c r="K1185" s="1">
        <v>2892689.61</v>
      </c>
      <c r="L1185" s="1">
        <v>2892689.61</v>
      </c>
      <c r="M1185" t="str">
        <f>IFERROR(IF(VLOOKUP(LEFT(B1185,2),'Humanitarian codes'!$A$2:$A$10,1,FALSE)=LEFT(B1185,2),"Yes","Error"),"No")</f>
        <v>Yes</v>
      </c>
    </row>
    <row r="1186" spans="1:13" x14ac:dyDescent="0.25">
      <c r="A1186" t="s">
        <v>3331</v>
      </c>
      <c r="B1186" t="s">
        <v>1946</v>
      </c>
      <c r="C1186" t="s">
        <v>1947</v>
      </c>
      <c r="D1186" t="s">
        <v>30</v>
      </c>
      <c r="E1186" t="s">
        <v>83</v>
      </c>
      <c r="F1186" t="s">
        <v>2357</v>
      </c>
      <c r="G1186">
        <v>4500278364</v>
      </c>
      <c r="H1186" t="s">
        <v>3334</v>
      </c>
      <c r="I1186" t="s">
        <v>86</v>
      </c>
      <c r="J1186" t="s">
        <v>83</v>
      </c>
      <c r="K1186" s="1">
        <v>333475</v>
      </c>
      <c r="L1186" s="1">
        <v>333475</v>
      </c>
      <c r="M1186" t="str">
        <f>IFERROR(IF(VLOOKUP(LEFT(B1186,2),'Humanitarian codes'!$A$2:$A$10,1,FALSE)=LEFT(B1186,2),"Yes","Error"),"No")</f>
        <v>Yes</v>
      </c>
    </row>
    <row r="1187" spans="1:13" x14ac:dyDescent="0.25">
      <c r="A1187" t="s">
        <v>3331</v>
      </c>
      <c r="B1187" t="s">
        <v>1946</v>
      </c>
      <c r="C1187" t="s">
        <v>1947</v>
      </c>
      <c r="D1187" t="s">
        <v>30</v>
      </c>
      <c r="E1187" t="s">
        <v>83</v>
      </c>
      <c r="F1187" t="s">
        <v>2357</v>
      </c>
      <c r="G1187">
        <v>4500297833</v>
      </c>
      <c r="H1187" t="s">
        <v>3334</v>
      </c>
      <c r="I1187" t="s">
        <v>85</v>
      </c>
      <c r="J1187" t="s">
        <v>83</v>
      </c>
      <c r="K1187" s="1">
        <v>301200</v>
      </c>
      <c r="L1187" s="1">
        <v>420000</v>
      </c>
      <c r="M1187" t="str">
        <f>IFERROR(IF(VLOOKUP(LEFT(B1187,2),'Humanitarian codes'!$A$2:$A$10,1,FALSE)=LEFT(B1187,2),"Yes","Error"),"No")</f>
        <v>Yes</v>
      </c>
    </row>
    <row r="1188" spans="1:13" x14ac:dyDescent="0.25">
      <c r="A1188" t="s">
        <v>3331</v>
      </c>
      <c r="B1188" t="s">
        <v>3409</v>
      </c>
      <c r="C1188" t="s">
        <v>3410</v>
      </c>
      <c r="D1188" t="s">
        <v>30</v>
      </c>
      <c r="E1188" t="s">
        <v>253</v>
      </c>
      <c r="F1188" t="s">
        <v>3411</v>
      </c>
      <c r="G1188">
        <v>4500290874</v>
      </c>
      <c r="H1188" t="s">
        <v>3334</v>
      </c>
      <c r="I1188" t="s">
        <v>156</v>
      </c>
      <c r="J1188" t="s">
        <v>184</v>
      </c>
      <c r="K1188" s="1">
        <v>156000</v>
      </c>
      <c r="L1188" s="1">
        <v>156000</v>
      </c>
      <c r="M1188" t="str">
        <f>IFERROR(IF(VLOOKUP(LEFT(B1188,2),'Humanitarian codes'!$A$2:$A$10,1,FALSE)=LEFT(B1188,2),"Yes","Error"),"No")</f>
        <v>Yes</v>
      </c>
    </row>
    <row r="1189" spans="1:13" x14ac:dyDescent="0.25">
      <c r="A1189" t="s">
        <v>3331</v>
      </c>
      <c r="B1189" t="s">
        <v>3412</v>
      </c>
      <c r="C1189" t="s">
        <v>3413</v>
      </c>
      <c r="D1189" t="s">
        <v>30</v>
      </c>
      <c r="E1189" t="s">
        <v>486</v>
      </c>
      <c r="F1189" t="s">
        <v>2357</v>
      </c>
      <c r="G1189">
        <v>4500277528</v>
      </c>
      <c r="H1189" t="s">
        <v>3334</v>
      </c>
      <c r="I1189" t="s">
        <v>2376</v>
      </c>
      <c r="J1189" t="s">
        <v>751</v>
      </c>
      <c r="K1189" s="1">
        <v>48793</v>
      </c>
      <c r="L1189" s="1">
        <v>48793</v>
      </c>
      <c r="M1189" t="str">
        <f>IFERROR(IF(VLOOKUP(LEFT(B1189,2),'Humanitarian codes'!$A$2:$A$10,1,FALSE)=LEFT(B1189,2),"Yes","Error"),"No")</f>
        <v>Yes</v>
      </c>
    </row>
    <row r="1190" spans="1:13" x14ac:dyDescent="0.25">
      <c r="A1190" t="s">
        <v>3331</v>
      </c>
      <c r="B1190" t="s">
        <v>3414</v>
      </c>
      <c r="C1190" t="s">
        <v>231</v>
      </c>
      <c r="D1190" t="s">
        <v>30</v>
      </c>
      <c r="E1190" t="s">
        <v>175</v>
      </c>
      <c r="F1190" t="s">
        <v>3415</v>
      </c>
      <c r="G1190">
        <v>4500298438</v>
      </c>
      <c r="H1190" t="s">
        <v>3334</v>
      </c>
      <c r="I1190" t="s">
        <v>3416</v>
      </c>
      <c r="J1190" t="s">
        <v>175</v>
      </c>
      <c r="K1190" s="1">
        <v>82247</v>
      </c>
      <c r="L1190" s="1">
        <v>82247</v>
      </c>
      <c r="M1190" t="str">
        <f>IFERROR(IF(VLOOKUP(LEFT(B1190,2),'Humanitarian codes'!$A$2:$A$10,1,FALSE)=LEFT(B1190,2),"Yes","Error"),"No")</f>
        <v>Yes</v>
      </c>
    </row>
    <row r="1191" spans="1:13" x14ac:dyDescent="0.25">
      <c r="A1191" t="s">
        <v>3331</v>
      </c>
      <c r="B1191" t="s">
        <v>2856</v>
      </c>
      <c r="C1191" t="s">
        <v>3417</v>
      </c>
      <c r="D1191" t="s">
        <v>30</v>
      </c>
      <c r="E1191" t="s">
        <v>717</v>
      </c>
      <c r="F1191" t="s">
        <v>3418</v>
      </c>
      <c r="G1191">
        <v>4500276921</v>
      </c>
      <c r="H1191" t="s">
        <v>3334</v>
      </c>
      <c r="I1191" t="s">
        <v>727</v>
      </c>
      <c r="J1191" t="s">
        <v>717</v>
      </c>
      <c r="K1191" s="1">
        <v>104276.15</v>
      </c>
      <c r="L1191" s="1">
        <v>104276.15</v>
      </c>
      <c r="M1191" t="str">
        <f>IFERROR(IF(VLOOKUP(LEFT(B1191,2),'Humanitarian codes'!$A$2:$A$10,1,FALSE)=LEFT(B1191,2),"Yes","Error"),"No")</f>
        <v>Yes</v>
      </c>
    </row>
    <row r="1192" spans="1:13" x14ac:dyDescent="0.25">
      <c r="A1192" t="s">
        <v>3331</v>
      </c>
      <c r="B1192" t="s">
        <v>2856</v>
      </c>
      <c r="C1192" t="s">
        <v>3417</v>
      </c>
      <c r="D1192" t="s">
        <v>30</v>
      </c>
      <c r="E1192" t="s">
        <v>717</v>
      </c>
      <c r="F1192" t="s">
        <v>3419</v>
      </c>
      <c r="G1192">
        <v>4500278541</v>
      </c>
      <c r="H1192" t="s">
        <v>3334</v>
      </c>
      <c r="I1192" t="s">
        <v>3420</v>
      </c>
      <c r="J1192" t="s">
        <v>717</v>
      </c>
      <c r="K1192" s="1">
        <v>39801.019999999997</v>
      </c>
      <c r="L1192" s="1">
        <v>39801.019999999997</v>
      </c>
      <c r="M1192" t="str">
        <f>IFERROR(IF(VLOOKUP(LEFT(B1192,2),'Humanitarian codes'!$A$2:$A$10,1,FALSE)=LEFT(B1192,2),"Yes","Error"),"No")</f>
        <v>Yes</v>
      </c>
    </row>
    <row r="1193" spans="1:13" x14ac:dyDescent="0.25">
      <c r="A1193" t="s">
        <v>3331</v>
      </c>
      <c r="B1193" t="s">
        <v>2856</v>
      </c>
      <c r="C1193" t="s">
        <v>3417</v>
      </c>
      <c r="D1193" t="s">
        <v>30</v>
      </c>
      <c r="E1193" t="s">
        <v>717</v>
      </c>
      <c r="F1193" t="s">
        <v>3421</v>
      </c>
      <c r="G1193">
        <v>4500278546</v>
      </c>
      <c r="H1193" t="s">
        <v>3334</v>
      </c>
      <c r="I1193" t="s">
        <v>3422</v>
      </c>
      <c r="J1193" t="s">
        <v>717</v>
      </c>
      <c r="K1193" s="1">
        <v>46082</v>
      </c>
      <c r="L1193" s="1">
        <v>46082</v>
      </c>
      <c r="M1193" t="str">
        <f>IFERROR(IF(VLOOKUP(LEFT(B1193,2),'Humanitarian codes'!$A$2:$A$10,1,FALSE)=LEFT(B1193,2),"Yes","Error"),"No")</f>
        <v>Yes</v>
      </c>
    </row>
    <row r="1194" spans="1:13" x14ac:dyDescent="0.25">
      <c r="A1194" t="s">
        <v>3331</v>
      </c>
      <c r="B1194" t="s">
        <v>2856</v>
      </c>
      <c r="C1194" t="s">
        <v>3417</v>
      </c>
      <c r="D1194" t="s">
        <v>30</v>
      </c>
      <c r="E1194" t="s">
        <v>717</v>
      </c>
      <c r="F1194" t="s">
        <v>3423</v>
      </c>
      <c r="G1194">
        <v>4500288506</v>
      </c>
      <c r="H1194" t="s">
        <v>3334</v>
      </c>
      <c r="I1194" t="s">
        <v>2796</v>
      </c>
      <c r="J1194" t="s">
        <v>717</v>
      </c>
      <c r="K1194" s="1">
        <v>28215</v>
      </c>
      <c r="L1194" s="1">
        <v>28215</v>
      </c>
      <c r="M1194" t="str">
        <f>IFERROR(IF(VLOOKUP(LEFT(B1194,2),'Humanitarian codes'!$A$2:$A$10,1,FALSE)=LEFT(B1194,2),"Yes","Error"),"No")</f>
        <v>Yes</v>
      </c>
    </row>
    <row r="1195" spans="1:13" x14ac:dyDescent="0.25">
      <c r="A1195" t="s">
        <v>3331</v>
      </c>
      <c r="B1195" t="s">
        <v>2856</v>
      </c>
      <c r="C1195" t="s">
        <v>3417</v>
      </c>
      <c r="D1195" t="s">
        <v>30</v>
      </c>
      <c r="E1195" t="s">
        <v>717</v>
      </c>
      <c r="F1195" t="s">
        <v>3424</v>
      </c>
      <c r="G1195">
        <v>4500288514</v>
      </c>
      <c r="H1195" t="s">
        <v>3334</v>
      </c>
      <c r="I1195" t="s">
        <v>720</v>
      </c>
      <c r="J1195" t="s">
        <v>717</v>
      </c>
      <c r="K1195" s="1">
        <v>59379.57</v>
      </c>
      <c r="L1195" s="1">
        <v>59379.57</v>
      </c>
      <c r="M1195" t="str">
        <f>IFERROR(IF(VLOOKUP(LEFT(B1195,2),'Humanitarian codes'!$A$2:$A$10,1,FALSE)=LEFT(B1195,2),"Yes","Error"),"No")</f>
        <v>Yes</v>
      </c>
    </row>
    <row r="1196" spans="1:13" x14ac:dyDescent="0.25">
      <c r="A1196" t="s">
        <v>3331</v>
      </c>
      <c r="B1196" t="s">
        <v>2856</v>
      </c>
      <c r="C1196" t="s">
        <v>3417</v>
      </c>
      <c r="D1196" t="s">
        <v>30</v>
      </c>
      <c r="E1196" t="s">
        <v>717</v>
      </c>
      <c r="F1196" t="s">
        <v>3425</v>
      </c>
      <c r="G1196">
        <v>4500291425</v>
      </c>
      <c r="H1196" t="s">
        <v>3334</v>
      </c>
      <c r="I1196" t="s">
        <v>728</v>
      </c>
      <c r="J1196" t="s">
        <v>717</v>
      </c>
      <c r="K1196" s="1">
        <v>93604.87</v>
      </c>
      <c r="L1196" s="1">
        <v>93604.87</v>
      </c>
      <c r="M1196" t="str">
        <f>IFERROR(IF(VLOOKUP(LEFT(B1196,2),'Humanitarian codes'!$A$2:$A$10,1,FALSE)=LEFT(B1196,2),"Yes","Error"),"No")</f>
        <v>Yes</v>
      </c>
    </row>
    <row r="1197" spans="1:13" x14ac:dyDescent="0.25">
      <c r="A1197" t="s">
        <v>3331</v>
      </c>
      <c r="B1197" t="s">
        <v>2859</v>
      </c>
      <c r="C1197" t="s">
        <v>3426</v>
      </c>
      <c r="D1197" t="s">
        <v>30</v>
      </c>
      <c r="E1197" t="s">
        <v>175</v>
      </c>
      <c r="F1197" t="s">
        <v>3427</v>
      </c>
      <c r="G1197">
        <v>4500290659</v>
      </c>
      <c r="H1197" t="s">
        <v>3334</v>
      </c>
      <c r="I1197" t="s">
        <v>395</v>
      </c>
      <c r="J1197" t="s">
        <v>175</v>
      </c>
      <c r="K1197" s="1">
        <v>40352.85</v>
      </c>
      <c r="L1197" s="1">
        <v>40352.85</v>
      </c>
      <c r="M1197" t="str">
        <f>IFERROR(IF(VLOOKUP(LEFT(B1197,2),'Humanitarian codes'!$A$2:$A$10,1,FALSE)=LEFT(B1197,2),"Yes","Error"),"No")</f>
        <v>Yes</v>
      </c>
    </row>
    <row r="1198" spans="1:13" x14ac:dyDescent="0.25">
      <c r="A1198" t="s">
        <v>3331</v>
      </c>
      <c r="B1198" t="s">
        <v>2859</v>
      </c>
      <c r="C1198" t="s">
        <v>3426</v>
      </c>
      <c r="D1198" t="s">
        <v>30</v>
      </c>
      <c r="E1198" t="s">
        <v>175</v>
      </c>
      <c r="F1198" t="s">
        <v>3428</v>
      </c>
      <c r="G1198">
        <v>4500290668</v>
      </c>
      <c r="H1198" t="s">
        <v>3334</v>
      </c>
      <c r="I1198" t="s">
        <v>233</v>
      </c>
      <c r="J1198" t="s">
        <v>175</v>
      </c>
      <c r="K1198" s="1">
        <v>100793.77</v>
      </c>
      <c r="L1198" s="1">
        <v>100793.77</v>
      </c>
      <c r="M1198" t="str">
        <f>IFERROR(IF(VLOOKUP(LEFT(B1198,2),'Humanitarian codes'!$A$2:$A$10,1,FALSE)=LEFT(B1198,2),"Yes","Error"),"No")</f>
        <v>Yes</v>
      </c>
    </row>
    <row r="1199" spans="1:13" x14ac:dyDescent="0.25">
      <c r="A1199" t="s">
        <v>3331</v>
      </c>
      <c r="B1199" t="s">
        <v>3429</v>
      </c>
      <c r="C1199" t="s">
        <v>3430</v>
      </c>
      <c r="D1199" t="s">
        <v>30</v>
      </c>
      <c r="E1199" t="s">
        <v>253</v>
      </c>
      <c r="F1199" t="s">
        <v>3431</v>
      </c>
      <c r="G1199">
        <v>4500297519</v>
      </c>
      <c r="H1199" t="s">
        <v>3334</v>
      </c>
      <c r="I1199" t="s">
        <v>1362</v>
      </c>
      <c r="J1199" t="s">
        <v>253</v>
      </c>
      <c r="K1199" s="1">
        <v>18152.64</v>
      </c>
      <c r="L1199" s="1">
        <v>18152.64</v>
      </c>
      <c r="M1199" t="str">
        <f>IFERROR(IF(VLOOKUP(LEFT(B1199,2),'Humanitarian codes'!$A$2:$A$10,1,FALSE)=LEFT(B1199,2),"Yes","Error"),"No")</f>
        <v>Yes</v>
      </c>
    </row>
    <row r="1200" spans="1:13" x14ac:dyDescent="0.25">
      <c r="A1200" t="s">
        <v>3331</v>
      </c>
      <c r="B1200" t="s">
        <v>2865</v>
      </c>
      <c r="C1200" t="s">
        <v>3432</v>
      </c>
      <c r="D1200" t="s">
        <v>30</v>
      </c>
      <c r="E1200" t="s">
        <v>717</v>
      </c>
      <c r="F1200" t="s">
        <v>3433</v>
      </c>
      <c r="G1200">
        <v>4500288490</v>
      </c>
      <c r="H1200" t="s">
        <v>3334</v>
      </c>
      <c r="I1200" t="s">
        <v>2868</v>
      </c>
      <c r="J1200" t="s">
        <v>717</v>
      </c>
      <c r="K1200" s="1">
        <v>63274.3</v>
      </c>
      <c r="L1200" s="1">
        <v>72313.490000000005</v>
      </c>
      <c r="M1200" t="str">
        <f>IFERROR(IF(VLOOKUP(LEFT(B1200,2),'Humanitarian codes'!$A$2:$A$10,1,FALSE)=LEFT(B1200,2),"Yes","Error"),"No")</f>
        <v>Yes</v>
      </c>
    </row>
    <row r="1201" spans="1:13" x14ac:dyDescent="0.25">
      <c r="A1201" t="s">
        <v>3331</v>
      </c>
      <c r="B1201" t="s">
        <v>2865</v>
      </c>
      <c r="C1201" t="s">
        <v>3432</v>
      </c>
      <c r="D1201" t="s">
        <v>30</v>
      </c>
      <c r="E1201" t="s">
        <v>717</v>
      </c>
      <c r="F1201" t="s">
        <v>3434</v>
      </c>
      <c r="G1201">
        <v>4500291421</v>
      </c>
      <c r="H1201" t="s">
        <v>3334</v>
      </c>
      <c r="I1201" t="s">
        <v>3435</v>
      </c>
      <c r="J1201" t="s">
        <v>402</v>
      </c>
      <c r="K1201" s="1">
        <v>193085</v>
      </c>
      <c r="L1201" s="1">
        <v>193085</v>
      </c>
      <c r="M1201" t="str">
        <f>IFERROR(IF(VLOOKUP(LEFT(B1201,2),'Humanitarian codes'!$A$2:$A$10,1,FALSE)=LEFT(B1201,2),"Yes","Error"),"No")</f>
        <v>Yes</v>
      </c>
    </row>
    <row r="1202" spans="1:13" x14ac:dyDescent="0.25">
      <c r="A1202" t="s">
        <v>3331</v>
      </c>
      <c r="B1202" t="s">
        <v>3436</v>
      </c>
      <c r="C1202" t="s">
        <v>3437</v>
      </c>
      <c r="D1202" t="s">
        <v>30</v>
      </c>
      <c r="E1202" t="s">
        <v>83</v>
      </c>
      <c r="F1202" t="s">
        <v>2357</v>
      </c>
      <c r="G1202">
        <v>4500289967</v>
      </c>
      <c r="H1202" t="s">
        <v>3334</v>
      </c>
      <c r="I1202" t="s">
        <v>85</v>
      </c>
      <c r="J1202" t="s">
        <v>83</v>
      </c>
      <c r="K1202" s="1">
        <v>76938.48</v>
      </c>
      <c r="L1202" s="1">
        <v>76938.48</v>
      </c>
      <c r="M1202" t="str">
        <f>IFERROR(IF(VLOOKUP(LEFT(B1202,2),'Humanitarian codes'!$A$2:$A$10,1,FALSE)=LEFT(B1202,2),"Yes","Error"),"No")</f>
        <v>Yes</v>
      </c>
    </row>
    <row r="1203" spans="1:13" x14ac:dyDescent="0.25">
      <c r="A1203" t="s">
        <v>3331</v>
      </c>
      <c r="B1203" t="s">
        <v>1243</v>
      </c>
      <c r="C1203" t="s">
        <v>1244</v>
      </c>
      <c r="D1203" t="s">
        <v>30</v>
      </c>
      <c r="E1203" t="s">
        <v>32</v>
      </c>
      <c r="F1203" t="s">
        <v>3438</v>
      </c>
      <c r="G1203">
        <v>4500285100</v>
      </c>
      <c r="H1203" t="s">
        <v>3334</v>
      </c>
      <c r="I1203" t="s">
        <v>3439</v>
      </c>
      <c r="J1203" t="s">
        <v>32</v>
      </c>
      <c r="K1203" s="1">
        <v>99545</v>
      </c>
      <c r="L1203" s="1">
        <v>99545</v>
      </c>
      <c r="M1203" t="str">
        <f>IFERROR(IF(VLOOKUP(LEFT(B1203,2),'Humanitarian codes'!$A$2:$A$10,1,FALSE)=LEFT(B1203,2),"Yes","Error"),"No")</f>
        <v>Yes</v>
      </c>
    </row>
    <row r="1204" spans="1:13" x14ac:dyDescent="0.25">
      <c r="A1204" t="s">
        <v>3331</v>
      </c>
      <c r="B1204" t="s">
        <v>3440</v>
      </c>
      <c r="C1204" t="s">
        <v>3441</v>
      </c>
      <c r="D1204" t="s">
        <v>30</v>
      </c>
      <c r="E1204" t="s">
        <v>1346</v>
      </c>
      <c r="F1204" t="s">
        <v>3442</v>
      </c>
      <c r="G1204">
        <v>4500296518</v>
      </c>
      <c r="H1204" t="s">
        <v>3334</v>
      </c>
      <c r="I1204" t="s">
        <v>2041</v>
      </c>
      <c r="J1204" t="s">
        <v>1346</v>
      </c>
      <c r="K1204" s="1">
        <v>941921</v>
      </c>
      <c r="L1204" s="1">
        <v>941921</v>
      </c>
      <c r="M1204" t="str">
        <f>IFERROR(IF(VLOOKUP(LEFT(B1204,2),'Humanitarian codes'!$A$2:$A$10,1,FALSE)=LEFT(B1204,2),"Yes","Error"),"No")</f>
        <v>Yes</v>
      </c>
    </row>
    <row r="1205" spans="1:13" x14ac:dyDescent="0.25">
      <c r="A1205" t="s">
        <v>3331</v>
      </c>
      <c r="B1205" t="s">
        <v>3443</v>
      </c>
      <c r="C1205" t="s">
        <v>3444</v>
      </c>
      <c r="D1205" t="s">
        <v>30</v>
      </c>
      <c r="E1205" t="s">
        <v>257</v>
      </c>
      <c r="F1205" t="s">
        <v>3445</v>
      </c>
      <c r="G1205">
        <v>4500282253</v>
      </c>
      <c r="H1205" t="s">
        <v>3334</v>
      </c>
      <c r="I1205" t="s">
        <v>3446</v>
      </c>
      <c r="J1205" t="s">
        <v>257</v>
      </c>
      <c r="K1205" s="1">
        <v>73019.58</v>
      </c>
      <c r="L1205" s="1">
        <v>73019.58</v>
      </c>
      <c r="M1205" t="str">
        <f>IFERROR(IF(VLOOKUP(LEFT(B1205,2),'Humanitarian codes'!$A$2:$A$10,1,FALSE)=LEFT(B1205,2),"Yes","Error"),"No")</f>
        <v>Yes</v>
      </c>
    </row>
    <row r="1206" spans="1:13" x14ac:dyDescent="0.25">
      <c r="A1206" t="s">
        <v>3331</v>
      </c>
      <c r="B1206" t="s">
        <v>3447</v>
      </c>
      <c r="C1206" t="s">
        <v>3448</v>
      </c>
      <c r="D1206" t="s">
        <v>30</v>
      </c>
      <c r="E1206" t="s">
        <v>72</v>
      </c>
      <c r="F1206" t="s">
        <v>3449</v>
      </c>
      <c r="G1206">
        <v>4500287823</v>
      </c>
      <c r="H1206" t="s">
        <v>3334</v>
      </c>
      <c r="I1206" t="s">
        <v>3450</v>
      </c>
      <c r="J1206" t="s">
        <v>402</v>
      </c>
      <c r="K1206" s="1">
        <v>1099128.54</v>
      </c>
      <c r="L1206" s="1">
        <v>1099128.54</v>
      </c>
      <c r="M1206" t="str">
        <f>IFERROR(IF(VLOOKUP(LEFT(B1206,2),'Humanitarian codes'!$A$2:$A$10,1,FALSE)=LEFT(B1206,2),"Yes","Error"),"No")</f>
        <v>Yes</v>
      </c>
    </row>
    <row r="1207" spans="1:13" x14ac:dyDescent="0.25">
      <c r="A1207" t="s">
        <v>3331</v>
      </c>
      <c r="B1207" t="s">
        <v>3451</v>
      </c>
      <c r="C1207" t="s">
        <v>3452</v>
      </c>
      <c r="D1207" t="s">
        <v>30</v>
      </c>
      <c r="E1207" t="s">
        <v>175</v>
      </c>
      <c r="F1207" t="s">
        <v>3453</v>
      </c>
      <c r="G1207">
        <v>4500279611</v>
      </c>
      <c r="H1207" t="s">
        <v>3334</v>
      </c>
      <c r="I1207" t="s">
        <v>685</v>
      </c>
      <c r="J1207" t="s">
        <v>175</v>
      </c>
      <c r="K1207" s="1">
        <v>102199.01</v>
      </c>
      <c r="L1207" s="1">
        <v>102199.01</v>
      </c>
      <c r="M1207" t="str">
        <f>IFERROR(IF(VLOOKUP(LEFT(B1207,2),'Humanitarian codes'!$A$2:$A$10,1,FALSE)=LEFT(B1207,2),"Yes","Error"),"No")</f>
        <v>Yes</v>
      </c>
    </row>
    <row r="1208" spans="1:13" x14ac:dyDescent="0.25">
      <c r="A1208" t="s">
        <v>3331</v>
      </c>
      <c r="B1208" t="s">
        <v>3451</v>
      </c>
      <c r="C1208" t="s">
        <v>3452</v>
      </c>
      <c r="D1208" t="s">
        <v>30</v>
      </c>
      <c r="E1208" t="s">
        <v>175</v>
      </c>
      <c r="F1208" t="s">
        <v>3454</v>
      </c>
      <c r="G1208">
        <v>4500283241</v>
      </c>
      <c r="H1208" t="s">
        <v>3334</v>
      </c>
      <c r="I1208" t="s">
        <v>185</v>
      </c>
      <c r="J1208" t="s">
        <v>175</v>
      </c>
      <c r="K1208" s="1">
        <v>44999.87</v>
      </c>
      <c r="L1208" s="1">
        <v>44999.87</v>
      </c>
      <c r="M1208" t="str">
        <f>IFERROR(IF(VLOOKUP(LEFT(B1208,2),'Humanitarian codes'!$A$2:$A$10,1,FALSE)=LEFT(B1208,2),"Yes","Error"),"No")</f>
        <v>Yes</v>
      </c>
    </row>
    <row r="1209" spans="1:13" x14ac:dyDescent="0.25">
      <c r="A1209" t="s">
        <v>3331</v>
      </c>
      <c r="B1209" t="s">
        <v>3451</v>
      </c>
      <c r="C1209" t="s">
        <v>3452</v>
      </c>
      <c r="D1209" t="s">
        <v>30</v>
      </c>
      <c r="E1209" t="s">
        <v>175</v>
      </c>
      <c r="F1209" t="s">
        <v>3455</v>
      </c>
      <c r="G1209">
        <v>4500284041</v>
      </c>
      <c r="H1209" t="s">
        <v>3334</v>
      </c>
      <c r="I1209" t="s">
        <v>183</v>
      </c>
      <c r="J1209" t="s">
        <v>184</v>
      </c>
      <c r="K1209" s="1">
        <v>322900</v>
      </c>
      <c r="L1209" s="1">
        <v>322900</v>
      </c>
      <c r="M1209" t="str">
        <f>IFERROR(IF(VLOOKUP(LEFT(B1209,2),'Humanitarian codes'!$A$2:$A$10,1,FALSE)=LEFT(B1209,2),"Yes","Error"),"No")</f>
        <v>Yes</v>
      </c>
    </row>
    <row r="1210" spans="1:13" x14ac:dyDescent="0.25">
      <c r="A1210" t="s">
        <v>3331</v>
      </c>
      <c r="B1210" t="s">
        <v>3451</v>
      </c>
      <c r="C1210" t="s">
        <v>3452</v>
      </c>
      <c r="D1210" t="s">
        <v>30</v>
      </c>
      <c r="E1210" t="s">
        <v>175</v>
      </c>
      <c r="F1210" t="s">
        <v>3456</v>
      </c>
      <c r="G1210">
        <v>4500284075</v>
      </c>
      <c r="H1210" t="s">
        <v>3334</v>
      </c>
      <c r="I1210" t="s">
        <v>1833</v>
      </c>
      <c r="J1210" t="s">
        <v>175</v>
      </c>
      <c r="K1210" s="1">
        <v>42750.62</v>
      </c>
      <c r="L1210" s="1">
        <v>42750.62</v>
      </c>
      <c r="M1210" t="str">
        <f>IFERROR(IF(VLOOKUP(LEFT(B1210,2),'Humanitarian codes'!$A$2:$A$10,1,FALSE)=LEFT(B1210,2),"Yes","Error"),"No")</f>
        <v>Yes</v>
      </c>
    </row>
    <row r="1211" spans="1:13" x14ac:dyDescent="0.25">
      <c r="A1211" t="s">
        <v>3331</v>
      </c>
      <c r="B1211" t="s">
        <v>3451</v>
      </c>
      <c r="C1211" t="s">
        <v>3452</v>
      </c>
      <c r="D1211" t="s">
        <v>30</v>
      </c>
      <c r="E1211" t="s">
        <v>175</v>
      </c>
      <c r="F1211" t="s">
        <v>3457</v>
      </c>
      <c r="G1211">
        <v>4500284189</v>
      </c>
      <c r="H1211" t="s">
        <v>3334</v>
      </c>
      <c r="I1211" t="s">
        <v>1831</v>
      </c>
      <c r="J1211" t="s">
        <v>175</v>
      </c>
      <c r="K1211" s="1">
        <v>26503.14</v>
      </c>
      <c r="L1211" s="1">
        <v>26503.14</v>
      </c>
      <c r="M1211" t="str">
        <f>IFERROR(IF(VLOOKUP(LEFT(B1211,2),'Humanitarian codes'!$A$2:$A$10,1,FALSE)=LEFT(B1211,2),"Yes","Error"),"No")</f>
        <v>Yes</v>
      </c>
    </row>
    <row r="1212" spans="1:13" x14ac:dyDescent="0.25">
      <c r="A1212" t="s">
        <v>3331</v>
      </c>
      <c r="B1212" t="s">
        <v>3451</v>
      </c>
      <c r="C1212" t="s">
        <v>3452</v>
      </c>
      <c r="D1212" t="s">
        <v>30</v>
      </c>
      <c r="E1212" t="s">
        <v>175</v>
      </c>
      <c r="F1212" t="s">
        <v>3458</v>
      </c>
      <c r="G1212">
        <v>4500284215</v>
      </c>
      <c r="H1212" t="s">
        <v>3334</v>
      </c>
      <c r="I1212" t="s">
        <v>186</v>
      </c>
      <c r="J1212" t="s">
        <v>175</v>
      </c>
      <c r="K1212" s="1">
        <v>70052.91</v>
      </c>
      <c r="L1212" s="1">
        <v>70052.91</v>
      </c>
      <c r="M1212" t="str">
        <f>IFERROR(IF(VLOOKUP(LEFT(B1212,2),'Humanitarian codes'!$A$2:$A$10,1,FALSE)=LEFT(B1212,2),"Yes","Error"),"No")</f>
        <v>Yes</v>
      </c>
    </row>
    <row r="1213" spans="1:13" x14ac:dyDescent="0.25">
      <c r="A1213" t="s">
        <v>3331</v>
      </c>
      <c r="B1213" t="s">
        <v>3451</v>
      </c>
      <c r="C1213" t="s">
        <v>3452</v>
      </c>
      <c r="D1213" t="s">
        <v>30</v>
      </c>
      <c r="E1213" t="s">
        <v>175</v>
      </c>
      <c r="F1213" t="s">
        <v>2200</v>
      </c>
      <c r="G1213">
        <v>4500286912</v>
      </c>
      <c r="H1213" t="s">
        <v>3334</v>
      </c>
      <c r="I1213" t="s">
        <v>1832</v>
      </c>
      <c r="J1213" t="s">
        <v>175</v>
      </c>
      <c r="K1213" s="1">
        <v>101470.59</v>
      </c>
      <c r="L1213" s="1">
        <v>101470.59</v>
      </c>
      <c r="M1213" t="str">
        <f>IFERROR(IF(VLOOKUP(LEFT(B1213,2),'Humanitarian codes'!$A$2:$A$10,1,FALSE)=LEFT(B1213,2),"Yes","Error"),"No")</f>
        <v>Yes</v>
      </c>
    </row>
    <row r="1214" spans="1:13" x14ac:dyDescent="0.25">
      <c r="A1214" t="s">
        <v>3331</v>
      </c>
      <c r="B1214" t="s">
        <v>3451</v>
      </c>
      <c r="C1214" t="s">
        <v>3452</v>
      </c>
      <c r="D1214" t="s">
        <v>30</v>
      </c>
      <c r="E1214" t="s">
        <v>175</v>
      </c>
      <c r="F1214" t="s">
        <v>2200</v>
      </c>
      <c r="G1214">
        <v>4500287061</v>
      </c>
      <c r="H1214" t="s">
        <v>3334</v>
      </c>
      <c r="I1214" t="s">
        <v>2974</v>
      </c>
      <c r="J1214" t="s">
        <v>175</v>
      </c>
      <c r="K1214" s="1">
        <v>157515.34</v>
      </c>
      <c r="L1214" s="1">
        <v>157515.34</v>
      </c>
      <c r="M1214" t="str">
        <f>IFERROR(IF(VLOOKUP(LEFT(B1214,2),'Humanitarian codes'!$A$2:$A$10,1,FALSE)=LEFT(B1214,2),"Yes","Error"),"No")</f>
        <v>Yes</v>
      </c>
    </row>
    <row r="1215" spans="1:13" x14ac:dyDescent="0.25">
      <c r="A1215" t="s">
        <v>3331</v>
      </c>
      <c r="B1215" t="s">
        <v>3451</v>
      </c>
      <c r="C1215" t="s">
        <v>3452</v>
      </c>
      <c r="D1215" t="s">
        <v>30</v>
      </c>
      <c r="E1215" t="s">
        <v>175</v>
      </c>
      <c r="F1215" t="s">
        <v>2357</v>
      </c>
      <c r="G1215">
        <v>4500287071</v>
      </c>
      <c r="H1215" t="s">
        <v>3334</v>
      </c>
      <c r="I1215" t="s">
        <v>887</v>
      </c>
      <c r="J1215" t="s">
        <v>175</v>
      </c>
      <c r="K1215" s="1">
        <v>151368</v>
      </c>
      <c r="L1215" s="1">
        <v>151368</v>
      </c>
      <c r="M1215" t="str">
        <f>IFERROR(IF(VLOOKUP(LEFT(B1215,2),'Humanitarian codes'!$A$2:$A$10,1,FALSE)=LEFT(B1215,2),"Yes","Error"),"No")</f>
        <v>Yes</v>
      </c>
    </row>
    <row r="1216" spans="1:13" x14ac:dyDescent="0.25">
      <c r="A1216" t="s">
        <v>3331</v>
      </c>
      <c r="B1216" t="s">
        <v>3451</v>
      </c>
      <c r="C1216" t="s">
        <v>3452</v>
      </c>
      <c r="D1216" t="s">
        <v>30</v>
      </c>
      <c r="E1216" t="s">
        <v>175</v>
      </c>
      <c r="F1216" t="s">
        <v>3459</v>
      </c>
      <c r="G1216">
        <v>4500290671</v>
      </c>
      <c r="H1216" t="s">
        <v>3334</v>
      </c>
      <c r="I1216" t="s">
        <v>187</v>
      </c>
      <c r="J1216" t="s">
        <v>175</v>
      </c>
      <c r="K1216" s="1">
        <v>79831.929999999993</v>
      </c>
      <c r="L1216" s="1">
        <v>79831.929999999993</v>
      </c>
      <c r="M1216" t="str">
        <f>IFERROR(IF(VLOOKUP(LEFT(B1216,2),'Humanitarian codes'!$A$2:$A$10,1,FALSE)=LEFT(B1216,2),"Yes","Error"),"No")</f>
        <v>Yes</v>
      </c>
    </row>
    <row r="1217" spans="1:13" x14ac:dyDescent="0.25">
      <c r="A1217" t="s">
        <v>3331</v>
      </c>
      <c r="B1217" t="s">
        <v>3460</v>
      </c>
      <c r="C1217" t="s">
        <v>3461</v>
      </c>
      <c r="D1217" t="s">
        <v>30</v>
      </c>
      <c r="E1217" t="s">
        <v>197</v>
      </c>
      <c r="F1217" t="s">
        <v>3462</v>
      </c>
      <c r="G1217">
        <v>4500279103</v>
      </c>
      <c r="H1217" t="s">
        <v>3334</v>
      </c>
      <c r="I1217" t="s">
        <v>861</v>
      </c>
      <c r="J1217" t="s">
        <v>197</v>
      </c>
      <c r="K1217" s="1">
        <v>54887.59</v>
      </c>
      <c r="L1217" s="1">
        <v>54887.59</v>
      </c>
      <c r="M1217" t="str">
        <f>IFERROR(IF(VLOOKUP(LEFT(B1217,2),'Humanitarian codes'!$A$2:$A$10,1,FALSE)=LEFT(B1217,2),"Yes","Error"),"No")</f>
        <v>Yes</v>
      </c>
    </row>
    <row r="1218" spans="1:13" x14ac:dyDescent="0.25">
      <c r="A1218" t="s">
        <v>3331</v>
      </c>
      <c r="B1218" t="s">
        <v>3460</v>
      </c>
      <c r="C1218" t="s">
        <v>3461</v>
      </c>
      <c r="D1218" t="s">
        <v>30</v>
      </c>
      <c r="E1218" t="s">
        <v>197</v>
      </c>
      <c r="F1218" t="s">
        <v>3463</v>
      </c>
      <c r="G1218">
        <v>4500280303</v>
      </c>
      <c r="H1218" t="s">
        <v>3334</v>
      </c>
      <c r="I1218" t="s">
        <v>1277</v>
      </c>
      <c r="J1218" t="s">
        <v>197</v>
      </c>
      <c r="K1218" s="1">
        <v>62626.73</v>
      </c>
      <c r="L1218" s="1">
        <v>62626.73</v>
      </c>
      <c r="M1218" t="str">
        <f>IFERROR(IF(VLOOKUP(LEFT(B1218,2),'Humanitarian codes'!$A$2:$A$10,1,FALSE)=LEFT(B1218,2),"Yes","Error"),"No")</f>
        <v>Yes</v>
      </c>
    </row>
    <row r="1219" spans="1:13" x14ac:dyDescent="0.25">
      <c r="A1219" t="s">
        <v>3331</v>
      </c>
      <c r="B1219" t="s">
        <v>3460</v>
      </c>
      <c r="C1219" t="s">
        <v>3461</v>
      </c>
      <c r="D1219" t="s">
        <v>30</v>
      </c>
      <c r="E1219" t="s">
        <v>197</v>
      </c>
      <c r="F1219" t="s">
        <v>3464</v>
      </c>
      <c r="G1219">
        <v>4500282055</v>
      </c>
      <c r="H1219" t="s">
        <v>3334</v>
      </c>
      <c r="I1219" t="s">
        <v>1373</v>
      </c>
      <c r="J1219" t="s">
        <v>197</v>
      </c>
      <c r="K1219" s="1">
        <v>24673.42</v>
      </c>
      <c r="L1219" s="1">
        <v>24673.42</v>
      </c>
      <c r="M1219" t="str">
        <f>IFERROR(IF(VLOOKUP(LEFT(B1219,2),'Humanitarian codes'!$A$2:$A$10,1,FALSE)=LEFT(B1219,2),"Yes","Error"),"No")</f>
        <v>Yes</v>
      </c>
    </row>
    <row r="1220" spans="1:13" x14ac:dyDescent="0.25">
      <c r="A1220" t="s">
        <v>3331</v>
      </c>
      <c r="B1220" t="s">
        <v>3460</v>
      </c>
      <c r="C1220" t="s">
        <v>3461</v>
      </c>
      <c r="D1220" t="s">
        <v>30</v>
      </c>
      <c r="E1220" t="s">
        <v>197</v>
      </c>
      <c r="F1220" t="s">
        <v>3465</v>
      </c>
      <c r="G1220">
        <v>4500283751</v>
      </c>
      <c r="H1220" t="s">
        <v>3334</v>
      </c>
      <c r="I1220" t="s">
        <v>3466</v>
      </c>
      <c r="J1220" t="s">
        <v>197</v>
      </c>
      <c r="K1220" s="1">
        <v>4442.87</v>
      </c>
      <c r="L1220" s="1">
        <v>4442.87</v>
      </c>
      <c r="M1220" t="str">
        <f>IFERROR(IF(VLOOKUP(LEFT(B1220,2),'Humanitarian codes'!$A$2:$A$10,1,FALSE)=LEFT(B1220,2),"Yes","Error"),"No")</f>
        <v>Yes</v>
      </c>
    </row>
    <row r="1221" spans="1:13" x14ac:dyDescent="0.25">
      <c r="A1221" t="s">
        <v>3331</v>
      </c>
      <c r="B1221" t="s">
        <v>3460</v>
      </c>
      <c r="C1221" t="s">
        <v>3461</v>
      </c>
      <c r="D1221" t="s">
        <v>30</v>
      </c>
      <c r="E1221" t="s">
        <v>197</v>
      </c>
      <c r="F1221" t="s">
        <v>3467</v>
      </c>
      <c r="G1221">
        <v>4500292008</v>
      </c>
      <c r="H1221" t="s">
        <v>3334</v>
      </c>
      <c r="I1221" t="s">
        <v>2389</v>
      </c>
      <c r="J1221" t="s">
        <v>197</v>
      </c>
      <c r="K1221" s="1">
        <v>6298.82</v>
      </c>
      <c r="L1221" s="1">
        <v>6298.82</v>
      </c>
      <c r="M1221" t="str">
        <f>IFERROR(IF(VLOOKUP(LEFT(B1221,2),'Humanitarian codes'!$A$2:$A$10,1,FALSE)=LEFT(B1221,2),"Yes","Error"),"No")</f>
        <v>Yes</v>
      </c>
    </row>
    <row r="1222" spans="1:13" x14ac:dyDescent="0.25">
      <c r="A1222" t="s">
        <v>3331</v>
      </c>
      <c r="B1222" t="s">
        <v>3460</v>
      </c>
      <c r="C1222" t="s">
        <v>3461</v>
      </c>
      <c r="D1222" t="s">
        <v>30</v>
      </c>
      <c r="E1222" t="s">
        <v>197</v>
      </c>
      <c r="F1222" t="s">
        <v>3468</v>
      </c>
      <c r="G1222">
        <v>4500292011</v>
      </c>
      <c r="H1222" t="s">
        <v>3334</v>
      </c>
      <c r="I1222" t="s">
        <v>863</v>
      </c>
      <c r="J1222" t="s">
        <v>197</v>
      </c>
      <c r="K1222" s="1">
        <v>23606.84</v>
      </c>
      <c r="L1222" s="1">
        <v>23606.84</v>
      </c>
      <c r="M1222" t="str">
        <f>IFERROR(IF(VLOOKUP(LEFT(B1222,2),'Humanitarian codes'!$A$2:$A$10,1,FALSE)=LEFT(B1222,2),"Yes","Error"),"No")</f>
        <v>Yes</v>
      </c>
    </row>
    <row r="1223" spans="1:13" x14ac:dyDescent="0.25">
      <c r="A1223" t="s">
        <v>3331</v>
      </c>
      <c r="B1223" t="s">
        <v>3460</v>
      </c>
      <c r="C1223" t="s">
        <v>3461</v>
      </c>
      <c r="D1223" t="s">
        <v>30</v>
      </c>
      <c r="E1223" t="s">
        <v>864</v>
      </c>
      <c r="F1223" t="s">
        <v>3469</v>
      </c>
      <c r="G1223">
        <v>4500289867</v>
      </c>
      <c r="H1223" t="s">
        <v>3334</v>
      </c>
      <c r="I1223" t="s">
        <v>865</v>
      </c>
      <c r="J1223" t="s">
        <v>864</v>
      </c>
      <c r="K1223" s="1">
        <v>42900.93</v>
      </c>
      <c r="L1223" s="1">
        <v>42900.93</v>
      </c>
      <c r="M1223" t="str">
        <f>IFERROR(IF(VLOOKUP(LEFT(B1223,2),'Humanitarian codes'!$A$2:$A$10,1,FALSE)=LEFT(B1223,2),"Yes","Error"),"No")</f>
        <v>Yes</v>
      </c>
    </row>
    <row r="1224" spans="1:13" x14ac:dyDescent="0.25">
      <c r="A1224" t="s">
        <v>3331</v>
      </c>
      <c r="B1224" t="s">
        <v>3460</v>
      </c>
      <c r="C1224" t="s">
        <v>3461</v>
      </c>
      <c r="D1224" t="s">
        <v>30</v>
      </c>
      <c r="E1224" t="s">
        <v>1278</v>
      </c>
      <c r="F1224" t="s">
        <v>2200</v>
      </c>
      <c r="G1224">
        <v>4500278489</v>
      </c>
      <c r="H1224" t="s">
        <v>3334</v>
      </c>
      <c r="I1224" t="s">
        <v>1461</v>
      </c>
      <c r="J1224" t="s">
        <v>1278</v>
      </c>
      <c r="K1224" s="1">
        <v>22302.09</v>
      </c>
      <c r="L1224" s="1">
        <v>22302.09</v>
      </c>
      <c r="M1224" t="str">
        <f>IFERROR(IF(VLOOKUP(LEFT(B1224,2),'Humanitarian codes'!$A$2:$A$10,1,FALSE)=LEFT(B1224,2),"Yes","Error"),"No")</f>
        <v>Yes</v>
      </c>
    </row>
    <row r="1225" spans="1:13" x14ac:dyDescent="0.25">
      <c r="A1225" t="s">
        <v>3331</v>
      </c>
      <c r="B1225" t="s">
        <v>3460</v>
      </c>
      <c r="C1225" t="s">
        <v>3461</v>
      </c>
      <c r="D1225" t="s">
        <v>30</v>
      </c>
      <c r="E1225" t="s">
        <v>201</v>
      </c>
      <c r="F1225" t="s">
        <v>3470</v>
      </c>
      <c r="G1225">
        <v>4500300563</v>
      </c>
      <c r="H1225" t="s">
        <v>3334</v>
      </c>
      <c r="I1225" t="s">
        <v>202</v>
      </c>
      <c r="J1225" t="s">
        <v>201</v>
      </c>
      <c r="K1225" s="1">
        <v>7165.9</v>
      </c>
      <c r="L1225" s="1">
        <v>7165.9</v>
      </c>
      <c r="M1225" t="str">
        <f>IFERROR(IF(VLOOKUP(LEFT(B1225,2),'Humanitarian codes'!$A$2:$A$10,1,FALSE)=LEFT(B1225,2),"Yes","Error"),"No")</f>
        <v>Yes</v>
      </c>
    </row>
    <row r="1226" spans="1:13" x14ac:dyDescent="0.25">
      <c r="A1226" t="s">
        <v>3331</v>
      </c>
      <c r="B1226" t="s">
        <v>3460</v>
      </c>
      <c r="C1226" t="s">
        <v>3461</v>
      </c>
      <c r="D1226" t="s">
        <v>30</v>
      </c>
      <c r="E1226" t="s">
        <v>205</v>
      </c>
      <c r="F1226" t="s">
        <v>3471</v>
      </c>
      <c r="G1226">
        <v>4500280653</v>
      </c>
      <c r="H1226" t="s">
        <v>3334</v>
      </c>
      <c r="I1226" t="s">
        <v>3472</v>
      </c>
      <c r="J1226" t="s">
        <v>205</v>
      </c>
      <c r="K1226" s="1">
        <v>350813.22</v>
      </c>
      <c r="L1226" s="1">
        <v>350813.22</v>
      </c>
      <c r="M1226" t="str">
        <f>IFERROR(IF(VLOOKUP(LEFT(B1226,2),'Humanitarian codes'!$A$2:$A$10,1,FALSE)=LEFT(B1226,2),"Yes","Error"),"No")</f>
        <v>Yes</v>
      </c>
    </row>
    <row r="1227" spans="1:13" x14ac:dyDescent="0.25">
      <c r="A1227" t="s">
        <v>3331</v>
      </c>
      <c r="B1227" t="s">
        <v>3460</v>
      </c>
      <c r="C1227" t="s">
        <v>3461</v>
      </c>
      <c r="D1227" t="s">
        <v>30</v>
      </c>
      <c r="E1227" t="s">
        <v>205</v>
      </c>
      <c r="F1227" t="s">
        <v>3473</v>
      </c>
      <c r="G1227">
        <v>4500288629</v>
      </c>
      <c r="H1227" t="s">
        <v>3334</v>
      </c>
      <c r="I1227" t="s">
        <v>869</v>
      </c>
      <c r="J1227" t="s">
        <v>205</v>
      </c>
      <c r="K1227" s="1">
        <v>50000</v>
      </c>
      <c r="L1227" s="1">
        <v>50000</v>
      </c>
      <c r="M1227" t="str">
        <f>IFERROR(IF(VLOOKUP(LEFT(B1227,2),'Humanitarian codes'!$A$2:$A$10,1,FALSE)=LEFT(B1227,2),"Yes","Error"),"No")</f>
        <v>Yes</v>
      </c>
    </row>
    <row r="1228" spans="1:13" x14ac:dyDescent="0.25">
      <c r="A1228" t="s">
        <v>3331</v>
      </c>
      <c r="B1228" t="s">
        <v>3460</v>
      </c>
      <c r="C1228" t="s">
        <v>3461</v>
      </c>
      <c r="D1228" t="s">
        <v>30</v>
      </c>
      <c r="E1228" t="s">
        <v>210</v>
      </c>
      <c r="F1228" t="s">
        <v>3474</v>
      </c>
      <c r="G1228">
        <v>4500277807</v>
      </c>
      <c r="H1228" t="s">
        <v>3334</v>
      </c>
      <c r="I1228" t="s">
        <v>215</v>
      </c>
      <c r="J1228" t="s">
        <v>210</v>
      </c>
      <c r="K1228" s="1">
        <v>43000</v>
      </c>
      <c r="L1228" s="1">
        <v>43000</v>
      </c>
      <c r="M1228" t="str">
        <f>IFERROR(IF(VLOOKUP(LEFT(B1228,2),'Humanitarian codes'!$A$2:$A$10,1,FALSE)=LEFT(B1228,2),"Yes","Error"),"No")</f>
        <v>Yes</v>
      </c>
    </row>
    <row r="1229" spans="1:13" x14ac:dyDescent="0.25">
      <c r="A1229" t="s">
        <v>3331</v>
      </c>
      <c r="B1229" t="s">
        <v>3460</v>
      </c>
      <c r="C1229" t="s">
        <v>3461</v>
      </c>
      <c r="D1229" t="s">
        <v>30</v>
      </c>
      <c r="E1229" t="s">
        <v>1048</v>
      </c>
      <c r="F1229" t="s">
        <v>2200</v>
      </c>
      <c r="G1229">
        <v>4500285917</v>
      </c>
      <c r="H1229" t="s">
        <v>3334</v>
      </c>
      <c r="I1229" t="s">
        <v>1049</v>
      </c>
      <c r="J1229" t="s">
        <v>1048</v>
      </c>
      <c r="K1229" s="1">
        <v>29000</v>
      </c>
      <c r="L1229" s="1">
        <v>29000</v>
      </c>
      <c r="M1229" t="str">
        <f>IFERROR(IF(VLOOKUP(LEFT(B1229,2),'Humanitarian codes'!$A$2:$A$10,1,FALSE)=LEFT(B1229,2),"Yes","Error"),"No")</f>
        <v>Yes</v>
      </c>
    </row>
    <row r="1230" spans="1:13" x14ac:dyDescent="0.25">
      <c r="A1230" t="s">
        <v>3331</v>
      </c>
      <c r="B1230" t="s">
        <v>3460</v>
      </c>
      <c r="C1230" t="s">
        <v>3461</v>
      </c>
      <c r="D1230" t="s">
        <v>30</v>
      </c>
      <c r="E1230" t="s">
        <v>885</v>
      </c>
      <c r="F1230" t="s">
        <v>3475</v>
      </c>
      <c r="G1230">
        <v>4500300909</v>
      </c>
      <c r="H1230" t="s">
        <v>3334</v>
      </c>
      <c r="I1230" t="s">
        <v>3476</v>
      </c>
      <c r="J1230" t="s">
        <v>885</v>
      </c>
      <c r="K1230" s="1">
        <v>2000</v>
      </c>
      <c r="L1230" s="1">
        <v>2000</v>
      </c>
      <c r="M1230" t="str">
        <f>IFERROR(IF(VLOOKUP(LEFT(B1230,2),'Humanitarian codes'!$A$2:$A$10,1,FALSE)=LEFT(B1230,2),"Yes","Error"),"No")</f>
        <v>Yes</v>
      </c>
    </row>
    <row r="1231" spans="1:13" x14ac:dyDescent="0.25">
      <c r="A1231" t="s">
        <v>3331</v>
      </c>
      <c r="B1231" t="s">
        <v>3328</v>
      </c>
      <c r="C1231" t="s">
        <v>3329</v>
      </c>
      <c r="D1231" t="s">
        <v>30</v>
      </c>
      <c r="E1231" t="s">
        <v>3396</v>
      </c>
      <c r="F1231" t="s">
        <v>3477</v>
      </c>
      <c r="G1231">
        <v>4500291440</v>
      </c>
      <c r="H1231" t="s">
        <v>3334</v>
      </c>
      <c r="I1231" t="s">
        <v>3400</v>
      </c>
      <c r="J1231" t="s">
        <v>3396</v>
      </c>
      <c r="K1231" s="1">
        <v>29388.63</v>
      </c>
      <c r="L1231" s="1">
        <v>29388.63</v>
      </c>
      <c r="M1231" t="str">
        <f>IFERROR(IF(VLOOKUP(LEFT(B1231,2),'Humanitarian codes'!$A$2:$A$10,1,FALSE)=LEFT(B1231,2),"Yes","Error"),"No")</f>
        <v>Yes</v>
      </c>
    </row>
    <row r="1232" spans="1:13" x14ac:dyDescent="0.25">
      <c r="A1232" t="s">
        <v>3331</v>
      </c>
      <c r="B1232" t="s">
        <v>3328</v>
      </c>
      <c r="C1232" t="s">
        <v>3329</v>
      </c>
      <c r="D1232" t="s">
        <v>30</v>
      </c>
      <c r="E1232" t="s">
        <v>289</v>
      </c>
      <c r="F1232" t="s">
        <v>3478</v>
      </c>
      <c r="G1232">
        <v>4500280222</v>
      </c>
      <c r="H1232" t="s">
        <v>3334</v>
      </c>
      <c r="I1232" t="s">
        <v>291</v>
      </c>
      <c r="J1232" t="s">
        <v>289</v>
      </c>
      <c r="K1232" s="1">
        <v>25500</v>
      </c>
      <c r="L1232" s="1">
        <v>25500</v>
      </c>
      <c r="M1232" t="str">
        <f>IFERROR(IF(VLOOKUP(LEFT(B1232,2),'Humanitarian codes'!$A$2:$A$10,1,FALSE)=LEFT(B1232,2),"Yes","Error"),"No")</f>
        <v>Yes</v>
      </c>
    </row>
    <row r="1233" spans="1:13" x14ac:dyDescent="0.25">
      <c r="A1233" t="s">
        <v>3331</v>
      </c>
      <c r="B1233" t="s">
        <v>3328</v>
      </c>
      <c r="C1233" t="s">
        <v>3329</v>
      </c>
      <c r="D1233" t="s">
        <v>30</v>
      </c>
      <c r="E1233" t="s">
        <v>289</v>
      </c>
      <c r="F1233" t="s">
        <v>2200</v>
      </c>
      <c r="G1233">
        <v>4500283620</v>
      </c>
      <c r="H1233" t="s">
        <v>3334</v>
      </c>
      <c r="I1233" t="s">
        <v>1710</v>
      </c>
      <c r="J1233" t="s">
        <v>289</v>
      </c>
      <c r="K1233" s="1">
        <v>80000</v>
      </c>
      <c r="L1233" s="1">
        <v>80000</v>
      </c>
      <c r="M1233" t="str">
        <f>IFERROR(IF(VLOOKUP(LEFT(B1233,2),'Humanitarian codes'!$A$2:$A$10,1,FALSE)=LEFT(B1233,2),"Yes","Error"),"No")</f>
        <v>Yes</v>
      </c>
    </row>
    <row r="1234" spans="1:13" x14ac:dyDescent="0.25">
      <c r="A1234" t="s">
        <v>3331</v>
      </c>
      <c r="B1234" t="s">
        <v>3328</v>
      </c>
      <c r="C1234" t="s">
        <v>3329</v>
      </c>
      <c r="D1234" t="s">
        <v>30</v>
      </c>
      <c r="E1234" t="s">
        <v>289</v>
      </c>
      <c r="F1234" t="s">
        <v>2200</v>
      </c>
      <c r="G1234">
        <v>4500287161</v>
      </c>
      <c r="H1234" t="s">
        <v>3334</v>
      </c>
      <c r="I1234" t="s">
        <v>372</v>
      </c>
      <c r="J1234" t="s">
        <v>289</v>
      </c>
      <c r="K1234" s="1">
        <v>24990</v>
      </c>
      <c r="L1234" s="1">
        <v>24990</v>
      </c>
      <c r="M1234" t="str">
        <f>IFERROR(IF(VLOOKUP(LEFT(B1234,2),'Humanitarian codes'!$A$2:$A$10,1,FALSE)=LEFT(B1234,2),"Yes","Error"),"No")</f>
        <v>Yes</v>
      </c>
    </row>
    <row r="1235" spans="1:13" x14ac:dyDescent="0.25">
      <c r="A1235" t="s">
        <v>3331</v>
      </c>
      <c r="B1235" t="s">
        <v>3328</v>
      </c>
      <c r="C1235" t="s">
        <v>3329</v>
      </c>
      <c r="D1235" t="s">
        <v>30</v>
      </c>
      <c r="E1235" t="s">
        <v>289</v>
      </c>
      <c r="F1235" t="s">
        <v>3479</v>
      </c>
      <c r="G1235">
        <v>4500288640</v>
      </c>
      <c r="H1235" t="s">
        <v>3334</v>
      </c>
      <c r="I1235" t="s">
        <v>3480</v>
      </c>
      <c r="J1235" t="s">
        <v>289</v>
      </c>
      <c r="K1235" s="1">
        <v>30000</v>
      </c>
      <c r="L1235" s="1">
        <v>30000</v>
      </c>
      <c r="M1235" t="str">
        <f>IFERROR(IF(VLOOKUP(LEFT(B1235,2),'Humanitarian codes'!$A$2:$A$10,1,FALSE)=LEFT(B1235,2),"Yes","Error"),"No")</f>
        <v>Yes</v>
      </c>
    </row>
    <row r="1236" spans="1:13" x14ac:dyDescent="0.25">
      <c r="A1236" t="s">
        <v>3331</v>
      </c>
      <c r="B1236" t="s">
        <v>3328</v>
      </c>
      <c r="C1236" t="s">
        <v>3329</v>
      </c>
      <c r="D1236" t="s">
        <v>30</v>
      </c>
      <c r="E1236" t="s">
        <v>289</v>
      </c>
      <c r="F1236" t="s">
        <v>3481</v>
      </c>
      <c r="G1236">
        <v>4500291599</v>
      </c>
      <c r="H1236" t="s">
        <v>3334</v>
      </c>
      <c r="I1236" t="s">
        <v>1710</v>
      </c>
      <c r="J1236" t="s">
        <v>289</v>
      </c>
      <c r="K1236" s="1">
        <v>93495.72</v>
      </c>
      <c r="L1236" s="1">
        <v>93495.72</v>
      </c>
      <c r="M1236" t="str">
        <f>IFERROR(IF(VLOOKUP(LEFT(B1236,2),'Humanitarian codes'!$A$2:$A$10,1,FALSE)=LEFT(B1236,2),"Yes","Error"),"No")</f>
        <v>Yes</v>
      </c>
    </row>
    <row r="1237" spans="1:13" x14ac:dyDescent="0.25">
      <c r="A1237" t="s">
        <v>3331</v>
      </c>
      <c r="B1237" t="s">
        <v>3328</v>
      </c>
      <c r="C1237" t="s">
        <v>3329</v>
      </c>
      <c r="D1237" t="s">
        <v>30</v>
      </c>
      <c r="E1237" t="s">
        <v>289</v>
      </c>
      <c r="F1237" t="s">
        <v>2200</v>
      </c>
      <c r="G1237">
        <v>4500293798</v>
      </c>
      <c r="H1237" t="s">
        <v>3334</v>
      </c>
      <c r="I1237" t="s">
        <v>1748</v>
      </c>
      <c r="J1237" t="s">
        <v>289</v>
      </c>
      <c r="K1237" s="1">
        <v>35540</v>
      </c>
      <c r="L1237" s="1">
        <v>35540</v>
      </c>
      <c r="M1237" t="str">
        <f>IFERROR(IF(VLOOKUP(LEFT(B1237,2),'Humanitarian codes'!$A$2:$A$10,1,FALSE)=LEFT(B1237,2),"Yes","Error"),"No")</f>
        <v>Yes</v>
      </c>
    </row>
    <row r="1238" spans="1:13" x14ac:dyDescent="0.25">
      <c r="A1238" t="s">
        <v>3331</v>
      </c>
      <c r="B1238" t="s">
        <v>3328</v>
      </c>
      <c r="C1238" t="s">
        <v>3329</v>
      </c>
      <c r="D1238" t="s">
        <v>30</v>
      </c>
      <c r="E1238" t="s">
        <v>289</v>
      </c>
      <c r="F1238" t="s">
        <v>3482</v>
      </c>
      <c r="G1238">
        <v>4500294193</v>
      </c>
      <c r="H1238" t="s">
        <v>3334</v>
      </c>
      <c r="I1238" t="s">
        <v>3483</v>
      </c>
      <c r="J1238" t="s">
        <v>289</v>
      </c>
      <c r="K1238" s="1">
        <v>11211</v>
      </c>
      <c r="L1238" s="1">
        <v>11211</v>
      </c>
      <c r="M1238" t="str">
        <f>IFERROR(IF(VLOOKUP(LEFT(B1238,2),'Humanitarian codes'!$A$2:$A$10,1,FALSE)=LEFT(B1238,2),"Yes","Error"),"No")</f>
        <v>Yes</v>
      </c>
    </row>
    <row r="1239" spans="1:13" x14ac:dyDescent="0.25">
      <c r="A1239" t="s">
        <v>3331</v>
      </c>
      <c r="B1239" t="s">
        <v>3328</v>
      </c>
      <c r="C1239" t="s">
        <v>3329</v>
      </c>
      <c r="D1239" t="s">
        <v>30</v>
      </c>
      <c r="E1239" t="s">
        <v>289</v>
      </c>
      <c r="F1239" t="s">
        <v>3484</v>
      </c>
      <c r="G1239">
        <v>4500296211</v>
      </c>
      <c r="H1239" t="s">
        <v>3334</v>
      </c>
      <c r="I1239" t="s">
        <v>1758</v>
      </c>
      <c r="J1239" t="s">
        <v>289</v>
      </c>
      <c r="K1239" s="1">
        <v>14970</v>
      </c>
      <c r="L1239" s="1">
        <v>14970</v>
      </c>
      <c r="M1239" t="str">
        <f>IFERROR(IF(VLOOKUP(LEFT(B1239,2),'Humanitarian codes'!$A$2:$A$10,1,FALSE)=LEFT(B1239,2),"Yes","Error"),"No")</f>
        <v>Yes</v>
      </c>
    </row>
    <row r="1240" spans="1:13" x14ac:dyDescent="0.25">
      <c r="A1240" t="s">
        <v>3331</v>
      </c>
      <c r="B1240" t="s">
        <v>3328</v>
      </c>
      <c r="C1240" t="s">
        <v>3329</v>
      </c>
      <c r="D1240" t="s">
        <v>30</v>
      </c>
      <c r="E1240" t="s">
        <v>289</v>
      </c>
      <c r="F1240" t="s">
        <v>2200</v>
      </c>
      <c r="G1240">
        <v>4500299404</v>
      </c>
      <c r="H1240" t="s">
        <v>3334</v>
      </c>
      <c r="I1240" t="s">
        <v>290</v>
      </c>
      <c r="J1240" t="s">
        <v>289</v>
      </c>
      <c r="K1240" s="1">
        <v>55022.42</v>
      </c>
      <c r="L1240" s="1">
        <v>55022.42</v>
      </c>
      <c r="M1240" t="str">
        <f>IFERROR(IF(VLOOKUP(LEFT(B1240,2),'Humanitarian codes'!$A$2:$A$10,1,FALSE)=LEFT(B1240,2),"Yes","Error"),"No")</f>
        <v>Yes</v>
      </c>
    </row>
    <row r="1241" spans="1:13" x14ac:dyDescent="0.25">
      <c r="A1241" t="s">
        <v>3331</v>
      </c>
      <c r="B1241" t="s">
        <v>3328</v>
      </c>
      <c r="C1241" t="s">
        <v>3329</v>
      </c>
      <c r="D1241" t="s">
        <v>30</v>
      </c>
      <c r="E1241" t="s">
        <v>289</v>
      </c>
      <c r="F1241" t="s">
        <v>3485</v>
      </c>
      <c r="G1241">
        <v>4500299427</v>
      </c>
      <c r="H1241" t="s">
        <v>3334</v>
      </c>
      <c r="I1241" t="s">
        <v>2036</v>
      </c>
      <c r="J1241" t="s">
        <v>289</v>
      </c>
      <c r="K1241" s="1">
        <v>52986.73</v>
      </c>
      <c r="L1241" s="1">
        <v>52986.73</v>
      </c>
      <c r="M1241" t="str">
        <f>IFERROR(IF(VLOOKUP(LEFT(B1241,2),'Humanitarian codes'!$A$2:$A$10,1,FALSE)=LEFT(B1241,2),"Yes","Error"),"No")</f>
        <v>Yes</v>
      </c>
    </row>
    <row r="1242" spans="1:13" x14ac:dyDescent="0.25">
      <c r="A1242" t="s">
        <v>3331</v>
      </c>
      <c r="B1242" t="s">
        <v>3328</v>
      </c>
      <c r="C1242" t="s">
        <v>3329</v>
      </c>
      <c r="D1242" t="s">
        <v>30</v>
      </c>
      <c r="E1242" t="s">
        <v>303</v>
      </c>
      <c r="F1242" t="s">
        <v>3486</v>
      </c>
      <c r="G1242">
        <v>4500282131</v>
      </c>
      <c r="H1242" t="s">
        <v>3334</v>
      </c>
      <c r="I1242" t="s">
        <v>869</v>
      </c>
      <c r="J1242" t="s">
        <v>303</v>
      </c>
      <c r="K1242" s="1">
        <v>451408.06</v>
      </c>
      <c r="L1242" s="1">
        <v>451408.06</v>
      </c>
      <c r="M1242" t="str">
        <f>IFERROR(IF(VLOOKUP(LEFT(B1242,2),'Humanitarian codes'!$A$2:$A$10,1,FALSE)=LEFT(B1242,2),"Yes","Error"),"No")</f>
        <v>Yes</v>
      </c>
    </row>
    <row r="1243" spans="1:13" x14ac:dyDescent="0.25">
      <c r="A1243" t="s">
        <v>3331</v>
      </c>
      <c r="B1243" t="s">
        <v>3328</v>
      </c>
      <c r="C1243" t="s">
        <v>3329</v>
      </c>
      <c r="D1243" t="s">
        <v>30</v>
      </c>
      <c r="E1243" t="s">
        <v>305</v>
      </c>
      <c r="F1243" t="s">
        <v>3487</v>
      </c>
      <c r="G1243">
        <v>4500280218</v>
      </c>
      <c r="H1243" t="s">
        <v>3334</v>
      </c>
      <c r="I1243" t="s">
        <v>310</v>
      </c>
      <c r="J1243" t="s">
        <v>305</v>
      </c>
      <c r="K1243" s="1">
        <v>195111.31</v>
      </c>
      <c r="L1243" s="1">
        <v>195111.31</v>
      </c>
      <c r="M1243" t="str">
        <f>IFERROR(IF(VLOOKUP(LEFT(B1243,2),'Humanitarian codes'!$A$2:$A$10,1,FALSE)=LEFT(B1243,2),"Yes","Error"),"No")</f>
        <v>Yes</v>
      </c>
    </row>
    <row r="1244" spans="1:13" x14ac:dyDescent="0.25">
      <c r="A1244" t="s">
        <v>3331</v>
      </c>
      <c r="B1244" t="s">
        <v>3328</v>
      </c>
      <c r="C1244" t="s">
        <v>3329</v>
      </c>
      <c r="D1244" t="s">
        <v>30</v>
      </c>
      <c r="E1244" t="s">
        <v>305</v>
      </c>
      <c r="F1244" t="s">
        <v>3488</v>
      </c>
      <c r="G1244">
        <v>4500283625</v>
      </c>
      <c r="H1244" t="s">
        <v>3334</v>
      </c>
      <c r="I1244" t="s">
        <v>1328</v>
      </c>
      <c r="J1244" t="s">
        <v>305</v>
      </c>
      <c r="K1244" s="1">
        <v>22349.1</v>
      </c>
      <c r="L1244" s="1">
        <v>29798.79</v>
      </c>
      <c r="M1244" t="str">
        <f>IFERROR(IF(VLOOKUP(LEFT(B1244,2),'Humanitarian codes'!$A$2:$A$10,1,FALSE)=LEFT(B1244,2),"Yes","Error"),"No")</f>
        <v>Yes</v>
      </c>
    </row>
    <row r="1245" spans="1:13" x14ac:dyDescent="0.25">
      <c r="A1245" t="s">
        <v>3331</v>
      </c>
      <c r="B1245" t="s">
        <v>3328</v>
      </c>
      <c r="C1245" t="s">
        <v>3329</v>
      </c>
      <c r="D1245" t="s">
        <v>30</v>
      </c>
      <c r="E1245" t="s">
        <v>909</v>
      </c>
      <c r="F1245" t="s">
        <v>2200</v>
      </c>
      <c r="G1245">
        <v>4500298578</v>
      </c>
      <c r="H1245" t="s">
        <v>3334</v>
      </c>
      <c r="I1245" t="s">
        <v>1332</v>
      </c>
      <c r="J1245" t="s">
        <v>909</v>
      </c>
      <c r="K1245" s="1">
        <v>24632.89</v>
      </c>
      <c r="L1245" s="1">
        <v>24632.89</v>
      </c>
      <c r="M1245" t="str">
        <f>IFERROR(IF(VLOOKUP(LEFT(B1245,2),'Humanitarian codes'!$A$2:$A$10,1,FALSE)=LEFT(B1245,2),"Yes","Error"),"No")</f>
        <v>Yes</v>
      </c>
    </row>
    <row r="1246" spans="1:13" x14ac:dyDescent="0.25">
      <c r="A1246" t="s">
        <v>3331</v>
      </c>
      <c r="B1246" t="s">
        <v>3328</v>
      </c>
      <c r="C1246" t="s">
        <v>3329</v>
      </c>
      <c r="D1246" t="s">
        <v>30</v>
      </c>
      <c r="E1246" t="s">
        <v>909</v>
      </c>
      <c r="F1246" t="s">
        <v>2200</v>
      </c>
      <c r="G1246">
        <v>4500298793</v>
      </c>
      <c r="H1246" t="s">
        <v>3334</v>
      </c>
      <c r="I1246" t="s">
        <v>3489</v>
      </c>
      <c r="J1246" t="s">
        <v>909</v>
      </c>
      <c r="K1246" s="1">
        <v>5797.29</v>
      </c>
      <c r="L1246" s="1">
        <v>5797.29</v>
      </c>
      <c r="M1246" t="str">
        <f>IFERROR(IF(VLOOKUP(LEFT(B1246,2),'Humanitarian codes'!$A$2:$A$10,1,FALSE)=LEFT(B1246,2),"Yes","Error"),"No")</f>
        <v>Yes</v>
      </c>
    </row>
    <row r="1247" spans="1:13" x14ac:dyDescent="0.25">
      <c r="A1247" t="s">
        <v>3331</v>
      </c>
      <c r="B1247" t="s">
        <v>3328</v>
      </c>
      <c r="C1247" t="s">
        <v>3329</v>
      </c>
      <c r="D1247" t="s">
        <v>30</v>
      </c>
      <c r="E1247" t="s">
        <v>909</v>
      </c>
      <c r="F1247" t="s">
        <v>2200</v>
      </c>
      <c r="G1247">
        <v>4500299014</v>
      </c>
      <c r="H1247" t="s">
        <v>3334</v>
      </c>
      <c r="I1247" t="s">
        <v>2327</v>
      </c>
      <c r="J1247" t="s">
        <v>909</v>
      </c>
      <c r="K1247" s="1">
        <v>7748.7</v>
      </c>
      <c r="L1247" s="1">
        <v>7748.7</v>
      </c>
      <c r="M1247" t="str">
        <f>IFERROR(IF(VLOOKUP(LEFT(B1247,2),'Humanitarian codes'!$A$2:$A$10,1,FALSE)=LEFT(B1247,2),"Yes","Error"),"No")</f>
        <v>Yes</v>
      </c>
    </row>
    <row r="1248" spans="1:13" x14ac:dyDescent="0.25">
      <c r="A1248" t="s">
        <v>3331</v>
      </c>
      <c r="B1248" t="s">
        <v>3328</v>
      </c>
      <c r="C1248" t="s">
        <v>3329</v>
      </c>
      <c r="D1248" t="s">
        <v>30</v>
      </c>
      <c r="E1248" t="s">
        <v>909</v>
      </c>
      <c r="F1248" t="s">
        <v>2200</v>
      </c>
      <c r="G1248">
        <v>4500299480</v>
      </c>
      <c r="H1248" t="s">
        <v>3334</v>
      </c>
      <c r="I1248" t="s">
        <v>3489</v>
      </c>
      <c r="J1248" t="s">
        <v>909</v>
      </c>
      <c r="K1248" s="1">
        <v>10200.06</v>
      </c>
      <c r="L1248" s="1">
        <v>10200.06</v>
      </c>
      <c r="M1248" t="str">
        <f>IFERROR(IF(VLOOKUP(LEFT(B1248,2),'Humanitarian codes'!$A$2:$A$10,1,FALSE)=LEFT(B1248,2),"Yes","Error"),"No")</f>
        <v>Yes</v>
      </c>
    </row>
    <row r="1249" spans="1:13" x14ac:dyDescent="0.25">
      <c r="A1249" t="s">
        <v>3331</v>
      </c>
      <c r="B1249" t="s">
        <v>3328</v>
      </c>
      <c r="C1249" t="s">
        <v>3329</v>
      </c>
      <c r="D1249" t="s">
        <v>30</v>
      </c>
      <c r="E1249" t="s">
        <v>909</v>
      </c>
      <c r="F1249" t="s">
        <v>2200</v>
      </c>
      <c r="G1249">
        <v>4500300848</v>
      </c>
      <c r="H1249" t="s">
        <v>3334</v>
      </c>
      <c r="I1249" t="s">
        <v>2327</v>
      </c>
      <c r="J1249" t="s">
        <v>909</v>
      </c>
      <c r="K1249" s="1">
        <v>28251.5</v>
      </c>
      <c r="L1249" s="1">
        <v>28251.5</v>
      </c>
      <c r="M1249" t="str">
        <f>IFERROR(IF(VLOOKUP(LEFT(B1249,2),'Humanitarian codes'!$A$2:$A$10,1,FALSE)=LEFT(B1249,2),"Yes","Error"),"No")</f>
        <v>Yes</v>
      </c>
    </row>
    <row r="1250" spans="1:13" x14ac:dyDescent="0.25">
      <c r="A1250" t="s">
        <v>3331</v>
      </c>
      <c r="B1250" t="s">
        <v>3328</v>
      </c>
      <c r="C1250" t="s">
        <v>3329</v>
      </c>
      <c r="D1250" t="s">
        <v>30</v>
      </c>
      <c r="E1250" t="s">
        <v>909</v>
      </c>
      <c r="F1250" t="s">
        <v>2200</v>
      </c>
      <c r="G1250">
        <v>4500301105</v>
      </c>
      <c r="H1250" t="s">
        <v>3334</v>
      </c>
      <c r="I1250" t="s">
        <v>1332</v>
      </c>
      <c r="J1250" t="s">
        <v>909</v>
      </c>
      <c r="K1250" s="1">
        <v>28695.37</v>
      </c>
      <c r="L1250" s="1">
        <v>28695.37</v>
      </c>
      <c r="M1250" t="str">
        <f>IFERROR(IF(VLOOKUP(LEFT(B1250,2),'Humanitarian codes'!$A$2:$A$10,1,FALSE)=LEFT(B1250,2),"Yes","Error"),"No")</f>
        <v>Yes</v>
      </c>
    </row>
    <row r="1251" spans="1:13" x14ac:dyDescent="0.25">
      <c r="A1251" t="s">
        <v>3331</v>
      </c>
      <c r="B1251" t="s">
        <v>3328</v>
      </c>
      <c r="C1251" t="s">
        <v>3329</v>
      </c>
      <c r="D1251" t="s">
        <v>30</v>
      </c>
      <c r="E1251" t="s">
        <v>911</v>
      </c>
      <c r="F1251" t="s">
        <v>3490</v>
      </c>
      <c r="G1251">
        <v>4500288549</v>
      </c>
      <c r="H1251" t="s">
        <v>3334</v>
      </c>
      <c r="I1251" t="s">
        <v>3491</v>
      </c>
      <c r="J1251" t="s">
        <v>911</v>
      </c>
      <c r="K1251" s="1">
        <v>299967.32</v>
      </c>
      <c r="L1251" s="1">
        <v>364923.75</v>
      </c>
      <c r="M1251" t="str">
        <f>IFERROR(IF(VLOOKUP(LEFT(B1251,2),'Humanitarian codes'!$A$2:$A$10,1,FALSE)=LEFT(B1251,2),"Yes","Error"),"No")</f>
        <v>Yes</v>
      </c>
    </row>
    <row r="1252" spans="1:13" x14ac:dyDescent="0.25">
      <c r="A1252" t="s">
        <v>3331</v>
      </c>
      <c r="B1252" t="s">
        <v>3492</v>
      </c>
      <c r="C1252" t="s">
        <v>3493</v>
      </c>
      <c r="D1252" t="s">
        <v>30</v>
      </c>
      <c r="E1252" t="s">
        <v>305</v>
      </c>
      <c r="F1252" t="s">
        <v>3488</v>
      </c>
      <c r="G1252">
        <v>4500283625</v>
      </c>
      <c r="H1252" t="s">
        <v>3334</v>
      </c>
      <c r="I1252" t="s">
        <v>1328</v>
      </c>
      <c r="J1252" t="s">
        <v>305</v>
      </c>
      <c r="K1252" s="1">
        <v>7449.69</v>
      </c>
      <c r="L1252" s="1">
        <v>29798.79</v>
      </c>
      <c r="M1252" t="str">
        <f>IFERROR(IF(VLOOKUP(LEFT(B1252,2),'Humanitarian codes'!$A$2:$A$10,1,FALSE)=LEFT(B1252,2),"Yes","Error"),"No")</f>
        <v>Yes</v>
      </c>
    </row>
    <row r="1253" spans="1:13" x14ac:dyDescent="0.25">
      <c r="A1253" t="s">
        <v>3331</v>
      </c>
      <c r="B1253" t="s">
        <v>1255</v>
      </c>
      <c r="C1253" t="s">
        <v>1256</v>
      </c>
      <c r="D1253" t="s">
        <v>30</v>
      </c>
      <c r="E1253" t="s">
        <v>54</v>
      </c>
      <c r="F1253" t="s">
        <v>3494</v>
      </c>
      <c r="G1253">
        <v>4500277046</v>
      </c>
      <c r="H1253" t="s">
        <v>3334</v>
      </c>
      <c r="I1253" t="s">
        <v>3495</v>
      </c>
      <c r="J1253" t="s">
        <v>54</v>
      </c>
      <c r="K1253" s="1">
        <v>3513.78</v>
      </c>
      <c r="L1253" s="1">
        <v>3513.78</v>
      </c>
      <c r="M1253" t="str">
        <f>IFERROR(IF(VLOOKUP(LEFT(B1253,2),'Humanitarian codes'!$A$2:$A$10,1,FALSE)=LEFT(B1253,2),"Yes","Error"),"No")</f>
        <v>Yes</v>
      </c>
    </row>
    <row r="1254" spans="1:13" x14ac:dyDescent="0.25">
      <c r="A1254" t="s">
        <v>3331</v>
      </c>
      <c r="B1254" t="s">
        <v>1255</v>
      </c>
      <c r="C1254" t="s">
        <v>1256</v>
      </c>
      <c r="D1254" t="s">
        <v>30</v>
      </c>
      <c r="E1254" t="s">
        <v>54</v>
      </c>
      <c r="F1254" t="s">
        <v>3496</v>
      </c>
      <c r="G1254">
        <v>4500285111</v>
      </c>
      <c r="H1254" t="s">
        <v>3334</v>
      </c>
      <c r="I1254" t="s">
        <v>3497</v>
      </c>
      <c r="J1254" t="s">
        <v>54</v>
      </c>
      <c r="K1254" s="1">
        <v>9030.2999999999993</v>
      </c>
      <c r="L1254" s="1">
        <v>9030.2999999999993</v>
      </c>
      <c r="M1254" t="str">
        <f>IFERROR(IF(VLOOKUP(LEFT(B1254,2),'Humanitarian codes'!$A$2:$A$10,1,FALSE)=LEFT(B1254,2),"Yes","Error"),"No")</f>
        <v>Yes</v>
      </c>
    </row>
    <row r="1255" spans="1:13" x14ac:dyDescent="0.25">
      <c r="A1255" t="s">
        <v>3331</v>
      </c>
      <c r="B1255" t="s">
        <v>1255</v>
      </c>
      <c r="C1255" t="s">
        <v>1256</v>
      </c>
      <c r="D1255" t="s">
        <v>30</v>
      </c>
      <c r="E1255" t="s">
        <v>54</v>
      </c>
      <c r="F1255" t="s">
        <v>3498</v>
      </c>
      <c r="G1255">
        <v>4500286235</v>
      </c>
      <c r="H1255" t="s">
        <v>3334</v>
      </c>
      <c r="I1255" t="s">
        <v>3499</v>
      </c>
      <c r="J1255" t="s">
        <v>54</v>
      </c>
      <c r="K1255" s="1">
        <v>9894.0499999999993</v>
      </c>
      <c r="L1255" s="1">
        <v>9894.0499999999993</v>
      </c>
      <c r="M1255" t="str">
        <f>IFERROR(IF(VLOOKUP(LEFT(B1255,2),'Humanitarian codes'!$A$2:$A$10,1,FALSE)=LEFT(B1255,2),"Yes","Error"),"No")</f>
        <v>Yes</v>
      </c>
    </row>
    <row r="1256" spans="1:13" x14ac:dyDescent="0.25">
      <c r="A1256" t="s">
        <v>3331</v>
      </c>
      <c r="B1256" t="s">
        <v>3500</v>
      </c>
      <c r="C1256" t="s">
        <v>3501</v>
      </c>
      <c r="D1256" t="s">
        <v>30</v>
      </c>
      <c r="E1256" t="s">
        <v>167</v>
      </c>
      <c r="F1256" t="s">
        <v>3502</v>
      </c>
      <c r="G1256">
        <v>4500298958</v>
      </c>
      <c r="H1256" t="s">
        <v>3334</v>
      </c>
      <c r="I1256" t="s">
        <v>3503</v>
      </c>
      <c r="J1256" t="s">
        <v>972</v>
      </c>
      <c r="K1256" s="1">
        <v>133625.75</v>
      </c>
      <c r="L1256" s="1">
        <v>283252.13</v>
      </c>
      <c r="M1256" t="str">
        <f>IFERROR(IF(VLOOKUP(LEFT(B1256,2),'Humanitarian codes'!$A$2:$A$10,1,FALSE)=LEFT(B1256,2),"Yes","Error"),"No")</f>
        <v>Yes</v>
      </c>
    </row>
    <row r="1257" spans="1:13" x14ac:dyDescent="0.25">
      <c r="A1257" t="s">
        <v>3331</v>
      </c>
      <c r="B1257" t="s">
        <v>2900</v>
      </c>
      <c r="C1257" t="s">
        <v>3504</v>
      </c>
      <c r="D1257" t="s">
        <v>30</v>
      </c>
      <c r="E1257" t="s">
        <v>717</v>
      </c>
      <c r="F1257" t="s">
        <v>3505</v>
      </c>
      <c r="G1257">
        <v>4500292157</v>
      </c>
      <c r="H1257" t="s">
        <v>3334</v>
      </c>
      <c r="I1257" t="s">
        <v>1767</v>
      </c>
      <c r="J1257" t="s">
        <v>717</v>
      </c>
      <c r="K1257" s="1">
        <v>78314.5</v>
      </c>
      <c r="L1257" s="1">
        <v>156629</v>
      </c>
      <c r="M1257" t="str">
        <f>IFERROR(IF(VLOOKUP(LEFT(B1257,2),'Humanitarian codes'!$A$2:$A$10,1,FALSE)=LEFT(B1257,2),"Yes","Error"),"No")</f>
        <v>Yes</v>
      </c>
    </row>
    <row r="1258" spans="1:13" x14ac:dyDescent="0.25">
      <c r="A1258" t="s">
        <v>3331</v>
      </c>
      <c r="B1258" t="s">
        <v>3506</v>
      </c>
      <c r="C1258" t="s">
        <v>3501</v>
      </c>
      <c r="D1258" t="s">
        <v>30</v>
      </c>
      <c r="E1258" t="s">
        <v>167</v>
      </c>
      <c r="F1258" t="s">
        <v>3502</v>
      </c>
      <c r="G1258">
        <v>4500298958</v>
      </c>
      <c r="H1258" t="s">
        <v>3334</v>
      </c>
      <c r="I1258" t="s">
        <v>3503</v>
      </c>
      <c r="J1258" t="s">
        <v>972</v>
      </c>
      <c r="K1258" s="1">
        <v>149626.38</v>
      </c>
      <c r="L1258" s="1">
        <v>283252.13</v>
      </c>
      <c r="M1258" t="str">
        <f>IFERROR(IF(VLOOKUP(LEFT(B1258,2),'Humanitarian codes'!$A$2:$A$10,1,FALSE)=LEFT(B1258,2),"Yes","Error"),"No")</f>
        <v>Yes</v>
      </c>
    </row>
    <row r="1259" spans="1:13" x14ac:dyDescent="0.25">
      <c r="A1259" t="s">
        <v>3331</v>
      </c>
      <c r="B1259" t="s">
        <v>1257</v>
      </c>
      <c r="C1259" t="s">
        <v>1258</v>
      </c>
      <c r="D1259" t="s">
        <v>30</v>
      </c>
      <c r="E1259" t="s">
        <v>940</v>
      </c>
      <c r="F1259" t="s">
        <v>2200</v>
      </c>
      <c r="G1259">
        <v>4500283644</v>
      </c>
      <c r="H1259" t="s">
        <v>3334</v>
      </c>
      <c r="I1259" t="s">
        <v>1260</v>
      </c>
      <c r="J1259" t="s">
        <v>940</v>
      </c>
      <c r="K1259" s="1">
        <v>92616</v>
      </c>
      <c r="L1259" s="1">
        <v>96475</v>
      </c>
      <c r="M1259" t="str">
        <f>IFERROR(IF(VLOOKUP(LEFT(B1259,2),'Humanitarian codes'!$A$2:$A$10,1,FALSE)=LEFT(B1259,2),"Yes","Error"),"No")</f>
        <v>Yes</v>
      </c>
    </row>
    <row r="1260" spans="1:13" x14ac:dyDescent="0.25">
      <c r="A1260" t="s">
        <v>3331</v>
      </c>
      <c r="B1260" t="s">
        <v>1257</v>
      </c>
      <c r="C1260" t="s">
        <v>1258</v>
      </c>
      <c r="D1260" t="s">
        <v>30</v>
      </c>
      <c r="E1260" t="s">
        <v>940</v>
      </c>
      <c r="F1260" t="s">
        <v>2200</v>
      </c>
      <c r="G1260">
        <v>4500283652</v>
      </c>
      <c r="H1260" t="s">
        <v>3334</v>
      </c>
      <c r="I1260" t="s">
        <v>1259</v>
      </c>
      <c r="J1260" t="s">
        <v>940</v>
      </c>
      <c r="K1260" s="1">
        <v>99049.919999999998</v>
      </c>
      <c r="L1260" s="1">
        <v>103177</v>
      </c>
      <c r="M1260" t="str">
        <f>IFERROR(IF(VLOOKUP(LEFT(B1260,2),'Humanitarian codes'!$A$2:$A$10,1,FALSE)=LEFT(B1260,2),"Yes","Error"),"No")</f>
        <v>Yes</v>
      </c>
    </row>
    <row r="1261" spans="1:13" x14ac:dyDescent="0.25">
      <c r="A1261" t="s">
        <v>3331</v>
      </c>
      <c r="B1261" t="s">
        <v>1257</v>
      </c>
      <c r="C1261" t="s">
        <v>1258</v>
      </c>
      <c r="D1261" t="s">
        <v>30</v>
      </c>
      <c r="E1261" t="s">
        <v>940</v>
      </c>
      <c r="F1261" t="s">
        <v>2200</v>
      </c>
      <c r="G1261">
        <v>4500283672</v>
      </c>
      <c r="H1261" t="s">
        <v>3334</v>
      </c>
      <c r="I1261" t="s">
        <v>1260</v>
      </c>
      <c r="J1261" t="s">
        <v>940</v>
      </c>
      <c r="K1261" s="1">
        <v>91928.639999999999</v>
      </c>
      <c r="L1261" s="1">
        <v>95759</v>
      </c>
      <c r="M1261" t="str">
        <f>IFERROR(IF(VLOOKUP(LEFT(B1261,2),'Humanitarian codes'!$A$2:$A$10,1,FALSE)=LEFT(B1261,2),"Yes","Error"),"No")</f>
        <v>Yes</v>
      </c>
    </row>
    <row r="1262" spans="1:13" x14ac:dyDescent="0.25">
      <c r="A1262" t="s">
        <v>3331</v>
      </c>
      <c r="B1262" t="s">
        <v>1257</v>
      </c>
      <c r="C1262" t="s">
        <v>1258</v>
      </c>
      <c r="D1262" t="s">
        <v>30</v>
      </c>
      <c r="E1262" t="s">
        <v>940</v>
      </c>
      <c r="F1262" t="s">
        <v>2200</v>
      </c>
      <c r="G1262">
        <v>4500283685</v>
      </c>
      <c r="H1262" t="s">
        <v>3334</v>
      </c>
      <c r="I1262" t="s">
        <v>2201</v>
      </c>
      <c r="J1262" t="s">
        <v>940</v>
      </c>
      <c r="K1262" s="1">
        <v>106879.67999999999</v>
      </c>
      <c r="L1262" s="1">
        <v>111333</v>
      </c>
      <c r="M1262" t="str">
        <f>IFERROR(IF(VLOOKUP(LEFT(B1262,2),'Humanitarian codes'!$A$2:$A$10,1,FALSE)=LEFT(B1262,2),"Yes","Error"),"No")</f>
        <v>Yes</v>
      </c>
    </row>
    <row r="1263" spans="1:13" x14ac:dyDescent="0.25">
      <c r="A1263" t="s">
        <v>3331</v>
      </c>
      <c r="B1263" t="s">
        <v>3507</v>
      </c>
      <c r="C1263" t="s">
        <v>3508</v>
      </c>
      <c r="D1263" t="s">
        <v>30</v>
      </c>
      <c r="E1263" t="s">
        <v>128</v>
      </c>
      <c r="F1263" t="s">
        <v>3509</v>
      </c>
      <c r="G1263">
        <v>4500279815</v>
      </c>
      <c r="H1263" t="s">
        <v>3334</v>
      </c>
      <c r="I1263" t="s">
        <v>3510</v>
      </c>
      <c r="J1263" t="s">
        <v>128</v>
      </c>
      <c r="K1263" s="1">
        <v>24000</v>
      </c>
      <c r="L1263" s="1">
        <v>24000</v>
      </c>
      <c r="M1263" t="str">
        <f>IFERROR(IF(VLOOKUP(LEFT(B1263,2),'Humanitarian codes'!$A$2:$A$10,1,FALSE)=LEFT(B1263,2),"Yes","Error"),"No")</f>
        <v>Yes</v>
      </c>
    </row>
    <row r="1264" spans="1:13" x14ac:dyDescent="0.25">
      <c r="A1264" t="s">
        <v>3331</v>
      </c>
      <c r="B1264" t="s">
        <v>3507</v>
      </c>
      <c r="C1264" t="s">
        <v>3508</v>
      </c>
      <c r="D1264" t="s">
        <v>30</v>
      </c>
      <c r="E1264" t="s">
        <v>128</v>
      </c>
      <c r="F1264" t="s">
        <v>3511</v>
      </c>
      <c r="G1264">
        <v>4500280370</v>
      </c>
      <c r="H1264" t="s">
        <v>3334</v>
      </c>
      <c r="I1264" t="s">
        <v>1768</v>
      </c>
      <c r="J1264" t="s">
        <v>128</v>
      </c>
      <c r="K1264" s="1">
        <v>24000</v>
      </c>
      <c r="L1264" s="1">
        <v>24000</v>
      </c>
      <c r="M1264" t="str">
        <f>IFERROR(IF(VLOOKUP(LEFT(B1264,2),'Humanitarian codes'!$A$2:$A$10,1,FALSE)=LEFT(B1264,2),"Yes","Error"),"No")</f>
        <v>Yes</v>
      </c>
    </row>
    <row r="1265" spans="1:13" x14ac:dyDescent="0.25">
      <c r="A1265" t="s">
        <v>3331</v>
      </c>
      <c r="B1265" t="s">
        <v>2909</v>
      </c>
      <c r="C1265" t="s">
        <v>3512</v>
      </c>
      <c r="D1265" t="s">
        <v>30</v>
      </c>
      <c r="E1265" t="s">
        <v>303</v>
      </c>
      <c r="F1265" t="s">
        <v>3513</v>
      </c>
      <c r="G1265">
        <v>4500281118</v>
      </c>
      <c r="H1265" t="s">
        <v>3334</v>
      </c>
      <c r="I1265" t="s">
        <v>1323</v>
      </c>
      <c r="J1265" t="s">
        <v>303</v>
      </c>
      <c r="K1265" s="1">
        <v>185925.39</v>
      </c>
      <c r="L1265" s="1">
        <v>185925.39</v>
      </c>
      <c r="M1265" t="str">
        <f>IFERROR(IF(VLOOKUP(LEFT(B1265,2),'Humanitarian codes'!$A$2:$A$10,1,FALSE)=LEFT(B1265,2),"Yes","Error"),"No")</f>
        <v>Yes</v>
      </c>
    </row>
    <row r="1266" spans="1:13" x14ac:dyDescent="0.25">
      <c r="A1266" t="s">
        <v>3331</v>
      </c>
      <c r="B1266" t="s">
        <v>2909</v>
      </c>
      <c r="C1266" t="s">
        <v>3512</v>
      </c>
      <c r="D1266" t="s">
        <v>30</v>
      </c>
      <c r="E1266" t="s">
        <v>303</v>
      </c>
      <c r="F1266" t="s">
        <v>3514</v>
      </c>
      <c r="G1266">
        <v>4500283495</v>
      </c>
      <c r="H1266" t="s">
        <v>3334</v>
      </c>
      <c r="I1266" t="s">
        <v>374</v>
      </c>
      <c r="J1266" t="s">
        <v>303</v>
      </c>
      <c r="K1266" s="1">
        <v>53210.26</v>
      </c>
      <c r="L1266" s="1">
        <v>53210.26</v>
      </c>
      <c r="M1266" t="str">
        <f>IFERROR(IF(VLOOKUP(LEFT(B1266,2),'Humanitarian codes'!$A$2:$A$10,1,FALSE)=LEFT(B1266,2),"Yes","Error"),"No")</f>
        <v>Yes</v>
      </c>
    </row>
    <row r="1267" spans="1:13" x14ac:dyDescent="0.25">
      <c r="A1267" t="s">
        <v>3331</v>
      </c>
      <c r="B1267" t="s">
        <v>3515</v>
      </c>
      <c r="C1267" t="s">
        <v>3516</v>
      </c>
      <c r="D1267" t="s">
        <v>30</v>
      </c>
      <c r="E1267" t="s">
        <v>717</v>
      </c>
      <c r="F1267" t="s">
        <v>3505</v>
      </c>
      <c r="G1267">
        <v>4500292157</v>
      </c>
      <c r="H1267" t="s">
        <v>3334</v>
      </c>
      <c r="I1267" t="s">
        <v>1767</v>
      </c>
      <c r="J1267" t="s">
        <v>717</v>
      </c>
      <c r="K1267" s="1">
        <v>78314.5</v>
      </c>
      <c r="L1267" s="1">
        <v>156629</v>
      </c>
      <c r="M1267" t="str">
        <f>IFERROR(IF(VLOOKUP(LEFT(B1267,2),'Humanitarian codes'!$A$2:$A$10,1,FALSE)=LEFT(B1267,2),"Yes","Error"),"No")</f>
        <v>Yes</v>
      </c>
    </row>
    <row r="1268" spans="1:13" x14ac:dyDescent="0.25">
      <c r="A1268" t="s">
        <v>3331</v>
      </c>
      <c r="B1268" t="s">
        <v>3517</v>
      </c>
      <c r="C1268" t="s">
        <v>3518</v>
      </c>
      <c r="D1268" t="s">
        <v>30</v>
      </c>
      <c r="E1268" t="s">
        <v>132</v>
      </c>
      <c r="F1268" t="s">
        <v>3519</v>
      </c>
      <c r="G1268">
        <v>4500277990</v>
      </c>
      <c r="H1268" t="s">
        <v>3334</v>
      </c>
      <c r="I1268" t="s">
        <v>3520</v>
      </c>
      <c r="J1268" t="s">
        <v>132</v>
      </c>
      <c r="K1268" s="1">
        <v>12480.75</v>
      </c>
      <c r="L1268" s="1">
        <v>20801.25</v>
      </c>
      <c r="M1268" t="str">
        <f>IFERROR(IF(VLOOKUP(LEFT(B1268,2),'Humanitarian codes'!$A$2:$A$10,1,FALSE)=LEFT(B1268,2),"Yes","Error"),"No")</f>
        <v>Yes</v>
      </c>
    </row>
    <row r="1269" spans="1:13" x14ac:dyDescent="0.25">
      <c r="A1269" t="s">
        <v>3331</v>
      </c>
      <c r="B1269" t="s">
        <v>2911</v>
      </c>
      <c r="C1269" t="s">
        <v>3521</v>
      </c>
      <c r="D1269" t="s">
        <v>30</v>
      </c>
      <c r="E1269" t="s">
        <v>356</v>
      </c>
      <c r="F1269" t="s">
        <v>3522</v>
      </c>
      <c r="G1269">
        <v>4500276981</v>
      </c>
      <c r="H1269" t="s">
        <v>3334</v>
      </c>
      <c r="I1269" t="s">
        <v>1746</v>
      </c>
      <c r="J1269" t="s">
        <v>356</v>
      </c>
      <c r="K1269" s="1">
        <v>97185</v>
      </c>
      <c r="L1269" s="1">
        <v>97185</v>
      </c>
      <c r="M1269" t="str">
        <f>IFERROR(IF(VLOOKUP(LEFT(B1269,2),'Humanitarian codes'!$A$2:$A$10,1,FALSE)=LEFT(B1269,2),"Yes","Error"),"No")</f>
        <v>Yes</v>
      </c>
    </row>
    <row r="1270" spans="1:13" x14ac:dyDescent="0.25">
      <c r="A1270" t="s">
        <v>3331</v>
      </c>
      <c r="B1270" t="s">
        <v>2911</v>
      </c>
      <c r="C1270" t="s">
        <v>3521</v>
      </c>
      <c r="D1270" t="s">
        <v>30</v>
      </c>
      <c r="E1270" t="s">
        <v>356</v>
      </c>
      <c r="F1270" t="s">
        <v>3523</v>
      </c>
      <c r="G1270">
        <v>4500277191</v>
      </c>
      <c r="H1270" t="s">
        <v>3334</v>
      </c>
      <c r="I1270" t="s">
        <v>3524</v>
      </c>
      <c r="J1270" t="s">
        <v>356</v>
      </c>
      <c r="K1270" s="1">
        <v>127697</v>
      </c>
      <c r="L1270" s="1">
        <v>127697</v>
      </c>
      <c r="M1270" t="str">
        <f>IFERROR(IF(VLOOKUP(LEFT(B1270,2),'Humanitarian codes'!$A$2:$A$10,1,FALSE)=LEFT(B1270,2),"Yes","Error"),"No")</f>
        <v>Yes</v>
      </c>
    </row>
    <row r="1271" spans="1:13" x14ac:dyDescent="0.25">
      <c r="A1271" t="s">
        <v>3331</v>
      </c>
      <c r="B1271" t="s">
        <v>2911</v>
      </c>
      <c r="C1271" t="s">
        <v>3521</v>
      </c>
      <c r="D1271" t="s">
        <v>30</v>
      </c>
      <c r="E1271" t="s">
        <v>356</v>
      </c>
      <c r="F1271" t="s">
        <v>3525</v>
      </c>
      <c r="G1271">
        <v>4500277423</v>
      </c>
      <c r="H1271" t="s">
        <v>3334</v>
      </c>
      <c r="I1271" t="s">
        <v>3526</v>
      </c>
      <c r="J1271" t="s">
        <v>356</v>
      </c>
      <c r="K1271" s="1">
        <v>86344</v>
      </c>
      <c r="L1271" s="1">
        <v>86344</v>
      </c>
      <c r="M1271" t="str">
        <f>IFERROR(IF(VLOOKUP(LEFT(B1271,2),'Humanitarian codes'!$A$2:$A$10,1,FALSE)=LEFT(B1271,2),"Yes","Error"),"No")</f>
        <v>Yes</v>
      </c>
    </row>
    <row r="1272" spans="1:13" x14ac:dyDescent="0.25">
      <c r="A1272" t="s">
        <v>3331</v>
      </c>
      <c r="B1272" t="s">
        <v>2911</v>
      </c>
      <c r="C1272" t="s">
        <v>3521</v>
      </c>
      <c r="D1272" t="s">
        <v>30</v>
      </c>
      <c r="E1272" t="s">
        <v>356</v>
      </c>
      <c r="F1272" t="s">
        <v>3527</v>
      </c>
      <c r="G1272">
        <v>4500277462</v>
      </c>
      <c r="H1272" t="s">
        <v>3334</v>
      </c>
      <c r="I1272" t="s">
        <v>825</v>
      </c>
      <c r="J1272" t="s">
        <v>356</v>
      </c>
      <c r="K1272" s="1">
        <v>144881</v>
      </c>
      <c r="L1272" s="1">
        <v>144881</v>
      </c>
      <c r="M1272" t="str">
        <f>IFERROR(IF(VLOOKUP(LEFT(B1272,2),'Humanitarian codes'!$A$2:$A$10,1,FALSE)=LEFT(B1272,2),"Yes","Error"),"No")</f>
        <v>Yes</v>
      </c>
    </row>
    <row r="1273" spans="1:13" x14ac:dyDescent="0.25">
      <c r="A1273" t="s">
        <v>3331</v>
      </c>
      <c r="B1273" t="s">
        <v>2911</v>
      </c>
      <c r="C1273" t="s">
        <v>3521</v>
      </c>
      <c r="D1273" t="s">
        <v>30</v>
      </c>
      <c r="E1273" t="s">
        <v>356</v>
      </c>
      <c r="F1273" t="s">
        <v>3528</v>
      </c>
      <c r="G1273">
        <v>4500277510</v>
      </c>
      <c r="H1273" t="s">
        <v>3334</v>
      </c>
      <c r="I1273" t="s">
        <v>2017</v>
      </c>
      <c r="J1273" t="s">
        <v>356</v>
      </c>
      <c r="K1273" s="1">
        <v>143432</v>
      </c>
      <c r="L1273" s="1">
        <v>143432</v>
      </c>
      <c r="M1273" t="str">
        <f>IFERROR(IF(VLOOKUP(LEFT(B1273,2),'Humanitarian codes'!$A$2:$A$10,1,FALSE)=LEFT(B1273,2),"Yes","Error"),"No")</f>
        <v>Yes</v>
      </c>
    </row>
    <row r="1274" spans="1:13" x14ac:dyDescent="0.25">
      <c r="A1274" t="s">
        <v>3331</v>
      </c>
      <c r="B1274" t="s">
        <v>2911</v>
      </c>
      <c r="C1274" t="s">
        <v>3521</v>
      </c>
      <c r="D1274" t="s">
        <v>30</v>
      </c>
      <c r="E1274" t="s">
        <v>356</v>
      </c>
      <c r="F1274" t="s">
        <v>3529</v>
      </c>
      <c r="G1274">
        <v>4500281777</v>
      </c>
      <c r="H1274" t="s">
        <v>3334</v>
      </c>
      <c r="I1274" t="s">
        <v>2023</v>
      </c>
      <c r="J1274" t="s">
        <v>356</v>
      </c>
      <c r="K1274" s="1">
        <v>143432</v>
      </c>
      <c r="L1274" s="1">
        <v>143432</v>
      </c>
      <c r="M1274" t="str">
        <f>IFERROR(IF(VLOOKUP(LEFT(B1274,2),'Humanitarian codes'!$A$2:$A$10,1,FALSE)=LEFT(B1274,2),"Yes","Error"),"No")</f>
        <v>Yes</v>
      </c>
    </row>
    <row r="1275" spans="1:13" x14ac:dyDescent="0.25">
      <c r="A1275" t="s">
        <v>3331</v>
      </c>
      <c r="B1275" t="s">
        <v>2911</v>
      </c>
      <c r="C1275" t="s">
        <v>3521</v>
      </c>
      <c r="D1275" t="s">
        <v>30</v>
      </c>
      <c r="E1275" t="s">
        <v>356</v>
      </c>
      <c r="F1275" t="s">
        <v>3530</v>
      </c>
      <c r="G1275">
        <v>4500282571</v>
      </c>
      <c r="H1275" t="s">
        <v>3334</v>
      </c>
      <c r="I1275" t="s">
        <v>2021</v>
      </c>
      <c r="J1275" t="s">
        <v>356</v>
      </c>
      <c r="K1275" s="1">
        <v>87536</v>
      </c>
      <c r="L1275" s="1">
        <v>87536</v>
      </c>
      <c r="M1275" t="str">
        <f>IFERROR(IF(VLOOKUP(LEFT(B1275,2),'Humanitarian codes'!$A$2:$A$10,1,FALSE)=LEFT(B1275,2),"Yes","Error"),"No")</f>
        <v>Yes</v>
      </c>
    </row>
    <row r="1276" spans="1:13" x14ac:dyDescent="0.25">
      <c r="A1276" t="s">
        <v>3331</v>
      </c>
      <c r="B1276" t="s">
        <v>2911</v>
      </c>
      <c r="C1276" t="s">
        <v>3521</v>
      </c>
      <c r="D1276" t="s">
        <v>30</v>
      </c>
      <c r="E1276" t="s">
        <v>356</v>
      </c>
      <c r="F1276" t="s">
        <v>3531</v>
      </c>
      <c r="G1276">
        <v>4500283025</v>
      </c>
      <c r="H1276" t="s">
        <v>3334</v>
      </c>
      <c r="I1276" t="s">
        <v>3532</v>
      </c>
      <c r="J1276" t="s">
        <v>356</v>
      </c>
      <c r="K1276" s="1">
        <v>76198</v>
      </c>
      <c r="L1276" s="1">
        <v>76198</v>
      </c>
      <c r="M1276" t="str">
        <f>IFERROR(IF(VLOOKUP(LEFT(B1276,2),'Humanitarian codes'!$A$2:$A$10,1,FALSE)=LEFT(B1276,2),"Yes","Error"),"No")</f>
        <v>Yes</v>
      </c>
    </row>
    <row r="1277" spans="1:13" x14ac:dyDescent="0.25">
      <c r="A1277" t="s">
        <v>3331</v>
      </c>
      <c r="B1277" t="s">
        <v>2911</v>
      </c>
      <c r="C1277" t="s">
        <v>3521</v>
      </c>
      <c r="D1277" t="s">
        <v>30</v>
      </c>
      <c r="E1277" t="s">
        <v>356</v>
      </c>
      <c r="F1277" t="s">
        <v>3533</v>
      </c>
      <c r="G1277">
        <v>4500284011</v>
      </c>
      <c r="H1277" t="s">
        <v>3334</v>
      </c>
      <c r="I1277" t="s">
        <v>3534</v>
      </c>
      <c r="J1277" t="s">
        <v>356</v>
      </c>
      <c r="K1277" s="1">
        <v>69819</v>
      </c>
      <c r="L1277" s="1">
        <v>69819</v>
      </c>
      <c r="M1277" t="str">
        <f>IFERROR(IF(VLOOKUP(LEFT(B1277,2),'Humanitarian codes'!$A$2:$A$10,1,FALSE)=LEFT(B1277,2),"Yes","Error"),"No")</f>
        <v>Yes</v>
      </c>
    </row>
    <row r="1278" spans="1:13" x14ac:dyDescent="0.25">
      <c r="A1278" t="s">
        <v>3331</v>
      </c>
      <c r="B1278" t="s">
        <v>2911</v>
      </c>
      <c r="C1278" t="s">
        <v>3521</v>
      </c>
      <c r="D1278" t="s">
        <v>30</v>
      </c>
      <c r="E1278" t="s">
        <v>356</v>
      </c>
      <c r="F1278" t="s">
        <v>3535</v>
      </c>
      <c r="G1278">
        <v>4500285489</v>
      </c>
      <c r="H1278" t="s">
        <v>3334</v>
      </c>
      <c r="I1278" t="s">
        <v>3536</v>
      </c>
      <c r="J1278" t="s">
        <v>356</v>
      </c>
      <c r="K1278" s="1">
        <v>84945</v>
      </c>
      <c r="L1278" s="1">
        <v>84945</v>
      </c>
      <c r="M1278" t="str">
        <f>IFERROR(IF(VLOOKUP(LEFT(B1278,2),'Humanitarian codes'!$A$2:$A$10,1,FALSE)=LEFT(B1278,2),"Yes","Error"),"No")</f>
        <v>Yes</v>
      </c>
    </row>
    <row r="1279" spans="1:13" x14ac:dyDescent="0.25">
      <c r="A1279" t="s">
        <v>3331</v>
      </c>
      <c r="B1279" t="s">
        <v>2911</v>
      </c>
      <c r="C1279" t="s">
        <v>3521</v>
      </c>
      <c r="D1279" t="s">
        <v>30</v>
      </c>
      <c r="E1279" t="s">
        <v>356</v>
      </c>
      <c r="F1279" t="s">
        <v>3537</v>
      </c>
      <c r="G1279">
        <v>4500285505</v>
      </c>
      <c r="H1279" t="s">
        <v>3334</v>
      </c>
      <c r="I1279" t="s">
        <v>827</v>
      </c>
      <c r="J1279" t="s">
        <v>356</v>
      </c>
      <c r="K1279" s="1">
        <v>82375</v>
      </c>
      <c r="L1279" s="1">
        <v>82375</v>
      </c>
      <c r="M1279" t="str">
        <f>IFERROR(IF(VLOOKUP(LEFT(B1279,2),'Humanitarian codes'!$A$2:$A$10,1,FALSE)=LEFT(B1279,2),"Yes","Error"),"No")</f>
        <v>Yes</v>
      </c>
    </row>
    <row r="1280" spans="1:13" x14ac:dyDescent="0.25">
      <c r="A1280" t="s">
        <v>3331</v>
      </c>
      <c r="B1280" t="s">
        <v>2911</v>
      </c>
      <c r="C1280" t="s">
        <v>3521</v>
      </c>
      <c r="D1280" t="s">
        <v>30</v>
      </c>
      <c r="E1280" t="s">
        <v>356</v>
      </c>
      <c r="F1280" t="s">
        <v>3538</v>
      </c>
      <c r="G1280">
        <v>4500285515</v>
      </c>
      <c r="H1280" t="s">
        <v>3334</v>
      </c>
      <c r="I1280" t="s">
        <v>3539</v>
      </c>
      <c r="J1280" t="s">
        <v>356</v>
      </c>
      <c r="K1280" s="1">
        <v>180076</v>
      </c>
      <c r="L1280" s="1">
        <v>180076</v>
      </c>
      <c r="M1280" t="str">
        <f>IFERROR(IF(VLOOKUP(LEFT(B1280,2),'Humanitarian codes'!$A$2:$A$10,1,FALSE)=LEFT(B1280,2),"Yes","Error"),"No")</f>
        <v>Yes</v>
      </c>
    </row>
    <row r="1281" spans="1:13" x14ac:dyDescent="0.25">
      <c r="A1281" t="s">
        <v>3331</v>
      </c>
      <c r="B1281" t="s">
        <v>2911</v>
      </c>
      <c r="C1281" t="s">
        <v>3521</v>
      </c>
      <c r="D1281" t="s">
        <v>30</v>
      </c>
      <c r="E1281" t="s">
        <v>356</v>
      </c>
      <c r="F1281" t="s">
        <v>3540</v>
      </c>
      <c r="G1281">
        <v>4500286305</v>
      </c>
      <c r="H1281" t="s">
        <v>3334</v>
      </c>
      <c r="I1281" t="s">
        <v>3541</v>
      </c>
      <c r="J1281" t="s">
        <v>356</v>
      </c>
      <c r="K1281" s="1">
        <v>108822</v>
      </c>
      <c r="L1281" s="1">
        <v>108822</v>
      </c>
      <c r="M1281" t="str">
        <f>IFERROR(IF(VLOOKUP(LEFT(B1281,2),'Humanitarian codes'!$A$2:$A$10,1,FALSE)=LEFT(B1281,2),"Yes","Error"),"No")</f>
        <v>Yes</v>
      </c>
    </row>
    <row r="1282" spans="1:13" x14ac:dyDescent="0.25">
      <c r="A1282" t="s">
        <v>3331</v>
      </c>
      <c r="B1282" t="s">
        <v>2911</v>
      </c>
      <c r="C1282" t="s">
        <v>3521</v>
      </c>
      <c r="D1282" t="s">
        <v>30</v>
      </c>
      <c r="E1282" t="s">
        <v>356</v>
      </c>
      <c r="F1282" t="s">
        <v>3542</v>
      </c>
      <c r="G1282">
        <v>4500287842</v>
      </c>
      <c r="H1282" t="s">
        <v>3334</v>
      </c>
      <c r="I1282" t="s">
        <v>1742</v>
      </c>
      <c r="J1282" t="s">
        <v>356</v>
      </c>
      <c r="K1282" s="1">
        <v>122864</v>
      </c>
      <c r="L1282" s="1">
        <v>122864</v>
      </c>
      <c r="M1282" t="str">
        <f>IFERROR(IF(VLOOKUP(LEFT(B1282,2),'Humanitarian codes'!$A$2:$A$10,1,FALSE)=LEFT(B1282,2),"Yes","Error"),"No")</f>
        <v>Yes</v>
      </c>
    </row>
    <row r="1283" spans="1:13" x14ac:dyDescent="0.25">
      <c r="A1283" t="s">
        <v>3331</v>
      </c>
      <c r="B1283" t="s">
        <v>2911</v>
      </c>
      <c r="C1283" t="s">
        <v>3521</v>
      </c>
      <c r="D1283" t="s">
        <v>30</v>
      </c>
      <c r="E1283" t="s">
        <v>356</v>
      </c>
      <c r="F1283" t="s">
        <v>3543</v>
      </c>
      <c r="G1283">
        <v>4500288923</v>
      </c>
      <c r="H1283" t="s">
        <v>3334</v>
      </c>
      <c r="I1283" t="s">
        <v>357</v>
      </c>
      <c r="J1283" t="s">
        <v>356</v>
      </c>
      <c r="K1283" s="1">
        <v>263659</v>
      </c>
      <c r="L1283" s="1">
        <v>263659</v>
      </c>
      <c r="M1283" t="str">
        <f>IFERROR(IF(VLOOKUP(LEFT(B1283,2),'Humanitarian codes'!$A$2:$A$10,1,FALSE)=LEFT(B1283,2),"Yes","Error"),"No")</f>
        <v>Yes</v>
      </c>
    </row>
    <row r="1284" spans="1:13" x14ac:dyDescent="0.25">
      <c r="A1284" t="s">
        <v>3331</v>
      </c>
      <c r="B1284" t="s">
        <v>2911</v>
      </c>
      <c r="C1284" t="s">
        <v>3521</v>
      </c>
      <c r="D1284" t="s">
        <v>30</v>
      </c>
      <c r="E1284" t="s">
        <v>356</v>
      </c>
      <c r="F1284" t="s">
        <v>3544</v>
      </c>
      <c r="G1284">
        <v>4500291269</v>
      </c>
      <c r="H1284" t="s">
        <v>3334</v>
      </c>
      <c r="I1284" t="s">
        <v>3545</v>
      </c>
      <c r="J1284" t="s">
        <v>356</v>
      </c>
      <c r="K1284" s="1">
        <v>97724</v>
      </c>
      <c r="L1284" s="1">
        <v>97724</v>
      </c>
      <c r="M1284" t="str">
        <f>IFERROR(IF(VLOOKUP(LEFT(B1284,2),'Humanitarian codes'!$A$2:$A$10,1,FALSE)=LEFT(B1284,2),"Yes","Error"),"No")</f>
        <v>Yes</v>
      </c>
    </row>
    <row r="1285" spans="1:13" x14ac:dyDescent="0.25">
      <c r="A1285" t="s">
        <v>3331</v>
      </c>
      <c r="B1285" t="s">
        <v>2911</v>
      </c>
      <c r="C1285" t="s">
        <v>3521</v>
      </c>
      <c r="D1285" t="s">
        <v>30</v>
      </c>
      <c r="E1285" t="s">
        <v>356</v>
      </c>
      <c r="F1285" t="s">
        <v>3546</v>
      </c>
      <c r="G1285">
        <v>4500291385</v>
      </c>
      <c r="H1285" t="s">
        <v>3334</v>
      </c>
      <c r="I1285" t="s">
        <v>2022</v>
      </c>
      <c r="J1285" t="s">
        <v>356</v>
      </c>
      <c r="K1285" s="1">
        <v>121477.87</v>
      </c>
      <c r="L1285" s="1">
        <v>121477.87</v>
      </c>
      <c r="M1285" t="str">
        <f>IFERROR(IF(VLOOKUP(LEFT(B1285,2),'Humanitarian codes'!$A$2:$A$10,1,FALSE)=LEFT(B1285,2),"Yes","Error"),"No")</f>
        <v>Yes</v>
      </c>
    </row>
    <row r="1286" spans="1:13" x14ac:dyDescent="0.25">
      <c r="A1286" t="s">
        <v>3331</v>
      </c>
      <c r="B1286" t="s">
        <v>2911</v>
      </c>
      <c r="C1286" t="s">
        <v>3521</v>
      </c>
      <c r="D1286" t="s">
        <v>30</v>
      </c>
      <c r="E1286" t="s">
        <v>356</v>
      </c>
      <c r="F1286" t="s">
        <v>3547</v>
      </c>
      <c r="G1286">
        <v>4500294204</v>
      </c>
      <c r="H1286" t="s">
        <v>3334</v>
      </c>
      <c r="I1286" t="s">
        <v>1745</v>
      </c>
      <c r="J1286" t="s">
        <v>356</v>
      </c>
      <c r="K1286" s="1">
        <v>96045</v>
      </c>
      <c r="L1286" s="1">
        <v>96045</v>
      </c>
      <c r="M1286" t="str">
        <f>IFERROR(IF(VLOOKUP(LEFT(B1286,2),'Humanitarian codes'!$A$2:$A$10,1,FALSE)=LEFT(B1286,2),"Yes","Error"),"No")</f>
        <v>Yes</v>
      </c>
    </row>
    <row r="1287" spans="1:13" x14ac:dyDescent="0.25">
      <c r="A1287" t="s">
        <v>3331</v>
      </c>
      <c r="B1287" t="s">
        <v>2911</v>
      </c>
      <c r="C1287" t="s">
        <v>3521</v>
      </c>
      <c r="D1287" t="s">
        <v>30</v>
      </c>
      <c r="E1287" t="s">
        <v>356</v>
      </c>
      <c r="F1287" t="s">
        <v>3548</v>
      </c>
      <c r="G1287">
        <v>4500294236</v>
      </c>
      <c r="H1287" t="s">
        <v>3334</v>
      </c>
      <c r="I1287" t="s">
        <v>2020</v>
      </c>
      <c r="J1287" t="s">
        <v>356</v>
      </c>
      <c r="K1287" s="1">
        <v>102399</v>
      </c>
      <c r="L1287" s="1">
        <v>102399</v>
      </c>
      <c r="M1287" t="str">
        <f>IFERROR(IF(VLOOKUP(LEFT(B1287,2),'Humanitarian codes'!$A$2:$A$10,1,FALSE)=LEFT(B1287,2),"Yes","Error"),"No")</f>
        <v>Yes</v>
      </c>
    </row>
    <row r="1288" spans="1:13" x14ac:dyDescent="0.25">
      <c r="A1288" t="s">
        <v>3331</v>
      </c>
      <c r="B1288" t="s">
        <v>2911</v>
      </c>
      <c r="C1288" t="s">
        <v>3521</v>
      </c>
      <c r="D1288" t="s">
        <v>30</v>
      </c>
      <c r="E1288" t="s">
        <v>356</v>
      </c>
      <c r="F1288" t="s">
        <v>3549</v>
      </c>
      <c r="G1288">
        <v>4500295534</v>
      </c>
      <c r="H1288" t="s">
        <v>3334</v>
      </c>
      <c r="I1288" t="s">
        <v>1306</v>
      </c>
      <c r="J1288" t="s">
        <v>356</v>
      </c>
      <c r="K1288" s="1">
        <v>97959</v>
      </c>
      <c r="L1288" s="1">
        <v>97959</v>
      </c>
      <c r="M1288" t="str">
        <f>IFERROR(IF(VLOOKUP(LEFT(B1288,2),'Humanitarian codes'!$A$2:$A$10,1,FALSE)=LEFT(B1288,2),"Yes","Error"),"No")</f>
        <v>Yes</v>
      </c>
    </row>
    <row r="1289" spans="1:13" x14ac:dyDescent="0.25">
      <c r="A1289" t="s">
        <v>3331</v>
      </c>
      <c r="B1289" t="s">
        <v>2911</v>
      </c>
      <c r="C1289" t="s">
        <v>3521</v>
      </c>
      <c r="D1289" t="s">
        <v>30</v>
      </c>
      <c r="E1289" t="s">
        <v>356</v>
      </c>
      <c r="F1289" t="s">
        <v>3550</v>
      </c>
      <c r="G1289">
        <v>4500296462</v>
      </c>
      <c r="H1289" t="s">
        <v>3334</v>
      </c>
      <c r="I1289" t="s">
        <v>3551</v>
      </c>
      <c r="J1289" t="s">
        <v>356</v>
      </c>
      <c r="K1289" s="1">
        <v>37080</v>
      </c>
      <c r="L1289" s="1">
        <v>37080</v>
      </c>
      <c r="M1289" t="str">
        <f>IFERROR(IF(VLOOKUP(LEFT(B1289,2),'Humanitarian codes'!$A$2:$A$10,1,FALSE)=LEFT(B1289,2),"Yes","Error"),"No")</f>
        <v>Yes</v>
      </c>
    </row>
    <row r="1290" spans="1:13" x14ac:dyDescent="0.25">
      <c r="A1290" t="s">
        <v>3331</v>
      </c>
      <c r="B1290" t="s">
        <v>2911</v>
      </c>
      <c r="C1290" t="s">
        <v>3521</v>
      </c>
      <c r="D1290" t="s">
        <v>30</v>
      </c>
      <c r="E1290" t="s">
        <v>356</v>
      </c>
      <c r="F1290" t="s">
        <v>3552</v>
      </c>
      <c r="G1290">
        <v>4500298295</v>
      </c>
      <c r="H1290" t="s">
        <v>3334</v>
      </c>
      <c r="I1290" t="s">
        <v>3553</v>
      </c>
      <c r="J1290" t="s">
        <v>356</v>
      </c>
      <c r="K1290" s="1">
        <v>182733</v>
      </c>
      <c r="L1290" s="1">
        <v>182733</v>
      </c>
      <c r="M1290" t="str">
        <f>IFERROR(IF(VLOOKUP(LEFT(B1290,2),'Humanitarian codes'!$A$2:$A$10,1,FALSE)=LEFT(B1290,2),"Yes","Error"),"No")</f>
        <v>Yes</v>
      </c>
    </row>
    <row r="1291" spans="1:13" x14ac:dyDescent="0.25">
      <c r="A1291" t="s">
        <v>3331</v>
      </c>
      <c r="B1291" t="s">
        <v>2911</v>
      </c>
      <c r="C1291" t="s">
        <v>3521</v>
      </c>
      <c r="D1291" t="s">
        <v>30</v>
      </c>
      <c r="E1291" t="s">
        <v>356</v>
      </c>
      <c r="F1291" t="s">
        <v>3554</v>
      </c>
      <c r="G1291">
        <v>4500298795</v>
      </c>
      <c r="H1291" t="s">
        <v>3334</v>
      </c>
      <c r="I1291" t="s">
        <v>3555</v>
      </c>
      <c r="J1291" t="s">
        <v>356</v>
      </c>
      <c r="K1291" s="1">
        <v>189695</v>
      </c>
      <c r="L1291" s="1">
        <v>189695</v>
      </c>
      <c r="M1291" t="str">
        <f>IFERROR(IF(VLOOKUP(LEFT(B1291,2),'Humanitarian codes'!$A$2:$A$10,1,FALSE)=LEFT(B1291,2),"Yes","Error"),"No")</f>
        <v>Yes</v>
      </c>
    </row>
    <row r="1292" spans="1:13" x14ac:dyDescent="0.25">
      <c r="A1292" t="s">
        <v>3331</v>
      </c>
      <c r="B1292" t="s">
        <v>2911</v>
      </c>
      <c r="C1292" t="s">
        <v>3521</v>
      </c>
      <c r="D1292" t="s">
        <v>30</v>
      </c>
      <c r="E1292" t="s">
        <v>356</v>
      </c>
      <c r="F1292" t="s">
        <v>2200</v>
      </c>
      <c r="G1292">
        <v>4500298826</v>
      </c>
      <c r="H1292" t="s">
        <v>3334</v>
      </c>
      <c r="I1292" t="s">
        <v>3556</v>
      </c>
      <c r="J1292" t="s">
        <v>356</v>
      </c>
      <c r="K1292" s="1">
        <v>70234</v>
      </c>
      <c r="L1292" s="1">
        <v>70234</v>
      </c>
      <c r="M1292" t="str">
        <f>IFERROR(IF(VLOOKUP(LEFT(B1292,2),'Humanitarian codes'!$A$2:$A$10,1,FALSE)=LEFT(B1292,2),"Yes","Error"),"No")</f>
        <v>Yes</v>
      </c>
    </row>
    <row r="1293" spans="1:13" x14ac:dyDescent="0.25">
      <c r="A1293" t="s">
        <v>3331</v>
      </c>
      <c r="B1293" t="s">
        <v>1694</v>
      </c>
      <c r="C1293" t="s">
        <v>1695</v>
      </c>
      <c r="D1293" t="s">
        <v>30</v>
      </c>
      <c r="E1293" t="s">
        <v>32</v>
      </c>
      <c r="F1293" t="s">
        <v>2200</v>
      </c>
      <c r="G1293">
        <v>4500292142</v>
      </c>
      <c r="H1293" t="s">
        <v>3334</v>
      </c>
      <c r="I1293" t="s">
        <v>3557</v>
      </c>
      <c r="J1293" t="s">
        <v>32</v>
      </c>
      <c r="K1293" s="1">
        <v>133360</v>
      </c>
      <c r="L1293" s="1">
        <v>133360</v>
      </c>
      <c r="M1293" t="str">
        <f>IFERROR(IF(VLOOKUP(LEFT(B1293,2),'Humanitarian codes'!$A$2:$A$10,1,FALSE)=LEFT(B1293,2),"Yes","Error"),"No")</f>
        <v>Yes</v>
      </c>
    </row>
    <row r="1294" spans="1:13" x14ac:dyDescent="0.25">
      <c r="A1294" t="s">
        <v>3331</v>
      </c>
      <c r="B1294" t="s">
        <v>3558</v>
      </c>
      <c r="C1294" t="s">
        <v>3559</v>
      </c>
      <c r="D1294" t="s">
        <v>30</v>
      </c>
      <c r="E1294" t="s">
        <v>289</v>
      </c>
      <c r="F1294" t="s">
        <v>3560</v>
      </c>
      <c r="G1294">
        <v>4500282793</v>
      </c>
      <c r="H1294" t="s">
        <v>3334</v>
      </c>
      <c r="I1294" t="s">
        <v>3561</v>
      </c>
      <c r="J1294" t="s">
        <v>289</v>
      </c>
      <c r="K1294" s="1">
        <v>216523.47</v>
      </c>
      <c r="L1294" s="1">
        <v>216523.47</v>
      </c>
      <c r="M1294" t="str">
        <f>IFERROR(IF(VLOOKUP(LEFT(B1294,2),'Humanitarian codes'!$A$2:$A$10,1,FALSE)=LEFT(B1294,2),"Yes","Error"),"No")</f>
        <v>Yes</v>
      </c>
    </row>
    <row r="1295" spans="1:13" x14ac:dyDescent="0.25">
      <c r="A1295" t="s">
        <v>3331</v>
      </c>
      <c r="B1295" t="s">
        <v>3558</v>
      </c>
      <c r="C1295" t="s">
        <v>3559</v>
      </c>
      <c r="D1295" t="s">
        <v>30</v>
      </c>
      <c r="E1295" t="s">
        <v>289</v>
      </c>
      <c r="F1295" t="s">
        <v>3562</v>
      </c>
      <c r="G1295">
        <v>4500283988</v>
      </c>
      <c r="H1295" t="s">
        <v>3334</v>
      </c>
      <c r="I1295" t="s">
        <v>1985</v>
      </c>
      <c r="J1295" t="s">
        <v>289</v>
      </c>
      <c r="K1295" s="1">
        <v>33415.839999999997</v>
      </c>
      <c r="L1295" s="1">
        <v>33415.839999999997</v>
      </c>
      <c r="M1295" t="str">
        <f>IFERROR(IF(VLOOKUP(LEFT(B1295,2),'Humanitarian codes'!$A$2:$A$10,1,FALSE)=LEFT(B1295,2),"Yes","Error"),"No")</f>
        <v>Yes</v>
      </c>
    </row>
    <row r="1296" spans="1:13" x14ac:dyDescent="0.25">
      <c r="A1296" t="s">
        <v>3331</v>
      </c>
      <c r="B1296" t="s">
        <v>3558</v>
      </c>
      <c r="C1296" t="s">
        <v>3559</v>
      </c>
      <c r="D1296" t="s">
        <v>30</v>
      </c>
      <c r="E1296" t="s">
        <v>289</v>
      </c>
      <c r="F1296" t="s">
        <v>3563</v>
      </c>
      <c r="G1296">
        <v>4500292566</v>
      </c>
      <c r="H1296" t="s">
        <v>3334</v>
      </c>
      <c r="I1296" t="s">
        <v>3564</v>
      </c>
      <c r="J1296" t="s">
        <v>289</v>
      </c>
      <c r="K1296" s="1">
        <v>21660.65</v>
      </c>
      <c r="L1296" s="1">
        <v>21660.65</v>
      </c>
      <c r="M1296" t="str">
        <f>IFERROR(IF(VLOOKUP(LEFT(B1296,2),'Humanitarian codes'!$A$2:$A$10,1,FALSE)=LEFT(B1296,2),"Yes","Error"),"No")</f>
        <v>Yes</v>
      </c>
    </row>
    <row r="1297" spans="1:13" x14ac:dyDescent="0.25">
      <c r="A1297" t="s">
        <v>3331</v>
      </c>
      <c r="B1297" t="s">
        <v>3558</v>
      </c>
      <c r="C1297" t="s">
        <v>3559</v>
      </c>
      <c r="D1297" t="s">
        <v>30</v>
      </c>
      <c r="E1297" t="s">
        <v>289</v>
      </c>
      <c r="F1297" t="s">
        <v>2200</v>
      </c>
      <c r="G1297">
        <v>4500299421</v>
      </c>
      <c r="H1297" t="s">
        <v>3334</v>
      </c>
      <c r="I1297" t="s">
        <v>3565</v>
      </c>
      <c r="J1297" t="s">
        <v>289</v>
      </c>
      <c r="K1297" s="1">
        <v>44843.05</v>
      </c>
      <c r="L1297" s="1">
        <v>44843.05</v>
      </c>
      <c r="M1297" t="str">
        <f>IFERROR(IF(VLOOKUP(LEFT(B1297,2),'Humanitarian codes'!$A$2:$A$10,1,FALSE)=LEFT(B1297,2),"Yes","Error"),"No")</f>
        <v>Yes</v>
      </c>
    </row>
    <row r="1298" spans="1:13" x14ac:dyDescent="0.25">
      <c r="A1298" t="s">
        <v>3331</v>
      </c>
      <c r="B1298" t="s">
        <v>3558</v>
      </c>
      <c r="C1298" t="s">
        <v>3559</v>
      </c>
      <c r="D1298" t="s">
        <v>30</v>
      </c>
      <c r="E1298" t="s">
        <v>54</v>
      </c>
      <c r="F1298" t="s">
        <v>3566</v>
      </c>
      <c r="G1298">
        <v>4500277061</v>
      </c>
      <c r="H1298" t="s">
        <v>3334</v>
      </c>
      <c r="I1298" t="s">
        <v>3567</v>
      </c>
      <c r="J1298" t="s">
        <v>54</v>
      </c>
      <c r="K1298" s="1">
        <v>512163.4</v>
      </c>
      <c r="L1298" s="1">
        <v>512163.4</v>
      </c>
      <c r="M1298" t="str">
        <f>IFERROR(IF(VLOOKUP(LEFT(B1298,2),'Humanitarian codes'!$A$2:$A$10,1,FALSE)=LEFT(B1298,2),"Yes","Error"),"No")</f>
        <v>Yes</v>
      </c>
    </row>
    <row r="1299" spans="1:13" x14ac:dyDescent="0.25">
      <c r="A1299" t="s">
        <v>3331</v>
      </c>
      <c r="B1299" t="s">
        <v>3558</v>
      </c>
      <c r="C1299" t="s">
        <v>3559</v>
      </c>
      <c r="D1299" t="s">
        <v>30</v>
      </c>
      <c r="E1299" t="s">
        <v>54</v>
      </c>
      <c r="F1299" t="s">
        <v>3568</v>
      </c>
      <c r="G1299">
        <v>4500277523</v>
      </c>
      <c r="H1299" t="s">
        <v>3334</v>
      </c>
      <c r="I1299" t="s">
        <v>274</v>
      </c>
      <c r="J1299" t="s">
        <v>54</v>
      </c>
      <c r="K1299" s="1">
        <v>69333.55</v>
      </c>
      <c r="L1299" s="1">
        <v>106667</v>
      </c>
      <c r="M1299" t="str">
        <f>IFERROR(IF(VLOOKUP(LEFT(B1299,2),'Humanitarian codes'!$A$2:$A$10,1,FALSE)=LEFT(B1299,2),"Yes","Error"),"No")</f>
        <v>Yes</v>
      </c>
    </row>
    <row r="1300" spans="1:13" x14ac:dyDescent="0.25">
      <c r="A1300" t="s">
        <v>3331</v>
      </c>
      <c r="B1300" t="s">
        <v>3558</v>
      </c>
      <c r="C1300" t="s">
        <v>3559</v>
      </c>
      <c r="D1300" t="s">
        <v>30</v>
      </c>
      <c r="E1300" t="s">
        <v>54</v>
      </c>
      <c r="F1300" t="s">
        <v>3569</v>
      </c>
      <c r="G1300">
        <v>4500277685</v>
      </c>
      <c r="H1300" t="s">
        <v>3334</v>
      </c>
      <c r="I1300" t="s">
        <v>280</v>
      </c>
      <c r="J1300" t="s">
        <v>54</v>
      </c>
      <c r="K1300" s="1">
        <v>82954.42</v>
      </c>
      <c r="L1300" s="1">
        <v>184343.16</v>
      </c>
      <c r="M1300" t="str">
        <f>IFERROR(IF(VLOOKUP(LEFT(B1300,2),'Humanitarian codes'!$A$2:$A$10,1,FALSE)=LEFT(B1300,2),"Yes","Error"),"No")</f>
        <v>Yes</v>
      </c>
    </row>
    <row r="1301" spans="1:13" x14ac:dyDescent="0.25">
      <c r="A1301" t="s">
        <v>3331</v>
      </c>
      <c r="B1301" t="s">
        <v>3558</v>
      </c>
      <c r="C1301" t="s">
        <v>3559</v>
      </c>
      <c r="D1301" t="s">
        <v>30</v>
      </c>
      <c r="E1301" t="s">
        <v>54</v>
      </c>
      <c r="F1301" t="s">
        <v>3570</v>
      </c>
      <c r="G1301">
        <v>4500278928</v>
      </c>
      <c r="H1301" t="s">
        <v>3334</v>
      </c>
      <c r="I1301" t="s">
        <v>271</v>
      </c>
      <c r="J1301" t="s">
        <v>54</v>
      </c>
      <c r="K1301" s="1">
        <v>72325.5</v>
      </c>
      <c r="L1301" s="1">
        <v>111270</v>
      </c>
      <c r="M1301" t="str">
        <f>IFERROR(IF(VLOOKUP(LEFT(B1301,2),'Humanitarian codes'!$A$2:$A$10,1,FALSE)=LEFT(B1301,2),"Yes","Error"),"No")</f>
        <v>Yes</v>
      </c>
    </row>
    <row r="1302" spans="1:13" x14ac:dyDescent="0.25">
      <c r="A1302" t="s">
        <v>3331</v>
      </c>
      <c r="B1302" t="s">
        <v>3558</v>
      </c>
      <c r="C1302" t="s">
        <v>3559</v>
      </c>
      <c r="D1302" t="s">
        <v>30</v>
      </c>
      <c r="E1302" t="s">
        <v>54</v>
      </c>
      <c r="F1302" t="s">
        <v>3571</v>
      </c>
      <c r="G1302">
        <v>4500285201</v>
      </c>
      <c r="H1302" t="s">
        <v>3334</v>
      </c>
      <c r="I1302" t="s">
        <v>1405</v>
      </c>
      <c r="J1302" t="s">
        <v>972</v>
      </c>
      <c r="K1302" s="1">
        <v>440000</v>
      </c>
      <c r="L1302" s="1">
        <v>440000</v>
      </c>
      <c r="M1302" t="str">
        <f>IFERROR(IF(VLOOKUP(LEFT(B1302,2),'Humanitarian codes'!$A$2:$A$10,1,FALSE)=LEFT(B1302,2),"Yes","Error"),"No")</f>
        <v>Yes</v>
      </c>
    </row>
    <row r="1303" spans="1:13" x14ac:dyDescent="0.25">
      <c r="A1303" t="s">
        <v>3331</v>
      </c>
      <c r="B1303" t="s">
        <v>87</v>
      </c>
      <c r="C1303" t="s">
        <v>88</v>
      </c>
      <c r="D1303" t="s">
        <v>30</v>
      </c>
      <c r="E1303" t="s">
        <v>32</v>
      </c>
      <c r="F1303" t="s">
        <v>3572</v>
      </c>
      <c r="G1303">
        <v>4500282992</v>
      </c>
      <c r="H1303" t="s">
        <v>3334</v>
      </c>
      <c r="I1303" t="s">
        <v>89</v>
      </c>
      <c r="J1303" t="s">
        <v>32</v>
      </c>
      <c r="K1303" s="1">
        <v>149876</v>
      </c>
      <c r="L1303" s="1">
        <v>149876</v>
      </c>
      <c r="M1303" t="str">
        <f>IFERROR(IF(VLOOKUP(LEFT(B1303,2),'Humanitarian codes'!$A$2:$A$10,1,FALSE)=LEFT(B1303,2),"Yes","Error"),"No")</f>
        <v>Yes</v>
      </c>
    </row>
    <row r="1304" spans="1:13" x14ac:dyDescent="0.25">
      <c r="A1304" t="s">
        <v>3331</v>
      </c>
      <c r="B1304" t="s">
        <v>87</v>
      </c>
      <c r="C1304" t="s">
        <v>88</v>
      </c>
      <c r="D1304" t="s">
        <v>30</v>
      </c>
      <c r="E1304" t="s">
        <v>32</v>
      </c>
      <c r="F1304" t="s">
        <v>2200</v>
      </c>
      <c r="G1304">
        <v>4500284236</v>
      </c>
      <c r="H1304" t="s">
        <v>3334</v>
      </c>
      <c r="I1304" t="s">
        <v>802</v>
      </c>
      <c r="J1304" t="s">
        <v>32</v>
      </c>
      <c r="K1304" s="1">
        <v>219048</v>
      </c>
      <c r="L1304" s="1">
        <v>219048</v>
      </c>
      <c r="M1304" t="str">
        <f>IFERROR(IF(VLOOKUP(LEFT(B1304,2),'Humanitarian codes'!$A$2:$A$10,1,FALSE)=LEFT(B1304,2),"Yes","Error"),"No")</f>
        <v>Yes</v>
      </c>
    </row>
    <row r="1305" spans="1:13" x14ac:dyDescent="0.25">
      <c r="A1305" t="s">
        <v>3331</v>
      </c>
      <c r="B1305" t="s">
        <v>87</v>
      </c>
      <c r="C1305" t="s">
        <v>88</v>
      </c>
      <c r="D1305" t="s">
        <v>30</v>
      </c>
      <c r="E1305" t="s">
        <v>32</v>
      </c>
      <c r="F1305" t="s">
        <v>2357</v>
      </c>
      <c r="G1305">
        <v>4500297261</v>
      </c>
      <c r="H1305" t="s">
        <v>3334</v>
      </c>
      <c r="I1305" t="s">
        <v>3573</v>
      </c>
      <c r="J1305" t="s">
        <v>32</v>
      </c>
      <c r="K1305" s="1">
        <v>250000</v>
      </c>
      <c r="L1305" s="1">
        <v>250000</v>
      </c>
      <c r="M1305" t="str">
        <f>IFERROR(IF(VLOOKUP(LEFT(B1305,2),'Humanitarian codes'!$A$2:$A$10,1,FALSE)=LEFT(B1305,2),"Yes","Error"),"No")</f>
        <v>Yes</v>
      </c>
    </row>
    <row r="1306" spans="1:13" x14ac:dyDescent="0.25">
      <c r="A1306" t="s">
        <v>3331</v>
      </c>
      <c r="B1306" t="s">
        <v>2939</v>
      </c>
      <c r="C1306" t="s">
        <v>3574</v>
      </c>
      <c r="D1306" t="s">
        <v>30</v>
      </c>
      <c r="E1306" t="s">
        <v>132</v>
      </c>
      <c r="F1306" t="s">
        <v>3575</v>
      </c>
      <c r="G1306">
        <v>4500280910</v>
      </c>
      <c r="H1306" t="s">
        <v>3334</v>
      </c>
      <c r="I1306" t="s">
        <v>134</v>
      </c>
      <c r="J1306" t="s">
        <v>132</v>
      </c>
      <c r="K1306" s="1">
        <v>50000</v>
      </c>
      <c r="L1306" s="1">
        <v>50000</v>
      </c>
      <c r="M1306" t="str">
        <f>IFERROR(IF(VLOOKUP(LEFT(B1306,2),'Humanitarian codes'!$A$2:$A$10,1,FALSE)=LEFT(B1306,2),"Yes","Error"),"No")</f>
        <v>Yes</v>
      </c>
    </row>
    <row r="1307" spans="1:13" x14ac:dyDescent="0.25">
      <c r="A1307" t="s">
        <v>3331</v>
      </c>
      <c r="B1307" t="s">
        <v>3576</v>
      </c>
      <c r="C1307" t="s">
        <v>3577</v>
      </c>
      <c r="D1307" t="s">
        <v>30</v>
      </c>
      <c r="E1307" t="s">
        <v>54</v>
      </c>
      <c r="F1307" t="s">
        <v>3578</v>
      </c>
      <c r="G1307">
        <v>4500285167</v>
      </c>
      <c r="H1307" t="s">
        <v>3334</v>
      </c>
      <c r="I1307" t="s">
        <v>3579</v>
      </c>
      <c r="J1307" t="s">
        <v>54</v>
      </c>
      <c r="K1307" s="1">
        <v>372093.82</v>
      </c>
      <c r="L1307" s="1">
        <v>531562.09</v>
      </c>
      <c r="M1307" t="str">
        <f>IFERROR(IF(VLOOKUP(LEFT(B1307,2),'Humanitarian codes'!$A$2:$A$10,1,FALSE)=LEFT(B1307,2),"Yes","Error"),"No")</f>
        <v>Yes</v>
      </c>
    </row>
    <row r="1308" spans="1:13" x14ac:dyDescent="0.25">
      <c r="A1308" t="s">
        <v>3331</v>
      </c>
      <c r="B1308" t="s">
        <v>3580</v>
      </c>
      <c r="C1308" t="s">
        <v>3581</v>
      </c>
      <c r="D1308" t="s">
        <v>30</v>
      </c>
      <c r="E1308" t="s">
        <v>356</v>
      </c>
      <c r="F1308" t="s">
        <v>3582</v>
      </c>
      <c r="G1308">
        <v>4500286330</v>
      </c>
      <c r="H1308" t="s">
        <v>3334</v>
      </c>
      <c r="I1308" t="s">
        <v>3583</v>
      </c>
      <c r="J1308" t="s">
        <v>356</v>
      </c>
      <c r="K1308" s="1">
        <v>196846.5</v>
      </c>
      <c r="L1308" s="1">
        <v>196846.5</v>
      </c>
      <c r="M1308" t="str">
        <f>IFERROR(IF(VLOOKUP(LEFT(B1308,2),'Humanitarian codes'!$A$2:$A$10,1,FALSE)=LEFT(B1308,2),"Yes","Error"),"No")</f>
        <v>Yes</v>
      </c>
    </row>
    <row r="1309" spans="1:13" x14ac:dyDescent="0.25">
      <c r="A1309" t="s">
        <v>3331</v>
      </c>
      <c r="B1309" t="s">
        <v>3584</v>
      </c>
      <c r="C1309" t="s">
        <v>3585</v>
      </c>
      <c r="D1309" t="s">
        <v>30</v>
      </c>
      <c r="E1309" t="s">
        <v>54</v>
      </c>
      <c r="F1309" t="s">
        <v>3586</v>
      </c>
      <c r="G1309">
        <v>4500294859</v>
      </c>
      <c r="H1309" t="s">
        <v>3334</v>
      </c>
      <c r="I1309" t="s">
        <v>281</v>
      </c>
      <c r="J1309" t="s">
        <v>54</v>
      </c>
      <c r="K1309" s="1">
        <v>125351.91</v>
      </c>
      <c r="L1309" s="1">
        <v>179074.16</v>
      </c>
      <c r="M1309" t="str">
        <f>IFERROR(IF(VLOOKUP(LEFT(B1309,2),'Humanitarian codes'!$A$2:$A$10,1,FALSE)=LEFT(B1309,2),"Yes","Error"),"No")</f>
        <v>Yes</v>
      </c>
    </row>
    <row r="1310" spans="1:13" x14ac:dyDescent="0.25">
      <c r="A1310" t="s">
        <v>3331</v>
      </c>
      <c r="B1310" t="s">
        <v>2948</v>
      </c>
      <c r="C1310" t="s">
        <v>3587</v>
      </c>
      <c r="D1310" t="s">
        <v>30</v>
      </c>
      <c r="E1310" t="s">
        <v>54</v>
      </c>
      <c r="F1310" t="s">
        <v>3588</v>
      </c>
      <c r="G1310">
        <v>4500279537</v>
      </c>
      <c r="H1310" t="s">
        <v>3334</v>
      </c>
      <c r="I1310" t="s">
        <v>790</v>
      </c>
      <c r="J1310" t="s">
        <v>54</v>
      </c>
      <c r="K1310" s="1">
        <v>37316.11</v>
      </c>
      <c r="L1310" s="1">
        <v>149264.46</v>
      </c>
      <c r="M1310" t="str">
        <f>IFERROR(IF(VLOOKUP(LEFT(B1310,2),'Humanitarian codes'!$A$2:$A$10,1,FALSE)=LEFT(B1310,2),"Yes","Error"),"No")</f>
        <v>Yes</v>
      </c>
    </row>
    <row r="1311" spans="1:13" x14ac:dyDescent="0.25">
      <c r="A1311" t="s">
        <v>3331</v>
      </c>
      <c r="B1311" t="s">
        <v>2948</v>
      </c>
      <c r="C1311" t="s">
        <v>3587</v>
      </c>
      <c r="D1311" t="s">
        <v>30</v>
      </c>
      <c r="E1311" t="s">
        <v>54</v>
      </c>
      <c r="F1311" t="s">
        <v>3589</v>
      </c>
      <c r="G1311">
        <v>4500284329</v>
      </c>
      <c r="H1311" t="s">
        <v>3334</v>
      </c>
      <c r="I1311" t="s">
        <v>3590</v>
      </c>
      <c r="J1311" t="s">
        <v>54</v>
      </c>
      <c r="K1311" s="1">
        <v>97263.51</v>
      </c>
      <c r="L1311" s="1">
        <v>97263.51</v>
      </c>
      <c r="M1311" t="str">
        <f>IFERROR(IF(VLOOKUP(LEFT(B1311,2),'Humanitarian codes'!$A$2:$A$10,1,FALSE)=LEFT(B1311,2),"Yes","Error"),"No")</f>
        <v>Yes</v>
      </c>
    </row>
    <row r="1312" spans="1:13" x14ac:dyDescent="0.25">
      <c r="A1312" t="s">
        <v>3331</v>
      </c>
      <c r="B1312" t="s">
        <v>3591</v>
      </c>
      <c r="C1312" t="s">
        <v>3592</v>
      </c>
      <c r="D1312" t="s">
        <v>30</v>
      </c>
      <c r="E1312" t="s">
        <v>54</v>
      </c>
      <c r="F1312" t="s">
        <v>3593</v>
      </c>
      <c r="G1312">
        <v>4500277689</v>
      </c>
      <c r="H1312" t="s">
        <v>3334</v>
      </c>
      <c r="I1312" t="s">
        <v>789</v>
      </c>
      <c r="J1312" t="s">
        <v>54</v>
      </c>
      <c r="K1312" s="1">
        <v>104422.18</v>
      </c>
      <c r="L1312" s="1">
        <v>149174.54999999999</v>
      </c>
      <c r="M1312" t="str">
        <f>IFERROR(IF(VLOOKUP(LEFT(B1312,2),'Humanitarian codes'!$A$2:$A$10,1,FALSE)=LEFT(B1312,2),"Yes","Error"),"No")</f>
        <v>Yes</v>
      </c>
    </row>
    <row r="1313" spans="1:13" x14ac:dyDescent="0.25">
      <c r="A1313" t="s">
        <v>3331</v>
      </c>
      <c r="B1313" t="s">
        <v>3594</v>
      </c>
      <c r="C1313" t="s">
        <v>3595</v>
      </c>
      <c r="D1313" t="s">
        <v>30</v>
      </c>
      <c r="E1313" t="s">
        <v>150</v>
      </c>
      <c r="F1313" t="s">
        <v>2200</v>
      </c>
      <c r="G1313">
        <v>4500299671</v>
      </c>
      <c r="H1313" t="s">
        <v>3334</v>
      </c>
      <c r="I1313" t="s">
        <v>151</v>
      </c>
      <c r="J1313" t="s">
        <v>150</v>
      </c>
      <c r="K1313" s="1">
        <v>143969.29999999999</v>
      </c>
      <c r="L1313" s="1">
        <v>143969.29999999999</v>
      </c>
      <c r="M1313" t="str">
        <f>IFERROR(IF(VLOOKUP(LEFT(B1313,2),'Humanitarian codes'!$A$2:$A$10,1,FALSE)=LEFT(B1313,2),"Yes","Error"),"No")</f>
        <v>Yes</v>
      </c>
    </row>
    <row r="1314" spans="1:13" x14ac:dyDescent="0.25">
      <c r="A1314" t="s">
        <v>3331</v>
      </c>
      <c r="B1314" t="s">
        <v>2342</v>
      </c>
      <c r="C1314" t="s">
        <v>2343</v>
      </c>
      <c r="D1314" t="s">
        <v>30</v>
      </c>
      <c r="E1314" t="s">
        <v>890</v>
      </c>
      <c r="F1314" t="s">
        <v>3596</v>
      </c>
      <c r="G1314">
        <v>4500287579</v>
      </c>
      <c r="H1314" t="s">
        <v>3334</v>
      </c>
      <c r="I1314" t="s">
        <v>246</v>
      </c>
      <c r="J1314" t="s">
        <v>890</v>
      </c>
      <c r="K1314" s="1">
        <v>32615.72</v>
      </c>
      <c r="L1314" s="1">
        <v>32615.72</v>
      </c>
      <c r="M1314" t="str">
        <f>IFERROR(IF(VLOOKUP(LEFT(B1314,2),'Humanitarian codes'!$A$2:$A$10,1,FALSE)=LEFT(B1314,2),"Yes","Error"),"No")</f>
        <v>Yes</v>
      </c>
    </row>
    <row r="1315" spans="1:13" x14ac:dyDescent="0.25">
      <c r="A1315" t="s">
        <v>3331</v>
      </c>
      <c r="B1315" t="s">
        <v>2342</v>
      </c>
      <c r="C1315" t="s">
        <v>2343</v>
      </c>
      <c r="D1315" t="s">
        <v>30</v>
      </c>
      <c r="E1315" t="s">
        <v>890</v>
      </c>
      <c r="F1315" t="s">
        <v>3597</v>
      </c>
      <c r="G1315">
        <v>4500287586</v>
      </c>
      <c r="H1315" t="s">
        <v>3334</v>
      </c>
      <c r="I1315" t="s">
        <v>245</v>
      </c>
      <c r="J1315" t="s">
        <v>890</v>
      </c>
      <c r="K1315" s="1">
        <v>55543.59</v>
      </c>
      <c r="L1315" s="1">
        <v>55543.59</v>
      </c>
      <c r="M1315" t="str">
        <f>IFERROR(IF(VLOOKUP(LEFT(B1315,2),'Humanitarian codes'!$A$2:$A$10,1,FALSE)=LEFT(B1315,2),"Yes","Error"),"No")</f>
        <v>Yes</v>
      </c>
    </row>
    <row r="1316" spans="1:13" x14ac:dyDescent="0.25">
      <c r="A1316" t="s">
        <v>3331</v>
      </c>
      <c r="B1316" t="s">
        <v>2342</v>
      </c>
      <c r="C1316" t="s">
        <v>2343</v>
      </c>
      <c r="D1316" t="s">
        <v>30</v>
      </c>
      <c r="E1316" t="s">
        <v>890</v>
      </c>
      <c r="F1316" t="s">
        <v>3598</v>
      </c>
      <c r="G1316">
        <v>4500287591</v>
      </c>
      <c r="H1316" t="s">
        <v>3334</v>
      </c>
      <c r="I1316" t="s">
        <v>247</v>
      </c>
      <c r="J1316" t="s">
        <v>890</v>
      </c>
      <c r="K1316" s="1">
        <v>271826.7</v>
      </c>
      <c r="L1316" s="1">
        <v>271826.7</v>
      </c>
      <c r="M1316" t="str">
        <f>IFERROR(IF(VLOOKUP(LEFT(B1316,2),'Humanitarian codes'!$A$2:$A$10,1,FALSE)=LEFT(B1316,2),"Yes","Error"),"No")</f>
        <v>Yes</v>
      </c>
    </row>
    <row r="1317" spans="1:13" x14ac:dyDescent="0.25">
      <c r="A1317" t="s">
        <v>3331</v>
      </c>
      <c r="B1317" t="s">
        <v>2342</v>
      </c>
      <c r="C1317" t="s">
        <v>2343</v>
      </c>
      <c r="D1317" t="s">
        <v>30</v>
      </c>
      <c r="E1317" t="s">
        <v>890</v>
      </c>
      <c r="F1317" t="s">
        <v>3599</v>
      </c>
      <c r="G1317">
        <v>4500287887</v>
      </c>
      <c r="H1317" t="s">
        <v>3334</v>
      </c>
      <c r="I1317" t="s">
        <v>1088</v>
      </c>
      <c r="J1317" t="s">
        <v>890</v>
      </c>
      <c r="K1317" s="1">
        <v>69736.27</v>
      </c>
      <c r="L1317" s="1">
        <v>69736.27</v>
      </c>
      <c r="M1317" t="str">
        <f>IFERROR(IF(VLOOKUP(LEFT(B1317,2),'Humanitarian codes'!$A$2:$A$10,1,FALSE)=LEFT(B1317,2),"Yes","Error"),"No")</f>
        <v>Yes</v>
      </c>
    </row>
    <row r="1318" spans="1:13" x14ac:dyDescent="0.25">
      <c r="A1318" t="s">
        <v>3331</v>
      </c>
      <c r="B1318" t="s">
        <v>2342</v>
      </c>
      <c r="C1318" t="s">
        <v>2343</v>
      </c>
      <c r="D1318" t="s">
        <v>30</v>
      </c>
      <c r="E1318" t="s">
        <v>890</v>
      </c>
      <c r="F1318" t="s">
        <v>3600</v>
      </c>
      <c r="G1318">
        <v>4500287896</v>
      </c>
      <c r="H1318" t="s">
        <v>3334</v>
      </c>
      <c r="I1318" t="s">
        <v>1088</v>
      </c>
      <c r="J1318" t="s">
        <v>890</v>
      </c>
      <c r="K1318" s="1">
        <v>44187.29</v>
      </c>
      <c r="L1318" s="1">
        <v>44187.29</v>
      </c>
      <c r="M1318" t="str">
        <f>IFERROR(IF(VLOOKUP(LEFT(B1318,2),'Humanitarian codes'!$A$2:$A$10,1,FALSE)=LEFT(B1318,2),"Yes","Error"),"No")</f>
        <v>Yes</v>
      </c>
    </row>
    <row r="1319" spans="1:13" x14ac:dyDescent="0.25">
      <c r="A1319" t="s">
        <v>3331</v>
      </c>
      <c r="B1319" t="s">
        <v>2342</v>
      </c>
      <c r="C1319" t="s">
        <v>2343</v>
      </c>
      <c r="D1319" t="s">
        <v>30</v>
      </c>
      <c r="E1319" t="s">
        <v>890</v>
      </c>
      <c r="F1319" t="s">
        <v>3601</v>
      </c>
      <c r="G1319">
        <v>4500287941</v>
      </c>
      <c r="H1319" t="s">
        <v>3334</v>
      </c>
      <c r="I1319" t="s">
        <v>1088</v>
      </c>
      <c r="J1319" t="s">
        <v>890</v>
      </c>
      <c r="K1319" s="1">
        <v>77195.91</v>
      </c>
      <c r="L1319" s="1">
        <v>77195.91</v>
      </c>
      <c r="M1319" t="str">
        <f>IFERROR(IF(VLOOKUP(LEFT(B1319,2),'Humanitarian codes'!$A$2:$A$10,1,FALSE)=LEFT(B1319,2),"Yes","Error"),"No")</f>
        <v>Yes</v>
      </c>
    </row>
    <row r="1320" spans="1:13" x14ac:dyDescent="0.25">
      <c r="A1320" t="s">
        <v>3331</v>
      </c>
      <c r="B1320" t="s">
        <v>2342</v>
      </c>
      <c r="C1320" t="s">
        <v>2343</v>
      </c>
      <c r="D1320" t="s">
        <v>30</v>
      </c>
      <c r="E1320" t="s">
        <v>890</v>
      </c>
      <c r="F1320" t="s">
        <v>3602</v>
      </c>
      <c r="G1320">
        <v>4500287994</v>
      </c>
      <c r="H1320" t="s">
        <v>3334</v>
      </c>
      <c r="I1320" t="s">
        <v>244</v>
      </c>
      <c r="J1320" t="s">
        <v>890</v>
      </c>
      <c r="K1320" s="1">
        <v>22723.35</v>
      </c>
      <c r="L1320" s="1">
        <v>22723.35</v>
      </c>
      <c r="M1320" t="str">
        <f>IFERROR(IF(VLOOKUP(LEFT(B1320,2),'Humanitarian codes'!$A$2:$A$10,1,FALSE)=LEFT(B1320,2),"Yes","Error"),"No")</f>
        <v>Yes</v>
      </c>
    </row>
    <row r="1321" spans="1:13" x14ac:dyDescent="0.25">
      <c r="A1321" t="s">
        <v>3331</v>
      </c>
      <c r="B1321" t="s">
        <v>2342</v>
      </c>
      <c r="C1321" t="s">
        <v>2343</v>
      </c>
      <c r="D1321" t="s">
        <v>30</v>
      </c>
      <c r="E1321" t="s">
        <v>890</v>
      </c>
      <c r="F1321" t="s">
        <v>3603</v>
      </c>
      <c r="G1321">
        <v>4500288671</v>
      </c>
      <c r="H1321" t="s">
        <v>3334</v>
      </c>
      <c r="I1321" t="s">
        <v>1088</v>
      </c>
      <c r="J1321" t="s">
        <v>890</v>
      </c>
      <c r="K1321" s="1">
        <v>20011.96</v>
      </c>
      <c r="L1321" s="1">
        <v>20011.96</v>
      </c>
      <c r="M1321" t="str">
        <f>IFERROR(IF(VLOOKUP(LEFT(B1321,2),'Humanitarian codes'!$A$2:$A$10,1,FALSE)=LEFT(B1321,2),"Yes","Error"),"No")</f>
        <v>Yes</v>
      </c>
    </row>
    <row r="1322" spans="1:13" x14ac:dyDescent="0.25">
      <c r="A1322" t="s">
        <v>3331</v>
      </c>
      <c r="B1322" t="s">
        <v>2342</v>
      </c>
      <c r="C1322" t="s">
        <v>2343</v>
      </c>
      <c r="D1322" t="s">
        <v>30</v>
      </c>
      <c r="E1322" t="s">
        <v>890</v>
      </c>
      <c r="F1322" t="s">
        <v>3604</v>
      </c>
      <c r="G1322">
        <v>4500291377</v>
      </c>
      <c r="H1322" t="s">
        <v>3334</v>
      </c>
      <c r="I1322" t="s">
        <v>891</v>
      </c>
      <c r="J1322" t="s">
        <v>890</v>
      </c>
      <c r="K1322" s="1">
        <v>51932.18</v>
      </c>
      <c r="L1322" s="1">
        <v>51932.18</v>
      </c>
      <c r="M1322" t="str">
        <f>IFERROR(IF(VLOOKUP(LEFT(B1322,2),'Humanitarian codes'!$A$2:$A$10,1,FALSE)=LEFT(B1322,2),"Yes","Error"),"No")</f>
        <v>Yes</v>
      </c>
    </row>
    <row r="1323" spans="1:13" x14ac:dyDescent="0.25">
      <c r="A1323" t="s">
        <v>3331</v>
      </c>
      <c r="B1323" t="s">
        <v>3605</v>
      </c>
      <c r="C1323" t="s">
        <v>3606</v>
      </c>
      <c r="D1323" t="s">
        <v>30</v>
      </c>
      <c r="E1323" t="s">
        <v>175</v>
      </c>
      <c r="F1323" t="s">
        <v>3607</v>
      </c>
      <c r="G1323">
        <v>4500290842</v>
      </c>
      <c r="H1323" t="s">
        <v>3334</v>
      </c>
      <c r="I1323" t="s">
        <v>185</v>
      </c>
      <c r="J1323" t="s">
        <v>175</v>
      </c>
      <c r="K1323" s="1">
        <v>128375.67</v>
      </c>
      <c r="L1323" s="1">
        <v>128375.67</v>
      </c>
      <c r="M1323" t="str">
        <f>IFERROR(IF(VLOOKUP(LEFT(B1323,2),'Humanitarian codes'!$A$2:$A$10,1,FALSE)=LEFT(B1323,2),"Yes","Error"),"No")</f>
        <v>Yes</v>
      </c>
    </row>
    <row r="1324" spans="1:13" x14ac:dyDescent="0.25">
      <c r="A1324" t="s">
        <v>3331</v>
      </c>
      <c r="B1324" t="s">
        <v>3608</v>
      </c>
      <c r="C1324" t="s">
        <v>3609</v>
      </c>
      <c r="D1324" t="s">
        <v>30</v>
      </c>
      <c r="E1324" t="s">
        <v>356</v>
      </c>
      <c r="F1324" t="s">
        <v>3610</v>
      </c>
      <c r="G1324">
        <v>4500299712</v>
      </c>
      <c r="H1324" t="s">
        <v>3334</v>
      </c>
      <c r="I1324" t="s">
        <v>357</v>
      </c>
      <c r="J1324" t="s">
        <v>356</v>
      </c>
      <c r="K1324" s="1">
        <v>140000</v>
      </c>
      <c r="L1324" s="1">
        <v>140000</v>
      </c>
      <c r="M1324" t="str">
        <f>IFERROR(IF(VLOOKUP(LEFT(B1324,2),'Humanitarian codes'!$A$2:$A$10,1,FALSE)=LEFT(B1324,2),"Yes","Error"),"No")</f>
        <v>Yes</v>
      </c>
    </row>
    <row r="1325" spans="1:13" x14ac:dyDescent="0.25">
      <c r="A1325" t="s">
        <v>3331</v>
      </c>
      <c r="B1325" t="s">
        <v>2361</v>
      </c>
      <c r="C1325" t="s">
        <v>2362</v>
      </c>
      <c r="D1325" t="s">
        <v>30</v>
      </c>
      <c r="E1325" t="s">
        <v>717</v>
      </c>
      <c r="F1325" t="s">
        <v>3433</v>
      </c>
      <c r="G1325">
        <v>4500288490</v>
      </c>
      <c r="H1325" t="s">
        <v>3334</v>
      </c>
      <c r="I1325" t="s">
        <v>2868</v>
      </c>
      <c r="J1325" t="s">
        <v>717</v>
      </c>
      <c r="K1325" s="1">
        <v>9039.19</v>
      </c>
      <c r="L1325" s="1">
        <v>72313.490000000005</v>
      </c>
      <c r="M1325" t="str">
        <f>IFERROR(IF(VLOOKUP(LEFT(B1325,2),'Humanitarian codes'!$A$2:$A$10,1,FALSE)=LEFT(B1325,2),"Yes","Error"),"No")</f>
        <v>Yes</v>
      </c>
    </row>
    <row r="1326" spans="1:13" x14ac:dyDescent="0.25">
      <c r="A1326" t="s">
        <v>3331</v>
      </c>
      <c r="B1326" t="s">
        <v>3611</v>
      </c>
      <c r="C1326" t="s">
        <v>3612</v>
      </c>
      <c r="D1326" t="s">
        <v>30</v>
      </c>
      <c r="E1326" t="s">
        <v>717</v>
      </c>
      <c r="F1326" t="s">
        <v>3613</v>
      </c>
      <c r="G1326">
        <v>4500293476</v>
      </c>
      <c r="H1326" t="s">
        <v>3334</v>
      </c>
      <c r="I1326" t="s">
        <v>1160</v>
      </c>
      <c r="J1326" t="s">
        <v>717</v>
      </c>
      <c r="K1326" s="1">
        <v>99659.62</v>
      </c>
      <c r="L1326" s="1">
        <v>99659.62</v>
      </c>
      <c r="M1326" t="str">
        <f>IFERROR(IF(VLOOKUP(LEFT(B1326,2),'Humanitarian codes'!$A$2:$A$10,1,FALSE)=LEFT(B1326,2),"Yes","Error"),"No")</f>
        <v>Yes</v>
      </c>
    </row>
    <row r="1327" spans="1:13" x14ac:dyDescent="0.25">
      <c r="A1327" t="s">
        <v>3331</v>
      </c>
      <c r="B1327" t="s">
        <v>3611</v>
      </c>
      <c r="C1327" t="s">
        <v>3612</v>
      </c>
      <c r="D1327" t="s">
        <v>30</v>
      </c>
      <c r="E1327" t="s">
        <v>717</v>
      </c>
      <c r="F1327" t="s">
        <v>3614</v>
      </c>
      <c r="G1327">
        <v>4500293481</v>
      </c>
      <c r="H1327" t="s">
        <v>3334</v>
      </c>
      <c r="I1327" t="s">
        <v>728</v>
      </c>
      <c r="J1327" t="s">
        <v>717</v>
      </c>
      <c r="K1327" s="1">
        <v>159304</v>
      </c>
      <c r="L1327" s="1">
        <v>159304</v>
      </c>
      <c r="M1327" t="str">
        <f>IFERROR(IF(VLOOKUP(LEFT(B1327,2),'Humanitarian codes'!$A$2:$A$10,1,FALSE)=LEFT(B1327,2),"Yes","Error"),"No")</f>
        <v>Yes</v>
      </c>
    </row>
    <row r="1328" spans="1:13" x14ac:dyDescent="0.25">
      <c r="A1328" t="s">
        <v>3331</v>
      </c>
      <c r="B1328" t="s">
        <v>3611</v>
      </c>
      <c r="C1328" t="s">
        <v>3612</v>
      </c>
      <c r="D1328" t="s">
        <v>30</v>
      </c>
      <c r="E1328" t="s">
        <v>717</v>
      </c>
      <c r="F1328" t="s">
        <v>3615</v>
      </c>
      <c r="G1328">
        <v>4500293483</v>
      </c>
      <c r="H1328" t="s">
        <v>3334</v>
      </c>
      <c r="I1328" t="s">
        <v>720</v>
      </c>
      <c r="J1328" t="s">
        <v>717</v>
      </c>
      <c r="K1328" s="1">
        <v>76590</v>
      </c>
      <c r="L1328" s="1">
        <v>76590</v>
      </c>
      <c r="M1328" t="str">
        <f>IFERROR(IF(VLOOKUP(LEFT(B1328,2),'Humanitarian codes'!$A$2:$A$10,1,FALSE)=LEFT(B1328,2),"Yes","Error"),"No")</f>
        <v>Yes</v>
      </c>
    </row>
    <row r="1329" spans="1:13" x14ac:dyDescent="0.25">
      <c r="A1329" t="s">
        <v>3331</v>
      </c>
      <c r="B1329" t="s">
        <v>3611</v>
      </c>
      <c r="C1329" t="s">
        <v>3612</v>
      </c>
      <c r="D1329" t="s">
        <v>30</v>
      </c>
      <c r="E1329" t="s">
        <v>717</v>
      </c>
      <c r="F1329" t="s">
        <v>3616</v>
      </c>
      <c r="G1329">
        <v>4500293486</v>
      </c>
      <c r="H1329" t="s">
        <v>3334</v>
      </c>
      <c r="I1329" t="s">
        <v>3422</v>
      </c>
      <c r="J1329" t="s">
        <v>717</v>
      </c>
      <c r="K1329" s="1">
        <v>38998</v>
      </c>
      <c r="L1329" s="1">
        <v>38998</v>
      </c>
      <c r="M1329" t="str">
        <f>IFERROR(IF(VLOOKUP(LEFT(B1329,2),'Humanitarian codes'!$A$2:$A$10,1,FALSE)=LEFT(B1329,2),"Yes","Error"),"No")</f>
        <v>Yes</v>
      </c>
    </row>
    <row r="1330" spans="1:13" x14ac:dyDescent="0.25">
      <c r="A1330" t="s">
        <v>3331</v>
      </c>
      <c r="B1330" t="s">
        <v>1708</v>
      </c>
      <c r="C1330" t="s">
        <v>1709</v>
      </c>
      <c r="D1330" t="s">
        <v>30</v>
      </c>
      <c r="E1330" t="s">
        <v>289</v>
      </c>
      <c r="F1330" t="s">
        <v>3617</v>
      </c>
      <c r="G1330">
        <v>4500299432</v>
      </c>
      <c r="H1330" t="s">
        <v>3334</v>
      </c>
      <c r="I1330" t="s">
        <v>3618</v>
      </c>
      <c r="J1330" t="s">
        <v>289</v>
      </c>
      <c r="K1330" s="1">
        <v>138645.31</v>
      </c>
      <c r="L1330" s="1">
        <v>138645.31</v>
      </c>
      <c r="M1330" t="str">
        <f>IFERROR(IF(VLOOKUP(LEFT(B1330,2),'Humanitarian codes'!$A$2:$A$10,1,FALSE)=LEFT(B1330,2),"Yes","Error"),"No")</f>
        <v>Yes</v>
      </c>
    </row>
    <row r="1331" spans="1:13" x14ac:dyDescent="0.25">
      <c r="A1331" t="s">
        <v>3331</v>
      </c>
      <c r="B1331" t="s">
        <v>1374</v>
      </c>
      <c r="C1331" t="s">
        <v>1375</v>
      </c>
      <c r="D1331" t="s">
        <v>9</v>
      </c>
      <c r="E1331" t="s">
        <v>1376</v>
      </c>
      <c r="F1331" t="s">
        <v>2200</v>
      </c>
      <c r="G1331">
        <v>4500294088</v>
      </c>
      <c r="H1331" t="s">
        <v>3334</v>
      </c>
      <c r="I1331" t="s">
        <v>3619</v>
      </c>
      <c r="J1331" t="s">
        <v>1376</v>
      </c>
      <c r="K1331" s="1">
        <v>191395</v>
      </c>
      <c r="L1331" s="1">
        <v>191395</v>
      </c>
      <c r="M1331" t="str">
        <f>IFERROR(IF(VLOOKUP(LEFT(B1331,2),'Humanitarian codes'!$A$2:$A$10,1,FALSE)=LEFT(B1331,2),"Yes","Error"),"No")</f>
        <v>Yes</v>
      </c>
    </row>
    <row r="1332" spans="1:13" hidden="1" x14ac:dyDescent="0.25">
      <c r="A1332" t="s">
        <v>3331</v>
      </c>
      <c r="B1332" t="s">
        <v>2489</v>
      </c>
      <c r="C1332" t="s">
        <v>2490</v>
      </c>
      <c r="D1332" t="s">
        <v>30</v>
      </c>
      <c r="E1332" t="s">
        <v>128</v>
      </c>
      <c r="F1332" t="s">
        <v>3620</v>
      </c>
      <c r="G1332">
        <v>4500282876</v>
      </c>
      <c r="H1332" t="s">
        <v>3334</v>
      </c>
      <c r="I1332" t="s">
        <v>436</v>
      </c>
      <c r="J1332" t="s">
        <v>128</v>
      </c>
      <c r="K1332" s="1">
        <v>149215</v>
      </c>
      <c r="L1332" s="1">
        <v>149215</v>
      </c>
      <c r="M1332" t="str">
        <f>IFERROR(IF(VLOOKUP(LEFT(B1332,2),'Humanitarian codes'!$A$2:$A$10,1,FALSE)=LEFT(B1332,2),"Yes","Error"),"No")</f>
        <v>No</v>
      </c>
    </row>
    <row r="1333" spans="1:13" hidden="1" x14ac:dyDescent="0.25">
      <c r="A1333" t="s">
        <v>3331</v>
      </c>
      <c r="B1333" t="s">
        <v>1386</v>
      </c>
      <c r="C1333" t="s">
        <v>1387</v>
      </c>
      <c r="D1333" t="s">
        <v>30</v>
      </c>
      <c r="E1333" t="s">
        <v>940</v>
      </c>
      <c r="F1333" t="s">
        <v>2200</v>
      </c>
      <c r="G1333">
        <v>4500282556</v>
      </c>
      <c r="H1333" t="s">
        <v>3334</v>
      </c>
      <c r="I1333" t="s">
        <v>3621</v>
      </c>
      <c r="J1333" t="s">
        <v>940</v>
      </c>
      <c r="K1333" s="1">
        <v>6720</v>
      </c>
      <c r="L1333" s="1">
        <v>6720</v>
      </c>
      <c r="M1333" t="str">
        <f>IFERROR(IF(VLOOKUP(LEFT(B1333,2),'Humanitarian codes'!$A$2:$A$10,1,FALSE)=LEFT(B1333,2),"Yes","Error"),"No")</f>
        <v>No</v>
      </c>
    </row>
    <row r="1334" spans="1:13" hidden="1" x14ac:dyDescent="0.25">
      <c r="A1334" t="s">
        <v>3331</v>
      </c>
      <c r="B1334" t="s">
        <v>1386</v>
      </c>
      <c r="C1334" t="s">
        <v>1387</v>
      </c>
      <c r="D1334" t="s">
        <v>30</v>
      </c>
      <c r="E1334" t="s">
        <v>940</v>
      </c>
      <c r="F1334" t="s">
        <v>2200</v>
      </c>
      <c r="G1334">
        <v>4500282568</v>
      </c>
      <c r="H1334" t="s">
        <v>3334</v>
      </c>
      <c r="I1334" t="s">
        <v>3622</v>
      </c>
      <c r="J1334" t="s">
        <v>940</v>
      </c>
      <c r="K1334" s="1">
        <v>16370</v>
      </c>
      <c r="L1334" s="1">
        <v>16370</v>
      </c>
      <c r="M1334" t="str">
        <f>IFERROR(IF(VLOOKUP(LEFT(B1334,2),'Humanitarian codes'!$A$2:$A$10,1,FALSE)=LEFT(B1334,2),"Yes","Error"),"No")</f>
        <v>No</v>
      </c>
    </row>
    <row r="1335" spans="1:13" hidden="1" x14ac:dyDescent="0.25">
      <c r="A1335" t="s">
        <v>3331</v>
      </c>
      <c r="B1335" t="s">
        <v>1393</v>
      </c>
      <c r="C1335" t="s">
        <v>1394</v>
      </c>
      <c r="D1335" t="s">
        <v>30</v>
      </c>
      <c r="E1335" t="s">
        <v>54</v>
      </c>
      <c r="F1335" t="s">
        <v>3586</v>
      </c>
      <c r="G1335">
        <v>4500294859</v>
      </c>
      <c r="H1335" t="s">
        <v>3334</v>
      </c>
      <c r="I1335" t="s">
        <v>281</v>
      </c>
      <c r="J1335" t="s">
        <v>54</v>
      </c>
      <c r="K1335" s="1">
        <v>53722.25</v>
      </c>
      <c r="L1335" s="1">
        <v>179074.16</v>
      </c>
      <c r="M1335" t="str">
        <f>IFERROR(IF(VLOOKUP(LEFT(B1335,2),'Humanitarian codes'!$A$2:$A$10,1,FALSE)=LEFT(B1335,2),"Yes","Error"),"No")</f>
        <v>No</v>
      </c>
    </row>
    <row r="1336" spans="1:13" x14ac:dyDescent="0.25">
      <c r="A1336" t="s">
        <v>3331</v>
      </c>
      <c r="B1336" t="s">
        <v>1411</v>
      </c>
      <c r="C1336" t="s">
        <v>3623</v>
      </c>
      <c r="D1336" t="s">
        <v>30</v>
      </c>
      <c r="E1336" t="s">
        <v>257</v>
      </c>
      <c r="F1336" t="s">
        <v>3624</v>
      </c>
      <c r="G1336">
        <v>4500278992</v>
      </c>
      <c r="H1336" t="s">
        <v>3334</v>
      </c>
      <c r="I1336" t="s">
        <v>3625</v>
      </c>
      <c r="J1336" t="s">
        <v>257</v>
      </c>
      <c r="K1336" s="1">
        <v>73133.64</v>
      </c>
      <c r="L1336" s="1">
        <v>73133.64</v>
      </c>
      <c r="M1336" t="str">
        <f>IFERROR(IF(VLOOKUP(LEFT(B1336,2),'Humanitarian codes'!$A$2:$A$10,1,FALSE)=LEFT(B1336,2),"Yes","Error"),"No")</f>
        <v>Yes</v>
      </c>
    </row>
    <row r="1337" spans="1:13" x14ac:dyDescent="0.25">
      <c r="A1337" t="s">
        <v>3331</v>
      </c>
      <c r="B1337" t="s">
        <v>3626</v>
      </c>
      <c r="C1337" t="s">
        <v>3627</v>
      </c>
      <c r="D1337" t="s">
        <v>30</v>
      </c>
      <c r="E1337" t="s">
        <v>330</v>
      </c>
      <c r="F1337" t="s">
        <v>3628</v>
      </c>
      <c r="G1337">
        <v>4500277748</v>
      </c>
      <c r="H1337" t="s">
        <v>3334</v>
      </c>
      <c r="I1337" t="s">
        <v>2689</v>
      </c>
      <c r="J1337" t="s">
        <v>330</v>
      </c>
      <c r="K1337" s="1">
        <v>88497.07</v>
      </c>
      <c r="L1337" s="1">
        <v>88497.07</v>
      </c>
      <c r="M1337" t="str">
        <f>IFERROR(IF(VLOOKUP(LEFT(B1337,2),'Humanitarian codes'!$A$2:$A$10,1,FALSE)=LEFT(B1337,2),"Yes","Error"),"No")</f>
        <v>Yes</v>
      </c>
    </row>
    <row r="1338" spans="1:13" x14ac:dyDescent="0.25">
      <c r="A1338" t="s">
        <v>3331</v>
      </c>
      <c r="B1338" t="s">
        <v>443</v>
      </c>
      <c r="C1338" t="s">
        <v>444</v>
      </c>
      <c r="D1338" t="s">
        <v>30</v>
      </c>
      <c r="E1338" t="s">
        <v>155</v>
      </c>
      <c r="F1338" t="s">
        <v>2200</v>
      </c>
      <c r="G1338">
        <v>4500285333</v>
      </c>
      <c r="H1338" t="s">
        <v>3334</v>
      </c>
      <c r="I1338" t="s">
        <v>2956</v>
      </c>
      <c r="J1338" t="s">
        <v>155</v>
      </c>
      <c r="K1338" s="1">
        <v>19455.349999999999</v>
      </c>
      <c r="L1338" s="1">
        <v>19455.349999999999</v>
      </c>
      <c r="M1338" t="str">
        <f>IFERROR(IF(VLOOKUP(LEFT(B1338,2),'Humanitarian codes'!$A$2:$A$10,1,FALSE)=LEFT(B1338,2),"Yes","Error"),"No")</f>
        <v>Yes</v>
      </c>
    </row>
    <row r="1339" spans="1:13" hidden="1" x14ac:dyDescent="0.25">
      <c r="A1339" t="s">
        <v>3331</v>
      </c>
      <c r="B1339" t="s">
        <v>3629</v>
      </c>
      <c r="C1339" t="s">
        <v>3630</v>
      </c>
      <c r="D1339" t="s">
        <v>30</v>
      </c>
      <c r="E1339" t="s">
        <v>261</v>
      </c>
      <c r="F1339" t="s">
        <v>3631</v>
      </c>
      <c r="G1339">
        <v>4500291623</v>
      </c>
      <c r="H1339" t="s">
        <v>3334</v>
      </c>
      <c r="I1339" t="s">
        <v>3632</v>
      </c>
      <c r="J1339" t="s">
        <v>261</v>
      </c>
      <c r="K1339" s="1">
        <v>16877.86</v>
      </c>
      <c r="L1339" s="1">
        <v>16877.86</v>
      </c>
      <c r="M1339" t="str">
        <f>IFERROR(IF(VLOOKUP(LEFT(B1339,2),'Humanitarian codes'!$A$2:$A$10,1,FALSE)=LEFT(B1339,2),"Yes","Error"),"No")</f>
        <v>No</v>
      </c>
    </row>
    <row r="1340" spans="1:13" hidden="1" x14ac:dyDescent="0.25">
      <c r="A1340" t="s">
        <v>3331</v>
      </c>
      <c r="B1340" t="s">
        <v>2056</v>
      </c>
      <c r="C1340" t="s">
        <v>2057</v>
      </c>
      <c r="D1340" t="s">
        <v>30</v>
      </c>
      <c r="E1340" t="s">
        <v>261</v>
      </c>
      <c r="F1340" t="s">
        <v>2200</v>
      </c>
      <c r="G1340">
        <v>4500277559</v>
      </c>
      <c r="H1340" t="s">
        <v>3334</v>
      </c>
      <c r="I1340" t="s">
        <v>3633</v>
      </c>
      <c r="J1340" t="s">
        <v>261</v>
      </c>
      <c r="K1340" s="1">
        <v>23386.9</v>
      </c>
      <c r="L1340" s="1">
        <v>23386.9</v>
      </c>
      <c r="M1340" t="str">
        <f>IFERROR(IF(VLOOKUP(LEFT(B1340,2),'Humanitarian codes'!$A$2:$A$10,1,FALSE)=LEFT(B1340,2),"Yes","Error"),"No")</f>
        <v>No</v>
      </c>
    </row>
    <row r="1341" spans="1:13" hidden="1" x14ac:dyDescent="0.25">
      <c r="A1341" t="s">
        <v>3331</v>
      </c>
      <c r="B1341" t="s">
        <v>3634</v>
      </c>
      <c r="C1341" t="s">
        <v>3635</v>
      </c>
      <c r="D1341" t="s">
        <v>30</v>
      </c>
      <c r="E1341" t="s">
        <v>940</v>
      </c>
      <c r="F1341" t="s">
        <v>2200</v>
      </c>
      <c r="G1341">
        <v>4500285502</v>
      </c>
      <c r="H1341" t="s">
        <v>3334</v>
      </c>
      <c r="I1341" t="s">
        <v>3636</v>
      </c>
      <c r="J1341" t="s">
        <v>940</v>
      </c>
      <c r="K1341" s="1">
        <v>58238</v>
      </c>
      <c r="L1341" s="1">
        <v>58238</v>
      </c>
      <c r="M1341" t="str">
        <f>IFERROR(IF(VLOOKUP(LEFT(B1341,2),'Humanitarian codes'!$A$2:$A$10,1,FALSE)=LEFT(B1341,2),"Yes","Error"),"No")</f>
        <v>No</v>
      </c>
    </row>
    <row r="1342" spans="1:13" hidden="1" x14ac:dyDescent="0.25">
      <c r="A1342" t="s">
        <v>3331</v>
      </c>
      <c r="B1342" t="s">
        <v>3634</v>
      </c>
      <c r="C1342" t="s">
        <v>3635</v>
      </c>
      <c r="D1342" t="s">
        <v>30</v>
      </c>
      <c r="E1342" t="s">
        <v>940</v>
      </c>
      <c r="F1342" t="s">
        <v>2200</v>
      </c>
      <c r="G1342">
        <v>4500287391</v>
      </c>
      <c r="H1342" t="s">
        <v>3334</v>
      </c>
      <c r="I1342" t="s">
        <v>1388</v>
      </c>
      <c r="J1342" t="s">
        <v>940</v>
      </c>
      <c r="K1342" s="1">
        <v>184442</v>
      </c>
      <c r="L1342" s="1">
        <v>184442</v>
      </c>
      <c r="M1342" t="str">
        <f>IFERROR(IF(VLOOKUP(LEFT(B1342,2),'Humanitarian codes'!$A$2:$A$10,1,FALSE)=LEFT(B1342,2),"Yes","Error"),"No")</f>
        <v>No</v>
      </c>
    </row>
    <row r="1343" spans="1:13" hidden="1" x14ac:dyDescent="0.25">
      <c r="A1343" t="s">
        <v>3331</v>
      </c>
      <c r="B1343" t="s">
        <v>3637</v>
      </c>
      <c r="C1343" t="s">
        <v>3638</v>
      </c>
      <c r="D1343" t="s">
        <v>30</v>
      </c>
      <c r="E1343" t="s">
        <v>814</v>
      </c>
      <c r="F1343" t="s">
        <v>3639</v>
      </c>
      <c r="G1343">
        <v>4500285978</v>
      </c>
      <c r="H1343" t="s">
        <v>3334</v>
      </c>
      <c r="I1343" t="s">
        <v>112</v>
      </c>
      <c r="J1343" t="s">
        <v>814</v>
      </c>
      <c r="K1343" s="1">
        <v>327212.51</v>
      </c>
      <c r="L1343" s="1">
        <v>327212.51</v>
      </c>
      <c r="M1343" t="str">
        <f>IFERROR(IF(VLOOKUP(LEFT(B1343,2),'Humanitarian codes'!$A$2:$A$10,1,FALSE)=LEFT(B1343,2),"Yes","Error"),"No")</f>
        <v>No</v>
      </c>
    </row>
    <row r="1344" spans="1:13" hidden="1" x14ac:dyDescent="0.25">
      <c r="A1344" t="s">
        <v>3331</v>
      </c>
      <c r="B1344" t="s">
        <v>3637</v>
      </c>
      <c r="C1344" t="s">
        <v>3638</v>
      </c>
      <c r="D1344" t="s">
        <v>30</v>
      </c>
      <c r="E1344" t="s">
        <v>814</v>
      </c>
      <c r="F1344" t="s">
        <v>3640</v>
      </c>
      <c r="G1344">
        <v>4500285986</v>
      </c>
      <c r="H1344" t="s">
        <v>3334</v>
      </c>
      <c r="I1344" t="s">
        <v>117</v>
      </c>
      <c r="J1344" t="s">
        <v>814</v>
      </c>
      <c r="K1344" s="1">
        <v>117258.08</v>
      </c>
      <c r="L1344" s="1">
        <v>117258.08</v>
      </c>
      <c r="M1344" t="str">
        <f>IFERROR(IF(VLOOKUP(LEFT(B1344,2),'Humanitarian codes'!$A$2:$A$10,1,FALSE)=LEFT(B1344,2),"Yes","Error"),"No")</f>
        <v>No</v>
      </c>
    </row>
    <row r="1345" spans="1:13" hidden="1" x14ac:dyDescent="0.25">
      <c r="A1345" t="s">
        <v>3331</v>
      </c>
      <c r="B1345" t="s">
        <v>3641</v>
      </c>
      <c r="C1345" t="s">
        <v>3642</v>
      </c>
      <c r="D1345" t="s">
        <v>543</v>
      </c>
      <c r="E1345" t="s">
        <v>83</v>
      </c>
      <c r="F1345" t="s">
        <v>2357</v>
      </c>
      <c r="G1345">
        <v>4500287743</v>
      </c>
      <c r="H1345" t="s">
        <v>3334</v>
      </c>
      <c r="I1345" t="s">
        <v>1930</v>
      </c>
      <c r="J1345" t="s">
        <v>83</v>
      </c>
      <c r="K1345" s="1">
        <v>40574.94</v>
      </c>
      <c r="L1345" s="1">
        <v>40574.94</v>
      </c>
      <c r="M1345" t="str">
        <f>IFERROR(IF(VLOOKUP(LEFT(B1345,2),'Humanitarian codes'!$A$2:$A$10,1,FALSE)=LEFT(B1345,2),"Yes","Error"),"No")</f>
        <v>No</v>
      </c>
    </row>
    <row r="1346" spans="1:13" hidden="1" x14ac:dyDescent="0.25">
      <c r="A1346" t="s">
        <v>3331</v>
      </c>
      <c r="B1346" t="s">
        <v>1447</v>
      </c>
      <c r="C1346" t="s">
        <v>1448</v>
      </c>
      <c r="D1346" t="s">
        <v>543</v>
      </c>
      <c r="E1346" t="s">
        <v>523</v>
      </c>
      <c r="F1346" t="s">
        <v>3643</v>
      </c>
      <c r="G1346">
        <v>4500286483</v>
      </c>
      <c r="H1346" t="s">
        <v>3334</v>
      </c>
      <c r="I1346" t="s">
        <v>1803</v>
      </c>
      <c r="J1346" t="s">
        <v>523</v>
      </c>
      <c r="K1346" s="1">
        <v>18268.849999999999</v>
      </c>
      <c r="L1346" s="1">
        <v>18268.849999999999</v>
      </c>
      <c r="M1346" t="str">
        <f>IFERROR(IF(VLOOKUP(LEFT(B1346,2),'Humanitarian codes'!$A$2:$A$10,1,FALSE)=LEFT(B1346,2),"Yes","Error"),"No")</f>
        <v>No</v>
      </c>
    </row>
    <row r="1347" spans="1:13" hidden="1" x14ac:dyDescent="0.25">
      <c r="A1347" t="s">
        <v>3331</v>
      </c>
      <c r="B1347" t="s">
        <v>1459</v>
      </c>
      <c r="C1347" t="s">
        <v>3644</v>
      </c>
      <c r="D1347" t="s">
        <v>466</v>
      </c>
      <c r="E1347" t="s">
        <v>1278</v>
      </c>
      <c r="F1347" t="s">
        <v>2200</v>
      </c>
      <c r="G1347">
        <v>4500277581</v>
      </c>
      <c r="H1347" t="s">
        <v>3334</v>
      </c>
      <c r="I1347" t="s">
        <v>1476</v>
      </c>
      <c r="J1347" t="s">
        <v>1278</v>
      </c>
      <c r="K1347" s="1">
        <v>30212.77</v>
      </c>
      <c r="L1347" s="1">
        <v>30212.77</v>
      </c>
      <c r="M1347" t="str">
        <f>IFERROR(IF(VLOOKUP(LEFT(B1347,2),'Humanitarian codes'!$A$2:$A$10,1,FALSE)=LEFT(B1347,2),"Yes","Error"),"No")</f>
        <v>No</v>
      </c>
    </row>
    <row r="1348" spans="1:13" hidden="1" x14ac:dyDescent="0.25">
      <c r="A1348" t="s">
        <v>3331</v>
      </c>
      <c r="B1348" t="s">
        <v>1459</v>
      </c>
      <c r="C1348" t="s">
        <v>3644</v>
      </c>
      <c r="D1348" t="s">
        <v>466</v>
      </c>
      <c r="E1348" t="s">
        <v>1278</v>
      </c>
      <c r="F1348" t="s">
        <v>3645</v>
      </c>
      <c r="G1348">
        <v>4500278685</v>
      </c>
      <c r="H1348" t="s">
        <v>3334</v>
      </c>
      <c r="I1348" t="s">
        <v>3646</v>
      </c>
      <c r="J1348" t="s">
        <v>1278</v>
      </c>
      <c r="K1348" s="1">
        <v>53287.32</v>
      </c>
      <c r="L1348" s="1">
        <v>53287.32</v>
      </c>
      <c r="M1348" t="str">
        <f>IFERROR(IF(VLOOKUP(LEFT(B1348,2),'Humanitarian codes'!$A$2:$A$10,1,FALSE)=LEFT(B1348,2),"Yes","Error"),"No")</f>
        <v>No</v>
      </c>
    </row>
    <row r="1349" spans="1:13" hidden="1" x14ac:dyDescent="0.25">
      <c r="A1349" t="s">
        <v>3331</v>
      </c>
      <c r="B1349" t="s">
        <v>1459</v>
      </c>
      <c r="C1349" t="s">
        <v>3644</v>
      </c>
      <c r="D1349" t="s">
        <v>466</v>
      </c>
      <c r="E1349" t="s">
        <v>1278</v>
      </c>
      <c r="F1349" t="s">
        <v>2200</v>
      </c>
      <c r="G1349">
        <v>4500281358</v>
      </c>
      <c r="H1349" t="s">
        <v>3334</v>
      </c>
      <c r="I1349" t="s">
        <v>3647</v>
      </c>
      <c r="J1349" t="s">
        <v>1278</v>
      </c>
      <c r="K1349" s="1">
        <v>56201.83</v>
      </c>
      <c r="L1349" s="1">
        <v>56201.83</v>
      </c>
      <c r="M1349" t="str">
        <f>IFERROR(IF(VLOOKUP(LEFT(B1349,2),'Humanitarian codes'!$A$2:$A$10,1,FALSE)=LEFT(B1349,2),"Yes","Error"),"No")</f>
        <v>No</v>
      </c>
    </row>
    <row r="1350" spans="1:13" hidden="1" x14ac:dyDescent="0.25">
      <c r="A1350" t="s">
        <v>3331</v>
      </c>
      <c r="B1350" t="s">
        <v>1459</v>
      </c>
      <c r="C1350" t="s">
        <v>3644</v>
      </c>
      <c r="D1350" t="s">
        <v>466</v>
      </c>
      <c r="E1350" t="s">
        <v>1278</v>
      </c>
      <c r="F1350" t="s">
        <v>2200</v>
      </c>
      <c r="G1350">
        <v>4500283733</v>
      </c>
      <c r="H1350" t="s">
        <v>3334</v>
      </c>
      <c r="I1350" t="s">
        <v>3648</v>
      </c>
      <c r="J1350" t="s">
        <v>1278</v>
      </c>
      <c r="K1350" s="1">
        <v>6382.57</v>
      </c>
      <c r="L1350" s="1">
        <v>6382.57</v>
      </c>
      <c r="M1350" t="str">
        <f>IFERROR(IF(VLOOKUP(LEFT(B1350,2),'Humanitarian codes'!$A$2:$A$10,1,FALSE)=LEFT(B1350,2),"Yes","Error"),"No")</f>
        <v>No</v>
      </c>
    </row>
    <row r="1351" spans="1:13" hidden="1" x14ac:dyDescent="0.25">
      <c r="A1351" t="s">
        <v>3331</v>
      </c>
      <c r="B1351" t="s">
        <v>1459</v>
      </c>
      <c r="C1351" t="s">
        <v>3644</v>
      </c>
      <c r="D1351" t="s">
        <v>466</v>
      </c>
      <c r="E1351" t="s">
        <v>1278</v>
      </c>
      <c r="F1351" t="s">
        <v>2200</v>
      </c>
      <c r="G1351">
        <v>4500290969</v>
      </c>
      <c r="H1351" t="s">
        <v>3334</v>
      </c>
      <c r="I1351" t="s">
        <v>3649</v>
      </c>
      <c r="J1351" t="s">
        <v>1278</v>
      </c>
      <c r="K1351" s="1">
        <v>15317.76</v>
      </c>
      <c r="L1351" s="1">
        <v>15317.76</v>
      </c>
      <c r="M1351" t="str">
        <f>IFERROR(IF(VLOOKUP(LEFT(B1351,2),'Humanitarian codes'!$A$2:$A$10,1,FALSE)=LEFT(B1351,2),"Yes","Error"),"No")</f>
        <v>No</v>
      </c>
    </row>
    <row r="1352" spans="1:13" hidden="1" x14ac:dyDescent="0.25">
      <c r="A1352" t="s">
        <v>3331</v>
      </c>
      <c r="B1352" t="s">
        <v>1459</v>
      </c>
      <c r="C1352" t="s">
        <v>3644</v>
      </c>
      <c r="D1352" t="s">
        <v>466</v>
      </c>
      <c r="E1352" t="s">
        <v>1278</v>
      </c>
      <c r="F1352" t="s">
        <v>2200</v>
      </c>
      <c r="G1352">
        <v>4500292241</v>
      </c>
      <c r="H1352" t="s">
        <v>3334</v>
      </c>
      <c r="I1352" t="s">
        <v>3650</v>
      </c>
      <c r="J1352" t="s">
        <v>1278</v>
      </c>
      <c r="K1352" s="1">
        <v>75385.64</v>
      </c>
      <c r="L1352" s="1">
        <v>75385.64</v>
      </c>
      <c r="M1352" t="str">
        <f>IFERROR(IF(VLOOKUP(LEFT(B1352,2),'Humanitarian codes'!$A$2:$A$10,1,FALSE)=LEFT(B1352,2),"Yes","Error"),"No")</f>
        <v>No</v>
      </c>
    </row>
    <row r="1353" spans="1:13" hidden="1" x14ac:dyDescent="0.25">
      <c r="A1353" t="s">
        <v>3331</v>
      </c>
      <c r="B1353" t="s">
        <v>1459</v>
      </c>
      <c r="C1353" t="s">
        <v>3644</v>
      </c>
      <c r="D1353" t="s">
        <v>466</v>
      </c>
      <c r="E1353" t="s">
        <v>1278</v>
      </c>
      <c r="F1353" t="s">
        <v>2200</v>
      </c>
      <c r="G1353">
        <v>4500293441</v>
      </c>
      <c r="H1353" t="s">
        <v>3334</v>
      </c>
      <c r="I1353" t="s">
        <v>3651</v>
      </c>
      <c r="J1353" t="s">
        <v>1278</v>
      </c>
      <c r="K1353" s="1">
        <v>46278.43</v>
      </c>
      <c r="L1353" s="1">
        <v>46278.43</v>
      </c>
      <c r="M1353" t="str">
        <f>IFERROR(IF(VLOOKUP(LEFT(B1353,2),'Humanitarian codes'!$A$2:$A$10,1,FALSE)=LEFT(B1353,2),"Yes","Error"),"No")</f>
        <v>No</v>
      </c>
    </row>
    <row r="1354" spans="1:13" hidden="1" x14ac:dyDescent="0.25">
      <c r="A1354" t="s">
        <v>3331</v>
      </c>
      <c r="B1354" t="s">
        <v>1459</v>
      </c>
      <c r="C1354" t="s">
        <v>3644</v>
      </c>
      <c r="D1354" t="s">
        <v>466</v>
      </c>
      <c r="E1354" t="s">
        <v>1278</v>
      </c>
      <c r="F1354" t="s">
        <v>2200</v>
      </c>
      <c r="G1354">
        <v>4500293581</v>
      </c>
      <c r="H1354" t="s">
        <v>3334</v>
      </c>
      <c r="I1354" t="s">
        <v>1461</v>
      </c>
      <c r="J1354" t="s">
        <v>1278</v>
      </c>
      <c r="K1354" s="1">
        <v>37328.379999999997</v>
      </c>
      <c r="L1354" s="1">
        <v>37328.379999999997</v>
      </c>
      <c r="M1354" t="str">
        <f>IFERROR(IF(VLOOKUP(LEFT(B1354,2),'Humanitarian codes'!$A$2:$A$10,1,FALSE)=LEFT(B1354,2),"Yes","Error"),"No")</f>
        <v>No</v>
      </c>
    </row>
    <row r="1355" spans="1:13" hidden="1" x14ac:dyDescent="0.25">
      <c r="A1355" t="s">
        <v>3331</v>
      </c>
      <c r="B1355" t="s">
        <v>1459</v>
      </c>
      <c r="C1355" t="s">
        <v>3644</v>
      </c>
      <c r="D1355" t="s">
        <v>466</v>
      </c>
      <c r="E1355" t="s">
        <v>1278</v>
      </c>
      <c r="F1355" t="s">
        <v>2200</v>
      </c>
      <c r="G1355">
        <v>4500295717</v>
      </c>
      <c r="H1355" t="s">
        <v>3334</v>
      </c>
      <c r="I1355" t="s">
        <v>3652</v>
      </c>
      <c r="J1355" t="s">
        <v>1278</v>
      </c>
      <c r="K1355" s="1">
        <v>26610.1</v>
      </c>
      <c r="L1355" s="1">
        <v>26610.1</v>
      </c>
      <c r="M1355" t="str">
        <f>IFERROR(IF(VLOOKUP(LEFT(B1355,2),'Humanitarian codes'!$A$2:$A$10,1,FALSE)=LEFT(B1355,2),"Yes","Error"),"No")</f>
        <v>No</v>
      </c>
    </row>
    <row r="1356" spans="1:13" hidden="1" x14ac:dyDescent="0.25">
      <c r="A1356" t="s">
        <v>3331</v>
      </c>
      <c r="B1356" t="s">
        <v>1459</v>
      </c>
      <c r="C1356" t="s">
        <v>3644</v>
      </c>
      <c r="D1356" t="s">
        <v>466</v>
      </c>
      <c r="E1356" t="s">
        <v>1278</v>
      </c>
      <c r="F1356" t="s">
        <v>2200</v>
      </c>
      <c r="G1356">
        <v>4500296313</v>
      </c>
      <c r="H1356" t="s">
        <v>3334</v>
      </c>
      <c r="I1356" t="s">
        <v>3653</v>
      </c>
      <c r="J1356" t="s">
        <v>1278</v>
      </c>
      <c r="K1356" s="1">
        <v>110200.55</v>
      </c>
      <c r="L1356" s="1">
        <v>110200.55</v>
      </c>
      <c r="M1356" t="str">
        <f>IFERROR(IF(VLOOKUP(LEFT(B1356,2),'Humanitarian codes'!$A$2:$A$10,1,FALSE)=LEFT(B1356,2),"Yes","Error"),"No")</f>
        <v>No</v>
      </c>
    </row>
    <row r="1357" spans="1:13" hidden="1" x14ac:dyDescent="0.25">
      <c r="A1357" t="s">
        <v>3331</v>
      </c>
      <c r="B1357" t="s">
        <v>2531</v>
      </c>
      <c r="C1357" t="s">
        <v>2532</v>
      </c>
      <c r="D1357" t="s">
        <v>466</v>
      </c>
      <c r="E1357" t="s">
        <v>523</v>
      </c>
      <c r="F1357" t="s">
        <v>2517</v>
      </c>
      <c r="G1357">
        <v>4500294184</v>
      </c>
      <c r="H1357" t="s">
        <v>3334</v>
      </c>
      <c r="I1357" t="s">
        <v>3654</v>
      </c>
      <c r="J1357" t="s">
        <v>523</v>
      </c>
      <c r="K1357" s="1">
        <v>3651.11</v>
      </c>
      <c r="L1357" s="1">
        <v>5489.7</v>
      </c>
      <c r="M1357" t="str">
        <f>IFERROR(IF(VLOOKUP(LEFT(B1357,2),'Humanitarian codes'!$A$2:$A$10,1,FALSE)=LEFT(B1357,2),"Yes","Error"),"No")</f>
        <v>No</v>
      </c>
    </row>
    <row r="1358" spans="1:13" hidden="1" x14ac:dyDescent="0.25">
      <c r="A1358" t="s">
        <v>3331</v>
      </c>
      <c r="B1358" t="s">
        <v>3655</v>
      </c>
      <c r="C1358" t="s">
        <v>3656</v>
      </c>
      <c r="D1358" t="s">
        <v>466</v>
      </c>
      <c r="E1358" t="s">
        <v>175</v>
      </c>
      <c r="F1358" t="s">
        <v>3657</v>
      </c>
      <c r="G1358">
        <v>4500278277</v>
      </c>
      <c r="H1358" t="s">
        <v>3334</v>
      </c>
      <c r="I1358" t="s">
        <v>1120</v>
      </c>
      <c r="J1358" t="s">
        <v>175</v>
      </c>
      <c r="K1358" s="1">
        <v>25846</v>
      </c>
      <c r="L1358" s="1">
        <v>25846</v>
      </c>
      <c r="M1358" t="str">
        <f>IFERROR(IF(VLOOKUP(LEFT(B1358,2),'Humanitarian codes'!$A$2:$A$10,1,FALSE)=LEFT(B1358,2),"Yes","Error"),"No")</f>
        <v>No</v>
      </c>
    </row>
    <row r="1359" spans="1:13" hidden="1" x14ac:dyDescent="0.25">
      <c r="A1359" t="s">
        <v>3331</v>
      </c>
      <c r="B1359" t="s">
        <v>3655</v>
      </c>
      <c r="C1359" t="s">
        <v>3656</v>
      </c>
      <c r="D1359" t="s">
        <v>466</v>
      </c>
      <c r="E1359" t="s">
        <v>175</v>
      </c>
      <c r="F1359" t="s">
        <v>3657</v>
      </c>
      <c r="G1359">
        <v>4500279409</v>
      </c>
      <c r="H1359" t="s">
        <v>3334</v>
      </c>
      <c r="I1359" t="s">
        <v>682</v>
      </c>
      <c r="J1359" t="s">
        <v>175</v>
      </c>
      <c r="K1359" s="1">
        <v>25846</v>
      </c>
      <c r="L1359" s="1">
        <v>25846</v>
      </c>
      <c r="M1359" t="str">
        <f>IFERROR(IF(VLOOKUP(LEFT(B1359,2),'Humanitarian codes'!$A$2:$A$10,1,FALSE)=LEFT(B1359,2),"Yes","Error"),"No")</f>
        <v>No</v>
      </c>
    </row>
    <row r="1360" spans="1:13" hidden="1" x14ac:dyDescent="0.25">
      <c r="A1360" t="s">
        <v>3331</v>
      </c>
      <c r="B1360" t="s">
        <v>3655</v>
      </c>
      <c r="C1360" t="s">
        <v>3656</v>
      </c>
      <c r="D1360" t="s">
        <v>466</v>
      </c>
      <c r="E1360" t="s">
        <v>175</v>
      </c>
      <c r="F1360" t="s">
        <v>3658</v>
      </c>
      <c r="G1360">
        <v>4500289592</v>
      </c>
      <c r="H1360" t="s">
        <v>3334</v>
      </c>
      <c r="I1360" t="s">
        <v>680</v>
      </c>
      <c r="J1360" t="s">
        <v>175</v>
      </c>
      <c r="K1360" s="1">
        <v>25846</v>
      </c>
      <c r="L1360" s="1">
        <v>25846</v>
      </c>
      <c r="M1360" t="str">
        <f>IFERROR(IF(VLOOKUP(LEFT(B1360,2),'Humanitarian codes'!$A$2:$A$10,1,FALSE)=LEFT(B1360,2),"Yes","Error"),"No")</f>
        <v>No</v>
      </c>
    </row>
    <row r="1361" spans="1:13" hidden="1" x14ac:dyDescent="0.25">
      <c r="A1361" t="s">
        <v>3331</v>
      </c>
      <c r="B1361" t="s">
        <v>3659</v>
      </c>
      <c r="C1361" t="s">
        <v>3660</v>
      </c>
      <c r="D1361" t="s">
        <v>466</v>
      </c>
      <c r="E1361" t="s">
        <v>523</v>
      </c>
      <c r="F1361" t="s">
        <v>2517</v>
      </c>
      <c r="G1361">
        <v>4500294184</v>
      </c>
      <c r="H1361" t="s">
        <v>3334</v>
      </c>
      <c r="I1361" t="s">
        <v>3654</v>
      </c>
      <c r="J1361" t="s">
        <v>523</v>
      </c>
      <c r="K1361" s="1">
        <v>1838.59</v>
      </c>
      <c r="L1361" s="1">
        <v>5489.7</v>
      </c>
      <c r="M1361" t="str">
        <f>IFERROR(IF(VLOOKUP(LEFT(B1361,2),'Humanitarian codes'!$A$2:$A$10,1,FALSE)=LEFT(B1361,2),"Yes","Error"),"No")</f>
        <v>No</v>
      </c>
    </row>
    <row r="1362" spans="1:13" hidden="1" x14ac:dyDescent="0.25">
      <c r="A1362" t="s">
        <v>3331</v>
      </c>
      <c r="B1362" t="s">
        <v>732</v>
      </c>
      <c r="C1362" t="s">
        <v>733</v>
      </c>
      <c r="D1362" t="s">
        <v>466</v>
      </c>
      <c r="E1362" t="s">
        <v>1453</v>
      </c>
      <c r="F1362" t="s">
        <v>3661</v>
      </c>
      <c r="G1362">
        <v>4500300590</v>
      </c>
      <c r="H1362" t="s">
        <v>3334</v>
      </c>
      <c r="I1362" t="s">
        <v>2541</v>
      </c>
      <c r="J1362" t="s">
        <v>1453</v>
      </c>
      <c r="K1362" s="1">
        <v>10786</v>
      </c>
      <c r="L1362" s="1">
        <v>10786</v>
      </c>
      <c r="M1362" t="str">
        <f>IFERROR(IF(VLOOKUP(LEFT(B1362,2),'Humanitarian codes'!$A$2:$A$10,1,FALSE)=LEFT(B1362,2),"Yes","Error"),"No")</f>
        <v>No</v>
      </c>
    </row>
    <row r="1363" spans="1:13" hidden="1" x14ac:dyDescent="0.25">
      <c r="A1363" t="s">
        <v>3331</v>
      </c>
      <c r="B1363" t="s">
        <v>732</v>
      </c>
      <c r="C1363" t="s">
        <v>733</v>
      </c>
      <c r="D1363" t="s">
        <v>466</v>
      </c>
      <c r="E1363" t="s">
        <v>167</v>
      </c>
      <c r="F1363" t="s">
        <v>3662</v>
      </c>
      <c r="G1363">
        <v>4500281188</v>
      </c>
      <c r="H1363" t="s">
        <v>3334</v>
      </c>
      <c r="I1363" t="s">
        <v>974</v>
      </c>
      <c r="J1363" t="s">
        <v>167</v>
      </c>
      <c r="K1363" s="1">
        <v>76982.63</v>
      </c>
      <c r="L1363" s="1">
        <v>76982.63</v>
      </c>
      <c r="M1363" t="str">
        <f>IFERROR(IF(VLOOKUP(LEFT(B1363,2),'Humanitarian codes'!$A$2:$A$10,1,FALSE)=LEFT(B1363,2),"Yes","Error"),"No")</f>
        <v>No</v>
      </c>
    </row>
    <row r="1364" spans="1:13" hidden="1" x14ac:dyDescent="0.25">
      <c r="A1364" t="s">
        <v>3331</v>
      </c>
      <c r="B1364" t="s">
        <v>2553</v>
      </c>
      <c r="C1364" t="s">
        <v>2554</v>
      </c>
      <c r="D1364" t="s">
        <v>466</v>
      </c>
      <c r="E1364" t="s">
        <v>549</v>
      </c>
      <c r="F1364" t="s">
        <v>2200</v>
      </c>
      <c r="G1364">
        <v>4500295329</v>
      </c>
      <c r="H1364" t="s">
        <v>3334</v>
      </c>
      <c r="I1364" t="s">
        <v>2555</v>
      </c>
      <c r="J1364" t="s">
        <v>549</v>
      </c>
      <c r="K1364" s="1">
        <v>2050</v>
      </c>
      <c r="L1364" s="1">
        <v>2050</v>
      </c>
      <c r="M1364" t="str">
        <f>IFERROR(IF(VLOOKUP(LEFT(B1364,2),'Humanitarian codes'!$A$2:$A$10,1,FALSE)=LEFT(B1364,2),"Yes","Error"),"No")</f>
        <v>No</v>
      </c>
    </row>
    <row r="1365" spans="1:13" hidden="1" x14ac:dyDescent="0.25">
      <c r="A1365" t="s">
        <v>3331</v>
      </c>
      <c r="B1365" t="s">
        <v>2553</v>
      </c>
      <c r="C1365" t="s">
        <v>2554</v>
      </c>
      <c r="D1365" t="s">
        <v>466</v>
      </c>
      <c r="E1365" t="s">
        <v>831</v>
      </c>
      <c r="F1365" t="s">
        <v>3663</v>
      </c>
      <c r="G1365">
        <v>4500284141</v>
      </c>
      <c r="H1365" t="s">
        <v>3334</v>
      </c>
      <c r="I1365" t="s">
        <v>554</v>
      </c>
      <c r="J1365" t="s">
        <v>831</v>
      </c>
      <c r="K1365" s="1">
        <v>18750.91</v>
      </c>
      <c r="L1365" s="1">
        <v>18750.91</v>
      </c>
      <c r="M1365" t="str">
        <f>IFERROR(IF(VLOOKUP(LEFT(B1365,2),'Humanitarian codes'!$A$2:$A$10,1,FALSE)=LEFT(B1365,2),"Yes","Error"),"No")</f>
        <v>No</v>
      </c>
    </row>
    <row r="1366" spans="1:13" hidden="1" x14ac:dyDescent="0.25">
      <c r="A1366" t="s">
        <v>3331</v>
      </c>
      <c r="B1366" t="s">
        <v>2553</v>
      </c>
      <c r="C1366" t="s">
        <v>2554</v>
      </c>
      <c r="D1366" t="s">
        <v>466</v>
      </c>
      <c r="E1366" t="s">
        <v>831</v>
      </c>
      <c r="F1366" t="s">
        <v>3664</v>
      </c>
      <c r="G1366">
        <v>4500286466</v>
      </c>
      <c r="H1366" t="s">
        <v>3334</v>
      </c>
      <c r="I1366" t="s">
        <v>3665</v>
      </c>
      <c r="J1366" t="s">
        <v>831</v>
      </c>
      <c r="K1366" s="1">
        <v>27391.5</v>
      </c>
      <c r="L1366" s="1">
        <v>27391.5</v>
      </c>
      <c r="M1366" t="str">
        <f>IFERROR(IF(VLOOKUP(LEFT(B1366,2),'Humanitarian codes'!$A$2:$A$10,1,FALSE)=LEFT(B1366,2),"Yes","Error"),"No")</f>
        <v>No</v>
      </c>
    </row>
    <row r="1367" spans="1:13" hidden="1" x14ac:dyDescent="0.25">
      <c r="A1367" t="s">
        <v>3331</v>
      </c>
      <c r="B1367" t="s">
        <v>2553</v>
      </c>
      <c r="C1367" t="s">
        <v>2554</v>
      </c>
      <c r="D1367" t="s">
        <v>466</v>
      </c>
      <c r="E1367" t="s">
        <v>831</v>
      </c>
      <c r="F1367" t="s">
        <v>3666</v>
      </c>
      <c r="G1367">
        <v>4500289512</v>
      </c>
      <c r="H1367" t="s">
        <v>3334</v>
      </c>
      <c r="I1367" t="s">
        <v>557</v>
      </c>
      <c r="J1367" t="s">
        <v>831</v>
      </c>
      <c r="K1367" s="1">
        <v>13446.74</v>
      </c>
      <c r="L1367" s="1">
        <v>13446.74</v>
      </c>
      <c r="M1367" t="str">
        <f>IFERROR(IF(VLOOKUP(LEFT(B1367,2),'Humanitarian codes'!$A$2:$A$10,1,FALSE)=LEFT(B1367,2),"Yes","Error"),"No")</f>
        <v>No</v>
      </c>
    </row>
    <row r="1368" spans="1:13" hidden="1" x14ac:dyDescent="0.25">
      <c r="A1368" t="s">
        <v>3331</v>
      </c>
      <c r="B1368" t="s">
        <v>2553</v>
      </c>
      <c r="C1368" t="s">
        <v>2554</v>
      </c>
      <c r="D1368" t="s">
        <v>466</v>
      </c>
      <c r="E1368" t="s">
        <v>831</v>
      </c>
      <c r="F1368" t="s">
        <v>3372</v>
      </c>
      <c r="G1368">
        <v>4500294906</v>
      </c>
      <c r="H1368" t="s">
        <v>3334</v>
      </c>
      <c r="I1368" t="s">
        <v>558</v>
      </c>
      <c r="J1368" t="s">
        <v>831</v>
      </c>
      <c r="K1368" s="1">
        <v>19273.78</v>
      </c>
      <c r="L1368" s="1">
        <v>19273.78</v>
      </c>
      <c r="M1368" t="str">
        <f>IFERROR(IF(VLOOKUP(LEFT(B1368,2),'Humanitarian codes'!$A$2:$A$10,1,FALSE)=LEFT(B1368,2),"Yes","Error"),"No")</f>
        <v>No</v>
      </c>
    </row>
    <row r="1369" spans="1:13" hidden="1" x14ac:dyDescent="0.25">
      <c r="A1369" t="s">
        <v>3331</v>
      </c>
      <c r="B1369" t="s">
        <v>3667</v>
      </c>
      <c r="C1369" t="s">
        <v>3668</v>
      </c>
      <c r="D1369" t="s">
        <v>466</v>
      </c>
      <c r="E1369" t="s">
        <v>477</v>
      </c>
      <c r="F1369" t="s">
        <v>3669</v>
      </c>
      <c r="G1369">
        <v>4500291424</v>
      </c>
      <c r="H1369" t="s">
        <v>3334</v>
      </c>
      <c r="I1369" t="s">
        <v>745</v>
      </c>
      <c r="J1369" t="s">
        <v>477</v>
      </c>
      <c r="K1369" s="1">
        <v>1704.92</v>
      </c>
      <c r="L1369" s="1">
        <v>1704.92</v>
      </c>
      <c r="M1369" t="str">
        <f>IFERROR(IF(VLOOKUP(LEFT(B1369,2),'Humanitarian codes'!$A$2:$A$10,1,FALSE)=LEFT(B1369,2),"Yes","Error"),"No")</f>
        <v>No</v>
      </c>
    </row>
    <row r="1370" spans="1:13" hidden="1" x14ac:dyDescent="0.25">
      <c r="A1370" t="s">
        <v>3331</v>
      </c>
      <c r="B1370" t="s">
        <v>3667</v>
      </c>
      <c r="C1370" t="s">
        <v>3668</v>
      </c>
      <c r="D1370" t="s">
        <v>466</v>
      </c>
      <c r="E1370" t="s">
        <v>477</v>
      </c>
      <c r="F1370" t="s">
        <v>3670</v>
      </c>
      <c r="G1370">
        <v>4500291428</v>
      </c>
      <c r="H1370" t="s">
        <v>3334</v>
      </c>
      <c r="I1370" t="s">
        <v>506</v>
      </c>
      <c r="J1370" t="s">
        <v>477</v>
      </c>
      <c r="K1370" s="1">
        <v>5430.71</v>
      </c>
      <c r="L1370" s="1">
        <v>5430.71</v>
      </c>
      <c r="M1370" t="str">
        <f>IFERROR(IF(VLOOKUP(LEFT(B1370,2),'Humanitarian codes'!$A$2:$A$10,1,FALSE)=LEFT(B1370,2),"Yes","Error"),"No")</f>
        <v>No</v>
      </c>
    </row>
    <row r="1371" spans="1:13" hidden="1" x14ac:dyDescent="0.25">
      <c r="A1371" t="s">
        <v>3331</v>
      </c>
      <c r="B1371" t="s">
        <v>3667</v>
      </c>
      <c r="C1371" t="s">
        <v>3668</v>
      </c>
      <c r="D1371" t="s">
        <v>466</v>
      </c>
      <c r="E1371" t="s">
        <v>477</v>
      </c>
      <c r="F1371" t="s">
        <v>3671</v>
      </c>
      <c r="G1371">
        <v>4500291431</v>
      </c>
      <c r="H1371" t="s">
        <v>3334</v>
      </c>
      <c r="I1371" t="s">
        <v>744</v>
      </c>
      <c r="J1371" t="s">
        <v>477</v>
      </c>
      <c r="K1371" s="1">
        <v>3289.23</v>
      </c>
      <c r="L1371" s="1">
        <v>3289.23</v>
      </c>
      <c r="M1371" t="str">
        <f>IFERROR(IF(VLOOKUP(LEFT(B1371,2),'Humanitarian codes'!$A$2:$A$10,1,FALSE)=LEFT(B1371,2),"Yes","Error"),"No")</f>
        <v>No</v>
      </c>
    </row>
    <row r="1372" spans="1:13" hidden="1" x14ac:dyDescent="0.25">
      <c r="A1372" t="s">
        <v>3331</v>
      </c>
      <c r="B1372" t="s">
        <v>3667</v>
      </c>
      <c r="C1372" t="s">
        <v>3668</v>
      </c>
      <c r="D1372" t="s">
        <v>466</v>
      </c>
      <c r="E1372" t="s">
        <v>477</v>
      </c>
      <c r="F1372" t="s">
        <v>3672</v>
      </c>
      <c r="G1372">
        <v>4500291436</v>
      </c>
      <c r="H1372" t="s">
        <v>3334</v>
      </c>
      <c r="I1372" t="s">
        <v>3200</v>
      </c>
      <c r="J1372" t="s">
        <v>477</v>
      </c>
      <c r="K1372" s="1">
        <v>1714.48</v>
      </c>
      <c r="L1372" s="1">
        <v>1714.48</v>
      </c>
      <c r="M1372" t="str">
        <f>IFERROR(IF(VLOOKUP(LEFT(B1372,2),'Humanitarian codes'!$A$2:$A$10,1,FALSE)=LEFT(B1372,2),"Yes","Error"),"No")</f>
        <v>No</v>
      </c>
    </row>
    <row r="1373" spans="1:13" hidden="1" x14ac:dyDescent="0.25">
      <c r="A1373" t="s">
        <v>3331</v>
      </c>
      <c r="B1373" t="s">
        <v>988</v>
      </c>
      <c r="C1373" t="s">
        <v>989</v>
      </c>
      <c r="D1373" t="s">
        <v>512</v>
      </c>
      <c r="E1373" t="s">
        <v>83</v>
      </c>
      <c r="F1373" t="s">
        <v>2200</v>
      </c>
      <c r="G1373">
        <v>4500295385</v>
      </c>
      <c r="H1373" t="s">
        <v>3334</v>
      </c>
      <c r="I1373" t="s">
        <v>1496</v>
      </c>
      <c r="J1373" t="s">
        <v>83</v>
      </c>
      <c r="K1373" s="1">
        <v>71697.91</v>
      </c>
      <c r="L1373" s="1">
        <v>71697.91</v>
      </c>
      <c r="M1373" t="str">
        <f>IFERROR(IF(VLOOKUP(LEFT(B1373,2),'Humanitarian codes'!$A$2:$A$10,1,FALSE)=LEFT(B1373,2),"Yes","Error"),"No")</f>
        <v>No</v>
      </c>
    </row>
    <row r="1374" spans="1:13" hidden="1" x14ac:dyDescent="0.25">
      <c r="A1374" t="s">
        <v>3331</v>
      </c>
      <c r="B1374" t="s">
        <v>988</v>
      </c>
      <c r="C1374" t="s">
        <v>989</v>
      </c>
      <c r="D1374" t="s">
        <v>512</v>
      </c>
      <c r="E1374" t="s">
        <v>83</v>
      </c>
      <c r="F1374" t="s">
        <v>2200</v>
      </c>
      <c r="G1374">
        <v>4500298994</v>
      </c>
      <c r="H1374" t="s">
        <v>3334</v>
      </c>
      <c r="I1374" t="s">
        <v>1495</v>
      </c>
      <c r="J1374" t="s">
        <v>83</v>
      </c>
      <c r="K1374" s="1">
        <v>79355.899999999994</v>
      </c>
      <c r="L1374" s="1">
        <v>79355.899999999994</v>
      </c>
      <c r="M1374" t="str">
        <f>IFERROR(IF(VLOOKUP(LEFT(B1374,2),'Humanitarian codes'!$A$2:$A$10,1,FALSE)=LEFT(B1374,2),"Yes","Error"),"No")</f>
        <v>No</v>
      </c>
    </row>
    <row r="1375" spans="1:13" hidden="1" x14ac:dyDescent="0.25">
      <c r="A1375" t="s">
        <v>3331</v>
      </c>
      <c r="B1375" t="s">
        <v>988</v>
      </c>
      <c r="C1375" t="s">
        <v>989</v>
      </c>
      <c r="D1375" t="s">
        <v>512</v>
      </c>
      <c r="E1375" t="s">
        <v>1508</v>
      </c>
      <c r="F1375" t="s">
        <v>2200</v>
      </c>
      <c r="G1375">
        <v>4500291024</v>
      </c>
      <c r="H1375" t="s">
        <v>3334</v>
      </c>
      <c r="I1375" t="s">
        <v>3673</v>
      </c>
      <c r="J1375" t="s">
        <v>1508</v>
      </c>
      <c r="K1375" s="1">
        <v>65933.11</v>
      </c>
      <c r="L1375" s="1">
        <v>65933.11</v>
      </c>
      <c r="M1375" t="str">
        <f>IFERROR(IF(VLOOKUP(LEFT(B1375,2),'Humanitarian codes'!$A$2:$A$10,1,FALSE)=LEFT(B1375,2),"Yes","Error"),"No")</f>
        <v>No</v>
      </c>
    </row>
    <row r="1376" spans="1:13" hidden="1" x14ac:dyDescent="0.25">
      <c r="A1376" t="s">
        <v>3331</v>
      </c>
      <c r="B1376" t="s">
        <v>3674</v>
      </c>
      <c r="C1376" t="s">
        <v>3675</v>
      </c>
      <c r="D1376" t="s">
        <v>512</v>
      </c>
      <c r="E1376" t="s">
        <v>83</v>
      </c>
      <c r="F1376" t="s">
        <v>3676</v>
      </c>
      <c r="G1376">
        <v>4500301163</v>
      </c>
      <c r="H1376" t="s">
        <v>3334</v>
      </c>
      <c r="I1376" t="s">
        <v>3677</v>
      </c>
      <c r="J1376" t="s">
        <v>83</v>
      </c>
      <c r="K1376" s="1">
        <v>80000</v>
      </c>
      <c r="L1376" s="1">
        <v>80000</v>
      </c>
      <c r="M1376" t="str">
        <f>IFERROR(IF(VLOOKUP(LEFT(B1376,2),'Humanitarian codes'!$A$2:$A$10,1,FALSE)=LEFT(B1376,2),"Yes","Error"),"No")</f>
        <v>No</v>
      </c>
    </row>
    <row r="1377" spans="1:13" hidden="1" x14ac:dyDescent="0.25">
      <c r="A1377" t="s">
        <v>3331</v>
      </c>
      <c r="B1377" t="s">
        <v>2566</v>
      </c>
      <c r="C1377" t="s">
        <v>2567</v>
      </c>
      <c r="D1377" t="s">
        <v>512</v>
      </c>
      <c r="E1377" t="s">
        <v>885</v>
      </c>
      <c r="F1377" t="s">
        <v>3678</v>
      </c>
      <c r="G1377">
        <v>4500296304</v>
      </c>
      <c r="H1377" t="s">
        <v>3334</v>
      </c>
      <c r="I1377" t="s">
        <v>1522</v>
      </c>
      <c r="J1377" t="s">
        <v>885</v>
      </c>
      <c r="K1377" s="1">
        <v>25070.46</v>
      </c>
      <c r="L1377" s="1">
        <v>25070.46</v>
      </c>
      <c r="M1377" t="str">
        <f>IFERROR(IF(VLOOKUP(LEFT(B1377,2),'Humanitarian codes'!$A$2:$A$10,1,FALSE)=LEFT(B1377,2),"Yes","Error"),"No")</f>
        <v>No</v>
      </c>
    </row>
    <row r="1378" spans="1:13" x14ac:dyDescent="0.25">
      <c r="A1378" t="s">
        <v>3331</v>
      </c>
      <c r="B1378" t="s">
        <v>3679</v>
      </c>
      <c r="C1378" t="s">
        <v>3680</v>
      </c>
      <c r="D1378" t="s">
        <v>512</v>
      </c>
      <c r="E1378" t="s">
        <v>132</v>
      </c>
      <c r="F1378" t="s">
        <v>3519</v>
      </c>
      <c r="G1378">
        <v>4500277990</v>
      </c>
      <c r="H1378" t="s">
        <v>3334</v>
      </c>
      <c r="I1378" t="s">
        <v>3520</v>
      </c>
      <c r="J1378" t="s">
        <v>132</v>
      </c>
      <c r="K1378" s="1">
        <v>8320.5</v>
      </c>
      <c r="L1378" s="1">
        <v>20801.25</v>
      </c>
      <c r="M1378" t="str">
        <f>IFERROR(IF(VLOOKUP(LEFT(B1378,2),'Humanitarian codes'!$A$2:$A$10,1,FALSE)=LEFT(B1378,2),"Yes","Error"),"No")</f>
        <v>Yes</v>
      </c>
    </row>
    <row r="1379" spans="1:13" x14ac:dyDescent="0.25">
      <c r="A1379" t="s">
        <v>3331</v>
      </c>
      <c r="B1379" t="s">
        <v>1515</v>
      </c>
      <c r="C1379" t="s">
        <v>1516</v>
      </c>
      <c r="D1379" t="s">
        <v>512</v>
      </c>
      <c r="E1379" t="s">
        <v>175</v>
      </c>
      <c r="F1379" t="s">
        <v>3681</v>
      </c>
      <c r="G1379">
        <v>4500297174</v>
      </c>
      <c r="H1379" t="s">
        <v>3334</v>
      </c>
      <c r="I1379" t="s">
        <v>1833</v>
      </c>
      <c r="J1379" t="s">
        <v>175</v>
      </c>
      <c r="K1379" s="1">
        <v>212580.7</v>
      </c>
      <c r="L1379" s="1">
        <v>212580.7</v>
      </c>
      <c r="M1379" t="str">
        <f>IFERROR(IF(VLOOKUP(LEFT(B1379,2),'Humanitarian codes'!$A$2:$A$10,1,FALSE)=LEFT(B1379,2),"Yes","Error"),"No")</f>
        <v>Yes</v>
      </c>
    </row>
    <row r="1380" spans="1:13" x14ac:dyDescent="0.25">
      <c r="A1380" t="s">
        <v>3331</v>
      </c>
      <c r="B1380" t="s">
        <v>1515</v>
      </c>
      <c r="C1380" t="s">
        <v>1516</v>
      </c>
      <c r="D1380" t="s">
        <v>512</v>
      </c>
      <c r="E1380" t="s">
        <v>175</v>
      </c>
      <c r="F1380" t="s">
        <v>3682</v>
      </c>
      <c r="G1380">
        <v>4500297199</v>
      </c>
      <c r="H1380" t="s">
        <v>3334</v>
      </c>
      <c r="I1380" t="s">
        <v>1831</v>
      </c>
      <c r="J1380" t="s">
        <v>175</v>
      </c>
      <c r="K1380" s="1">
        <v>131229.13</v>
      </c>
      <c r="L1380" s="1">
        <v>131229.13</v>
      </c>
      <c r="M1380" t="str">
        <f>IFERROR(IF(VLOOKUP(LEFT(B1380,2),'Humanitarian codes'!$A$2:$A$10,1,FALSE)=LEFT(B1380,2),"Yes","Error"),"No")</f>
        <v>Yes</v>
      </c>
    </row>
    <row r="1381" spans="1:13" x14ac:dyDescent="0.25">
      <c r="A1381" t="s">
        <v>3331</v>
      </c>
      <c r="B1381" t="s">
        <v>3683</v>
      </c>
      <c r="C1381" t="s">
        <v>3684</v>
      </c>
      <c r="D1381" t="s">
        <v>512</v>
      </c>
      <c r="E1381" t="s">
        <v>167</v>
      </c>
      <c r="F1381" t="s">
        <v>3685</v>
      </c>
      <c r="G1381">
        <v>4500298973</v>
      </c>
      <c r="H1381" t="s">
        <v>3334</v>
      </c>
      <c r="I1381" t="s">
        <v>3686</v>
      </c>
      <c r="J1381" t="s">
        <v>3687</v>
      </c>
      <c r="K1381" s="1">
        <v>6434.09</v>
      </c>
      <c r="L1381" s="1">
        <v>14297.98</v>
      </c>
      <c r="M1381" t="str">
        <f>IFERROR(IF(VLOOKUP(LEFT(B1381,2),'Humanitarian codes'!$A$2:$A$10,1,FALSE)=LEFT(B1381,2),"Yes","Error"),"No")</f>
        <v>Yes</v>
      </c>
    </row>
    <row r="1382" spans="1:13" hidden="1" x14ac:dyDescent="0.25">
      <c r="A1382" t="s">
        <v>3331</v>
      </c>
      <c r="B1382" t="s">
        <v>2583</v>
      </c>
      <c r="C1382" t="s">
        <v>3688</v>
      </c>
      <c r="D1382" t="s">
        <v>543</v>
      </c>
      <c r="E1382" t="s">
        <v>167</v>
      </c>
      <c r="F1382" t="s">
        <v>3685</v>
      </c>
      <c r="G1382">
        <v>4500298973</v>
      </c>
      <c r="H1382" t="s">
        <v>3334</v>
      </c>
      <c r="I1382" t="s">
        <v>3686</v>
      </c>
      <c r="J1382" t="s">
        <v>3687</v>
      </c>
      <c r="K1382" s="1">
        <v>7863.89</v>
      </c>
      <c r="L1382" s="1">
        <v>14297.98</v>
      </c>
      <c r="M1382" t="str">
        <f>IFERROR(IF(VLOOKUP(LEFT(B1382,2),'Humanitarian codes'!$A$2:$A$10,1,FALSE)=LEFT(B1382,2),"Yes","Error"),"No")</f>
        <v>No</v>
      </c>
    </row>
    <row r="1383" spans="1:13" hidden="1" x14ac:dyDescent="0.25">
      <c r="A1383" t="s">
        <v>3331</v>
      </c>
      <c r="B1383" t="s">
        <v>3689</v>
      </c>
      <c r="C1383" t="s">
        <v>3690</v>
      </c>
      <c r="D1383" t="s">
        <v>543</v>
      </c>
      <c r="E1383" t="s">
        <v>760</v>
      </c>
      <c r="F1383" t="s">
        <v>2200</v>
      </c>
      <c r="G1383">
        <v>4500280120</v>
      </c>
      <c r="H1383" t="s">
        <v>3334</v>
      </c>
      <c r="I1383" t="s">
        <v>3691</v>
      </c>
      <c r="J1383" t="s">
        <v>760</v>
      </c>
      <c r="K1383" s="1">
        <v>30877.58</v>
      </c>
      <c r="L1383" s="1">
        <v>30877.58</v>
      </c>
      <c r="M1383" t="str">
        <f>IFERROR(IF(VLOOKUP(LEFT(B1383,2),'Humanitarian codes'!$A$2:$A$10,1,FALSE)=LEFT(B1383,2),"Yes","Error"),"No")</f>
        <v>No</v>
      </c>
    </row>
    <row r="1384" spans="1:13" hidden="1" x14ac:dyDescent="0.25">
      <c r="A1384" t="s">
        <v>3331</v>
      </c>
      <c r="B1384" t="s">
        <v>3689</v>
      </c>
      <c r="C1384" t="s">
        <v>3690</v>
      </c>
      <c r="D1384" t="s">
        <v>543</v>
      </c>
      <c r="E1384" t="s">
        <v>760</v>
      </c>
      <c r="F1384" t="s">
        <v>2200</v>
      </c>
      <c r="G1384">
        <v>4500280126</v>
      </c>
      <c r="H1384" t="s">
        <v>3334</v>
      </c>
      <c r="I1384" t="s">
        <v>3692</v>
      </c>
      <c r="J1384" t="s">
        <v>760</v>
      </c>
      <c r="K1384" s="1">
        <v>32166.84</v>
      </c>
      <c r="L1384" s="1">
        <v>32166.84</v>
      </c>
      <c r="M1384" t="str">
        <f>IFERROR(IF(VLOOKUP(LEFT(B1384,2),'Humanitarian codes'!$A$2:$A$10,1,FALSE)=LEFT(B1384,2),"Yes","Error"),"No")</f>
        <v>No</v>
      </c>
    </row>
    <row r="1385" spans="1:13" hidden="1" x14ac:dyDescent="0.25">
      <c r="A1385" t="s">
        <v>3331</v>
      </c>
      <c r="B1385" t="s">
        <v>3689</v>
      </c>
      <c r="C1385" t="s">
        <v>3690</v>
      </c>
      <c r="D1385" t="s">
        <v>543</v>
      </c>
      <c r="E1385" t="s">
        <v>760</v>
      </c>
      <c r="F1385" t="s">
        <v>2200</v>
      </c>
      <c r="G1385">
        <v>4500280139</v>
      </c>
      <c r="H1385" t="s">
        <v>3334</v>
      </c>
      <c r="I1385" t="s">
        <v>3693</v>
      </c>
      <c r="J1385" t="s">
        <v>760</v>
      </c>
      <c r="K1385" s="1">
        <v>32502.7</v>
      </c>
      <c r="L1385" s="1">
        <v>32502.7</v>
      </c>
      <c r="M1385" t="str">
        <f>IFERROR(IF(VLOOKUP(LEFT(B1385,2),'Humanitarian codes'!$A$2:$A$10,1,FALSE)=LEFT(B1385,2),"Yes","Error"),"No")</f>
        <v>No</v>
      </c>
    </row>
    <row r="1386" spans="1:13" hidden="1" x14ac:dyDescent="0.25">
      <c r="A1386" t="s">
        <v>3331</v>
      </c>
      <c r="B1386" t="s">
        <v>3689</v>
      </c>
      <c r="C1386" t="s">
        <v>3690</v>
      </c>
      <c r="D1386" t="s">
        <v>543</v>
      </c>
      <c r="E1386" t="s">
        <v>760</v>
      </c>
      <c r="F1386" t="s">
        <v>2200</v>
      </c>
      <c r="G1386">
        <v>4500280151</v>
      </c>
      <c r="H1386" t="s">
        <v>3334</v>
      </c>
      <c r="I1386" t="s">
        <v>3694</v>
      </c>
      <c r="J1386" t="s">
        <v>760</v>
      </c>
      <c r="K1386" s="1">
        <v>31961</v>
      </c>
      <c r="L1386" s="1">
        <v>31961</v>
      </c>
      <c r="M1386" t="str">
        <f>IFERROR(IF(VLOOKUP(LEFT(B1386,2),'Humanitarian codes'!$A$2:$A$10,1,FALSE)=LEFT(B1386,2),"Yes","Error"),"No")</f>
        <v>No</v>
      </c>
    </row>
    <row r="1387" spans="1:13" hidden="1" x14ac:dyDescent="0.25">
      <c r="A1387" t="s">
        <v>3331</v>
      </c>
      <c r="B1387" t="s">
        <v>3689</v>
      </c>
      <c r="C1387" t="s">
        <v>3690</v>
      </c>
      <c r="D1387" t="s">
        <v>543</v>
      </c>
      <c r="E1387" t="s">
        <v>760</v>
      </c>
      <c r="F1387" t="s">
        <v>2200</v>
      </c>
      <c r="G1387">
        <v>4500280156</v>
      </c>
      <c r="H1387" t="s">
        <v>3334</v>
      </c>
      <c r="I1387" t="s">
        <v>3695</v>
      </c>
      <c r="J1387" t="s">
        <v>760</v>
      </c>
      <c r="K1387" s="1">
        <v>32172.26</v>
      </c>
      <c r="L1387" s="1">
        <v>32172.26</v>
      </c>
      <c r="M1387" t="str">
        <f>IFERROR(IF(VLOOKUP(LEFT(B1387,2),'Humanitarian codes'!$A$2:$A$10,1,FALSE)=LEFT(B1387,2),"Yes","Error"),"No")</f>
        <v>No</v>
      </c>
    </row>
    <row r="1388" spans="1:13" hidden="1" x14ac:dyDescent="0.25">
      <c r="A1388" t="s">
        <v>3331</v>
      </c>
      <c r="B1388" t="s">
        <v>3689</v>
      </c>
      <c r="C1388" t="s">
        <v>3690</v>
      </c>
      <c r="D1388" t="s">
        <v>543</v>
      </c>
      <c r="E1388" t="s">
        <v>760</v>
      </c>
      <c r="F1388" t="s">
        <v>2200</v>
      </c>
      <c r="G1388">
        <v>4500280157</v>
      </c>
      <c r="H1388" t="s">
        <v>3334</v>
      </c>
      <c r="I1388" t="s">
        <v>3696</v>
      </c>
      <c r="J1388" t="s">
        <v>760</v>
      </c>
      <c r="K1388" s="1">
        <v>54171.18</v>
      </c>
      <c r="L1388" s="1">
        <v>54171.18</v>
      </c>
      <c r="M1388" t="str">
        <f>IFERROR(IF(VLOOKUP(LEFT(B1388,2),'Humanitarian codes'!$A$2:$A$10,1,FALSE)=LEFT(B1388,2),"Yes","Error"),"No")</f>
        <v>No</v>
      </c>
    </row>
    <row r="1389" spans="1:13" hidden="1" x14ac:dyDescent="0.25">
      <c r="A1389" t="s">
        <v>3331</v>
      </c>
      <c r="B1389" t="s">
        <v>3689</v>
      </c>
      <c r="C1389" t="s">
        <v>3690</v>
      </c>
      <c r="D1389" t="s">
        <v>543</v>
      </c>
      <c r="E1389" t="s">
        <v>760</v>
      </c>
      <c r="F1389" t="s">
        <v>2200</v>
      </c>
      <c r="G1389">
        <v>4500280159</v>
      </c>
      <c r="H1389" t="s">
        <v>3334</v>
      </c>
      <c r="I1389" t="s">
        <v>3697</v>
      </c>
      <c r="J1389" t="s">
        <v>760</v>
      </c>
      <c r="K1389" s="1">
        <v>54171.18</v>
      </c>
      <c r="L1389" s="1">
        <v>54171.18</v>
      </c>
      <c r="M1389" t="str">
        <f>IFERROR(IF(VLOOKUP(LEFT(B1389,2),'Humanitarian codes'!$A$2:$A$10,1,FALSE)=LEFT(B1389,2),"Yes","Error"),"No")</f>
        <v>No</v>
      </c>
    </row>
    <row r="1390" spans="1:13" hidden="1" x14ac:dyDescent="0.25">
      <c r="A1390" t="s">
        <v>3331</v>
      </c>
      <c r="B1390" t="s">
        <v>3689</v>
      </c>
      <c r="C1390" t="s">
        <v>3690</v>
      </c>
      <c r="D1390" t="s">
        <v>543</v>
      </c>
      <c r="E1390" t="s">
        <v>760</v>
      </c>
      <c r="F1390" t="s">
        <v>2200</v>
      </c>
      <c r="G1390">
        <v>4500280164</v>
      </c>
      <c r="H1390" t="s">
        <v>3334</v>
      </c>
      <c r="I1390" t="s">
        <v>3698</v>
      </c>
      <c r="J1390" t="s">
        <v>760</v>
      </c>
      <c r="K1390" s="1">
        <v>54147.34</v>
      </c>
      <c r="L1390" s="1">
        <v>54147.34</v>
      </c>
      <c r="M1390" t="str">
        <f>IFERROR(IF(VLOOKUP(LEFT(B1390,2),'Humanitarian codes'!$A$2:$A$10,1,FALSE)=LEFT(B1390,2),"Yes","Error"),"No")</f>
        <v>No</v>
      </c>
    </row>
    <row r="1391" spans="1:13" hidden="1" x14ac:dyDescent="0.25">
      <c r="A1391" t="s">
        <v>3331</v>
      </c>
      <c r="B1391" t="s">
        <v>3689</v>
      </c>
      <c r="C1391" t="s">
        <v>3690</v>
      </c>
      <c r="D1391" t="s">
        <v>543</v>
      </c>
      <c r="E1391" t="s">
        <v>760</v>
      </c>
      <c r="F1391" t="s">
        <v>2200</v>
      </c>
      <c r="G1391">
        <v>4500286594</v>
      </c>
      <c r="H1391" t="s">
        <v>3334</v>
      </c>
      <c r="I1391" t="s">
        <v>3699</v>
      </c>
      <c r="J1391" t="s">
        <v>760</v>
      </c>
      <c r="K1391" s="1">
        <v>32502.7</v>
      </c>
      <c r="L1391" s="1">
        <v>32502.7</v>
      </c>
      <c r="M1391" t="str">
        <f>IFERROR(IF(VLOOKUP(LEFT(B1391,2),'Humanitarian codes'!$A$2:$A$10,1,FALSE)=LEFT(B1391,2),"Yes","Error"),"No")</f>
        <v>No</v>
      </c>
    </row>
    <row r="1392" spans="1:13" hidden="1" x14ac:dyDescent="0.25">
      <c r="A1392" t="s">
        <v>3331</v>
      </c>
      <c r="B1392" t="s">
        <v>2102</v>
      </c>
      <c r="C1392" t="s">
        <v>2103</v>
      </c>
      <c r="D1392" t="s">
        <v>9</v>
      </c>
      <c r="E1392" t="s">
        <v>1380</v>
      </c>
      <c r="F1392" t="s">
        <v>2499</v>
      </c>
      <c r="G1392">
        <v>4500290711</v>
      </c>
      <c r="H1392" t="s">
        <v>3334</v>
      </c>
      <c r="I1392" t="s">
        <v>3700</v>
      </c>
      <c r="J1392" t="s">
        <v>1380</v>
      </c>
      <c r="K1392" s="1">
        <v>648480.98</v>
      </c>
      <c r="L1392" s="1">
        <v>648480.98</v>
      </c>
      <c r="M1392" t="str">
        <f>IFERROR(IF(VLOOKUP(LEFT(B1392,2),'Humanitarian codes'!$A$2:$A$10,1,FALSE)=LEFT(B1392,2),"Yes","Error"),"No")</f>
        <v>No</v>
      </c>
    </row>
    <row r="1393" spans="1:13" hidden="1" x14ac:dyDescent="0.25">
      <c r="A1393" t="s">
        <v>3331</v>
      </c>
      <c r="B1393" t="s">
        <v>2102</v>
      </c>
      <c r="C1393" t="s">
        <v>2103</v>
      </c>
      <c r="D1393" t="s">
        <v>9</v>
      </c>
      <c r="E1393" t="s">
        <v>1380</v>
      </c>
      <c r="F1393" t="s">
        <v>2499</v>
      </c>
      <c r="G1393">
        <v>4500290713</v>
      </c>
      <c r="H1393" t="s">
        <v>3334</v>
      </c>
      <c r="I1393" t="s">
        <v>1036</v>
      </c>
      <c r="J1393" t="s">
        <v>1380</v>
      </c>
      <c r="K1393" s="1">
        <v>1526866.47</v>
      </c>
      <c r="L1393" s="1">
        <v>1526866.47</v>
      </c>
      <c r="M1393" t="str">
        <f>IFERROR(IF(VLOOKUP(LEFT(B1393,2),'Humanitarian codes'!$A$2:$A$10,1,FALSE)=LEFT(B1393,2),"Yes","Error"),"No")</f>
        <v>No</v>
      </c>
    </row>
    <row r="1394" spans="1:13" hidden="1" x14ac:dyDescent="0.25">
      <c r="A1394" t="s">
        <v>3331</v>
      </c>
      <c r="B1394" t="s">
        <v>3701</v>
      </c>
      <c r="C1394" t="s">
        <v>3702</v>
      </c>
      <c r="D1394" t="s">
        <v>30</v>
      </c>
      <c r="E1394" t="s">
        <v>1128</v>
      </c>
      <c r="F1394" t="s">
        <v>2200</v>
      </c>
      <c r="G1394">
        <v>4500286574</v>
      </c>
      <c r="H1394" t="s">
        <v>3334</v>
      </c>
      <c r="I1394" t="s">
        <v>3703</v>
      </c>
      <c r="J1394" t="s">
        <v>1128</v>
      </c>
      <c r="K1394" s="1">
        <v>31064.09</v>
      </c>
      <c r="L1394" s="1">
        <v>31064.09</v>
      </c>
      <c r="M1394" t="str">
        <f>IFERROR(IF(VLOOKUP(LEFT(B1394,2),'Humanitarian codes'!$A$2:$A$10,1,FALSE)=LEFT(B1394,2),"Yes","Error"),"No")</f>
        <v>No</v>
      </c>
    </row>
    <row r="1395" spans="1:13" hidden="1" x14ac:dyDescent="0.25">
      <c r="A1395" t="s">
        <v>3331</v>
      </c>
      <c r="B1395" t="s">
        <v>2595</v>
      </c>
      <c r="C1395" t="s">
        <v>2596</v>
      </c>
      <c r="D1395" t="s">
        <v>30</v>
      </c>
      <c r="E1395" t="s">
        <v>257</v>
      </c>
      <c r="F1395" t="s">
        <v>3704</v>
      </c>
      <c r="G1395">
        <v>4500278461</v>
      </c>
      <c r="H1395" t="s">
        <v>3334</v>
      </c>
      <c r="I1395" t="s">
        <v>3705</v>
      </c>
      <c r="J1395" t="s">
        <v>257</v>
      </c>
      <c r="K1395" s="1">
        <v>9234.6</v>
      </c>
      <c r="L1395" s="1">
        <v>9234.6</v>
      </c>
      <c r="M1395" t="str">
        <f>IFERROR(IF(VLOOKUP(LEFT(B1395,2),'Humanitarian codes'!$A$2:$A$10,1,FALSE)=LEFT(B1395,2),"Yes","Error"),"No")</f>
        <v>No</v>
      </c>
    </row>
    <row r="1396" spans="1:13" hidden="1" x14ac:dyDescent="0.25">
      <c r="A1396" t="s">
        <v>3331</v>
      </c>
      <c r="B1396" t="s">
        <v>3706</v>
      </c>
      <c r="C1396" t="s">
        <v>3707</v>
      </c>
      <c r="D1396" t="s">
        <v>30</v>
      </c>
      <c r="E1396" t="s">
        <v>261</v>
      </c>
      <c r="F1396" t="s">
        <v>3708</v>
      </c>
      <c r="G1396">
        <v>4500278757</v>
      </c>
      <c r="H1396" t="s">
        <v>3334</v>
      </c>
      <c r="I1396" t="s">
        <v>3709</v>
      </c>
      <c r="J1396" t="s">
        <v>261</v>
      </c>
      <c r="K1396" s="1">
        <v>20881.189999999999</v>
      </c>
      <c r="L1396" s="1">
        <v>20881.189999999999</v>
      </c>
      <c r="M1396" t="str">
        <f>IFERROR(IF(VLOOKUP(LEFT(B1396,2),'Humanitarian codes'!$A$2:$A$10,1,FALSE)=LEFT(B1396,2),"Yes","Error"),"No")</f>
        <v>No</v>
      </c>
    </row>
    <row r="1397" spans="1:13" hidden="1" x14ac:dyDescent="0.25">
      <c r="A1397" t="s">
        <v>3331</v>
      </c>
      <c r="B1397" t="s">
        <v>3706</v>
      </c>
      <c r="C1397" t="s">
        <v>3707</v>
      </c>
      <c r="D1397" t="s">
        <v>30</v>
      </c>
      <c r="E1397" t="s">
        <v>261</v>
      </c>
      <c r="F1397" t="s">
        <v>3710</v>
      </c>
      <c r="G1397">
        <v>4500279004</v>
      </c>
      <c r="H1397" t="s">
        <v>3334</v>
      </c>
      <c r="I1397" t="s">
        <v>3711</v>
      </c>
      <c r="J1397" t="s">
        <v>261</v>
      </c>
      <c r="K1397" s="1">
        <v>19263.73</v>
      </c>
      <c r="L1397" s="1">
        <v>19263.73</v>
      </c>
      <c r="M1397" t="str">
        <f>IFERROR(IF(VLOOKUP(LEFT(B1397,2),'Humanitarian codes'!$A$2:$A$10,1,FALSE)=LEFT(B1397,2),"Yes","Error"),"No")</f>
        <v>No</v>
      </c>
    </row>
    <row r="1398" spans="1:13" hidden="1" x14ac:dyDescent="0.25">
      <c r="A1398" t="s">
        <v>3331</v>
      </c>
      <c r="B1398" t="s">
        <v>3706</v>
      </c>
      <c r="C1398" t="s">
        <v>3707</v>
      </c>
      <c r="D1398" t="s">
        <v>30</v>
      </c>
      <c r="E1398" t="s">
        <v>261</v>
      </c>
      <c r="F1398" t="s">
        <v>3712</v>
      </c>
      <c r="G1398">
        <v>4500281360</v>
      </c>
      <c r="H1398" t="s">
        <v>3334</v>
      </c>
      <c r="I1398" t="s">
        <v>1030</v>
      </c>
      <c r="J1398" t="s">
        <v>261</v>
      </c>
      <c r="K1398" s="1">
        <v>96888.71</v>
      </c>
      <c r="L1398" s="1">
        <v>96888.71</v>
      </c>
      <c r="M1398" t="str">
        <f>IFERROR(IF(VLOOKUP(LEFT(B1398,2),'Humanitarian codes'!$A$2:$A$10,1,FALSE)=LEFT(B1398,2),"Yes","Error"),"No")</f>
        <v>No</v>
      </c>
    </row>
    <row r="1399" spans="1:13" hidden="1" x14ac:dyDescent="0.25">
      <c r="A1399" t="s">
        <v>3331</v>
      </c>
      <c r="B1399" t="s">
        <v>3706</v>
      </c>
      <c r="C1399" t="s">
        <v>3707</v>
      </c>
      <c r="D1399" t="s">
        <v>30</v>
      </c>
      <c r="E1399" t="s">
        <v>261</v>
      </c>
      <c r="F1399" t="s">
        <v>3713</v>
      </c>
      <c r="G1399">
        <v>4500285180</v>
      </c>
      <c r="H1399" t="s">
        <v>3334</v>
      </c>
      <c r="I1399" t="s">
        <v>3714</v>
      </c>
      <c r="J1399" t="s">
        <v>261</v>
      </c>
      <c r="K1399" s="1">
        <v>49729.73</v>
      </c>
      <c r="L1399" s="1">
        <v>49729.73</v>
      </c>
      <c r="M1399" t="str">
        <f>IFERROR(IF(VLOOKUP(LEFT(B1399,2),'Humanitarian codes'!$A$2:$A$10,1,FALSE)=LEFT(B1399,2),"Yes","Error"),"No")</f>
        <v>No</v>
      </c>
    </row>
    <row r="1400" spans="1:13" hidden="1" x14ac:dyDescent="0.25">
      <c r="A1400" t="s">
        <v>3331</v>
      </c>
      <c r="B1400" t="s">
        <v>2108</v>
      </c>
      <c r="C1400" t="s">
        <v>2109</v>
      </c>
      <c r="D1400" t="s">
        <v>30</v>
      </c>
      <c r="E1400" t="s">
        <v>261</v>
      </c>
      <c r="F1400" t="s">
        <v>3715</v>
      </c>
      <c r="G1400">
        <v>4500287236</v>
      </c>
      <c r="H1400" t="s">
        <v>3334</v>
      </c>
      <c r="I1400" t="s">
        <v>784</v>
      </c>
      <c r="J1400" t="s">
        <v>261</v>
      </c>
      <c r="K1400" s="1">
        <v>394594.6</v>
      </c>
      <c r="L1400" s="1">
        <v>394594.6</v>
      </c>
      <c r="M1400" t="str">
        <f>IFERROR(IF(VLOOKUP(LEFT(B1400,2),'Humanitarian codes'!$A$2:$A$10,1,FALSE)=LEFT(B1400,2),"Yes","Error"),"No")</f>
        <v>No</v>
      </c>
    </row>
    <row r="1401" spans="1:13" hidden="1" x14ac:dyDescent="0.25">
      <c r="A1401" t="s">
        <v>3331</v>
      </c>
      <c r="B1401" t="s">
        <v>578</v>
      </c>
      <c r="C1401" t="s">
        <v>579</v>
      </c>
      <c r="D1401" t="s">
        <v>30</v>
      </c>
      <c r="E1401" t="s">
        <v>132</v>
      </c>
      <c r="F1401" t="s">
        <v>3716</v>
      </c>
      <c r="G1401">
        <v>4500289315</v>
      </c>
      <c r="H1401" t="s">
        <v>3334</v>
      </c>
      <c r="I1401" t="s">
        <v>582</v>
      </c>
      <c r="J1401" t="s">
        <v>132</v>
      </c>
      <c r="K1401" s="1">
        <v>791763.93</v>
      </c>
      <c r="L1401" s="1">
        <v>791763.93</v>
      </c>
      <c r="M1401" t="str">
        <f>IFERROR(IF(VLOOKUP(LEFT(B1401,2),'Humanitarian codes'!$A$2:$A$10,1,FALSE)=LEFT(B1401,2),"Yes","Error"),"No")</f>
        <v>No</v>
      </c>
    </row>
    <row r="1402" spans="1:13" hidden="1" x14ac:dyDescent="0.25">
      <c r="A1402" t="s">
        <v>3331</v>
      </c>
      <c r="B1402" t="s">
        <v>578</v>
      </c>
      <c r="C1402" t="s">
        <v>579</v>
      </c>
      <c r="D1402" t="s">
        <v>30</v>
      </c>
      <c r="E1402" t="s">
        <v>132</v>
      </c>
      <c r="F1402" t="s">
        <v>3717</v>
      </c>
      <c r="G1402">
        <v>4500289963</v>
      </c>
      <c r="H1402" t="s">
        <v>3334</v>
      </c>
      <c r="I1402" t="s">
        <v>2376</v>
      </c>
      <c r="J1402" t="s">
        <v>581</v>
      </c>
      <c r="K1402" s="1">
        <v>1282983.6599999999</v>
      </c>
      <c r="L1402" s="1">
        <v>1282983.6599999999</v>
      </c>
      <c r="M1402" t="str">
        <f>IFERROR(IF(VLOOKUP(LEFT(B1402,2),'Humanitarian codes'!$A$2:$A$10,1,FALSE)=LEFT(B1402,2),"Yes","Error"),"No")</f>
        <v>No</v>
      </c>
    </row>
    <row r="1403" spans="1:13" hidden="1" x14ac:dyDescent="0.25">
      <c r="A1403" t="s">
        <v>3331</v>
      </c>
      <c r="B1403" t="s">
        <v>583</v>
      </c>
      <c r="C1403" t="s">
        <v>584</v>
      </c>
      <c r="D1403" t="s">
        <v>30</v>
      </c>
      <c r="E1403" t="s">
        <v>132</v>
      </c>
      <c r="F1403" t="s">
        <v>3718</v>
      </c>
      <c r="G1403">
        <v>4500295259</v>
      </c>
      <c r="H1403" t="s">
        <v>3334</v>
      </c>
      <c r="I1403" t="s">
        <v>3719</v>
      </c>
      <c r="J1403" t="s">
        <v>509</v>
      </c>
      <c r="K1403" s="1">
        <v>1986914.14</v>
      </c>
      <c r="L1403" s="1">
        <v>1986914.14</v>
      </c>
      <c r="M1403" t="str">
        <f>IFERROR(IF(VLOOKUP(LEFT(B1403,2),'Humanitarian codes'!$A$2:$A$10,1,FALSE)=LEFT(B1403,2),"Yes","Error"),"No")</f>
        <v>No</v>
      </c>
    </row>
    <row r="1404" spans="1:13" hidden="1" x14ac:dyDescent="0.25">
      <c r="A1404" t="s">
        <v>3331</v>
      </c>
      <c r="B1404" t="s">
        <v>583</v>
      </c>
      <c r="C1404" t="s">
        <v>584</v>
      </c>
      <c r="D1404" t="s">
        <v>30</v>
      </c>
      <c r="E1404" t="s">
        <v>132</v>
      </c>
      <c r="F1404" t="s">
        <v>3720</v>
      </c>
      <c r="G1404">
        <v>4500295682</v>
      </c>
      <c r="H1404" t="s">
        <v>3334</v>
      </c>
      <c r="I1404" t="s">
        <v>2376</v>
      </c>
      <c r="J1404" t="s">
        <v>581</v>
      </c>
      <c r="K1404" s="1">
        <v>2113868.63</v>
      </c>
      <c r="L1404" s="1">
        <v>2113868.63</v>
      </c>
      <c r="M1404" t="str">
        <f>IFERROR(IF(VLOOKUP(LEFT(B1404,2),'Humanitarian codes'!$A$2:$A$10,1,FALSE)=LEFT(B1404,2),"Yes","Error"),"No")</f>
        <v>No</v>
      </c>
    </row>
    <row r="1405" spans="1:13" hidden="1" x14ac:dyDescent="0.25">
      <c r="A1405" t="s">
        <v>3331</v>
      </c>
      <c r="B1405" t="s">
        <v>3721</v>
      </c>
      <c r="C1405" t="s">
        <v>3722</v>
      </c>
      <c r="D1405" t="s">
        <v>30</v>
      </c>
      <c r="E1405" t="s">
        <v>128</v>
      </c>
      <c r="F1405" t="s">
        <v>3723</v>
      </c>
      <c r="G1405">
        <v>4500277186</v>
      </c>
      <c r="H1405" t="s">
        <v>3334</v>
      </c>
      <c r="I1405" t="s">
        <v>2277</v>
      </c>
      <c r="J1405" t="s">
        <v>128</v>
      </c>
      <c r="K1405" s="1">
        <v>30000</v>
      </c>
      <c r="L1405" s="1">
        <v>30000</v>
      </c>
      <c r="M1405" t="str">
        <f>IFERROR(IF(VLOOKUP(LEFT(B1405,2),'Humanitarian codes'!$A$2:$A$10,1,FALSE)=LEFT(B1405,2),"Yes","Error"),"No")</f>
        <v>No</v>
      </c>
    </row>
    <row r="1406" spans="1:13" hidden="1" x14ac:dyDescent="0.25">
      <c r="A1406" t="s">
        <v>3331</v>
      </c>
      <c r="B1406" t="s">
        <v>3721</v>
      </c>
      <c r="C1406" t="s">
        <v>3722</v>
      </c>
      <c r="D1406" t="s">
        <v>30</v>
      </c>
      <c r="E1406" t="s">
        <v>128</v>
      </c>
      <c r="F1406" t="s">
        <v>3724</v>
      </c>
      <c r="G1406">
        <v>4500277200</v>
      </c>
      <c r="H1406" t="s">
        <v>3334</v>
      </c>
      <c r="I1406" t="s">
        <v>3725</v>
      </c>
      <c r="J1406" t="s">
        <v>128</v>
      </c>
      <c r="K1406" s="1">
        <v>30000</v>
      </c>
      <c r="L1406" s="1">
        <v>30000</v>
      </c>
      <c r="M1406" t="str">
        <f>IFERROR(IF(VLOOKUP(LEFT(B1406,2),'Humanitarian codes'!$A$2:$A$10,1,FALSE)=LEFT(B1406,2),"Yes","Error"),"No")</f>
        <v>No</v>
      </c>
    </row>
    <row r="1407" spans="1:13" hidden="1" x14ac:dyDescent="0.25">
      <c r="A1407" t="s">
        <v>3331</v>
      </c>
      <c r="B1407" t="s">
        <v>3721</v>
      </c>
      <c r="C1407" t="s">
        <v>3722</v>
      </c>
      <c r="D1407" t="s">
        <v>30</v>
      </c>
      <c r="E1407" t="s">
        <v>128</v>
      </c>
      <c r="F1407" t="s">
        <v>3724</v>
      </c>
      <c r="G1407">
        <v>4500277213</v>
      </c>
      <c r="H1407" t="s">
        <v>3334</v>
      </c>
      <c r="I1407" t="s">
        <v>2657</v>
      </c>
      <c r="J1407" t="s">
        <v>128</v>
      </c>
      <c r="K1407" s="1">
        <v>30000</v>
      </c>
      <c r="L1407" s="1">
        <v>30000</v>
      </c>
      <c r="M1407" t="str">
        <f>IFERROR(IF(VLOOKUP(LEFT(B1407,2),'Humanitarian codes'!$A$2:$A$10,1,FALSE)=LEFT(B1407,2),"Yes","Error"),"No")</f>
        <v>No</v>
      </c>
    </row>
    <row r="1408" spans="1:13" hidden="1" x14ac:dyDescent="0.25">
      <c r="A1408" t="s">
        <v>3331</v>
      </c>
      <c r="B1408" t="s">
        <v>3721</v>
      </c>
      <c r="C1408" t="s">
        <v>3722</v>
      </c>
      <c r="D1408" t="s">
        <v>30</v>
      </c>
      <c r="E1408" t="s">
        <v>128</v>
      </c>
      <c r="F1408" t="s">
        <v>3724</v>
      </c>
      <c r="G1408">
        <v>4500277216</v>
      </c>
      <c r="H1408" t="s">
        <v>3334</v>
      </c>
      <c r="I1408" t="s">
        <v>3726</v>
      </c>
      <c r="J1408" t="s">
        <v>128</v>
      </c>
      <c r="K1408" s="1">
        <v>30000</v>
      </c>
      <c r="L1408" s="1">
        <v>30000</v>
      </c>
      <c r="M1408" t="str">
        <f>IFERROR(IF(VLOOKUP(LEFT(B1408,2),'Humanitarian codes'!$A$2:$A$10,1,FALSE)=LEFT(B1408,2),"Yes","Error"),"No")</f>
        <v>No</v>
      </c>
    </row>
    <row r="1409" spans="1:13" hidden="1" x14ac:dyDescent="0.25">
      <c r="A1409" t="s">
        <v>3331</v>
      </c>
      <c r="B1409" t="s">
        <v>3721</v>
      </c>
      <c r="C1409" t="s">
        <v>3722</v>
      </c>
      <c r="D1409" t="s">
        <v>30</v>
      </c>
      <c r="E1409" t="s">
        <v>128</v>
      </c>
      <c r="F1409" t="s">
        <v>3724</v>
      </c>
      <c r="G1409">
        <v>4500277220</v>
      </c>
      <c r="H1409" t="s">
        <v>3334</v>
      </c>
      <c r="I1409" t="s">
        <v>571</v>
      </c>
      <c r="J1409" t="s">
        <v>128</v>
      </c>
      <c r="K1409" s="1">
        <v>30000</v>
      </c>
      <c r="L1409" s="1">
        <v>30000</v>
      </c>
      <c r="M1409" t="str">
        <f>IFERROR(IF(VLOOKUP(LEFT(B1409,2),'Humanitarian codes'!$A$2:$A$10,1,FALSE)=LEFT(B1409,2),"Yes","Error"),"No")</f>
        <v>No</v>
      </c>
    </row>
    <row r="1410" spans="1:13" hidden="1" x14ac:dyDescent="0.25">
      <c r="A1410" t="s">
        <v>3331</v>
      </c>
      <c r="B1410" t="s">
        <v>3721</v>
      </c>
      <c r="C1410" t="s">
        <v>3722</v>
      </c>
      <c r="D1410" t="s">
        <v>30</v>
      </c>
      <c r="E1410" t="s">
        <v>128</v>
      </c>
      <c r="F1410" t="s">
        <v>3724</v>
      </c>
      <c r="G1410">
        <v>4500277227</v>
      </c>
      <c r="H1410" t="s">
        <v>3334</v>
      </c>
      <c r="I1410" t="s">
        <v>129</v>
      </c>
      <c r="J1410" t="s">
        <v>128</v>
      </c>
      <c r="K1410" s="1">
        <v>30000</v>
      </c>
      <c r="L1410" s="1">
        <v>30000</v>
      </c>
      <c r="M1410" t="str">
        <f>IFERROR(IF(VLOOKUP(LEFT(B1410,2),'Humanitarian codes'!$A$2:$A$10,1,FALSE)=LEFT(B1410,2),"Yes","Error"),"No")</f>
        <v>No</v>
      </c>
    </row>
    <row r="1411" spans="1:13" hidden="1" x14ac:dyDescent="0.25">
      <c r="A1411" t="s">
        <v>3331</v>
      </c>
      <c r="B1411" t="s">
        <v>3721</v>
      </c>
      <c r="C1411" t="s">
        <v>3722</v>
      </c>
      <c r="D1411" t="s">
        <v>30</v>
      </c>
      <c r="E1411" t="s">
        <v>128</v>
      </c>
      <c r="F1411" t="s">
        <v>3724</v>
      </c>
      <c r="G1411">
        <v>4500277230</v>
      </c>
      <c r="H1411" t="s">
        <v>3334</v>
      </c>
      <c r="I1411" t="s">
        <v>2653</v>
      </c>
      <c r="J1411" t="s">
        <v>128</v>
      </c>
      <c r="K1411" s="1">
        <v>30000</v>
      </c>
      <c r="L1411" s="1">
        <v>30000</v>
      </c>
      <c r="M1411" t="str">
        <f>IFERROR(IF(VLOOKUP(LEFT(B1411,2),'Humanitarian codes'!$A$2:$A$10,1,FALSE)=LEFT(B1411,2),"Yes","Error"),"No")</f>
        <v>No</v>
      </c>
    </row>
    <row r="1412" spans="1:13" hidden="1" x14ac:dyDescent="0.25">
      <c r="A1412" t="s">
        <v>3331</v>
      </c>
      <c r="B1412" t="s">
        <v>2118</v>
      </c>
      <c r="C1412" t="s">
        <v>2119</v>
      </c>
      <c r="D1412" t="s">
        <v>30</v>
      </c>
      <c r="E1412" t="s">
        <v>128</v>
      </c>
      <c r="F1412" t="s">
        <v>3727</v>
      </c>
      <c r="G1412">
        <v>4500288203</v>
      </c>
      <c r="H1412" t="s">
        <v>3334</v>
      </c>
      <c r="I1412" t="s">
        <v>3182</v>
      </c>
      <c r="J1412" t="s">
        <v>972</v>
      </c>
      <c r="K1412" s="1">
        <v>69660</v>
      </c>
      <c r="L1412" s="1">
        <v>69660</v>
      </c>
      <c r="M1412" t="str">
        <f>IFERROR(IF(VLOOKUP(LEFT(B1412,2),'Humanitarian codes'!$A$2:$A$10,1,FALSE)=LEFT(B1412,2),"Yes","Error"),"No")</f>
        <v>No</v>
      </c>
    </row>
    <row r="1413" spans="1:13" hidden="1" x14ac:dyDescent="0.25">
      <c r="A1413" t="s">
        <v>3331</v>
      </c>
      <c r="B1413" t="s">
        <v>3728</v>
      </c>
      <c r="C1413" t="s">
        <v>3729</v>
      </c>
      <c r="D1413" t="s">
        <v>484</v>
      </c>
      <c r="E1413" t="s">
        <v>3730</v>
      </c>
      <c r="F1413" t="s">
        <v>3731</v>
      </c>
      <c r="G1413">
        <v>4500287007</v>
      </c>
      <c r="H1413" t="s">
        <v>3334</v>
      </c>
      <c r="I1413" t="s">
        <v>3732</v>
      </c>
      <c r="J1413" t="s">
        <v>3730</v>
      </c>
      <c r="K1413" s="1">
        <v>27404.19</v>
      </c>
      <c r="L1413" s="1">
        <v>27404.19</v>
      </c>
      <c r="M1413" t="str">
        <f>IFERROR(IF(VLOOKUP(LEFT(B1413,2),'Humanitarian codes'!$A$2:$A$10,1,FALSE)=LEFT(B1413,2),"Yes","Error"),"No")</f>
        <v>No</v>
      </c>
    </row>
    <row r="1414" spans="1:13" hidden="1" x14ac:dyDescent="0.25">
      <c r="A1414" t="s">
        <v>3331</v>
      </c>
      <c r="B1414" t="s">
        <v>2123</v>
      </c>
      <c r="C1414" t="s">
        <v>2124</v>
      </c>
      <c r="D1414" t="s">
        <v>543</v>
      </c>
      <c r="E1414" t="s">
        <v>25</v>
      </c>
      <c r="F1414" t="s">
        <v>2200</v>
      </c>
      <c r="G1414">
        <v>4500277327</v>
      </c>
      <c r="H1414" t="s">
        <v>3334</v>
      </c>
      <c r="I1414" t="s">
        <v>1594</v>
      </c>
      <c r="J1414" t="s">
        <v>25</v>
      </c>
      <c r="K1414" s="1">
        <v>55401.279999999999</v>
      </c>
      <c r="L1414" s="1">
        <v>55401.279999999999</v>
      </c>
      <c r="M1414" t="str">
        <f>IFERROR(IF(VLOOKUP(LEFT(B1414,2),'Humanitarian codes'!$A$2:$A$10,1,FALSE)=LEFT(B1414,2),"Yes","Error"),"No")</f>
        <v>No</v>
      </c>
    </row>
    <row r="1415" spans="1:13" hidden="1" x14ac:dyDescent="0.25">
      <c r="A1415" t="s">
        <v>3331</v>
      </c>
      <c r="B1415" t="s">
        <v>2123</v>
      </c>
      <c r="C1415" t="s">
        <v>2124</v>
      </c>
      <c r="D1415" t="s">
        <v>543</v>
      </c>
      <c r="E1415" t="s">
        <v>25</v>
      </c>
      <c r="F1415" t="s">
        <v>2200</v>
      </c>
      <c r="G1415">
        <v>4500300812</v>
      </c>
      <c r="H1415" t="s">
        <v>3334</v>
      </c>
      <c r="I1415" t="s">
        <v>3733</v>
      </c>
      <c r="J1415" t="s">
        <v>25</v>
      </c>
      <c r="K1415" s="1">
        <v>13669.62</v>
      </c>
      <c r="L1415" s="1">
        <v>13669.62</v>
      </c>
      <c r="M1415" t="str">
        <f>IFERROR(IF(VLOOKUP(LEFT(B1415,2),'Humanitarian codes'!$A$2:$A$10,1,FALSE)=LEFT(B1415,2),"Yes","Error"),"No")</f>
        <v>No</v>
      </c>
    </row>
    <row r="1416" spans="1:13" hidden="1" x14ac:dyDescent="0.25">
      <c r="A1416" t="s">
        <v>3331</v>
      </c>
      <c r="B1416" t="s">
        <v>2123</v>
      </c>
      <c r="C1416" t="s">
        <v>2124</v>
      </c>
      <c r="D1416" t="s">
        <v>543</v>
      </c>
      <c r="E1416" t="s">
        <v>25</v>
      </c>
      <c r="F1416" t="s">
        <v>2200</v>
      </c>
      <c r="G1416">
        <v>4500300824</v>
      </c>
      <c r="H1416" t="s">
        <v>3334</v>
      </c>
      <c r="I1416" t="s">
        <v>1874</v>
      </c>
      <c r="J1416" t="s">
        <v>25</v>
      </c>
      <c r="K1416" s="1">
        <v>14516.75</v>
      </c>
      <c r="L1416" s="1">
        <v>14516.75</v>
      </c>
      <c r="M1416" t="str">
        <f>IFERROR(IF(VLOOKUP(LEFT(B1416,2),'Humanitarian codes'!$A$2:$A$10,1,FALSE)=LEFT(B1416,2),"Yes","Error"),"No")</f>
        <v>No</v>
      </c>
    </row>
    <row r="1417" spans="1:13" hidden="1" x14ac:dyDescent="0.25">
      <c r="A1417" t="s">
        <v>3331</v>
      </c>
      <c r="B1417" t="s">
        <v>2123</v>
      </c>
      <c r="C1417" t="s">
        <v>2124</v>
      </c>
      <c r="D1417" t="s">
        <v>543</v>
      </c>
      <c r="E1417" t="s">
        <v>25</v>
      </c>
      <c r="F1417" t="s">
        <v>2200</v>
      </c>
      <c r="G1417">
        <v>4500300837</v>
      </c>
      <c r="H1417" t="s">
        <v>3334</v>
      </c>
      <c r="I1417" t="s">
        <v>1588</v>
      </c>
      <c r="J1417" t="s">
        <v>25</v>
      </c>
      <c r="K1417" s="1">
        <v>16365.04</v>
      </c>
      <c r="L1417" s="1">
        <v>16365.04</v>
      </c>
      <c r="M1417" t="str">
        <f>IFERROR(IF(VLOOKUP(LEFT(B1417,2),'Humanitarian codes'!$A$2:$A$10,1,FALSE)=LEFT(B1417,2),"Yes","Error"),"No")</f>
        <v>No</v>
      </c>
    </row>
    <row r="1418" spans="1:13" hidden="1" x14ac:dyDescent="0.25">
      <c r="A1418" t="s">
        <v>3331</v>
      </c>
      <c r="B1418" t="s">
        <v>3734</v>
      </c>
      <c r="C1418" t="s">
        <v>3735</v>
      </c>
      <c r="D1418" t="s">
        <v>543</v>
      </c>
      <c r="E1418" t="s">
        <v>45</v>
      </c>
      <c r="F1418" t="s">
        <v>2499</v>
      </c>
      <c r="G1418">
        <v>4500282763</v>
      </c>
      <c r="H1418" t="s">
        <v>3334</v>
      </c>
      <c r="I1418" t="s">
        <v>3186</v>
      </c>
      <c r="J1418" t="s">
        <v>463</v>
      </c>
      <c r="K1418" s="1">
        <v>47990</v>
      </c>
      <c r="L1418" s="1">
        <v>47990</v>
      </c>
      <c r="M1418" t="str">
        <f>IFERROR(IF(VLOOKUP(LEFT(B1418,2),'Humanitarian codes'!$A$2:$A$10,1,FALSE)=LEFT(B1418,2),"Yes","Error"),"No")</f>
        <v>No</v>
      </c>
    </row>
    <row r="1419" spans="1:13" hidden="1" x14ac:dyDescent="0.25">
      <c r="A1419" t="s">
        <v>3331</v>
      </c>
      <c r="B1419" t="s">
        <v>3734</v>
      </c>
      <c r="C1419" t="s">
        <v>3735</v>
      </c>
      <c r="D1419" t="s">
        <v>543</v>
      </c>
      <c r="E1419" t="s">
        <v>45</v>
      </c>
      <c r="F1419" t="s">
        <v>2200</v>
      </c>
      <c r="G1419">
        <v>4500290800</v>
      </c>
      <c r="H1419" t="s">
        <v>3334</v>
      </c>
      <c r="I1419" t="s">
        <v>3736</v>
      </c>
      <c r="J1419" t="s">
        <v>45</v>
      </c>
      <c r="K1419" s="1">
        <v>70000</v>
      </c>
      <c r="L1419" s="1">
        <v>70000</v>
      </c>
      <c r="M1419" t="str">
        <f>IFERROR(IF(VLOOKUP(LEFT(B1419,2),'Humanitarian codes'!$A$2:$A$10,1,FALSE)=LEFT(B1419,2),"Yes","Error"),"No")</f>
        <v>No</v>
      </c>
    </row>
    <row r="1420" spans="1:13" hidden="1" x14ac:dyDescent="0.25">
      <c r="A1420" t="s">
        <v>3331</v>
      </c>
      <c r="B1420" t="s">
        <v>3734</v>
      </c>
      <c r="C1420" t="s">
        <v>3735</v>
      </c>
      <c r="D1420" t="s">
        <v>543</v>
      </c>
      <c r="E1420" t="s">
        <v>45</v>
      </c>
      <c r="F1420" t="s">
        <v>2200</v>
      </c>
      <c r="G1420">
        <v>4500292121</v>
      </c>
      <c r="H1420" t="s">
        <v>3334</v>
      </c>
      <c r="I1420" t="s">
        <v>327</v>
      </c>
      <c r="J1420" t="s">
        <v>45</v>
      </c>
      <c r="K1420" s="1">
        <v>70000</v>
      </c>
      <c r="L1420" s="1">
        <v>70000</v>
      </c>
      <c r="M1420" t="str">
        <f>IFERROR(IF(VLOOKUP(LEFT(B1420,2),'Humanitarian codes'!$A$2:$A$10,1,FALSE)=LEFT(B1420,2),"Yes","Error"),"No")</f>
        <v>No</v>
      </c>
    </row>
    <row r="1421" spans="1:13" hidden="1" x14ac:dyDescent="0.25">
      <c r="A1421" t="s">
        <v>3331</v>
      </c>
      <c r="B1421" t="s">
        <v>3737</v>
      </c>
      <c r="C1421" t="s">
        <v>3738</v>
      </c>
      <c r="D1421" t="s">
        <v>543</v>
      </c>
      <c r="E1421" t="s">
        <v>500</v>
      </c>
      <c r="F1421" t="s">
        <v>3739</v>
      </c>
      <c r="G1421">
        <v>4500291093</v>
      </c>
      <c r="H1421" t="s">
        <v>3334</v>
      </c>
      <c r="I1421" t="s">
        <v>3740</v>
      </c>
      <c r="J1421" t="s">
        <v>500</v>
      </c>
      <c r="K1421" s="1">
        <v>3047.94</v>
      </c>
      <c r="L1421" s="1">
        <v>3047.94</v>
      </c>
      <c r="M1421" t="str">
        <f>IFERROR(IF(VLOOKUP(LEFT(B1421,2),'Humanitarian codes'!$A$2:$A$10,1,FALSE)=LEFT(B1421,2),"Yes","Error"),"No")</f>
        <v>No</v>
      </c>
    </row>
    <row r="1422" spans="1:13" hidden="1" x14ac:dyDescent="0.25">
      <c r="A1422" t="s">
        <v>3331</v>
      </c>
      <c r="B1422" t="s">
        <v>3187</v>
      </c>
      <c r="C1422" t="s">
        <v>2133</v>
      </c>
      <c r="D1422" t="s">
        <v>543</v>
      </c>
      <c r="E1422" t="s">
        <v>717</v>
      </c>
      <c r="F1422" t="s">
        <v>3741</v>
      </c>
      <c r="G1422">
        <v>4500291072</v>
      </c>
      <c r="H1422" t="s">
        <v>3334</v>
      </c>
      <c r="I1422" t="s">
        <v>3742</v>
      </c>
      <c r="J1422" t="s">
        <v>717</v>
      </c>
      <c r="K1422" s="1">
        <v>3972.99</v>
      </c>
      <c r="L1422" s="1">
        <v>3972.99</v>
      </c>
      <c r="M1422" t="str">
        <f>IFERROR(IF(VLOOKUP(LEFT(B1422,2),'Humanitarian codes'!$A$2:$A$10,1,FALSE)=LEFT(B1422,2),"Yes","Error"),"No")</f>
        <v>No</v>
      </c>
    </row>
    <row r="1423" spans="1:13" hidden="1" x14ac:dyDescent="0.25">
      <c r="A1423" t="s">
        <v>3331</v>
      </c>
      <c r="B1423" t="s">
        <v>3187</v>
      </c>
      <c r="C1423" t="s">
        <v>2133</v>
      </c>
      <c r="D1423" t="s">
        <v>543</v>
      </c>
      <c r="E1423" t="s">
        <v>717</v>
      </c>
      <c r="F1423" t="s">
        <v>3743</v>
      </c>
      <c r="G1423">
        <v>4500291091</v>
      </c>
      <c r="H1423" t="s">
        <v>3334</v>
      </c>
      <c r="I1423" t="s">
        <v>3744</v>
      </c>
      <c r="J1423" t="s">
        <v>717</v>
      </c>
      <c r="K1423" s="1">
        <v>4029.54</v>
      </c>
      <c r="L1423" s="1">
        <v>4029.54</v>
      </c>
      <c r="M1423" t="str">
        <f>IFERROR(IF(VLOOKUP(LEFT(B1423,2),'Humanitarian codes'!$A$2:$A$10,1,FALSE)=LEFT(B1423,2),"Yes","Error"),"No")</f>
        <v>No</v>
      </c>
    </row>
    <row r="1424" spans="1:13" hidden="1" x14ac:dyDescent="0.25">
      <c r="A1424" t="s">
        <v>3331</v>
      </c>
      <c r="B1424" t="s">
        <v>607</v>
      </c>
      <c r="C1424" t="s">
        <v>608</v>
      </c>
      <c r="D1424" t="s">
        <v>543</v>
      </c>
      <c r="E1424" t="s">
        <v>477</v>
      </c>
      <c r="F1424" t="s">
        <v>3745</v>
      </c>
      <c r="G1424">
        <v>4500281737</v>
      </c>
      <c r="H1424" t="s">
        <v>3334</v>
      </c>
      <c r="I1424" t="s">
        <v>1050</v>
      </c>
      <c r="J1424" t="s">
        <v>477</v>
      </c>
      <c r="K1424" s="1">
        <v>2156.1</v>
      </c>
      <c r="L1424" s="1">
        <v>2156.1</v>
      </c>
      <c r="M1424" t="str">
        <f>IFERROR(IF(VLOOKUP(LEFT(B1424,2),'Humanitarian codes'!$A$2:$A$10,1,FALSE)=LEFT(B1424,2),"Yes","Error"),"No")</f>
        <v>No</v>
      </c>
    </row>
    <row r="1425" spans="1:13" hidden="1" x14ac:dyDescent="0.25">
      <c r="A1425" t="s">
        <v>3331</v>
      </c>
      <c r="B1425" t="s">
        <v>607</v>
      </c>
      <c r="C1425" t="s">
        <v>608</v>
      </c>
      <c r="D1425" t="s">
        <v>543</v>
      </c>
      <c r="E1425" t="s">
        <v>477</v>
      </c>
      <c r="F1425" t="s">
        <v>3745</v>
      </c>
      <c r="G1425">
        <v>4500281741</v>
      </c>
      <c r="H1425" t="s">
        <v>3334</v>
      </c>
      <c r="I1425" t="s">
        <v>745</v>
      </c>
      <c r="J1425" t="s">
        <v>477</v>
      </c>
      <c r="K1425" s="1">
        <v>2156.1</v>
      </c>
      <c r="L1425" s="1">
        <v>2156.1</v>
      </c>
      <c r="M1425" t="str">
        <f>IFERROR(IF(VLOOKUP(LEFT(B1425,2),'Humanitarian codes'!$A$2:$A$10,1,FALSE)=LEFT(B1425,2),"Yes","Error"),"No")</f>
        <v>No</v>
      </c>
    </row>
    <row r="1426" spans="1:13" hidden="1" x14ac:dyDescent="0.25">
      <c r="A1426" t="s">
        <v>3331</v>
      </c>
      <c r="B1426" t="s">
        <v>1569</v>
      </c>
      <c r="C1426" t="s">
        <v>1570</v>
      </c>
      <c r="D1426" t="s">
        <v>543</v>
      </c>
      <c r="E1426" t="s">
        <v>159</v>
      </c>
      <c r="F1426" t="s">
        <v>3746</v>
      </c>
      <c r="G1426">
        <v>4500286589</v>
      </c>
      <c r="H1426" t="s">
        <v>3334</v>
      </c>
      <c r="I1426" t="s">
        <v>3747</v>
      </c>
      <c r="J1426" t="s">
        <v>159</v>
      </c>
      <c r="K1426" s="1">
        <v>20000</v>
      </c>
      <c r="L1426" s="1">
        <v>20000</v>
      </c>
      <c r="M1426" t="str">
        <f>IFERROR(IF(VLOOKUP(LEFT(B1426,2),'Humanitarian codes'!$A$2:$A$10,1,FALSE)=LEFT(B1426,2),"Yes","Error"),"No")</f>
        <v>No</v>
      </c>
    </row>
    <row r="1427" spans="1:13" hidden="1" x14ac:dyDescent="0.25">
      <c r="A1427" t="s">
        <v>3331</v>
      </c>
      <c r="B1427" t="s">
        <v>3748</v>
      </c>
      <c r="C1427" t="s">
        <v>3749</v>
      </c>
      <c r="D1427" t="s">
        <v>543</v>
      </c>
      <c r="E1427" t="s">
        <v>1453</v>
      </c>
      <c r="F1427" t="s">
        <v>3750</v>
      </c>
      <c r="G1427">
        <v>4500276909</v>
      </c>
      <c r="H1427" t="s">
        <v>3334</v>
      </c>
      <c r="I1427" t="s">
        <v>3751</v>
      </c>
      <c r="J1427" t="s">
        <v>1453</v>
      </c>
      <c r="K1427" s="1">
        <v>199196</v>
      </c>
      <c r="L1427" s="1">
        <v>199196</v>
      </c>
      <c r="M1427" t="str">
        <f>IFERROR(IF(VLOOKUP(LEFT(B1427,2),'Humanitarian codes'!$A$2:$A$10,1,FALSE)=LEFT(B1427,2),"Yes","Error"),"No")</f>
        <v>No</v>
      </c>
    </row>
    <row r="1428" spans="1:13" hidden="1" x14ac:dyDescent="0.25">
      <c r="A1428" t="s">
        <v>3331</v>
      </c>
      <c r="B1428" t="s">
        <v>1062</v>
      </c>
      <c r="C1428" t="s">
        <v>1063</v>
      </c>
      <c r="D1428" t="s">
        <v>543</v>
      </c>
      <c r="E1428" t="s">
        <v>523</v>
      </c>
      <c r="F1428" t="s">
        <v>2517</v>
      </c>
      <c r="G1428">
        <v>4500296485</v>
      </c>
      <c r="H1428" t="s">
        <v>3334</v>
      </c>
      <c r="I1428" t="s">
        <v>3223</v>
      </c>
      <c r="J1428" t="s">
        <v>523</v>
      </c>
      <c r="K1428" s="1">
        <v>69622.53</v>
      </c>
      <c r="L1428" s="1">
        <v>69622.53</v>
      </c>
      <c r="M1428" t="str">
        <f>IFERROR(IF(VLOOKUP(LEFT(B1428,2),'Humanitarian codes'!$A$2:$A$10,1,FALSE)=LEFT(B1428,2),"Yes","Error"),"No")</f>
        <v>No</v>
      </c>
    </row>
    <row r="1429" spans="1:13" hidden="1" x14ac:dyDescent="0.25">
      <c r="A1429" t="s">
        <v>3331</v>
      </c>
      <c r="B1429" t="s">
        <v>1062</v>
      </c>
      <c r="C1429" t="s">
        <v>1063</v>
      </c>
      <c r="D1429" t="s">
        <v>543</v>
      </c>
      <c r="E1429" t="s">
        <v>523</v>
      </c>
      <c r="F1429" t="s">
        <v>2517</v>
      </c>
      <c r="G1429">
        <v>4500296691</v>
      </c>
      <c r="H1429" t="s">
        <v>3334</v>
      </c>
      <c r="I1429" t="s">
        <v>3752</v>
      </c>
      <c r="J1429" t="s">
        <v>523</v>
      </c>
      <c r="K1429" s="1">
        <v>65839.839999999997</v>
      </c>
      <c r="L1429" s="1">
        <v>65839.839999999997</v>
      </c>
      <c r="M1429" t="str">
        <f>IFERROR(IF(VLOOKUP(LEFT(B1429,2),'Humanitarian codes'!$A$2:$A$10,1,FALSE)=LEFT(B1429,2),"Yes","Error"),"No")</f>
        <v>No</v>
      </c>
    </row>
    <row r="1430" spans="1:13" hidden="1" x14ac:dyDescent="0.25">
      <c r="A1430" t="s">
        <v>3331</v>
      </c>
      <c r="B1430" t="s">
        <v>1062</v>
      </c>
      <c r="C1430" t="s">
        <v>1063</v>
      </c>
      <c r="D1430" t="s">
        <v>543</v>
      </c>
      <c r="E1430" t="s">
        <v>523</v>
      </c>
      <c r="F1430" t="s">
        <v>2517</v>
      </c>
      <c r="G1430">
        <v>4500304207</v>
      </c>
      <c r="H1430" t="s">
        <v>3334</v>
      </c>
      <c r="I1430" t="s">
        <v>2678</v>
      </c>
      <c r="J1430" t="s">
        <v>523</v>
      </c>
      <c r="K1430" s="1">
        <v>35260.769999999997</v>
      </c>
      <c r="L1430" s="1">
        <v>35260.769999999997</v>
      </c>
      <c r="M1430" t="str">
        <f>IFERROR(IF(VLOOKUP(LEFT(B1430,2),'Humanitarian codes'!$A$2:$A$10,1,FALSE)=LEFT(B1430,2),"Yes","Error"),"No")</f>
        <v>No</v>
      </c>
    </row>
    <row r="1431" spans="1:13" hidden="1" x14ac:dyDescent="0.25">
      <c r="A1431" t="s">
        <v>3331</v>
      </c>
      <c r="B1431" t="s">
        <v>3224</v>
      </c>
      <c r="C1431" t="s">
        <v>3753</v>
      </c>
      <c r="D1431" t="s">
        <v>543</v>
      </c>
      <c r="E1431" t="s">
        <v>54</v>
      </c>
      <c r="F1431" t="s">
        <v>3569</v>
      </c>
      <c r="G1431">
        <v>4500277685</v>
      </c>
      <c r="H1431" t="s">
        <v>3334</v>
      </c>
      <c r="I1431" t="s">
        <v>280</v>
      </c>
      <c r="J1431" t="s">
        <v>54</v>
      </c>
      <c r="K1431" s="1">
        <v>75580.7</v>
      </c>
      <c r="L1431" s="1">
        <v>184343.16</v>
      </c>
      <c r="M1431" t="str">
        <f>IFERROR(IF(VLOOKUP(LEFT(B1431,2),'Humanitarian codes'!$A$2:$A$10,1,FALSE)=LEFT(B1431,2),"Yes","Error"),"No")</f>
        <v>No</v>
      </c>
    </row>
    <row r="1432" spans="1:13" hidden="1" x14ac:dyDescent="0.25">
      <c r="A1432" t="s">
        <v>3331</v>
      </c>
      <c r="B1432" t="s">
        <v>621</v>
      </c>
      <c r="C1432" t="s">
        <v>622</v>
      </c>
      <c r="D1432" t="s">
        <v>543</v>
      </c>
      <c r="E1432" t="s">
        <v>54</v>
      </c>
      <c r="F1432" t="s">
        <v>3754</v>
      </c>
      <c r="G1432">
        <v>4500277478</v>
      </c>
      <c r="H1432" t="s">
        <v>3334</v>
      </c>
      <c r="I1432" t="s">
        <v>789</v>
      </c>
      <c r="J1432" t="s">
        <v>54</v>
      </c>
      <c r="K1432" s="1">
        <v>49501.36</v>
      </c>
      <c r="L1432" s="1">
        <v>49501.36</v>
      </c>
      <c r="M1432" t="str">
        <f>IFERROR(IF(VLOOKUP(LEFT(B1432,2),'Humanitarian codes'!$A$2:$A$10,1,FALSE)=LEFT(B1432,2),"Yes","Error"),"No")</f>
        <v>No</v>
      </c>
    </row>
    <row r="1433" spans="1:13" hidden="1" x14ac:dyDescent="0.25">
      <c r="A1433" t="s">
        <v>3331</v>
      </c>
      <c r="B1433" t="s">
        <v>3755</v>
      </c>
      <c r="C1433" t="s">
        <v>3756</v>
      </c>
      <c r="D1433" t="s">
        <v>543</v>
      </c>
      <c r="E1433" t="s">
        <v>45</v>
      </c>
      <c r="F1433" t="s">
        <v>2357</v>
      </c>
      <c r="G1433">
        <v>4500289594</v>
      </c>
      <c r="H1433" t="s">
        <v>3334</v>
      </c>
      <c r="I1433" t="s">
        <v>2452</v>
      </c>
      <c r="J1433" t="s">
        <v>616</v>
      </c>
      <c r="K1433" s="1">
        <v>103229</v>
      </c>
      <c r="L1433" s="1">
        <v>103229</v>
      </c>
      <c r="M1433" t="str">
        <f>IFERROR(IF(VLOOKUP(LEFT(B1433,2),'Humanitarian codes'!$A$2:$A$10,1,FALSE)=LEFT(B1433,2),"Yes","Error"),"No")</f>
        <v>No</v>
      </c>
    </row>
    <row r="1434" spans="1:13" hidden="1" x14ac:dyDescent="0.25">
      <c r="A1434" t="s">
        <v>3331</v>
      </c>
      <c r="B1434" t="s">
        <v>3755</v>
      </c>
      <c r="C1434" t="s">
        <v>3756</v>
      </c>
      <c r="D1434" t="s">
        <v>543</v>
      </c>
      <c r="E1434" t="s">
        <v>45</v>
      </c>
      <c r="F1434" t="s">
        <v>2200</v>
      </c>
      <c r="G1434">
        <v>4500296481</v>
      </c>
      <c r="H1434" t="s">
        <v>3334</v>
      </c>
      <c r="I1434" t="s">
        <v>541</v>
      </c>
      <c r="J1434" t="s">
        <v>45</v>
      </c>
      <c r="K1434" s="1">
        <v>97915</v>
      </c>
      <c r="L1434" s="1">
        <v>97915</v>
      </c>
      <c r="M1434" t="str">
        <f>IFERROR(IF(VLOOKUP(LEFT(B1434,2),'Humanitarian codes'!$A$2:$A$10,1,FALSE)=LEFT(B1434,2),"Yes","Error"),"No")</f>
        <v>No</v>
      </c>
    </row>
    <row r="1435" spans="1:13" hidden="1" x14ac:dyDescent="0.25">
      <c r="A1435" t="s">
        <v>3331</v>
      </c>
      <c r="B1435" t="s">
        <v>2132</v>
      </c>
      <c r="C1435" t="s">
        <v>2133</v>
      </c>
      <c r="D1435" t="s">
        <v>543</v>
      </c>
      <c r="E1435" t="s">
        <v>25</v>
      </c>
      <c r="F1435" t="s">
        <v>2200</v>
      </c>
      <c r="G1435">
        <v>4500282708</v>
      </c>
      <c r="H1435" t="s">
        <v>3334</v>
      </c>
      <c r="I1435" t="s">
        <v>1876</v>
      </c>
      <c r="J1435" t="s">
        <v>25</v>
      </c>
      <c r="K1435" s="1">
        <v>50874.55</v>
      </c>
      <c r="L1435" s="1">
        <v>50874.55</v>
      </c>
      <c r="M1435" t="str">
        <f>IFERROR(IF(VLOOKUP(LEFT(B1435,2),'Humanitarian codes'!$A$2:$A$10,1,FALSE)=LEFT(B1435,2),"Yes","Error"),"No")</f>
        <v>No</v>
      </c>
    </row>
    <row r="1436" spans="1:13" hidden="1" x14ac:dyDescent="0.25">
      <c r="A1436" t="s">
        <v>3331</v>
      </c>
      <c r="B1436" t="s">
        <v>2134</v>
      </c>
      <c r="C1436" t="s">
        <v>2135</v>
      </c>
      <c r="D1436" t="s">
        <v>543</v>
      </c>
      <c r="E1436" t="s">
        <v>890</v>
      </c>
      <c r="F1436" t="s">
        <v>3757</v>
      </c>
      <c r="G1436">
        <v>4500299064</v>
      </c>
      <c r="H1436" t="s">
        <v>3334</v>
      </c>
      <c r="I1436" t="s">
        <v>892</v>
      </c>
      <c r="J1436" t="s">
        <v>890</v>
      </c>
      <c r="K1436" s="1">
        <v>15004</v>
      </c>
      <c r="L1436" s="1">
        <v>15004</v>
      </c>
      <c r="M1436" t="str">
        <f>IFERROR(IF(VLOOKUP(LEFT(B1436,2),'Humanitarian codes'!$A$2:$A$10,1,FALSE)=LEFT(B1436,2),"Yes","Error"),"No")</f>
        <v>No</v>
      </c>
    </row>
    <row r="1437" spans="1:13" hidden="1" x14ac:dyDescent="0.25">
      <c r="A1437" t="s">
        <v>3331</v>
      </c>
      <c r="B1437" t="s">
        <v>2134</v>
      </c>
      <c r="C1437" t="s">
        <v>2135</v>
      </c>
      <c r="D1437" t="s">
        <v>543</v>
      </c>
      <c r="E1437" t="s">
        <v>890</v>
      </c>
      <c r="F1437" t="s">
        <v>3758</v>
      </c>
      <c r="G1437">
        <v>4500299079</v>
      </c>
      <c r="H1437" t="s">
        <v>3334</v>
      </c>
      <c r="I1437" t="s">
        <v>2582</v>
      </c>
      <c r="J1437" t="s">
        <v>890</v>
      </c>
      <c r="K1437" s="1">
        <v>140020</v>
      </c>
      <c r="L1437" s="1">
        <v>140020</v>
      </c>
      <c r="M1437" t="str">
        <f>IFERROR(IF(VLOOKUP(LEFT(B1437,2),'Humanitarian codes'!$A$2:$A$10,1,FALSE)=LEFT(B1437,2),"Yes","Error"),"No")</f>
        <v>No</v>
      </c>
    </row>
    <row r="1438" spans="1:13" hidden="1" x14ac:dyDescent="0.25">
      <c r="A1438" t="s">
        <v>3331</v>
      </c>
      <c r="B1438" t="s">
        <v>2134</v>
      </c>
      <c r="C1438" t="s">
        <v>2135</v>
      </c>
      <c r="D1438" t="s">
        <v>543</v>
      </c>
      <c r="E1438" t="s">
        <v>890</v>
      </c>
      <c r="F1438" t="s">
        <v>2200</v>
      </c>
      <c r="G1438">
        <v>4500299207</v>
      </c>
      <c r="H1438" t="s">
        <v>3334</v>
      </c>
      <c r="I1438" t="s">
        <v>1420</v>
      </c>
      <c r="J1438" t="s">
        <v>890</v>
      </c>
      <c r="K1438" s="1">
        <v>18860</v>
      </c>
      <c r="L1438" s="1">
        <v>18860</v>
      </c>
      <c r="M1438" t="str">
        <f>IFERROR(IF(VLOOKUP(LEFT(B1438,2),'Humanitarian codes'!$A$2:$A$10,1,FALSE)=LEFT(B1438,2),"Yes","Error"),"No")</f>
        <v>No</v>
      </c>
    </row>
    <row r="1439" spans="1:13" hidden="1" x14ac:dyDescent="0.25">
      <c r="A1439" t="s">
        <v>3331</v>
      </c>
      <c r="B1439" t="s">
        <v>2134</v>
      </c>
      <c r="C1439" t="s">
        <v>2135</v>
      </c>
      <c r="D1439" t="s">
        <v>543</v>
      </c>
      <c r="E1439" t="s">
        <v>890</v>
      </c>
      <c r="F1439" t="s">
        <v>3759</v>
      </c>
      <c r="G1439">
        <v>4500301300</v>
      </c>
      <c r="H1439" t="s">
        <v>3334</v>
      </c>
      <c r="I1439" t="s">
        <v>1088</v>
      </c>
      <c r="J1439" t="s">
        <v>890</v>
      </c>
      <c r="K1439" s="1">
        <v>38000</v>
      </c>
      <c r="L1439" s="1">
        <v>38000</v>
      </c>
      <c r="M1439" t="str">
        <f>IFERROR(IF(VLOOKUP(LEFT(B1439,2),'Humanitarian codes'!$A$2:$A$10,1,FALSE)=LEFT(B1439,2),"Yes","Error"),"No")</f>
        <v>No</v>
      </c>
    </row>
    <row r="1440" spans="1:13" hidden="1" x14ac:dyDescent="0.25">
      <c r="A1440" t="s">
        <v>3331</v>
      </c>
      <c r="B1440" t="s">
        <v>1070</v>
      </c>
      <c r="C1440" t="s">
        <v>1071</v>
      </c>
      <c r="D1440" t="s">
        <v>543</v>
      </c>
      <c r="E1440" t="s">
        <v>54</v>
      </c>
      <c r="F1440" t="s">
        <v>3760</v>
      </c>
      <c r="G1440">
        <v>4500277436</v>
      </c>
      <c r="H1440" t="s">
        <v>3334</v>
      </c>
      <c r="I1440" t="s">
        <v>2893</v>
      </c>
      <c r="J1440" t="s">
        <v>54</v>
      </c>
      <c r="K1440" s="1">
        <v>27383.31</v>
      </c>
      <c r="L1440" s="1">
        <v>109533.24</v>
      </c>
      <c r="M1440" t="str">
        <f>IFERROR(IF(VLOOKUP(LEFT(B1440,2),'Humanitarian codes'!$A$2:$A$10,1,FALSE)=LEFT(B1440,2),"Yes","Error"),"No")</f>
        <v>No</v>
      </c>
    </row>
    <row r="1441" spans="1:13" hidden="1" x14ac:dyDescent="0.25">
      <c r="A1441" t="s">
        <v>3331</v>
      </c>
      <c r="B1441" t="s">
        <v>1070</v>
      </c>
      <c r="C1441" t="s">
        <v>1071</v>
      </c>
      <c r="D1441" t="s">
        <v>543</v>
      </c>
      <c r="E1441" t="s">
        <v>54</v>
      </c>
      <c r="F1441" t="s">
        <v>3761</v>
      </c>
      <c r="G1441">
        <v>4500277490</v>
      </c>
      <c r="H1441" t="s">
        <v>3334</v>
      </c>
      <c r="I1441" t="s">
        <v>1858</v>
      </c>
      <c r="J1441" t="s">
        <v>54</v>
      </c>
      <c r="K1441" s="1">
        <v>25000</v>
      </c>
      <c r="L1441" s="1">
        <v>100000</v>
      </c>
      <c r="M1441" t="str">
        <f>IFERROR(IF(VLOOKUP(LEFT(B1441,2),'Humanitarian codes'!$A$2:$A$10,1,FALSE)=LEFT(B1441,2),"Yes","Error"),"No")</f>
        <v>No</v>
      </c>
    </row>
    <row r="1442" spans="1:13" hidden="1" x14ac:dyDescent="0.25">
      <c r="A1442" t="s">
        <v>3331</v>
      </c>
      <c r="B1442" t="s">
        <v>1070</v>
      </c>
      <c r="C1442" t="s">
        <v>1071</v>
      </c>
      <c r="D1442" t="s">
        <v>543</v>
      </c>
      <c r="E1442" t="s">
        <v>54</v>
      </c>
      <c r="F1442" t="s">
        <v>3762</v>
      </c>
      <c r="G1442">
        <v>4500277502</v>
      </c>
      <c r="H1442" t="s">
        <v>3334</v>
      </c>
      <c r="I1442" t="s">
        <v>3251</v>
      </c>
      <c r="J1442" t="s">
        <v>54</v>
      </c>
      <c r="K1442" s="1">
        <v>25187.5</v>
      </c>
      <c r="L1442" s="1">
        <v>100750</v>
      </c>
      <c r="M1442" t="str">
        <f>IFERROR(IF(VLOOKUP(LEFT(B1442,2),'Humanitarian codes'!$A$2:$A$10,1,FALSE)=LEFT(B1442,2),"Yes","Error"),"No")</f>
        <v>No</v>
      </c>
    </row>
    <row r="1443" spans="1:13" hidden="1" x14ac:dyDescent="0.25">
      <c r="A1443" t="s">
        <v>3331</v>
      </c>
      <c r="B1443" t="s">
        <v>1070</v>
      </c>
      <c r="C1443" t="s">
        <v>1071</v>
      </c>
      <c r="D1443" t="s">
        <v>543</v>
      </c>
      <c r="E1443" t="s">
        <v>54</v>
      </c>
      <c r="F1443" t="s">
        <v>3763</v>
      </c>
      <c r="G1443">
        <v>4500277509</v>
      </c>
      <c r="H1443" t="s">
        <v>3334</v>
      </c>
      <c r="I1443" t="s">
        <v>278</v>
      </c>
      <c r="J1443" t="s">
        <v>54</v>
      </c>
      <c r="K1443" s="1">
        <v>26993.25</v>
      </c>
      <c r="L1443" s="1">
        <v>107972.99</v>
      </c>
      <c r="M1443" t="str">
        <f>IFERROR(IF(VLOOKUP(LEFT(B1443,2),'Humanitarian codes'!$A$2:$A$10,1,FALSE)=LEFT(B1443,2),"Yes","Error"),"No")</f>
        <v>No</v>
      </c>
    </row>
    <row r="1444" spans="1:13" hidden="1" x14ac:dyDescent="0.25">
      <c r="A1444" t="s">
        <v>3331</v>
      </c>
      <c r="B1444" t="s">
        <v>1070</v>
      </c>
      <c r="C1444" t="s">
        <v>1071</v>
      </c>
      <c r="D1444" t="s">
        <v>543</v>
      </c>
      <c r="E1444" t="s">
        <v>54</v>
      </c>
      <c r="F1444" t="s">
        <v>3568</v>
      </c>
      <c r="G1444">
        <v>4500277523</v>
      </c>
      <c r="H1444" t="s">
        <v>3334</v>
      </c>
      <c r="I1444" t="s">
        <v>274</v>
      </c>
      <c r="J1444" t="s">
        <v>54</v>
      </c>
      <c r="K1444" s="1">
        <v>37333.449999999997</v>
      </c>
      <c r="L1444" s="1">
        <v>106667</v>
      </c>
      <c r="M1444" t="str">
        <f>IFERROR(IF(VLOOKUP(LEFT(B1444,2),'Humanitarian codes'!$A$2:$A$10,1,FALSE)=LEFT(B1444,2),"Yes","Error"),"No")</f>
        <v>No</v>
      </c>
    </row>
    <row r="1445" spans="1:13" hidden="1" x14ac:dyDescent="0.25">
      <c r="A1445" t="s">
        <v>3331</v>
      </c>
      <c r="B1445" t="s">
        <v>1070</v>
      </c>
      <c r="C1445" t="s">
        <v>1071</v>
      </c>
      <c r="D1445" t="s">
        <v>543</v>
      </c>
      <c r="E1445" t="s">
        <v>54</v>
      </c>
      <c r="F1445" t="s">
        <v>3764</v>
      </c>
      <c r="G1445">
        <v>4500277540</v>
      </c>
      <c r="H1445" t="s">
        <v>3334</v>
      </c>
      <c r="I1445" t="s">
        <v>3253</v>
      </c>
      <c r="J1445" t="s">
        <v>54</v>
      </c>
      <c r="K1445" s="1">
        <v>25002</v>
      </c>
      <c r="L1445" s="1">
        <v>100007.98</v>
      </c>
      <c r="M1445" t="str">
        <f>IFERROR(IF(VLOOKUP(LEFT(B1445,2),'Humanitarian codes'!$A$2:$A$10,1,FALSE)=LEFT(B1445,2),"Yes","Error"),"No")</f>
        <v>No</v>
      </c>
    </row>
    <row r="1446" spans="1:13" hidden="1" x14ac:dyDescent="0.25">
      <c r="A1446" t="s">
        <v>3331</v>
      </c>
      <c r="B1446" t="s">
        <v>1070</v>
      </c>
      <c r="C1446" t="s">
        <v>1071</v>
      </c>
      <c r="D1446" t="s">
        <v>543</v>
      </c>
      <c r="E1446" t="s">
        <v>54</v>
      </c>
      <c r="F1446" t="s">
        <v>3569</v>
      </c>
      <c r="G1446">
        <v>4500277685</v>
      </c>
      <c r="H1446" t="s">
        <v>3334</v>
      </c>
      <c r="I1446" t="s">
        <v>280</v>
      </c>
      <c r="J1446" t="s">
        <v>54</v>
      </c>
      <c r="K1446" s="1">
        <v>25808.04</v>
      </c>
      <c r="L1446" s="1">
        <v>184343.16</v>
      </c>
      <c r="M1446" t="str">
        <f>IFERROR(IF(VLOOKUP(LEFT(B1446,2),'Humanitarian codes'!$A$2:$A$10,1,FALSE)=LEFT(B1446,2),"Yes","Error"),"No")</f>
        <v>No</v>
      </c>
    </row>
    <row r="1447" spans="1:13" hidden="1" x14ac:dyDescent="0.25">
      <c r="A1447" t="s">
        <v>3331</v>
      </c>
      <c r="B1447" t="s">
        <v>1070</v>
      </c>
      <c r="C1447" t="s">
        <v>1071</v>
      </c>
      <c r="D1447" t="s">
        <v>543</v>
      </c>
      <c r="E1447" t="s">
        <v>54</v>
      </c>
      <c r="F1447" t="s">
        <v>3593</v>
      </c>
      <c r="G1447">
        <v>4500277689</v>
      </c>
      <c r="H1447" t="s">
        <v>3334</v>
      </c>
      <c r="I1447" t="s">
        <v>789</v>
      </c>
      <c r="J1447" t="s">
        <v>54</v>
      </c>
      <c r="K1447" s="1">
        <v>44752.37</v>
      </c>
      <c r="L1447" s="1">
        <v>149174.54999999999</v>
      </c>
      <c r="M1447" t="str">
        <f>IFERROR(IF(VLOOKUP(LEFT(B1447,2),'Humanitarian codes'!$A$2:$A$10,1,FALSE)=LEFT(B1447,2),"Yes","Error"),"No")</f>
        <v>No</v>
      </c>
    </row>
    <row r="1448" spans="1:13" hidden="1" x14ac:dyDescent="0.25">
      <c r="A1448" t="s">
        <v>3331</v>
      </c>
      <c r="B1448" t="s">
        <v>1070</v>
      </c>
      <c r="C1448" t="s">
        <v>1071</v>
      </c>
      <c r="D1448" t="s">
        <v>543</v>
      </c>
      <c r="E1448" t="s">
        <v>54</v>
      </c>
      <c r="F1448" t="s">
        <v>3570</v>
      </c>
      <c r="G1448">
        <v>4500278928</v>
      </c>
      <c r="H1448" t="s">
        <v>3334</v>
      </c>
      <c r="I1448" t="s">
        <v>271</v>
      </c>
      <c r="J1448" t="s">
        <v>54</v>
      </c>
      <c r="K1448" s="1">
        <v>38944.5</v>
      </c>
      <c r="L1448" s="1">
        <v>111270</v>
      </c>
      <c r="M1448" t="str">
        <f>IFERROR(IF(VLOOKUP(LEFT(B1448,2),'Humanitarian codes'!$A$2:$A$10,1,FALSE)=LEFT(B1448,2),"Yes","Error"),"No")</f>
        <v>No</v>
      </c>
    </row>
    <row r="1449" spans="1:13" hidden="1" x14ac:dyDescent="0.25">
      <c r="A1449" t="s">
        <v>3331</v>
      </c>
      <c r="B1449" t="s">
        <v>1070</v>
      </c>
      <c r="C1449" t="s">
        <v>1071</v>
      </c>
      <c r="D1449" t="s">
        <v>543</v>
      </c>
      <c r="E1449" t="s">
        <v>54</v>
      </c>
      <c r="F1449" t="s">
        <v>3588</v>
      </c>
      <c r="G1449">
        <v>4500279537</v>
      </c>
      <c r="H1449" t="s">
        <v>3334</v>
      </c>
      <c r="I1449" t="s">
        <v>790</v>
      </c>
      <c r="J1449" t="s">
        <v>54</v>
      </c>
      <c r="K1449" s="1">
        <v>29852.9</v>
      </c>
      <c r="L1449" s="1">
        <v>149264.46</v>
      </c>
      <c r="M1449" t="str">
        <f>IFERROR(IF(VLOOKUP(LEFT(B1449,2),'Humanitarian codes'!$A$2:$A$10,1,FALSE)=LEFT(B1449,2),"Yes","Error"),"No")</f>
        <v>No</v>
      </c>
    </row>
    <row r="1450" spans="1:13" hidden="1" x14ac:dyDescent="0.25">
      <c r="A1450" t="s">
        <v>3331</v>
      </c>
      <c r="B1450" t="s">
        <v>1070</v>
      </c>
      <c r="C1450" t="s">
        <v>1071</v>
      </c>
      <c r="D1450" t="s">
        <v>543</v>
      </c>
      <c r="E1450" t="s">
        <v>54</v>
      </c>
      <c r="F1450" t="s">
        <v>3391</v>
      </c>
      <c r="G1450">
        <v>4500283697</v>
      </c>
      <c r="H1450" t="s">
        <v>3334</v>
      </c>
      <c r="I1450" t="s">
        <v>2878</v>
      </c>
      <c r="J1450" t="s">
        <v>54</v>
      </c>
      <c r="K1450" s="1">
        <v>108853.89</v>
      </c>
      <c r="L1450" s="1">
        <v>181423.15</v>
      </c>
      <c r="M1450" t="str">
        <f>IFERROR(IF(VLOOKUP(LEFT(B1450,2),'Humanitarian codes'!$A$2:$A$10,1,FALSE)=LEFT(B1450,2),"Yes","Error"),"No")</f>
        <v>No</v>
      </c>
    </row>
    <row r="1451" spans="1:13" hidden="1" x14ac:dyDescent="0.25">
      <c r="A1451" t="s">
        <v>3331</v>
      </c>
      <c r="B1451" t="s">
        <v>1070</v>
      </c>
      <c r="C1451" t="s">
        <v>1071</v>
      </c>
      <c r="D1451" t="s">
        <v>543</v>
      </c>
      <c r="E1451" t="s">
        <v>54</v>
      </c>
      <c r="F1451" t="s">
        <v>3392</v>
      </c>
      <c r="G1451">
        <v>4500292126</v>
      </c>
      <c r="H1451" t="s">
        <v>3334</v>
      </c>
      <c r="I1451" t="s">
        <v>3393</v>
      </c>
      <c r="J1451" t="s">
        <v>54</v>
      </c>
      <c r="K1451" s="1">
        <v>35214.6</v>
      </c>
      <c r="L1451" s="1">
        <v>140858.39000000001</v>
      </c>
      <c r="M1451" t="str">
        <f>IFERROR(IF(VLOOKUP(LEFT(B1451,2),'Humanitarian codes'!$A$2:$A$10,1,FALSE)=LEFT(B1451,2),"Yes","Error"),"No")</f>
        <v>No</v>
      </c>
    </row>
    <row r="1452" spans="1:13" hidden="1" x14ac:dyDescent="0.25">
      <c r="A1452" t="s">
        <v>3331</v>
      </c>
      <c r="B1452" t="s">
        <v>1070</v>
      </c>
      <c r="C1452" t="s">
        <v>1071</v>
      </c>
      <c r="D1452" t="s">
        <v>543</v>
      </c>
      <c r="E1452" t="s">
        <v>54</v>
      </c>
      <c r="F1452" t="s">
        <v>3765</v>
      </c>
      <c r="G1452">
        <v>4500294326</v>
      </c>
      <c r="H1452" t="s">
        <v>3334</v>
      </c>
      <c r="I1452" t="s">
        <v>3766</v>
      </c>
      <c r="J1452" t="s">
        <v>54</v>
      </c>
      <c r="K1452" s="1">
        <v>199952.96</v>
      </c>
      <c r="L1452" s="1">
        <v>199952.96</v>
      </c>
      <c r="M1452" t="str">
        <f>IFERROR(IF(VLOOKUP(LEFT(B1452,2),'Humanitarian codes'!$A$2:$A$10,1,FALSE)=LEFT(B1452,2),"Yes","Error"),"No")</f>
        <v>No</v>
      </c>
    </row>
    <row r="1453" spans="1:13" x14ac:dyDescent="0.25">
      <c r="A1453" t="s">
        <v>3331</v>
      </c>
      <c r="B1453" t="s">
        <v>3767</v>
      </c>
      <c r="C1453" t="s">
        <v>3768</v>
      </c>
      <c r="D1453" t="s">
        <v>30</v>
      </c>
      <c r="E1453" t="s">
        <v>909</v>
      </c>
      <c r="F1453" t="s">
        <v>2200</v>
      </c>
      <c r="G1453">
        <v>4500293970</v>
      </c>
      <c r="H1453" t="s">
        <v>3334</v>
      </c>
      <c r="I1453" t="s">
        <v>3769</v>
      </c>
      <c r="J1453" t="s">
        <v>909</v>
      </c>
      <c r="K1453" s="1">
        <v>26703.22</v>
      </c>
      <c r="L1453" s="1">
        <v>26703.22</v>
      </c>
      <c r="M1453" t="str">
        <f>IFERROR(IF(VLOOKUP(LEFT(B1453,2),'Humanitarian codes'!$A$2:$A$10,1,FALSE)=LEFT(B1453,2),"Yes","Error"),"No")</f>
        <v>Yes</v>
      </c>
    </row>
    <row r="1454" spans="1:13" x14ac:dyDescent="0.25">
      <c r="A1454" t="s">
        <v>3331</v>
      </c>
      <c r="B1454" t="s">
        <v>3767</v>
      </c>
      <c r="C1454" t="s">
        <v>3768</v>
      </c>
      <c r="D1454" t="s">
        <v>30</v>
      </c>
      <c r="E1454" t="s">
        <v>909</v>
      </c>
      <c r="F1454" t="s">
        <v>2200</v>
      </c>
      <c r="G1454">
        <v>4500301224</v>
      </c>
      <c r="H1454" t="s">
        <v>3334</v>
      </c>
      <c r="I1454" t="s">
        <v>1332</v>
      </c>
      <c r="J1454" t="s">
        <v>909</v>
      </c>
      <c r="K1454" s="1">
        <v>33706.14</v>
      </c>
      <c r="L1454" s="1">
        <v>33706.14</v>
      </c>
      <c r="M1454" t="str">
        <f>IFERROR(IF(VLOOKUP(LEFT(B1454,2),'Humanitarian codes'!$A$2:$A$10,1,FALSE)=LEFT(B1454,2),"Yes","Error"),"No")</f>
        <v>Yes</v>
      </c>
    </row>
    <row r="1455" spans="1:13" x14ac:dyDescent="0.25">
      <c r="A1455" t="s">
        <v>3331</v>
      </c>
      <c r="B1455" t="s">
        <v>3767</v>
      </c>
      <c r="C1455" t="s">
        <v>3768</v>
      </c>
      <c r="D1455" t="s">
        <v>30</v>
      </c>
      <c r="E1455" t="s">
        <v>911</v>
      </c>
      <c r="F1455" t="s">
        <v>3490</v>
      </c>
      <c r="G1455">
        <v>4500288549</v>
      </c>
      <c r="H1455" t="s">
        <v>3334</v>
      </c>
      <c r="I1455" t="s">
        <v>3491</v>
      </c>
      <c r="J1455" t="s">
        <v>911</v>
      </c>
      <c r="K1455" s="1">
        <v>64956.43</v>
      </c>
      <c r="L1455" s="1">
        <v>364923.75</v>
      </c>
      <c r="M1455" t="str">
        <f>IFERROR(IF(VLOOKUP(LEFT(B1455,2),'Humanitarian codes'!$A$2:$A$10,1,FALSE)=LEFT(B1455,2),"Yes","Error"),"No")</f>
        <v>Yes</v>
      </c>
    </row>
    <row r="1456" spans="1:13" hidden="1" x14ac:dyDescent="0.25">
      <c r="A1456" t="s">
        <v>3331</v>
      </c>
      <c r="B1456" t="s">
        <v>1605</v>
      </c>
      <c r="C1456" t="s">
        <v>1606</v>
      </c>
      <c r="D1456" t="s">
        <v>30</v>
      </c>
      <c r="E1456" t="s">
        <v>155</v>
      </c>
      <c r="F1456" t="s">
        <v>2517</v>
      </c>
      <c r="G1456">
        <v>4500289338</v>
      </c>
      <c r="H1456" t="s">
        <v>3334</v>
      </c>
      <c r="I1456" t="s">
        <v>3770</v>
      </c>
      <c r="J1456" t="s">
        <v>155</v>
      </c>
      <c r="K1456" s="1">
        <v>9711.9599999999991</v>
      </c>
      <c r="L1456" s="1">
        <v>9711.9599999999991</v>
      </c>
      <c r="M1456" t="str">
        <f>IFERROR(IF(VLOOKUP(LEFT(B1456,2),'Humanitarian codes'!$A$2:$A$10,1,FALSE)=LEFT(B1456,2),"Yes","Error"),"No")</f>
        <v>No</v>
      </c>
    </row>
    <row r="1457" spans="1:13" hidden="1" x14ac:dyDescent="0.25">
      <c r="A1457" t="s">
        <v>3331</v>
      </c>
      <c r="B1457" t="s">
        <v>3771</v>
      </c>
      <c r="C1457" t="s">
        <v>3772</v>
      </c>
      <c r="D1457" t="s">
        <v>543</v>
      </c>
      <c r="E1457" t="s">
        <v>20</v>
      </c>
      <c r="F1457" t="s">
        <v>3773</v>
      </c>
      <c r="G1457">
        <v>4500291518</v>
      </c>
      <c r="H1457" t="s">
        <v>3334</v>
      </c>
      <c r="I1457" t="s">
        <v>1883</v>
      </c>
      <c r="J1457" t="s">
        <v>20</v>
      </c>
      <c r="K1457" s="1">
        <v>29055.62</v>
      </c>
      <c r="L1457" s="1">
        <v>29055.62</v>
      </c>
      <c r="M1457" t="str">
        <f>IFERROR(IF(VLOOKUP(LEFT(B1457,2),'Humanitarian codes'!$A$2:$A$10,1,FALSE)=LEFT(B1457,2),"Yes","Error"),"No")</f>
        <v>No</v>
      </c>
    </row>
    <row r="1458" spans="1:13" hidden="1" x14ac:dyDescent="0.25">
      <c r="A1458" t="s">
        <v>3331</v>
      </c>
      <c r="B1458" t="s">
        <v>3771</v>
      </c>
      <c r="C1458" t="s">
        <v>3772</v>
      </c>
      <c r="D1458" t="s">
        <v>543</v>
      </c>
      <c r="E1458" t="s">
        <v>20</v>
      </c>
      <c r="F1458" t="s">
        <v>3774</v>
      </c>
      <c r="G1458">
        <v>4500294814</v>
      </c>
      <c r="H1458" t="s">
        <v>3334</v>
      </c>
      <c r="I1458" t="s">
        <v>1883</v>
      </c>
      <c r="J1458" t="s">
        <v>20</v>
      </c>
      <c r="K1458" s="1">
        <v>16584.8</v>
      </c>
      <c r="L1458" s="1">
        <v>16584.8</v>
      </c>
      <c r="M1458" t="str">
        <f>IFERROR(IF(VLOOKUP(LEFT(B1458,2),'Humanitarian codes'!$A$2:$A$10,1,FALSE)=LEFT(B1458,2),"Yes","Error"),"No")</f>
        <v>No</v>
      </c>
    </row>
    <row r="1459" spans="1:13" hidden="1" x14ac:dyDescent="0.25">
      <c r="A1459" t="s">
        <v>3331</v>
      </c>
      <c r="B1459" t="s">
        <v>3771</v>
      </c>
      <c r="C1459" t="s">
        <v>3772</v>
      </c>
      <c r="D1459" t="s">
        <v>543</v>
      </c>
      <c r="E1459" t="s">
        <v>20</v>
      </c>
      <c r="F1459" t="s">
        <v>3775</v>
      </c>
      <c r="G1459">
        <v>4500296539</v>
      </c>
      <c r="H1459" t="s">
        <v>3334</v>
      </c>
      <c r="I1459" t="s">
        <v>1883</v>
      </c>
      <c r="J1459" t="s">
        <v>20</v>
      </c>
      <c r="K1459" s="1">
        <v>16584.8</v>
      </c>
      <c r="L1459" s="1">
        <v>16584.8</v>
      </c>
      <c r="M1459" t="str">
        <f>IFERROR(IF(VLOOKUP(LEFT(B1459,2),'Humanitarian codes'!$A$2:$A$10,1,FALSE)=LEFT(B1459,2),"Yes","Error"),"No")</f>
        <v>No</v>
      </c>
    </row>
    <row r="1460" spans="1:13" hidden="1" x14ac:dyDescent="0.25">
      <c r="A1460" t="s">
        <v>3331</v>
      </c>
      <c r="B1460" t="s">
        <v>671</v>
      </c>
      <c r="C1460" t="s">
        <v>672</v>
      </c>
      <c r="D1460" t="s">
        <v>543</v>
      </c>
      <c r="E1460" t="s">
        <v>11</v>
      </c>
      <c r="F1460" t="s">
        <v>2200</v>
      </c>
      <c r="G1460">
        <v>4500279235</v>
      </c>
      <c r="H1460" t="s">
        <v>3334</v>
      </c>
      <c r="I1460" t="s">
        <v>3776</v>
      </c>
      <c r="J1460" t="s">
        <v>11</v>
      </c>
      <c r="K1460" s="1">
        <v>100000</v>
      </c>
      <c r="L1460" s="1">
        <v>100000</v>
      </c>
      <c r="M1460" t="str">
        <f>IFERROR(IF(VLOOKUP(LEFT(B1460,2),'Humanitarian codes'!$A$2:$A$10,1,FALSE)=LEFT(B1460,2),"Yes","Error"),"No")</f>
        <v>No</v>
      </c>
    </row>
    <row r="1461" spans="1:13" hidden="1" x14ac:dyDescent="0.25">
      <c r="A1461" t="s">
        <v>3331</v>
      </c>
      <c r="B1461" t="s">
        <v>3777</v>
      </c>
      <c r="C1461" t="s">
        <v>3778</v>
      </c>
      <c r="D1461" t="s">
        <v>543</v>
      </c>
      <c r="E1461" t="s">
        <v>594</v>
      </c>
      <c r="F1461" t="s">
        <v>3779</v>
      </c>
      <c r="G1461">
        <v>4500282060</v>
      </c>
      <c r="H1461" t="s">
        <v>3334</v>
      </c>
      <c r="I1461" t="s">
        <v>3780</v>
      </c>
      <c r="J1461" t="s">
        <v>594</v>
      </c>
      <c r="K1461" s="1">
        <v>17954.93</v>
      </c>
      <c r="L1461" s="1">
        <v>17954.93</v>
      </c>
      <c r="M1461" t="str">
        <f>IFERROR(IF(VLOOKUP(LEFT(B1461,2),'Humanitarian codes'!$A$2:$A$10,1,FALSE)=LEFT(B1461,2),"Yes","Error"),"No")</f>
        <v>No</v>
      </c>
    </row>
    <row r="1462" spans="1:13" hidden="1" x14ac:dyDescent="0.25">
      <c r="A1462" t="s">
        <v>3331</v>
      </c>
      <c r="B1462" t="s">
        <v>3781</v>
      </c>
      <c r="C1462" t="s">
        <v>3782</v>
      </c>
      <c r="D1462" t="s">
        <v>543</v>
      </c>
      <c r="E1462" t="s">
        <v>45</v>
      </c>
      <c r="F1462" t="s">
        <v>2200</v>
      </c>
      <c r="G1462">
        <v>4500282688</v>
      </c>
      <c r="H1462" t="s">
        <v>3334</v>
      </c>
      <c r="I1462" t="s">
        <v>653</v>
      </c>
      <c r="J1462" t="s">
        <v>45</v>
      </c>
      <c r="K1462" s="1">
        <v>109708</v>
      </c>
      <c r="L1462" s="1">
        <v>109708</v>
      </c>
      <c r="M1462" t="str">
        <f>IFERROR(IF(VLOOKUP(LEFT(B1462,2),'Humanitarian codes'!$A$2:$A$10,1,FALSE)=LEFT(B1462,2),"Yes","Error"),"No")</f>
        <v>No</v>
      </c>
    </row>
    <row r="1463" spans="1:13" x14ac:dyDescent="0.25">
      <c r="A1463" t="s">
        <v>3331</v>
      </c>
      <c r="B1463" t="s">
        <v>3284</v>
      </c>
      <c r="C1463" t="s">
        <v>3783</v>
      </c>
      <c r="D1463" t="s">
        <v>30</v>
      </c>
      <c r="E1463" t="s">
        <v>320</v>
      </c>
      <c r="F1463" t="s">
        <v>3784</v>
      </c>
      <c r="G1463">
        <v>4500290981</v>
      </c>
      <c r="H1463" t="s">
        <v>3334</v>
      </c>
      <c r="I1463" t="s">
        <v>3286</v>
      </c>
      <c r="J1463" t="s">
        <v>320</v>
      </c>
      <c r="K1463" s="1">
        <v>8701</v>
      </c>
      <c r="L1463" s="1">
        <v>8701</v>
      </c>
      <c r="M1463" t="str">
        <f>IFERROR(IF(VLOOKUP(LEFT(B1463,2),'Humanitarian codes'!$A$2:$A$10,1,FALSE)=LEFT(B1463,2),"Yes","Error"),"No")</f>
        <v>Yes</v>
      </c>
    </row>
    <row r="1464" spans="1:13" x14ac:dyDescent="0.25">
      <c r="A1464" t="s">
        <v>3331</v>
      </c>
      <c r="B1464" t="s">
        <v>3284</v>
      </c>
      <c r="C1464" t="s">
        <v>3783</v>
      </c>
      <c r="D1464" t="s">
        <v>30</v>
      </c>
      <c r="E1464" t="s">
        <v>320</v>
      </c>
      <c r="F1464" t="s">
        <v>3785</v>
      </c>
      <c r="G1464">
        <v>4500296520</v>
      </c>
      <c r="H1464" t="s">
        <v>3334</v>
      </c>
      <c r="I1464" t="s">
        <v>2432</v>
      </c>
      <c r="J1464" t="s">
        <v>320</v>
      </c>
      <c r="K1464" s="1">
        <v>17700</v>
      </c>
      <c r="L1464" s="1">
        <v>17700</v>
      </c>
      <c r="M1464" t="str">
        <f>IFERROR(IF(VLOOKUP(LEFT(B1464,2),'Humanitarian codes'!$A$2:$A$10,1,FALSE)=LEFT(B1464,2),"Yes","Error"),"No")</f>
        <v>Yes</v>
      </c>
    </row>
    <row r="1465" spans="1:13" x14ac:dyDescent="0.25">
      <c r="A1465" t="s">
        <v>3331</v>
      </c>
      <c r="B1465" t="s">
        <v>3284</v>
      </c>
      <c r="C1465" t="s">
        <v>3783</v>
      </c>
      <c r="D1465" t="s">
        <v>30</v>
      </c>
      <c r="E1465" t="s">
        <v>320</v>
      </c>
      <c r="F1465" t="s">
        <v>3786</v>
      </c>
      <c r="G1465">
        <v>4500298080</v>
      </c>
      <c r="H1465" t="s">
        <v>3334</v>
      </c>
      <c r="I1465" t="s">
        <v>3787</v>
      </c>
      <c r="J1465" t="s">
        <v>320</v>
      </c>
      <c r="K1465" s="1">
        <v>1939.6</v>
      </c>
      <c r="L1465" s="1">
        <v>1939.6</v>
      </c>
      <c r="M1465" t="str">
        <f>IFERROR(IF(VLOOKUP(LEFT(B1465,2),'Humanitarian codes'!$A$2:$A$10,1,FALSE)=LEFT(B1465,2),"Yes","Error"),"No")</f>
        <v>Yes</v>
      </c>
    </row>
    <row r="1466" spans="1:13" x14ac:dyDescent="0.25">
      <c r="A1466" t="s">
        <v>3331</v>
      </c>
      <c r="B1466" t="s">
        <v>3284</v>
      </c>
      <c r="C1466" t="s">
        <v>3783</v>
      </c>
      <c r="D1466" t="s">
        <v>30</v>
      </c>
      <c r="E1466" t="s">
        <v>320</v>
      </c>
      <c r="F1466" t="s">
        <v>3788</v>
      </c>
      <c r="G1466">
        <v>4500298083</v>
      </c>
      <c r="H1466" t="s">
        <v>3334</v>
      </c>
      <c r="I1466" t="s">
        <v>3787</v>
      </c>
      <c r="J1466" t="s">
        <v>320</v>
      </c>
      <c r="K1466" s="1">
        <v>4223.3999999999996</v>
      </c>
      <c r="L1466" s="1">
        <v>4223.3999999999996</v>
      </c>
      <c r="M1466" t="str">
        <f>IFERROR(IF(VLOOKUP(LEFT(B1466,2),'Humanitarian codes'!$A$2:$A$10,1,FALSE)=LEFT(B1466,2),"Yes","Error"),"No")</f>
        <v>Yes</v>
      </c>
    </row>
    <row r="1467" spans="1:13" x14ac:dyDescent="0.25">
      <c r="A1467" t="s">
        <v>3331</v>
      </c>
      <c r="B1467" t="s">
        <v>2736</v>
      </c>
      <c r="C1467" t="s">
        <v>2737</v>
      </c>
      <c r="D1467" t="s">
        <v>30</v>
      </c>
      <c r="E1467" t="s">
        <v>54</v>
      </c>
      <c r="F1467" t="s">
        <v>3578</v>
      </c>
      <c r="G1467">
        <v>4500285167</v>
      </c>
      <c r="H1467" t="s">
        <v>3334</v>
      </c>
      <c r="I1467" t="s">
        <v>3579</v>
      </c>
      <c r="J1467" t="s">
        <v>54</v>
      </c>
      <c r="K1467" s="1">
        <v>159468.26999999999</v>
      </c>
      <c r="L1467" s="1">
        <v>531562.09</v>
      </c>
      <c r="M1467" t="str">
        <f>IFERROR(IF(VLOOKUP(LEFT(B1467,2),'Humanitarian codes'!$A$2:$A$10,1,FALSE)=LEFT(B1467,2),"Yes","Error"),"No")</f>
        <v>Yes</v>
      </c>
    </row>
    <row r="1468" spans="1:13" x14ac:dyDescent="0.25">
      <c r="A1468" t="s">
        <v>3331</v>
      </c>
      <c r="B1468" t="s">
        <v>2736</v>
      </c>
      <c r="C1468" t="s">
        <v>2737</v>
      </c>
      <c r="D1468" t="s">
        <v>30</v>
      </c>
      <c r="E1468" t="s">
        <v>54</v>
      </c>
      <c r="F1468" t="s">
        <v>3789</v>
      </c>
      <c r="G1468">
        <v>4500286204</v>
      </c>
      <c r="H1468" t="s">
        <v>3334</v>
      </c>
      <c r="I1468" t="s">
        <v>3790</v>
      </c>
      <c r="J1468" t="s">
        <v>54</v>
      </c>
      <c r="K1468" s="1">
        <v>10333.6</v>
      </c>
      <c r="L1468" s="1">
        <v>10333.6</v>
      </c>
      <c r="M1468" t="str">
        <f>IFERROR(IF(VLOOKUP(LEFT(B1468,2),'Humanitarian codes'!$A$2:$A$10,1,FALSE)=LEFT(B1468,2),"Yes","Error"),"No")</f>
        <v>Yes</v>
      </c>
    </row>
    <row r="1469" spans="1:13" x14ac:dyDescent="0.25">
      <c r="A1469" t="s">
        <v>3331</v>
      </c>
      <c r="B1469" t="s">
        <v>2736</v>
      </c>
      <c r="C1469" t="s">
        <v>2737</v>
      </c>
      <c r="D1469" t="s">
        <v>30</v>
      </c>
      <c r="E1469" t="s">
        <v>54</v>
      </c>
      <c r="F1469" t="s">
        <v>3791</v>
      </c>
      <c r="G1469">
        <v>4500289036</v>
      </c>
      <c r="H1469" t="s">
        <v>3334</v>
      </c>
      <c r="I1469" t="s">
        <v>281</v>
      </c>
      <c r="J1469" t="s">
        <v>54</v>
      </c>
      <c r="K1469" s="1">
        <v>1363195</v>
      </c>
      <c r="L1469" s="1">
        <v>1363195</v>
      </c>
      <c r="M1469" t="str">
        <f>IFERROR(IF(VLOOKUP(LEFT(B1469,2),'Humanitarian codes'!$A$2:$A$10,1,FALSE)=LEFT(B1469,2),"Yes","Error"),"No")</f>
        <v>Yes</v>
      </c>
    </row>
    <row r="1470" spans="1:13" x14ac:dyDescent="0.25">
      <c r="A1470" t="s">
        <v>3331</v>
      </c>
      <c r="B1470" t="s">
        <v>3291</v>
      </c>
      <c r="C1470" t="s">
        <v>3792</v>
      </c>
      <c r="D1470" t="s">
        <v>30</v>
      </c>
      <c r="E1470" t="s">
        <v>54</v>
      </c>
      <c r="F1470" t="s">
        <v>3760</v>
      </c>
      <c r="G1470">
        <v>4500277436</v>
      </c>
      <c r="H1470" t="s">
        <v>3334</v>
      </c>
      <c r="I1470" t="s">
        <v>2893</v>
      </c>
      <c r="J1470" t="s">
        <v>54</v>
      </c>
      <c r="K1470" s="1">
        <v>82149.929999999993</v>
      </c>
      <c r="L1470" s="1">
        <v>109533.24</v>
      </c>
      <c r="M1470" t="str">
        <f>IFERROR(IF(VLOOKUP(LEFT(B1470,2),'Humanitarian codes'!$A$2:$A$10,1,FALSE)=LEFT(B1470,2),"Yes","Error"),"No")</f>
        <v>Yes</v>
      </c>
    </row>
    <row r="1471" spans="1:13" x14ac:dyDescent="0.25">
      <c r="A1471" t="s">
        <v>3331</v>
      </c>
      <c r="B1471" t="s">
        <v>3291</v>
      </c>
      <c r="C1471" t="s">
        <v>3792</v>
      </c>
      <c r="D1471" t="s">
        <v>30</v>
      </c>
      <c r="E1471" t="s">
        <v>54</v>
      </c>
      <c r="F1471" t="s">
        <v>3761</v>
      </c>
      <c r="G1471">
        <v>4500277490</v>
      </c>
      <c r="H1471" t="s">
        <v>3334</v>
      </c>
      <c r="I1471" t="s">
        <v>1858</v>
      </c>
      <c r="J1471" t="s">
        <v>54</v>
      </c>
      <c r="K1471" s="1">
        <v>75000</v>
      </c>
      <c r="L1471" s="1">
        <v>100000</v>
      </c>
      <c r="M1471" t="str">
        <f>IFERROR(IF(VLOOKUP(LEFT(B1471,2),'Humanitarian codes'!$A$2:$A$10,1,FALSE)=LEFT(B1471,2),"Yes","Error"),"No")</f>
        <v>Yes</v>
      </c>
    </row>
    <row r="1472" spans="1:13" x14ac:dyDescent="0.25">
      <c r="A1472" t="s">
        <v>3331</v>
      </c>
      <c r="B1472" t="s">
        <v>3291</v>
      </c>
      <c r="C1472" t="s">
        <v>3792</v>
      </c>
      <c r="D1472" t="s">
        <v>30</v>
      </c>
      <c r="E1472" t="s">
        <v>54</v>
      </c>
      <c r="F1472" t="s">
        <v>3762</v>
      </c>
      <c r="G1472">
        <v>4500277502</v>
      </c>
      <c r="H1472" t="s">
        <v>3334</v>
      </c>
      <c r="I1472" t="s">
        <v>3251</v>
      </c>
      <c r="J1472" t="s">
        <v>54</v>
      </c>
      <c r="K1472" s="1">
        <v>75562.5</v>
      </c>
      <c r="L1472" s="1">
        <v>100750</v>
      </c>
      <c r="M1472" t="str">
        <f>IFERROR(IF(VLOOKUP(LEFT(B1472,2),'Humanitarian codes'!$A$2:$A$10,1,FALSE)=LEFT(B1472,2),"Yes","Error"),"No")</f>
        <v>Yes</v>
      </c>
    </row>
    <row r="1473" spans="1:13" x14ac:dyDescent="0.25">
      <c r="A1473" t="s">
        <v>3331</v>
      </c>
      <c r="B1473" t="s">
        <v>3291</v>
      </c>
      <c r="C1473" t="s">
        <v>3792</v>
      </c>
      <c r="D1473" t="s">
        <v>30</v>
      </c>
      <c r="E1473" t="s">
        <v>54</v>
      </c>
      <c r="F1473" t="s">
        <v>3763</v>
      </c>
      <c r="G1473">
        <v>4500277509</v>
      </c>
      <c r="H1473" t="s">
        <v>3334</v>
      </c>
      <c r="I1473" t="s">
        <v>278</v>
      </c>
      <c r="J1473" t="s">
        <v>54</v>
      </c>
      <c r="K1473" s="1">
        <v>80979.740000000005</v>
      </c>
      <c r="L1473" s="1">
        <v>107972.99</v>
      </c>
      <c r="M1473" t="str">
        <f>IFERROR(IF(VLOOKUP(LEFT(B1473,2),'Humanitarian codes'!$A$2:$A$10,1,FALSE)=LEFT(B1473,2),"Yes","Error"),"No")</f>
        <v>Yes</v>
      </c>
    </row>
    <row r="1474" spans="1:13" x14ac:dyDescent="0.25">
      <c r="A1474" t="s">
        <v>3331</v>
      </c>
      <c r="B1474" t="s">
        <v>3291</v>
      </c>
      <c r="C1474" t="s">
        <v>3792</v>
      </c>
      <c r="D1474" t="s">
        <v>30</v>
      </c>
      <c r="E1474" t="s">
        <v>54</v>
      </c>
      <c r="F1474" t="s">
        <v>3764</v>
      </c>
      <c r="G1474">
        <v>4500277540</v>
      </c>
      <c r="H1474" t="s">
        <v>3334</v>
      </c>
      <c r="I1474" t="s">
        <v>3253</v>
      </c>
      <c r="J1474" t="s">
        <v>54</v>
      </c>
      <c r="K1474" s="1">
        <v>75005.98</v>
      </c>
      <c r="L1474" s="1">
        <v>100007.98</v>
      </c>
      <c r="M1474" t="str">
        <f>IFERROR(IF(VLOOKUP(LEFT(B1474,2),'Humanitarian codes'!$A$2:$A$10,1,FALSE)=LEFT(B1474,2),"Yes","Error"),"No")</f>
        <v>Yes</v>
      </c>
    </row>
    <row r="1475" spans="1:13" x14ac:dyDescent="0.25">
      <c r="A1475" t="s">
        <v>3331</v>
      </c>
      <c r="B1475" t="s">
        <v>3291</v>
      </c>
      <c r="C1475" t="s">
        <v>3792</v>
      </c>
      <c r="D1475" t="s">
        <v>30</v>
      </c>
      <c r="E1475" t="s">
        <v>54</v>
      </c>
      <c r="F1475" t="s">
        <v>3588</v>
      </c>
      <c r="G1475">
        <v>4500279537</v>
      </c>
      <c r="H1475" t="s">
        <v>3334</v>
      </c>
      <c r="I1475" t="s">
        <v>790</v>
      </c>
      <c r="J1475" t="s">
        <v>54</v>
      </c>
      <c r="K1475" s="1">
        <v>82095.45</v>
      </c>
      <c r="L1475" s="1">
        <v>149264.46</v>
      </c>
      <c r="M1475" t="str">
        <f>IFERROR(IF(VLOOKUP(LEFT(B1475,2),'Humanitarian codes'!$A$2:$A$10,1,FALSE)=LEFT(B1475,2),"Yes","Error"),"No")</f>
        <v>Yes</v>
      </c>
    </row>
    <row r="1476" spans="1:13" x14ac:dyDescent="0.25">
      <c r="A1476" t="s">
        <v>3331</v>
      </c>
      <c r="B1476" t="s">
        <v>3291</v>
      </c>
      <c r="C1476" t="s">
        <v>3792</v>
      </c>
      <c r="D1476" t="s">
        <v>30</v>
      </c>
      <c r="E1476" t="s">
        <v>54</v>
      </c>
      <c r="F1476" t="s">
        <v>3793</v>
      </c>
      <c r="G1476">
        <v>4500295114</v>
      </c>
      <c r="H1476" t="s">
        <v>3334</v>
      </c>
      <c r="I1476" t="s">
        <v>3499</v>
      </c>
      <c r="J1476" t="s">
        <v>54</v>
      </c>
      <c r="K1476" s="1">
        <v>31337.03</v>
      </c>
      <c r="L1476" s="1">
        <v>31337.03</v>
      </c>
      <c r="M1476" t="str">
        <f>IFERROR(IF(VLOOKUP(LEFT(B1476,2),'Humanitarian codes'!$A$2:$A$10,1,FALSE)=LEFT(B1476,2),"Yes","Error"),"No")</f>
        <v>Yes</v>
      </c>
    </row>
    <row r="1477" spans="1:13" x14ac:dyDescent="0.25">
      <c r="A1477" t="s">
        <v>3331</v>
      </c>
      <c r="B1477" t="s">
        <v>3291</v>
      </c>
      <c r="C1477" t="s">
        <v>3792</v>
      </c>
      <c r="D1477" t="s">
        <v>30</v>
      </c>
      <c r="E1477" t="s">
        <v>54</v>
      </c>
      <c r="F1477" t="s">
        <v>3794</v>
      </c>
      <c r="G1477">
        <v>4500295160</v>
      </c>
      <c r="H1477" t="s">
        <v>3334</v>
      </c>
      <c r="I1477" t="s">
        <v>3790</v>
      </c>
      <c r="J1477" t="s">
        <v>54</v>
      </c>
      <c r="K1477" s="1">
        <v>16318.85</v>
      </c>
      <c r="L1477" s="1">
        <v>16318.85</v>
      </c>
      <c r="M1477" t="str">
        <f>IFERROR(IF(VLOOKUP(LEFT(B1477,2),'Humanitarian codes'!$A$2:$A$10,1,FALSE)=LEFT(B1477,2),"Yes","Error"),"No")</f>
        <v>Yes</v>
      </c>
    </row>
    <row r="1478" spans="1:13" x14ac:dyDescent="0.25">
      <c r="A1478" t="s">
        <v>3331</v>
      </c>
      <c r="B1478" t="s">
        <v>3795</v>
      </c>
      <c r="C1478" t="s">
        <v>3796</v>
      </c>
      <c r="D1478" t="s">
        <v>30</v>
      </c>
      <c r="E1478" t="s">
        <v>54</v>
      </c>
      <c r="F1478" t="s">
        <v>3797</v>
      </c>
      <c r="G1478">
        <v>4500279570</v>
      </c>
      <c r="H1478" t="s">
        <v>3334</v>
      </c>
      <c r="I1478" t="s">
        <v>1291</v>
      </c>
      <c r="J1478" t="s">
        <v>54</v>
      </c>
      <c r="K1478" s="1">
        <v>19954.060000000001</v>
      </c>
      <c r="L1478" s="1">
        <v>19954.060000000001</v>
      </c>
      <c r="M1478" t="str">
        <f>IFERROR(IF(VLOOKUP(LEFT(B1478,2),'Humanitarian codes'!$A$2:$A$10,1,FALSE)=LEFT(B1478,2),"Yes","Error"),"No")</f>
        <v>Yes</v>
      </c>
    </row>
    <row r="1479" spans="1:13" x14ac:dyDescent="0.25">
      <c r="A1479" t="s">
        <v>3331</v>
      </c>
      <c r="B1479" t="s">
        <v>3795</v>
      </c>
      <c r="C1479" t="s">
        <v>3796</v>
      </c>
      <c r="D1479" t="s">
        <v>30</v>
      </c>
      <c r="E1479" t="s">
        <v>54</v>
      </c>
      <c r="F1479" t="s">
        <v>3798</v>
      </c>
      <c r="G1479">
        <v>4500279579</v>
      </c>
      <c r="H1479" t="s">
        <v>3334</v>
      </c>
      <c r="I1479" t="s">
        <v>277</v>
      </c>
      <c r="J1479" t="s">
        <v>54</v>
      </c>
      <c r="K1479" s="1">
        <v>39905.440000000002</v>
      </c>
      <c r="L1479" s="1">
        <v>39905.440000000002</v>
      </c>
      <c r="M1479" t="str">
        <f>IFERROR(IF(VLOOKUP(LEFT(B1479,2),'Humanitarian codes'!$A$2:$A$10,1,FALSE)=LEFT(B1479,2),"Yes","Error"),"No")</f>
        <v>Yes</v>
      </c>
    </row>
    <row r="1480" spans="1:13" x14ac:dyDescent="0.25">
      <c r="A1480" t="s">
        <v>3331</v>
      </c>
      <c r="B1480" t="s">
        <v>3795</v>
      </c>
      <c r="C1480" t="s">
        <v>3796</v>
      </c>
      <c r="D1480" t="s">
        <v>30</v>
      </c>
      <c r="E1480" t="s">
        <v>54</v>
      </c>
      <c r="F1480" t="s">
        <v>3799</v>
      </c>
      <c r="G1480">
        <v>4500279586</v>
      </c>
      <c r="H1480" t="s">
        <v>3334</v>
      </c>
      <c r="I1480" t="s">
        <v>3800</v>
      </c>
      <c r="J1480" t="s">
        <v>54</v>
      </c>
      <c r="K1480" s="1">
        <v>16793.080000000002</v>
      </c>
      <c r="L1480" s="1">
        <v>16793.080000000002</v>
      </c>
      <c r="M1480" t="str">
        <f>IFERROR(IF(VLOOKUP(LEFT(B1480,2),'Humanitarian codes'!$A$2:$A$10,1,FALSE)=LEFT(B1480,2),"Yes","Error"),"No")</f>
        <v>Yes</v>
      </c>
    </row>
    <row r="1481" spans="1:13" x14ac:dyDescent="0.25">
      <c r="A1481" t="s">
        <v>3331</v>
      </c>
      <c r="B1481" t="s">
        <v>3801</v>
      </c>
      <c r="C1481" t="s">
        <v>3802</v>
      </c>
      <c r="D1481" t="s">
        <v>30</v>
      </c>
      <c r="E1481" t="s">
        <v>83</v>
      </c>
      <c r="F1481" t="s">
        <v>2357</v>
      </c>
      <c r="G1481">
        <v>4500297833</v>
      </c>
      <c r="H1481" t="s">
        <v>3334</v>
      </c>
      <c r="I1481" t="s">
        <v>85</v>
      </c>
      <c r="J1481" t="s">
        <v>83</v>
      </c>
      <c r="K1481" s="1">
        <v>118800</v>
      </c>
      <c r="L1481" s="1">
        <v>420000</v>
      </c>
      <c r="M1481" t="str">
        <f>IFERROR(IF(VLOOKUP(LEFT(B1481,2),'Humanitarian codes'!$A$2:$A$10,1,FALSE)=LEFT(B1481,2),"Yes","Error"),"No")</f>
        <v>Yes</v>
      </c>
    </row>
  </sheetData>
  <autoFilter ref="A1:M1481" xr:uid="{14A4BA87-32E4-4D70-B5D9-EAA91E2BFAE8}">
    <filterColumn colId="12">
      <filters>
        <filter val="Yes"/>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05F7C-8A27-4082-A09B-9BE60B0BD1DA}">
  <sheetPr filterMode="1"/>
  <dimension ref="A1:AF2168"/>
  <sheetViews>
    <sheetView zoomScale="85" zoomScaleNormal="85" workbookViewId="0">
      <pane ySplit="1" topLeftCell="A1323" activePane="bottomLeft" state="frozen"/>
      <selection pane="bottomLeft" activeCell="J1338" sqref="J1338"/>
    </sheetView>
  </sheetViews>
  <sheetFormatPr defaultRowHeight="15" x14ac:dyDescent="0.25"/>
  <cols>
    <col min="2" max="2" width="9.42578125" bestFit="1" customWidth="1"/>
    <col min="3" max="3" width="63.5703125" bestFit="1" customWidth="1"/>
    <col min="5" max="5" width="33.28515625" bestFit="1" customWidth="1"/>
    <col min="7" max="7" width="20.28515625" bestFit="1" customWidth="1"/>
    <col min="8" max="8" width="41" bestFit="1" customWidth="1"/>
    <col min="9" max="9" width="48.7109375" bestFit="1" customWidth="1"/>
    <col min="10" max="11" width="10.7109375" customWidth="1"/>
  </cols>
  <sheetData>
    <row r="1" spans="1:32" x14ac:dyDescent="0.25">
      <c r="A1" t="s">
        <v>709</v>
      </c>
      <c r="B1" t="s">
        <v>0</v>
      </c>
      <c r="C1" t="s">
        <v>1</v>
      </c>
      <c r="D1" t="s">
        <v>2</v>
      </c>
      <c r="E1" t="s">
        <v>3</v>
      </c>
      <c r="F1" t="s">
        <v>4</v>
      </c>
      <c r="G1" t="s">
        <v>5</v>
      </c>
      <c r="H1" t="s">
        <v>6</v>
      </c>
      <c r="I1" t="s">
        <v>7</v>
      </c>
      <c r="J1" t="s">
        <v>1153</v>
      </c>
      <c r="K1" t="s">
        <v>1657</v>
      </c>
      <c r="L1" t="s">
        <v>6407</v>
      </c>
    </row>
    <row r="2" spans="1:32" hidden="1" x14ac:dyDescent="0.25">
      <c r="A2" t="s">
        <v>710</v>
      </c>
      <c r="B2" t="s">
        <v>8</v>
      </c>
      <c r="C2" t="s">
        <v>9</v>
      </c>
      <c r="D2" t="s">
        <v>10</v>
      </c>
      <c r="E2" t="s">
        <v>11</v>
      </c>
      <c r="F2">
        <v>4500462013</v>
      </c>
      <c r="G2" t="s">
        <v>12</v>
      </c>
      <c r="H2" t="s">
        <v>13</v>
      </c>
      <c r="I2" t="s">
        <v>11</v>
      </c>
      <c r="J2" s="1">
        <v>517800</v>
      </c>
      <c r="K2" s="1">
        <v>517800</v>
      </c>
      <c r="L2" t="str">
        <f>IFERROR(IF(VLOOKUP(LEFT(B2,2),'Humanitarian codes'!$A$2:$A$10,1,FALSE)=LEFT(B2,2),"Yes","Error"),"No")</f>
        <v>No</v>
      </c>
      <c r="AE2" s="1"/>
      <c r="AF2" s="1"/>
    </row>
    <row r="3" spans="1:32" hidden="1" x14ac:dyDescent="0.25">
      <c r="A3" t="s">
        <v>710</v>
      </c>
      <c r="B3" t="s">
        <v>14</v>
      </c>
      <c r="C3" t="s">
        <v>9</v>
      </c>
      <c r="D3" t="s">
        <v>15</v>
      </c>
      <c r="E3" t="s">
        <v>16</v>
      </c>
      <c r="F3">
        <v>4500472988</v>
      </c>
      <c r="G3" t="s">
        <v>12</v>
      </c>
      <c r="H3" t="s">
        <v>17</v>
      </c>
      <c r="I3" t="s">
        <v>16</v>
      </c>
      <c r="J3" s="1">
        <v>114794.92</v>
      </c>
      <c r="K3" s="1">
        <v>114794.92</v>
      </c>
      <c r="L3" t="str">
        <f>IFERROR(IF(VLOOKUP(LEFT(B3,2),'Humanitarian codes'!$A$2:$A$10,1,FALSE)=LEFT(B3,2),"Yes","Error"),"No")</f>
        <v>No</v>
      </c>
      <c r="AE3" s="1"/>
      <c r="AF3" s="1"/>
    </row>
    <row r="4" spans="1:32" hidden="1" x14ac:dyDescent="0.25">
      <c r="A4" t="s">
        <v>710</v>
      </c>
      <c r="B4" t="s">
        <v>18</v>
      </c>
      <c r="C4" t="s">
        <v>9</v>
      </c>
      <c r="D4" t="s">
        <v>19</v>
      </c>
      <c r="E4" t="s">
        <v>20</v>
      </c>
      <c r="F4">
        <v>4500456751</v>
      </c>
      <c r="G4" t="s">
        <v>12</v>
      </c>
      <c r="H4" t="s">
        <v>21</v>
      </c>
      <c r="I4" t="s">
        <v>20</v>
      </c>
      <c r="J4" s="1">
        <v>171348.24</v>
      </c>
      <c r="K4" s="1">
        <v>171348.24</v>
      </c>
      <c r="L4" t="str">
        <f>IFERROR(IF(VLOOKUP(LEFT(B4,2),'Humanitarian codes'!$A$2:$A$10,1,FALSE)=LEFT(B4,2),"Yes","Error"),"No")</f>
        <v>No</v>
      </c>
      <c r="AE4" s="1"/>
      <c r="AF4" s="1"/>
    </row>
    <row r="5" spans="1:32" hidden="1" x14ac:dyDescent="0.25">
      <c r="A5" t="s">
        <v>710</v>
      </c>
      <c r="B5" t="s">
        <v>18</v>
      </c>
      <c r="C5" t="s">
        <v>9</v>
      </c>
      <c r="D5" t="s">
        <v>19</v>
      </c>
      <c r="E5" t="s">
        <v>20</v>
      </c>
      <c r="F5">
        <v>4500464369</v>
      </c>
      <c r="G5" t="s">
        <v>12</v>
      </c>
      <c r="H5" t="s">
        <v>22</v>
      </c>
      <c r="I5" t="s">
        <v>20</v>
      </c>
      <c r="J5" s="1">
        <v>170173.2</v>
      </c>
      <c r="K5" s="1">
        <v>170173.2</v>
      </c>
      <c r="L5" t="str">
        <f>IFERROR(IF(VLOOKUP(LEFT(B5,2),'Humanitarian codes'!$A$2:$A$10,1,FALSE)=LEFT(B5,2),"Yes","Error"),"No")</f>
        <v>No</v>
      </c>
      <c r="AE5" s="1"/>
      <c r="AF5" s="1"/>
    </row>
    <row r="6" spans="1:32" hidden="1" x14ac:dyDescent="0.25">
      <c r="A6" t="s">
        <v>710</v>
      </c>
      <c r="B6" t="s">
        <v>23</v>
      </c>
      <c r="C6" t="s">
        <v>9</v>
      </c>
      <c r="D6" t="s">
        <v>24</v>
      </c>
      <c r="E6" t="s">
        <v>25</v>
      </c>
      <c r="F6">
        <v>4500465586</v>
      </c>
      <c r="G6" t="s">
        <v>12</v>
      </c>
      <c r="H6" t="s">
        <v>26</v>
      </c>
      <c r="I6" t="s">
        <v>25</v>
      </c>
      <c r="J6" s="1">
        <v>101483.66</v>
      </c>
      <c r="K6" s="1">
        <v>101483.66</v>
      </c>
      <c r="L6" t="str">
        <f>IFERROR(IF(VLOOKUP(LEFT(B6,2),'Humanitarian codes'!$A$2:$A$10,1,FALSE)=LEFT(B6,2),"Yes","Error"),"No")</f>
        <v>No</v>
      </c>
      <c r="AE6" s="1"/>
      <c r="AF6" s="1"/>
    </row>
    <row r="7" spans="1:32" hidden="1" x14ac:dyDescent="0.25">
      <c r="A7" t="s">
        <v>710</v>
      </c>
      <c r="B7" t="s">
        <v>23</v>
      </c>
      <c r="C7" t="s">
        <v>9</v>
      </c>
      <c r="D7" t="s">
        <v>24</v>
      </c>
      <c r="E7" t="s">
        <v>25</v>
      </c>
      <c r="F7">
        <v>4500472407</v>
      </c>
      <c r="G7" t="s">
        <v>12</v>
      </c>
      <c r="H7" t="s">
        <v>27</v>
      </c>
      <c r="I7" t="s">
        <v>25</v>
      </c>
      <c r="J7" s="1">
        <v>119952.03</v>
      </c>
      <c r="K7" s="1">
        <v>119952.03</v>
      </c>
      <c r="L7" t="str">
        <f>IFERROR(IF(VLOOKUP(LEFT(B7,2),'Humanitarian codes'!$A$2:$A$10,1,FALSE)=LEFT(B7,2),"Yes","Error"),"No")</f>
        <v>No</v>
      </c>
      <c r="AE7" s="1"/>
      <c r="AF7" s="1"/>
    </row>
    <row r="8" spans="1:32" hidden="1" x14ac:dyDescent="0.25">
      <c r="A8" t="s">
        <v>710</v>
      </c>
      <c r="B8" t="s">
        <v>23</v>
      </c>
      <c r="C8" t="s">
        <v>9</v>
      </c>
      <c r="D8" t="s">
        <v>24</v>
      </c>
      <c r="E8" t="s">
        <v>25</v>
      </c>
      <c r="F8">
        <v>4500476049</v>
      </c>
      <c r="G8" t="s">
        <v>12</v>
      </c>
      <c r="H8" t="s">
        <v>28</v>
      </c>
      <c r="I8" t="s">
        <v>25</v>
      </c>
      <c r="J8" s="1">
        <v>149940.01999999999</v>
      </c>
      <c r="K8" s="1">
        <v>149940.01999999999</v>
      </c>
      <c r="L8" t="str">
        <f>IFERROR(IF(VLOOKUP(LEFT(B8,2),'Humanitarian codes'!$A$2:$A$10,1,FALSE)=LEFT(B8,2),"Yes","Error"),"No")</f>
        <v>No</v>
      </c>
      <c r="AE8" s="1"/>
      <c r="AF8" s="1"/>
    </row>
    <row r="9" spans="1:32" hidden="1" x14ac:dyDescent="0.25">
      <c r="A9" t="s">
        <v>710</v>
      </c>
      <c r="B9" t="s">
        <v>29</v>
      </c>
      <c r="C9" t="s">
        <v>30</v>
      </c>
      <c r="D9" t="s">
        <v>31</v>
      </c>
      <c r="E9" t="s">
        <v>32</v>
      </c>
      <c r="F9">
        <v>4500457997</v>
      </c>
      <c r="G9" t="s">
        <v>12</v>
      </c>
      <c r="H9" t="s">
        <v>33</v>
      </c>
      <c r="I9" t="s">
        <v>32</v>
      </c>
      <c r="J9" s="1">
        <v>92247</v>
      </c>
      <c r="K9" s="1">
        <v>92247</v>
      </c>
      <c r="L9" t="str">
        <f>IFERROR(IF(VLOOKUP(LEFT(B9,2),'Humanitarian codes'!$A$2:$A$10,1,FALSE)=LEFT(B9,2),"Yes","Error"),"No")</f>
        <v>No</v>
      </c>
      <c r="AE9" s="1"/>
      <c r="AF9" s="1"/>
    </row>
    <row r="10" spans="1:32" hidden="1" x14ac:dyDescent="0.25">
      <c r="A10" t="s">
        <v>710</v>
      </c>
      <c r="B10" t="s">
        <v>23</v>
      </c>
      <c r="C10" t="s">
        <v>9</v>
      </c>
      <c r="D10" t="s">
        <v>24</v>
      </c>
      <c r="E10" t="s">
        <v>25</v>
      </c>
      <c r="F10">
        <v>4500476456</v>
      </c>
      <c r="G10" t="s">
        <v>12</v>
      </c>
      <c r="H10" t="s">
        <v>34</v>
      </c>
      <c r="I10" t="s">
        <v>25</v>
      </c>
      <c r="J10" s="1">
        <v>159936.03</v>
      </c>
      <c r="K10" s="1">
        <v>159936.03</v>
      </c>
      <c r="L10" t="str">
        <f>IFERROR(IF(VLOOKUP(LEFT(B10,2),'Humanitarian codes'!$A$2:$A$10,1,FALSE)=LEFT(B10,2),"Yes","Error"),"No")</f>
        <v>No</v>
      </c>
      <c r="AE10" s="1"/>
      <c r="AF10" s="1"/>
    </row>
    <row r="11" spans="1:32" hidden="1" x14ac:dyDescent="0.25">
      <c r="A11" t="s">
        <v>710</v>
      </c>
      <c r="B11" t="s">
        <v>35</v>
      </c>
      <c r="C11" t="s">
        <v>30</v>
      </c>
      <c r="D11" t="s">
        <v>36</v>
      </c>
      <c r="E11" t="s">
        <v>32</v>
      </c>
      <c r="F11">
        <v>4500475401</v>
      </c>
      <c r="G11" t="s">
        <v>12</v>
      </c>
      <c r="H11" t="s">
        <v>37</v>
      </c>
      <c r="I11" t="s">
        <v>32</v>
      </c>
      <c r="J11" s="1">
        <v>133500</v>
      </c>
      <c r="K11" s="1">
        <v>133500</v>
      </c>
      <c r="L11" t="str">
        <f>IFERROR(IF(VLOOKUP(LEFT(B11,2),'Humanitarian codes'!$A$2:$A$10,1,FALSE)=LEFT(B11,2),"Yes","Error"),"No")</f>
        <v>No</v>
      </c>
      <c r="AE11" s="1"/>
      <c r="AF11" s="1"/>
    </row>
    <row r="12" spans="1:32" hidden="1" x14ac:dyDescent="0.25">
      <c r="A12" t="s">
        <v>710</v>
      </c>
      <c r="B12" t="s">
        <v>38</v>
      </c>
      <c r="C12" t="s">
        <v>30</v>
      </c>
      <c r="D12" t="s">
        <v>39</v>
      </c>
      <c r="E12" t="s">
        <v>40</v>
      </c>
      <c r="F12">
        <v>4500466886</v>
      </c>
      <c r="G12" t="s">
        <v>12</v>
      </c>
      <c r="H12" t="s">
        <v>41</v>
      </c>
      <c r="I12" t="s">
        <v>40</v>
      </c>
      <c r="J12" s="1">
        <v>26644.65</v>
      </c>
      <c r="K12" s="1">
        <v>53289.31</v>
      </c>
      <c r="L12" t="str">
        <f>IFERROR(IF(VLOOKUP(LEFT(B12,2),'Humanitarian codes'!$A$2:$A$10,1,FALSE)=LEFT(B12,2),"Yes","Error"),"No")</f>
        <v>No</v>
      </c>
      <c r="AE12" s="1"/>
      <c r="AF12" s="1"/>
    </row>
    <row r="13" spans="1:32" hidden="1" x14ac:dyDescent="0.25">
      <c r="A13" t="s">
        <v>710</v>
      </c>
      <c r="B13" t="s">
        <v>38</v>
      </c>
      <c r="C13" t="s">
        <v>30</v>
      </c>
      <c r="D13" t="s">
        <v>39</v>
      </c>
      <c r="E13" t="s">
        <v>40</v>
      </c>
      <c r="F13">
        <v>4500470999</v>
      </c>
      <c r="G13" t="s">
        <v>12</v>
      </c>
      <c r="H13" t="s">
        <v>42</v>
      </c>
      <c r="I13" t="s">
        <v>40</v>
      </c>
      <c r="J13" s="1">
        <v>27647.95</v>
      </c>
      <c r="K13" s="1">
        <v>55295.91</v>
      </c>
      <c r="L13" t="str">
        <f>IFERROR(IF(VLOOKUP(LEFT(B13,2),'Humanitarian codes'!$A$2:$A$10,1,FALSE)=LEFT(B13,2),"Yes","Error"),"No")</f>
        <v>No</v>
      </c>
      <c r="AE13" s="1"/>
      <c r="AF13" s="1"/>
    </row>
    <row r="14" spans="1:32" hidden="1" x14ac:dyDescent="0.25">
      <c r="A14" t="s">
        <v>710</v>
      </c>
      <c r="B14" t="s">
        <v>43</v>
      </c>
      <c r="C14" t="s">
        <v>30</v>
      </c>
      <c r="D14" t="s">
        <v>44</v>
      </c>
      <c r="E14" t="s">
        <v>45</v>
      </c>
      <c r="F14">
        <v>4500480214</v>
      </c>
      <c r="G14" t="s">
        <v>12</v>
      </c>
      <c r="H14" t="s">
        <v>46</v>
      </c>
      <c r="I14" t="s">
        <v>45</v>
      </c>
      <c r="J14" s="1">
        <v>57259</v>
      </c>
      <c r="K14" s="1">
        <v>57259</v>
      </c>
      <c r="L14" t="str">
        <f>IFERROR(IF(VLOOKUP(LEFT(B14,2),'Humanitarian codes'!$A$2:$A$10,1,FALSE)=LEFT(B14,2),"Yes","Error"),"No")</f>
        <v>No</v>
      </c>
      <c r="AE14" s="1"/>
      <c r="AF14" s="1"/>
    </row>
    <row r="15" spans="1:32" hidden="1" x14ac:dyDescent="0.25">
      <c r="A15" t="s">
        <v>710</v>
      </c>
      <c r="B15" t="s">
        <v>47</v>
      </c>
      <c r="C15" t="s">
        <v>30</v>
      </c>
      <c r="D15" t="s">
        <v>48</v>
      </c>
      <c r="E15" t="s">
        <v>49</v>
      </c>
      <c r="F15">
        <v>4500456580</v>
      </c>
      <c r="G15" t="s">
        <v>12</v>
      </c>
      <c r="H15" t="s">
        <v>50</v>
      </c>
      <c r="I15" t="s">
        <v>49</v>
      </c>
      <c r="J15" s="1">
        <v>240000</v>
      </c>
      <c r="K15" s="1">
        <v>240000</v>
      </c>
      <c r="L15" t="str">
        <f>IFERROR(IF(VLOOKUP(LEFT(B15,2),'Humanitarian codes'!$A$2:$A$10,1,FALSE)=LEFT(B15,2),"Yes","Error"),"No")</f>
        <v>No</v>
      </c>
      <c r="AE15" s="1"/>
      <c r="AF15" s="1"/>
    </row>
    <row r="16" spans="1:32" hidden="1" x14ac:dyDescent="0.25">
      <c r="A16" t="s">
        <v>710</v>
      </c>
      <c r="B16" t="s">
        <v>51</v>
      </c>
      <c r="C16" t="s">
        <v>30</v>
      </c>
      <c r="D16" t="s">
        <v>39</v>
      </c>
      <c r="E16" t="s">
        <v>40</v>
      </c>
      <c r="F16">
        <v>4500466886</v>
      </c>
      <c r="G16" t="s">
        <v>12</v>
      </c>
      <c r="H16" t="s">
        <v>41</v>
      </c>
      <c r="I16" t="s">
        <v>40</v>
      </c>
      <c r="J16" s="1">
        <v>26644.66</v>
      </c>
      <c r="K16" s="1">
        <v>53289.31</v>
      </c>
      <c r="L16" t="str">
        <f>IFERROR(IF(VLOOKUP(LEFT(B16,2),'Humanitarian codes'!$A$2:$A$10,1,FALSE)=LEFT(B16,2),"Yes","Error"),"No")</f>
        <v>No</v>
      </c>
      <c r="AE16" s="1"/>
      <c r="AF16" s="1"/>
    </row>
    <row r="17" spans="1:32" hidden="1" x14ac:dyDescent="0.25">
      <c r="A17" t="s">
        <v>710</v>
      </c>
      <c r="B17" t="s">
        <v>51</v>
      </c>
      <c r="C17" t="s">
        <v>30</v>
      </c>
      <c r="D17" t="s">
        <v>39</v>
      </c>
      <c r="E17" t="s">
        <v>40</v>
      </c>
      <c r="F17">
        <v>4500470999</v>
      </c>
      <c r="G17" t="s">
        <v>12</v>
      </c>
      <c r="H17" t="s">
        <v>42</v>
      </c>
      <c r="I17" t="s">
        <v>40</v>
      </c>
      <c r="J17" s="1">
        <v>27647.96</v>
      </c>
      <c r="K17" s="1">
        <v>55295.91</v>
      </c>
      <c r="L17" t="str">
        <f>IFERROR(IF(VLOOKUP(LEFT(B17,2),'Humanitarian codes'!$A$2:$A$10,1,FALSE)=LEFT(B17,2),"Yes","Error"),"No")</f>
        <v>No</v>
      </c>
      <c r="AE17" s="1"/>
      <c r="AF17" s="1"/>
    </row>
    <row r="18" spans="1:32" hidden="1" x14ac:dyDescent="0.25">
      <c r="A18" t="s">
        <v>710</v>
      </c>
      <c r="B18" t="s">
        <v>52</v>
      </c>
      <c r="C18" t="s">
        <v>30</v>
      </c>
      <c r="D18" t="s">
        <v>53</v>
      </c>
      <c r="E18" t="s">
        <v>54</v>
      </c>
      <c r="F18">
        <v>4500460785</v>
      </c>
      <c r="G18" t="s">
        <v>12</v>
      </c>
      <c r="H18" t="s">
        <v>55</v>
      </c>
      <c r="I18" t="s">
        <v>54</v>
      </c>
      <c r="J18" s="1">
        <v>542216.87</v>
      </c>
      <c r="K18" s="1">
        <v>542216.87</v>
      </c>
      <c r="L18" t="str">
        <f>IFERROR(IF(VLOOKUP(LEFT(B18,2),'Humanitarian codes'!$A$2:$A$10,1,FALSE)=LEFT(B18,2),"Yes","Error"),"No")</f>
        <v>No</v>
      </c>
      <c r="AE18" s="1"/>
      <c r="AF18" s="1"/>
    </row>
    <row r="19" spans="1:32" hidden="1" x14ac:dyDescent="0.25">
      <c r="A19" t="s">
        <v>710</v>
      </c>
      <c r="B19" t="s">
        <v>52</v>
      </c>
      <c r="C19" t="s">
        <v>30</v>
      </c>
      <c r="D19" t="s">
        <v>53</v>
      </c>
      <c r="E19" t="s">
        <v>54</v>
      </c>
      <c r="F19">
        <v>4500480525</v>
      </c>
      <c r="G19" t="s">
        <v>12</v>
      </c>
      <c r="H19" t="s">
        <v>56</v>
      </c>
      <c r="I19" t="s">
        <v>54</v>
      </c>
      <c r="J19" s="1">
        <v>9909.23</v>
      </c>
      <c r="K19" s="1">
        <v>49546.14</v>
      </c>
      <c r="L19" t="str">
        <f>IFERROR(IF(VLOOKUP(LEFT(B19,2),'Humanitarian codes'!$A$2:$A$10,1,FALSE)=LEFT(B19,2),"Yes","Error"),"No")</f>
        <v>No</v>
      </c>
      <c r="AE19" s="1"/>
      <c r="AF19" s="1"/>
    </row>
    <row r="20" spans="1:32" hidden="1" x14ac:dyDescent="0.25">
      <c r="A20" t="s">
        <v>710</v>
      </c>
      <c r="B20" t="s">
        <v>52</v>
      </c>
      <c r="C20" t="s">
        <v>30</v>
      </c>
      <c r="D20" t="s">
        <v>53</v>
      </c>
      <c r="E20" t="s">
        <v>54</v>
      </c>
      <c r="F20">
        <v>4500480539</v>
      </c>
      <c r="G20" t="s">
        <v>12</v>
      </c>
      <c r="H20" t="s">
        <v>57</v>
      </c>
      <c r="I20" t="s">
        <v>54</v>
      </c>
      <c r="J20" s="1">
        <v>18036.8</v>
      </c>
      <c r="K20" s="1">
        <v>90184</v>
      </c>
      <c r="L20" t="str">
        <f>IFERROR(IF(VLOOKUP(LEFT(B20,2),'Humanitarian codes'!$A$2:$A$10,1,FALSE)=LEFT(B20,2),"Yes","Error"),"No")</f>
        <v>No</v>
      </c>
      <c r="AE20" s="1"/>
      <c r="AF20" s="1"/>
    </row>
    <row r="21" spans="1:32" hidden="1" x14ac:dyDescent="0.25">
      <c r="A21" t="s">
        <v>710</v>
      </c>
      <c r="B21" t="s">
        <v>52</v>
      </c>
      <c r="C21" t="s">
        <v>30</v>
      </c>
      <c r="D21" t="s">
        <v>53</v>
      </c>
      <c r="E21" t="s">
        <v>54</v>
      </c>
      <c r="F21">
        <v>4500481359</v>
      </c>
      <c r="G21" t="s">
        <v>12</v>
      </c>
      <c r="H21" t="s">
        <v>58</v>
      </c>
      <c r="I21" t="s">
        <v>54</v>
      </c>
      <c r="J21" s="1">
        <v>13244.11</v>
      </c>
      <c r="K21" s="1">
        <v>66220.53</v>
      </c>
      <c r="L21" t="str">
        <f>IFERROR(IF(VLOOKUP(LEFT(B21,2),'Humanitarian codes'!$A$2:$A$10,1,FALSE)=LEFT(B21,2),"Yes","Error"),"No")</f>
        <v>No</v>
      </c>
      <c r="AE21" s="1"/>
      <c r="AF21" s="1"/>
    </row>
    <row r="22" spans="1:32" hidden="1" x14ac:dyDescent="0.25">
      <c r="A22" t="s">
        <v>710</v>
      </c>
      <c r="B22" t="s">
        <v>59</v>
      </c>
      <c r="C22" t="s">
        <v>30</v>
      </c>
      <c r="D22" t="s">
        <v>60</v>
      </c>
      <c r="E22" t="s">
        <v>32</v>
      </c>
      <c r="F22">
        <v>4500455534</v>
      </c>
      <c r="G22" t="s">
        <v>12</v>
      </c>
      <c r="H22" t="s">
        <v>61</v>
      </c>
      <c r="I22" t="s">
        <v>32</v>
      </c>
      <c r="J22" s="1">
        <v>174976</v>
      </c>
      <c r="K22" s="1">
        <v>174976</v>
      </c>
      <c r="L22" t="str">
        <f>IFERROR(IF(VLOOKUP(LEFT(B22,2),'Humanitarian codes'!$A$2:$A$10,1,FALSE)=LEFT(B22,2),"Yes","Error"),"No")</f>
        <v>No</v>
      </c>
      <c r="AE22" s="1"/>
      <c r="AF22" s="1"/>
    </row>
    <row r="23" spans="1:32" hidden="1" x14ac:dyDescent="0.25">
      <c r="A23" t="s">
        <v>710</v>
      </c>
      <c r="B23" t="s">
        <v>62</v>
      </c>
      <c r="C23" t="s">
        <v>30</v>
      </c>
      <c r="D23" t="s">
        <v>63</v>
      </c>
      <c r="E23" t="s">
        <v>64</v>
      </c>
      <c r="F23">
        <v>4500467421</v>
      </c>
      <c r="G23" t="s">
        <v>12</v>
      </c>
      <c r="H23" t="s">
        <v>65</v>
      </c>
      <c r="I23" t="s">
        <v>64</v>
      </c>
      <c r="J23" s="1">
        <v>532282.69999999995</v>
      </c>
      <c r="K23" s="1">
        <v>532282.69999999995</v>
      </c>
      <c r="L23" t="str">
        <f>IFERROR(IF(VLOOKUP(LEFT(B23,2),'Humanitarian codes'!$A$2:$A$10,1,FALSE)=LEFT(B23,2),"Yes","Error"),"No")</f>
        <v>No</v>
      </c>
      <c r="AE23" s="1"/>
      <c r="AF23" s="1"/>
    </row>
    <row r="24" spans="1:32" x14ac:dyDescent="0.25">
      <c r="A24" t="s">
        <v>710</v>
      </c>
      <c r="B24" t="s">
        <v>66</v>
      </c>
      <c r="C24" t="s">
        <v>30</v>
      </c>
      <c r="D24" t="s">
        <v>67</v>
      </c>
      <c r="E24" t="s">
        <v>68</v>
      </c>
      <c r="F24">
        <v>4500455544</v>
      </c>
      <c r="G24" t="s">
        <v>12</v>
      </c>
      <c r="H24" t="s">
        <v>69</v>
      </c>
      <c r="I24" t="s">
        <v>68</v>
      </c>
      <c r="J24" s="1">
        <v>209555.75</v>
      </c>
      <c r="K24" s="1">
        <v>209555.75</v>
      </c>
      <c r="L24" t="str">
        <f>IFERROR(IF(VLOOKUP(LEFT(B24,2),'Humanitarian codes'!$A$2:$A$10,1,FALSE)=LEFT(B24,2),"Yes","Error"),"No")</f>
        <v>Yes</v>
      </c>
      <c r="AE24" s="1"/>
      <c r="AF24" s="1"/>
    </row>
    <row r="25" spans="1:32" x14ac:dyDescent="0.25">
      <c r="A25" t="s">
        <v>710</v>
      </c>
      <c r="B25" t="s">
        <v>66</v>
      </c>
      <c r="C25" t="s">
        <v>30</v>
      </c>
      <c r="D25" t="s">
        <v>67</v>
      </c>
      <c r="E25" t="s">
        <v>68</v>
      </c>
      <c r="F25">
        <v>4500455555</v>
      </c>
      <c r="G25" t="s">
        <v>12</v>
      </c>
      <c r="H25" t="s">
        <v>69</v>
      </c>
      <c r="I25" t="s">
        <v>68</v>
      </c>
      <c r="J25" s="1">
        <v>228174.97</v>
      </c>
      <c r="K25" s="1">
        <v>228174.97</v>
      </c>
      <c r="L25" t="str">
        <f>IFERROR(IF(VLOOKUP(LEFT(B25,2),'Humanitarian codes'!$A$2:$A$10,1,FALSE)=LEFT(B25,2),"Yes","Error"),"No")</f>
        <v>Yes</v>
      </c>
      <c r="AF25" s="1"/>
    </row>
    <row r="26" spans="1:32" x14ac:dyDescent="0.25">
      <c r="A26" t="s">
        <v>710</v>
      </c>
      <c r="B26" t="s">
        <v>70</v>
      </c>
      <c r="C26" t="s">
        <v>30</v>
      </c>
      <c r="D26" t="s">
        <v>71</v>
      </c>
      <c r="E26" t="s">
        <v>72</v>
      </c>
      <c r="F26">
        <v>4500478805</v>
      </c>
      <c r="G26" t="s">
        <v>12</v>
      </c>
      <c r="H26" t="s">
        <v>73</v>
      </c>
      <c r="I26" t="s">
        <v>72</v>
      </c>
      <c r="J26" s="1">
        <v>964135.02</v>
      </c>
      <c r="K26" s="1">
        <v>964135.02</v>
      </c>
      <c r="L26" t="str">
        <f>IFERROR(IF(VLOOKUP(LEFT(B26,2),'Humanitarian codes'!$A$2:$A$10,1,FALSE)=LEFT(B26,2),"Yes","Error"),"No")</f>
        <v>Yes</v>
      </c>
      <c r="AF26" s="1"/>
    </row>
    <row r="27" spans="1:32" x14ac:dyDescent="0.25">
      <c r="A27" t="s">
        <v>710</v>
      </c>
      <c r="B27" t="s">
        <v>74</v>
      </c>
      <c r="C27" t="s">
        <v>30</v>
      </c>
      <c r="D27" t="s">
        <v>75</v>
      </c>
      <c r="E27" t="s">
        <v>76</v>
      </c>
      <c r="F27">
        <v>4500478844</v>
      </c>
      <c r="G27" t="s">
        <v>12</v>
      </c>
      <c r="H27" t="s">
        <v>77</v>
      </c>
      <c r="I27" t="s">
        <v>76</v>
      </c>
      <c r="J27" s="1">
        <v>24965.71</v>
      </c>
      <c r="K27" s="1">
        <v>87242.81</v>
      </c>
      <c r="L27" t="str">
        <f>IFERROR(IF(VLOOKUP(LEFT(B27,2),'Humanitarian codes'!$A$2:$A$10,1,FALSE)=LEFT(B27,2),"Yes","Error"),"No")</f>
        <v>Yes</v>
      </c>
      <c r="AE27" s="1"/>
      <c r="AF27" s="1"/>
    </row>
    <row r="28" spans="1:32" x14ac:dyDescent="0.25">
      <c r="A28" t="s">
        <v>710</v>
      </c>
      <c r="B28" t="s">
        <v>74</v>
      </c>
      <c r="C28" t="s">
        <v>30</v>
      </c>
      <c r="D28" t="s">
        <v>75</v>
      </c>
      <c r="E28" t="s">
        <v>76</v>
      </c>
      <c r="F28">
        <v>4500478886</v>
      </c>
      <c r="G28" t="s">
        <v>12</v>
      </c>
      <c r="H28" t="s">
        <v>78</v>
      </c>
      <c r="I28" t="s">
        <v>76</v>
      </c>
      <c r="J28" s="1">
        <v>24142.66</v>
      </c>
      <c r="K28" s="1">
        <v>83683.95</v>
      </c>
      <c r="L28" t="str">
        <f>IFERROR(IF(VLOOKUP(LEFT(B28,2),'Humanitarian codes'!$A$2:$A$10,1,FALSE)=LEFT(B28,2),"Yes","Error"),"No")</f>
        <v>Yes</v>
      </c>
      <c r="AE28" s="1"/>
      <c r="AF28" s="1"/>
    </row>
    <row r="29" spans="1:32" x14ac:dyDescent="0.25">
      <c r="A29" t="s">
        <v>710</v>
      </c>
      <c r="B29" t="s">
        <v>74</v>
      </c>
      <c r="C29" t="s">
        <v>30</v>
      </c>
      <c r="D29" t="s">
        <v>75</v>
      </c>
      <c r="E29" t="s">
        <v>76</v>
      </c>
      <c r="F29">
        <v>4500479261</v>
      </c>
      <c r="G29" t="s">
        <v>12</v>
      </c>
      <c r="H29" t="s">
        <v>79</v>
      </c>
      <c r="I29" t="s">
        <v>76</v>
      </c>
      <c r="J29" s="1">
        <v>36455.42</v>
      </c>
      <c r="K29" s="1">
        <v>83524.009999999995</v>
      </c>
      <c r="L29" t="str">
        <f>IFERROR(IF(VLOOKUP(LEFT(B29,2),'Humanitarian codes'!$A$2:$A$10,1,FALSE)=LEFT(B29,2),"Yes","Error"),"No")</f>
        <v>Yes</v>
      </c>
      <c r="AE29" s="1"/>
      <c r="AF29" s="1"/>
    </row>
    <row r="30" spans="1:32" x14ac:dyDescent="0.25">
      <c r="A30" t="s">
        <v>710</v>
      </c>
      <c r="B30" t="s">
        <v>74</v>
      </c>
      <c r="C30" t="s">
        <v>30</v>
      </c>
      <c r="D30" t="s">
        <v>75</v>
      </c>
      <c r="E30" t="s">
        <v>76</v>
      </c>
      <c r="F30">
        <v>4500481336</v>
      </c>
      <c r="G30" t="s">
        <v>12</v>
      </c>
      <c r="H30" t="s">
        <v>80</v>
      </c>
      <c r="I30" t="s">
        <v>76</v>
      </c>
      <c r="J30" s="1">
        <v>29772.29</v>
      </c>
      <c r="K30" s="1">
        <v>50403.3</v>
      </c>
      <c r="L30" t="str">
        <f>IFERROR(IF(VLOOKUP(LEFT(B30,2),'Humanitarian codes'!$A$2:$A$10,1,FALSE)=LEFT(B30,2),"Yes","Error"),"No")</f>
        <v>Yes</v>
      </c>
      <c r="AE30" s="1"/>
      <c r="AF30" s="1"/>
    </row>
    <row r="31" spans="1:32" x14ac:dyDescent="0.25">
      <c r="A31" t="s">
        <v>710</v>
      </c>
      <c r="B31" t="s">
        <v>81</v>
      </c>
      <c r="C31" t="s">
        <v>30</v>
      </c>
      <c r="D31" t="s">
        <v>82</v>
      </c>
      <c r="E31" t="s">
        <v>83</v>
      </c>
      <c r="F31">
        <v>4500466661</v>
      </c>
      <c r="G31" t="s">
        <v>12</v>
      </c>
      <c r="H31" t="s">
        <v>84</v>
      </c>
      <c r="I31" t="s">
        <v>83</v>
      </c>
      <c r="J31" s="1">
        <v>7800</v>
      </c>
      <c r="K31" s="1">
        <v>65000</v>
      </c>
      <c r="L31" t="str">
        <f>IFERROR(IF(VLOOKUP(LEFT(B31,2),'Humanitarian codes'!$A$2:$A$10,1,FALSE)=LEFT(B31,2),"Yes","Error"),"No")</f>
        <v>Yes</v>
      </c>
      <c r="AE31" s="1"/>
      <c r="AF31" s="1"/>
    </row>
    <row r="32" spans="1:32" x14ac:dyDescent="0.25">
      <c r="A32" t="s">
        <v>710</v>
      </c>
      <c r="B32" t="s">
        <v>81</v>
      </c>
      <c r="C32" t="s">
        <v>30</v>
      </c>
      <c r="D32" t="s">
        <v>82</v>
      </c>
      <c r="E32" t="s">
        <v>83</v>
      </c>
      <c r="F32">
        <v>4500482347</v>
      </c>
      <c r="G32" t="s">
        <v>12</v>
      </c>
      <c r="H32" t="s">
        <v>85</v>
      </c>
      <c r="I32" t="s">
        <v>83</v>
      </c>
      <c r="J32" s="1">
        <v>190000</v>
      </c>
      <c r="K32" s="1">
        <v>190000</v>
      </c>
      <c r="L32" t="str">
        <f>IFERROR(IF(VLOOKUP(LEFT(B32,2),'Humanitarian codes'!$A$2:$A$10,1,FALSE)=LEFT(B32,2),"Yes","Error"),"No")</f>
        <v>Yes</v>
      </c>
      <c r="AE32" s="1"/>
      <c r="AF32" s="1"/>
    </row>
    <row r="33" spans="1:32" x14ac:dyDescent="0.25">
      <c r="A33" t="s">
        <v>710</v>
      </c>
      <c r="B33" t="s">
        <v>81</v>
      </c>
      <c r="C33" t="s">
        <v>30</v>
      </c>
      <c r="D33" t="s">
        <v>82</v>
      </c>
      <c r="E33" t="s">
        <v>83</v>
      </c>
      <c r="F33">
        <v>4500482390</v>
      </c>
      <c r="G33" t="s">
        <v>12</v>
      </c>
      <c r="H33" t="s">
        <v>86</v>
      </c>
      <c r="I33" t="s">
        <v>83</v>
      </c>
      <c r="J33" s="1">
        <v>322103.51</v>
      </c>
      <c r="K33" s="1">
        <v>322103.51</v>
      </c>
      <c r="L33" t="str">
        <f>IFERROR(IF(VLOOKUP(LEFT(B33,2),'Humanitarian codes'!$A$2:$A$10,1,FALSE)=LEFT(B33,2),"Yes","Error"),"No")</f>
        <v>Yes</v>
      </c>
      <c r="AE33" s="1"/>
      <c r="AF33" s="1"/>
    </row>
    <row r="34" spans="1:32" x14ac:dyDescent="0.25">
      <c r="A34" t="s">
        <v>710</v>
      </c>
      <c r="B34" t="s">
        <v>87</v>
      </c>
      <c r="C34" t="s">
        <v>30</v>
      </c>
      <c r="D34" t="s">
        <v>88</v>
      </c>
      <c r="E34" t="s">
        <v>32</v>
      </c>
      <c r="F34">
        <v>4500455133</v>
      </c>
      <c r="G34" t="s">
        <v>12</v>
      </c>
      <c r="H34" t="s">
        <v>89</v>
      </c>
      <c r="I34" t="s">
        <v>32</v>
      </c>
      <c r="J34" s="1">
        <v>110339</v>
      </c>
      <c r="K34" s="1">
        <v>110339</v>
      </c>
      <c r="L34" t="str">
        <f>IFERROR(IF(VLOOKUP(LEFT(B34,2),'Humanitarian codes'!$A$2:$A$10,1,FALSE)=LEFT(B34,2),"Yes","Error"),"No")</f>
        <v>Yes</v>
      </c>
      <c r="AE34" s="1"/>
      <c r="AF34" s="1"/>
    </row>
    <row r="35" spans="1:32" x14ac:dyDescent="0.25">
      <c r="A35" t="s">
        <v>710</v>
      </c>
      <c r="B35" t="s">
        <v>87</v>
      </c>
      <c r="C35" t="s">
        <v>30</v>
      </c>
      <c r="D35" t="s">
        <v>88</v>
      </c>
      <c r="E35" t="s">
        <v>32</v>
      </c>
      <c r="F35">
        <v>4500456546</v>
      </c>
      <c r="G35" t="s">
        <v>12</v>
      </c>
      <c r="H35" t="s">
        <v>90</v>
      </c>
      <c r="I35" t="s">
        <v>91</v>
      </c>
      <c r="J35" s="1">
        <v>246846</v>
      </c>
      <c r="K35" s="1">
        <v>246846</v>
      </c>
      <c r="L35" t="str">
        <f>IFERROR(IF(VLOOKUP(LEFT(B35,2),'Humanitarian codes'!$A$2:$A$10,1,FALSE)=LEFT(B35,2),"Yes","Error"),"No")</f>
        <v>Yes</v>
      </c>
      <c r="AE35" s="1"/>
      <c r="AF35" s="1"/>
    </row>
    <row r="36" spans="1:32" x14ac:dyDescent="0.25">
      <c r="A36" t="s">
        <v>710</v>
      </c>
      <c r="B36" t="s">
        <v>87</v>
      </c>
      <c r="C36" t="s">
        <v>30</v>
      </c>
      <c r="D36" t="s">
        <v>88</v>
      </c>
      <c r="E36" t="s">
        <v>32</v>
      </c>
      <c r="F36">
        <v>4500461601</v>
      </c>
      <c r="G36" t="s">
        <v>12</v>
      </c>
      <c r="H36" t="s">
        <v>92</v>
      </c>
      <c r="I36" t="s">
        <v>32</v>
      </c>
      <c r="J36" s="1">
        <v>180254</v>
      </c>
      <c r="K36" s="1">
        <v>180254</v>
      </c>
      <c r="L36" t="str">
        <f>IFERROR(IF(VLOOKUP(LEFT(B36,2),'Humanitarian codes'!$A$2:$A$10,1,FALSE)=LEFT(B36,2),"Yes","Error"),"No")</f>
        <v>Yes</v>
      </c>
      <c r="AE36" s="1"/>
      <c r="AF36" s="1"/>
    </row>
    <row r="37" spans="1:32" x14ac:dyDescent="0.25">
      <c r="A37" t="s">
        <v>710</v>
      </c>
      <c r="B37" t="s">
        <v>87</v>
      </c>
      <c r="C37" t="s">
        <v>30</v>
      </c>
      <c r="D37" t="s">
        <v>88</v>
      </c>
      <c r="E37" t="s">
        <v>32</v>
      </c>
      <c r="F37">
        <v>4500463632</v>
      </c>
      <c r="G37" t="s">
        <v>12</v>
      </c>
      <c r="H37" t="s">
        <v>93</v>
      </c>
      <c r="I37" t="s">
        <v>32</v>
      </c>
      <c r="J37" s="1">
        <v>249500</v>
      </c>
      <c r="K37" s="1">
        <v>249500</v>
      </c>
      <c r="L37" t="str">
        <f>IFERROR(IF(VLOOKUP(LEFT(B37,2),'Humanitarian codes'!$A$2:$A$10,1,FALSE)=LEFT(B37,2),"Yes","Error"),"No")</f>
        <v>Yes</v>
      </c>
      <c r="AE37" s="1"/>
      <c r="AF37" s="1"/>
    </row>
    <row r="38" spans="1:32" x14ac:dyDescent="0.25">
      <c r="A38" t="s">
        <v>710</v>
      </c>
      <c r="B38" t="s">
        <v>87</v>
      </c>
      <c r="C38" t="s">
        <v>30</v>
      </c>
      <c r="D38" t="s">
        <v>88</v>
      </c>
      <c r="E38" t="s">
        <v>32</v>
      </c>
      <c r="F38">
        <v>4500467289</v>
      </c>
      <c r="G38" t="s">
        <v>12</v>
      </c>
      <c r="H38" t="s">
        <v>94</v>
      </c>
      <c r="I38" t="s">
        <v>32</v>
      </c>
      <c r="J38" s="1">
        <v>209351</v>
      </c>
      <c r="K38" s="1">
        <v>299073</v>
      </c>
      <c r="L38" t="str">
        <f>IFERROR(IF(VLOOKUP(LEFT(B38,2),'Humanitarian codes'!$A$2:$A$10,1,FALSE)=LEFT(B38,2),"Yes","Error"),"No")</f>
        <v>Yes</v>
      </c>
      <c r="AE38" s="1"/>
      <c r="AF38" s="1"/>
    </row>
    <row r="39" spans="1:32" x14ac:dyDescent="0.25">
      <c r="A39" t="s">
        <v>710</v>
      </c>
      <c r="B39" t="s">
        <v>87</v>
      </c>
      <c r="C39" t="s">
        <v>30</v>
      </c>
      <c r="D39" t="s">
        <v>88</v>
      </c>
      <c r="E39" t="s">
        <v>32</v>
      </c>
      <c r="F39">
        <v>4500473373</v>
      </c>
      <c r="G39" t="s">
        <v>12</v>
      </c>
      <c r="H39" t="s">
        <v>95</v>
      </c>
      <c r="I39" t="s">
        <v>96</v>
      </c>
      <c r="J39" s="1">
        <v>241266</v>
      </c>
      <c r="K39" s="1">
        <v>241266</v>
      </c>
      <c r="L39" t="str">
        <f>IFERROR(IF(VLOOKUP(LEFT(B39,2),'Humanitarian codes'!$A$2:$A$10,1,FALSE)=LEFT(B39,2),"Yes","Error"),"No")</f>
        <v>Yes</v>
      </c>
      <c r="AE39" s="1"/>
      <c r="AF39" s="1"/>
    </row>
    <row r="40" spans="1:32" x14ac:dyDescent="0.25">
      <c r="A40" t="s">
        <v>710</v>
      </c>
      <c r="B40" t="s">
        <v>87</v>
      </c>
      <c r="C40" t="s">
        <v>30</v>
      </c>
      <c r="D40" t="s">
        <v>88</v>
      </c>
      <c r="E40" t="s">
        <v>32</v>
      </c>
      <c r="F40">
        <v>4500473594</v>
      </c>
      <c r="G40" t="s">
        <v>12</v>
      </c>
      <c r="H40" t="s">
        <v>97</v>
      </c>
      <c r="I40" t="s">
        <v>32</v>
      </c>
      <c r="J40" s="1">
        <v>129208</v>
      </c>
      <c r="K40" s="1">
        <v>129208</v>
      </c>
      <c r="L40" t="str">
        <f>IFERROR(IF(VLOOKUP(LEFT(B40,2),'Humanitarian codes'!$A$2:$A$10,1,FALSE)=LEFT(B40,2),"Yes","Error"),"No")</f>
        <v>Yes</v>
      </c>
      <c r="AE40" s="1"/>
      <c r="AF40" s="1"/>
    </row>
    <row r="41" spans="1:32" x14ac:dyDescent="0.25">
      <c r="A41" t="s">
        <v>710</v>
      </c>
      <c r="B41" t="s">
        <v>87</v>
      </c>
      <c r="C41" t="s">
        <v>30</v>
      </c>
      <c r="D41" t="s">
        <v>88</v>
      </c>
      <c r="E41" t="s">
        <v>32</v>
      </c>
      <c r="F41">
        <v>4500476670</v>
      </c>
      <c r="G41" t="s">
        <v>12</v>
      </c>
      <c r="H41" t="s">
        <v>98</v>
      </c>
      <c r="I41" t="s">
        <v>32</v>
      </c>
      <c r="J41" s="1">
        <v>57241</v>
      </c>
      <c r="K41" s="1">
        <v>57241</v>
      </c>
      <c r="L41" t="str">
        <f>IFERROR(IF(VLOOKUP(LEFT(B41,2),'Humanitarian codes'!$A$2:$A$10,1,FALSE)=LEFT(B41,2),"Yes","Error"),"No")</f>
        <v>Yes</v>
      </c>
      <c r="AE41" s="1"/>
      <c r="AF41" s="1"/>
    </row>
    <row r="42" spans="1:32" x14ac:dyDescent="0.25">
      <c r="A42" t="s">
        <v>710</v>
      </c>
      <c r="B42" t="s">
        <v>87</v>
      </c>
      <c r="C42" t="s">
        <v>30</v>
      </c>
      <c r="D42" t="s">
        <v>88</v>
      </c>
      <c r="E42" t="s">
        <v>32</v>
      </c>
      <c r="F42">
        <v>4500477023</v>
      </c>
      <c r="G42" t="s">
        <v>12</v>
      </c>
      <c r="H42" t="s">
        <v>99</v>
      </c>
      <c r="I42" t="s">
        <v>32</v>
      </c>
      <c r="J42" s="1">
        <v>71836</v>
      </c>
      <c r="K42" s="1">
        <v>71836</v>
      </c>
      <c r="L42" t="str">
        <f>IFERROR(IF(VLOOKUP(LEFT(B42,2),'Humanitarian codes'!$A$2:$A$10,1,FALSE)=LEFT(B42,2),"Yes","Error"),"No")</f>
        <v>Yes</v>
      </c>
      <c r="AE42" s="1"/>
      <c r="AF42" s="1"/>
    </row>
    <row r="43" spans="1:32" x14ac:dyDescent="0.25">
      <c r="A43" t="s">
        <v>710</v>
      </c>
      <c r="B43" t="s">
        <v>87</v>
      </c>
      <c r="C43" t="s">
        <v>30</v>
      </c>
      <c r="D43" t="s">
        <v>88</v>
      </c>
      <c r="E43" t="s">
        <v>32</v>
      </c>
      <c r="F43">
        <v>4500478272</v>
      </c>
      <c r="G43" t="s">
        <v>12</v>
      </c>
      <c r="H43" t="s">
        <v>100</v>
      </c>
      <c r="I43" t="s">
        <v>32</v>
      </c>
      <c r="J43" s="1">
        <v>53876</v>
      </c>
      <c r="K43" s="1">
        <v>53876</v>
      </c>
      <c r="L43" t="str">
        <f>IFERROR(IF(VLOOKUP(LEFT(B43,2),'Humanitarian codes'!$A$2:$A$10,1,FALSE)=LEFT(B43,2),"Yes","Error"),"No")</f>
        <v>Yes</v>
      </c>
      <c r="AE43" s="1"/>
      <c r="AF43" s="1"/>
    </row>
    <row r="44" spans="1:32" x14ac:dyDescent="0.25">
      <c r="A44" t="s">
        <v>710</v>
      </c>
      <c r="B44" t="s">
        <v>87</v>
      </c>
      <c r="C44" t="s">
        <v>30</v>
      </c>
      <c r="D44" t="s">
        <v>88</v>
      </c>
      <c r="E44" t="s">
        <v>32</v>
      </c>
      <c r="F44">
        <v>4500478480</v>
      </c>
      <c r="G44" t="s">
        <v>12</v>
      </c>
      <c r="H44" t="s">
        <v>101</v>
      </c>
      <c r="I44" t="s">
        <v>32</v>
      </c>
      <c r="J44" s="1">
        <v>149689</v>
      </c>
      <c r="K44" s="1">
        <v>149689</v>
      </c>
      <c r="L44" t="str">
        <f>IFERROR(IF(VLOOKUP(LEFT(B44,2),'Humanitarian codes'!$A$2:$A$10,1,FALSE)=LEFT(B44,2),"Yes","Error"),"No")</f>
        <v>Yes</v>
      </c>
      <c r="AE44" s="1"/>
      <c r="AF44" s="1"/>
    </row>
    <row r="45" spans="1:32" x14ac:dyDescent="0.25">
      <c r="A45" t="s">
        <v>710</v>
      </c>
      <c r="B45" t="s">
        <v>87</v>
      </c>
      <c r="C45" t="s">
        <v>30</v>
      </c>
      <c r="D45" t="s">
        <v>88</v>
      </c>
      <c r="E45" t="s">
        <v>32</v>
      </c>
      <c r="F45">
        <v>4500478857</v>
      </c>
      <c r="G45" t="s">
        <v>12</v>
      </c>
      <c r="H45" t="s">
        <v>102</v>
      </c>
      <c r="I45" t="s">
        <v>32</v>
      </c>
      <c r="J45" s="1">
        <v>50610</v>
      </c>
      <c r="K45" s="1">
        <v>50610</v>
      </c>
      <c r="L45" t="str">
        <f>IFERROR(IF(VLOOKUP(LEFT(B45,2),'Humanitarian codes'!$A$2:$A$10,1,FALSE)=LEFT(B45,2),"Yes","Error"),"No")</f>
        <v>Yes</v>
      </c>
      <c r="AE45" s="1"/>
      <c r="AF45" s="1"/>
    </row>
    <row r="46" spans="1:32" x14ac:dyDescent="0.25">
      <c r="A46" t="s">
        <v>710</v>
      </c>
      <c r="B46" t="s">
        <v>87</v>
      </c>
      <c r="C46" t="s">
        <v>30</v>
      </c>
      <c r="D46" t="s">
        <v>88</v>
      </c>
      <c r="E46" t="s">
        <v>32</v>
      </c>
      <c r="F46">
        <v>4500480460</v>
      </c>
      <c r="G46" t="s">
        <v>12</v>
      </c>
      <c r="H46" t="s">
        <v>103</v>
      </c>
      <c r="I46" t="s">
        <v>32</v>
      </c>
      <c r="J46" s="1">
        <v>50169</v>
      </c>
      <c r="K46" s="1">
        <v>50169</v>
      </c>
      <c r="L46" t="str">
        <f>IFERROR(IF(VLOOKUP(LEFT(B46,2),'Humanitarian codes'!$A$2:$A$10,1,FALSE)=LEFT(B46,2),"Yes","Error"),"No")</f>
        <v>Yes</v>
      </c>
      <c r="AE46" s="1"/>
      <c r="AF46" s="1"/>
    </row>
    <row r="47" spans="1:32" x14ac:dyDescent="0.25">
      <c r="A47" t="s">
        <v>710</v>
      </c>
      <c r="B47" t="s">
        <v>87</v>
      </c>
      <c r="C47" t="s">
        <v>30</v>
      </c>
      <c r="D47" t="s">
        <v>88</v>
      </c>
      <c r="E47" t="s">
        <v>32</v>
      </c>
      <c r="F47">
        <v>4500480863</v>
      </c>
      <c r="G47" t="s">
        <v>12</v>
      </c>
      <c r="H47" t="s">
        <v>104</v>
      </c>
      <c r="I47" t="s">
        <v>32</v>
      </c>
      <c r="J47" s="1">
        <v>242083</v>
      </c>
      <c r="K47" s="1">
        <v>242083</v>
      </c>
      <c r="L47" t="str">
        <f>IFERROR(IF(VLOOKUP(LEFT(B47,2),'Humanitarian codes'!$A$2:$A$10,1,FALSE)=LEFT(B47,2),"Yes","Error"),"No")</f>
        <v>Yes</v>
      </c>
      <c r="AE47" s="1"/>
      <c r="AF47" s="1"/>
    </row>
    <row r="48" spans="1:32" x14ac:dyDescent="0.25">
      <c r="A48" t="s">
        <v>710</v>
      </c>
      <c r="B48" t="s">
        <v>87</v>
      </c>
      <c r="C48" t="s">
        <v>30</v>
      </c>
      <c r="D48" t="s">
        <v>88</v>
      </c>
      <c r="E48" t="s">
        <v>32</v>
      </c>
      <c r="F48">
        <v>4500481579</v>
      </c>
      <c r="G48" t="s">
        <v>12</v>
      </c>
      <c r="H48" t="s">
        <v>105</v>
      </c>
      <c r="I48" t="s">
        <v>32</v>
      </c>
      <c r="J48" s="1">
        <v>277092</v>
      </c>
      <c r="K48" s="1">
        <v>277092</v>
      </c>
      <c r="L48" t="str">
        <f>IFERROR(IF(VLOOKUP(LEFT(B48,2),'Humanitarian codes'!$A$2:$A$10,1,FALSE)=LEFT(B48,2),"Yes","Error"),"No")</f>
        <v>Yes</v>
      </c>
      <c r="AE48" s="1"/>
      <c r="AF48" s="1"/>
    </row>
    <row r="49" spans="1:32" x14ac:dyDescent="0.25">
      <c r="A49" t="s">
        <v>710</v>
      </c>
      <c r="B49" t="s">
        <v>87</v>
      </c>
      <c r="C49" t="s">
        <v>30</v>
      </c>
      <c r="D49" t="s">
        <v>88</v>
      </c>
      <c r="E49" t="s">
        <v>32</v>
      </c>
      <c r="F49">
        <v>4500481638</v>
      </c>
      <c r="G49" t="s">
        <v>12</v>
      </c>
      <c r="H49" t="s">
        <v>106</v>
      </c>
      <c r="I49" t="s">
        <v>32</v>
      </c>
      <c r="J49" s="1">
        <v>31367</v>
      </c>
      <c r="K49" s="1">
        <v>31367</v>
      </c>
      <c r="L49" t="str">
        <f>IFERROR(IF(VLOOKUP(LEFT(B49,2),'Humanitarian codes'!$A$2:$A$10,1,FALSE)=LEFT(B49,2),"Yes","Error"),"No")</f>
        <v>Yes</v>
      </c>
      <c r="AE49" s="1"/>
      <c r="AF49" s="1"/>
    </row>
    <row r="50" spans="1:32" x14ac:dyDescent="0.25">
      <c r="A50" t="s">
        <v>710</v>
      </c>
      <c r="B50" t="s">
        <v>87</v>
      </c>
      <c r="C50" t="s">
        <v>30</v>
      </c>
      <c r="D50" t="s">
        <v>88</v>
      </c>
      <c r="E50" t="s">
        <v>32</v>
      </c>
      <c r="F50">
        <v>4500481640</v>
      </c>
      <c r="G50" t="s">
        <v>12</v>
      </c>
      <c r="H50" t="s">
        <v>101</v>
      </c>
      <c r="I50" t="s">
        <v>32</v>
      </c>
      <c r="J50" s="1">
        <v>92726</v>
      </c>
      <c r="K50" s="1">
        <v>92726</v>
      </c>
      <c r="L50" t="str">
        <f>IFERROR(IF(VLOOKUP(LEFT(B50,2),'Humanitarian codes'!$A$2:$A$10,1,FALSE)=LEFT(B50,2),"Yes","Error"),"No")</f>
        <v>Yes</v>
      </c>
      <c r="AE50" s="1"/>
      <c r="AF50" s="1"/>
    </row>
    <row r="51" spans="1:32" x14ac:dyDescent="0.25">
      <c r="A51" t="s">
        <v>710</v>
      </c>
      <c r="B51" t="s">
        <v>107</v>
      </c>
      <c r="C51" t="s">
        <v>30</v>
      </c>
      <c r="D51" t="s">
        <v>108</v>
      </c>
      <c r="E51" t="s">
        <v>109</v>
      </c>
      <c r="F51">
        <v>4500464337</v>
      </c>
      <c r="G51" t="s">
        <v>12</v>
      </c>
      <c r="H51" t="s">
        <v>110</v>
      </c>
      <c r="I51" t="s">
        <v>109</v>
      </c>
      <c r="J51" s="1">
        <v>206701.77</v>
      </c>
      <c r="K51" s="1">
        <v>206701.77</v>
      </c>
      <c r="L51" t="str">
        <f>IFERROR(IF(VLOOKUP(LEFT(B51,2),'Humanitarian codes'!$A$2:$A$10,1,FALSE)=LEFT(B51,2),"Yes","Error"),"No")</f>
        <v>Yes</v>
      </c>
      <c r="AE51" s="1"/>
      <c r="AF51" s="1"/>
    </row>
    <row r="52" spans="1:32" x14ac:dyDescent="0.25">
      <c r="A52" t="s">
        <v>710</v>
      </c>
      <c r="B52" t="s">
        <v>107</v>
      </c>
      <c r="C52" t="s">
        <v>30</v>
      </c>
      <c r="D52" t="s">
        <v>108</v>
      </c>
      <c r="E52" t="s">
        <v>109</v>
      </c>
      <c r="F52">
        <v>4500464364</v>
      </c>
      <c r="G52" t="s">
        <v>12</v>
      </c>
      <c r="H52" t="s">
        <v>111</v>
      </c>
      <c r="I52" t="s">
        <v>109</v>
      </c>
      <c r="J52" s="1">
        <v>206701.77</v>
      </c>
      <c r="K52" s="1">
        <v>206701.77</v>
      </c>
      <c r="L52" t="str">
        <f>IFERROR(IF(VLOOKUP(LEFT(B52,2),'Humanitarian codes'!$A$2:$A$10,1,FALSE)=LEFT(B52,2),"Yes","Error"),"No")</f>
        <v>Yes</v>
      </c>
      <c r="AE52" s="1"/>
      <c r="AF52" s="1"/>
    </row>
    <row r="53" spans="1:32" x14ac:dyDescent="0.25">
      <c r="A53" t="s">
        <v>710</v>
      </c>
      <c r="B53" t="s">
        <v>107</v>
      </c>
      <c r="C53" t="s">
        <v>30</v>
      </c>
      <c r="D53" t="s">
        <v>108</v>
      </c>
      <c r="E53" t="s">
        <v>109</v>
      </c>
      <c r="F53">
        <v>4500477699</v>
      </c>
      <c r="G53" t="s">
        <v>12</v>
      </c>
      <c r="H53" t="s">
        <v>112</v>
      </c>
      <c r="I53" t="s">
        <v>109</v>
      </c>
      <c r="J53" s="1">
        <v>31291.07</v>
      </c>
      <c r="K53" s="1">
        <v>34767.870000000003</v>
      </c>
      <c r="L53" t="str">
        <f>IFERROR(IF(VLOOKUP(LEFT(B53,2),'Humanitarian codes'!$A$2:$A$10,1,FALSE)=LEFT(B53,2),"Yes","Error"),"No")</f>
        <v>Yes</v>
      </c>
      <c r="AE53" s="1"/>
      <c r="AF53" s="1"/>
    </row>
    <row r="54" spans="1:32" x14ac:dyDescent="0.25">
      <c r="A54" t="s">
        <v>710</v>
      </c>
      <c r="B54" t="s">
        <v>107</v>
      </c>
      <c r="C54" t="s">
        <v>30</v>
      </c>
      <c r="D54" t="s">
        <v>108</v>
      </c>
      <c r="E54" t="s">
        <v>109</v>
      </c>
      <c r="F54">
        <v>4500477716</v>
      </c>
      <c r="G54" t="s">
        <v>12</v>
      </c>
      <c r="H54" t="s">
        <v>113</v>
      </c>
      <c r="I54" t="s">
        <v>109</v>
      </c>
      <c r="J54" s="1">
        <v>8235.99</v>
      </c>
      <c r="K54" s="1">
        <v>14449.1</v>
      </c>
      <c r="L54" t="str">
        <f>IFERROR(IF(VLOOKUP(LEFT(B54,2),'Humanitarian codes'!$A$2:$A$10,1,FALSE)=LEFT(B54,2),"Yes","Error"),"No")</f>
        <v>Yes</v>
      </c>
      <c r="AE54" s="1"/>
      <c r="AF54" s="1"/>
    </row>
    <row r="55" spans="1:32" x14ac:dyDescent="0.25">
      <c r="A55" t="s">
        <v>710</v>
      </c>
      <c r="B55" t="s">
        <v>107</v>
      </c>
      <c r="C55" t="s">
        <v>30</v>
      </c>
      <c r="D55" t="s">
        <v>108</v>
      </c>
      <c r="E55" t="s">
        <v>109</v>
      </c>
      <c r="F55">
        <v>4500477723</v>
      </c>
      <c r="G55" t="s">
        <v>12</v>
      </c>
      <c r="H55" t="s">
        <v>112</v>
      </c>
      <c r="I55" t="s">
        <v>109</v>
      </c>
      <c r="J55" s="1">
        <v>30382.2</v>
      </c>
      <c r="K55" s="1">
        <v>33758</v>
      </c>
      <c r="L55" t="str">
        <f>IFERROR(IF(VLOOKUP(LEFT(B55,2),'Humanitarian codes'!$A$2:$A$10,1,FALSE)=LEFT(B55,2),"Yes","Error"),"No")</f>
        <v>Yes</v>
      </c>
      <c r="AE55" s="1"/>
      <c r="AF55" s="1"/>
    </row>
    <row r="56" spans="1:32" x14ac:dyDescent="0.25">
      <c r="A56" t="s">
        <v>710</v>
      </c>
      <c r="B56" t="s">
        <v>107</v>
      </c>
      <c r="C56" t="s">
        <v>30</v>
      </c>
      <c r="D56" t="s">
        <v>108</v>
      </c>
      <c r="E56" t="s">
        <v>109</v>
      </c>
      <c r="F56">
        <v>4500477733</v>
      </c>
      <c r="G56" t="s">
        <v>12</v>
      </c>
      <c r="H56" t="s">
        <v>112</v>
      </c>
      <c r="I56" t="s">
        <v>109</v>
      </c>
      <c r="J56" s="1">
        <v>26060.02</v>
      </c>
      <c r="K56" s="1">
        <v>28955.58</v>
      </c>
      <c r="L56" t="str">
        <f>IFERROR(IF(VLOOKUP(LEFT(B56,2),'Humanitarian codes'!$A$2:$A$10,1,FALSE)=LEFT(B56,2),"Yes","Error"),"No")</f>
        <v>Yes</v>
      </c>
      <c r="AE56" s="1"/>
      <c r="AF56" s="1"/>
    </row>
    <row r="57" spans="1:32" x14ac:dyDescent="0.25">
      <c r="A57" t="s">
        <v>710</v>
      </c>
      <c r="B57" t="s">
        <v>107</v>
      </c>
      <c r="C57" t="s">
        <v>30</v>
      </c>
      <c r="D57" t="s">
        <v>108</v>
      </c>
      <c r="E57" t="s">
        <v>109</v>
      </c>
      <c r="F57">
        <v>4500477737</v>
      </c>
      <c r="G57" t="s">
        <v>12</v>
      </c>
      <c r="H57" t="s">
        <v>114</v>
      </c>
      <c r="I57" t="s">
        <v>109</v>
      </c>
      <c r="J57" s="1">
        <v>19165.68</v>
      </c>
      <c r="K57" s="1">
        <v>21295.21</v>
      </c>
      <c r="L57" t="str">
        <f>IFERROR(IF(VLOOKUP(LEFT(B57,2),'Humanitarian codes'!$A$2:$A$10,1,FALSE)=LEFT(B57,2),"Yes","Error"),"No")</f>
        <v>Yes</v>
      </c>
      <c r="AE57" s="1"/>
      <c r="AF57" s="1"/>
    </row>
    <row r="58" spans="1:32" x14ac:dyDescent="0.25">
      <c r="A58" t="s">
        <v>710</v>
      </c>
      <c r="B58" t="s">
        <v>107</v>
      </c>
      <c r="C58" t="s">
        <v>30</v>
      </c>
      <c r="D58" t="s">
        <v>108</v>
      </c>
      <c r="E58" t="s">
        <v>109</v>
      </c>
      <c r="F58">
        <v>4500477743</v>
      </c>
      <c r="G58" t="s">
        <v>12</v>
      </c>
      <c r="H58" t="s">
        <v>115</v>
      </c>
      <c r="I58" t="s">
        <v>109</v>
      </c>
      <c r="J58" s="1">
        <v>16882.18</v>
      </c>
      <c r="K58" s="1">
        <v>18757.98</v>
      </c>
      <c r="L58" t="str">
        <f>IFERROR(IF(VLOOKUP(LEFT(B58,2),'Humanitarian codes'!$A$2:$A$10,1,FALSE)=LEFT(B58,2),"Yes","Error"),"No")</f>
        <v>Yes</v>
      </c>
      <c r="AE58" s="1"/>
      <c r="AF58" s="1"/>
    </row>
    <row r="59" spans="1:32" x14ac:dyDescent="0.25">
      <c r="A59" t="s">
        <v>710</v>
      </c>
      <c r="B59" t="s">
        <v>107</v>
      </c>
      <c r="C59" t="s">
        <v>30</v>
      </c>
      <c r="D59" t="s">
        <v>108</v>
      </c>
      <c r="E59" t="s">
        <v>109</v>
      </c>
      <c r="F59">
        <v>4500477745</v>
      </c>
      <c r="G59" t="s">
        <v>12</v>
      </c>
      <c r="H59" t="s">
        <v>115</v>
      </c>
      <c r="I59" t="s">
        <v>109</v>
      </c>
      <c r="J59" s="1">
        <v>26203.34</v>
      </c>
      <c r="K59" s="1">
        <v>29114.81</v>
      </c>
      <c r="L59" t="str">
        <f>IFERROR(IF(VLOOKUP(LEFT(B59,2),'Humanitarian codes'!$A$2:$A$10,1,FALSE)=LEFT(B59,2),"Yes","Error"),"No")</f>
        <v>Yes</v>
      </c>
      <c r="AE59" s="1"/>
      <c r="AF59" s="1"/>
    </row>
    <row r="60" spans="1:32" x14ac:dyDescent="0.25">
      <c r="A60" t="s">
        <v>710</v>
      </c>
      <c r="B60" t="s">
        <v>107</v>
      </c>
      <c r="C60" t="s">
        <v>30</v>
      </c>
      <c r="D60" t="s">
        <v>108</v>
      </c>
      <c r="E60" t="s">
        <v>109</v>
      </c>
      <c r="F60">
        <v>4500477749</v>
      </c>
      <c r="G60" t="s">
        <v>12</v>
      </c>
      <c r="H60" t="s">
        <v>116</v>
      </c>
      <c r="I60" t="s">
        <v>109</v>
      </c>
      <c r="J60" s="1">
        <v>22405.83</v>
      </c>
      <c r="K60" s="1">
        <v>24895.360000000001</v>
      </c>
      <c r="L60" t="str">
        <f>IFERROR(IF(VLOOKUP(LEFT(B60,2),'Humanitarian codes'!$A$2:$A$10,1,FALSE)=LEFT(B60,2),"Yes","Error"),"No")</f>
        <v>Yes</v>
      </c>
      <c r="AE60" s="1"/>
      <c r="AF60" s="1"/>
    </row>
    <row r="61" spans="1:32" x14ac:dyDescent="0.25">
      <c r="A61" t="s">
        <v>710</v>
      </c>
      <c r="B61" t="s">
        <v>107</v>
      </c>
      <c r="C61" t="s">
        <v>30</v>
      </c>
      <c r="D61" t="s">
        <v>108</v>
      </c>
      <c r="E61" t="s">
        <v>109</v>
      </c>
      <c r="F61">
        <v>4500477756</v>
      </c>
      <c r="G61" t="s">
        <v>12</v>
      </c>
      <c r="H61" t="s">
        <v>117</v>
      </c>
      <c r="I61" t="s">
        <v>109</v>
      </c>
      <c r="J61" s="1">
        <v>21383.73</v>
      </c>
      <c r="K61" s="1">
        <v>37515.300000000003</v>
      </c>
      <c r="L61" t="str">
        <f>IFERROR(IF(VLOOKUP(LEFT(B61,2),'Humanitarian codes'!$A$2:$A$10,1,FALSE)=LEFT(B61,2),"Yes","Error"),"No")</f>
        <v>Yes</v>
      </c>
      <c r="AE61" s="1"/>
      <c r="AF61" s="1"/>
    </row>
    <row r="62" spans="1:32" x14ac:dyDescent="0.25">
      <c r="A62" t="s">
        <v>710</v>
      </c>
      <c r="B62" t="s">
        <v>107</v>
      </c>
      <c r="C62" t="s">
        <v>30</v>
      </c>
      <c r="D62" t="s">
        <v>108</v>
      </c>
      <c r="E62" t="s">
        <v>109</v>
      </c>
      <c r="F62">
        <v>4500477840</v>
      </c>
      <c r="G62" t="s">
        <v>12</v>
      </c>
      <c r="H62" t="s">
        <v>118</v>
      </c>
      <c r="I62" t="s">
        <v>109</v>
      </c>
      <c r="J62" s="1">
        <v>25786.240000000002</v>
      </c>
      <c r="K62" s="1">
        <v>28651.38</v>
      </c>
      <c r="L62" t="str">
        <f>IFERROR(IF(VLOOKUP(LEFT(B62,2),'Humanitarian codes'!$A$2:$A$10,1,FALSE)=LEFT(B62,2),"Yes","Error"),"No")</f>
        <v>Yes</v>
      </c>
      <c r="AE62" s="1"/>
      <c r="AF62" s="1"/>
    </row>
    <row r="63" spans="1:32" x14ac:dyDescent="0.25">
      <c r="A63" t="s">
        <v>710</v>
      </c>
      <c r="B63" t="s">
        <v>107</v>
      </c>
      <c r="C63" t="s">
        <v>30</v>
      </c>
      <c r="D63" t="s">
        <v>108</v>
      </c>
      <c r="E63" t="s">
        <v>109</v>
      </c>
      <c r="F63">
        <v>4500477846</v>
      </c>
      <c r="G63" t="s">
        <v>12</v>
      </c>
      <c r="H63" t="s">
        <v>119</v>
      </c>
      <c r="I63" t="s">
        <v>109</v>
      </c>
      <c r="J63" s="1">
        <v>24831.32</v>
      </c>
      <c r="K63" s="1">
        <v>27590.35</v>
      </c>
      <c r="L63" t="str">
        <f>IFERROR(IF(VLOOKUP(LEFT(B63,2),'Humanitarian codes'!$A$2:$A$10,1,FALSE)=LEFT(B63,2),"Yes","Error"),"No")</f>
        <v>Yes</v>
      </c>
      <c r="AE63" s="1"/>
      <c r="AF63" s="1"/>
    </row>
    <row r="64" spans="1:32" x14ac:dyDescent="0.25">
      <c r="A64" t="s">
        <v>710</v>
      </c>
      <c r="B64" t="s">
        <v>107</v>
      </c>
      <c r="C64" t="s">
        <v>30</v>
      </c>
      <c r="D64" t="s">
        <v>108</v>
      </c>
      <c r="E64" t="s">
        <v>109</v>
      </c>
      <c r="F64">
        <v>4500477858</v>
      </c>
      <c r="G64" t="s">
        <v>12</v>
      </c>
      <c r="H64" t="s">
        <v>115</v>
      </c>
      <c r="I64" t="s">
        <v>109</v>
      </c>
      <c r="J64" s="1">
        <v>41842.120000000003</v>
      </c>
      <c r="K64" s="1">
        <v>46491.25</v>
      </c>
      <c r="L64" t="str">
        <f>IFERROR(IF(VLOOKUP(LEFT(B64,2),'Humanitarian codes'!$A$2:$A$10,1,FALSE)=LEFT(B64,2),"Yes","Error"),"No")</f>
        <v>Yes</v>
      </c>
      <c r="AE64" s="1"/>
      <c r="AF64" s="1"/>
    </row>
    <row r="65" spans="1:32" x14ac:dyDescent="0.25">
      <c r="A65" t="s">
        <v>710</v>
      </c>
      <c r="B65" t="s">
        <v>107</v>
      </c>
      <c r="C65" t="s">
        <v>30</v>
      </c>
      <c r="D65" t="s">
        <v>108</v>
      </c>
      <c r="E65" t="s">
        <v>109</v>
      </c>
      <c r="F65">
        <v>4500477864</v>
      </c>
      <c r="G65" t="s">
        <v>12</v>
      </c>
      <c r="H65" t="s">
        <v>116</v>
      </c>
      <c r="I65" t="s">
        <v>109</v>
      </c>
      <c r="J65" s="1">
        <v>27194.3</v>
      </c>
      <c r="K65" s="1">
        <v>30215.89</v>
      </c>
      <c r="L65" t="str">
        <f>IFERROR(IF(VLOOKUP(LEFT(B65,2),'Humanitarian codes'!$A$2:$A$10,1,FALSE)=LEFT(B65,2),"Yes","Error"),"No")</f>
        <v>Yes</v>
      </c>
      <c r="AE65" s="1"/>
      <c r="AF65" s="1"/>
    </row>
    <row r="66" spans="1:32" x14ac:dyDescent="0.25">
      <c r="A66" t="s">
        <v>710</v>
      </c>
      <c r="B66" t="s">
        <v>107</v>
      </c>
      <c r="C66" t="s">
        <v>30</v>
      </c>
      <c r="D66" t="s">
        <v>108</v>
      </c>
      <c r="E66" t="s">
        <v>109</v>
      </c>
      <c r="F66">
        <v>4500477868</v>
      </c>
      <c r="G66" t="s">
        <v>12</v>
      </c>
      <c r="H66" t="s">
        <v>120</v>
      </c>
      <c r="I66" t="s">
        <v>109</v>
      </c>
      <c r="J66" s="1">
        <v>57143.8</v>
      </c>
      <c r="K66" s="1">
        <v>63493.1</v>
      </c>
      <c r="L66" t="str">
        <f>IFERROR(IF(VLOOKUP(LEFT(B66,2),'Humanitarian codes'!$A$2:$A$10,1,FALSE)=LEFT(B66,2),"Yes","Error"),"No")</f>
        <v>Yes</v>
      </c>
      <c r="AE66" s="1"/>
      <c r="AF66" s="1"/>
    </row>
    <row r="67" spans="1:32" x14ac:dyDescent="0.25">
      <c r="A67" t="s">
        <v>710</v>
      </c>
      <c r="B67" t="s">
        <v>107</v>
      </c>
      <c r="C67" t="s">
        <v>30</v>
      </c>
      <c r="D67" t="s">
        <v>108</v>
      </c>
      <c r="E67" t="s">
        <v>109</v>
      </c>
      <c r="F67">
        <v>4500480428</v>
      </c>
      <c r="G67" t="s">
        <v>12</v>
      </c>
      <c r="H67" t="s">
        <v>116</v>
      </c>
      <c r="I67" t="s">
        <v>109</v>
      </c>
      <c r="J67" s="1">
        <v>22982.76</v>
      </c>
      <c r="K67" s="1">
        <v>22982.76</v>
      </c>
      <c r="L67" t="str">
        <f>IFERROR(IF(VLOOKUP(LEFT(B67,2),'Humanitarian codes'!$A$2:$A$10,1,FALSE)=LEFT(B67,2),"Yes","Error"),"No")</f>
        <v>Yes</v>
      </c>
      <c r="AE67" s="1"/>
      <c r="AF67" s="1"/>
    </row>
    <row r="68" spans="1:32" x14ac:dyDescent="0.25">
      <c r="A68" t="s">
        <v>710</v>
      </c>
      <c r="B68" t="s">
        <v>107</v>
      </c>
      <c r="C68" t="s">
        <v>30</v>
      </c>
      <c r="D68" t="s">
        <v>108</v>
      </c>
      <c r="E68" t="s">
        <v>109</v>
      </c>
      <c r="F68">
        <v>4500480430</v>
      </c>
      <c r="G68" t="s">
        <v>12</v>
      </c>
      <c r="H68" t="s">
        <v>115</v>
      </c>
      <c r="I68" t="s">
        <v>109</v>
      </c>
      <c r="J68" s="1">
        <v>22982.76</v>
      </c>
      <c r="K68" s="1">
        <v>22982.76</v>
      </c>
      <c r="L68" t="str">
        <f>IFERROR(IF(VLOOKUP(LEFT(B68,2),'Humanitarian codes'!$A$2:$A$10,1,FALSE)=LEFT(B68,2),"Yes","Error"),"No")</f>
        <v>Yes</v>
      </c>
      <c r="AE68" s="1"/>
      <c r="AF68" s="1"/>
    </row>
    <row r="69" spans="1:32" x14ac:dyDescent="0.25">
      <c r="A69" t="s">
        <v>710</v>
      </c>
      <c r="B69" t="s">
        <v>121</v>
      </c>
      <c r="C69" t="s">
        <v>30</v>
      </c>
      <c r="D69" t="s">
        <v>122</v>
      </c>
      <c r="E69" t="s">
        <v>123</v>
      </c>
      <c r="F69">
        <v>4500456641</v>
      </c>
      <c r="G69" t="s">
        <v>12</v>
      </c>
      <c r="H69" t="s">
        <v>124</v>
      </c>
      <c r="I69" t="s">
        <v>123</v>
      </c>
      <c r="J69" s="1">
        <v>31367.26</v>
      </c>
      <c r="K69" s="1">
        <v>46363.39</v>
      </c>
      <c r="L69" t="str">
        <f>IFERROR(IF(VLOOKUP(LEFT(B69,2),'Humanitarian codes'!$A$2:$A$10,1,FALSE)=LEFT(B69,2),"Yes","Error"),"No")</f>
        <v>Yes</v>
      </c>
      <c r="AE69" s="1"/>
      <c r="AF69" s="1"/>
    </row>
    <row r="70" spans="1:32" x14ac:dyDescent="0.25">
      <c r="A70" t="s">
        <v>710</v>
      </c>
      <c r="B70" t="s">
        <v>121</v>
      </c>
      <c r="C70" t="s">
        <v>30</v>
      </c>
      <c r="D70" t="s">
        <v>122</v>
      </c>
      <c r="E70" t="s">
        <v>123</v>
      </c>
      <c r="F70">
        <v>4500479389</v>
      </c>
      <c r="G70" t="s">
        <v>12</v>
      </c>
      <c r="H70" t="s">
        <v>125</v>
      </c>
      <c r="I70" t="s">
        <v>123</v>
      </c>
      <c r="J70" s="1">
        <v>1270495.2</v>
      </c>
      <c r="K70" s="1">
        <v>1270495.2</v>
      </c>
      <c r="L70" t="str">
        <f>IFERROR(IF(VLOOKUP(LEFT(B70,2),'Humanitarian codes'!$A$2:$A$10,1,FALSE)=LEFT(B70,2),"Yes","Error"),"No")</f>
        <v>Yes</v>
      </c>
      <c r="AF70" s="1"/>
    </row>
    <row r="71" spans="1:32" x14ac:dyDescent="0.25">
      <c r="A71" t="s">
        <v>710</v>
      </c>
      <c r="B71" t="s">
        <v>121</v>
      </c>
      <c r="C71" t="s">
        <v>30</v>
      </c>
      <c r="D71" t="s">
        <v>122</v>
      </c>
      <c r="E71" t="s">
        <v>123</v>
      </c>
      <c r="F71">
        <v>4500480827</v>
      </c>
      <c r="G71" t="s">
        <v>12</v>
      </c>
      <c r="H71" t="s">
        <v>124</v>
      </c>
      <c r="I71" t="s">
        <v>123</v>
      </c>
      <c r="J71" s="1">
        <v>6378.5</v>
      </c>
      <c r="K71" s="1">
        <v>6378.5</v>
      </c>
      <c r="L71" t="str">
        <f>IFERROR(IF(VLOOKUP(LEFT(B71,2),'Humanitarian codes'!$A$2:$A$10,1,FALSE)=LEFT(B71,2),"Yes","Error"),"No")</f>
        <v>Yes</v>
      </c>
      <c r="AE71" s="1"/>
      <c r="AF71" s="1"/>
    </row>
    <row r="72" spans="1:32" x14ac:dyDescent="0.25">
      <c r="A72" t="s">
        <v>710</v>
      </c>
      <c r="B72" t="s">
        <v>126</v>
      </c>
      <c r="C72" t="s">
        <v>30</v>
      </c>
      <c r="D72" t="s">
        <v>127</v>
      </c>
      <c r="E72" t="s">
        <v>128</v>
      </c>
      <c r="F72">
        <v>4500462153</v>
      </c>
      <c r="G72" t="s">
        <v>12</v>
      </c>
      <c r="H72" t="s">
        <v>129</v>
      </c>
      <c r="I72" t="s">
        <v>128</v>
      </c>
      <c r="J72" s="1">
        <v>57000</v>
      </c>
      <c r="K72" s="1">
        <v>57000</v>
      </c>
      <c r="L72" t="str">
        <f>IFERROR(IF(VLOOKUP(LEFT(B72,2),'Humanitarian codes'!$A$2:$A$10,1,FALSE)=LEFT(B72,2),"Yes","Error"),"No")</f>
        <v>Yes</v>
      </c>
      <c r="AE72" s="1"/>
      <c r="AF72" s="1"/>
    </row>
    <row r="73" spans="1:32" x14ac:dyDescent="0.25">
      <c r="A73" t="s">
        <v>710</v>
      </c>
      <c r="B73" t="s">
        <v>130</v>
      </c>
      <c r="C73" t="s">
        <v>30</v>
      </c>
      <c r="D73" t="s">
        <v>131</v>
      </c>
      <c r="E73" t="s">
        <v>132</v>
      </c>
      <c r="F73">
        <v>4500455317</v>
      </c>
      <c r="G73" t="s">
        <v>12</v>
      </c>
      <c r="H73" t="s">
        <v>133</v>
      </c>
      <c r="I73" t="s">
        <v>132</v>
      </c>
      <c r="J73" s="1">
        <v>277422.69</v>
      </c>
      <c r="K73" s="1">
        <v>277422.69</v>
      </c>
      <c r="L73" t="str">
        <f>IFERROR(IF(VLOOKUP(LEFT(B73,2),'Humanitarian codes'!$A$2:$A$10,1,FALSE)=LEFT(B73,2),"Yes","Error"),"No")</f>
        <v>Yes</v>
      </c>
      <c r="AE73" s="1"/>
      <c r="AF73" s="1"/>
    </row>
    <row r="74" spans="1:32" x14ac:dyDescent="0.25">
      <c r="A74" t="s">
        <v>710</v>
      </c>
      <c r="B74" t="s">
        <v>130</v>
      </c>
      <c r="C74" t="s">
        <v>30</v>
      </c>
      <c r="D74" t="s">
        <v>131</v>
      </c>
      <c r="E74" t="s">
        <v>132</v>
      </c>
      <c r="F74">
        <v>4500455319</v>
      </c>
      <c r="G74" t="s">
        <v>12</v>
      </c>
      <c r="H74" t="s">
        <v>134</v>
      </c>
      <c r="I74" t="s">
        <v>132</v>
      </c>
      <c r="J74" s="1">
        <v>156982.16</v>
      </c>
      <c r="K74" s="1">
        <v>156982.16</v>
      </c>
      <c r="L74" t="str">
        <f>IFERROR(IF(VLOOKUP(LEFT(B74,2),'Humanitarian codes'!$A$2:$A$10,1,FALSE)=LEFT(B74,2),"Yes","Error"),"No")</f>
        <v>Yes</v>
      </c>
      <c r="AF74" s="1"/>
    </row>
    <row r="75" spans="1:32" x14ac:dyDescent="0.25">
      <c r="A75" t="s">
        <v>710</v>
      </c>
      <c r="B75" t="s">
        <v>130</v>
      </c>
      <c r="C75" t="s">
        <v>30</v>
      </c>
      <c r="D75" t="s">
        <v>131</v>
      </c>
      <c r="E75" t="s">
        <v>132</v>
      </c>
      <c r="F75">
        <v>4500459912</v>
      </c>
      <c r="G75" t="s">
        <v>12</v>
      </c>
      <c r="H75" t="s">
        <v>135</v>
      </c>
      <c r="I75" t="s">
        <v>20</v>
      </c>
      <c r="J75" s="1">
        <v>154184.75</v>
      </c>
      <c r="K75" s="1">
        <v>154184.75</v>
      </c>
      <c r="L75" t="str">
        <f>IFERROR(IF(VLOOKUP(LEFT(B75,2),'Humanitarian codes'!$A$2:$A$10,1,FALSE)=LEFT(B75,2),"Yes","Error"),"No")</f>
        <v>Yes</v>
      </c>
      <c r="AE75" s="1"/>
      <c r="AF75" s="1"/>
    </row>
    <row r="76" spans="1:32" x14ac:dyDescent="0.25">
      <c r="A76" t="s">
        <v>710</v>
      </c>
      <c r="B76" t="s">
        <v>130</v>
      </c>
      <c r="C76" t="s">
        <v>30</v>
      </c>
      <c r="D76" t="s">
        <v>131</v>
      </c>
      <c r="E76" t="s">
        <v>132</v>
      </c>
      <c r="F76">
        <v>4500460266</v>
      </c>
      <c r="G76" t="s">
        <v>12</v>
      </c>
      <c r="H76" t="s">
        <v>136</v>
      </c>
      <c r="I76" t="s">
        <v>132</v>
      </c>
      <c r="J76" s="1">
        <v>270558.86</v>
      </c>
      <c r="K76" s="1">
        <v>270558.86</v>
      </c>
      <c r="L76" t="str">
        <f>IFERROR(IF(VLOOKUP(LEFT(B76,2),'Humanitarian codes'!$A$2:$A$10,1,FALSE)=LEFT(B76,2),"Yes","Error"),"No")</f>
        <v>Yes</v>
      </c>
      <c r="AE76" s="1"/>
      <c r="AF76" s="1"/>
    </row>
    <row r="77" spans="1:32" x14ac:dyDescent="0.25">
      <c r="A77" t="s">
        <v>710</v>
      </c>
      <c r="B77" t="s">
        <v>130</v>
      </c>
      <c r="C77" t="s">
        <v>30</v>
      </c>
      <c r="D77" t="s">
        <v>131</v>
      </c>
      <c r="E77" t="s">
        <v>132</v>
      </c>
      <c r="F77">
        <v>4500460415</v>
      </c>
      <c r="G77" t="s">
        <v>12</v>
      </c>
      <c r="H77" t="s">
        <v>137</v>
      </c>
      <c r="I77" t="s">
        <v>132</v>
      </c>
      <c r="J77" s="1">
        <v>137232.57999999999</v>
      </c>
      <c r="K77" s="1">
        <v>137232.57999999999</v>
      </c>
      <c r="L77" t="str">
        <f>IFERROR(IF(VLOOKUP(LEFT(B77,2),'Humanitarian codes'!$A$2:$A$10,1,FALSE)=LEFT(B77,2),"Yes","Error"),"No")</f>
        <v>Yes</v>
      </c>
      <c r="AE77" s="1"/>
      <c r="AF77" s="1"/>
    </row>
    <row r="78" spans="1:32" x14ac:dyDescent="0.25">
      <c r="A78" t="s">
        <v>710</v>
      </c>
      <c r="B78" t="s">
        <v>130</v>
      </c>
      <c r="C78" t="s">
        <v>30</v>
      </c>
      <c r="D78" t="s">
        <v>131</v>
      </c>
      <c r="E78" t="s">
        <v>132</v>
      </c>
      <c r="F78">
        <v>4500461159</v>
      </c>
      <c r="G78" t="s">
        <v>12</v>
      </c>
      <c r="H78" t="s">
        <v>138</v>
      </c>
      <c r="I78" t="s">
        <v>132</v>
      </c>
      <c r="J78" s="1">
        <v>261173.44</v>
      </c>
      <c r="K78" s="1">
        <v>261173.44</v>
      </c>
      <c r="L78" t="str">
        <f>IFERROR(IF(VLOOKUP(LEFT(B78,2),'Humanitarian codes'!$A$2:$A$10,1,FALSE)=LEFT(B78,2),"Yes","Error"),"No")</f>
        <v>Yes</v>
      </c>
      <c r="AE78" s="1"/>
      <c r="AF78" s="1"/>
    </row>
    <row r="79" spans="1:32" x14ac:dyDescent="0.25">
      <c r="A79" t="s">
        <v>710</v>
      </c>
      <c r="B79" t="s">
        <v>130</v>
      </c>
      <c r="C79" t="s">
        <v>30</v>
      </c>
      <c r="D79" t="s">
        <v>131</v>
      </c>
      <c r="E79" t="s">
        <v>132</v>
      </c>
      <c r="F79">
        <v>4500462590</v>
      </c>
      <c r="G79" t="s">
        <v>12</v>
      </c>
      <c r="H79" t="s">
        <v>139</v>
      </c>
      <c r="I79" t="s">
        <v>132</v>
      </c>
      <c r="J79" s="1">
        <v>303648.71999999997</v>
      </c>
      <c r="K79" s="1">
        <v>303648.71999999997</v>
      </c>
      <c r="L79" t="str">
        <f>IFERROR(IF(VLOOKUP(LEFT(B79,2),'Humanitarian codes'!$A$2:$A$10,1,FALSE)=LEFT(B79,2),"Yes","Error"),"No")</f>
        <v>Yes</v>
      </c>
      <c r="AE79" s="1"/>
      <c r="AF79" s="1"/>
    </row>
    <row r="80" spans="1:32" x14ac:dyDescent="0.25">
      <c r="A80" t="s">
        <v>710</v>
      </c>
      <c r="B80" t="s">
        <v>130</v>
      </c>
      <c r="C80" t="s">
        <v>30</v>
      </c>
      <c r="D80" t="s">
        <v>131</v>
      </c>
      <c r="E80" t="s">
        <v>132</v>
      </c>
      <c r="F80">
        <v>4500462819</v>
      </c>
      <c r="G80" t="s">
        <v>12</v>
      </c>
      <c r="H80" t="s">
        <v>140</v>
      </c>
      <c r="I80" t="s">
        <v>132</v>
      </c>
      <c r="J80" s="1">
        <v>207460.84</v>
      </c>
      <c r="K80" s="1">
        <v>207460.84</v>
      </c>
      <c r="L80" t="str">
        <f>IFERROR(IF(VLOOKUP(LEFT(B80,2),'Humanitarian codes'!$A$2:$A$10,1,FALSE)=LEFT(B80,2),"Yes","Error"),"No")</f>
        <v>Yes</v>
      </c>
      <c r="AE80" s="1"/>
      <c r="AF80" s="1"/>
    </row>
    <row r="81" spans="1:32" x14ac:dyDescent="0.25">
      <c r="A81" t="s">
        <v>710</v>
      </c>
      <c r="B81" t="s">
        <v>130</v>
      </c>
      <c r="C81" t="s">
        <v>30</v>
      </c>
      <c r="D81" t="s">
        <v>131</v>
      </c>
      <c r="E81" t="s">
        <v>132</v>
      </c>
      <c r="F81">
        <v>4500462983</v>
      </c>
      <c r="G81" t="s">
        <v>12</v>
      </c>
      <c r="H81" t="s">
        <v>141</v>
      </c>
      <c r="I81" t="s">
        <v>132</v>
      </c>
      <c r="J81" s="1">
        <v>285135.06</v>
      </c>
      <c r="K81" s="1">
        <v>285135.06</v>
      </c>
      <c r="L81" t="str">
        <f>IFERROR(IF(VLOOKUP(LEFT(B81,2),'Humanitarian codes'!$A$2:$A$10,1,FALSE)=LEFT(B81,2),"Yes","Error"),"No")</f>
        <v>Yes</v>
      </c>
      <c r="AE81" s="1"/>
      <c r="AF81" s="1"/>
    </row>
    <row r="82" spans="1:32" x14ac:dyDescent="0.25">
      <c r="A82" t="s">
        <v>710</v>
      </c>
      <c r="B82" t="s">
        <v>130</v>
      </c>
      <c r="C82" t="s">
        <v>30</v>
      </c>
      <c r="D82" t="s">
        <v>131</v>
      </c>
      <c r="E82" t="s">
        <v>132</v>
      </c>
      <c r="F82">
        <v>4500474516</v>
      </c>
      <c r="G82" t="s">
        <v>12</v>
      </c>
      <c r="H82" t="s">
        <v>142</v>
      </c>
      <c r="I82" t="s">
        <v>132</v>
      </c>
      <c r="J82" s="1">
        <v>161669.94</v>
      </c>
      <c r="K82" s="1">
        <v>161669.94</v>
      </c>
      <c r="L82" t="str">
        <f>IFERROR(IF(VLOOKUP(LEFT(B82,2),'Humanitarian codes'!$A$2:$A$10,1,FALSE)=LEFT(B82,2),"Yes","Error"),"No")</f>
        <v>Yes</v>
      </c>
      <c r="AE82" s="1"/>
      <c r="AF82" s="1"/>
    </row>
    <row r="83" spans="1:32" x14ac:dyDescent="0.25">
      <c r="A83" t="s">
        <v>710</v>
      </c>
      <c r="B83" t="s">
        <v>130</v>
      </c>
      <c r="C83" t="s">
        <v>30</v>
      </c>
      <c r="D83" t="s">
        <v>131</v>
      </c>
      <c r="E83" t="s">
        <v>132</v>
      </c>
      <c r="F83">
        <v>4500474535</v>
      </c>
      <c r="G83" t="s">
        <v>12</v>
      </c>
      <c r="H83" t="s">
        <v>143</v>
      </c>
      <c r="I83" t="s">
        <v>132</v>
      </c>
      <c r="J83" s="1">
        <v>126933.12</v>
      </c>
      <c r="K83" s="1">
        <v>126933.12</v>
      </c>
      <c r="L83" t="str">
        <f>IFERROR(IF(VLOOKUP(LEFT(B83,2),'Humanitarian codes'!$A$2:$A$10,1,FALSE)=LEFT(B83,2),"Yes","Error"),"No")</f>
        <v>Yes</v>
      </c>
      <c r="AE83" s="1"/>
      <c r="AF83" s="1"/>
    </row>
    <row r="84" spans="1:32" x14ac:dyDescent="0.25">
      <c r="A84" t="s">
        <v>710</v>
      </c>
      <c r="B84" t="s">
        <v>144</v>
      </c>
      <c r="C84" t="s">
        <v>30</v>
      </c>
      <c r="D84" t="s">
        <v>145</v>
      </c>
      <c r="E84" t="s">
        <v>146</v>
      </c>
      <c r="F84">
        <v>4500472898</v>
      </c>
      <c r="G84" t="s">
        <v>12</v>
      </c>
      <c r="H84" t="s">
        <v>147</v>
      </c>
      <c r="I84" t="s">
        <v>146</v>
      </c>
      <c r="J84" s="1">
        <v>120384.94</v>
      </c>
      <c r="K84" s="1">
        <v>120384.94</v>
      </c>
      <c r="L84" t="str">
        <f>IFERROR(IF(VLOOKUP(LEFT(B84,2),'Humanitarian codes'!$A$2:$A$10,1,FALSE)=LEFT(B84,2),"Yes","Error"),"No")</f>
        <v>Yes</v>
      </c>
      <c r="AE84" s="1"/>
      <c r="AF84" s="1"/>
    </row>
    <row r="85" spans="1:32" x14ac:dyDescent="0.25">
      <c r="A85" t="s">
        <v>710</v>
      </c>
      <c r="B85" t="s">
        <v>148</v>
      </c>
      <c r="C85" t="s">
        <v>30</v>
      </c>
      <c r="D85" t="s">
        <v>149</v>
      </c>
      <c r="E85" t="s">
        <v>150</v>
      </c>
      <c r="F85">
        <v>4500468271</v>
      </c>
      <c r="G85" t="s">
        <v>12</v>
      </c>
      <c r="H85" t="s">
        <v>151</v>
      </c>
      <c r="I85" t="s">
        <v>150</v>
      </c>
      <c r="J85" s="1">
        <v>29856.35</v>
      </c>
      <c r="K85" s="1">
        <v>29856.35</v>
      </c>
      <c r="L85" t="str">
        <f>IFERROR(IF(VLOOKUP(LEFT(B85,2),'Humanitarian codes'!$A$2:$A$10,1,FALSE)=LEFT(B85,2),"Yes","Error"),"No")</f>
        <v>Yes</v>
      </c>
      <c r="AE85" s="1"/>
      <c r="AF85" s="1"/>
    </row>
    <row r="86" spans="1:32" x14ac:dyDescent="0.25">
      <c r="A86" t="s">
        <v>710</v>
      </c>
      <c r="B86" t="s">
        <v>148</v>
      </c>
      <c r="C86" t="s">
        <v>30</v>
      </c>
      <c r="D86" t="s">
        <v>149</v>
      </c>
      <c r="E86" t="s">
        <v>150</v>
      </c>
      <c r="F86">
        <v>4500470712</v>
      </c>
      <c r="G86" t="s">
        <v>12</v>
      </c>
      <c r="H86" t="s">
        <v>152</v>
      </c>
      <c r="I86" t="s">
        <v>150</v>
      </c>
      <c r="J86" s="1">
        <v>29884.29</v>
      </c>
      <c r="K86" s="1">
        <v>29884.29</v>
      </c>
      <c r="L86" t="str">
        <f>IFERROR(IF(VLOOKUP(LEFT(B86,2),'Humanitarian codes'!$A$2:$A$10,1,FALSE)=LEFT(B86,2),"Yes","Error"),"No")</f>
        <v>Yes</v>
      </c>
      <c r="AE86" s="1"/>
      <c r="AF86" s="1"/>
    </row>
    <row r="87" spans="1:32" x14ac:dyDescent="0.25">
      <c r="A87" t="s">
        <v>710</v>
      </c>
      <c r="B87" t="s">
        <v>153</v>
      </c>
      <c r="C87" t="s">
        <v>30</v>
      </c>
      <c r="D87" t="s">
        <v>154</v>
      </c>
      <c r="E87" t="s">
        <v>155</v>
      </c>
      <c r="F87">
        <v>4500454829</v>
      </c>
      <c r="G87" t="s">
        <v>12</v>
      </c>
      <c r="H87" t="s">
        <v>156</v>
      </c>
      <c r="I87" t="s">
        <v>155</v>
      </c>
      <c r="J87" s="1">
        <v>36000</v>
      </c>
      <c r="K87" s="1">
        <v>36000</v>
      </c>
      <c r="L87" t="str">
        <f>IFERROR(IF(VLOOKUP(LEFT(B87,2),'Humanitarian codes'!$A$2:$A$10,1,FALSE)=LEFT(B87,2),"Yes","Error"),"No")</f>
        <v>Yes</v>
      </c>
      <c r="AE87" s="1"/>
      <c r="AF87" s="1"/>
    </row>
    <row r="88" spans="1:32" x14ac:dyDescent="0.25">
      <c r="A88" t="s">
        <v>710</v>
      </c>
      <c r="B88" t="s">
        <v>157</v>
      </c>
      <c r="C88" t="s">
        <v>30</v>
      </c>
      <c r="D88" t="s">
        <v>158</v>
      </c>
      <c r="E88" t="s">
        <v>159</v>
      </c>
      <c r="F88">
        <v>4500456750</v>
      </c>
      <c r="G88" t="s">
        <v>12</v>
      </c>
      <c r="H88" t="s">
        <v>160</v>
      </c>
      <c r="I88" t="s">
        <v>72</v>
      </c>
      <c r="J88" s="1">
        <v>40000</v>
      </c>
      <c r="K88" s="1">
        <v>175000</v>
      </c>
      <c r="L88" t="str">
        <f>IFERROR(IF(VLOOKUP(LEFT(B88,2),'Humanitarian codes'!$A$2:$A$10,1,FALSE)=LEFT(B88,2),"Yes","Error"),"No")</f>
        <v>Yes</v>
      </c>
      <c r="AE88" s="1"/>
      <c r="AF88" s="1"/>
    </row>
    <row r="89" spans="1:32" x14ac:dyDescent="0.25">
      <c r="A89" t="s">
        <v>710</v>
      </c>
      <c r="B89" t="s">
        <v>161</v>
      </c>
      <c r="C89" t="s">
        <v>30</v>
      </c>
      <c r="D89" t="s">
        <v>162</v>
      </c>
      <c r="E89" t="s">
        <v>163</v>
      </c>
      <c r="F89">
        <v>4500478748</v>
      </c>
      <c r="G89" t="s">
        <v>12</v>
      </c>
      <c r="H89" t="s">
        <v>164</v>
      </c>
      <c r="I89" t="s">
        <v>163</v>
      </c>
      <c r="J89" s="1">
        <v>16626</v>
      </c>
      <c r="K89" s="1">
        <v>55420</v>
      </c>
      <c r="L89" t="str">
        <f>IFERROR(IF(VLOOKUP(LEFT(B89,2),'Humanitarian codes'!$A$2:$A$10,1,FALSE)=LEFT(B89,2),"Yes","Error"),"No")</f>
        <v>Yes</v>
      </c>
      <c r="AE89" s="1"/>
      <c r="AF89" s="1"/>
    </row>
    <row r="90" spans="1:32" x14ac:dyDescent="0.25">
      <c r="A90" t="s">
        <v>710</v>
      </c>
      <c r="B90" t="s">
        <v>161</v>
      </c>
      <c r="C90" t="s">
        <v>30</v>
      </c>
      <c r="D90" t="s">
        <v>162</v>
      </c>
      <c r="E90" t="s">
        <v>32</v>
      </c>
      <c r="F90">
        <v>4500467289</v>
      </c>
      <c r="G90" t="s">
        <v>12</v>
      </c>
      <c r="H90" t="s">
        <v>94</v>
      </c>
      <c r="I90" t="s">
        <v>32</v>
      </c>
      <c r="J90" s="1">
        <v>89722</v>
      </c>
      <c r="K90" s="1">
        <v>299073</v>
      </c>
      <c r="L90" t="str">
        <f>IFERROR(IF(VLOOKUP(LEFT(B90,2),'Humanitarian codes'!$A$2:$A$10,1,FALSE)=LEFT(B90,2),"Yes","Error"),"No")</f>
        <v>Yes</v>
      </c>
      <c r="AE90" s="1"/>
      <c r="AF90" s="1"/>
    </row>
    <row r="91" spans="1:32" x14ac:dyDescent="0.25">
      <c r="A91" t="s">
        <v>710</v>
      </c>
      <c r="B91" t="s">
        <v>165</v>
      </c>
      <c r="C91" t="s">
        <v>30</v>
      </c>
      <c r="D91" t="s">
        <v>166</v>
      </c>
      <c r="E91" t="s">
        <v>167</v>
      </c>
      <c r="F91">
        <v>4500469132</v>
      </c>
      <c r="G91" t="s">
        <v>12</v>
      </c>
      <c r="H91" t="s">
        <v>168</v>
      </c>
      <c r="I91" t="s">
        <v>167</v>
      </c>
      <c r="J91" s="1">
        <v>49635.18</v>
      </c>
      <c r="K91" s="1">
        <v>49635.18</v>
      </c>
      <c r="L91" t="str">
        <f>IFERROR(IF(VLOOKUP(LEFT(B91,2),'Humanitarian codes'!$A$2:$A$10,1,FALSE)=LEFT(B91,2),"Yes","Error"),"No")</f>
        <v>Yes</v>
      </c>
      <c r="AE91" s="1"/>
      <c r="AF91" s="1"/>
    </row>
    <row r="92" spans="1:32" x14ac:dyDescent="0.25">
      <c r="A92" t="s">
        <v>710</v>
      </c>
      <c r="B92" t="s">
        <v>169</v>
      </c>
      <c r="C92" t="s">
        <v>30</v>
      </c>
      <c r="D92" t="s">
        <v>170</v>
      </c>
      <c r="E92" t="s">
        <v>20</v>
      </c>
      <c r="F92">
        <v>4500457150</v>
      </c>
      <c r="G92" t="s">
        <v>12</v>
      </c>
      <c r="H92" t="s">
        <v>171</v>
      </c>
      <c r="I92" t="s">
        <v>20</v>
      </c>
      <c r="J92" s="1">
        <v>40524.06</v>
      </c>
      <c r="K92" s="1">
        <v>40524.06</v>
      </c>
      <c r="L92" t="str">
        <f>IFERROR(IF(VLOOKUP(LEFT(B92,2),'Humanitarian codes'!$A$2:$A$10,1,FALSE)=LEFT(B92,2),"Yes","Error"),"No")</f>
        <v>Yes</v>
      </c>
      <c r="AE92" s="1"/>
      <c r="AF92" s="1"/>
    </row>
    <row r="93" spans="1:32" x14ac:dyDescent="0.25">
      <c r="A93" t="s">
        <v>710</v>
      </c>
      <c r="B93" t="s">
        <v>169</v>
      </c>
      <c r="C93" t="s">
        <v>30</v>
      </c>
      <c r="D93" t="s">
        <v>170</v>
      </c>
      <c r="E93" t="s">
        <v>20</v>
      </c>
      <c r="F93">
        <v>4500458863</v>
      </c>
      <c r="G93" t="s">
        <v>12</v>
      </c>
      <c r="H93" t="s">
        <v>172</v>
      </c>
      <c r="I93" t="s">
        <v>20</v>
      </c>
      <c r="J93" s="1">
        <v>233205.65</v>
      </c>
      <c r="K93" s="1">
        <v>233205.65</v>
      </c>
      <c r="L93" t="str">
        <f>IFERROR(IF(VLOOKUP(LEFT(B93,2),'Humanitarian codes'!$A$2:$A$10,1,FALSE)=LEFT(B93,2),"Yes","Error"),"No")</f>
        <v>Yes</v>
      </c>
      <c r="AE93" s="1"/>
      <c r="AF93" s="1"/>
    </row>
    <row r="94" spans="1:32" x14ac:dyDescent="0.25">
      <c r="A94" t="s">
        <v>710</v>
      </c>
      <c r="B94" t="s">
        <v>173</v>
      </c>
      <c r="C94" t="s">
        <v>30</v>
      </c>
      <c r="D94" t="s">
        <v>174</v>
      </c>
      <c r="E94" t="s">
        <v>175</v>
      </c>
      <c r="F94">
        <v>4500476567</v>
      </c>
      <c r="G94" t="s">
        <v>12</v>
      </c>
      <c r="H94" t="s">
        <v>176</v>
      </c>
      <c r="I94" t="s">
        <v>175</v>
      </c>
      <c r="J94" s="1">
        <v>86685.79</v>
      </c>
      <c r="K94" s="1">
        <v>86685.79</v>
      </c>
      <c r="L94" t="str">
        <f>IFERROR(IF(VLOOKUP(LEFT(B94,2),'Humanitarian codes'!$A$2:$A$10,1,FALSE)=LEFT(B94,2),"Yes","Error"),"No")</f>
        <v>Yes</v>
      </c>
      <c r="AE94" s="1"/>
      <c r="AF94" s="1"/>
    </row>
    <row r="95" spans="1:32" x14ac:dyDescent="0.25">
      <c r="A95" t="s">
        <v>710</v>
      </c>
      <c r="B95" t="s">
        <v>177</v>
      </c>
      <c r="C95" t="s">
        <v>30</v>
      </c>
      <c r="D95" t="s">
        <v>178</v>
      </c>
      <c r="E95" t="s">
        <v>72</v>
      </c>
      <c r="F95">
        <v>4500479851</v>
      </c>
      <c r="G95" t="s">
        <v>12</v>
      </c>
      <c r="H95" t="s">
        <v>179</v>
      </c>
      <c r="I95" t="s">
        <v>72</v>
      </c>
      <c r="J95" s="1">
        <v>632111.25</v>
      </c>
      <c r="K95" s="1">
        <v>632111.25</v>
      </c>
      <c r="L95" t="str">
        <f>IFERROR(IF(VLOOKUP(LEFT(B95,2),'Humanitarian codes'!$A$2:$A$10,1,FALSE)=LEFT(B95,2),"Yes","Error"),"No")</f>
        <v>Yes</v>
      </c>
      <c r="AE95" s="1"/>
      <c r="AF95" s="1"/>
    </row>
    <row r="96" spans="1:32" x14ac:dyDescent="0.25">
      <c r="A96" t="s">
        <v>710</v>
      </c>
      <c r="B96" t="s">
        <v>180</v>
      </c>
      <c r="C96" t="s">
        <v>30</v>
      </c>
      <c r="D96" t="s">
        <v>181</v>
      </c>
      <c r="E96" t="s">
        <v>175</v>
      </c>
      <c r="F96">
        <v>4500459736</v>
      </c>
      <c r="G96" t="s">
        <v>12</v>
      </c>
      <c r="H96" t="s">
        <v>182</v>
      </c>
      <c r="I96" t="s">
        <v>175</v>
      </c>
      <c r="J96" s="1">
        <v>200939.09</v>
      </c>
      <c r="K96" s="1">
        <v>200939.09</v>
      </c>
      <c r="L96" t="str">
        <f>IFERROR(IF(VLOOKUP(LEFT(B96,2),'Humanitarian codes'!$A$2:$A$10,1,FALSE)=LEFT(B96,2),"Yes","Error"),"No")</f>
        <v>Yes</v>
      </c>
      <c r="AE96" s="1"/>
      <c r="AF96" s="1"/>
    </row>
    <row r="97" spans="1:32" x14ac:dyDescent="0.25">
      <c r="A97" t="s">
        <v>710</v>
      </c>
      <c r="B97" t="s">
        <v>180</v>
      </c>
      <c r="C97" t="s">
        <v>30</v>
      </c>
      <c r="D97" t="s">
        <v>181</v>
      </c>
      <c r="E97" t="s">
        <v>175</v>
      </c>
      <c r="F97">
        <v>4500463551</v>
      </c>
      <c r="G97" t="s">
        <v>12</v>
      </c>
      <c r="H97" t="s">
        <v>176</v>
      </c>
      <c r="I97" t="s">
        <v>175</v>
      </c>
      <c r="J97" s="1">
        <v>72525.210000000006</v>
      </c>
      <c r="K97" s="1">
        <v>72525.210000000006</v>
      </c>
      <c r="L97" t="str">
        <f>IFERROR(IF(VLOOKUP(LEFT(B97,2),'Humanitarian codes'!$A$2:$A$10,1,FALSE)=LEFT(B97,2),"Yes","Error"),"No")</f>
        <v>Yes</v>
      </c>
      <c r="AE97" s="1"/>
      <c r="AF97" s="1"/>
    </row>
    <row r="98" spans="1:32" x14ac:dyDescent="0.25">
      <c r="A98" t="s">
        <v>710</v>
      </c>
      <c r="B98" t="s">
        <v>180</v>
      </c>
      <c r="C98" t="s">
        <v>30</v>
      </c>
      <c r="D98" t="s">
        <v>181</v>
      </c>
      <c r="E98" t="s">
        <v>175</v>
      </c>
      <c r="F98">
        <v>4500465445</v>
      </c>
      <c r="G98" t="s">
        <v>12</v>
      </c>
      <c r="H98" t="s">
        <v>183</v>
      </c>
      <c r="I98" t="s">
        <v>184</v>
      </c>
      <c r="J98" s="1">
        <v>129890.75</v>
      </c>
      <c r="K98" s="1">
        <v>129890.75</v>
      </c>
      <c r="L98" t="str">
        <f>IFERROR(IF(VLOOKUP(LEFT(B98,2),'Humanitarian codes'!$A$2:$A$10,1,FALSE)=LEFT(B98,2),"Yes","Error"),"No")</f>
        <v>Yes</v>
      </c>
      <c r="AE98" s="1"/>
      <c r="AF98" s="1"/>
    </row>
    <row r="99" spans="1:32" x14ac:dyDescent="0.25">
      <c r="A99" t="s">
        <v>710</v>
      </c>
      <c r="B99" t="s">
        <v>180</v>
      </c>
      <c r="C99" t="s">
        <v>30</v>
      </c>
      <c r="D99" t="s">
        <v>181</v>
      </c>
      <c r="E99" t="s">
        <v>175</v>
      </c>
      <c r="F99">
        <v>4500465452</v>
      </c>
      <c r="G99" t="s">
        <v>12</v>
      </c>
      <c r="H99" t="s">
        <v>185</v>
      </c>
      <c r="I99" t="s">
        <v>175</v>
      </c>
      <c r="J99" s="1">
        <v>29853</v>
      </c>
      <c r="K99" s="1">
        <v>29853</v>
      </c>
      <c r="L99" t="str">
        <f>IFERROR(IF(VLOOKUP(LEFT(B99,2),'Humanitarian codes'!$A$2:$A$10,1,FALSE)=LEFT(B99,2),"Yes","Error"),"No")</f>
        <v>Yes</v>
      </c>
      <c r="AE99" s="1"/>
      <c r="AF99" s="1"/>
    </row>
    <row r="100" spans="1:32" x14ac:dyDescent="0.25">
      <c r="A100" t="s">
        <v>710</v>
      </c>
      <c r="B100" t="s">
        <v>180</v>
      </c>
      <c r="C100" t="s">
        <v>30</v>
      </c>
      <c r="D100" t="s">
        <v>181</v>
      </c>
      <c r="E100" t="s">
        <v>175</v>
      </c>
      <c r="F100">
        <v>4500466244</v>
      </c>
      <c r="G100" t="s">
        <v>12</v>
      </c>
      <c r="H100" t="s">
        <v>186</v>
      </c>
      <c r="I100" t="s">
        <v>175</v>
      </c>
      <c r="J100" s="1">
        <v>42751.26</v>
      </c>
      <c r="K100" s="1">
        <v>42751.26</v>
      </c>
      <c r="L100" t="str">
        <f>IFERROR(IF(VLOOKUP(LEFT(B100,2),'Humanitarian codes'!$A$2:$A$10,1,FALSE)=LEFT(B100,2),"Yes","Error"),"No")</f>
        <v>Yes</v>
      </c>
      <c r="AE100" s="1"/>
      <c r="AF100" s="1"/>
    </row>
    <row r="101" spans="1:32" x14ac:dyDescent="0.25">
      <c r="A101" t="s">
        <v>710</v>
      </c>
      <c r="B101" t="s">
        <v>180</v>
      </c>
      <c r="C101" t="s">
        <v>30</v>
      </c>
      <c r="D101" t="s">
        <v>181</v>
      </c>
      <c r="E101" t="s">
        <v>175</v>
      </c>
      <c r="F101">
        <v>4500478154</v>
      </c>
      <c r="G101" t="s">
        <v>12</v>
      </c>
      <c r="H101" t="s">
        <v>183</v>
      </c>
      <c r="I101" t="s">
        <v>184</v>
      </c>
      <c r="J101" s="1">
        <v>195000.01</v>
      </c>
      <c r="K101" s="1">
        <v>195000.01</v>
      </c>
      <c r="L101" t="str">
        <f>IFERROR(IF(VLOOKUP(LEFT(B101,2),'Humanitarian codes'!$A$2:$A$10,1,FALSE)=LEFT(B101,2),"Yes","Error"),"No")</f>
        <v>Yes</v>
      </c>
      <c r="AE101" s="1"/>
      <c r="AF101" s="1"/>
    </row>
    <row r="102" spans="1:32" x14ac:dyDescent="0.25">
      <c r="A102" t="s">
        <v>710</v>
      </c>
      <c r="B102" t="s">
        <v>180</v>
      </c>
      <c r="C102" t="s">
        <v>30</v>
      </c>
      <c r="D102" t="s">
        <v>181</v>
      </c>
      <c r="E102" t="s">
        <v>175</v>
      </c>
      <c r="F102">
        <v>4500481927</v>
      </c>
      <c r="G102" t="s">
        <v>12</v>
      </c>
      <c r="H102" t="s">
        <v>187</v>
      </c>
      <c r="I102" t="s">
        <v>175</v>
      </c>
      <c r="J102" s="1">
        <v>72225</v>
      </c>
      <c r="K102" s="1">
        <v>72225</v>
      </c>
      <c r="L102" t="str">
        <f>IFERROR(IF(VLOOKUP(LEFT(B102,2),'Humanitarian codes'!$A$2:$A$10,1,FALSE)=LEFT(B102,2),"Yes","Error"),"No")</f>
        <v>Yes</v>
      </c>
      <c r="AE102" s="1"/>
      <c r="AF102" s="1"/>
    </row>
    <row r="103" spans="1:32" x14ac:dyDescent="0.25">
      <c r="A103" t="s">
        <v>710</v>
      </c>
      <c r="B103" t="s">
        <v>180</v>
      </c>
      <c r="C103" t="s">
        <v>30</v>
      </c>
      <c r="D103" t="s">
        <v>181</v>
      </c>
      <c r="E103" t="s">
        <v>175</v>
      </c>
      <c r="F103">
        <v>4500480675</v>
      </c>
      <c r="G103" t="s">
        <v>12</v>
      </c>
      <c r="H103" t="s">
        <v>176</v>
      </c>
      <c r="I103" t="s">
        <v>175</v>
      </c>
      <c r="J103" s="1">
        <v>129000</v>
      </c>
      <c r="K103" s="1">
        <v>129000</v>
      </c>
      <c r="L103" t="str">
        <f>IFERROR(IF(VLOOKUP(LEFT(B103,2),'Humanitarian codes'!$A$2:$A$10,1,FALSE)=LEFT(B103,2),"Yes","Error"),"No")</f>
        <v>Yes</v>
      </c>
      <c r="AE103" s="1"/>
      <c r="AF103" s="1"/>
    </row>
    <row r="104" spans="1:32" x14ac:dyDescent="0.25">
      <c r="A104" t="s">
        <v>710</v>
      </c>
      <c r="B104" t="s">
        <v>180</v>
      </c>
      <c r="C104" t="s">
        <v>30</v>
      </c>
      <c r="D104" t="s">
        <v>181</v>
      </c>
      <c r="E104" t="s">
        <v>175</v>
      </c>
      <c r="F104">
        <v>4500481930</v>
      </c>
      <c r="G104" t="s">
        <v>12</v>
      </c>
      <c r="H104" t="s">
        <v>185</v>
      </c>
      <c r="I104" t="s">
        <v>175</v>
      </c>
      <c r="J104" s="1">
        <v>45000.24</v>
      </c>
      <c r="K104" s="1">
        <v>45000.24</v>
      </c>
      <c r="L104" t="str">
        <f>IFERROR(IF(VLOOKUP(LEFT(B104,2),'Humanitarian codes'!$A$2:$A$10,1,FALSE)=LEFT(B104,2),"Yes","Error"),"No")</f>
        <v>Yes</v>
      </c>
      <c r="AE104" s="1"/>
      <c r="AF104" s="1"/>
    </row>
    <row r="105" spans="1:32" x14ac:dyDescent="0.25">
      <c r="A105" t="s">
        <v>710</v>
      </c>
      <c r="B105" t="s">
        <v>188</v>
      </c>
      <c r="C105" t="s">
        <v>30</v>
      </c>
      <c r="D105" t="s">
        <v>189</v>
      </c>
      <c r="E105" t="s">
        <v>175</v>
      </c>
      <c r="F105">
        <v>4500479454</v>
      </c>
      <c r="G105" t="s">
        <v>12</v>
      </c>
      <c r="H105" t="s">
        <v>183</v>
      </c>
      <c r="I105" t="s">
        <v>184</v>
      </c>
      <c r="J105" s="1">
        <v>22128</v>
      </c>
      <c r="K105" s="1">
        <v>22128</v>
      </c>
      <c r="L105" t="str">
        <f>IFERROR(IF(VLOOKUP(LEFT(B105,2),'Humanitarian codes'!$A$2:$A$10,1,FALSE)=LEFT(B105,2),"Yes","Error"),"No")</f>
        <v>Yes</v>
      </c>
      <c r="AE105" s="1"/>
      <c r="AF105" s="1"/>
    </row>
    <row r="106" spans="1:32" x14ac:dyDescent="0.25">
      <c r="A106" t="s">
        <v>710</v>
      </c>
      <c r="B106" t="s">
        <v>190</v>
      </c>
      <c r="C106" t="s">
        <v>30</v>
      </c>
      <c r="D106" t="s">
        <v>108</v>
      </c>
      <c r="E106" t="s">
        <v>109</v>
      </c>
      <c r="F106">
        <v>4500477716</v>
      </c>
      <c r="G106" t="s">
        <v>12</v>
      </c>
      <c r="H106" t="s">
        <v>113</v>
      </c>
      <c r="I106" t="s">
        <v>109</v>
      </c>
      <c r="J106" s="1">
        <v>6213.11</v>
      </c>
      <c r="K106" s="1">
        <v>14449.1</v>
      </c>
      <c r="L106" t="str">
        <f>IFERROR(IF(VLOOKUP(LEFT(B106,2),'Humanitarian codes'!$A$2:$A$10,1,FALSE)=LEFT(B106,2),"Yes","Error"),"No")</f>
        <v>Yes</v>
      </c>
      <c r="AE106" s="1"/>
      <c r="AF106" s="1"/>
    </row>
    <row r="107" spans="1:32" x14ac:dyDescent="0.25">
      <c r="A107" t="s">
        <v>710</v>
      </c>
      <c r="B107" t="s">
        <v>190</v>
      </c>
      <c r="C107" t="s">
        <v>30</v>
      </c>
      <c r="D107" t="s">
        <v>108</v>
      </c>
      <c r="E107" t="s">
        <v>109</v>
      </c>
      <c r="F107">
        <v>4500477756</v>
      </c>
      <c r="G107" t="s">
        <v>12</v>
      </c>
      <c r="H107" t="s">
        <v>117</v>
      </c>
      <c r="I107" t="s">
        <v>109</v>
      </c>
      <c r="J107" s="1">
        <v>16131.57</v>
      </c>
      <c r="K107" s="1">
        <v>37515.300000000003</v>
      </c>
      <c r="L107" t="str">
        <f>IFERROR(IF(VLOOKUP(LEFT(B107,2),'Humanitarian codes'!$A$2:$A$10,1,FALSE)=LEFT(B107,2),"Yes","Error"),"No")</f>
        <v>Yes</v>
      </c>
      <c r="AE107" s="1"/>
      <c r="AF107" s="1"/>
    </row>
    <row r="108" spans="1:32" x14ac:dyDescent="0.25">
      <c r="A108" t="s">
        <v>710</v>
      </c>
      <c r="B108" t="s">
        <v>191</v>
      </c>
      <c r="C108" t="s">
        <v>30</v>
      </c>
      <c r="D108" t="s">
        <v>192</v>
      </c>
      <c r="E108" t="s">
        <v>193</v>
      </c>
      <c r="F108">
        <v>4500471461</v>
      </c>
      <c r="G108" t="s">
        <v>12</v>
      </c>
      <c r="H108" t="s">
        <v>194</v>
      </c>
      <c r="I108" t="s">
        <v>193</v>
      </c>
      <c r="J108" s="1">
        <v>135000</v>
      </c>
      <c r="K108" s="1">
        <v>135000</v>
      </c>
      <c r="L108" t="str">
        <f>IFERROR(IF(VLOOKUP(LEFT(B108,2),'Humanitarian codes'!$A$2:$A$10,1,FALSE)=LEFT(B108,2),"Yes","Error"),"No")</f>
        <v>Yes</v>
      </c>
      <c r="AE108" s="1"/>
      <c r="AF108" s="1"/>
    </row>
    <row r="109" spans="1:32" x14ac:dyDescent="0.25">
      <c r="A109" t="s">
        <v>710</v>
      </c>
      <c r="B109" t="s">
        <v>195</v>
      </c>
      <c r="C109" t="s">
        <v>30</v>
      </c>
      <c r="D109" t="s">
        <v>196</v>
      </c>
      <c r="E109" t="s">
        <v>197</v>
      </c>
      <c r="F109">
        <v>4500460438</v>
      </c>
      <c r="G109" t="s">
        <v>12</v>
      </c>
      <c r="H109" t="s">
        <v>198</v>
      </c>
      <c r="I109" t="s">
        <v>197</v>
      </c>
      <c r="J109" s="1">
        <v>8420.5400000000009</v>
      </c>
      <c r="K109" s="1">
        <v>8420.5400000000009</v>
      </c>
      <c r="L109" t="str">
        <f>IFERROR(IF(VLOOKUP(LEFT(B109,2),'Humanitarian codes'!$A$2:$A$10,1,FALSE)=LEFT(B109,2),"Yes","Error"),"No")</f>
        <v>Yes</v>
      </c>
      <c r="AE109" s="1"/>
      <c r="AF109" s="1"/>
    </row>
    <row r="110" spans="1:32" x14ac:dyDescent="0.25">
      <c r="A110" t="s">
        <v>710</v>
      </c>
      <c r="B110" t="s">
        <v>195</v>
      </c>
      <c r="C110" t="s">
        <v>30</v>
      </c>
      <c r="D110" t="s">
        <v>196</v>
      </c>
      <c r="E110" t="s">
        <v>199</v>
      </c>
      <c r="F110">
        <v>4500463267</v>
      </c>
      <c r="G110" t="s">
        <v>12</v>
      </c>
      <c r="H110" t="s">
        <v>200</v>
      </c>
      <c r="I110" t="s">
        <v>199</v>
      </c>
      <c r="J110" s="1">
        <v>85643</v>
      </c>
      <c r="K110" s="1">
        <v>85643</v>
      </c>
      <c r="L110" t="str">
        <f>IFERROR(IF(VLOOKUP(LEFT(B110,2),'Humanitarian codes'!$A$2:$A$10,1,FALSE)=LEFT(B110,2),"Yes","Error"),"No")</f>
        <v>Yes</v>
      </c>
      <c r="AE110" s="1"/>
      <c r="AF110" s="1"/>
    </row>
    <row r="111" spans="1:32" x14ac:dyDescent="0.25">
      <c r="A111" t="s">
        <v>710</v>
      </c>
      <c r="B111" t="s">
        <v>195</v>
      </c>
      <c r="C111" t="s">
        <v>30</v>
      </c>
      <c r="D111" t="s">
        <v>196</v>
      </c>
      <c r="E111" t="s">
        <v>201</v>
      </c>
      <c r="F111">
        <v>4500458577</v>
      </c>
      <c r="G111" t="s">
        <v>12</v>
      </c>
      <c r="H111" t="s">
        <v>202</v>
      </c>
      <c r="I111" t="s">
        <v>201</v>
      </c>
      <c r="J111" s="1">
        <v>106487.9</v>
      </c>
      <c r="K111" s="1">
        <v>106487.9</v>
      </c>
      <c r="L111" t="str">
        <f>IFERROR(IF(VLOOKUP(LEFT(B111,2),'Humanitarian codes'!$A$2:$A$10,1,FALSE)=LEFT(B111,2),"Yes","Error"),"No")</f>
        <v>Yes</v>
      </c>
      <c r="AE111" s="1"/>
      <c r="AF111" s="1"/>
    </row>
    <row r="112" spans="1:32" x14ac:dyDescent="0.25">
      <c r="A112" t="s">
        <v>710</v>
      </c>
      <c r="B112" t="s">
        <v>195</v>
      </c>
      <c r="C112" t="s">
        <v>30</v>
      </c>
      <c r="D112" t="s">
        <v>196</v>
      </c>
      <c r="E112" t="s">
        <v>201</v>
      </c>
      <c r="F112">
        <v>4500467118</v>
      </c>
      <c r="G112" t="s">
        <v>12</v>
      </c>
      <c r="H112" t="s">
        <v>203</v>
      </c>
      <c r="I112" t="s">
        <v>201</v>
      </c>
      <c r="J112" s="1">
        <v>82598.66</v>
      </c>
      <c r="K112" s="1">
        <v>82598.66</v>
      </c>
      <c r="L112" t="str">
        <f>IFERROR(IF(VLOOKUP(LEFT(B112,2),'Humanitarian codes'!$A$2:$A$10,1,FALSE)=LEFT(B112,2),"Yes","Error"),"No")</f>
        <v>Yes</v>
      </c>
      <c r="AE112" s="1"/>
      <c r="AF112" s="1"/>
    </row>
    <row r="113" spans="1:32" x14ac:dyDescent="0.25">
      <c r="A113" t="s">
        <v>710</v>
      </c>
      <c r="B113" t="s">
        <v>195</v>
      </c>
      <c r="C113" t="s">
        <v>30</v>
      </c>
      <c r="D113" t="s">
        <v>196</v>
      </c>
      <c r="E113" t="s">
        <v>201</v>
      </c>
      <c r="F113">
        <v>4500467576</v>
      </c>
      <c r="G113" t="s">
        <v>12</v>
      </c>
      <c r="H113" t="s">
        <v>203</v>
      </c>
      <c r="I113" t="s">
        <v>201</v>
      </c>
      <c r="J113" s="1">
        <v>177248.33</v>
      </c>
      <c r="K113" s="1">
        <v>177248.33</v>
      </c>
      <c r="L113" t="str">
        <f>IFERROR(IF(VLOOKUP(LEFT(B113,2),'Humanitarian codes'!$A$2:$A$10,1,FALSE)=LEFT(B113,2),"Yes","Error"),"No")</f>
        <v>Yes</v>
      </c>
      <c r="AE113" s="1"/>
      <c r="AF113" s="1"/>
    </row>
    <row r="114" spans="1:32" x14ac:dyDescent="0.25">
      <c r="A114" t="s">
        <v>710</v>
      </c>
      <c r="B114" t="s">
        <v>195</v>
      </c>
      <c r="C114" t="s">
        <v>30</v>
      </c>
      <c r="D114" t="s">
        <v>196</v>
      </c>
      <c r="E114" t="s">
        <v>201</v>
      </c>
      <c r="F114">
        <v>4500474666</v>
      </c>
      <c r="G114" t="s">
        <v>12</v>
      </c>
      <c r="H114" t="s">
        <v>204</v>
      </c>
      <c r="I114" t="s">
        <v>201</v>
      </c>
      <c r="J114" s="1">
        <v>33915.730000000003</v>
      </c>
      <c r="K114" s="1">
        <v>33915.730000000003</v>
      </c>
      <c r="L114" t="str">
        <f>IFERROR(IF(VLOOKUP(LEFT(B114,2),'Humanitarian codes'!$A$2:$A$10,1,FALSE)=LEFT(B114,2),"Yes","Error"),"No")</f>
        <v>Yes</v>
      </c>
      <c r="AE114" s="1"/>
      <c r="AF114" s="1"/>
    </row>
    <row r="115" spans="1:32" x14ac:dyDescent="0.25">
      <c r="A115" t="s">
        <v>710</v>
      </c>
      <c r="B115" t="s">
        <v>195</v>
      </c>
      <c r="C115" t="s">
        <v>30</v>
      </c>
      <c r="D115" t="s">
        <v>196</v>
      </c>
      <c r="E115" t="s">
        <v>205</v>
      </c>
      <c r="F115">
        <v>4500455337</v>
      </c>
      <c r="G115" t="s">
        <v>12</v>
      </c>
      <c r="H115" t="s">
        <v>206</v>
      </c>
      <c r="I115" t="s">
        <v>205</v>
      </c>
      <c r="J115" s="1">
        <v>135100</v>
      </c>
      <c r="K115" s="1">
        <v>135100</v>
      </c>
      <c r="L115" t="str">
        <f>IFERROR(IF(VLOOKUP(LEFT(B115,2),'Humanitarian codes'!$A$2:$A$10,1,FALSE)=LEFT(B115,2),"Yes","Error"),"No")</f>
        <v>Yes</v>
      </c>
      <c r="AE115" s="1"/>
      <c r="AF115" s="1"/>
    </row>
    <row r="116" spans="1:32" x14ac:dyDescent="0.25">
      <c r="A116" t="s">
        <v>710</v>
      </c>
      <c r="B116" t="s">
        <v>195</v>
      </c>
      <c r="C116" t="s">
        <v>30</v>
      </c>
      <c r="D116" t="s">
        <v>196</v>
      </c>
      <c r="E116" t="s">
        <v>205</v>
      </c>
      <c r="F116">
        <v>4500456810</v>
      </c>
      <c r="G116" t="s">
        <v>12</v>
      </c>
      <c r="H116" t="s">
        <v>207</v>
      </c>
      <c r="I116" t="s">
        <v>205</v>
      </c>
      <c r="J116" s="1">
        <v>135900</v>
      </c>
      <c r="K116" s="1">
        <v>135900</v>
      </c>
      <c r="L116" t="str">
        <f>IFERROR(IF(VLOOKUP(LEFT(B116,2),'Humanitarian codes'!$A$2:$A$10,1,FALSE)=LEFT(B116,2),"Yes","Error"),"No")</f>
        <v>Yes</v>
      </c>
      <c r="AE116" s="1"/>
      <c r="AF116" s="1"/>
    </row>
    <row r="117" spans="1:32" x14ac:dyDescent="0.25">
      <c r="A117" t="s">
        <v>710</v>
      </c>
      <c r="B117" t="s">
        <v>195</v>
      </c>
      <c r="C117" t="s">
        <v>30</v>
      </c>
      <c r="D117" t="s">
        <v>196</v>
      </c>
      <c r="E117" t="s">
        <v>205</v>
      </c>
      <c r="F117">
        <v>4500457886</v>
      </c>
      <c r="G117" t="s">
        <v>12</v>
      </c>
      <c r="H117" t="s">
        <v>208</v>
      </c>
      <c r="I117" t="s">
        <v>205</v>
      </c>
      <c r="J117" s="1">
        <v>66166</v>
      </c>
      <c r="K117" s="1">
        <v>66166</v>
      </c>
      <c r="L117" t="str">
        <f>IFERROR(IF(VLOOKUP(LEFT(B117,2),'Humanitarian codes'!$A$2:$A$10,1,FALSE)=LEFT(B117,2),"Yes","Error"),"No")</f>
        <v>Yes</v>
      </c>
      <c r="AE117" s="1"/>
      <c r="AF117" s="1"/>
    </row>
    <row r="118" spans="1:32" x14ac:dyDescent="0.25">
      <c r="A118" t="s">
        <v>710</v>
      </c>
      <c r="B118" t="s">
        <v>195</v>
      </c>
      <c r="C118" t="s">
        <v>30</v>
      </c>
      <c r="D118" t="s">
        <v>196</v>
      </c>
      <c r="E118" t="s">
        <v>205</v>
      </c>
      <c r="F118">
        <v>4500477556</v>
      </c>
      <c r="G118" t="s">
        <v>12</v>
      </c>
      <c r="H118" t="s">
        <v>209</v>
      </c>
      <c r="I118" t="s">
        <v>205</v>
      </c>
      <c r="J118" s="1">
        <v>50000</v>
      </c>
      <c r="K118" s="1">
        <v>50000</v>
      </c>
      <c r="L118" t="str">
        <f>IFERROR(IF(VLOOKUP(LEFT(B118,2),'Humanitarian codes'!$A$2:$A$10,1,FALSE)=LEFT(B118,2),"Yes","Error"),"No")</f>
        <v>Yes</v>
      </c>
      <c r="AE118" s="1"/>
      <c r="AF118" s="1"/>
    </row>
    <row r="119" spans="1:32" x14ac:dyDescent="0.25">
      <c r="A119" t="s">
        <v>710</v>
      </c>
      <c r="B119" t="s">
        <v>195</v>
      </c>
      <c r="C119" t="s">
        <v>30</v>
      </c>
      <c r="D119" t="s">
        <v>196</v>
      </c>
      <c r="E119" t="s">
        <v>210</v>
      </c>
      <c r="F119">
        <v>4500457488</v>
      </c>
      <c r="G119" t="s">
        <v>12</v>
      </c>
      <c r="H119" t="s">
        <v>211</v>
      </c>
      <c r="I119" t="s">
        <v>210</v>
      </c>
      <c r="J119" s="1">
        <v>176290.08</v>
      </c>
      <c r="K119" s="1">
        <v>176290.08</v>
      </c>
      <c r="L119" t="str">
        <f>IFERROR(IF(VLOOKUP(LEFT(B119,2),'Humanitarian codes'!$A$2:$A$10,1,FALSE)=LEFT(B119,2),"Yes","Error"),"No")</f>
        <v>Yes</v>
      </c>
      <c r="AE119" s="1"/>
      <c r="AF119" s="1"/>
    </row>
    <row r="120" spans="1:32" x14ac:dyDescent="0.25">
      <c r="A120" t="s">
        <v>710</v>
      </c>
      <c r="B120" t="s">
        <v>195</v>
      </c>
      <c r="C120" t="s">
        <v>30</v>
      </c>
      <c r="D120" t="s">
        <v>196</v>
      </c>
      <c r="E120" t="s">
        <v>210</v>
      </c>
      <c r="F120">
        <v>4500465770</v>
      </c>
      <c r="G120" t="s">
        <v>12</v>
      </c>
      <c r="H120" t="s">
        <v>212</v>
      </c>
      <c r="I120" t="s">
        <v>210</v>
      </c>
      <c r="J120" s="1">
        <v>17963.14</v>
      </c>
      <c r="K120" s="1">
        <v>17963.14</v>
      </c>
      <c r="L120" t="str">
        <f>IFERROR(IF(VLOOKUP(LEFT(B120,2),'Humanitarian codes'!$A$2:$A$10,1,FALSE)=LEFT(B120,2),"Yes","Error"),"No")</f>
        <v>Yes</v>
      </c>
      <c r="AE120" s="1"/>
      <c r="AF120" s="1"/>
    </row>
    <row r="121" spans="1:32" x14ac:dyDescent="0.25">
      <c r="A121" t="s">
        <v>710</v>
      </c>
      <c r="B121" t="s">
        <v>195</v>
      </c>
      <c r="C121" t="s">
        <v>30</v>
      </c>
      <c r="D121" t="s">
        <v>196</v>
      </c>
      <c r="E121" t="s">
        <v>210</v>
      </c>
      <c r="F121">
        <v>4500471051</v>
      </c>
      <c r="G121" t="s">
        <v>12</v>
      </c>
      <c r="H121" t="s">
        <v>213</v>
      </c>
      <c r="I121" t="s">
        <v>210</v>
      </c>
      <c r="J121" s="1">
        <v>29936.47</v>
      </c>
      <c r="K121" s="1">
        <v>29936.47</v>
      </c>
      <c r="L121" t="str">
        <f>IFERROR(IF(VLOOKUP(LEFT(B121,2),'Humanitarian codes'!$A$2:$A$10,1,FALSE)=LEFT(B121,2),"Yes","Error"),"No")</f>
        <v>Yes</v>
      </c>
      <c r="AE121" s="1"/>
      <c r="AF121" s="1"/>
    </row>
    <row r="122" spans="1:32" x14ac:dyDescent="0.25">
      <c r="A122" t="s">
        <v>710</v>
      </c>
      <c r="B122" t="s">
        <v>195</v>
      </c>
      <c r="C122" t="s">
        <v>30</v>
      </c>
      <c r="D122" t="s">
        <v>196</v>
      </c>
      <c r="E122" t="s">
        <v>210</v>
      </c>
      <c r="F122">
        <v>4500473072</v>
      </c>
      <c r="G122" t="s">
        <v>12</v>
      </c>
      <c r="H122" t="s">
        <v>214</v>
      </c>
      <c r="I122" t="s">
        <v>210</v>
      </c>
      <c r="J122" s="1">
        <v>12365.62</v>
      </c>
      <c r="K122" s="1">
        <v>12365.62</v>
      </c>
      <c r="L122" t="str">
        <f>IFERROR(IF(VLOOKUP(LEFT(B122,2),'Humanitarian codes'!$A$2:$A$10,1,FALSE)=LEFT(B122,2),"Yes","Error"),"No")</f>
        <v>Yes</v>
      </c>
      <c r="AE122" s="1"/>
      <c r="AF122" s="1"/>
    </row>
    <row r="123" spans="1:32" x14ac:dyDescent="0.25">
      <c r="A123" t="s">
        <v>710</v>
      </c>
      <c r="B123" t="s">
        <v>195</v>
      </c>
      <c r="C123" t="s">
        <v>30</v>
      </c>
      <c r="D123" t="s">
        <v>196</v>
      </c>
      <c r="E123" t="s">
        <v>210</v>
      </c>
      <c r="F123">
        <v>4500475491</v>
      </c>
      <c r="G123" t="s">
        <v>12</v>
      </c>
      <c r="H123" t="s">
        <v>213</v>
      </c>
      <c r="I123" t="s">
        <v>210</v>
      </c>
      <c r="J123" s="1">
        <v>49882.92</v>
      </c>
      <c r="K123" s="1">
        <v>49882.92</v>
      </c>
      <c r="L123" t="str">
        <f>IFERROR(IF(VLOOKUP(LEFT(B123,2),'Humanitarian codes'!$A$2:$A$10,1,FALSE)=LEFT(B123,2),"Yes","Error"),"No")</f>
        <v>Yes</v>
      </c>
      <c r="AE123" s="1"/>
      <c r="AF123" s="1"/>
    </row>
    <row r="124" spans="1:32" x14ac:dyDescent="0.25">
      <c r="A124" t="s">
        <v>710</v>
      </c>
      <c r="B124" t="s">
        <v>195</v>
      </c>
      <c r="C124" t="s">
        <v>30</v>
      </c>
      <c r="D124" t="s">
        <v>196</v>
      </c>
      <c r="E124" t="s">
        <v>210</v>
      </c>
      <c r="F124">
        <v>4500476248</v>
      </c>
      <c r="G124" t="s">
        <v>12</v>
      </c>
      <c r="H124" t="s">
        <v>215</v>
      </c>
      <c r="I124" t="s">
        <v>210</v>
      </c>
      <c r="J124" s="1">
        <v>23122.41</v>
      </c>
      <c r="K124" s="1">
        <v>23122.41</v>
      </c>
      <c r="L124" t="str">
        <f>IFERROR(IF(VLOOKUP(LEFT(B124,2),'Humanitarian codes'!$A$2:$A$10,1,FALSE)=LEFT(B124,2),"Yes","Error"),"No")</f>
        <v>Yes</v>
      </c>
      <c r="AE124" s="1"/>
      <c r="AF124" s="1"/>
    </row>
    <row r="125" spans="1:32" x14ac:dyDescent="0.25">
      <c r="A125" t="s">
        <v>710</v>
      </c>
      <c r="B125" t="s">
        <v>195</v>
      </c>
      <c r="C125" t="s">
        <v>30</v>
      </c>
      <c r="D125" t="s">
        <v>196</v>
      </c>
      <c r="E125" t="s">
        <v>210</v>
      </c>
      <c r="F125">
        <v>4500476829</v>
      </c>
      <c r="G125" t="s">
        <v>12</v>
      </c>
      <c r="H125" t="s">
        <v>216</v>
      </c>
      <c r="I125" t="s">
        <v>210</v>
      </c>
      <c r="J125" s="1">
        <v>26000</v>
      </c>
      <c r="K125" s="1">
        <v>26000</v>
      </c>
      <c r="L125" t="str">
        <f>IFERROR(IF(VLOOKUP(LEFT(B125,2),'Humanitarian codes'!$A$2:$A$10,1,FALSE)=LEFT(B125,2),"Yes","Error"),"No")</f>
        <v>Yes</v>
      </c>
      <c r="AE125" s="1"/>
      <c r="AF125" s="1"/>
    </row>
    <row r="126" spans="1:32" x14ac:dyDescent="0.25">
      <c r="A126" t="s">
        <v>710</v>
      </c>
      <c r="B126" t="s">
        <v>195</v>
      </c>
      <c r="C126" t="s">
        <v>30</v>
      </c>
      <c r="D126" t="s">
        <v>196</v>
      </c>
      <c r="E126" t="s">
        <v>210</v>
      </c>
      <c r="F126">
        <v>4500476878</v>
      </c>
      <c r="G126" t="s">
        <v>12</v>
      </c>
      <c r="H126" t="s">
        <v>211</v>
      </c>
      <c r="I126" t="s">
        <v>210</v>
      </c>
      <c r="J126" s="1">
        <v>63539.93</v>
      </c>
      <c r="K126" s="1">
        <v>63539.93</v>
      </c>
      <c r="L126" t="str">
        <f>IFERROR(IF(VLOOKUP(LEFT(B126,2),'Humanitarian codes'!$A$2:$A$10,1,FALSE)=LEFT(B126,2),"Yes","Error"),"No")</f>
        <v>Yes</v>
      </c>
      <c r="AE126" s="1"/>
      <c r="AF126" s="1"/>
    </row>
    <row r="127" spans="1:32" x14ac:dyDescent="0.25">
      <c r="A127" t="s">
        <v>710</v>
      </c>
      <c r="B127" t="s">
        <v>195</v>
      </c>
      <c r="C127" t="s">
        <v>30</v>
      </c>
      <c r="D127" t="s">
        <v>196</v>
      </c>
      <c r="E127" t="s">
        <v>210</v>
      </c>
      <c r="F127">
        <v>4500477459</v>
      </c>
      <c r="G127" t="s">
        <v>12</v>
      </c>
      <c r="H127" t="s">
        <v>213</v>
      </c>
      <c r="I127" t="s">
        <v>210</v>
      </c>
      <c r="J127" s="1">
        <v>256575.57</v>
      </c>
      <c r="K127" s="1">
        <v>256575.57</v>
      </c>
      <c r="L127" t="str">
        <f>IFERROR(IF(VLOOKUP(LEFT(B127,2),'Humanitarian codes'!$A$2:$A$10,1,FALSE)=LEFT(B127,2),"Yes","Error"),"No")</f>
        <v>Yes</v>
      </c>
      <c r="AE127" s="1"/>
      <c r="AF127" s="1"/>
    </row>
    <row r="128" spans="1:32" x14ac:dyDescent="0.25">
      <c r="A128" t="s">
        <v>710</v>
      </c>
      <c r="B128" t="s">
        <v>195</v>
      </c>
      <c r="C128" t="s">
        <v>30</v>
      </c>
      <c r="D128" t="s">
        <v>196</v>
      </c>
      <c r="E128" t="s">
        <v>210</v>
      </c>
      <c r="F128">
        <v>4500478879</v>
      </c>
      <c r="G128" t="s">
        <v>12</v>
      </c>
      <c r="H128" t="s">
        <v>217</v>
      </c>
      <c r="I128" t="s">
        <v>210</v>
      </c>
      <c r="J128" s="1">
        <v>48807.87</v>
      </c>
      <c r="K128" s="1">
        <v>48807.87</v>
      </c>
      <c r="L128" t="str">
        <f>IFERROR(IF(VLOOKUP(LEFT(B128,2),'Humanitarian codes'!$A$2:$A$10,1,FALSE)=LEFT(B128,2),"Yes","Error"),"No")</f>
        <v>Yes</v>
      </c>
      <c r="AE128" s="1"/>
      <c r="AF128" s="1"/>
    </row>
    <row r="129" spans="1:32" x14ac:dyDescent="0.25">
      <c r="A129" t="s">
        <v>710</v>
      </c>
      <c r="B129" t="s">
        <v>195</v>
      </c>
      <c r="C129" t="s">
        <v>30</v>
      </c>
      <c r="D129" t="s">
        <v>196</v>
      </c>
      <c r="E129" t="s">
        <v>210</v>
      </c>
      <c r="F129">
        <v>4500481426</v>
      </c>
      <c r="G129" t="s">
        <v>12</v>
      </c>
      <c r="H129" t="s">
        <v>214</v>
      </c>
      <c r="I129" t="s">
        <v>210</v>
      </c>
      <c r="J129" s="1">
        <v>24833.81</v>
      </c>
      <c r="K129" s="1">
        <v>24833.81</v>
      </c>
      <c r="L129" t="str">
        <f>IFERROR(IF(VLOOKUP(LEFT(B129,2),'Humanitarian codes'!$A$2:$A$10,1,FALSE)=LEFT(B129,2),"Yes","Error"),"No")</f>
        <v>Yes</v>
      </c>
      <c r="AE129" s="1"/>
      <c r="AF129" s="1"/>
    </row>
    <row r="130" spans="1:32" x14ac:dyDescent="0.25">
      <c r="A130" t="s">
        <v>710</v>
      </c>
      <c r="B130" t="s">
        <v>195</v>
      </c>
      <c r="C130" t="s">
        <v>30</v>
      </c>
      <c r="D130" t="s">
        <v>196</v>
      </c>
      <c r="E130" t="s">
        <v>210</v>
      </c>
      <c r="F130">
        <v>4500482021</v>
      </c>
      <c r="G130" t="s">
        <v>12</v>
      </c>
      <c r="H130" t="s">
        <v>212</v>
      </c>
      <c r="I130" t="s">
        <v>210</v>
      </c>
      <c r="J130" s="1">
        <v>25062</v>
      </c>
      <c r="K130" s="1">
        <v>25062</v>
      </c>
      <c r="L130" t="str">
        <f>IFERROR(IF(VLOOKUP(LEFT(B130,2),'Humanitarian codes'!$A$2:$A$10,1,FALSE)=LEFT(B130,2),"Yes","Error"),"No")</f>
        <v>Yes</v>
      </c>
      <c r="AE130" s="1"/>
      <c r="AF130" s="1"/>
    </row>
    <row r="131" spans="1:32" x14ac:dyDescent="0.25">
      <c r="A131" t="s">
        <v>710</v>
      </c>
      <c r="B131" t="s">
        <v>195</v>
      </c>
      <c r="C131" t="s">
        <v>30</v>
      </c>
      <c r="D131" t="s">
        <v>196</v>
      </c>
      <c r="E131" t="s">
        <v>210</v>
      </c>
      <c r="F131">
        <v>4500482039</v>
      </c>
      <c r="G131" t="s">
        <v>12</v>
      </c>
      <c r="H131" t="s">
        <v>218</v>
      </c>
      <c r="I131" t="s">
        <v>210</v>
      </c>
      <c r="J131" s="1">
        <v>51468.87</v>
      </c>
      <c r="K131" s="1">
        <v>51468.87</v>
      </c>
      <c r="L131" t="str">
        <f>IFERROR(IF(VLOOKUP(LEFT(B131,2),'Humanitarian codes'!$A$2:$A$10,1,FALSE)=LEFT(B131,2),"Yes","Error"),"No")</f>
        <v>Yes</v>
      </c>
      <c r="AE131" s="1"/>
      <c r="AF131" s="1"/>
    </row>
    <row r="132" spans="1:32" x14ac:dyDescent="0.25">
      <c r="A132" t="s">
        <v>710</v>
      </c>
      <c r="B132" t="s">
        <v>195</v>
      </c>
      <c r="C132" t="s">
        <v>30</v>
      </c>
      <c r="D132" t="s">
        <v>196</v>
      </c>
      <c r="E132" t="s">
        <v>219</v>
      </c>
      <c r="F132">
        <v>4500465698</v>
      </c>
      <c r="G132" t="s">
        <v>12</v>
      </c>
      <c r="H132" t="s">
        <v>220</v>
      </c>
      <c r="I132" t="s">
        <v>219</v>
      </c>
      <c r="J132" s="1">
        <v>25000</v>
      </c>
      <c r="K132" s="1">
        <v>25000</v>
      </c>
      <c r="L132" t="str">
        <f>IFERROR(IF(VLOOKUP(LEFT(B132,2),'Humanitarian codes'!$A$2:$A$10,1,FALSE)=LEFT(B132,2),"Yes","Error"),"No")</f>
        <v>Yes</v>
      </c>
      <c r="AE132" s="1"/>
      <c r="AF132" s="1"/>
    </row>
    <row r="133" spans="1:32" x14ac:dyDescent="0.25">
      <c r="A133" t="s">
        <v>710</v>
      </c>
      <c r="B133" t="s">
        <v>195</v>
      </c>
      <c r="C133" t="s">
        <v>30</v>
      </c>
      <c r="D133" t="s">
        <v>196</v>
      </c>
      <c r="E133" t="s">
        <v>219</v>
      </c>
      <c r="F133">
        <v>4500465703</v>
      </c>
      <c r="G133" t="s">
        <v>12</v>
      </c>
      <c r="H133" t="s">
        <v>221</v>
      </c>
      <c r="I133" t="s">
        <v>219</v>
      </c>
      <c r="J133" s="1">
        <v>25000</v>
      </c>
      <c r="K133" s="1">
        <v>25000</v>
      </c>
      <c r="L133" t="str">
        <f>IFERROR(IF(VLOOKUP(LEFT(B133,2),'Humanitarian codes'!$A$2:$A$10,1,FALSE)=LEFT(B133,2),"Yes","Error"),"No")</f>
        <v>Yes</v>
      </c>
      <c r="AE133" s="1"/>
      <c r="AF133" s="1"/>
    </row>
    <row r="134" spans="1:32" x14ac:dyDescent="0.25">
      <c r="A134" t="s">
        <v>710</v>
      </c>
      <c r="B134" t="s">
        <v>195</v>
      </c>
      <c r="C134" t="s">
        <v>30</v>
      </c>
      <c r="D134" t="s">
        <v>196</v>
      </c>
      <c r="E134" t="s">
        <v>219</v>
      </c>
      <c r="F134">
        <v>4500465706</v>
      </c>
      <c r="G134" t="s">
        <v>12</v>
      </c>
      <c r="H134" t="s">
        <v>222</v>
      </c>
      <c r="I134" t="s">
        <v>219</v>
      </c>
      <c r="J134" s="1">
        <v>25000</v>
      </c>
      <c r="K134" s="1">
        <v>25000</v>
      </c>
      <c r="L134" t="str">
        <f>IFERROR(IF(VLOOKUP(LEFT(B134,2),'Humanitarian codes'!$A$2:$A$10,1,FALSE)=LEFT(B134,2),"Yes","Error"),"No")</f>
        <v>Yes</v>
      </c>
      <c r="AE134" s="1"/>
      <c r="AF134" s="1"/>
    </row>
    <row r="135" spans="1:32" x14ac:dyDescent="0.25">
      <c r="A135" t="s">
        <v>710</v>
      </c>
      <c r="B135" t="s">
        <v>195</v>
      </c>
      <c r="C135" t="s">
        <v>30</v>
      </c>
      <c r="D135" t="s">
        <v>196</v>
      </c>
      <c r="E135" t="s">
        <v>219</v>
      </c>
      <c r="F135">
        <v>4500471016</v>
      </c>
      <c r="G135" t="s">
        <v>12</v>
      </c>
      <c r="H135" t="s">
        <v>223</v>
      </c>
      <c r="I135" t="s">
        <v>219</v>
      </c>
      <c r="J135" s="1">
        <v>25000</v>
      </c>
      <c r="K135" s="1">
        <v>25000</v>
      </c>
      <c r="L135" t="str">
        <f>IFERROR(IF(VLOOKUP(LEFT(B135,2),'Humanitarian codes'!$A$2:$A$10,1,FALSE)=LEFT(B135,2),"Yes","Error"),"No")</f>
        <v>Yes</v>
      </c>
      <c r="AE135" s="1"/>
      <c r="AF135" s="1"/>
    </row>
    <row r="136" spans="1:32" x14ac:dyDescent="0.25">
      <c r="A136" t="s">
        <v>710</v>
      </c>
      <c r="B136" t="s">
        <v>224</v>
      </c>
      <c r="C136" t="s">
        <v>30</v>
      </c>
      <c r="D136" t="s">
        <v>225</v>
      </c>
      <c r="E136" t="s">
        <v>226</v>
      </c>
      <c r="F136">
        <v>4500458792</v>
      </c>
      <c r="G136" t="s">
        <v>12</v>
      </c>
      <c r="H136" t="s">
        <v>227</v>
      </c>
      <c r="I136" t="s">
        <v>226</v>
      </c>
      <c r="J136" s="1">
        <v>44333.72</v>
      </c>
      <c r="K136" s="1">
        <v>44333.72</v>
      </c>
      <c r="L136" t="str">
        <f>IFERROR(IF(VLOOKUP(LEFT(B136,2),'Humanitarian codes'!$A$2:$A$10,1,FALSE)=LEFT(B136,2),"Yes","Error"),"No")</f>
        <v>Yes</v>
      </c>
      <c r="AE136" s="1"/>
      <c r="AF136" s="1"/>
    </row>
    <row r="137" spans="1:32" x14ac:dyDescent="0.25">
      <c r="A137" t="s">
        <v>710</v>
      </c>
      <c r="B137" t="s">
        <v>224</v>
      </c>
      <c r="C137" t="s">
        <v>30</v>
      </c>
      <c r="D137" t="s">
        <v>225</v>
      </c>
      <c r="E137" t="s">
        <v>226</v>
      </c>
      <c r="F137">
        <v>4500466762</v>
      </c>
      <c r="G137" t="s">
        <v>12</v>
      </c>
      <c r="H137" t="s">
        <v>228</v>
      </c>
      <c r="I137" t="s">
        <v>226</v>
      </c>
      <c r="J137" s="1">
        <v>41340.36</v>
      </c>
      <c r="K137" s="1">
        <v>41340.36</v>
      </c>
      <c r="L137" t="str">
        <f>IFERROR(IF(VLOOKUP(LEFT(B137,2),'Humanitarian codes'!$A$2:$A$10,1,FALSE)=LEFT(B137,2),"Yes","Error"),"No")</f>
        <v>Yes</v>
      </c>
      <c r="AE137" s="1"/>
      <c r="AF137" s="1"/>
    </row>
    <row r="138" spans="1:32" x14ac:dyDescent="0.25">
      <c r="A138" t="s">
        <v>710</v>
      </c>
      <c r="B138" t="s">
        <v>224</v>
      </c>
      <c r="C138" t="s">
        <v>30</v>
      </c>
      <c r="D138" t="s">
        <v>225</v>
      </c>
      <c r="E138" t="s">
        <v>226</v>
      </c>
      <c r="F138">
        <v>4500475950</v>
      </c>
      <c r="G138" t="s">
        <v>12</v>
      </c>
      <c r="H138" t="s">
        <v>229</v>
      </c>
      <c r="I138" t="s">
        <v>226</v>
      </c>
      <c r="J138" s="1">
        <v>45040.39</v>
      </c>
      <c r="K138" s="1">
        <v>45040.39</v>
      </c>
      <c r="L138" t="str">
        <f>IFERROR(IF(VLOOKUP(LEFT(B138,2),'Humanitarian codes'!$A$2:$A$10,1,FALSE)=LEFT(B138,2),"Yes","Error"),"No")</f>
        <v>Yes</v>
      </c>
      <c r="AE138" s="1"/>
      <c r="AF138" s="1"/>
    </row>
    <row r="139" spans="1:32" x14ac:dyDescent="0.25">
      <c r="A139" t="s">
        <v>710</v>
      </c>
      <c r="B139" t="s">
        <v>230</v>
      </c>
      <c r="C139" t="s">
        <v>30</v>
      </c>
      <c r="D139" t="s">
        <v>231</v>
      </c>
      <c r="E139" t="s">
        <v>175</v>
      </c>
      <c r="F139">
        <v>4500476560</v>
      </c>
      <c r="G139" t="s">
        <v>12</v>
      </c>
      <c r="H139" t="s">
        <v>232</v>
      </c>
      <c r="I139" t="s">
        <v>175</v>
      </c>
      <c r="J139" s="1">
        <v>403609.3</v>
      </c>
      <c r="K139" s="1">
        <v>403609.3</v>
      </c>
      <c r="L139" t="str">
        <f>IFERROR(IF(VLOOKUP(LEFT(B139,2),'Humanitarian codes'!$A$2:$A$10,1,FALSE)=LEFT(B139,2),"Yes","Error"),"No")</f>
        <v>Yes</v>
      </c>
      <c r="AE139" s="1"/>
      <c r="AF139" s="1"/>
    </row>
    <row r="140" spans="1:32" x14ac:dyDescent="0.25">
      <c r="A140" t="s">
        <v>710</v>
      </c>
      <c r="B140" t="s">
        <v>230</v>
      </c>
      <c r="C140" t="s">
        <v>30</v>
      </c>
      <c r="D140" t="s">
        <v>231</v>
      </c>
      <c r="E140" t="s">
        <v>175</v>
      </c>
      <c r="F140">
        <v>4500480566</v>
      </c>
      <c r="G140" t="s">
        <v>12</v>
      </c>
      <c r="H140" t="s">
        <v>233</v>
      </c>
      <c r="I140" t="s">
        <v>175</v>
      </c>
      <c r="J140" s="1">
        <v>218422</v>
      </c>
      <c r="K140" s="1">
        <v>218422</v>
      </c>
      <c r="L140" t="str">
        <f>IFERROR(IF(VLOOKUP(LEFT(B140,2),'Humanitarian codes'!$A$2:$A$10,1,FALSE)=LEFT(B140,2),"Yes","Error"),"No")</f>
        <v>Yes</v>
      </c>
      <c r="AE140" s="1"/>
      <c r="AF140" s="1"/>
    </row>
    <row r="141" spans="1:32" x14ac:dyDescent="0.25">
      <c r="A141" t="s">
        <v>710</v>
      </c>
      <c r="B141" t="s">
        <v>234</v>
      </c>
      <c r="C141" t="s">
        <v>30</v>
      </c>
      <c r="D141" t="s">
        <v>235</v>
      </c>
      <c r="E141" t="s">
        <v>76</v>
      </c>
      <c r="F141">
        <v>4500461124</v>
      </c>
      <c r="G141" t="s">
        <v>12</v>
      </c>
      <c r="H141" t="s">
        <v>236</v>
      </c>
      <c r="I141" t="s">
        <v>76</v>
      </c>
      <c r="J141" s="1">
        <v>121317.07</v>
      </c>
      <c r="K141" s="1">
        <v>121317.07</v>
      </c>
      <c r="L141" t="str">
        <f>IFERROR(IF(VLOOKUP(LEFT(B141,2),'Humanitarian codes'!$A$2:$A$10,1,FALSE)=LEFT(B141,2),"Yes","Error"),"No")</f>
        <v>Yes</v>
      </c>
      <c r="AE141" s="1"/>
      <c r="AF141" s="1"/>
    </row>
    <row r="142" spans="1:32" x14ac:dyDescent="0.25">
      <c r="A142" t="s">
        <v>710</v>
      </c>
      <c r="B142" t="s">
        <v>237</v>
      </c>
      <c r="C142" t="s">
        <v>30</v>
      </c>
      <c r="D142" t="s">
        <v>238</v>
      </c>
      <c r="E142" t="s">
        <v>239</v>
      </c>
      <c r="F142">
        <v>4500456882</v>
      </c>
      <c r="G142" t="s">
        <v>12</v>
      </c>
      <c r="H142" t="s">
        <v>240</v>
      </c>
      <c r="I142" t="s">
        <v>239</v>
      </c>
      <c r="J142" s="1">
        <v>89673.19</v>
      </c>
      <c r="K142" s="1">
        <v>89673.19</v>
      </c>
      <c r="L142" t="str">
        <f>IFERROR(IF(VLOOKUP(LEFT(B142,2),'Humanitarian codes'!$A$2:$A$10,1,FALSE)=LEFT(B142,2),"Yes","Error"),"No")</f>
        <v>Yes</v>
      </c>
      <c r="AE142" s="1"/>
      <c r="AF142" s="1"/>
    </row>
    <row r="143" spans="1:32" x14ac:dyDescent="0.25">
      <c r="A143" t="s">
        <v>710</v>
      </c>
      <c r="B143" t="s">
        <v>241</v>
      </c>
      <c r="C143" t="s">
        <v>30</v>
      </c>
      <c r="D143" t="s">
        <v>242</v>
      </c>
      <c r="E143" t="s">
        <v>243</v>
      </c>
      <c r="F143">
        <v>4500461633</v>
      </c>
      <c r="G143" t="s">
        <v>12</v>
      </c>
      <c r="H143" t="s">
        <v>244</v>
      </c>
      <c r="I143" t="s">
        <v>243</v>
      </c>
      <c r="J143" s="1">
        <v>15553.69</v>
      </c>
      <c r="K143" s="1">
        <v>15553.69</v>
      </c>
      <c r="L143" t="str">
        <f>IFERROR(IF(VLOOKUP(LEFT(B143,2),'Humanitarian codes'!$A$2:$A$10,1,FALSE)=LEFT(B143,2),"Yes","Error"),"No")</f>
        <v>Yes</v>
      </c>
      <c r="AE143" s="1"/>
      <c r="AF143" s="1"/>
    </row>
    <row r="144" spans="1:32" x14ac:dyDescent="0.25">
      <c r="A144" t="s">
        <v>710</v>
      </c>
      <c r="B144" t="s">
        <v>241</v>
      </c>
      <c r="C144" t="s">
        <v>30</v>
      </c>
      <c r="D144" t="s">
        <v>242</v>
      </c>
      <c r="E144" t="s">
        <v>243</v>
      </c>
      <c r="F144">
        <v>4500461635</v>
      </c>
      <c r="G144" t="s">
        <v>12</v>
      </c>
      <c r="H144" t="s">
        <v>245</v>
      </c>
      <c r="I144" t="s">
        <v>243</v>
      </c>
      <c r="J144" s="1">
        <v>17019</v>
      </c>
      <c r="K144" s="1">
        <v>17019</v>
      </c>
      <c r="L144" t="str">
        <f>IFERROR(IF(VLOOKUP(LEFT(B144,2),'Humanitarian codes'!$A$2:$A$10,1,FALSE)=LEFT(B144,2),"Yes","Error"),"No")</f>
        <v>Yes</v>
      </c>
      <c r="AE144" s="1"/>
      <c r="AF144" s="1"/>
    </row>
    <row r="145" spans="1:32" x14ac:dyDescent="0.25">
      <c r="A145" t="s">
        <v>710</v>
      </c>
      <c r="B145" t="s">
        <v>241</v>
      </c>
      <c r="C145" t="s">
        <v>30</v>
      </c>
      <c r="D145" t="s">
        <v>242</v>
      </c>
      <c r="E145" t="s">
        <v>243</v>
      </c>
      <c r="F145">
        <v>4500463747</v>
      </c>
      <c r="G145" t="s">
        <v>12</v>
      </c>
      <c r="H145" t="s">
        <v>246</v>
      </c>
      <c r="I145" t="s">
        <v>243</v>
      </c>
      <c r="J145" s="1">
        <v>20038.439999999999</v>
      </c>
      <c r="K145" s="1">
        <v>20038.439999999999</v>
      </c>
      <c r="L145" t="str">
        <f>IFERROR(IF(VLOOKUP(LEFT(B145,2),'Humanitarian codes'!$A$2:$A$10,1,FALSE)=LEFT(B145,2),"Yes","Error"),"No")</f>
        <v>Yes</v>
      </c>
      <c r="AE145" s="1"/>
      <c r="AF145" s="1"/>
    </row>
    <row r="146" spans="1:32" x14ac:dyDescent="0.25">
      <c r="A146" t="s">
        <v>710</v>
      </c>
      <c r="B146" t="s">
        <v>241</v>
      </c>
      <c r="C146" t="s">
        <v>30</v>
      </c>
      <c r="D146" t="s">
        <v>242</v>
      </c>
      <c r="E146" t="s">
        <v>243</v>
      </c>
      <c r="F146">
        <v>4500463753</v>
      </c>
      <c r="G146" t="s">
        <v>12</v>
      </c>
      <c r="H146" t="s">
        <v>247</v>
      </c>
      <c r="I146" t="s">
        <v>243</v>
      </c>
      <c r="J146" s="1">
        <v>134797.07999999999</v>
      </c>
      <c r="K146" s="1">
        <v>134797.07999999999</v>
      </c>
      <c r="L146" t="str">
        <f>IFERROR(IF(VLOOKUP(LEFT(B146,2),'Humanitarian codes'!$A$2:$A$10,1,FALSE)=LEFT(B146,2),"Yes","Error"),"No")</f>
        <v>Yes</v>
      </c>
      <c r="AE146" s="1"/>
      <c r="AF146" s="1"/>
    </row>
    <row r="147" spans="1:32" x14ac:dyDescent="0.25">
      <c r="A147" t="s">
        <v>710</v>
      </c>
      <c r="B147" t="s">
        <v>248</v>
      </c>
      <c r="C147" t="s">
        <v>30</v>
      </c>
      <c r="D147" t="s">
        <v>249</v>
      </c>
      <c r="E147" t="s">
        <v>159</v>
      </c>
      <c r="F147">
        <v>4500458682</v>
      </c>
      <c r="G147" t="s">
        <v>12</v>
      </c>
      <c r="H147" t="s">
        <v>250</v>
      </c>
      <c r="I147" t="s">
        <v>159</v>
      </c>
      <c r="J147" s="1">
        <v>246034.67</v>
      </c>
      <c r="K147" s="1">
        <v>246034.67</v>
      </c>
      <c r="L147" t="str">
        <f>IFERROR(IF(VLOOKUP(LEFT(B147,2),'Humanitarian codes'!$A$2:$A$10,1,FALSE)=LEFT(B147,2),"Yes","Error"),"No")</f>
        <v>Yes</v>
      </c>
      <c r="AE147" s="1"/>
      <c r="AF147" s="1"/>
    </row>
    <row r="148" spans="1:32" x14ac:dyDescent="0.25">
      <c r="A148" t="s">
        <v>710</v>
      </c>
      <c r="B148" t="s">
        <v>251</v>
      </c>
      <c r="C148" t="s">
        <v>30</v>
      </c>
      <c r="D148" t="s">
        <v>252</v>
      </c>
      <c r="E148" t="s">
        <v>253</v>
      </c>
      <c r="F148">
        <v>4500478791</v>
      </c>
      <c r="G148" t="s">
        <v>12</v>
      </c>
      <c r="H148" t="s">
        <v>254</v>
      </c>
      <c r="I148" t="s">
        <v>253</v>
      </c>
      <c r="J148" s="1">
        <v>485000</v>
      </c>
      <c r="K148" s="1">
        <v>485000</v>
      </c>
      <c r="L148" t="str">
        <f>IFERROR(IF(VLOOKUP(LEFT(B148,2),'Humanitarian codes'!$A$2:$A$10,1,FALSE)=LEFT(B148,2),"Yes","Error"),"No")</f>
        <v>Yes</v>
      </c>
      <c r="AE148" s="1"/>
      <c r="AF148" s="1"/>
    </row>
    <row r="149" spans="1:32" x14ac:dyDescent="0.25">
      <c r="A149" t="s">
        <v>710</v>
      </c>
      <c r="B149" t="s">
        <v>255</v>
      </c>
      <c r="C149" t="s">
        <v>30</v>
      </c>
      <c r="D149" t="s">
        <v>256</v>
      </c>
      <c r="E149" t="s">
        <v>257</v>
      </c>
      <c r="F149">
        <v>4500478191</v>
      </c>
      <c r="G149" t="s">
        <v>12</v>
      </c>
      <c r="H149" t="s">
        <v>258</v>
      </c>
      <c r="I149" t="s">
        <v>257</v>
      </c>
      <c r="J149" s="1">
        <v>45074.16</v>
      </c>
      <c r="K149" s="1">
        <v>45074.16</v>
      </c>
      <c r="L149" t="str">
        <f>IFERROR(IF(VLOOKUP(LEFT(B149,2),'Humanitarian codes'!$A$2:$A$10,1,FALSE)=LEFT(B149,2),"Yes","Error"),"No")</f>
        <v>Yes</v>
      </c>
      <c r="AE149" s="1"/>
      <c r="AF149" s="1"/>
    </row>
    <row r="150" spans="1:32" x14ac:dyDescent="0.25">
      <c r="A150" t="s">
        <v>710</v>
      </c>
      <c r="B150" t="s">
        <v>259</v>
      </c>
      <c r="C150" t="s">
        <v>30</v>
      </c>
      <c r="D150" t="s">
        <v>260</v>
      </c>
      <c r="E150" t="s">
        <v>261</v>
      </c>
      <c r="F150">
        <v>4500467165</v>
      </c>
      <c r="G150" t="s">
        <v>12</v>
      </c>
      <c r="H150" t="s">
        <v>262</v>
      </c>
      <c r="I150" t="s">
        <v>261</v>
      </c>
      <c r="J150" s="1">
        <v>208200.95</v>
      </c>
      <c r="K150" s="1">
        <v>208200.95</v>
      </c>
      <c r="L150" t="str">
        <f>IFERROR(IF(VLOOKUP(LEFT(B150,2),'Humanitarian codes'!$A$2:$A$10,1,FALSE)=LEFT(B150,2),"Yes","Error"),"No")</f>
        <v>Yes</v>
      </c>
      <c r="AE150" s="1"/>
      <c r="AF150" s="1"/>
    </row>
    <row r="151" spans="1:32" x14ac:dyDescent="0.25">
      <c r="A151" t="s">
        <v>710</v>
      </c>
      <c r="B151" t="s">
        <v>259</v>
      </c>
      <c r="C151" t="s">
        <v>30</v>
      </c>
      <c r="D151" t="s">
        <v>260</v>
      </c>
      <c r="E151" t="s">
        <v>261</v>
      </c>
      <c r="F151">
        <v>4500467771</v>
      </c>
      <c r="G151" t="s">
        <v>12</v>
      </c>
      <c r="H151" t="s">
        <v>263</v>
      </c>
      <c r="I151" t="s">
        <v>261</v>
      </c>
      <c r="J151" s="1">
        <v>170346.23</v>
      </c>
      <c r="K151" s="1">
        <v>170346.23</v>
      </c>
      <c r="L151" t="str">
        <f>IFERROR(IF(VLOOKUP(LEFT(B151,2),'Humanitarian codes'!$A$2:$A$10,1,FALSE)=LEFT(B151,2),"Yes","Error"),"No")</f>
        <v>Yes</v>
      </c>
      <c r="AE151" s="1"/>
      <c r="AF151" s="1"/>
    </row>
    <row r="152" spans="1:32" x14ac:dyDescent="0.25">
      <c r="A152" t="s">
        <v>710</v>
      </c>
      <c r="B152" t="s">
        <v>259</v>
      </c>
      <c r="C152" t="s">
        <v>30</v>
      </c>
      <c r="D152" t="s">
        <v>260</v>
      </c>
      <c r="E152" t="s">
        <v>261</v>
      </c>
      <c r="F152">
        <v>4500482283</v>
      </c>
      <c r="G152" t="s">
        <v>12</v>
      </c>
      <c r="H152" t="s">
        <v>264</v>
      </c>
      <c r="I152" t="s">
        <v>261</v>
      </c>
      <c r="J152" s="1">
        <v>370503.06</v>
      </c>
      <c r="K152" s="1">
        <v>370503.06</v>
      </c>
      <c r="L152" t="str">
        <f>IFERROR(IF(VLOOKUP(LEFT(B152,2),'Humanitarian codes'!$A$2:$A$10,1,FALSE)=LEFT(B152,2),"Yes","Error"),"No")</f>
        <v>Yes</v>
      </c>
      <c r="AF152" s="1"/>
    </row>
    <row r="153" spans="1:32" x14ac:dyDescent="0.25">
      <c r="A153" t="s">
        <v>710</v>
      </c>
      <c r="B153" t="s">
        <v>265</v>
      </c>
      <c r="C153" t="s">
        <v>30</v>
      </c>
      <c r="D153" t="s">
        <v>266</v>
      </c>
      <c r="E153" t="s">
        <v>54</v>
      </c>
      <c r="F153">
        <v>4500456767</v>
      </c>
      <c r="G153" t="s">
        <v>12</v>
      </c>
      <c r="H153" t="s">
        <v>267</v>
      </c>
      <c r="I153" t="s">
        <v>54</v>
      </c>
      <c r="J153" s="1">
        <v>331430.94</v>
      </c>
      <c r="K153" s="1">
        <v>389918.75</v>
      </c>
      <c r="L153" t="str">
        <f>IFERROR(IF(VLOOKUP(LEFT(B153,2),'Humanitarian codes'!$A$2:$A$10,1,FALSE)=LEFT(B153,2),"Yes","Error"),"No")</f>
        <v>Yes</v>
      </c>
      <c r="AE153" s="1"/>
      <c r="AF153" s="1"/>
    </row>
    <row r="154" spans="1:32" x14ac:dyDescent="0.25">
      <c r="A154" t="s">
        <v>710</v>
      </c>
      <c r="B154" t="s">
        <v>265</v>
      </c>
      <c r="C154" t="s">
        <v>30</v>
      </c>
      <c r="D154" t="s">
        <v>266</v>
      </c>
      <c r="E154" t="s">
        <v>54</v>
      </c>
      <c r="F154">
        <v>4500458079</v>
      </c>
      <c r="G154" t="s">
        <v>12</v>
      </c>
      <c r="H154" t="s">
        <v>268</v>
      </c>
      <c r="I154" t="s">
        <v>54</v>
      </c>
      <c r="J154" s="1">
        <v>200191.79</v>
      </c>
      <c r="K154" s="1">
        <v>200191.79</v>
      </c>
      <c r="L154" t="str">
        <f>IFERROR(IF(VLOOKUP(LEFT(B154,2),'Humanitarian codes'!$A$2:$A$10,1,FALSE)=LEFT(B154,2),"Yes","Error"),"No")</f>
        <v>Yes</v>
      </c>
      <c r="AE154" s="1"/>
      <c r="AF154" s="1"/>
    </row>
    <row r="155" spans="1:32" x14ac:dyDescent="0.25">
      <c r="A155" t="s">
        <v>710</v>
      </c>
      <c r="B155" t="s">
        <v>265</v>
      </c>
      <c r="C155" t="s">
        <v>30</v>
      </c>
      <c r="D155" t="s">
        <v>266</v>
      </c>
      <c r="E155" t="s">
        <v>54</v>
      </c>
      <c r="F155">
        <v>4500458178</v>
      </c>
      <c r="G155" t="s">
        <v>12</v>
      </c>
      <c r="H155" t="s">
        <v>269</v>
      </c>
      <c r="I155" t="s">
        <v>54</v>
      </c>
      <c r="J155" s="1">
        <v>229147.4</v>
      </c>
      <c r="K155" s="1">
        <v>285147.40000000002</v>
      </c>
      <c r="L155" t="str">
        <f>IFERROR(IF(VLOOKUP(LEFT(B155,2),'Humanitarian codes'!$A$2:$A$10,1,FALSE)=LEFT(B155,2),"Yes","Error"),"No")</f>
        <v>Yes</v>
      </c>
      <c r="AE155" s="1"/>
      <c r="AF155" s="1"/>
    </row>
    <row r="156" spans="1:32" x14ac:dyDescent="0.25">
      <c r="A156" t="s">
        <v>710</v>
      </c>
      <c r="B156" t="s">
        <v>265</v>
      </c>
      <c r="C156" t="s">
        <v>30</v>
      </c>
      <c r="D156" t="s">
        <v>266</v>
      </c>
      <c r="E156" t="s">
        <v>54</v>
      </c>
      <c r="F156">
        <v>4500461468</v>
      </c>
      <c r="G156" t="s">
        <v>12</v>
      </c>
      <c r="H156" t="s">
        <v>270</v>
      </c>
      <c r="I156" t="s">
        <v>54</v>
      </c>
      <c r="J156" s="1">
        <v>182076.4</v>
      </c>
      <c r="K156" s="1">
        <v>262124.59</v>
      </c>
      <c r="L156" t="str">
        <f>IFERROR(IF(VLOOKUP(LEFT(B156,2),'Humanitarian codes'!$A$2:$A$10,1,FALSE)=LEFT(B156,2),"Yes","Error"),"No")</f>
        <v>Yes</v>
      </c>
      <c r="AE156" s="1"/>
      <c r="AF156" s="1"/>
    </row>
    <row r="157" spans="1:32" x14ac:dyDescent="0.25">
      <c r="A157" t="s">
        <v>710</v>
      </c>
      <c r="B157" t="s">
        <v>265</v>
      </c>
      <c r="C157" t="s">
        <v>30</v>
      </c>
      <c r="D157" t="s">
        <v>266</v>
      </c>
      <c r="E157" t="s">
        <v>54</v>
      </c>
      <c r="F157">
        <v>4500462856</v>
      </c>
      <c r="G157" t="s">
        <v>12</v>
      </c>
      <c r="H157" t="s">
        <v>271</v>
      </c>
      <c r="I157" t="s">
        <v>54</v>
      </c>
      <c r="J157" s="1">
        <v>275848.28999999998</v>
      </c>
      <c r="K157" s="1">
        <v>275848.28999999998</v>
      </c>
      <c r="L157" t="str">
        <f>IFERROR(IF(VLOOKUP(LEFT(B157,2),'Humanitarian codes'!$A$2:$A$10,1,FALSE)=LEFT(B157,2),"Yes","Error"),"No")</f>
        <v>Yes</v>
      </c>
      <c r="AE157" s="1"/>
      <c r="AF157" s="1"/>
    </row>
    <row r="158" spans="1:32" x14ac:dyDescent="0.25">
      <c r="A158" t="s">
        <v>710</v>
      </c>
      <c r="B158" t="s">
        <v>265</v>
      </c>
      <c r="C158" t="s">
        <v>30</v>
      </c>
      <c r="D158" t="s">
        <v>266</v>
      </c>
      <c r="E158" t="s">
        <v>54</v>
      </c>
      <c r="F158">
        <v>4500463525</v>
      </c>
      <c r="G158" t="s">
        <v>12</v>
      </c>
      <c r="H158" t="s">
        <v>272</v>
      </c>
      <c r="I158" t="s">
        <v>54</v>
      </c>
      <c r="J158" s="1">
        <v>176312.22</v>
      </c>
      <c r="K158" s="1">
        <v>177203.79</v>
      </c>
      <c r="L158" t="str">
        <f>IFERROR(IF(VLOOKUP(LEFT(B158,2),'Humanitarian codes'!$A$2:$A$10,1,FALSE)=LEFT(B158,2),"Yes","Error"),"No")</f>
        <v>Yes</v>
      </c>
      <c r="AE158" s="1"/>
      <c r="AF158" s="1"/>
    </row>
    <row r="159" spans="1:32" x14ac:dyDescent="0.25">
      <c r="A159" t="s">
        <v>710</v>
      </c>
      <c r="B159" t="s">
        <v>265</v>
      </c>
      <c r="C159" t="s">
        <v>30</v>
      </c>
      <c r="D159" t="s">
        <v>266</v>
      </c>
      <c r="E159" t="s">
        <v>54</v>
      </c>
      <c r="F159">
        <v>4500464365</v>
      </c>
      <c r="G159" t="s">
        <v>12</v>
      </c>
      <c r="H159" t="s">
        <v>267</v>
      </c>
      <c r="I159" t="s">
        <v>54</v>
      </c>
      <c r="J159" s="1">
        <v>167284.09</v>
      </c>
      <c r="K159" s="1">
        <v>167284.09</v>
      </c>
      <c r="L159" t="str">
        <f>IFERROR(IF(VLOOKUP(LEFT(B159,2),'Humanitarian codes'!$A$2:$A$10,1,FALSE)=LEFT(B159,2),"Yes","Error"),"No")</f>
        <v>Yes</v>
      </c>
      <c r="AE159" s="1"/>
      <c r="AF159" s="1"/>
    </row>
    <row r="160" spans="1:32" x14ac:dyDescent="0.25">
      <c r="A160" t="s">
        <v>710</v>
      </c>
      <c r="B160" t="s">
        <v>265</v>
      </c>
      <c r="C160" t="s">
        <v>30</v>
      </c>
      <c r="D160" t="s">
        <v>266</v>
      </c>
      <c r="E160" t="s">
        <v>54</v>
      </c>
      <c r="F160">
        <v>4500464391</v>
      </c>
      <c r="G160" t="s">
        <v>12</v>
      </c>
      <c r="H160" t="s">
        <v>273</v>
      </c>
      <c r="I160" t="s">
        <v>54</v>
      </c>
      <c r="J160" s="1">
        <v>169975.9</v>
      </c>
      <c r="K160" s="1">
        <v>203074.7</v>
      </c>
      <c r="L160" t="str">
        <f>IFERROR(IF(VLOOKUP(LEFT(B160,2),'Humanitarian codes'!$A$2:$A$10,1,FALSE)=LEFT(B160,2),"Yes","Error"),"No")</f>
        <v>Yes</v>
      </c>
      <c r="AF160" s="1"/>
    </row>
    <row r="161" spans="1:32" x14ac:dyDescent="0.25">
      <c r="A161" t="s">
        <v>710</v>
      </c>
      <c r="B161" t="s">
        <v>265</v>
      </c>
      <c r="C161" t="s">
        <v>30</v>
      </c>
      <c r="D161" t="s">
        <v>266</v>
      </c>
      <c r="E161" t="s">
        <v>54</v>
      </c>
      <c r="F161">
        <v>4500464426</v>
      </c>
      <c r="G161" t="s">
        <v>12</v>
      </c>
      <c r="H161" t="s">
        <v>274</v>
      </c>
      <c r="I161" t="s">
        <v>54</v>
      </c>
      <c r="J161" s="1">
        <v>218284.73</v>
      </c>
      <c r="K161" s="1">
        <v>219154.61</v>
      </c>
      <c r="L161" t="str">
        <f>IFERROR(IF(VLOOKUP(LEFT(B161,2),'Humanitarian codes'!$A$2:$A$10,1,FALSE)=LEFT(B161,2),"Yes","Error"),"No")</f>
        <v>Yes</v>
      </c>
      <c r="AE161" s="1"/>
      <c r="AF161" s="1"/>
    </row>
    <row r="162" spans="1:32" x14ac:dyDescent="0.25">
      <c r="A162" t="s">
        <v>710</v>
      </c>
      <c r="B162" t="s">
        <v>265</v>
      </c>
      <c r="C162" t="s">
        <v>30</v>
      </c>
      <c r="D162" t="s">
        <v>266</v>
      </c>
      <c r="E162" t="s">
        <v>54</v>
      </c>
      <c r="F162">
        <v>4500464587</v>
      </c>
      <c r="G162" t="s">
        <v>12</v>
      </c>
      <c r="H162" t="s">
        <v>275</v>
      </c>
      <c r="I162" t="s">
        <v>54</v>
      </c>
      <c r="J162" s="1">
        <v>205063.09</v>
      </c>
      <c r="K162" s="1">
        <v>206147.43</v>
      </c>
      <c r="L162" t="str">
        <f>IFERROR(IF(VLOOKUP(LEFT(B162,2),'Humanitarian codes'!$A$2:$A$10,1,FALSE)=LEFT(B162,2),"Yes","Error"),"No")</f>
        <v>Yes</v>
      </c>
      <c r="AE162" s="1"/>
      <c r="AF162" s="1"/>
    </row>
    <row r="163" spans="1:32" x14ac:dyDescent="0.25">
      <c r="A163" t="s">
        <v>710</v>
      </c>
      <c r="B163" t="s">
        <v>265</v>
      </c>
      <c r="C163" t="s">
        <v>30</v>
      </c>
      <c r="D163" t="s">
        <v>266</v>
      </c>
      <c r="E163" t="s">
        <v>54</v>
      </c>
      <c r="F163">
        <v>4500464614</v>
      </c>
      <c r="G163" t="s">
        <v>12</v>
      </c>
      <c r="H163" t="s">
        <v>276</v>
      </c>
      <c r="I163" t="s">
        <v>54</v>
      </c>
      <c r="J163" s="1">
        <v>366340.8</v>
      </c>
      <c r="K163" s="1">
        <v>441364.42</v>
      </c>
      <c r="L163" t="str">
        <f>IFERROR(IF(VLOOKUP(LEFT(B163,2),'Humanitarian codes'!$A$2:$A$10,1,FALSE)=LEFT(B163,2),"Yes","Error"),"No")</f>
        <v>Yes</v>
      </c>
      <c r="AE163" s="1"/>
      <c r="AF163" s="1"/>
    </row>
    <row r="164" spans="1:32" x14ac:dyDescent="0.25">
      <c r="A164" t="s">
        <v>710</v>
      </c>
      <c r="B164" t="s">
        <v>265</v>
      </c>
      <c r="C164" t="s">
        <v>30</v>
      </c>
      <c r="D164" t="s">
        <v>266</v>
      </c>
      <c r="E164" t="s">
        <v>54</v>
      </c>
      <c r="F164">
        <v>4500464667</v>
      </c>
      <c r="G164" t="s">
        <v>12</v>
      </c>
      <c r="H164" t="s">
        <v>277</v>
      </c>
      <c r="I164" t="s">
        <v>54</v>
      </c>
      <c r="J164" s="1">
        <v>240070.82</v>
      </c>
      <c r="K164" s="1">
        <v>242143.11</v>
      </c>
      <c r="L164" t="str">
        <f>IFERROR(IF(VLOOKUP(LEFT(B164,2),'Humanitarian codes'!$A$2:$A$10,1,FALSE)=LEFT(B164,2),"Yes","Error"),"No")</f>
        <v>Yes</v>
      </c>
      <c r="AE164" s="1"/>
      <c r="AF164" s="1"/>
    </row>
    <row r="165" spans="1:32" x14ac:dyDescent="0.25">
      <c r="A165" t="s">
        <v>710</v>
      </c>
      <c r="B165" t="s">
        <v>265</v>
      </c>
      <c r="C165" t="s">
        <v>30</v>
      </c>
      <c r="D165" t="s">
        <v>266</v>
      </c>
      <c r="E165" t="s">
        <v>54</v>
      </c>
      <c r="F165">
        <v>4500464934</v>
      </c>
      <c r="G165" t="s">
        <v>12</v>
      </c>
      <c r="H165" t="s">
        <v>278</v>
      </c>
      <c r="I165" t="s">
        <v>54</v>
      </c>
      <c r="J165" s="1">
        <v>220522.36</v>
      </c>
      <c r="K165" s="1">
        <v>267987.49</v>
      </c>
      <c r="L165" t="str">
        <f>IFERROR(IF(VLOOKUP(LEFT(B165,2),'Humanitarian codes'!$A$2:$A$10,1,FALSE)=LEFT(B165,2),"Yes","Error"),"No")</f>
        <v>Yes</v>
      </c>
      <c r="AE165" s="1"/>
      <c r="AF165" s="1"/>
    </row>
    <row r="166" spans="1:32" x14ac:dyDescent="0.25">
      <c r="A166" t="s">
        <v>710</v>
      </c>
      <c r="B166" t="s">
        <v>265</v>
      </c>
      <c r="C166" t="s">
        <v>30</v>
      </c>
      <c r="D166" t="s">
        <v>266</v>
      </c>
      <c r="E166" t="s">
        <v>54</v>
      </c>
      <c r="F166">
        <v>4500464983</v>
      </c>
      <c r="G166" t="s">
        <v>12</v>
      </c>
      <c r="H166" t="s">
        <v>279</v>
      </c>
      <c r="I166" t="s">
        <v>54</v>
      </c>
      <c r="J166" s="1">
        <v>176000</v>
      </c>
      <c r="K166" s="1">
        <v>176000</v>
      </c>
      <c r="L166" t="str">
        <f>IFERROR(IF(VLOOKUP(LEFT(B166,2),'Humanitarian codes'!$A$2:$A$10,1,FALSE)=LEFT(B166,2),"Yes","Error"),"No")</f>
        <v>Yes</v>
      </c>
      <c r="AE166" s="1"/>
      <c r="AF166" s="1"/>
    </row>
    <row r="167" spans="1:32" x14ac:dyDescent="0.25">
      <c r="A167" t="s">
        <v>710</v>
      </c>
      <c r="B167" t="s">
        <v>265</v>
      </c>
      <c r="C167" t="s">
        <v>30</v>
      </c>
      <c r="D167" t="s">
        <v>266</v>
      </c>
      <c r="E167" t="s">
        <v>54</v>
      </c>
      <c r="F167">
        <v>4500465043</v>
      </c>
      <c r="G167" t="s">
        <v>12</v>
      </c>
      <c r="H167" t="s">
        <v>272</v>
      </c>
      <c r="I167" t="s">
        <v>54</v>
      </c>
      <c r="J167" s="1">
        <v>141745.81</v>
      </c>
      <c r="K167" s="1">
        <v>166759.78</v>
      </c>
      <c r="L167" t="str">
        <f>IFERROR(IF(VLOOKUP(LEFT(B167,2),'Humanitarian codes'!$A$2:$A$10,1,FALSE)=LEFT(B167,2),"Yes","Error"),"No")</f>
        <v>Yes</v>
      </c>
      <c r="AE167" s="1"/>
      <c r="AF167" s="1"/>
    </row>
    <row r="168" spans="1:32" x14ac:dyDescent="0.25">
      <c r="A168" t="s">
        <v>710</v>
      </c>
      <c r="B168" t="s">
        <v>265</v>
      </c>
      <c r="C168" t="s">
        <v>30</v>
      </c>
      <c r="D168" t="s">
        <v>266</v>
      </c>
      <c r="E168" t="s">
        <v>54</v>
      </c>
      <c r="F168">
        <v>4500465854</v>
      </c>
      <c r="G168" t="s">
        <v>12</v>
      </c>
      <c r="H168" t="s">
        <v>280</v>
      </c>
      <c r="I168" t="s">
        <v>54</v>
      </c>
      <c r="J168" s="1">
        <v>381846.3</v>
      </c>
      <c r="K168" s="1">
        <v>385605.34</v>
      </c>
      <c r="L168" t="str">
        <f>IFERROR(IF(VLOOKUP(LEFT(B168,2),'Humanitarian codes'!$A$2:$A$10,1,FALSE)=LEFT(B168,2),"Yes","Error"),"No")</f>
        <v>Yes</v>
      </c>
      <c r="AE168" s="1"/>
      <c r="AF168" s="1"/>
    </row>
    <row r="169" spans="1:32" x14ac:dyDescent="0.25">
      <c r="A169" t="s">
        <v>710</v>
      </c>
      <c r="B169" t="s">
        <v>265</v>
      </c>
      <c r="C169" t="s">
        <v>30</v>
      </c>
      <c r="D169" t="s">
        <v>266</v>
      </c>
      <c r="E169" t="s">
        <v>54</v>
      </c>
      <c r="F169">
        <v>4500469256</v>
      </c>
      <c r="G169" t="s">
        <v>12</v>
      </c>
      <c r="H169" t="s">
        <v>281</v>
      </c>
      <c r="I169" t="s">
        <v>54</v>
      </c>
      <c r="J169" s="1">
        <v>26313.65</v>
      </c>
      <c r="K169" s="1">
        <v>26313.65</v>
      </c>
      <c r="L169" t="str">
        <f>IFERROR(IF(VLOOKUP(LEFT(B169,2),'Humanitarian codes'!$A$2:$A$10,1,FALSE)=LEFT(B169,2),"Yes","Error"),"No")</f>
        <v>Yes</v>
      </c>
      <c r="AE169" s="1"/>
      <c r="AF169" s="1"/>
    </row>
    <row r="170" spans="1:32" x14ac:dyDescent="0.25">
      <c r="A170" t="s">
        <v>710</v>
      </c>
      <c r="B170" t="s">
        <v>265</v>
      </c>
      <c r="C170" t="s">
        <v>30</v>
      </c>
      <c r="D170" t="s">
        <v>266</v>
      </c>
      <c r="E170" t="s">
        <v>54</v>
      </c>
      <c r="F170">
        <v>4500480525</v>
      </c>
      <c r="G170" t="s">
        <v>12</v>
      </c>
      <c r="H170" t="s">
        <v>56</v>
      </c>
      <c r="I170" t="s">
        <v>54</v>
      </c>
      <c r="J170" s="1">
        <v>34682.300000000003</v>
      </c>
      <c r="K170" s="1">
        <v>49546.14</v>
      </c>
      <c r="L170" t="str">
        <f>IFERROR(IF(VLOOKUP(LEFT(B170,2),'Humanitarian codes'!$A$2:$A$10,1,FALSE)=LEFT(B170,2),"Yes","Error"),"No")</f>
        <v>Yes</v>
      </c>
      <c r="AE170" s="1"/>
      <c r="AF170" s="1"/>
    </row>
    <row r="171" spans="1:32" x14ac:dyDescent="0.25">
      <c r="A171" t="s">
        <v>710</v>
      </c>
      <c r="B171" t="s">
        <v>265</v>
      </c>
      <c r="C171" t="s">
        <v>30</v>
      </c>
      <c r="D171" t="s">
        <v>266</v>
      </c>
      <c r="E171" t="s">
        <v>54</v>
      </c>
      <c r="F171">
        <v>4500480539</v>
      </c>
      <c r="G171" t="s">
        <v>12</v>
      </c>
      <c r="H171" t="s">
        <v>57</v>
      </c>
      <c r="I171" t="s">
        <v>54</v>
      </c>
      <c r="J171" s="1">
        <v>63128.800000000003</v>
      </c>
      <c r="K171" s="1">
        <v>90184</v>
      </c>
      <c r="L171" t="str">
        <f>IFERROR(IF(VLOOKUP(LEFT(B171,2),'Humanitarian codes'!$A$2:$A$10,1,FALSE)=LEFT(B171,2),"Yes","Error"),"No")</f>
        <v>Yes</v>
      </c>
      <c r="AE171" s="1"/>
      <c r="AF171" s="1"/>
    </row>
    <row r="172" spans="1:32" x14ac:dyDescent="0.25">
      <c r="A172" t="s">
        <v>710</v>
      </c>
      <c r="B172" t="s">
        <v>265</v>
      </c>
      <c r="C172" t="s">
        <v>30</v>
      </c>
      <c r="D172" t="s">
        <v>266</v>
      </c>
      <c r="E172" t="s">
        <v>54</v>
      </c>
      <c r="F172">
        <v>4500481359</v>
      </c>
      <c r="G172" t="s">
        <v>12</v>
      </c>
      <c r="H172" t="s">
        <v>58</v>
      </c>
      <c r="I172" t="s">
        <v>54</v>
      </c>
      <c r="J172" s="1">
        <v>46354.37</v>
      </c>
      <c r="K172" s="1">
        <v>66220.53</v>
      </c>
      <c r="L172" t="str">
        <f>IFERROR(IF(VLOOKUP(LEFT(B172,2),'Humanitarian codes'!$A$2:$A$10,1,FALSE)=LEFT(B172,2),"Yes","Error"),"No")</f>
        <v>Yes</v>
      </c>
      <c r="AE172" s="1"/>
      <c r="AF172" s="1"/>
    </row>
    <row r="173" spans="1:32" x14ac:dyDescent="0.25">
      <c r="A173" t="s">
        <v>710</v>
      </c>
      <c r="B173" t="s">
        <v>282</v>
      </c>
      <c r="C173" t="s">
        <v>30</v>
      </c>
      <c r="D173" t="s">
        <v>283</v>
      </c>
      <c r="E173" t="s">
        <v>146</v>
      </c>
      <c r="F173">
        <v>4500459758</v>
      </c>
      <c r="G173" t="s">
        <v>12</v>
      </c>
      <c r="H173" t="s">
        <v>284</v>
      </c>
      <c r="I173" t="s">
        <v>146</v>
      </c>
      <c r="J173" s="1">
        <v>11054</v>
      </c>
      <c r="K173" s="1">
        <v>11054</v>
      </c>
      <c r="L173" t="str">
        <f>IFERROR(IF(VLOOKUP(LEFT(B173,2),'Humanitarian codes'!$A$2:$A$10,1,FALSE)=LEFT(B173,2),"Yes","Error"),"No")</f>
        <v>Yes</v>
      </c>
      <c r="AE173" s="1"/>
      <c r="AF173" s="1"/>
    </row>
    <row r="174" spans="1:32" x14ac:dyDescent="0.25">
      <c r="A174" t="s">
        <v>710</v>
      </c>
      <c r="B174" t="s">
        <v>282</v>
      </c>
      <c r="C174" t="s">
        <v>30</v>
      </c>
      <c r="D174" t="s">
        <v>283</v>
      </c>
      <c r="E174" t="s">
        <v>146</v>
      </c>
      <c r="F174">
        <v>4500475758</v>
      </c>
      <c r="G174" t="s">
        <v>12</v>
      </c>
      <c r="H174" t="s">
        <v>285</v>
      </c>
      <c r="I174" t="s">
        <v>146</v>
      </c>
      <c r="J174" s="1">
        <v>14496</v>
      </c>
      <c r="K174" s="1">
        <v>14496</v>
      </c>
      <c r="L174" t="str">
        <f>IFERROR(IF(VLOOKUP(LEFT(B174,2),'Humanitarian codes'!$A$2:$A$10,1,FALSE)=LEFT(B174,2),"Yes","Error"),"No")</f>
        <v>Yes</v>
      </c>
      <c r="AE174" s="1"/>
      <c r="AF174" s="1"/>
    </row>
    <row r="175" spans="1:32" x14ac:dyDescent="0.25">
      <c r="A175" t="s">
        <v>710</v>
      </c>
      <c r="B175" t="s">
        <v>282</v>
      </c>
      <c r="C175" t="s">
        <v>30</v>
      </c>
      <c r="D175" t="s">
        <v>283</v>
      </c>
      <c r="E175" t="s">
        <v>146</v>
      </c>
      <c r="F175">
        <v>4500478314</v>
      </c>
      <c r="G175" t="s">
        <v>12</v>
      </c>
      <c r="H175" t="s">
        <v>286</v>
      </c>
      <c r="I175" t="s">
        <v>146</v>
      </c>
      <c r="J175" s="1">
        <v>8451</v>
      </c>
      <c r="K175" s="1">
        <v>8451</v>
      </c>
      <c r="L175" t="str">
        <f>IFERROR(IF(VLOOKUP(LEFT(B175,2),'Humanitarian codes'!$A$2:$A$10,1,FALSE)=LEFT(B175,2),"Yes","Error"),"No")</f>
        <v>Yes</v>
      </c>
      <c r="AE175" s="1"/>
      <c r="AF175" s="1"/>
    </row>
    <row r="176" spans="1:32" x14ac:dyDescent="0.25">
      <c r="A176" t="s">
        <v>710</v>
      </c>
      <c r="B176" t="s">
        <v>287</v>
      </c>
      <c r="C176" t="s">
        <v>30</v>
      </c>
      <c r="D176" t="s">
        <v>288</v>
      </c>
      <c r="E176" t="s">
        <v>289</v>
      </c>
      <c r="F176">
        <v>4500477859</v>
      </c>
      <c r="G176" t="s">
        <v>12</v>
      </c>
      <c r="H176" t="s">
        <v>290</v>
      </c>
      <c r="I176" t="s">
        <v>289</v>
      </c>
      <c r="J176" s="1">
        <v>70000</v>
      </c>
      <c r="K176" s="1">
        <v>70000</v>
      </c>
      <c r="L176" t="str">
        <f>IFERROR(IF(VLOOKUP(LEFT(B176,2),'Humanitarian codes'!$A$2:$A$10,1,FALSE)=LEFT(B176,2),"Yes","Error"),"No")</f>
        <v>Yes</v>
      </c>
      <c r="AE176" s="1"/>
      <c r="AF176" s="1"/>
    </row>
    <row r="177" spans="1:32" x14ac:dyDescent="0.25">
      <c r="A177" t="s">
        <v>710</v>
      </c>
      <c r="B177" t="s">
        <v>287</v>
      </c>
      <c r="C177" t="s">
        <v>30</v>
      </c>
      <c r="D177" t="s">
        <v>288</v>
      </c>
      <c r="E177" t="s">
        <v>289</v>
      </c>
      <c r="F177">
        <v>4500477860</v>
      </c>
      <c r="G177" t="s">
        <v>12</v>
      </c>
      <c r="H177" t="s">
        <v>291</v>
      </c>
      <c r="I177" t="s">
        <v>289</v>
      </c>
      <c r="J177" s="1">
        <v>80000</v>
      </c>
      <c r="K177" s="1">
        <v>80000</v>
      </c>
      <c r="L177" t="str">
        <f>IFERROR(IF(VLOOKUP(LEFT(B177,2),'Humanitarian codes'!$A$2:$A$10,1,FALSE)=LEFT(B177,2),"Yes","Error"),"No")</f>
        <v>Yes</v>
      </c>
      <c r="AE177" s="1"/>
      <c r="AF177" s="1"/>
    </row>
    <row r="178" spans="1:32" x14ac:dyDescent="0.25">
      <c r="A178" t="s">
        <v>710</v>
      </c>
      <c r="B178" t="s">
        <v>287</v>
      </c>
      <c r="C178" t="s">
        <v>30</v>
      </c>
      <c r="D178" t="s">
        <v>288</v>
      </c>
      <c r="E178" t="s">
        <v>289</v>
      </c>
      <c r="F178">
        <v>4500478042</v>
      </c>
      <c r="G178" t="s">
        <v>12</v>
      </c>
      <c r="H178" t="s">
        <v>292</v>
      </c>
      <c r="I178" t="s">
        <v>289</v>
      </c>
      <c r="J178" s="1">
        <v>58858.05</v>
      </c>
      <c r="K178" s="1">
        <v>58858.05</v>
      </c>
      <c r="L178" t="str">
        <f>IFERROR(IF(VLOOKUP(LEFT(B178,2),'Humanitarian codes'!$A$2:$A$10,1,FALSE)=LEFT(B178,2),"Yes","Error"),"No")</f>
        <v>Yes</v>
      </c>
      <c r="AE178" s="1"/>
      <c r="AF178" s="1"/>
    </row>
    <row r="179" spans="1:32" x14ac:dyDescent="0.25">
      <c r="A179" t="s">
        <v>710</v>
      </c>
      <c r="B179" t="s">
        <v>287</v>
      </c>
      <c r="C179" t="s">
        <v>30</v>
      </c>
      <c r="D179" t="s">
        <v>288</v>
      </c>
      <c r="E179" t="s">
        <v>289</v>
      </c>
      <c r="F179">
        <v>4500478044</v>
      </c>
      <c r="G179" t="s">
        <v>12</v>
      </c>
      <c r="H179" t="s">
        <v>293</v>
      </c>
      <c r="I179" t="s">
        <v>289</v>
      </c>
      <c r="J179" s="1">
        <v>30827</v>
      </c>
      <c r="K179" s="1">
        <v>30827</v>
      </c>
      <c r="L179" t="str">
        <f>IFERROR(IF(VLOOKUP(LEFT(B179,2),'Humanitarian codes'!$A$2:$A$10,1,FALSE)=LEFT(B179,2),"Yes","Error"),"No")</f>
        <v>Yes</v>
      </c>
      <c r="AE179" s="1"/>
      <c r="AF179" s="1"/>
    </row>
    <row r="180" spans="1:32" x14ac:dyDescent="0.25">
      <c r="A180" t="s">
        <v>710</v>
      </c>
      <c r="B180" t="s">
        <v>287</v>
      </c>
      <c r="C180" t="s">
        <v>30</v>
      </c>
      <c r="D180" t="s">
        <v>288</v>
      </c>
      <c r="E180" t="s">
        <v>289</v>
      </c>
      <c r="F180">
        <v>4500478367</v>
      </c>
      <c r="G180" t="s">
        <v>12</v>
      </c>
      <c r="H180" t="s">
        <v>294</v>
      </c>
      <c r="I180" t="s">
        <v>289</v>
      </c>
      <c r="J180" s="1">
        <v>45785</v>
      </c>
      <c r="K180" s="1">
        <v>45785</v>
      </c>
      <c r="L180" t="str">
        <f>IFERROR(IF(VLOOKUP(LEFT(B180,2),'Humanitarian codes'!$A$2:$A$10,1,FALSE)=LEFT(B180,2),"Yes","Error"),"No")</f>
        <v>Yes</v>
      </c>
      <c r="AE180" s="1"/>
      <c r="AF180" s="1"/>
    </row>
    <row r="181" spans="1:32" x14ac:dyDescent="0.25">
      <c r="A181" t="s">
        <v>710</v>
      </c>
      <c r="B181" t="s">
        <v>287</v>
      </c>
      <c r="C181" t="s">
        <v>30</v>
      </c>
      <c r="D181" t="s">
        <v>288</v>
      </c>
      <c r="E181" t="s">
        <v>289</v>
      </c>
      <c r="F181">
        <v>4500478371</v>
      </c>
      <c r="G181" t="s">
        <v>12</v>
      </c>
      <c r="H181" t="s">
        <v>295</v>
      </c>
      <c r="I181" t="s">
        <v>289</v>
      </c>
      <c r="J181" s="1">
        <v>47842</v>
      </c>
      <c r="K181" s="1">
        <v>47842</v>
      </c>
      <c r="L181" t="str">
        <f>IFERROR(IF(VLOOKUP(LEFT(B181,2),'Humanitarian codes'!$A$2:$A$10,1,FALSE)=LEFT(B181,2),"Yes","Error"),"No")</f>
        <v>Yes</v>
      </c>
      <c r="AE181" s="1"/>
      <c r="AF181" s="1"/>
    </row>
    <row r="182" spans="1:32" x14ac:dyDescent="0.25">
      <c r="A182" t="s">
        <v>710</v>
      </c>
      <c r="B182" t="s">
        <v>287</v>
      </c>
      <c r="C182" t="s">
        <v>30</v>
      </c>
      <c r="D182" t="s">
        <v>288</v>
      </c>
      <c r="E182" t="s">
        <v>289</v>
      </c>
      <c r="F182">
        <v>4500478373</v>
      </c>
      <c r="G182" t="s">
        <v>12</v>
      </c>
      <c r="H182" t="s">
        <v>296</v>
      </c>
      <c r="I182" t="s">
        <v>289</v>
      </c>
      <c r="J182" s="1">
        <v>60000</v>
      </c>
      <c r="K182" s="1">
        <v>60000</v>
      </c>
      <c r="L182" t="str">
        <f>IFERROR(IF(VLOOKUP(LEFT(B182,2),'Humanitarian codes'!$A$2:$A$10,1,FALSE)=LEFT(B182,2),"Yes","Error"),"No")</f>
        <v>Yes</v>
      </c>
      <c r="AE182" s="1"/>
      <c r="AF182" s="1"/>
    </row>
    <row r="183" spans="1:32" x14ac:dyDescent="0.25">
      <c r="A183" t="s">
        <v>710</v>
      </c>
      <c r="B183" t="s">
        <v>287</v>
      </c>
      <c r="C183" t="s">
        <v>30</v>
      </c>
      <c r="D183" t="s">
        <v>288</v>
      </c>
      <c r="E183" t="s">
        <v>289</v>
      </c>
      <c r="F183">
        <v>4500478376</v>
      </c>
      <c r="G183" t="s">
        <v>12</v>
      </c>
      <c r="H183" t="s">
        <v>297</v>
      </c>
      <c r="I183" t="s">
        <v>289</v>
      </c>
      <c r="J183" s="1">
        <v>50000</v>
      </c>
      <c r="K183" s="1">
        <v>50000</v>
      </c>
      <c r="L183" t="str">
        <f>IFERROR(IF(VLOOKUP(LEFT(B183,2),'Humanitarian codes'!$A$2:$A$10,1,FALSE)=LEFT(B183,2),"Yes","Error"),"No")</f>
        <v>Yes</v>
      </c>
      <c r="AE183" s="1"/>
      <c r="AF183" s="1"/>
    </row>
    <row r="184" spans="1:32" x14ac:dyDescent="0.25">
      <c r="A184" t="s">
        <v>710</v>
      </c>
      <c r="B184" t="s">
        <v>287</v>
      </c>
      <c r="C184" t="s">
        <v>30</v>
      </c>
      <c r="D184" t="s">
        <v>288</v>
      </c>
      <c r="E184" t="s">
        <v>289</v>
      </c>
      <c r="F184">
        <v>4500478378</v>
      </c>
      <c r="G184" t="s">
        <v>12</v>
      </c>
      <c r="H184" t="s">
        <v>298</v>
      </c>
      <c r="I184" t="s">
        <v>289</v>
      </c>
      <c r="J184" s="1">
        <v>59936</v>
      </c>
      <c r="K184" s="1">
        <v>59936</v>
      </c>
      <c r="L184" t="str">
        <f>IFERROR(IF(VLOOKUP(LEFT(B184,2),'Humanitarian codes'!$A$2:$A$10,1,FALSE)=LEFT(B184,2),"Yes","Error"),"No")</f>
        <v>Yes</v>
      </c>
      <c r="AE184" s="1"/>
      <c r="AF184" s="1"/>
    </row>
    <row r="185" spans="1:32" x14ac:dyDescent="0.25">
      <c r="A185" t="s">
        <v>710</v>
      </c>
      <c r="B185" t="s">
        <v>287</v>
      </c>
      <c r="C185" t="s">
        <v>30</v>
      </c>
      <c r="D185" t="s">
        <v>288</v>
      </c>
      <c r="E185" t="s">
        <v>289</v>
      </c>
      <c r="F185">
        <v>4500478382</v>
      </c>
      <c r="G185" t="s">
        <v>12</v>
      </c>
      <c r="H185" t="s">
        <v>299</v>
      </c>
      <c r="I185" t="s">
        <v>289</v>
      </c>
      <c r="J185" s="1">
        <v>20000</v>
      </c>
      <c r="K185" s="1">
        <v>20000</v>
      </c>
      <c r="L185" t="str">
        <f>IFERROR(IF(VLOOKUP(LEFT(B185,2),'Humanitarian codes'!$A$2:$A$10,1,FALSE)=LEFT(B185,2),"Yes","Error"),"No")</f>
        <v>Yes</v>
      </c>
      <c r="AE185" s="1"/>
      <c r="AF185" s="1"/>
    </row>
    <row r="186" spans="1:32" x14ac:dyDescent="0.25">
      <c r="A186" t="s">
        <v>710</v>
      </c>
      <c r="B186" t="s">
        <v>287</v>
      </c>
      <c r="C186" t="s">
        <v>30</v>
      </c>
      <c r="D186" t="s">
        <v>288</v>
      </c>
      <c r="E186" t="s">
        <v>289</v>
      </c>
      <c r="F186">
        <v>4500478385</v>
      </c>
      <c r="G186" t="s">
        <v>12</v>
      </c>
      <c r="H186" t="s">
        <v>300</v>
      </c>
      <c r="I186" t="s">
        <v>289</v>
      </c>
      <c r="J186" s="1">
        <v>22898</v>
      </c>
      <c r="K186" s="1">
        <v>22898</v>
      </c>
      <c r="L186" t="str">
        <f>IFERROR(IF(VLOOKUP(LEFT(B186,2),'Humanitarian codes'!$A$2:$A$10,1,FALSE)=LEFT(B186,2),"Yes","Error"),"No")</f>
        <v>Yes</v>
      </c>
      <c r="AE186" s="1"/>
      <c r="AF186" s="1"/>
    </row>
    <row r="187" spans="1:32" x14ac:dyDescent="0.25">
      <c r="A187" t="s">
        <v>710</v>
      </c>
      <c r="B187" t="s">
        <v>287</v>
      </c>
      <c r="C187" t="s">
        <v>30</v>
      </c>
      <c r="D187" t="s">
        <v>288</v>
      </c>
      <c r="E187" t="s">
        <v>289</v>
      </c>
      <c r="F187">
        <v>4500478388</v>
      </c>
      <c r="G187" t="s">
        <v>12</v>
      </c>
      <c r="H187" t="s">
        <v>301</v>
      </c>
      <c r="I187" t="s">
        <v>289</v>
      </c>
      <c r="J187" s="1">
        <v>50000</v>
      </c>
      <c r="K187" s="1">
        <v>50000</v>
      </c>
      <c r="L187" t="str">
        <f>IFERROR(IF(VLOOKUP(LEFT(B187,2),'Humanitarian codes'!$A$2:$A$10,1,FALSE)=LEFT(B187,2),"Yes","Error"),"No")</f>
        <v>Yes</v>
      </c>
      <c r="AE187" s="1"/>
      <c r="AF187" s="1"/>
    </row>
    <row r="188" spans="1:32" x14ac:dyDescent="0.25">
      <c r="A188" t="s">
        <v>710</v>
      </c>
      <c r="B188" t="s">
        <v>287</v>
      </c>
      <c r="C188" t="s">
        <v>30</v>
      </c>
      <c r="D188" t="s">
        <v>288</v>
      </c>
      <c r="E188" t="s">
        <v>289</v>
      </c>
      <c r="F188">
        <v>4500478392</v>
      </c>
      <c r="G188" t="s">
        <v>12</v>
      </c>
      <c r="H188" t="s">
        <v>302</v>
      </c>
      <c r="I188" t="s">
        <v>289</v>
      </c>
      <c r="J188" s="1">
        <v>35000</v>
      </c>
      <c r="K188" s="1">
        <v>35000</v>
      </c>
      <c r="L188" t="str">
        <f>IFERROR(IF(VLOOKUP(LEFT(B188,2),'Humanitarian codes'!$A$2:$A$10,1,FALSE)=LEFT(B188,2),"Yes","Error"),"No")</f>
        <v>Yes</v>
      </c>
      <c r="AE188" s="1"/>
      <c r="AF188" s="1"/>
    </row>
    <row r="189" spans="1:32" x14ac:dyDescent="0.25">
      <c r="A189" t="s">
        <v>710</v>
      </c>
      <c r="B189" t="s">
        <v>287</v>
      </c>
      <c r="C189" t="s">
        <v>30</v>
      </c>
      <c r="D189" t="s">
        <v>288</v>
      </c>
      <c r="E189" t="s">
        <v>303</v>
      </c>
      <c r="F189">
        <v>4500465147</v>
      </c>
      <c r="G189" t="s">
        <v>12</v>
      </c>
      <c r="H189" t="s">
        <v>304</v>
      </c>
      <c r="I189" t="s">
        <v>303</v>
      </c>
      <c r="J189" s="1">
        <v>55580.72</v>
      </c>
      <c r="K189" s="1">
        <v>55580.72</v>
      </c>
      <c r="L189" t="str">
        <f>IFERROR(IF(VLOOKUP(LEFT(B189,2),'Humanitarian codes'!$A$2:$A$10,1,FALSE)=LEFT(B189,2),"Yes","Error"),"No")</f>
        <v>Yes</v>
      </c>
      <c r="AE189" s="1"/>
      <c r="AF189" s="1"/>
    </row>
    <row r="190" spans="1:32" x14ac:dyDescent="0.25">
      <c r="A190" t="s">
        <v>710</v>
      </c>
      <c r="B190" t="s">
        <v>287</v>
      </c>
      <c r="C190" t="s">
        <v>30</v>
      </c>
      <c r="D190" t="s">
        <v>288</v>
      </c>
      <c r="E190" t="s">
        <v>305</v>
      </c>
      <c r="F190">
        <v>4500458443</v>
      </c>
      <c r="G190" t="s">
        <v>12</v>
      </c>
      <c r="H190" t="s">
        <v>306</v>
      </c>
      <c r="I190" t="s">
        <v>305</v>
      </c>
      <c r="J190" s="1">
        <v>1017796.39</v>
      </c>
      <c r="K190" s="1">
        <v>1017796.39</v>
      </c>
      <c r="L190" t="str">
        <f>IFERROR(IF(VLOOKUP(LEFT(B190,2),'Humanitarian codes'!$A$2:$A$10,1,FALSE)=LEFT(B190,2),"Yes","Error"),"No")</f>
        <v>Yes</v>
      </c>
      <c r="AE190" s="1"/>
      <c r="AF190" s="1"/>
    </row>
    <row r="191" spans="1:32" x14ac:dyDescent="0.25">
      <c r="A191" t="s">
        <v>710</v>
      </c>
      <c r="B191" t="s">
        <v>287</v>
      </c>
      <c r="C191" t="s">
        <v>30</v>
      </c>
      <c r="D191" t="s">
        <v>288</v>
      </c>
      <c r="E191" t="s">
        <v>305</v>
      </c>
      <c r="F191">
        <v>4500459996</v>
      </c>
      <c r="G191" t="s">
        <v>12</v>
      </c>
      <c r="H191" t="s">
        <v>307</v>
      </c>
      <c r="I191" t="s">
        <v>305</v>
      </c>
      <c r="J191" s="1">
        <v>171421.1</v>
      </c>
      <c r="K191" s="1">
        <v>171421.1</v>
      </c>
      <c r="L191" t="str">
        <f>IFERROR(IF(VLOOKUP(LEFT(B191,2),'Humanitarian codes'!$A$2:$A$10,1,FALSE)=LEFT(B191,2),"Yes","Error"),"No")</f>
        <v>Yes</v>
      </c>
      <c r="AE191" s="1"/>
      <c r="AF191" s="1"/>
    </row>
    <row r="192" spans="1:32" x14ac:dyDescent="0.25">
      <c r="A192" t="s">
        <v>710</v>
      </c>
      <c r="B192" t="s">
        <v>287</v>
      </c>
      <c r="C192" t="s">
        <v>30</v>
      </c>
      <c r="D192" t="s">
        <v>288</v>
      </c>
      <c r="E192" t="s">
        <v>305</v>
      </c>
      <c r="F192">
        <v>4500460245</v>
      </c>
      <c r="G192" t="s">
        <v>12</v>
      </c>
      <c r="H192" t="s">
        <v>308</v>
      </c>
      <c r="I192" t="s">
        <v>305</v>
      </c>
      <c r="J192" s="1">
        <v>62156.5</v>
      </c>
      <c r="K192" s="1">
        <v>62156.5</v>
      </c>
      <c r="L192" t="str">
        <f>IFERROR(IF(VLOOKUP(LEFT(B192,2),'Humanitarian codes'!$A$2:$A$10,1,FALSE)=LEFT(B192,2),"Yes","Error"),"No")</f>
        <v>Yes</v>
      </c>
      <c r="AE192" s="1"/>
      <c r="AF192" s="1"/>
    </row>
    <row r="193" spans="1:32" x14ac:dyDescent="0.25">
      <c r="A193" t="s">
        <v>710</v>
      </c>
      <c r="B193" t="s">
        <v>287</v>
      </c>
      <c r="C193" t="s">
        <v>30</v>
      </c>
      <c r="D193" t="s">
        <v>288</v>
      </c>
      <c r="E193" t="s">
        <v>305</v>
      </c>
      <c r="F193">
        <v>4500462165</v>
      </c>
      <c r="G193" t="s">
        <v>12</v>
      </c>
      <c r="H193" t="s">
        <v>309</v>
      </c>
      <c r="I193" t="s">
        <v>305</v>
      </c>
      <c r="J193" s="1">
        <v>144895.04999999999</v>
      </c>
      <c r="K193" s="1">
        <v>144895.04999999999</v>
      </c>
      <c r="L193" t="str">
        <f>IFERROR(IF(VLOOKUP(LEFT(B193,2),'Humanitarian codes'!$A$2:$A$10,1,FALSE)=LEFT(B193,2),"Yes","Error"),"No")</f>
        <v>Yes</v>
      </c>
      <c r="AE193" s="1"/>
      <c r="AF193" s="1"/>
    </row>
    <row r="194" spans="1:32" x14ac:dyDescent="0.25">
      <c r="A194" t="s">
        <v>710</v>
      </c>
      <c r="B194" t="s">
        <v>287</v>
      </c>
      <c r="C194" t="s">
        <v>30</v>
      </c>
      <c r="D194" t="s">
        <v>288</v>
      </c>
      <c r="E194" t="s">
        <v>305</v>
      </c>
      <c r="F194">
        <v>4500478889</v>
      </c>
      <c r="G194" t="s">
        <v>12</v>
      </c>
      <c r="H194" t="s">
        <v>310</v>
      </c>
      <c r="I194" t="s">
        <v>305</v>
      </c>
      <c r="J194" s="1">
        <v>147094.88</v>
      </c>
      <c r="K194" s="1">
        <v>147094.88</v>
      </c>
      <c r="L194" t="str">
        <f>IFERROR(IF(VLOOKUP(LEFT(B194,2),'Humanitarian codes'!$A$2:$A$10,1,FALSE)=LEFT(B194,2),"Yes","Error"),"No")</f>
        <v>Yes</v>
      </c>
      <c r="AE194" s="1"/>
      <c r="AF194" s="1"/>
    </row>
    <row r="195" spans="1:32" x14ac:dyDescent="0.25">
      <c r="A195" t="s">
        <v>710</v>
      </c>
      <c r="B195" t="s">
        <v>287</v>
      </c>
      <c r="C195" t="s">
        <v>30</v>
      </c>
      <c r="D195" t="s">
        <v>288</v>
      </c>
      <c r="E195" t="s">
        <v>76</v>
      </c>
      <c r="F195">
        <v>4500478844</v>
      </c>
      <c r="G195" t="s">
        <v>12</v>
      </c>
      <c r="H195" t="s">
        <v>77</v>
      </c>
      <c r="I195" t="s">
        <v>76</v>
      </c>
      <c r="J195" s="1">
        <v>24965.71</v>
      </c>
      <c r="K195" s="1">
        <v>87242.81</v>
      </c>
      <c r="L195" t="str">
        <f>IFERROR(IF(VLOOKUP(LEFT(B195,2),'Humanitarian codes'!$A$2:$A$10,1,FALSE)=LEFT(B195,2),"Yes","Error"),"No")</f>
        <v>Yes</v>
      </c>
      <c r="AE195" s="1"/>
      <c r="AF195" s="1"/>
    </row>
    <row r="196" spans="1:32" x14ac:dyDescent="0.25">
      <c r="A196" t="s">
        <v>710</v>
      </c>
      <c r="B196" t="s">
        <v>287</v>
      </c>
      <c r="C196" t="s">
        <v>30</v>
      </c>
      <c r="D196" t="s">
        <v>288</v>
      </c>
      <c r="E196" t="s">
        <v>76</v>
      </c>
      <c r="F196">
        <v>4500478886</v>
      </c>
      <c r="G196" t="s">
        <v>12</v>
      </c>
      <c r="H196" t="s">
        <v>78</v>
      </c>
      <c r="I196" t="s">
        <v>76</v>
      </c>
      <c r="J196" s="1">
        <v>23327.3</v>
      </c>
      <c r="K196" s="1">
        <v>83683.95</v>
      </c>
      <c r="L196" t="str">
        <f>IFERROR(IF(VLOOKUP(LEFT(B196,2),'Humanitarian codes'!$A$2:$A$10,1,FALSE)=LEFT(B196,2),"Yes","Error"),"No")</f>
        <v>Yes</v>
      </c>
      <c r="AE196" s="1"/>
      <c r="AF196" s="1"/>
    </row>
    <row r="197" spans="1:32" x14ac:dyDescent="0.25">
      <c r="A197" t="s">
        <v>710</v>
      </c>
      <c r="B197" t="s">
        <v>287</v>
      </c>
      <c r="C197" t="s">
        <v>30</v>
      </c>
      <c r="D197" t="s">
        <v>288</v>
      </c>
      <c r="E197" t="s">
        <v>76</v>
      </c>
      <c r="F197">
        <v>4500479261</v>
      </c>
      <c r="G197" t="s">
        <v>12</v>
      </c>
      <c r="H197" t="s">
        <v>79</v>
      </c>
      <c r="I197" t="s">
        <v>76</v>
      </c>
      <c r="J197" s="1">
        <v>35117.97</v>
      </c>
      <c r="K197" s="1">
        <v>83524.009999999995</v>
      </c>
      <c r="L197" t="str">
        <f>IFERROR(IF(VLOOKUP(LEFT(B197,2),'Humanitarian codes'!$A$2:$A$10,1,FALSE)=LEFT(B197,2),"Yes","Error"),"No")</f>
        <v>Yes</v>
      </c>
      <c r="AE197" s="1"/>
      <c r="AF197" s="1"/>
    </row>
    <row r="198" spans="1:32" x14ac:dyDescent="0.25">
      <c r="A198" t="s">
        <v>710</v>
      </c>
      <c r="B198" t="s">
        <v>287</v>
      </c>
      <c r="C198" t="s">
        <v>30</v>
      </c>
      <c r="D198" t="s">
        <v>288</v>
      </c>
      <c r="E198" t="s">
        <v>76</v>
      </c>
      <c r="F198">
        <v>4500479310</v>
      </c>
      <c r="G198" t="s">
        <v>12</v>
      </c>
      <c r="H198" t="s">
        <v>311</v>
      </c>
      <c r="I198" t="s">
        <v>76</v>
      </c>
      <c r="J198" s="1">
        <v>45479.28</v>
      </c>
      <c r="K198" s="1">
        <v>45479.28</v>
      </c>
      <c r="L198" t="str">
        <f>IFERROR(IF(VLOOKUP(LEFT(B198,2),'Humanitarian codes'!$A$2:$A$10,1,FALSE)=LEFT(B198,2),"Yes","Error"),"No")</f>
        <v>Yes</v>
      </c>
      <c r="AE198" s="1"/>
      <c r="AF198" s="1"/>
    </row>
    <row r="199" spans="1:32" x14ac:dyDescent="0.25">
      <c r="A199" t="s">
        <v>710</v>
      </c>
      <c r="B199" t="s">
        <v>287</v>
      </c>
      <c r="C199" t="s">
        <v>30</v>
      </c>
      <c r="D199" t="s">
        <v>288</v>
      </c>
      <c r="E199" t="s">
        <v>76</v>
      </c>
      <c r="F199">
        <v>4500479353</v>
      </c>
      <c r="G199" t="s">
        <v>12</v>
      </c>
      <c r="H199" t="s">
        <v>312</v>
      </c>
      <c r="I199" t="s">
        <v>76</v>
      </c>
      <c r="J199" s="1">
        <v>41099.589999999997</v>
      </c>
      <c r="K199" s="1">
        <v>41099.589999999997</v>
      </c>
      <c r="L199" t="str">
        <f>IFERROR(IF(VLOOKUP(LEFT(B199,2),'Humanitarian codes'!$A$2:$A$10,1,FALSE)=LEFT(B199,2),"Yes","Error"),"No")</f>
        <v>Yes</v>
      </c>
      <c r="AE199" s="1"/>
      <c r="AF199" s="1"/>
    </row>
    <row r="200" spans="1:32" x14ac:dyDescent="0.25">
      <c r="A200" t="s">
        <v>710</v>
      </c>
      <c r="B200" t="s">
        <v>287</v>
      </c>
      <c r="C200" t="s">
        <v>30</v>
      </c>
      <c r="D200" t="s">
        <v>288</v>
      </c>
      <c r="E200" t="s">
        <v>76</v>
      </c>
      <c r="F200">
        <v>4500479362</v>
      </c>
      <c r="G200" t="s">
        <v>12</v>
      </c>
      <c r="H200" t="s">
        <v>313</v>
      </c>
      <c r="I200" t="s">
        <v>76</v>
      </c>
      <c r="J200" s="1">
        <v>39003.57</v>
      </c>
      <c r="K200" s="1">
        <v>39003.57</v>
      </c>
      <c r="L200" t="str">
        <f>IFERROR(IF(VLOOKUP(LEFT(B200,2),'Humanitarian codes'!$A$2:$A$10,1,FALSE)=LEFT(B200,2),"Yes","Error"),"No")</f>
        <v>Yes</v>
      </c>
      <c r="AE200" s="1"/>
      <c r="AF200" s="1"/>
    </row>
    <row r="201" spans="1:32" x14ac:dyDescent="0.25">
      <c r="A201" t="s">
        <v>710</v>
      </c>
      <c r="B201" t="s">
        <v>287</v>
      </c>
      <c r="C201" t="s">
        <v>30</v>
      </c>
      <c r="D201" t="s">
        <v>288</v>
      </c>
      <c r="E201" t="s">
        <v>76</v>
      </c>
      <c r="F201">
        <v>4500480143</v>
      </c>
      <c r="G201" t="s">
        <v>12</v>
      </c>
      <c r="H201" t="s">
        <v>314</v>
      </c>
      <c r="I201" t="s">
        <v>76</v>
      </c>
      <c r="J201" s="1">
        <v>35288.339999999997</v>
      </c>
      <c r="K201" s="1">
        <v>118141.56</v>
      </c>
      <c r="L201" t="str">
        <f>IFERROR(IF(VLOOKUP(LEFT(B201,2),'Humanitarian codes'!$A$2:$A$10,1,FALSE)=LEFT(B201,2),"Yes","Error"),"No")</f>
        <v>Yes</v>
      </c>
      <c r="AE201" s="1"/>
      <c r="AF201" s="1"/>
    </row>
    <row r="202" spans="1:32" x14ac:dyDescent="0.25">
      <c r="A202" t="s">
        <v>710</v>
      </c>
      <c r="B202" t="s">
        <v>315</v>
      </c>
      <c r="C202" t="s">
        <v>30</v>
      </c>
      <c r="D202" t="s">
        <v>316</v>
      </c>
      <c r="E202" t="s">
        <v>68</v>
      </c>
      <c r="F202">
        <v>4500455564</v>
      </c>
      <c r="G202" t="s">
        <v>12</v>
      </c>
      <c r="H202" t="s">
        <v>69</v>
      </c>
      <c r="I202" t="s">
        <v>68</v>
      </c>
      <c r="J202" s="1">
        <v>52054.9</v>
      </c>
      <c r="K202" s="1">
        <v>52054.9</v>
      </c>
      <c r="L202" t="str">
        <f>IFERROR(IF(VLOOKUP(LEFT(B202,2),'Humanitarian codes'!$A$2:$A$10,1,FALSE)=LEFT(B202,2),"Yes","Error"),"No")</f>
        <v>Yes</v>
      </c>
      <c r="AE202" s="1"/>
      <c r="AF202" s="1"/>
    </row>
    <row r="203" spans="1:32" x14ac:dyDescent="0.25">
      <c r="A203" t="s">
        <v>710</v>
      </c>
      <c r="B203" t="s">
        <v>315</v>
      </c>
      <c r="C203" t="s">
        <v>30</v>
      </c>
      <c r="D203" t="s">
        <v>316</v>
      </c>
      <c r="E203" t="s">
        <v>68</v>
      </c>
      <c r="F203">
        <v>4500475519</v>
      </c>
      <c r="G203" t="s">
        <v>12</v>
      </c>
      <c r="H203" t="s">
        <v>317</v>
      </c>
      <c r="I203" t="s">
        <v>68</v>
      </c>
      <c r="J203" s="1">
        <v>35598.699999999997</v>
      </c>
      <c r="K203" s="1">
        <v>35598.699999999997</v>
      </c>
      <c r="L203" t="str">
        <f>IFERROR(IF(VLOOKUP(LEFT(B203,2),'Humanitarian codes'!$A$2:$A$10,1,FALSE)=LEFT(B203,2),"Yes","Error"),"No")</f>
        <v>Yes</v>
      </c>
      <c r="AE203" s="1"/>
      <c r="AF203" s="1"/>
    </row>
    <row r="204" spans="1:32" x14ac:dyDescent="0.25">
      <c r="A204" t="s">
        <v>710</v>
      </c>
      <c r="B204" t="s">
        <v>315</v>
      </c>
      <c r="C204" t="s">
        <v>30</v>
      </c>
      <c r="D204" t="s">
        <v>316</v>
      </c>
      <c r="E204" t="s">
        <v>68</v>
      </c>
      <c r="F204">
        <v>4500455569</v>
      </c>
      <c r="G204" t="s">
        <v>12</v>
      </c>
      <c r="H204" t="s">
        <v>69</v>
      </c>
      <c r="I204" t="s">
        <v>68</v>
      </c>
      <c r="J204" s="1">
        <v>36409.379999999997</v>
      </c>
      <c r="K204" s="1">
        <v>36409.379999999997</v>
      </c>
      <c r="L204" t="str">
        <f>IFERROR(IF(VLOOKUP(LEFT(B204,2),'Humanitarian codes'!$A$2:$A$10,1,FALSE)=LEFT(B204,2),"Yes","Error"),"No")</f>
        <v>Yes</v>
      </c>
      <c r="AE204" s="1"/>
      <c r="AF204" s="1"/>
    </row>
    <row r="205" spans="1:32" x14ac:dyDescent="0.25">
      <c r="A205" t="s">
        <v>710</v>
      </c>
      <c r="B205" t="s">
        <v>318</v>
      </c>
      <c r="C205" t="s">
        <v>30</v>
      </c>
      <c r="D205" t="s">
        <v>319</v>
      </c>
      <c r="E205" t="s">
        <v>320</v>
      </c>
      <c r="F205">
        <v>4500467523</v>
      </c>
      <c r="G205" t="s">
        <v>12</v>
      </c>
      <c r="H205" t="s">
        <v>321</v>
      </c>
      <c r="I205" t="s">
        <v>320</v>
      </c>
      <c r="J205" s="1">
        <v>921908.86</v>
      </c>
      <c r="K205" s="1">
        <v>921908.86</v>
      </c>
      <c r="L205" t="str">
        <f>IFERROR(IF(VLOOKUP(LEFT(B205,2),'Humanitarian codes'!$A$2:$A$10,1,FALSE)=LEFT(B205,2),"Yes","Error"),"No")</f>
        <v>Yes</v>
      </c>
      <c r="AE205" s="1"/>
      <c r="AF205" s="1"/>
    </row>
    <row r="206" spans="1:32" x14ac:dyDescent="0.25">
      <c r="A206" t="s">
        <v>710</v>
      </c>
      <c r="B206" t="s">
        <v>318</v>
      </c>
      <c r="C206" t="s">
        <v>30</v>
      </c>
      <c r="D206" t="s">
        <v>319</v>
      </c>
      <c r="E206" t="s">
        <v>320</v>
      </c>
      <c r="F206">
        <v>4500476413</v>
      </c>
      <c r="G206" t="s">
        <v>12</v>
      </c>
      <c r="H206" t="s">
        <v>322</v>
      </c>
      <c r="I206" t="s">
        <v>320</v>
      </c>
      <c r="J206" s="1">
        <v>421940.93</v>
      </c>
      <c r="K206" s="1">
        <v>421940.93</v>
      </c>
      <c r="L206" t="str">
        <f>IFERROR(IF(VLOOKUP(LEFT(B206,2),'Humanitarian codes'!$A$2:$A$10,1,FALSE)=LEFT(B206,2),"Yes","Error"),"No")</f>
        <v>Yes</v>
      </c>
      <c r="AE206" s="1"/>
      <c r="AF206" s="1"/>
    </row>
    <row r="207" spans="1:32" x14ac:dyDescent="0.25">
      <c r="A207" t="s">
        <v>710</v>
      </c>
      <c r="B207" t="s">
        <v>323</v>
      </c>
      <c r="C207" t="s">
        <v>30</v>
      </c>
      <c r="D207" t="s">
        <v>324</v>
      </c>
      <c r="E207" t="s">
        <v>83</v>
      </c>
      <c r="F207">
        <v>4500468724</v>
      </c>
      <c r="G207" t="s">
        <v>12</v>
      </c>
      <c r="H207" t="s">
        <v>84</v>
      </c>
      <c r="I207" t="s">
        <v>83</v>
      </c>
      <c r="J207" s="1">
        <v>42000</v>
      </c>
      <c r="K207" s="1">
        <v>42000</v>
      </c>
      <c r="L207" t="str">
        <f>IFERROR(IF(VLOOKUP(LEFT(B207,2),'Humanitarian codes'!$A$2:$A$10,1,FALSE)=LEFT(B207,2),"Yes","Error"),"No")</f>
        <v>Yes</v>
      </c>
      <c r="AE207" s="1"/>
      <c r="AF207" s="1"/>
    </row>
    <row r="208" spans="1:32" x14ac:dyDescent="0.25">
      <c r="A208" t="s">
        <v>710</v>
      </c>
      <c r="B208" t="s">
        <v>325</v>
      </c>
      <c r="C208" t="s">
        <v>30</v>
      </c>
      <c r="D208" t="s">
        <v>326</v>
      </c>
      <c r="E208" t="s">
        <v>45</v>
      </c>
      <c r="F208">
        <v>4500458760</v>
      </c>
      <c r="G208" t="s">
        <v>12</v>
      </c>
      <c r="H208" t="s">
        <v>327</v>
      </c>
      <c r="I208" t="s">
        <v>45</v>
      </c>
      <c r="J208" s="1">
        <v>78000</v>
      </c>
      <c r="K208" s="1">
        <v>553000</v>
      </c>
      <c r="L208" t="str">
        <f>IFERROR(IF(VLOOKUP(LEFT(B208,2),'Humanitarian codes'!$A$2:$A$10,1,FALSE)=LEFT(B208,2),"Yes","Error"),"No")</f>
        <v>Yes</v>
      </c>
      <c r="AE208" s="1"/>
      <c r="AF208" s="1"/>
    </row>
    <row r="209" spans="1:32" x14ac:dyDescent="0.25">
      <c r="A209" t="s">
        <v>710</v>
      </c>
      <c r="B209" t="s">
        <v>328</v>
      </c>
      <c r="C209" t="s">
        <v>30</v>
      </c>
      <c r="D209" t="s">
        <v>329</v>
      </c>
      <c r="E209" t="s">
        <v>330</v>
      </c>
      <c r="F209">
        <v>4500468411</v>
      </c>
      <c r="G209" t="s">
        <v>12</v>
      </c>
      <c r="H209" t="s">
        <v>331</v>
      </c>
      <c r="I209" t="s">
        <v>330</v>
      </c>
      <c r="J209" s="1">
        <v>247255</v>
      </c>
      <c r="K209" s="1">
        <v>247255</v>
      </c>
      <c r="L209" t="str">
        <f>IFERROR(IF(VLOOKUP(LEFT(B209,2),'Humanitarian codes'!$A$2:$A$10,1,FALSE)=LEFT(B209,2),"Yes","Error"),"No")</f>
        <v>Yes</v>
      </c>
      <c r="AE209" s="1"/>
      <c r="AF209" s="1"/>
    </row>
    <row r="210" spans="1:32" x14ac:dyDescent="0.25">
      <c r="A210" t="s">
        <v>710</v>
      </c>
      <c r="B210" t="s">
        <v>328</v>
      </c>
      <c r="C210" t="s">
        <v>30</v>
      </c>
      <c r="D210" t="s">
        <v>329</v>
      </c>
      <c r="E210" t="s">
        <v>330</v>
      </c>
      <c r="F210">
        <v>4500480058</v>
      </c>
      <c r="G210" t="s">
        <v>12</v>
      </c>
      <c r="H210" t="s">
        <v>332</v>
      </c>
      <c r="I210" t="s">
        <v>330</v>
      </c>
      <c r="J210" s="1">
        <v>248774.22</v>
      </c>
      <c r="K210" s="1">
        <v>248774.22</v>
      </c>
      <c r="L210" t="str">
        <f>IFERROR(IF(VLOOKUP(LEFT(B210,2),'Humanitarian codes'!$A$2:$A$10,1,FALSE)=LEFT(B210,2),"Yes","Error"),"No")</f>
        <v>Yes</v>
      </c>
      <c r="AE210" s="1"/>
      <c r="AF210" s="1"/>
    </row>
    <row r="211" spans="1:32" x14ac:dyDescent="0.25">
      <c r="A211" t="s">
        <v>710</v>
      </c>
      <c r="B211" t="s">
        <v>333</v>
      </c>
      <c r="C211" t="s">
        <v>30</v>
      </c>
      <c r="D211" t="s">
        <v>334</v>
      </c>
      <c r="E211" t="s">
        <v>155</v>
      </c>
      <c r="F211">
        <v>4500469701</v>
      </c>
      <c r="G211" t="s">
        <v>12</v>
      </c>
      <c r="H211" t="s">
        <v>335</v>
      </c>
      <c r="I211" t="s">
        <v>155</v>
      </c>
      <c r="J211" s="1">
        <v>499996.8</v>
      </c>
      <c r="K211" s="1">
        <v>499996.8</v>
      </c>
      <c r="L211" t="str">
        <f>IFERROR(IF(VLOOKUP(LEFT(B211,2),'Humanitarian codes'!$A$2:$A$10,1,FALSE)=LEFT(B211,2),"Yes","Error"),"No")</f>
        <v>Yes</v>
      </c>
      <c r="AE211" s="1"/>
      <c r="AF211" s="1"/>
    </row>
    <row r="212" spans="1:32" x14ac:dyDescent="0.25">
      <c r="A212" t="s">
        <v>710</v>
      </c>
      <c r="B212" t="s">
        <v>336</v>
      </c>
      <c r="C212" t="s">
        <v>30</v>
      </c>
      <c r="D212" t="s">
        <v>337</v>
      </c>
      <c r="E212" t="s">
        <v>193</v>
      </c>
      <c r="F212">
        <v>4500464302</v>
      </c>
      <c r="G212" t="s">
        <v>12</v>
      </c>
      <c r="H212" t="s">
        <v>338</v>
      </c>
      <c r="I212" t="s">
        <v>193</v>
      </c>
      <c r="J212" s="1">
        <v>1400000</v>
      </c>
      <c r="K212" s="1">
        <v>1400000</v>
      </c>
      <c r="L212" t="str">
        <f>IFERROR(IF(VLOOKUP(LEFT(B212,2),'Humanitarian codes'!$A$2:$A$10,1,FALSE)=LEFT(B212,2),"Yes","Error"),"No")</f>
        <v>Yes</v>
      </c>
      <c r="AE212" s="1"/>
      <c r="AF212" s="1"/>
    </row>
    <row r="213" spans="1:32" x14ac:dyDescent="0.25">
      <c r="A213" t="s">
        <v>710</v>
      </c>
      <c r="B213" t="s">
        <v>339</v>
      </c>
      <c r="C213" t="s">
        <v>30</v>
      </c>
      <c r="D213" t="s">
        <v>340</v>
      </c>
      <c r="E213" t="s">
        <v>175</v>
      </c>
      <c r="F213">
        <v>4500469488</v>
      </c>
      <c r="G213" t="s">
        <v>12</v>
      </c>
      <c r="H213" t="s">
        <v>341</v>
      </c>
      <c r="I213" t="s">
        <v>175</v>
      </c>
      <c r="J213" s="1">
        <v>185409.18</v>
      </c>
      <c r="K213" s="1">
        <v>185409.18</v>
      </c>
      <c r="L213" t="str">
        <f>IFERROR(IF(VLOOKUP(LEFT(B213,2),'Humanitarian codes'!$A$2:$A$10,1,FALSE)=LEFT(B213,2),"Yes","Error"),"No")</f>
        <v>Yes</v>
      </c>
      <c r="AE213" s="1"/>
      <c r="AF213" s="1"/>
    </row>
    <row r="214" spans="1:32" x14ac:dyDescent="0.25">
      <c r="A214" t="s">
        <v>710</v>
      </c>
      <c r="B214" t="s">
        <v>339</v>
      </c>
      <c r="C214" t="s">
        <v>30</v>
      </c>
      <c r="D214" t="s">
        <v>340</v>
      </c>
      <c r="E214" t="s">
        <v>175</v>
      </c>
      <c r="F214">
        <v>4500473581</v>
      </c>
      <c r="G214" t="s">
        <v>12</v>
      </c>
      <c r="H214" t="s">
        <v>342</v>
      </c>
      <c r="I214" t="s">
        <v>175</v>
      </c>
      <c r="J214" s="1">
        <v>262587.17</v>
      </c>
      <c r="K214" s="1">
        <v>262587.17</v>
      </c>
      <c r="L214" t="str">
        <f>IFERROR(IF(VLOOKUP(LEFT(B214,2),'Humanitarian codes'!$A$2:$A$10,1,FALSE)=LEFT(B214,2),"Yes","Error"),"No")</f>
        <v>Yes</v>
      </c>
      <c r="AE214" s="1"/>
      <c r="AF214" s="1"/>
    </row>
    <row r="215" spans="1:32" x14ac:dyDescent="0.25">
      <c r="A215" t="s">
        <v>710</v>
      </c>
      <c r="B215" t="s">
        <v>343</v>
      </c>
      <c r="C215" t="s">
        <v>30</v>
      </c>
      <c r="D215" t="s">
        <v>344</v>
      </c>
      <c r="E215" t="s">
        <v>96</v>
      </c>
      <c r="F215">
        <v>4500460469</v>
      </c>
      <c r="G215" t="s">
        <v>12</v>
      </c>
      <c r="H215" t="s">
        <v>156</v>
      </c>
      <c r="I215" t="s">
        <v>184</v>
      </c>
      <c r="J215" s="1">
        <v>681985</v>
      </c>
      <c r="K215" s="1">
        <v>761000</v>
      </c>
      <c r="L215" t="str">
        <f>IFERROR(IF(VLOOKUP(LEFT(B215,2),'Humanitarian codes'!$A$2:$A$10,1,FALSE)=LEFT(B215,2),"Yes","Error"),"No")</f>
        <v>Yes</v>
      </c>
      <c r="AE215" s="1"/>
      <c r="AF215" s="1"/>
    </row>
    <row r="216" spans="1:32" x14ac:dyDescent="0.25">
      <c r="A216" t="s">
        <v>710</v>
      </c>
      <c r="B216" t="s">
        <v>343</v>
      </c>
      <c r="C216" t="s">
        <v>30</v>
      </c>
      <c r="D216" t="s">
        <v>344</v>
      </c>
      <c r="E216" t="s">
        <v>96</v>
      </c>
      <c r="F216">
        <v>4500474252</v>
      </c>
      <c r="G216" t="s">
        <v>12</v>
      </c>
      <c r="H216" t="s">
        <v>345</v>
      </c>
      <c r="I216" t="s">
        <v>346</v>
      </c>
      <c r="J216" s="1">
        <v>20000</v>
      </c>
      <c r="K216" s="1">
        <v>20000</v>
      </c>
      <c r="L216" t="str">
        <f>IFERROR(IF(VLOOKUP(LEFT(B216,2),'Humanitarian codes'!$A$2:$A$10,1,FALSE)=LEFT(B216,2),"Yes","Error"),"No")</f>
        <v>Yes</v>
      </c>
      <c r="AE216" s="1"/>
      <c r="AF216" s="1"/>
    </row>
    <row r="217" spans="1:32" x14ac:dyDescent="0.25">
      <c r="A217" t="s">
        <v>710</v>
      </c>
      <c r="B217" t="s">
        <v>343</v>
      </c>
      <c r="C217" t="s">
        <v>30</v>
      </c>
      <c r="D217" t="s">
        <v>344</v>
      </c>
      <c r="E217" t="s">
        <v>96</v>
      </c>
      <c r="F217">
        <v>4500478518</v>
      </c>
      <c r="G217" t="s">
        <v>12</v>
      </c>
      <c r="H217" t="s">
        <v>347</v>
      </c>
      <c r="I217" t="s">
        <v>96</v>
      </c>
      <c r="J217" s="1">
        <v>19950</v>
      </c>
      <c r="K217" s="1">
        <v>19950</v>
      </c>
      <c r="L217" t="str">
        <f>IFERROR(IF(VLOOKUP(LEFT(B217,2),'Humanitarian codes'!$A$2:$A$10,1,FALSE)=LEFT(B217,2),"Yes","Error"),"No")</f>
        <v>Yes</v>
      </c>
      <c r="AE217" s="1"/>
      <c r="AF217" s="1"/>
    </row>
    <row r="218" spans="1:32" x14ac:dyDescent="0.25">
      <c r="A218" t="s">
        <v>710</v>
      </c>
      <c r="B218" t="s">
        <v>348</v>
      </c>
      <c r="C218" t="s">
        <v>30</v>
      </c>
      <c r="D218" t="s">
        <v>349</v>
      </c>
      <c r="E218" t="s">
        <v>350</v>
      </c>
      <c r="F218">
        <v>4500481009</v>
      </c>
      <c r="G218" t="s">
        <v>12</v>
      </c>
      <c r="H218" t="s">
        <v>351</v>
      </c>
      <c r="I218" t="s">
        <v>350</v>
      </c>
      <c r="J218" s="1">
        <v>87356.86</v>
      </c>
      <c r="K218" s="1">
        <v>87356.86</v>
      </c>
      <c r="L218" t="str">
        <f>IFERROR(IF(VLOOKUP(LEFT(B218,2),'Humanitarian codes'!$A$2:$A$10,1,FALSE)=LEFT(B218,2),"Yes","Error"),"No")</f>
        <v>Yes</v>
      </c>
      <c r="AF218" s="1"/>
    </row>
    <row r="219" spans="1:32" x14ac:dyDescent="0.25">
      <c r="A219" t="s">
        <v>710</v>
      </c>
      <c r="B219" t="s">
        <v>352</v>
      </c>
      <c r="C219" t="s">
        <v>30</v>
      </c>
      <c r="D219" t="s">
        <v>353</v>
      </c>
      <c r="E219" t="s">
        <v>83</v>
      </c>
      <c r="F219">
        <v>4500466661</v>
      </c>
      <c r="G219" t="s">
        <v>12</v>
      </c>
      <c r="H219" t="s">
        <v>84</v>
      </c>
      <c r="I219" t="s">
        <v>83</v>
      </c>
      <c r="J219" s="1">
        <v>57200</v>
      </c>
      <c r="K219" s="1">
        <v>65000</v>
      </c>
      <c r="L219" t="str">
        <f>IFERROR(IF(VLOOKUP(LEFT(B219,2),'Humanitarian codes'!$A$2:$A$10,1,FALSE)=LEFT(B219,2),"Yes","Error"),"No")</f>
        <v>Yes</v>
      </c>
      <c r="AE219" s="1"/>
      <c r="AF219" s="1"/>
    </row>
    <row r="220" spans="1:32" x14ac:dyDescent="0.25">
      <c r="A220" t="s">
        <v>710</v>
      </c>
      <c r="B220" t="s">
        <v>354</v>
      </c>
      <c r="C220" t="s">
        <v>30</v>
      </c>
      <c r="D220" t="s">
        <v>355</v>
      </c>
      <c r="E220" t="s">
        <v>356</v>
      </c>
      <c r="F220">
        <v>4500470139</v>
      </c>
      <c r="G220" t="s">
        <v>12</v>
      </c>
      <c r="H220" t="s">
        <v>357</v>
      </c>
      <c r="I220" t="s">
        <v>356</v>
      </c>
      <c r="J220" s="1">
        <v>174549</v>
      </c>
      <c r="K220" s="1">
        <v>174549</v>
      </c>
      <c r="L220" t="str">
        <f>IFERROR(IF(VLOOKUP(LEFT(B220,2),'Humanitarian codes'!$A$2:$A$10,1,FALSE)=LEFT(B220,2),"Yes","Error"),"No")</f>
        <v>Yes</v>
      </c>
      <c r="AE220" s="1"/>
      <c r="AF220" s="1"/>
    </row>
    <row r="221" spans="1:32" x14ac:dyDescent="0.25">
      <c r="A221" t="s">
        <v>710</v>
      </c>
      <c r="B221" t="s">
        <v>358</v>
      </c>
      <c r="C221" t="s">
        <v>30</v>
      </c>
      <c r="D221" t="s">
        <v>359</v>
      </c>
      <c r="E221" t="s">
        <v>330</v>
      </c>
      <c r="F221">
        <v>4500480535</v>
      </c>
      <c r="G221" t="s">
        <v>12</v>
      </c>
      <c r="H221" t="s">
        <v>360</v>
      </c>
      <c r="I221" t="s">
        <v>330</v>
      </c>
      <c r="J221" s="1">
        <v>32172.86</v>
      </c>
      <c r="K221" s="1">
        <v>63786.720000000001</v>
      </c>
      <c r="L221" t="str">
        <f>IFERROR(IF(VLOOKUP(LEFT(B221,2),'Humanitarian codes'!$A$2:$A$10,1,FALSE)=LEFT(B221,2),"Yes","Error"),"No")</f>
        <v>Yes</v>
      </c>
      <c r="AE221" s="1"/>
      <c r="AF221" s="1"/>
    </row>
    <row r="222" spans="1:32" x14ac:dyDescent="0.25">
      <c r="A222" t="s">
        <v>710</v>
      </c>
      <c r="B222" t="s">
        <v>361</v>
      </c>
      <c r="C222" t="s">
        <v>30</v>
      </c>
      <c r="D222" t="s">
        <v>362</v>
      </c>
      <c r="E222" t="s">
        <v>45</v>
      </c>
      <c r="F222">
        <v>4500474709</v>
      </c>
      <c r="G222" t="s">
        <v>12</v>
      </c>
      <c r="H222" t="s">
        <v>73</v>
      </c>
      <c r="I222" t="s">
        <v>45</v>
      </c>
      <c r="J222" s="1">
        <v>20000</v>
      </c>
      <c r="K222" s="1">
        <v>560000</v>
      </c>
      <c r="L222" t="str">
        <f>IFERROR(IF(VLOOKUP(LEFT(B222,2),'Humanitarian codes'!$A$2:$A$10,1,FALSE)=LEFT(B222,2),"Yes","Error"),"No")</f>
        <v>Yes</v>
      </c>
      <c r="AE222" s="1"/>
      <c r="AF222" s="1"/>
    </row>
    <row r="223" spans="1:32" x14ac:dyDescent="0.25">
      <c r="A223" t="s">
        <v>710</v>
      </c>
      <c r="B223" t="s">
        <v>361</v>
      </c>
      <c r="C223" t="s">
        <v>30</v>
      </c>
      <c r="D223" t="s">
        <v>362</v>
      </c>
      <c r="E223" t="s">
        <v>45</v>
      </c>
      <c r="F223">
        <v>4500478663</v>
      </c>
      <c r="G223" t="s">
        <v>12</v>
      </c>
      <c r="H223" t="s">
        <v>363</v>
      </c>
      <c r="I223" t="s">
        <v>45</v>
      </c>
      <c r="J223" s="1">
        <v>383500</v>
      </c>
      <c r="K223" s="1">
        <v>460000</v>
      </c>
      <c r="L223" t="str">
        <f>IFERROR(IF(VLOOKUP(LEFT(B223,2),'Humanitarian codes'!$A$2:$A$10,1,FALSE)=LEFT(B223,2),"Yes","Error"),"No")</f>
        <v>Yes</v>
      </c>
      <c r="AE223" s="1"/>
      <c r="AF223" s="1"/>
    </row>
    <row r="224" spans="1:32" x14ac:dyDescent="0.25">
      <c r="A224" t="s">
        <v>710</v>
      </c>
      <c r="B224" t="s">
        <v>364</v>
      </c>
      <c r="C224" t="s">
        <v>30</v>
      </c>
      <c r="D224" t="s">
        <v>365</v>
      </c>
      <c r="E224" t="s">
        <v>123</v>
      </c>
      <c r="F224">
        <v>4500456641</v>
      </c>
      <c r="G224" t="s">
        <v>12</v>
      </c>
      <c r="H224" t="s">
        <v>124</v>
      </c>
      <c r="I224" t="s">
        <v>123</v>
      </c>
      <c r="J224" s="1">
        <v>14996.13</v>
      </c>
      <c r="K224" s="1">
        <v>46363.39</v>
      </c>
      <c r="L224" t="str">
        <f>IFERROR(IF(VLOOKUP(LEFT(B224,2),'Humanitarian codes'!$A$2:$A$10,1,FALSE)=LEFT(B224,2),"Yes","Error"),"No")</f>
        <v>Yes</v>
      </c>
      <c r="AE224" s="1"/>
      <c r="AF224" s="1"/>
    </row>
    <row r="225" spans="1:32" x14ac:dyDescent="0.25">
      <c r="A225" t="s">
        <v>710</v>
      </c>
      <c r="B225" t="s">
        <v>364</v>
      </c>
      <c r="C225" t="s">
        <v>30</v>
      </c>
      <c r="D225" t="s">
        <v>365</v>
      </c>
      <c r="E225" t="s">
        <v>123</v>
      </c>
      <c r="F225">
        <v>4500472237</v>
      </c>
      <c r="G225" t="s">
        <v>12</v>
      </c>
      <c r="H225" t="s">
        <v>366</v>
      </c>
      <c r="I225" t="s">
        <v>123</v>
      </c>
      <c r="J225" s="1">
        <v>150966.39000000001</v>
      </c>
      <c r="K225" s="1">
        <v>150966.39000000001</v>
      </c>
      <c r="L225" t="str">
        <f>IFERROR(IF(VLOOKUP(LEFT(B225,2),'Humanitarian codes'!$A$2:$A$10,1,FALSE)=LEFT(B225,2),"Yes","Error"),"No")</f>
        <v>Yes</v>
      </c>
      <c r="AE225" s="1"/>
      <c r="AF225" s="1"/>
    </row>
    <row r="226" spans="1:32" x14ac:dyDescent="0.25">
      <c r="A226" t="s">
        <v>710</v>
      </c>
      <c r="B226" t="s">
        <v>364</v>
      </c>
      <c r="C226" t="s">
        <v>30</v>
      </c>
      <c r="D226" t="s">
        <v>365</v>
      </c>
      <c r="E226" t="s">
        <v>123</v>
      </c>
      <c r="F226">
        <v>4500474528</v>
      </c>
      <c r="G226" t="s">
        <v>12</v>
      </c>
      <c r="H226" t="s">
        <v>125</v>
      </c>
      <c r="I226" t="s">
        <v>123</v>
      </c>
      <c r="J226" s="1">
        <v>548798.18000000005</v>
      </c>
      <c r="K226" s="1">
        <v>548798.18000000005</v>
      </c>
      <c r="L226" t="str">
        <f>IFERROR(IF(VLOOKUP(LEFT(B226,2),'Humanitarian codes'!$A$2:$A$10,1,FALSE)=LEFT(B226,2),"Yes","Error"),"No")</f>
        <v>Yes</v>
      </c>
      <c r="AE226" s="1"/>
      <c r="AF226" s="1"/>
    </row>
    <row r="227" spans="1:32" x14ac:dyDescent="0.25">
      <c r="A227" t="s">
        <v>710</v>
      </c>
      <c r="B227" t="s">
        <v>364</v>
      </c>
      <c r="C227" t="s">
        <v>30</v>
      </c>
      <c r="D227" t="s">
        <v>365</v>
      </c>
      <c r="E227" t="s">
        <v>123</v>
      </c>
      <c r="F227">
        <v>4500475176</v>
      </c>
      <c r="G227" t="s">
        <v>12</v>
      </c>
      <c r="H227" t="s">
        <v>367</v>
      </c>
      <c r="I227" t="s">
        <v>123</v>
      </c>
      <c r="J227" s="1">
        <v>130687.5</v>
      </c>
      <c r="K227" s="1">
        <v>130687.5</v>
      </c>
      <c r="L227" t="str">
        <f>IFERROR(IF(VLOOKUP(LEFT(B227,2),'Humanitarian codes'!$A$2:$A$10,1,FALSE)=LEFT(B227,2),"Yes","Error"),"No")</f>
        <v>Yes</v>
      </c>
      <c r="AE227" s="1"/>
      <c r="AF227" s="1"/>
    </row>
    <row r="228" spans="1:32" x14ac:dyDescent="0.25">
      <c r="A228" t="s">
        <v>710</v>
      </c>
      <c r="B228" t="s">
        <v>364</v>
      </c>
      <c r="C228" t="s">
        <v>30</v>
      </c>
      <c r="D228" t="s">
        <v>365</v>
      </c>
      <c r="E228" t="s">
        <v>123</v>
      </c>
      <c r="F228">
        <v>4500476350</v>
      </c>
      <c r="G228" t="s">
        <v>12</v>
      </c>
      <c r="H228" t="s">
        <v>124</v>
      </c>
      <c r="I228" t="s">
        <v>123</v>
      </c>
      <c r="J228" s="1">
        <v>22435.58</v>
      </c>
      <c r="K228" s="1">
        <v>22435.58</v>
      </c>
      <c r="L228" t="str">
        <f>IFERROR(IF(VLOOKUP(LEFT(B228,2),'Humanitarian codes'!$A$2:$A$10,1,FALSE)=LEFT(B228,2),"Yes","Error"),"No")</f>
        <v>Yes</v>
      </c>
      <c r="AE228" s="1"/>
      <c r="AF228" s="1"/>
    </row>
    <row r="229" spans="1:32" x14ac:dyDescent="0.25">
      <c r="A229" t="s">
        <v>710</v>
      </c>
      <c r="B229" t="s">
        <v>364</v>
      </c>
      <c r="C229" t="s">
        <v>30</v>
      </c>
      <c r="D229" t="s">
        <v>365</v>
      </c>
      <c r="E229" t="s">
        <v>123</v>
      </c>
      <c r="F229">
        <v>4500476360</v>
      </c>
      <c r="G229" t="s">
        <v>12</v>
      </c>
      <c r="H229" t="s">
        <v>368</v>
      </c>
      <c r="I229" t="s">
        <v>123</v>
      </c>
      <c r="J229" s="1">
        <v>27649.98</v>
      </c>
      <c r="K229" s="1">
        <v>27649.98</v>
      </c>
      <c r="L229" t="str">
        <f>IFERROR(IF(VLOOKUP(LEFT(B229,2),'Humanitarian codes'!$A$2:$A$10,1,FALSE)=LEFT(B229,2),"Yes","Error"),"No")</f>
        <v>Yes</v>
      </c>
      <c r="AE229" s="1"/>
      <c r="AF229" s="1"/>
    </row>
    <row r="230" spans="1:32" x14ac:dyDescent="0.25">
      <c r="A230" t="s">
        <v>710</v>
      </c>
      <c r="B230" t="s">
        <v>364</v>
      </c>
      <c r="C230" t="s">
        <v>30</v>
      </c>
      <c r="D230" t="s">
        <v>365</v>
      </c>
      <c r="E230" t="s">
        <v>123</v>
      </c>
      <c r="F230">
        <v>4500476365</v>
      </c>
      <c r="G230" t="s">
        <v>12</v>
      </c>
      <c r="H230" t="s">
        <v>125</v>
      </c>
      <c r="I230" t="s">
        <v>123</v>
      </c>
      <c r="J230" s="1">
        <v>25723.200000000001</v>
      </c>
      <c r="K230" s="1">
        <v>25723.200000000001</v>
      </c>
      <c r="L230" t="str">
        <f>IFERROR(IF(VLOOKUP(LEFT(B230,2),'Humanitarian codes'!$A$2:$A$10,1,FALSE)=LEFT(B230,2),"Yes","Error"),"No")</f>
        <v>Yes</v>
      </c>
      <c r="AE230" s="1"/>
      <c r="AF230" s="1"/>
    </row>
    <row r="231" spans="1:32" x14ac:dyDescent="0.25">
      <c r="A231" t="s">
        <v>710</v>
      </c>
      <c r="B231" t="s">
        <v>364</v>
      </c>
      <c r="C231" t="s">
        <v>30</v>
      </c>
      <c r="D231" t="s">
        <v>365</v>
      </c>
      <c r="E231" t="s">
        <v>123</v>
      </c>
      <c r="F231">
        <v>4500479450</v>
      </c>
      <c r="G231" t="s">
        <v>12</v>
      </c>
      <c r="H231" t="s">
        <v>366</v>
      </c>
      <c r="I231" t="s">
        <v>123</v>
      </c>
      <c r="J231" s="1">
        <v>547995.97</v>
      </c>
      <c r="K231" s="1">
        <v>547995.97</v>
      </c>
      <c r="L231" t="str">
        <f>IFERROR(IF(VLOOKUP(LEFT(B231,2),'Humanitarian codes'!$A$2:$A$10,1,FALSE)=LEFT(B231,2),"Yes","Error"),"No")</f>
        <v>Yes</v>
      </c>
      <c r="AE231" s="1"/>
      <c r="AF231" s="1"/>
    </row>
    <row r="232" spans="1:32" x14ac:dyDescent="0.25">
      <c r="A232" t="s">
        <v>710</v>
      </c>
      <c r="B232" t="s">
        <v>364</v>
      </c>
      <c r="C232" t="s">
        <v>30</v>
      </c>
      <c r="D232" t="s">
        <v>365</v>
      </c>
      <c r="E232" t="s">
        <v>123</v>
      </c>
      <c r="F232">
        <v>4500479589</v>
      </c>
      <c r="G232" t="s">
        <v>12</v>
      </c>
      <c r="H232" t="s">
        <v>125</v>
      </c>
      <c r="I232" t="s">
        <v>123</v>
      </c>
      <c r="J232" s="1">
        <v>30000</v>
      </c>
      <c r="K232" s="1">
        <v>30000</v>
      </c>
      <c r="L232" t="str">
        <f>IFERROR(IF(VLOOKUP(LEFT(B232,2),'Humanitarian codes'!$A$2:$A$10,1,FALSE)=LEFT(B232,2),"Yes","Error"),"No")</f>
        <v>Yes</v>
      </c>
      <c r="AE232" s="1"/>
      <c r="AF232" s="1"/>
    </row>
    <row r="233" spans="1:32" x14ac:dyDescent="0.25">
      <c r="A233" t="s">
        <v>710</v>
      </c>
      <c r="B233" t="s">
        <v>364</v>
      </c>
      <c r="C233" t="s">
        <v>30</v>
      </c>
      <c r="D233" t="s">
        <v>365</v>
      </c>
      <c r="E233" t="s">
        <v>123</v>
      </c>
      <c r="F233">
        <v>4500480722</v>
      </c>
      <c r="G233" t="s">
        <v>12</v>
      </c>
      <c r="H233" t="s">
        <v>368</v>
      </c>
      <c r="I233" t="s">
        <v>123</v>
      </c>
      <c r="J233" s="1">
        <v>36562.19</v>
      </c>
      <c r="K233" s="1">
        <v>36562.19</v>
      </c>
      <c r="L233" t="str">
        <f>IFERROR(IF(VLOOKUP(LEFT(B233,2),'Humanitarian codes'!$A$2:$A$10,1,FALSE)=LEFT(B233,2),"Yes","Error"),"No")</f>
        <v>Yes</v>
      </c>
      <c r="AE233" s="1"/>
      <c r="AF233" s="1"/>
    </row>
    <row r="234" spans="1:32" x14ac:dyDescent="0.25">
      <c r="A234" t="s">
        <v>710</v>
      </c>
      <c r="B234" t="s">
        <v>364</v>
      </c>
      <c r="C234" t="s">
        <v>30</v>
      </c>
      <c r="D234" t="s">
        <v>365</v>
      </c>
      <c r="E234" t="s">
        <v>123</v>
      </c>
      <c r="F234">
        <v>4500480810</v>
      </c>
      <c r="G234" t="s">
        <v>12</v>
      </c>
      <c r="H234" t="s">
        <v>125</v>
      </c>
      <c r="I234" t="s">
        <v>123</v>
      </c>
      <c r="J234" s="1">
        <v>40381.57</v>
      </c>
      <c r="K234" s="1">
        <v>40381.57</v>
      </c>
      <c r="L234" t="str">
        <f>IFERROR(IF(VLOOKUP(LEFT(B234,2),'Humanitarian codes'!$A$2:$A$10,1,FALSE)=LEFT(B234,2),"Yes","Error"),"No")</f>
        <v>Yes</v>
      </c>
      <c r="AE234" s="1"/>
      <c r="AF234" s="1"/>
    </row>
    <row r="235" spans="1:32" x14ac:dyDescent="0.25">
      <c r="A235" t="s">
        <v>710</v>
      </c>
      <c r="B235" t="s">
        <v>364</v>
      </c>
      <c r="C235" t="s">
        <v>30</v>
      </c>
      <c r="D235" t="s">
        <v>365</v>
      </c>
      <c r="E235" t="s">
        <v>123</v>
      </c>
      <c r="F235">
        <v>4500480818</v>
      </c>
      <c r="G235" t="s">
        <v>12</v>
      </c>
      <c r="H235" t="s">
        <v>124</v>
      </c>
      <c r="I235" t="s">
        <v>123</v>
      </c>
      <c r="J235" s="1">
        <v>40139.94</v>
      </c>
      <c r="K235" s="1">
        <v>40139.94</v>
      </c>
      <c r="L235" t="str">
        <f>IFERROR(IF(VLOOKUP(LEFT(B235,2),'Humanitarian codes'!$A$2:$A$10,1,FALSE)=LEFT(B235,2),"Yes","Error"),"No")</f>
        <v>Yes</v>
      </c>
      <c r="AE235" s="1"/>
      <c r="AF235" s="1"/>
    </row>
    <row r="236" spans="1:32" x14ac:dyDescent="0.25">
      <c r="A236" t="s">
        <v>710</v>
      </c>
      <c r="B236" t="s">
        <v>369</v>
      </c>
      <c r="C236" t="s">
        <v>30</v>
      </c>
      <c r="D236" t="s">
        <v>370</v>
      </c>
      <c r="E236" t="s">
        <v>289</v>
      </c>
      <c r="F236">
        <v>4500455867</v>
      </c>
      <c r="G236" t="s">
        <v>12</v>
      </c>
      <c r="H236" t="s">
        <v>371</v>
      </c>
      <c r="I236" t="s">
        <v>289</v>
      </c>
      <c r="J236" s="1">
        <v>15845</v>
      </c>
      <c r="K236" s="1">
        <v>15845</v>
      </c>
      <c r="L236" t="str">
        <f>IFERROR(IF(VLOOKUP(LEFT(B236,2),'Humanitarian codes'!$A$2:$A$10,1,FALSE)=LEFT(B236,2),"Yes","Error"),"No")</f>
        <v>Yes</v>
      </c>
      <c r="AE236" s="1"/>
      <c r="AF236" s="1"/>
    </row>
    <row r="237" spans="1:32" x14ac:dyDescent="0.25">
      <c r="A237" t="s">
        <v>710</v>
      </c>
      <c r="B237" t="s">
        <v>369</v>
      </c>
      <c r="C237" t="s">
        <v>30</v>
      </c>
      <c r="D237" t="s">
        <v>370</v>
      </c>
      <c r="E237" t="s">
        <v>289</v>
      </c>
      <c r="F237">
        <v>4500458225</v>
      </c>
      <c r="G237" t="s">
        <v>12</v>
      </c>
      <c r="H237" t="s">
        <v>372</v>
      </c>
      <c r="I237" t="s">
        <v>289</v>
      </c>
      <c r="J237" s="1">
        <v>35400</v>
      </c>
      <c r="K237" s="1">
        <v>35400</v>
      </c>
      <c r="L237" t="str">
        <f>IFERROR(IF(VLOOKUP(LEFT(B237,2),'Humanitarian codes'!$A$2:$A$10,1,FALSE)=LEFT(B237,2),"Yes","Error"),"No")</f>
        <v>Yes</v>
      </c>
      <c r="AE237" s="1"/>
      <c r="AF237" s="1"/>
    </row>
    <row r="238" spans="1:32" x14ac:dyDescent="0.25">
      <c r="A238" t="s">
        <v>710</v>
      </c>
      <c r="B238" t="s">
        <v>369</v>
      </c>
      <c r="C238" t="s">
        <v>30</v>
      </c>
      <c r="D238" t="s">
        <v>370</v>
      </c>
      <c r="E238" t="s">
        <v>289</v>
      </c>
      <c r="F238">
        <v>4500479435</v>
      </c>
      <c r="G238" t="s">
        <v>12</v>
      </c>
      <c r="H238" t="s">
        <v>373</v>
      </c>
      <c r="I238" t="s">
        <v>289</v>
      </c>
      <c r="J238" s="1">
        <v>18354.43</v>
      </c>
      <c r="K238" s="1">
        <v>18354.43</v>
      </c>
      <c r="L238" t="str">
        <f>IFERROR(IF(VLOOKUP(LEFT(B238,2),'Humanitarian codes'!$A$2:$A$10,1,FALSE)=LEFT(B238,2),"Yes","Error"),"No")</f>
        <v>Yes</v>
      </c>
      <c r="AE238" s="1"/>
      <c r="AF238" s="1"/>
    </row>
    <row r="239" spans="1:32" x14ac:dyDescent="0.25">
      <c r="A239" t="s">
        <v>710</v>
      </c>
      <c r="B239" t="s">
        <v>369</v>
      </c>
      <c r="C239" t="s">
        <v>30</v>
      </c>
      <c r="D239" t="s">
        <v>370</v>
      </c>
      <c r="E239" t="s">
        <v>303</v>
      </c>
      <c r="F239">
        <v>4500477865</v>
      </c>
      <c r="G239" t="s">
        <v>12</v>
      </c>
      <c r="H239" t="s">
        <v>374</v>
      </c>
      <c r="I239" t="s">
        <v>303</v>
      </c>
      <c r="J239" s="1">
        <v>15297.67</v>
      </c>
      <c r="K239" s="1">
        <v>15297.67</v>
      </c>
      <c r="L239" t="str">
        <f>IFERROR(IF(VLOOKUP(LEFT(B239,2),'Humanitarian codes'!$A$2:$A$10,1,FALSE)=LEFT(B239,2),"Yes","Error"),"No")</f>
        <v>Yes</v>
      </c>
      <c r="AE239" s="1"/>
      <c r="AF239" s="1"/>
    </row>
    <row r="240" spans="1:32" x14ac:dyDescent="0.25">
      <c r="A240" t="s">
        <v>710</v>
      </c>
      <c r="B240" t="s">
        <v>375</v>
      </c>
      <c r="C240" t="s">
        <v>30</v>
      </c>
      <c r="D240" t="s">
        <v>376</v>
      </c>
      <c r="E240" t="s">
        <v>45</v>
      </c>
      <c r="F240">
        <v>4500474709</v>
      </c>
      <c r="G240" t="s">
        <v>12</v>
      </c>
      <c r="H240" t="s">
        <v>73</v>
      </c>
      <c r="I240" t="s">
        <v>45</v>
      </c>
      <c r="J240" s="1">
        <v>400000</v>
      </c>
      <c r="K240" s="1">
        <v>560000</v>
      </c>
      <c r="L240" t="str">
        <f>IFERROR(IF(VLOOKUP(LEFT(B240,2),'Humanitarian codes'!$A$2:$A$10,1,FALSE)=LEFT(B240,2),"Yes","Error"),"No")</f>
        <v>Yes</v>
      </c>
      <c r="AE240" s="1"/>
      <c r="AF240" s="1"/>
    </row>
    <row r="241" spans="1:32" x14ac:dyDescent="0.25">
      <c r="A241" t="s">
        <v>710</v>
      </c>
      <c r="B241" t="s">
        <v>375</v>
      </c>
      <c r="C241" t="s">
        <v>30</v>
      </c>
      <c r="D241" t="s">
        <v>376</v>
      </c>
      <c r="E241" t="s">
        <v>45</v>
      </c>
      <c r="F241">
        <v>4500478663</v>
      </c>
      <c r="G241" t="s">
        <v>12</v>
      </c>
      <c r="H241" t="s">
        <v>363</v>
      </c>
      <c r="I241" t="s">
        <v>45</v>
      </c>
      <c r="J241" s="1">
        <v>76500</v>
      </c>
      <c r="K241" s="1">
        <v>460000</v>
      </c>
      <c r="L241" t="str">
        <f>IFERROR(IF(VLOOKUP(LEFT(B241,2),'Humanitarian codes'!$A$2:$A$10,1,FALSE)=LEFT(B241,2),"Yes","Error"),"No")</f>
        <v>Yes</v>
      </c>
      <c r="AE241" s="1"/>
      <c r="AF241" s="1"/>
    </row>
    <row r="242" spans="1:32" x14ac:dyDescent="0.25">
      <c r="A242" t="s">
        <v>710</v>
      </c>
      <c r="B242" t="s">
        <v>377</v>
      </c>
      <c r="C242" t="s">
        <v>30</v>
      </c>
      <c r="D242" t="s">
        <v>378</v>
      </c>
      <c r="E242" t="s">
        <v>261</v>
      </c>
      <c r="F242">
        <v>4500480329</v>
      </c>
      <c r="G242" t="s">
        <v>12</v>
      </c>
      <c r="H242" t="s">
        <v>379</v>
      </c>
      <c r="I242" t="s">
        <v>261</v>
      </c>
      <c r="J242" s="1">
        <v>186567.85</v>
      </c>
      <c r="K242" s="1">
        <v>186567.85</v>
      </c>
      <c r="L242" t="str">
        <f>IFERROR(IF(VLOOKUP(LEFT(B242,2),'Humanitarian codes'!$A$2:$A$10,1,FALSE)=LEFT(B242,2),"Yes","Error"),"No")</f>
        <v>Yes</v>
      </c>
      <c r="AE242" s="1"/>
      <c r="AF242" s="1"/>
    </row>
    <row r="243" spans="1:32" x14ac:dyDescent="0.25">
      <c r="A243" t="s">
        <v>710</v>
      </c>
      <c r="B243" t="s">
        <v>380</v>
      </c>
      <c r="C243" t="s">
        <v>30</v>
      </c>
      <c r="D243" t="s">
        <v>381</v>
      </c>
      <c r="E243" t="s">
        <v>175</v>
      </c>
      <c r="F243">
        <v>4500482260</v>
      </c>
      <c r="G243" t="s">
        <v>12</v>
      </c>
      <c r="H243" t="s">
        <v>182</v>
      </c>
      <c r="I243" t="s">
        <v>175</v>
      </c>
      <c r="J243" s="1">
        <v>240594.98</v>
      </c>
      <c r="K243" s="1">
        <v>240594.98</v>
      </c>
      <c r="L243" t="str">
        <f>IFERROR(IF(VLOOKUP(LEFT(B243,2),'Humanitarian codes'!$A$2:$A$10,1,FALSE)=LEFT(B243,2),"Yes","Error"),"No")</f>
        <v>Yes</v>
      </c>
      <c r="AE243" s="1"/>
      <c r="AF243" s="1"/>
    </row>
    <row r="244" spans="1:32" x14ac:dyDescent="0.25">
      <c r="A244" t="s">
        <v>710</v>
      </c>
      <c r="B244" t="s">
        <v>382</v>
      </c>
      <c r="C244" t="s">
        <v>30</v>
      </c>
      <c r="D244" t="s">
        <v>383</v>
      </c>
      <c r="E244" t="s">
        <v>150</v>
      </c>
      <c r="F244">
        <v>4500468248</v>
      </c>
      <c r="G244" t="s">
        <v>12</v>
      </c>
      <c r="H244" t="s">
        <v>384</v>
      </c>
      <c r="I244" t="s">
        <v>150</v>
      </c>
      <c r="J244" s="1">
        <v>29523.759999999998</v>
      </c>
      <c r="K244" s="1">
        <v>29523.759999999998</v>
      </c>
      <c r="L244" t="str">
        <f>IFERROR(IF(VLOOKUP(LEFT(B244,2),'Humanitarian codes'!$A$2:$A$10,1,FALSE)=LEFT(B244,2),"Yes","Error"),"No")</f>
        <v>Yes</v>
      </c>
      <c r="AE244" s="1"/>
      <c r="AF244" s="1"/>
    </row>
    <row r="245" spans="1:32" x14ac:dyDescent="0.25">
      <c r="A245" t="s">
        <v>710</v>
      </c>
      <c r="B245" t="s">
        <v>385</v>
      </c>
      <c r="C245" t="s">
        <v>9</v>
      </c>
      <c r="D245" t="s">
        <v>386</v>
      </c>
      <c r="E245" t="s">
        <v>356</v>
      </c>
      <c r="F245">
        <v>4500473553</v>
      </c>
      <c r="G245" t="s">
        <v>12</v>
      </c>
      <c r="H245" t="s">
        <v>387</v>
      </c>
      <c r="I245" t="s">
        <v>356</v>
      </c>
      <c r="J245" s="1">
        <v>81775</v>
      </c>
      <c r="K245" s="1">
        <v>81775</v>
      </c>
      <c r="L245" t="str">
        <f>IFERROR(IF(VLOOKUP(LEFT(B245,2),'Humanitarian codes'!$A$2:$A$10,1,FALSE)=LEFT(B245,2),"Yes","Error"),"No")</f>
        <v>Yes</v>
      </c>
      <c r="AE245" s="1"/>
      <c r="AF245" s="1"/>
    </row>
    <row r="246" spans="1:32" x14ac:dyDescent="0.25">
      <c r="A246" t="s">
        <v>710</v>
      </c>
      <c r="B246" t="s">
        <v>388</v>
      </c>
      <c r="C246" t="s">
        <v>9</v>
      </c>
      <c r="D246" t="s">
        <v>389</v>
      </c>
      <c r="E246" t="s">
        <v>175</v>
      </c>
      <c r="F246">
        <v>4500476657</v>
      </c>
      <c r="G246" t="s">
        <v>12</v>
      </c>
      <c r="H246" t="s">
        <v>390</v>
      </c>
      <c r="I246" t="s">
        <v>175</v>
      </c>
      <c r="J246" s="1">
        <v>131128.23000000001</v>
      </c>
      <c r="K246" s="1">
        <v>131128.23000000001</v>
      </c>
      <c r="L246" t="str">
        <f>IFERROR(IF(VLOOKUP(LEFT(B246,2),'Humanitarian codes'!$A$2:$A$10,1,FALSE)=LEFT(B246,2),"Yes","Error"),"No")</f>
        <v>Yes</v>
      </c>
      <c r="AE246" s="1"/>
      <c r="AF246" s="1"/>
    </row>
    <row r="247" spans="1:32" x14ac:dyDescent="0.25">
      <c r="A247" t="s">
        <v>710</v>
      </c>
      <c r="B247" t="s">
        <v>391</v>
      </c>
      <c r="C247" t="s">
        <v>9</v>
      </c>
      <c r="D247" t="s">
        <v>392</v>
      </c>
      <c r="E247" t="s">
        <v>68</v>
      </c>
      <c r="F247">
        <v>4500455485</v>
      </c>
      <c r="G247" t="s">
        <v>12</v>
      </c>
      <c r="H247" t="s">
        <v>69</v>
      </c>
      <c r="I247" t="s">
        <v>68</v>
      </c>
      <c r="J247" s="1">
        <v>96170.4</v>
      </c>
      <c r="K247" s="1">
        <v>96170.4</v>
      </c>
      <c r="L247" t="str">
        <f>IFERROR(IF(VLOOKUP(LEFT(B247,2),'Humanitarian codes'!$A$2:$A$10,1,FALSE)=LEFT(B247,2),"Yes","Error"),"No")</f>
        <v>Yes</v>
      </c>
      <c r="AE247" s="1"/>
      <c r="AF247" s="1"/>
    </row>
    <row r="248" spans="1:32" x14ac:dyDescent="0.25">
      <c r="A248" t="s">
        <v>710</v>
      </c>
      <c r="B248" t="s">
        <v>393</v>
      </c>
      <c r="C248" t="s">
        <v>9</v>
      </c>
      <c r="D248" t="s">
        <v>394</v>
      </c>
      <c r="E248" t="s">
        <v>175</v>
      </c>
      <c r="F248">
        <v>4500481924</v>
      </c>
      <c r="G248" t="s">
        <v>12</v>
      </c>
      <c r="H248" t="s">
        <v>395</v>
      </c>
      <c r="I248" t="s">
        <v>175</v>
      </c>
      <c r="J248" s="1">
        <v>203221.76000000001</v>
      </c>
      <c r="K248" s="1">
        <v>203221.76000000001</v>
      </c>
      <c r="L248" t="str">
        <f>IFERROR(IF(VLOOKUP(LEFT(B248,2),'Humanitarian codes'!$A$2:$A$10,1,FALSE)=LEFT(B248,2),"Yes","Error"),"No")</f>
        <v>Yes</v>
      </c>
      <c r="AE248" s="1"/>
      <c r="AF248" s="1"/>
    </row>
    <row r="249" spans="1:32" hidden="1" x14ac:dyDescent="0.25">
      <c r="A249" t="s">
        <v>710</v>
      </c>
      <c r="B249" t="s">
        <v>396</v>
      </c>
      <c r="C249" t="s">
        <v>30</v>
      </c>
      <c r="D249" t="s">
        <v>397</v>
      </c>
      <c r="E249" t="s">
        <v>150</v>
      </c>
      <c r="F249">
        <v>4500470709</v>
      </c>
      <c r="G249" t="s">
        <v>12</v>
      </c>
      <c r="H249" t="s">
        <v>398</v>
      </c>
      <c r="I249" t="s">
        <v>150</v>
      </c>
      <c r="J249" s="1">
        <v>8020.42</v>
      </c>
      <c r="K249" s="1">
        <v>80204.160000000003</v>
      </c>
      <c r="L249" t="str">
        <f>IFERROR(IF(VLOOKUP(LEFT(B249,2),'Humanitarian codes'!$A$2:$A$10,1,FALSE)=LEFT(B249,2),"Yes","Error"),"No")</f>
        <v>No</v>
      </c>
      <c r="AE249" s="1"/>
      <c r="AF249" s="1"/>
    </row>
    <row r="250" spans="1:32" hidden="1" x14ac:dyDescent="0.25">
      <c r="A250" t="s">
        <v>710</v>
      </c>
      <c r="B250" t="s">
        <v>399</v>
      </c>
      <c r="C250" t="s">
        <v>30</v>
      </c>
      <c r="D250" t="s">
        <v>400</v>
      </c>
      <c r="E250" t="s">
        <v>146</v>
      </c>
      <c r="F250">
        <v>4500457063</v>
      </c>
      <c r="G250" t="s">
        <v>12</v>
      </c>
      <c r="H250" t="s">
        <v>401</v>
      </c>
      <c r="I250" t="s">
        <v>402</v>
      </c>
      <c r="J250" s="1">
        <v>489043.87</v>
      </c>
      <c r="K250" s="1">
        <v>489043.87</v>
      </c>
      <c r="L250" t="str">
        <f>IFERROR(IF(VLOOKUP(LEFT(B250,2),'Humanitarian codes'!$A$2:$A$10,1,FALSE)=LEFT(B250,2),"Yes","Error"),"No")</f>
        <v>No</v>
      </c>
      <c r="AE250" s="1"/>
      <c r="AF250" s="1"/>
    </row>
    <row r="251" spans="1:32" hidden="1" x14ac:dyDescent="0.25">
      <c r="A251" t="s">
        <v>710</v>
      </c>
      <c r="B251" t="s">
        <v>399</v>
      </c>
      <c r="C251" t="s">
        <v>30</v>
      </c>
      <c r="D251" t="s">
        <v>400</v>
      </c>
      <c r="E251" t="s">
        <v>146</v>
      </c>
      <c r="F251">
        <v>4500458008</v>
      </c>
      <c r="G251" t="s">
        <v>12</v>
      </c>
      <c r="H251" t="s">
        <v>403</v>
      </c>
      <c r="I251" t="s">
        <v>146</v>
      </c>
      <c r="J251" s="1">
        <v>37878</v>
      </c>
      <c r="K251" s="1">
        <v>37878</v>
      </c>
      <c r="L251" t="str">
        <f>IFERROR(IF(VLOOKUP(LEFT(B251,2),'Humanitarian codes'!$A$2:$A$10,1,FALSE)=LEFT(B251,2),"Yes","Error"),"No")</f>
        <v>No</v>
      </c>
      <c r="AE251" s="1"/>
      <c r="AF251" s="1"/>
    </row>
    <row r="252" spans="1:32" hidden="1" x14ac:dyDescent="0.25">
      <c r="A252" t="s">
        <v>710</v>
      </c>
      <c r="B252" t="s">
        <v>404</v>
      </c>
      <c r="C252" t="s">
        <v>30</v>
      </c>
      <c r="D252" t="s">
        <v>405</v>
      </c>
      <c r="E252" t="s">
        <v>128</v>
      </c>
      <c r="F252">
        <v>4500460172</v>
      </c>
      <c r="G252" t="s">
        <v>12</v>
      </c>
      <c r="H252" t="s">
        <v>406</v>
      </c>
      <c r="I252" t="s">
        <v>96</v>
      </c>
      <c r="J252" s="1">
        <v>18618</v>
      </c>
      <c r="K252" s="1">
        <v>18618</v>
      </c>
      <c r="L252" t="str">
        <f>IFERROR(IF(VLOOKUP(LEFT(B252,2),'Humanitarian codes'!$A$2:$A$10,1,FALSE)=LEFT(B252,2),"Yes","Error"),"No")</f>
        <v>No</v>
      </c>
      <c r="AE252" s="1"/>
      <c r="AF252" s="1"/>
    </row>
    <row r="253" spans="1:32" hidden="1" x14ac:dyDescent="0.25">
      <c r="A253" t="s">
        <v>710</v>
      </c>
      <c r="B253" t="s">
        <v>407</v>
      </c>
      <c r="C253" t="s">
        <v>30</v>
      </c>
      <c r="D253" t="s">
        <v>408</v>
      </c>
      <c r="E253" t="s">
        <v>54</v>
      </c>
      <c r="F253">
        <v>4500480525</v>
      </c>
      <c r="G253" t="s">
        <v>12</v>
      </c>
      <c r="H253" t="s">
        <v>56</v>
      </c>
      <c r="I253" t="s">
        <v>54</v>
      </c>
      <c r="J253" s="1">
        <v>4954.6099999999997</v>
      </c>
      <c r="K253" s="1">
        <v>49546.14</v>
      </c>
      <c r="L253" t="str">
        <f>IFERROR(IF(VLOOKUP(LEFT(B253,2),'Humanitarian codes'!$A$2:$A$10,1,FALSE)=LEFT(B253,2),"Yes","Error"),"No")</f>
        <v>No</v>
      </c>
      <c r="AE253" s="1"/>
      <c r="AF253" s="1"/>
    </row>
    <row r="254" spans="1:32" hidden="1" x14ac:dyDescent="0.25">
      <c r="A254" t="s">
        <v>710</v>
      </c>
      <c r="B254" t="s">
        <v>407</v>
      </c>
      <c r="C254" t="s">
        <v>30</v>
      </c>
      <c r="D254" t="s">
        <v>408</v>
      </c>
      <c r="E254" t="s">
        <v>54</v>
      </c>
      <c r="F254">
        <v>4500480539</v>
      </c>
      <c r="G254" t="s">
        <v>12</v>
      </c>
      <c r="H254" t="s">
        <v>57</v>
      </c>
      <c r="I254" t="s">
        <v>54</v>
      </c>
      <c r="J254" s="1">
        <v>9018.4</v>
      </c>
      <c r="K254" s="1">
        <v>90184</v>
      </c>
      <c r="L254" t="str">
        <f>IFERROR(IF(VLOOKUP(LEFT(B254,2),'Humanitarian codes'!$A$2:$A$10,1,FALSE)=LEFT(B254,2),"Yes","Error"),"No")</f>
        <v>No</v>
      </c>
      <c r="AE254" s="1"/>
      <c r="AF254" s="1"/>
    </row>
    <row r="255" spans="1:32" hidden="1" x14ac:dyDescent="0.25">
      <c r="A255" t="s">
        <v>710</v>
      </c>
      <c r="B255" t="s">
        <v>407</v>
      </c>
      <c r="C255" t="s">
        <v>30</v>
      </c>
      <c r="D255" t="s">
        <v>408</v>
      </c>
      <c r="E255" t="s">
        <v>54</v>
      </c>
      <c r="F255">
        <v>4500481359</v>
      </c>
      <c r="G255" t="s">
        <v>12</v>
      </c>
      <c r="H255" t="s">
        <v>58</v>
      </c>
      <c r="I255" t="s">
        <v>54</v>
      </c>
      <c r="J255" s="1">
        <v>6622.05</v>
      </c>
      <c r="K255" s="1">
        <v>66220.53</v>
      </c>
      <c r="L255" t="str">
        <f>IFERROR(IF(VLOOKUP(LEFT(B255,2),'Humanitarian codes'!$A$2:$A$10,1,FALSE)=LEFT(B255,2),"Yes","Error"),"No")</f>
        <v>No</v>
      </c>
      <c r="AE255" s="1"/>
      <c r="AF255" s="1"/>
    </row>
    <row r="256" spans="1:32" hidden="1" x14ac:dyDescent="0.25">
      <c r="A256" t="s">
        <v>710</v>
      </c>
      <c r="B256" t="s">
        <v>409</v>
      </c>
      <c r="C256" t="s">
        <v>30</v>
      </c>
      <c r="D256" t="s">
        <v>410</v>
      </c>
      <c r="E256" t="s">
        <v>146</v>
      </c>
      <c r="F256">
        <v>4500463591</v>
      </c>
      <c r="G256" t="s">
        <v>12</v>
      </c>
      <c r="H256" t="s">
        <v>411</v>
      </c>
      <c r="I256" t="s">
        <v>146</v>
      </c>
      <c r="J256" s="1">
        <v>125227.57</v>
      </c>
      <c r="K256" s="1">
        <v>125227.57</v>
      </c>
      <c r="L256" t="str">
        <f>IFERROR(IF(VLOOKUP(LEFT(B256,2),'Humanitarian codes'!$A$2:$A$10,1,FALSE)=LEFT(B256,2),"Yes","Error"),"No")</f>
        <v>No</v>
      </c>
      <c r="AE256" s="1"/>
      <c r="AF256" s="1"/>
    </row>
    <row r="257" spans="1:32" hidden="1" x14ac:dyDescent="0.25">
      <c r="A257" t="s">
        <v>710</v>
      </c>
      <c r="B257" t="s">
        <v>409</v>
      </c>
      <c r="C257" t="s">
        <v>30</v>
      </c>
      <c r="D257" t="s">
        <v>410</v>
      </c>
      <c r="E257" t="s">
        <v>146</v>
      </c>
      <c r="F257">
        <v>4500468713</v>
      </c>
      <c r="G257" t="s">
        <v>12</v>
      </c>
      <c r="H257" t="s">
        <v>412</v>
      </c>
      <c r="I257" t="s">
        <v>155</v>
      </c>
      <c r="J257" s="1">
        <v>194798.44</v>
      </c>
      <c r="K257" s="1">
        <v>194798.44</v>
      </c>
      <c r="L257" t="str">
        <f>IFERROR(IF(VLOOKUP(LEFT(B257,2),'Humanitarian codes'!$A$2:$A$10,1,FALSE)=LEFT(B257,2),"Yes","Error"),"No")</f>
        <v>No</v>
      </c>
      <c r="AE257" s="1"/>
      <c r="AF257" s="1"/>
    </row>
    <row r="258" spans="1:32" hidden="1" x14ac:dyDescent="0.25">
      <c r="A258" t="s">
        <v>710</v>
      </c>
      <c r="B258" t="s">
        <v>413</v>
      </c>
      <c r="C258" t="s">
        <v>30</v>
      </c>
      <c r="D258" t="s">
        <v>414</v>
      </c>
      <c r="E258" t="s">
        <v>320</v>
      </c>
      <c r="F258">
        <v>4500456033</v>
      </c>
      <c r="G258" t="s">
        <v>12</v>
      </c>
      <c r="H258" t="s">
        <v>415</v>
      </c>
      <c r="I258" t="s">
        <v>320</v>
      </c>
      <c r="J258" s="1">
        <v>43058</v>
      </c>
      <c r="K258" s="1">
        <v>43058</v>
      </c>
      <c r="L258" t="str">
        <f>IFERROR(IF(VLOOKUP(LEFT(B258,2),'Humanitarian codes'!$A$2:$A$10,1,FALSE)=LEFT(B258,2),"Yes","Error"),"No")</f>
        <v>No</v>
      </c>
      <c r="AE258" s="1"/>
      <c r="AF258" s="1"/>
    </row>
    <row r="259" spans="1:32" hidden="1" x14ac:dyDescent="0.25">
      <c r="A259" t="s">
        <v>710</v>
      </c>
      <c r="B259" t="s">
        <v>416</v>
      </c>
      <c r="C259" t="s">
        <v>30</v>
      </c>
      <c r="D259" t="s">
        <v>417</v>
      </c>
      <c r="E259" t="s">
        <v>54</v>
      </c>
      <c r="F259">
        <v>4500479377</v>
      </c>
      <c r="G259" t="s">
        <v>12</v>
      </c>
      <c r="H259" t="s">
        <v>418</v>
      </c>
      <c r="I259" t="s">
        <v>54</v>
      </c>
      <c r="J259" s="1">
        <v>61365.78</v>
      </c>
      <c r="K259" s="1">
        <v>61365.78</v>
      </c>
      <c r="L259" t="str">
        <f>IFERROR(IF(VLOOKUP(LEFT(B259,2),'Humanitarian codes'!$A$2:$A$10,1,FALSE)=LEFT(B259,2),"Yes","Error"),"No")</f>
        <v>No</v>
      </c>
      <c r="AE259" s="1"/>
      <c r="AF259" s="1"/>
    </row>
    <row r="260" spans="1:32" hidden="1" x14ac:dyDescent="0.25">
      <c r="A260" t="s">
        <v>710</v>
      </c>
      <c r="B260" t="s">
        <v>419</v>
      </c>
      <c r="C260" t="s">
        <v>30</v>
      </c>
      <c r="D260" t="s">
        <v>420</v>
      </c>
      <c r="E260" t="s">
        <v>257</v>
      </c>
      <c r="F260">
        <v>4500454872</v>
      </c>
      <c r="G260" t="s">
        <v>12</v>
      </c>
      <c r="H260" t="s">
        <v>421</v>
      </c>
      <c r="I260" t="s">
        <v>257</v>
      </c>
      <c r="J260" s="1">
        <v>5273.55</v>
      </c>
      <c r="K260" s="1">
        <v>129312.59</v>
      </c>
      <c r="L260" t="str">
        <f>IFERROR(IF(VLOOKUP(LEFT(B260,2),'Humanitarian codes'!$A$2:$A$10,1,FALSE)=LEFT(B260,2),"Yes","Error"),"No")</f>
        <v>No</v>
      </c>
      <c r="AE260" s="1"/>
      <c r="AF260" s="1"/>
    </row>
    <row r="261" spans="1:32" hidden="1" x14ac:dyDescent="0.25">
      <c r="A261" t="s">
        <v>710</v>
      </c>
      <c r="B261" t="s">
        <v>419</v>
      </c>
      <c r="C261" t="s">
        <v>30</v>
      </c>
      <c r="D261" t="s">
        <v>420</v>
      </c>
      <c r="E261" t="s">
        <v>257</v>
      </c>
      <c r="F261">
        <v>4500454893</v>
      </c>
      <c r="G261" t="s">
        <v>12</v>
      </c>
      <c r="H261" t="s">
        <v>422</v>
      </c>
      <c r="I261" t="s">
        <v>257</v>
      </c>
      <c r="J261" s="1">
        <v>4992.6099999999997</v>
      </c>
      <c r="K261" s="1">
        <v>83159.7</v>
      </c>
      <c r="L261" t="str">
        <f>IFERROR(IF(VLOOKUP(LEFT(B261,2),'Humanitarian codes'!$A$2:$A$10,1,FALSE)=LEFT(B261,2),"Yes","Error"),"No")</f>
        <v>No</v>
      </c>
      <c r="AE261" s="1"/>
      <c r="AF261" s="1"/>
    </row>
    <row r="262" spans="1:32" hidden="1" x14ac:dyDescent="0.25">
      <c r="A262" t="s">
        <v>710</v>
      </c>
      <c r="B262" t="s">
        <v>419</v>
      </c>
      <c r="C262" t="s">
        <v>30</v>
      </c>
      <c r="D262" t="s">
        <v>420</v>
      </c>
      <c r="E262" t="s">
        <v>257</v>
      </c>
      <c r="F262">
        <v>4500454896</v>
      </c>
      <c r="G262" t="s">
        <v>12</v>
      </c>
      <c r="H262" t="s">
        <v>421</v>
      </c>
      <c r="I262" t="s">
        <v>257</v>
      </c>
      <c r="J262" s="1">
        <v>27622.09</v>
      </c>
      <c r="K262" s="1">
        <v>27622.09</v>
      </c>
      <c r="L262" t="str">
        <f>IFERROR(IF(VLOOKUP(LEFT(B262,2),'Humanitarian codes'!$A$2:$A$10,1,FALSE)=LEFT(B262,2),"Yes","Error"),"No")</f>
        <v>No</v>
      </c>
      <c r="AE262" s="1"/>
      <c r="AF262" s="1"/>
    </row>
    <row r="263" spans="1:32" hidden="1" x14ac:dyDescent="0.25">
      <c r="A263" t="s">
        <v>710</v>
      </c>
      <c r="B263" t="s">
        <v>419</v>
      </c>
      <c r="C263" t="s">
        <v>30</v>
      </c>
      <c r="D263" t="s">
        <v>420</v>
      </c>
      <c r="E263" t="s">
        <v>257</v>
      </c>
      <c r="F263">
        <v>4500472797</v>
      </c>
      <c r="G263" t="s">
        <v>12</v>
      </c>
      <c r="H263" t="s">
        <v>423</v>
      </c>
      <c r="I263" t="s">
        <v>257</v>
      </c>
      <c r="J263" s="1">
        <v>34006.720000000001</v>
      </c>
      <c r="K263" s="1">
        <v>34006.720000000001</v>
      </c>
      <c r="L263" t="str">
        <f>IFERROR(IF(VLOOKUP(LEFT(B263,2),'Humanitarian codes'!$A$2:$A$10,1,FALSE)=LEFT(B263,2),"Yes","Error"),"No")</f>
        <v>No</v>
      </c>
      <c r="AE263" s="1"/>
      <c r="AF263" s="1"/>
    </row>
    <row r="264" spans="1:32" hidden="1" x14ac:dyDescent="0.25">
      <c r="A264" t="s">
        <v>710</v>
      </c>
      <c r="B264" t="s">
        <v>419</v>
      </c>
      <c r="C264" t="s">
        <v>30</v>
      </c>
      <c r="D264" t="s">
        <v>420</v>
      </c>
      <c r="E264" t="s">
        <v>257</v>
      </c>
      <c r="F264">
        <v>4500472810</v>
      </c>
      <c r="G264" t="s">
        <v>12</v>
      </c>
      <c r="H264" t="s">
        <v>424</v>
      </c>
      <c r="I264" t="s">
        <v>257</v>
      </c>
      <c r="J264" s="1">
        <v>38864.81</v>
      </c>
      <c r="K264" s="1">
        <v>38864.81</v>
      </c>
      <c r="L264" t="str">
        <f>IFERROR(IF(VLOOKUP(LEFT(B264,2),'Humanitarian codes'!$A$2:$A$10,1,FALSE)=LEFT(B264,2),"Yes","Error"),"No")</f>
        <v>No</v>
      </c>
      <c r="AE264" s="1"/>
      <c r="AF264" s="1"/>
    </row>
    <row r="265" spans="1:32" hidden="1" x14ac:dyDescent="0.25">
      <c r="A265" t="s">
        <v>710</v>
      </c>
      <c r="B265" t="s">
        <v>425</v>
      </c>
      <c r="C265" t="s">
        <v>30</v>
      </c>
      <c r="D265" t="s">
        <v>426</v>
      </c>
      <c r="E265" t="s">
        <v>109</v>
      </c>
      <c r="F265">
        <v>4500477699</v>
      </c>
      <c r="G265" t="s">
        <v>12</v>
      </c>
      <c r="H265" t="s">
        <v>112</v>
      </c>
      <c r="I265" t="s">
        <v>109</v>
      </c>
      <c r="J265" s="1">
        <v>3476.8</v>
      </c>
      <c r="K265" s="1">
        <v>34767.870000000003</v>
      </c>
      <c r="L265" t="str">
        <f>IFERROR(IF(VLOOKUP(LEFT(B265,2),'Humanitarian codes'!$A$2:$A$10,1,FALSE)=LEFT(B265,2),"Yes","Error"),"No")</f>
        <v>No</v>
      </c>
      <c r="AE265" s="1"/>
      <c r="AF265" s="1"/>
    </row>
    <row r="266" spans="1:32" hidden="1" x14ac:dyDescent="0.25">
      <c r="A266" t="s">
        <v>710</v>
      </c>
      <c r="B266" t="s">
        <v>425</v>
      </c>
      <c r="C266" t="s">
        <v>30</v>
      </c>
      <c r="D266" t="s">
        <v>426</v>
      </c>
      <c r="E266" t="s">
        <v>109</v>
      </c>
      <c r="F266">
        <v>4500477723</v>
      </c>
      <c r="G266" t="s">
        <v>12</v>
      </c>
      <c r="H266" t="s">
        <v>112</v>
      </c>
      <c r="I266" t="s">
        <v>109</v>
      </c>
      <c r="J266" s="1">
        <v>3375.8</v>
      </c>
      <c r="K266" s="1">
        <v>33758</v>
      </c>
      <c r="L266" t="str">
        <f>IFERROR(IF(VLOOKUP(LEFT(B266,2),'Humanitarian codes'!$A$2:$A$10,1,FALSE)=LEFT(B266,2),"Yes","Error"),"No")</f>
        <v>No</v>
      </c>
      <c r="AE266" s="1"/>
      <c r="AF266" s="1"/>
    </row>
    <row r="267" spans="1:32" hidden="1" x14ac:dyDescent="0.25">
      <c r="A267" t="s">
        <v>710</v>
      </c>
      <c r="B267" t="s">
        <v>425</v>
      </c>
      <c r="C267" t="s">
        <v>30</v>
      </c>
      <c r="D267" t="s">
        <v>426</v>
      </c>
      <c r="E267" t="s">
        <v>109</v>
      </c>
      <c r="F267">
        <v>4500477733</v>
      </c>
      <c r="G267" t="s">
        <v>12</v>
      </c>
      <c r="H267" t="s">
        <v>112</v>
      </c>
      <c r="I267" t="s">
        <v>109</v>
      </c>
      <c r="J267" s="1">
        <v>2895.56</v>
      </c>
      <c r="K267" s="1">
        <v>28955.58</v>
      </c>
      <c r="L267" t="str">
        <f>IFERROR(IF(VLOOKUP(LEFT(B267,2),'Humanitarian codes'!$A$2:$A$10,1,FALSE)=LEFT(B267,2),"Yes","Error"),"No")</f>
        <v>No</v>
      </c>
      <c r="AE267" s="1"/>
      <c r="AF267" s="1"/>
    </row>
    <row r="268" spans="1:32" hidden="1" x14ac:dyDescent="0.25">
      <c r="A268" t="s">
        <v>710</v>
      </c>
      <c r="B268" t="s">
        <v>425</v>
      </c>
      <c r="C268" t="s">
        <v>30</v>
      </c>
      <c r="D268" t="s">
        <v>426</v>
      </c>
      <c r="E268" t="s">
        <v>109</v>
      </c>
      <c r="F268">
        <v>4500477737</v>
      </c>
      <c r="G268" t="s">
        <v>12</v>
      </c>
      <c r="H268" t="s">
        <v>114</v>
      </c>
      <c r="I268" t="s">
        <v>109</v>
      </c>
      <c r="J268" s="1">
        <v>2129.5300000000002</v>
      </c>
      <c r="K268" s="1">
        <v>21295.21</v>
      </c>
      <c r="L268" t="str">
        <f>IFERROR(IF(VLOOKUP(LEFT(B268,2),'Humanitarian codes'!$A$2:$A$10,1,FALSE)=LEFT(B268,2),"Yes","Error"),"No")</f>
        <v>No</v>
      </c>
      <c r="AE268" s="1"/>
      <c r="AF268" s="1"/>
    </row>
    <row r="269" spans="1:32" hidden="1" x14ac:dyDescent="0.25">
      <c r="A269" t="s">
        <v>710</v>
      </c>
      <c r="B269" t="s">
        <v>425</v>
      </c>
      <c r="C269" t="s">
        <v>30</v>
      </c>
      <c r="D269" t="s">
        <v>426</v>
      </c>
      <c r="E269" t="s">
        <v>109</v>
      </c>
      <c r="F269">
        <v>4500477743</v>
      </c>
      <c r="G269" t="s">
        <v>12</v>
      </c>
      <c r="H269" t="s">
        <v>115</v>
      </c>
      <c r="I269" t="s">
        <v>109</v>
      </c>
      <c r="J269" s="1">
        <v>1875.8</v>
      </c>
      <c r="K269" s="1">
        <v>18757.98</v>
      </c>
      <c r="L269" t="str">
        <f>IFERROR(IF(VLOOKUP(LEFT(B269,2),'Humanitarian codes'!$A$2:$A$10,1,FALSE)=LEFT(B269,2),"Yes","Error"),"No")</f>
        <v>No</v>
      </c>
      <c r="AE269" s="1"/>
      <c r="AF269" s="1"/>
    </row>
    <row r="270" spans="1:32" hidden="1" x14ac:dyDescent="0.25">
      <c r="A270" t="s">
        <v>710</v>
      </c>
      <c r="B270" t="s">
        <v>425</v>
      </c>
      <c r="C270" t="s">
        <v>30</v>
      </c>
      <c r="D270" t="s">
        <v>426</v>
      </c>
      <c r="E270" t="s">
        <v>109</v>
      </c>
      <c r="F270">
        <v>4500477745</v>
      </c>
      <c r="G270" t="s">
        <v>12</v>
      </c>
      <c r="H270" t="s">
        <v>115</v>
      </c>
      <c r="I270" t="s">
        <v>109</v>
      </c>
      <c r="J270" s="1">
        <v>2911.47</v>
      </c>
      <c r="K270" s="1">
        <v>29114.81</v>
      </c>
      <c r="L270" t="str">
        <f>IFERROR(IF(VLOOKUP(LEFT(B270,2),'Humanitarian codes'!$A$2:$A$10,1,FALSE)=LEFT(B270,2),"Yes","Error"),"No")</f>
        <v>No</v>
      </c>
      <c r="AE270" s="1"/>
      <c r="AF270" s="1"/>
    </row>
    <row r="271" spans="1:32" hidden="1" x14ac:dyDescent="0.25">
      <c r="A271" t="s">
        <v>710</v>
      </c>
      <c r="B271" t="s">
        <v>425</v>
      </c>
      <c r="C271" t="s">
        <v>30</v>
      </c>
      <c r="D271" t="s">
        <v>426</v>
      </c>
      <c r="E271" t="s">
        <v>109</v>
      </c>
      <c r="F271">
        <v>4500477749</v>
      </c>
      <c r="G271" t="s">
        <v>12</v>
      </c>
      <c r="H271" t="s">
        <v>116</v>
      </c>
      <c r="I271" t="s">
        <v>109</v>
      </c>
      <c r="J271" s="1">
        <v>2489.5300000000002</v>
      </c>
      <c r="K271" s="1">
        <v>24895.360000000001</v>
      </c>
      <c r="L271" t="str">
        <f>IFERROR(IF(VLOOKUP(LEFT(B271,2),'Humanitarian codes'!$A$2:$A$10,1,FALSE)=LEFT(B271,2),"Yes","Error"),"No")</f>
        <v>No</v>
      </c>
      <c r="AE271" s="1"/>
      <c r="AF271" s="1"/>
    </row>
    <row r="272" spans="1:32" hidden="1" x14ac:dyDescent="0.25">
      <c r="A272" t="s">
        <v>710</v>
      </c>
      <c r="B272" t="s">
        <v>425</v>
      </c>
      <c r="C272" t="s">
        <v>30</v>
      </c>
      <c r="D272" t="s">
        <v>426</v>
      </c>
      <c r="E272" t="s">
        <v>109</v>
      </c>
      <c r="F272">
        <v>4500477840</v>
      </c>
      <c r="G272" t="s">
        <v>12</v>
      </c>
      <c r="H272" t="s">
        <v>118</v>
      </c>
      <c r="I272" t="s">
        <v>109</v>
      </c>
      <c r="J272" s="1">
        <v>2865.14</v>
      </c>
      <c r="K272" s="1">
        <v>28651.38</v>
      </c>
      <c r="L272" t="str">
        <f>IFERROR(IF(VLOOKUP(LEFT(B272,2),'Humanitarian codes'!$A$2:$A$10,1,FALSE)=LEFT(B272,2),"Yes","Error"),"No")</f>
        <v>No</v>
      </c>
      <c r="AE272" s="1"/>
      <c r="AF272" s="1"/>
    </row>
    <row r="273" spans="1:32" hidden="1" x14ac:dyDescent="0.25">
      <c r="A273" t="s">
        <v>710</v>
      </c>
      <c r="B273" t="s">
        <v>425</v>
      </c>
      <c r="C273" t="s">
        <v>30</v>
      </c>
      <c r="D273" t="s">
        <v>426</v>
      </c>
      <c r="E273" t="s">
        <v>109</v>
      </c>
      <c r="F273">
        <v>4500477846</v>
      </c>
      <c r="G273" t="s">
        <v>12</v>
      </c>
      <c r="H273" t="s">
        <v>119</v>
      </c>
      <c r="I273" t="s">
        <v>109</v>
      </c>
      <c r="J273" s="1">
        <v>2759.03</v>
      </c>
      <c r="K273" s="1">
        <v>27590.35</v>
      </c>
      <c r="L273" t="str">
        <f>IFERROR(IF(VLOOKUP(LEFT(B273,2),'Humanitarian codes'!$A$2:$A$10,1,FALSE)=LEFT(B273,2),"Yes","Error"),"No")</f>
        <v>No</v>
      </c>
      <c r="AE273" s="1"/>
      <c r="AF273" s="1"/>
    </row>
    <row r="274" spans="1:32" hidden="1" x14ac:dyDescent="0.25">
      <c r="A274" t="s">
        <v>710</v>
      </c>
      <c r="B274" t="s">
        <v>425</v>
      </c>
      <c r="C274" t="s">
        <v>30</v>
      </c>
      <c r="D274" t="s">
        <v>426</v>
      </c>
      <c r="E274" t="s">
        <v>109</v>
      </c>
      <c r="F274">
        <v>4500477858</v>
      </c>
      <c r="G274" t="s">
        <v>12</v>
      </c>
      <c r="H274" t="s">
        <v>115</v>
      </c>
      <c r="I274" t="s">
        <v>109</v>
      </c>
      <c r="J274" s="1">
        <v>4649.13</v>
      </c>
      <c r="K274" s="1">
        <v>46491.25</v>
      </c>
      <c r="L274" t="str">
        <f>IFERROR(IF(VLOOKUP(LEFT(B274,2),'Humanitarian codes'!$A$2:$A$10,1,FALSE)=LEFT(B274,2),"Yes","Error"),"No")</f>
        <v>No</v>
      </c>
      <c r="AE274" s="1"/>
      <c r="AF274" s="1"/>
    </row>
    <row r="275" spans="1:32" hidden="1" x14ac:dyDescent="0.25">
      <c r="A275" t="s">
        <v>710</v>
      </c>
      <c r="B275" t="s">
        <v>425</v>
      </c>
      <c r="C275" t="s">
        <v>30</v>
      </c>
      <c r="D275" t="s">
        <v>426</v>
      </c>
      <c r="E275" t="s">
        <v>109</v>
      </c>
      <c r="F275">
        <v>4500477864</v>
      </c>
      <c r="G275" t="s">
        <v>12</v>
      </c>
      <c r="H275" t="s">
        <v>116</v>
      </c>
      <c r="I275" t="s">
        <v>109</v>
      </c>
      <c r="J275" s="1">
        <v>3021.59</v>
      </c>
      <c r="K275" s="1">
        <v>30215.89</v>
      </c>
      <c r="L275" t="str">
        <f>IFERROR(IF(VLOOKUP(LEFT(B275,2),'Humanitarian codes'!$A$2:$A$10,1,FALSE)=LEFT(B275,2),"Yes","Error"),"No")</f>
        <v>No</v>
      </c>
      <c r="AE275" s="1"/>
      <c r="AF275" s="1"/>
    </row>
    <row r="276" spans="1:32" hidden="1" x14ac:dyDescent="0.25">
      <c r="A276" t="s">
        <v>710</v>
      </c>
      <c r="B276" t="s">
        <v>425</v>
      </c>
      <c r="C276" t="s">
        <v>30</v>
      </c>
      <c r="D276" t="s">
        <v>426</v>
      </c>
      <c r="E276" t="s">
        <v>109</v>
      </c>
      <c r="F276">
        <v>4500477868</v>
      </c>
      <c r="G276" t="s">
        <v>12</v>
      </c>
      <c r="H276" t="s">
        <v>120</v>
      </c>
      <c r="I276" t="s">
        <v>109</v>
      </c>
      <c r="J276" s="1">
        <v>6349.3</v>
      </c>
      <c r="K276" s="1">
        <v>63493.1</v>
      </c>
      <c r="L276" t="str">
        <f>IFERROR(IF(VLOOKUP(LEFT(B276,2),'Humanitarian codes'!$A$2:$A$10,1,FALSE)=LEFT(B276,2),"Yes","Error"),"No")</f>
        <v>No</v>
      </c>
      <c r="AE276" s="1"/>
      <c r="AF276" s="1"/>
    </row>
    <row r="277" spans="1:32" hidden="1" x14ac:dyDescent="0.25">
      <c r="A277" t="s">
        <v>710</v>
      </c>
      <c r="B277" t="s">
        <v>427</v>
      </c>
      <c r="C277" t="s">
        <v>30</v>
      </c>
      <c r="D277" t="s">
        <v>428</v>
      </c>
      <c r="E277" t="s">
        <v>54</v>
      </c>
      <c r="F277">
        <v>4500456767</v>
      </c>
      <c r="G277" t="s">
        <v>12</v>
      </c>
      <c r="H277" t="s">
        <v>267</v>
      </c>
      <c r="I277" t="s">
        <v>54</v>
      </c>
      <c r="J277" s="1">
        <v>58487.81</v>
      </c>
      <c r="K277" s="1">
        <v>389918.75</v>
      </c>
      <c r="L277" t="str">
        <f>IFERROR(IF(VLOOKUP(LEFT(B277,2),'Humanitarian codes'!$A$2:$A$10,1,FALSE)=LEFT(B277,2),"Yes","Error"),"No")</f>
        <v>No</v>
      </c>
      <c r="AE277" s="1"/>
      <c r="AF277" s="1"/>
    </row>
    <row r="278" spans="1:32" hidden="1" x14ac:dyDescent="0.25">
      <c r="A278" t="s">
        <v>710</v>
      </c>
      <c r="B278" t="s">
        <v>427</v>
      </c>
      <c r="C278" t="s">
        <v>30</v>
      </c>
      <c r="D278" t="s">
        <v>428</v>
      </c>
      <c r="E278" t="s">
        <v>54</v>
      </c>
      <c r="F278">
        <v>4500465043</v>
      </c>
      <c r="G278" t="s">
        <v>12</v>
      </c>
      <c r="H278" t="s">
        <v>272</v>
      </c>
      <c r="I278" t="s">
        <v>54</v>
      </c>
      <c r="J278" s="1">
        <v>25013.97</v>
      </c>
      <c r="K278" s="1">
        <v>166759.78</v>
      </c>
      <c r="L278" t="str">
        <f>IFERROR(IF(VLOOKUP(LEFT(B278,2),'Humanitarian codes'!$A$2:$A$10,1,FALSE)=LEFT(B278,2),"Yes","Error"),"No")</f>
        <v>No</v>
      </c>
      <c r="AE278" s="1"/>
      <c r="AF278" s="1"/>
    </row>
    <row r="279" spans="1:32" hidden="1" x14ac:dyDescent="0.25">
      <c r="A279" t="s">
        <v>710</v>
      </c>
      <c r="B279" t="s">
        <v>429</v>
      </c>
      <c r="C279" t="s">
        <v>30</v>
      </c>
      <c r="D279" t="s">
        <v>430</v>
      </c>
      <c r="E279" t="s">
        <v>123</v>
      </c>
      <c r="F279">
        <v>4500468683</v>
      </c>
      <c r="G279" t="s">
        <v>12</v>
      </c>
      <c r="H279" t="s">
        <v>431</v>
      </c>
      <c r="I279" t="s">
        <v>123</v>
      </c>
      <c r="J279" s="1">
        <v>41000</v>
      </c>
      <c r="K279" s="1">
        <v>41000</v>
      </c>
      <c r="L279" t="str">
        <f>IFERROR(IF(VLOOKUP(LEFT(B279,2),'Humanitarian codes'!$A$2:$A$10,1,FALSE)=LEFT(B279,2),"Yes","Error"),"No")</f>
        <v>No</v>
      </c>
      <c r="AE279" s="1"/>
      <c r="AF279" s="1"/>
    </row>
    <row r="280" spans="1:32" hidden="1" x14ac:dyDescent="0.25">
      <c r="A280" t="s">
        <v>710</v>
      </c>
      <c r="B280" t="s">
        <v>429</v>
      </c>
      <c r="C280" t="s">
        <v>30</v>
      </c>
      <c r="D280" t="s">
        <v>430</v>
      </c>
      <c r="E280" t="s">
        <v>123</v>
      </c>
      <c r="F280">
        <v>4500470286</v>
      </c>
      <c r="G280" t="s">
        <v>12</v>
      </c>
      <c r="H280" t="s">
        <v>432</v>
      </c>
      <c r="I280" t="s">
        <v>123</v>
      </c>
      <c r="J280" s="1">
        <v>100989.9</v>
      </c>
      <c r="K280" s="1">
        <v>100989.9</v>
      </c>
      <c r="L280" t="str">
        <f>IFERROR(IF(VLOOKUP(LEFT(B280,2),'Humanitarian codes'!$A$2:$A$10,1,FALSE)=LEFT(B280,2),"Yes","Error"),"No")</f>
        <v>No</v>
      </c>
      <c r="AE280" s="1"/>
      <c r="AF280" s="1"/>
    </row>
    <row r="281" spans="1:32" hidden="1" x14ac:dyDescent="0.25">
      <c r="A281" t="s">
        <v>710</v>
      </c>
      <c r="B281" t="s">
        <v>429</v>
      </c>
      <c r="C281" t="s">
        <v>30</v>
      </c>
      <c r="D281" t="s">
        <v>430</v>
      </c>
      <c r="E281" t="s">
        <v>123</v>
      </c>
      <c r="F281">
        <v>4500471823</v>
      </c>
      <c r="G281" t="s">
        <v>12</v>
      </c>
      <c r="H281" t="s">
        <v>433</v>
      </c>
      <c r="I281" t="s">
        <v>123</v>
      </c>
      <c r="J281" s="1">
        <v>158116.21</v>
      </c>
      <c r="K281" s="1">
        <v>158116.21</v>
      </c>
      <c r="L281" t="str">
        <f>IFERROR(IF(VLOOKUP(LEFT(B281,2),'Humanitarian codes'!$A$2:$A$10,1,FALSE)=LEFT(B281,2),"Yes","Error"),"No")</f>
        <v>No</v>
      </c>
      <c r="AE281" s="1"/>
      <c r="AF281" s="1"/>
    </row>
    <row r="282" spans="1:32" hidden="1" x14ac:dyDescent="0.25">
      <c r="A282" t="s">
        <v>710</v>
      </c>
      <c r="B282" t="s">
        <v>434</v>
      </c>
      <c r="C282" t="s">
        <v>30</v>
      </c>
      <c r="D282" t="s">
        <v>435</v>
      </c>
      <c r="E282" t="s">
        <v>128</v>
      </c>
      <c r="F282">
        <v>4500472362</v>
      </c>
      <c r="G282" t="s">
        <v>12</v>
      </c>
      <c r="H282" t="s">
        <v>436</v>
      </c>
      <c r="I282" t="s">
        <v>128</v>
      </c>
      <c r="J282" s="1">
        <v>425665</v>
      </c>
      <c r="K282" s="1">
        <v>425665</v>
      </c>
      <c r="L282" t="str">
        <f>IFERROR(IF(VLOOKUP(LEFT(B282,2),'Humanitarian codes'!$A$2:$A$10,1,FALSE)=LEFT(B282,2),"Yes","Error"),"No")</f>
        <v>No</v>
      </c>
      <c r="AE282" s="1"/>
      <c r="AF282" s="1"/>
    </row>
    <row r="283" spans="1:32" hidden="1" x14ac:dyDescent="0.25">
      <c r="A283" t="s">
        <v>710</v>
      </c>
      <c r="B283" t="s">
        <v>437</v>
      </c>
      <c r="C283" t="s">
        <v>30</v>
      </c>
      <c r="D283" t="s">
        <v>438</v>
      </c>
      <c r="E283" t="s">
        <v>146</v>
      </c>
      <c r="F283">
        <v>4500478129</v>
      </c>
      <c r="G283" t="s">
        <v>12</v>
      </c>
      <c r="H283" t="s">
        <v>439</v>
      </c>
      <c r="I283" t="s">
        <v>146</v>
      </c>
      <c r="J283" s="1">
        <v>326300</v>
      </c>
      <c r="K283" s="1">
        <v>326300</v>
      </c>
      <c r="L283" t="str">
        <f>IFERROR(IF(VLOOKUP(LEFT(B283,2),'Humanitarian codes'!$A$2:$A$10,1,FALSE)=LEFT(B283,2),"Yes","Error"),"No")</f>
        <v>No</v>
      </c>
      <c r="AE283" s="1"/>
      <c r="AF283" s="1"/>
    </row>
    <row r="284" spans="1:32" hidden="1" x14ac:dyDescent="0.25">
      <c r="A284" t="s">
        <v>710</v>
      </c>
      <c r="B284" t="s">
        <v>437</v>
      </c>
      <c r="C284" t="s">
        <v>30</v>
      </c>
      <c r="D284" t="s">
        <v>438</v>
      </c>
      <c r="E284" t="s">
        <v>146</v>
      </c>
      <c r="F284">
        <v>4500478131</v>
      </c>
      <c r="G284" t="s">
        <v>12</v>
      </c>
      <c r="H284" t="s">
        <v>440</v>
      </c>
      <c r="I284" t="s">
        <v>146</v>
      </c>
      <c r="J284" s="1">
        <v>326300</v>
      </c>
      <c r="K284" s="1">
        <v>326300</v>
      </c>
      <c r="L284" t="str">
        <f>IFERROR(IF(VLOOKUP(LEFT(B284,2),'Humanitarian codes'!$A$2:$A$10,1,FALSE)=LEFT(B284,2),"Yes","Error"),"No")</f>
        <v>No</v>
      </c>
      <c r="AE284" s="1"/>
      <c r="AF284" s="1"/>
    </row>
    <row r="285" spans="1:32" hidden="1" x14ac:dyDescent="0.25">
      <c r="A285" t="s">
        <v>710</v>
      </c>
      <c r="B285" t="s">
        <v>441</v>
      </c>
      <c r="C285" t="s">
        <v>30</v>
      </c>
      <c r="D285" t="s">
        <v>442</v>
      </c>
      <c r="E285" t="s">
        <v>253</v>
      </c>
      <c r="F285">
        <v>4500481807</v>
      </c>
      <c r="G285" t="s">
        <v>12</v>
      </c>
      <c r="H285" t="s">
        <v>156</v>
      </c>
      <c r="I285" t="s">
        <v>184</v>
      </c>
      <c r="J285" s="1">
        <v>400000</v>
      </c>
      <c r="K285" s="1">
        <v>400000</v>
      </c>
      <c r="L285" t="str">
        <f>IFERROR(IF(VLOOKUP(LEFT(B285,2),'Humanitarian codes'!$A$2:$A$10,1,FALSE)=LEFT(B285,2),"Yes","Error"),"No")</f>
        <v>No</v>
      </c>
      <c r="AE285" s="1"/>
      <c r="AF285" s="1"/>
    </row>
    <row r="286" spans="1:32" x14ac:dyDescent="0.25">
      <c r="A286" t="s">
        <v>710</v>
      </c>
      <c r="B286" t="s">
        <v>443</v>
      </c>
      <c r="C286" t="s">
        <v>30</v>
      </c>
      <c r="D286" t="s">
        <v>444</v>
      </c>
      <c r="E286" t="s">
        <v>155</v>
      </c>
      <c r="F286">
        <v>4500469054</v>
      </c>
      <c r="G286" t="s">
        <v>12</v>
      </c>
      <c r="H286" t="s">
        <v>335</v>
      </c>
      <c r="I286" t="s">
        <v>155</v>
      </c>
      <c r="J286" s="1">
        <v>72000</v>
      </c>
      <c r="K286" s="1">
        <v>72000</v>
      </c>
      <c r="L286" t="str">
        <f>IFERROR(IF(VLOOKUP(LEFT(B286,2),'Humanitarian codes'!$A$2:$A$10,1,FALSE)=LEFT(B286,2),"Yes","Error"),"No")</f>
        <v>Yes</v>
      </c>
      <c r="AE286" s="1"/>
      <c r="AF286" s="1"/>
    </row>
    <row r="287" spans="1:32" x14ac:dyDescent="0.25">
      <c r="A287" t="s">
        <v>710</v>
      </c>
      <c r="B287" t="s">
        <v>445</v>
      </c>
      <c r="C287" t="s">
        <v>30</v>
      </c>
      <c r="D287" t="s">
        <v>446</v>
      </c>
      <c r="E287" t="s">
        <v>257</v>
      </c>
      <c r="F287">
        <v>4500454872</v>
      </c>
      <c r="G287" t="s">
        <v>12</v>
      </c>
      <c r="H287" t="s">
        <v>421</v>
      </c>
      <c r="I287" t="s">
        <v>257</v>
      </c>
      <c r="J287" s="1">
        <v>124039.03999999999</v>
      </c>
      <c r="K287" s="1">
        <v>129312.59</v>
      </c>
      <c r="L287" t="str">
        <f>IFERROR(IF(VLOOKUP(LEFT(B287,2),'Humanitarian codes'!$A$2:$A$10,1,FALSE)=LEFT(B287,2),"Yes","Error"),"No")</f>
        <v>Yes</v>
      </c>
      <c r="AE287" s="1"/>
      <c r="AF287" s="1"/>
    </row>
    <row r="288" spans="1:32" x14ac:dyDescent="0.25">
      <c r="A288" t="s">
        <v>710</v>
      </c>
      <c r="B288" t="s">
        <v>445</v>
      </c>
      <c r="C288" t="s">
        <v>30</v>
      </c>
      <c r="D288" t="s">
        <v>446</v>
      </c>
      <c r="E288" t="s">
        <v>257</v>
      </c>
      <c r="F288">
        <v>4500454882</v>
      </c>
      <c r="G288" t="s">
        <v>12</v>
      </c>
      <c r="H288" t="s">
        <v>422</v>
      </c>
      <c r="I288" t="s">
        <v>257</v>
      </c>
      <c r="J288" s="1">
        <v>122020.96</v>
      </c>
      <c r="K288" s="1">
        <v>122020.96</v>
      </c>
      <c r="L288" t="str">
        <f>IFERROR(IF(VLOOKUP(LEFT(B288,2),'Humanitarian codes'!$A$2:$A$10,1,FALSE)=LEFT(B288,2),"Yes","Error"),"No")</f>
        <v>Yes</v>
      </c>
      <c r="AE288" s="1"/>
      <c r="AF288" s="1"/>
    </row>
    <row r="289" spans="1:32" x14ac:dyDescent="0.25">
      <c r="A289" t="s">
        <v>710</v>
      </c>
      <c r="B289" t="s">
        <v>447</v>
      </c>
      <c r="C289" t="s">
        <v>30</v>
      </c>
      <c r="D289" t="s">
        <v>448</v>
      </c>
      <c r="E289" t="s">
        <v>449</v>
      </c>
      <c r="F289">
        <v>4500468631</v>
      </c>
      <c r="G289" t="s">
        <v>12</v>
      </c>
      <c r="H289" t="s">
        <v>450</v>
      </c>
      <c r="I289" t="s">
        <v>449</v>
      </c>
      <c r="J289" s="1">
        <v>837376.72</v>
      </c>
      <c r="K289" s="1">
        <v>837376.72</v>
      </c>
      <c r="L289" t="str">
        <f>IFERROR(IF(VLOOKUP(LEFT(B289,2),'Humanitarian codes'!$A$2:$A$10,1,FALSE)=LEFT(B289,2),"Yes","Error"),"No")</f>
        <v>Yes</v>
      </c>
      <c r="AE289" s="1"/>
      <c r="AF289" s="1"/>
    </row>
    <row r="290" spans="1:32" x14ac:dyDescent="0.25">
      <c r="A290" t="s">
        <v>710</v>
      </c>
      <c r="B290" t="s">
        <v>447</v>
      </c>
      <c r="C290" t="s">
        <v>30</v>
      </c>
      <c r="D290" t="s">
        <v>448</v>
      </c>
      <c r="E290" t="s">
        <v>449</v>
      </c>
      <c r="F290">
        <v>4500469096</v>
      </c>
      <c r="G290" t="s">
        <v>12</v>
      </c>
      <c r="H290" t="s">
        <v>451</v>
      </c>
      <c r="I290" t="s">
        <v>449</v>
      </c>
      <c r="J290" s="1">
        <v>211717.47</v>
      </c>
      <c r="K290" s="1">
        <v>211717.47</v>
      </c>
      <c r="L290" t="str">
        <f>IFERROR(IF(VLOOKUP(LEFT(B290,2),'Humanitarian codes'!$A$2:$A$10,1,FALSE)=LEFT(B290,2),"Yes","Error"),"No")</f>
        <v>Yes</v>
      </c>
      <c r="AE290" s="1"/>
      <c r="AF290" s="1"/>
    </row>
    <row r="291" spans="1:32" x14ac:dyDescent="0.25">
      <c r="A291" t="s">
        <v>710</v>
      </c>
      <c r="B291" t="s">
        <v>447</v>
      </c>
      <c r="C291" t="s">
        <v>30</v>
      </c>
      <c r="D291" t="s">
        <v>448</v>
      </c>
      <c r="E291" t="s">
        <v>449</v>
      </c>
      <c r="F291">
        <v>4500480765</v>
      </c>
      <c r="G291" t="s">
        <v>12</v>
      </c>
      <c r="H291" t="s">
        <v>452</v>
      </c>
      <c r="I291" t="s">
        <v>449</v>
      </c>
      <c r="J291" s="1">
        <v>579279.72</v>
      </c>
      <c r="K291" s="1">
        <v>579279.72</v>
      </c>
      <c r="L291" t="str">
        <f>IFERROR(IF(VLOOKUP(LEFT(B291,2),'Humanitarian codes'!$A$2:$A$10,1,FALSE)=LEFT(B291,2),"Yes","Error"),"No")</f>
        <v>Yes</v>
      </c>
      <c r="AE291" s="1"/>
      <c r="AF291" s="1"/>
    </row>
    <row r="292" spans="1:32" hidden="1" x14ac:dyDescent="0.25">
      <c r="A292" t="s">
        <v>710</v>
      </c>
      <c r="B292" t="s">
        <v>453</v>
      </c>
      <c r="C292" t="s">
        <v>30</v>
      </c>
      <c r="D292" t="s">
        <v>454</v>
      </c>
      <c r="E292" t="s">
        <v>20</v>
      </c>
      <c r="F292">
        <v>4500455615</v>
      </c>
      <c r="G292" t="s">
        <v>12</v>
      </c>
      <c r="H292" t="s">
        <v>455</v>
      </c>
      <c r="I292" t="s">
        <v>20</v>
      </c>
      <c r="J292" s="1">
        <v>33081.800000000003</v>
      </c>
      <c r="K292" s="1">
        <v>33081.800000000003</v>
      </c>
      <c r="L292" t="str">
        <f>IFERROR(IF(VLOOKUP(LEFT(B292,2),'Humanitarian codes'!$A$2:$A$10,1,FALSE)=LEFT(B292,2),"Yes","Error"),"No")</f>
        <v>No</v>
      </c>
      <c r="AE292" s="1"/>
      <c r="AF292" s="1"/>
    </row>
    <row r="293" spans="1:32" hidden="1" x14ac:dyDescent="0.25">
      <c r="A293" t="s">
        <v>710</v>
      </c>
      <c r="B293" t="s">
        <v>456</v>
      </c>
      <c r="C293" t="s">
        <v>30</v>
      </c>
      <c r="D293" t="s">
        <v>457</v>
      </c>
      <c r="E293" t="s">
        <v>193</v>
      </c>
      <c r="F293">
        <v>4500454812</v>
      </c>
      <c r="G293" t="s">
        <v>12</v>
      </c>
      <c r="H293" t="s">
        <v>458</v>
      </c>
      <c r="I293" t="s">
        <v>193</v>
      </c>
      <c r="J293" s="1">
        <v>100000</v>
      </c>
      <c r="K293" s="1">
        <v>100000</v>
      </c>
      <c r="L293" t="str">
        <f>IFERROR(IF(VLOOKUP(LEFT(B293,2),'Humanitarian codes'!$A$2:$A$10,1,FALSE)=LEFT(B293,2),"Yes","Error"),"No")</f>
        <v>No</v>
      </c>
      <c r="AE293" s="1"/>
      <c r="AF293" s="1"/>
    </row>
    <row r="294" spans="1:32" hidden="1" x14ac:dyDescent="0.25">
      <c r="A294" t="s">
        <v>710</v>
      </c>
      <c r="B294" t="s">
        <v>459</v>
      </c>
      <c r="C294" t="s">
        <v>30</v>
      </c>
      <c r="D294" t="s">
        <v>460</v>
      </c>
      <c r="E294" t="s">
        <v>132</v>
      </c>
      <c r="F294">
        <v>4500460261</v>
      </c>
      <c r="G294" t="s">
        <v>12</v>
      </c>
      <c r="H294" t="s">
        <v>461</v>
      </c>
      <c r="I294" t="s">
        <v>132</v>
      </c>
      <c r="J294" s="1">
        <v>5127402.88</v>
      </c>
      <c r="K294" s="1">
        <v>5127402.88</v>
      </c>
      <c r="L294" t="str">
        <f>IFERROR(IF(VLOOKUP(LEFT(B294,2),'Humanitarian codes'!$A$2:$A$10,1,FALSE)=LEFT(B294,2),"Yes","Error"),"No")</f>
        <v>No</v>
      </c>
      <c r="AE294" s="1"/>
      <c r="AF294" s="1"/>
    </row>
    <row r="295" spans="1:32" hidden="1" x14ac:dyDescent="0.25">
      <c r="A295" t="s">
        <v>710</v>
      </c>
      <c r="B295" t="s">
        <v>459</v>
      </c>
      <c r="C295" t="s">
        <v>30</v>
      </c>
      <c r="D295" t="s">
        <v>460</v>
      </c>
      <c r="E295" t="s">
        <v>132</v>
      </c>
      <c r="F295">
        <v>4500460317</v>
      </c>
      <c r="G295" t="s">
        <v>12</v>
      </c>
      <c r="H295" t="s">
        <v>462</v>
      </c>
      <c r="I295" t="s">
        <v>463</v>
      </c>
      <c r="J295" s="1">
        <v>5131123.96</v>
      </c>
      <c r="K295" s="1">
        <v>5131123.96</v>
      </c>
      <c r="L295" t="str">
        <f>IFERROR(IF(VLOOKUP(LEFT(B295,2),'Humanitarian codes'!$A$2:$A$10,1,FALSE)=LEFT(B295,2),"Yes","Error"),"No")</f>
        <v>No</v>
      </c>
      <c r="AE295" s="1"/>
      <c r="AF295" s="1"/>
    </row>
    <row r="296" spans="1:32" hidden="1" x14ac:dyDescent="0.25">
      <c r="A296" t="s">
        <v>710</v>
      </c>
      <c r="B296" t="s">
        <v>459</v>
      </c>
      <c r="C296" t="s">
        <v>30</v>
      </c>
      <c r="D296" t="s">
        <v>460</v>
      </c>
      <c r="E296" t="s">
        <v>132</v>
      </c>
      <c r="F296">
        <v>4500470274</v>
      </c>
      <c r="G296" t="s">
        <v>12</v>
      </c>
      <c r="H296" t="s">
        <v>464</v>
      </c>
      <c r="I296" t="s">
        <v>132</v>
      </c>
      <c r="J296" s="1">
        <v>4971799.13</v>
      </c>
      <c r="K296" s="1">
        <v>4971799.13</v>
      </c>
      <c r="L296" t="str">
        <f>IFERROR(IF(VLOOKUP(LEFT(B296,2),'Humanitarian codes'!$A$2:$A$10,1,FALSE)=LEFT(B296,2),"Yes","Error"),"No")</f>
        <v>No</v>
      </c>
      <c r="AE296" s="1"/>
      <c r="AF296" s="1"/>
    </row>
    <row r="297" spans="1:32" hidden="1" x14ac:dyDescent="0.25">
      <c r="A297" t="s">
        <v>710</v>
      </c>
      <c r="B297" t="s">
        <v>465</v>
      </c>
      <c r="C297" t="s">
        <v>466</v>
      </c>
      <c r="D297" t="s">
        <v>467</v>
      </c>
      <c r="E297" t="s">
        <v>210</v>
      </c>
      <c r="F297">
        <v>4500468546</v>
      </c>
      <c r="G297" t="s">
        <v>12</v>
      </c>
      <c r="H297" t="s">
        <v>468</v>
      </c>
      <c r="I297" t="s">
        <v>210</v>
      </c>
      <c r="J297" s="1">
        <v>289232.13</v>
      </c>
      <c r="K297" s="1">
        <v>289232.13</v>
      </c>
      <c r="L297" t="str">
        <f>IFERROR(IF(VLOOKUP(LEFT(B297,2),'Humanitarian codes'!$A$2:$A$10,1,FALSE)=LEFT(B297,2),"Yes","Error"),"No")</f>
        <v>No</v>
      </c>
      <c r="AE297" s="1"/>
      <c r="AF297" s="1"/>
    </row>
    <row r="298" spans="1:32" hidden="1" x14ac:dyDescent="0.25">
      <c r="A298" t="s">
        <v>710</v>
      </c>
      <c r="B298" t="s">
        <v>465</v>
      </c>
      <c r="C298" t="s">
        <v>466</v>
      </c>
      <c r="D298" t="s">
        <v>467</v>
      </c>
      <c r="E298" t="s">
        <v>210</v>
      </c>
      <c r="F298">
        <v>4500474800</v>
      </c>
      <c r="G298" t="s">
        <v>12</v>
      </c>
      <c r="H298" t="s">
        <v>211</v>
      </c>
      <c r="I298" t="s">
        <v>210</v>
      </c>
      <c r="J298" s="1">
        <v>168263.52</v>
      </c>
      <c r="K298" s="1">
        <v>168263.52</v>
      </c>
      <c r="L298" t="str">
        <f>IFERROR(IF(VLOOKUP(LEFT(B298,2),'Humanitarian codes'!$A$2:$A$10,1,FALSE)=LEFT(B298,2),"Yes","Error"),"No")</f>
        <v>No</v>
      </c>
      <c r="AE298" s="1"/>
      <c r="AF298" s="1"/>
    </row>
    <row r="299" spans="1:32" hidden="1" x14ac:dyDescent="0.25">
      <c r="A299" t="s">
        <v>710</v>
      </c>
      <c r="B299" t="s">
        <v>469</v>
      </c>
      <c r="C299" t="s">
        <v>466</v>
      </c>
      <c r="D299" t="s">
        <v>470</v>
      </c>
      <c r="E299" t="s">
        <v>289</v>
      </c>
      <c r="F299">
        <v>4500467079</v>
      </c>
      <c r="G299" t="s">
        <v>12</v>
      </c>
      <c r="H299" t="s">
        <v>471</v>
      </c>
      <c r="I299" t="s">
        <v>289</v>
      </c>
      <c r="J299" s="1">
        <v>32534.71</v>
      </c>
      <c r="K299" s="1">
        <v>32534.71</v>
      </c>
      <c r="L299" t="str">
        <f>IFERROR(IF(VLOOKUP(LEFT(B299,2),'Humanitarian codes'!$A$2:$A$10,1,FALSE)=LEFT(B299,2),"Yes","Error"),"No")</f>
        <v>No</v>
      </c>
      <c r="AE299" s="1"/>
      <c r="AF299" s="1"/>
    </row>
    <row r="300" spans="1:32" hidden="1" x14ac:dyDescent="0.25">
      <c r="A300" t="s">
        <v>710</v>
      </c>
      <c r="B300" t="s">
        <v>472</v>
      </c>
      <c r="C300" t="s">
        <v>466</v>
      </c>
      <c r="D300" t="s">
        <v>473</v>
      </c>
      <c r="E300" t="s">
        <v>474</v>
      </c>
      <c r="F300">
        <v>4500460700</v>
      </c>
      <c r="G300" t="s">
        <v>12</v>
      </c>
      <c r="H300" t="s">
        <v>475</v>
      </c>
      <c r="I300" t="s">
        <v>474</v>
      </c>
      <c r="J300" s="1">
        <v>4823.46</v>
      </c>
      <c r="K300" s="1">
        <v>4823.46</v>
      </c>
      <c r="L300" t="str">
        <f>IFERROR(IF(VLOOKUP(LEFT(B300,2),'Humanitarian codes'!$A$2:$A$10,1,FALSE)=LEFT(B300,2),"Yes","Error"),"No")</f>
        <v>No</v>
      </c>
      <c r="AE300" s="1"/>
      <c r="AF300" s="1"/>
    </row>
    <row r="301" spans="1:32" hidden="1" x14ac:dyDescent="0.25">
      <c r="A301" t="s">
        <v>710</v>
      </c>
      <c r="B301" t="s">
        <v>472</v>
      </c>
      <c r="C301" t="s">
        <v>466</v>
      </c>
      <c r="D301" t="s">
        <v>473</v>
      </c>
      <c r="E301" t="s">
        <v>150</v>
      </c>
      <c r="F301">
        <v>4500470709</v>
      </c>
      <c r="G301" t="s">
        <v>12</v>
      </c>
      <c r="H301" t="s">
        <v>398</v>
      </c>
      <c r="I301" t="s">
        <v>150</v>
      </c>
      <c r="J301" s="1">
        <v>72183.740000000005</v>
      </c>
      <c r="K301" s="1">
        <v>80204.160000000003</v>
      </c>
      <c r="L301" t="str">
        <f>IFERROR(IF(VLOOKUP(LEFT(B301,2),'Humanitarian codes'!$A$2:$A$10,1,FALSE)=LEFT(B301,2),"Yes","Error"),"No")</f>
        <v>No</v>
      </c>
      <c r="AE301" s="1"/>
      <c r="AF301" s="1"/>
    </row>
    <row r="302" spans="1:32" hidden="1" x14ac:dyDescent="0.25">
      <c r="A302" t="s">
        <v>710</v>
      </c>
      <c r="B302" t="s">
        <v>472</v>
      </c>
      <c r="C302" t="s">
        <v>466</v>
      </c>
      <c r="D302" t="s">
        <v>473</v>
      </c>
      <c r="E302" t="s">
        <v>150</v>
      </c>
      <c r="F302">
        <v>4500476356</v>
      </c>
      <c r="G302" t="s">
        <v>12</v>
      </c>
      <c r="H302" t="s">
        <v>476</v>
      </c>
      <c r="I302" t="s">
        <v>150</v>
      </c>
      <c r="J302" s="1">
        <v>259205.42</v>
      </c>
      <c r="K302" s="1">
        <v>259205.42</v>
      </c>
      <c r="L302" t="str">
        <f>IFERROR(IF(VLOOKUP(LEFT(B302,2),'Humanitarian codes'!$A$2:$A$10,1,FALSE)=LEFT(B302,2),"Yes","Error"),"No")</f>
        <v>No</v>
      </c>
      <c r="AE302" s="1"/>
      <c r="AF302" s="1"/>
    </row>
    <row r="303" spans="1:32" hidden="1" x14ac:dyDescent="0.25">
      <c r="A303" t="s">
        <v>710</v>
      </c>
      <c r="B303" t="s">
        <v>472</v>
      </c>
      <c r="C303" t="s">
        <v>466</v>
      </c>
      <c r="D303" t="s">
        <v>473</v>
      </c>
      <c r="E303" t="s">
        <v>477</v>
      </c>
      <c r="F303">
        <v>4500467571</v>
      </c>
      <c r="G303" t="s">
        <v>12</v>
      </c>
      <c r="H303" t="s">
        <v>478</v>
      </c>
      <c r="I303" t="s">
        <v>477</v>
      </c>
      <c r="J303" s="1">
        <v>39924.660000000003</v>
      </c>
      <c r="K303" s="1">
        <v>39924.660000000003</v>
      </c>
      <c r="L303" t="str">
        <f>IFERROR(IF(VLOOKUP(LEFT(B303,2),'Humanitarian codes'!$A$2:$A$10,1,FALSE)=LEFT(B303,2),"Yes","Error"),"No")</f>
        <v>No</v>
      </c>
      <c r="AE303" s="1"/>
      <c r="AF303" s="1"/>
    </row>
    <row r="304" spans="1:32" hidden="1" x14ac:dyDescent="0.25">
      <c r="A304" t="s">
        <v>710</v>
      </c>
      <c r="B304" t="s">
        <v>479</v>
      </c>
      <c r="C304" t="s">
        <v>466</v>
      </c>
      <c r="D304" t="s">
        <v>480</v>
      </c>
      <c r="E304" t="s">
        <v>481</v>
      </c>
      <c r="F304">
        <v>4500479394</v>
      </c>
      <c r="G304" t="s">
        <v>12</v>
      </c>
      <c r="H304" t="s">
        <v>482</v>
      </c>
      <c r="I304" t="s">
        <v>481</v>
      </c>
      <c r="J304" s="1">
        <v>7379.75</v>
      </c>
      <c r="K304" s="1">
        <v>7379.75</v>
      </c>
      <c r="L304" t="str">
        <f>IFERROR(IF(VLOOKUP(LEFT(B304,2),'Humanitarian codes'!$A$2:$A$10,1,FALSE)=LEFT(B304,2),"Yes","Error"),"No")</f>
        <v>No</v>
      </c>
      <c r="AE304" s="1"/>
      <c r="AF304" s="1"/>
    </row>
    <row r="305" spans="1:32" hidden="1" x14ac:dyDescent="0.25">
      <c r="A305" t="s">
        <v>710</v>
      </c>
      <c r="B305" t="s">
        <v>483</v>
      </c>
      <c r="C305" t="s">
        <v>484</v>
      </c>
      <c r="D305" t="s">
        <v>485</v>
      </c>
      <c r="E305" t="s">
        <v>486</v>
      </c>
      <c r="F305">
        <v>4500466331</v>
      </c>
      <c r="G305" t="s">
        <v>12</v>
      </c>
      <c r="H305" t="s">
        <v>487</v>
      </c>
      <c r="I305" t="s">
        <v>488</v>
      </c>
      <c r="J305" s="1">
        <v>148777</v>
      </c>
      <c r="K305" s="1">
        <v>148777</v>
      </c>
      <c r="L305" t="str">
        <f>IFERROR(IF(VLOOKUP(LEFT(B305,2),'Humanitarian codes'!$A$2:$A$10,1,FALSE)=LEFT(B305,2),"Yes","Error"),"No")</f>
        <v>No</v>
      </c>
      <c r="AE305" s="1"/>
      <c r="AF305" s="1"/>
    </row>
    <row r="306" spans="1:32" hidden="1" x14ac:dyDescent="0.25">
      <c r="A306" t="s">
        <v>710</v>
      </c>
      <c r="B306" t="s">
        <v>489</v>
      </c>
      <c r="C306" t="s">
        <v>484</v>
      </c>
      <c r="D306" t="s">
        <v>490</v>
      </c>
      <c r="E306" t="s">
        <v>96</v>
      </c>
      <c r="F306">
        <v>4500460469</v>
      </c>
      <c r="G306" t="s">
        <v>12</v>
      </c>
      <c r="H306" t="s">
        <v>156</v>
      </c>
      <c r="I306" t="s">
        <v>184</v>
      </c>
      <c r="J306" s="1">
        <v>79015</v>
      </c>
      <c r="K306" s="1">
        <v>761000</v>
      </c>
      <c r="L306" t="str">
        <f>IFERROR(IF(VLOOKUP(LEFT(B306,2),'Humanitarian codes'!$A$2:$A$10,1,FALSE)=LEFT(B306,2),"Yes","Error"),"No")</f>
        <v>No</v>
      </c>
      <c r="AE306" s="1"/>
      <c r="AF306" s="1"/>
    </row>
    <row r="307" spans="1:32" hidden="1" x14ac:dyDescent="0.25">
      <c r="A307" t="s">
        <v>710</v>
      </c>
      <c r="B307" t="s">
        <v>491</v>
      </c>
      <c r="C307" t="s">
        <v>466</v>
      </c>
      <c r="D307" t="s">
        <v>492</v>
      </c>
      <c r="E307" t="s">
        <v>493</v>
      </c>
      <c r="F307">
        <v>4500457377</v>
      </c>
      <c r="G307" t="s">
        <v>12</v>
      </c>
      <c r="H307" t="s">
        <v>494</v>
      </c>
      <c r="I307" t="s">
        <v>493</v>
      </c>
      <c r="J307" s="1">
        <v>32397.72</v>
      </c>
      <c r="K307" s="1">
        <v>32397.72</v>
      </c>
      <c r="L307" t="str">
        <f>IFERROR(IF(VLOOKUP(LEFT(B307,2),'Humanitarian codes'!$A$2:$A$10,1,FALSE)=LEFT(B307,2),"Yes","Error"),"No")</f>
        <v>No</v>
      </c>
      <c r="AE307" s="1"/>
      <c r="AF307" s="1"/>
    </row>
    <row r="308" spans="1:32" hidden="1" x14ac:dyDescent="0.25">
      <c r="A308" t="s">
        <v>710</v>
      </c>
      <c r="B308" t="s">
        <v>495</v>
      </c>
      <c r="C308" t="s">
        <v>466</v>
      </c>
      <c r="D308" t="s">
        <v>496</v>
      </c>
      <c r="E308" t="s">
        <v>163</v>
      </c>
      <c r="F308">
        <v>4500464063</v>
      </c>
      <c r="G308" t="s">
        <v>12</v>
      </c>
      <c r="H308" t="s">
        <v>497</v>
      </c>
      <c r="I308" t="s">
        <v>163</v>
      </c>
      <c r="J308" s="1">
        <v>30826.27</v>
      </c>
      <c r="K308" s="1">
        <v>30826.27</v>
      </c>
      <c r="L308" t="str">
        <f>IFERROR(IF(VLOOKUP(LEFT(B308,2),'Humanitarian codes'!$A$2:$A$10,1,FALSE)=LEFT(B308,2),"Yes","Error"),"No")</f>
        <v>No</v>
      </c>
      <c r="AE308" s="1"/>
      <c r="AF308" s="1"/>
    </row>
    <row r="309" spans="1:32" hidden="1" x14ac:dyDescent="0.25">
      <c r="A309" t="s">
        <v>710</v>
      </c>
      <c r="B309" t="s">
        <v>495</v>
      </c>
      <c r="C309" t="s">
        <v>466</v>
      </c>
      <c r="D309" t="s">
        <v>496</v>
      </c>
      <c r="E309" t="s">
        <v>163</v>
      </c>
      <c r="F309">
        <v>4500478748</v>
      </c>
      <c r="G309" t="s">
        <v>12</v>
      </c>
      <c r="H309" t="s">
        <v>164</v>
      </c>
      <c r="I309" t="s">
        <v>163</v>
      </c>
      <c r="J309" s="1">
        <v>38794</v>
      </c>
      <c r="K309" s="1">
        <v>55420</v>
      </c>
      <c r="L309" t="str">
        <f>IFERROR(IF(VLOOKUP(LEFT(B309,2),'Humanitarian codes'!$A$2:$A$10,1,FALSE)=LEFT(B309,2),"Yes","Error"),"No")</f>
        <v>No</v>
      </c>
      <c r="AE309" s="1"/>
      <c r="AF309" s="1"/>
    </row>
    <row r="310" spans="1:32" hidden="1" x14ac:dyDescent="0.25">
      <c r="A310" t="s">
        <v>710</v>
      </c>
      <c r="B310" t="s">
        <v>498</v>
      </c>
      <c r="C310" t="s">
        <v>466</v>
      </c>
      <c r="D310" t="s">
        <v>499</v>
      </c>
      <c r="E310" t="s">
        <v>500</v>
      </c>
      <c r="F310">
        <v>4500463951</v>
      </c>
      <c r="G310" t="s">
        <v>12</v>
      </c>
      <c r="H310" t="s">
        <v>501</v>
      </c>
      <c r="I310" t="s">
        <v>500</v>
      </c>
      <c r="J310" s="1">
        <v>35526</v>
      </c>
      <c r="K310" s="1">
        <v>35526</v>
      </c>
      <c r="L310" t="str">
        <f>IFERROR(IF(VLOOKUP(LEFT(B310,2),'Humanitarian codes'!$A$2:$A$10,1,FALSE)=LEFT(B310,2),"Yes","Error"),"No")</f>
        <v>No</v>
      </c>
      <c r="AE310" s="1"/>
      <c r="AF310" s="1"/>
    </row>
    <row r="311" spans="1:32" hidden="1" x14ac:dyDescent="0.25">
      <c r="A311" t="s">
        <v>710</v>
      </c>
      <c r="B311" t="s">
        <v>502</v>
      </c>
      <c r="C311" t="s">
        <v>466</v>
      </c>
      <c r="D311" t="s">
        <v>503</v>
      </c>
      <c r="E311" t="s">
        <v>504</v>
      </c>
      <c r="F311">
        <v>4500481091</v>
      </c>
      <c r="G311" t="s">
        <v>12</v>
      </c>
      <c r="H311" t="s">
        <v>505</v>
      </c>
      <c r="I311" t="s">
        <v>504</v>
      </c>
      <c r="J311" s="1">
        <v>10040.58</v>
      </c>
      <c r="K311" s="1">
        <v>10040.58</v>
      </c>
      <c r="L311" t="str">
        <f>IFERROR(IF(VLOOKUP(LEFT(B311,2),'Humanitarian codes'!$A$2:$A$10,1,FALSE)=LEFT(B311,2),"Yes","Error"),"No")</f>
        <v>No</v>
      </c>
      <c r="AE311" s="1"/>
      <c r="AF311" s="1"/>
    </row>
    <row r="312" spans="1:32" hidden="1" x14ac:dyDescent="0.25">
      <c r="A312" t="s">
        <v>710</v>
      </c>
      <c r="B312" t="s">
        <v>502</v>
      </c>
      <c r="C312" t="s">
        <v>466</v>
      </c>
      <c r="D312" t="s">
        <v>503</v>
      </c>
      <c r="E312" t="s">
        <v>477</v>
      </c>
      <c r="F312">
        <v>4500475411</v>
      </c>
      <c r="G312" t="s">
        <v>12</v>
      </c>
      <c r="H312" t="s">
        <v>506</v>
      </c>
      <c r="I312" t="s">
        <v>477</v>
      </c>
      <c r="J312" s="1">
        <v>38106.839999999997</v>
      </c>
      <c r="K312" s="1">
        <v>38106.839999999997</v>
      </c>
      <c r="L312" t="str">
        <f>IFERROR(IF(VLOOKUP(LEFT(B312,2),'Humanitarian codes'!$A$2:$A$10,1,FALSE)=LEFT(B312,2),"Yes","Error"),"No")</f>
        <v>No</v>
      </c>
      <c r="AE312" s="1"/>
      <c r="AF312" s="1"/>
    </row>
    <row r="313" spans="1:32" hidden="1" x14ac:dyDescent="0.25">
      <c r="A313" t="s">
        <v>710</v>
      </c>
      <c r="B313" t="s">
        <v>507</v>
      </c>
      <c r="C313" t="s">
        <v>466</v>
      </c>
      <c r="D313" t="s">
        <v>508</v>
      </c>
      <c r="E313" t="s">
        <v>509</v>
      </c>
      <c r="F313">
        <v>4500478660</v>
      </c>
      <c r="G313" t="s">
        <v>12</v>
      </c>
      <c r="H313" t="s">
        <v>510</v>
      </c>
      <c r="I313" t="s">
        <v>509</v>
      </c>
      <c r="J313" s="1">
        <v>529787.97</v>
      </c>
      <c r="K313" s="1">
        <v>529787.97</v>
      </c>
      <c r="L313" t="str">
        <f>IFERROR(IF(VLOOKUP(LEFT(B313,2),'Humanitarian codes'!$A$2:$A$10,1,FALSE)=LEFT(B313,2),"Yes","Error"),"No")</f>
        <v>No</v>
      </c>
      <c r="AE313" s="1"/>
      <c r="AF313" s="1"/>
    </row>
    <row r="314" spans="1:32" hidden="1" x14ac:dyDescent="0.25">
      <c r="A314" t="s">
        <v>710</v>
      </c>
      <c r="B314" t="s">
        <v>511</v>
      </c>
      <c r="C314" t="s">
        <v>512</v>
      </c>
      <c r="D314" t="s">
        <v>513</v>
      </c>
      <c r="E314" t="s">
        <v>167</v>
      </c>
      <c r="F314">
        <v>4500462038</v>
      </c>
      <c r="G314" t="s">
        <v>12</v>
      </c>
      <c r="H314" t="s">
        <v>514</v>
      </c>
      <c r="I314" t="s">
        <v>515</v>
      </c>
      <c r="J314" s="1">
        <v>182916.8</v>
      </c>
      <c r="K314" s="1">
        <v>182916.8</v>
      </c>
      <c r="L314" t="str">
        <f>IFERROR(IF(VLOOKUP(LEFT(B314,2),'Humanitarian codes'!$A$2:$A$10,1,FALSE)=LEFT(B314,2),"Yes","Error"),"No")</f>
        <v>No</v>
      </c>
      <c r="AE314" s="1"/>
      <c r="AF314" s="1"/>
    </row>
    <row r="315" spans="1:32" hidden="1" x14ac:dyDescent="0.25">
      <c r="A315" t="s">
        <v>710</v>
      </c>
      <c r="B315" t="s">
        <v>511</v>
      </c>
      <c r="C315" t="s">
        <v>512</v>
      </c>
      <c r="D315" t="s">
        <v>513</v>
      </c>
      <c r="E315" t="s">
        <v>167</v>
      </c>
      <c r="F315">
        <v>4500463431</v>
      </c>
      <c r="G315" t="s">
        <v>12</v>
      </c>
      <c r="H315" t="s">
        <v>516</v>
      </c>
      <c r="I315" t="s">
        <v>167</v>
      </c>
      <c r="J315" s="1">
        <v>225364.53</v>
      </c>
      <c r="K315" s="1">
        <v>225364.53</v>
      </c>
      <c r="L315" t="str">
        <f>IFERROR(IF(VLOOKUP(LEFT(B315,2),'Humanitarian codes'!$A$2:$A$10,1,FALSE)=LEFT(B315,2),"Yes","Error"),"No")</f>
        <v>No</v>
      </c>
      <c r="AE315" s="1"/>
      <c r="AF315" s="1"/>
    </row>
    <row r="316" spans="1:32" hidden="1" x14ac:dyDescent="0.25">
      <c r="A316" t="s">
        <v>710</v>
      </c>
      <c r="B316" t="s">
        <v>511</v>
      </c>
      <c r="C316" t="s">
        <v>512</v>
      </c>
      <c r="D316" t="s">
        <v>513</v>
      </c>
      <c r="E316" t="s">
        <v>167</v>
      </c>
      <c r="F316">
        <v>4500463433</v>
      </c>
      <c r="G316" t="s">
        <v>12</v>
      </c>
      <c r="H316" t="s">
        <v>517</v>
      </c>
      <c r="I316" t="s">
        <v>518</v>
      </c>
      <c r="J316" s="1">
        <v>46596.55</v>
      </c>
      <c r="K316" s="1">
        <v>46596.55</v>
      </c>
      <c r="L316" t="str">
        <f>IFERROR(IF(VLOOKUP(LEFT(B316,2),'Humanitarian codes'!$A$2:$A$10,1,FALSE)=LEFT(B316,2),"Yes","Error"),"No")</f>
        <v>No</v>
      </c>
      <c r="AE316" s="1"/>
      <c r="AF316" s="1"/>
    </row>
    <row r="317" spans="1:32" hidden="1" x14ac:dyDescent="0.25">
      <c r="A317" t="s">
        <v>710</v>
      </c>
      <c r="B317" t="s">
        <v>511</v>
      </c>
      <c r="C317" t="s">
        <v>512</v>
      </c>
      <c r="D317" t="s">
        <v>513</v>
      </c>
      <c r="E317" t="s">
        <v>167</v>
      </c>
      <c r="F317">
        <v>4500463434</v>
      </c>
      <c r="G317" t="s">
        <v>12</v>
      </c>
      <c r="H317" t="s">
        <v>519</v>
      </c>
      <c r="I317" t="s">
        <v>518</v>
      </c>
      <c r="J317" s="1">
        <v>46385.9</v>
      </c>
      <c r="K317" s="1">
        <v>46385.9</v>
      </c>
      <c r="L317" t="str">
        <f>IFERROR(IF(VLOOKUP(LEFT(B317,2),'Humanitarian codes'!$A$2:$A$10,1,FALSE)=LEFT(B317,2),"Yes","Error"),"No")</f>
        <v>No</v>
      </c>
      <c r="AE317" s="1"/>
      <c r="AF317" s="1"/>
    </row>
    <row r="318" spans="1:32" hidden="1" x14ac:dyDescent="0.25">
      <c r="A318" t="s">
        <v>710</v>
      </c>
      <c r="B318" t="s">
        <v>511</v>
      </c>
      <c r="C318" t="s">
        <v>512</v>
      </c>
      <c r="D318" t="s">
        <v>513</v>
      </c>
      <c r="E318" t="s">
        <v>167</v>
      </c>
      <c r="F318">
        <v>4500466655</v>
      </c>
      <c r="G318" t="s">
        <v>12</v>
      </c>
      <c r="H318" t="s">
        <v>520</v>
      </c>
      <c r="I318" t="s">
        <v>167</v>
      </c>
      <c r="J318" s="1">
        <v>146743.69</v>
      </c>
      <c r="K318" s="1">
        <v>146743.69</v>
      </c>
      <c r="L318" t="str">
        <f>IFERROR(IF(VLOOKUP(LEFT(B318,2),'Humanitarian codes'!$A$2:$A$10,1,FALSE)=LEFT(B318,2),"Yes","Error"),"No")</f>
        <v>No</v>
      </c>
      <c r="AE318" s="1"/>
      <c r="AF318" s="1"/>
    </row>
    <row r="319" spans="1:32" hidden="1" x14ac:dyDescent="0.25">
      <c r="A319" t="s">
        <v>710</v>
      </c>
      <c r="B319" t="s">
        <v>511</v>
      </c>
      <c r="C319" t="s">
        <v>512</v>
      </c>
      <c r="D319" t="s">
        <v>513</v>
      </c>
      <c r="E319" t="s">
        <v>167</v>
      </c>
      <c r="F319">
        <v>4500466660</v>
      </c>
      <c r="G319" t="s">
        <v>12</v>
      </c>
      <c r="H319" t="s">
        <v>520</v>
      </c>
      <c r="I319" t="s">
        <v>167</v>
      </c>
      <c r="J319" s="1">
        <v>259314.96</v>
      </c>
      <c r="K319" s="1">
        <v>259314.96</v>
      </c>
      <c r="L319" t="str">
        <f>IFERROR(IF(VLOOKUP(LEFT(B319,2),'Humanitarian codes'!$A$2:$A$10,1,FALSE)=LEFT(B319,2),"Yes","Error"),"No")</f>
        <v>No</v>
      </c>
      <c r="AE319" s="1"/>
      <c r="AF319" s="1"/>
    </row>
    <row r="320" spans="1:32" hidden="1" x14ac:dyDescent="0.25">
      <c r="A320" t="s">
        <v>710</v>
      </c>
      <c r="B320" t="s">
        <v>511</v>
      </c>
      <c r="C320" t="s">
        <v>512</v>
      </c>
      <c r="D320" t="s">
        <v>513</v>
      </c>
      <c r="E320" t="s">
        <v>167</v>
      </c>
      <c r="F320">
        <v>4500467379</v>
      </c>
      <c r="G320" t="s">
        <v>12</v>
      </c>
      <c r="H320" t="s">
        <v>521</v>
      </c>
      <c r="I320" t="s">
        <v>167</v>
      </c>
      <c r="J320" s="1">
        <v>34864.42</v>
      </c>
      <c r="K320" s="1">
        <v>34864.42</v>
      </c>
      <c r="L320" t="str">
        <f>IFERROR(IF(VLOOKUP(LEFT(B320,2),'Humanitarian codes'!$A$2:$A$10,1,FALSE)=LEFT(B320,2),"Yes","Error"),"No")</f>
        <v>No</v>
      </c>
      <c r="AE320" s="1"/>
      <c r="AF320" s="1"/>
    </row>
    <row r="321" spans="1:32" hidden="1" x14ac:dyDescent="0.25">
      <c r="A321" t="s">
        <v>710</v>
      </c>
      <c r="B321" t="s">
        <v>511</v>
      </c>
      <c r="C321" t="s">
        <v>512</v>
      </c>
      <c r="D321" t="s">
        <v>513</v>
      </c>
      <c r="E321" t="s">
        <v>167</v>
      </c>
      <c r="F321">
        <v>4500471640</v>
      </c>
      <c r="G321" t="s">
        <v>12</v>
      </c>
      <c r="H321" t="s">
        <v>522</v>
      </c>
      <c r="I321" t="s">
        <v>523</v>
      </c>
      <c r="J321" s="1">
        <v>479646.35</v>
      </c>
      <c r="K321" s="1">
        <v>479646.35</v>
      </c>
      <c r="L321" t="str">
        <f>IFERROR(IF(VLOOKUP(LEFT(B321,2),'Humanitarian codes'!$A$2:$A$10,1,FALSE)=LEFT(B321,2),"Yes","Error"),"No")</f>
        <v>No</v>
      </c>
      <c r="AE321" s="1"/>
      <c r="AF321" s="1"/>
    </row>
    <row r="322" spans="1:32" hidden="1" x14ac:dyDescent="0.25">
      <c r="A322" t="s">
        <v>710</v>
      </c>
      <c r="B322" t="s">
        <v>524</v>
      </c>
      <c r="C322" t="s">
        <v>512</v>
      </c>
      <c r="D322" t="s">
        <v>525</v>
      </c>
      <c r="E322" t="s">
        <v>25</v>
      </c>
      <c r="F322">
        <v>4500457794</v>
      </c>
      <c r="G322" t="s">
        <v>12</v>
      </c>
      <c r="H322" t="s">
        <v>526</v>
      </c>
      <c r="I322" t="s">
        <v>25</v>
      </c>
      <c r="J322" s="1">
        <v>18279.669999999998</v>
      </c>
      <c r="K322" s="1">
        <v>18279.669999999998</v>
      </c>
      <c r="L322" t="str">
        <f>IFERROR(IF(VLOOKUP(LEFT(B322,2),'Humanitarian codes'!$A$2:$A$10,1,FALSE)=LEFT(B322,2),"Yes","Error"),"No")</f>
        <v>No</v>
      </c>
      <c r="AE322" s="1"/>
      <c r="AF322" s="1"/>
    </row>
    <row r="323" spans="1:32" hidden="1" x14ac:dyDescent="0.25">
      <c r="A323" t="s">
        <v>710</v>
      </c>
      <c r="B323" t="s">
        <v>524</v>
      </c>
      <c r="C323" t="s">
        <v>512</v>
      </c>
      <c r="D323" t="s">
        <v>525</v>
      </c>
      <c r="E323" t="s">
        <v>25</v>
      </c>
      <c r="F323">
        <v>4500475253</v>
      </c>
      <c r="G323" t="s">
        <v>12</v>
      </c>
      <c r="H323" t="s">
        <v>527</v>
      </c>
      <c r="I323" t="s">
        <v>25</v>
      </c>
      <c r="J323" s="1">
        <v>14654.14</v>
      </c>
      <c r="K323" s="1">
        <v>14954.02</v>
      </c>
      <c r="L323" t="str">
        <f>IFERROR(IF(VLOOKUP(LEFT(B323,2),'Humanitarian codes'!$A$2:$A$10,1,FALSE)=LEFT(B323,2),"Yes","Error"),"No")</f>
        <v>No</v>
      </c>
      <c r="AE323" s="1"/>
      <c r="AF323" s="1"/>
    </row>
    <row r="324" spans="1:32" hidden="1" x14ac:dyDescent="0.25">
      <c r="A324" t="s">
        <v>710</v>
      </c>
      <c r="B324" t="s">
        <v>528</v>
      </c>
      <c r="C324" t="s">
        <v>512</v>
      </c>
      <c r="D324" t="s">
        <v>529</v>
      </c>
      <c r="E324" t="s">
        <v>530</v>
      </c>
      <c r="F324">
        <v>4500466945</v>
      </c>
      <c r="G324" t="s">
        <v>12</v>
      </c>
      <c r="H324" t="s">
        <v>531</v>
      </c>
      <c r="I324" t="s">
        <v>530</v>
      </c>
      <c r="J324" s="1">
        <v>20000</v>
      </c>
      <c r="K324" s="1">
        <v>20000</v>
      </c>
      <c r="L324" t="str">
        <f>IFERROR(IF(VLOOKUP(LEFT(B324,2),'Humanitarian codes'!$A$2:$A$10,1,FALSE)=LEFT(B324,2),"Yes","Error"),"No")</f>
        <v>No</v>
      </c>
      <c r="AE324" s="1"/>
      <c r="AF324" s="1"/>
    </row>
    <row r="325" spans="1:32" hidden="1" x14ac:dyDescent="0.25">
      <c r="A325" t="s">
        <v>710</v>
      </c>
      <c r="B325" t="s">
        <v>532</v>
      </c>
      <c r="C325" t="s">
        <v>9</v>
      </c>
      <c r="D325" t="s">
        <v>533</v>
      </c>
      <c r="E325" t="s">
        <v>534</v>
      </c>
      <c r="F325">
        <v>4500480107</v>
      </c>
      <c r="G325" t="s">
        <v>12</v>
      </c>
      <c r="H325" t="s">
        <v>535</v>
      </c>
      <c r="I325" t="s">
        <v>534</v>
      </c>
      <c r="J325" s="1">
        <v>692062.4</v>
      </c>
      <c r="K325" s="1">
        <v>692062.4</v>
      </c>
      <c r="L325" t="str">
        <f>IFERROR(IF(VLOOKUP(LEFT(B325,2),'Humanitarian codes'!$A$2:$A$10,1,FALSE)=LEFT(B325,2),"Yes","Error"),"No")</f>
        <v>No</v>
      </c>
      <c r="AE325" s="1"/>
      <c r="AF325" s="1"/>
    </row>
    <row r="326" spans="1:32" x14ac:dyDescent="0.25">
      <c r="A326" t="s">
        <v>710</v>
      </c>
      <c r="B326" t="s">
        <v>536</v>
      </c>
      <c r="C326" t="s">
        <v>512</v>
      </c>
      <c r="D326" t="s">
        <v>537</v>
      </c>
      <c r="E326" t="s">
        <v>243</v>
      </c>
      <c r="F326">
        <v>4500467133</v>
      </c>
      <c r="G326" t="s">
        <v>12</v>
      </c>
      <c r="H326" t="s">
        <v>538</v>
      </c>
      <c r="I326" t="s">
        <v>243</v>
      </c>
      <c r="J326" s="1">
        <v>150000</v>
      </c>
      <c r="K326" s="1">
        <v>150000</v>
      </c>
      <c r="L326" t="str">
        <f>IFERROR(IF(VLOOKUP(LEFT(B326,2),'Humanitarian codes'!$A$2:$A$10,1,FALSE)=LEFT(B326,2),"Yes","Error"),"No")</f>
        <v>Yes</v>
      </c>
      <c r="AE326" s="1"/>
      <c r="AF326" s="1"/>
    </row>
    <row r="327" spans="1:32" x14ac:dyDescent="0.25">
      <c r="A327" t="s">
        <v>710</v>
      </c>
      <c r="B327" t="s">
        <v>539</v>
      </c>
      <c r="C327" t="s">
        <v>512</v>
      </c>
      <c r="D327" t="s">
        <v>540</v>
      </c>
      <c r="E327" t="s">
        <v>45</v>
      </c>
      <c r="F327">
        <v>4500471888</v>
      </c>
      <c r="G327" t="s">
        <v>12</v>
      </c>
      <c r="H327" t="s">
        <v>541</v>
      </c>
      <c r="I327" t="s">
        <v>45</v>
      </c>
      <c r="J327" s="1">
        <v>100000</v>
      </c>
      <c r="K327" s="1">
        <v>153748</v>
      </c>
      <c r="L327" t="str">
        <f>IFERROR(IF(VLOOKUP(LEFT(B327,2),'Humanitarian codes'!$A$2:$A$10,1,FALSE)=LEFT(B327,2),"Yes","Error"),"No")</f>
        <v>Yes</v>
      </c>
      <c r="AE327" s="1"/>
      <c r="AF327" s="1"/>
    </row>
    <row r="328" spans="1:32" hidden="1" x14ac:dyDescent="0.25">
      <c r="A328" t="s">
        <v>710</v>
      </c>
      <c r="B328" t="s">
        <v>542</v>
      </c>
      <c r="C328" t="s">
        <v>543</v>
      </c>
      <c r="D328" t="s">
        <v>544</v>
      </c>
      <c r="E328" t="s">
        <v>545</v>
      </c>
      <c r="F328">
        <v>4500475010</v>
      </c>
      <c r="G328" t="s">
        <v>12</v>
      </c>
      <c r="H328" t="s">
        <v>546</v>
      </c>
      <c r="I328" t="s">
        <v>545</v>
      </c>
      <c r="J328" s="1">
        <v>2056962.03</v>
      </c>
      <c r="K328" s="1">
        <v>2056962.03</v>
      </c>
      <c r="L328" t="str">
        <f>IFERROR(IF(VLOOKUP(LEFT(B328,2),'Humanitarian codes'!$A$2:$A$10,1,FALSE)=LEFT(B328,2),"Yes","Error"),"No")</f>
        <v>No</v>
      </c>
      <c r="AE328" s="1"/>
      <c r="AF328" s="1"/>
    </row>
    <row r="329" spans="1:32" hidden="1" x14ac:dyDescent="0.25">
      <c r="A329" t="s">
        <v>710</v>
      </c>
      <c r="B329" t="s">
        <v>547</v>
      </c>
      <c r="C329" t="s">
        <v>543</v>
      </c>
      <c r="D329" t="s">
        <v>548</v>
      </c>
      <c r="E329" t="s">
        <v>549</v>
      </c>
      <c r="F329">
        <v>4500455976</v>
      </c>
      <c r="G329" t="s">
        <v>12</v>
      </c>
      <c r="H329" t="s">
        <v>550</v>
      </c>
      <c r="I329" t="s">
        <v>549</v>
      </c>
      <c r="J329" s="1">
        <v>20000</v>
      </c>
      <c r="K329" s="1">
        <v>20000</v>
      </c>
      <c r="L329" t="str">
        <f>IFERROR(IF(VLOOKUP(LEFT(B329,2),'Humanitarian codes'!$A$2:$A$10,1,FALSE)=LEFT(B329,2),"Yes","Error"),"No")</f>
        <v>No</v>
      </c>
      <c r="AE329" s="1"/>
      <c r="AF329" s="1"/>
    </row>
    <row r="330" spans="1:32" hidden="1" x14ac:dyDescent="0.25">
      <c r="A330" t="s">
        <v>710</v>
      </c>
      <c r="B330" t="s">
        <v>547</v>
      </c>
      <c r="C330" t="s">
        <v>543</v>
      </c>
      <c r="D330" t="s">
        <v>548</v>
      </c>
      <c r="E330" t="s">
        <v>549</v>
      </c>
      <c r="F330">
        <v>4500457585</v>
      </c>
      <c r="G330" t="s">
        <v>12</v>
      </c>
      <c r="H330" t="s">
        <v>551</v>
      </c>
      <c r="I330" t="s">
        <v>549</v>
      </c>
      <c r="J330" s="1">
        <v>30000</v>
      </c>
      <c r="K330" s="1">
        <v>30000</v>
      </c>
      <c r="L330" t="str">
        <f>IFERROR(IF(VLOOKUP(LEFT(B330,2),'Humanitarian codes'!$A$2:$A$10,1,FALSE)=LEFT(B330,2),"Yes","Error"),"No")</f>
        <v>No</v>
      </c>
      <c r="AE330" s="1"/>
      <c r="AF330" s="1"/>
    </row>
    <row r="331" spans="1:32" hidden="1" x14ac:dyDescent="0.25">
      <c r="A331" t="s">
        <v>710</v>
      </c>
      <c r="B331" t="s">
        <v>547</v>
      </c>
      <c r="C331" t="s">
        <v>543</v>
      </c>
      <c r="D331" t="s">
        <v>548</v>
      </c>
      <c r="E331" t="s">
        <v>549</v>
      </c>
      <c r="F331">
        <v>4500461194</v>
      </c>
      <c r="G331" t="s">
        <v>12</v>
      </c>
      <c r="H331" t="s">
        <v>552</v>
      </c>
      <c r="I331" t="s">
        <v>549</v>
      </c>
      <c r="J331" s="1">
        <v>45000</v>
      </c>
      <c r="K331" s="1">
        <v>45000</v>
      </c>
      <c r="L331" t="str">
        <f>IFERROR(IF(VLOOKUP(LEFT(B331,2),'Humanitarian codes'!$A$2:$A$10,1,FALSE)=LEFT(B331,2),"Yes","Error"),"No")</f>
        <v>No</v>
      </c>
      <c r="AE331" s="1"/>
      <c r="AF331" s="1"/>
    </row>
    <row r="332" spans="1:32" hidden="1" x14ac:dyDescent="0.25">
      <c r="A332" t="s">
        <v>710</v>
      </c>
      <c r="B332" t="s">
        <v>547</v>
      </c>
      <c r="C332" t="s">
        <v>543</v>
      </c>
      <c r="D332" t="s">
        <v>548</v>
      </c>
      <c r="E332" t="s">
        <v>449</v>
      </c>
      <c r="F332">
        <v>4500461531</v>
      </c>
      <c r="G332" t="s">
        <v>12</v>
      </c>
      <c r="H332" t="s">
        <v>553</v>
      </c>
      <c r="I332" t="s">
        <v>449</v>
      </c>
      <c r="J332" s="1">
        <v>510497</v>
      </c>
      <c r="K332" s="1">
        <v>510497</v>
      </c>
      <c r="L332" t="str">
        <f>IFERROR(IF(VLOOKUP(LEFT(B332,2),'Humanitarian codes'!$A$2:$A$10,1,FALSE)=LEFT(B332,2),"Yes","Error"),"No")</f>
        <v>No</v>
      </c>
      <c r="AE332" s="1"/>
      <c r="AF332" s="1"/>
    </row>
    <row r="333" spans="1:32" hidden="1" x14ac:dyDescent="0.25">
      <c r="A333" t="s">
        <v>710</v>
      </c>
      <c r="B333" t="s">
        <v>547</v>
      </c>
      <c r="C333" t="s">
        <v>543</v>
      </c>
      <c r="D333" t="s">
        <v>548</v>
      </c>
      <c r="E333" t="s">
        <v>350</v>
      </c>
      <c r="F333">
        <v>4500458631</v>
      </c>
      <c r="G333" t="s">
        <v>12</v>
      </c>
      <c r="H333" t="s">
        <v>554</v>
      </c>
      <c r="I333" t="s">
        <v>350</v>
      </c>
      <c r="J333" s="1">
        <v>83525.91</v>
      </c>
      <c r="K333" s="1">
        <v>83525.91</v>
      </c>
      <c r="L333" t="str">
        <f>IFERROR(IF(VLOOKUP(LEFT(B333,2),'Humanitarian codes'!$A$2:$A$10,1,FALSE)=LEFT(B333,2),"Yes","Error"),"No")</f>
        <v>No</v>
      </c>
      <c r="AE333" s="1"/>
      <c r="AF333" s="1"/>
    </row>
    <row r="334" spans="1:32" hidden="1" x14ac:dyDescent="0.25">
      <c r="A334" t="s">
        <v>710</v>
      </c>
      <c r="B334" t="s">
        <v>547</v>
      </c>
      <c r="C334" t="s">
        <v>543</v>
      </c>
      <c r="D334" t="s">
        <v>548</v>
      </c>
      <c r="E334" t="s">
        <v>350</v>
      </c>
      <c r="F334">
        <v>4500461449</v>
      </c>
      <c r="G334" t="s">
        <v>12</v>
      </c>
      <c r="H334" t="s">
        <v>555</v>
      </c>
      <c r="I334" t="s">
        <v>350</v>
      </c>
      <c r="J334" s="1">
        <v>39434.92</v>
      </c>
      <c r="K334" s="1">
        <v>46133.5</v>
      </c>
      <c r="L334" t="str">
        <f>IFERROR(IF(VLOOKUP(LEFT(B334,2),'Humanitarian codes'!$A$2:$A$10,1,FALSE)=LEFT(B334,2),"Yes","Error"),"No")</f>
        <v>No</v>
      </c>
      <c r="AE334" s="1"/>
      <c r="AF334" s="1"/>
    </row>
    <row r="335" spans="1:32" hidden="1" x14ac:dyDescent="0.25">
      <c r="A335" t="s">
        <v>710</v>
      </c>
      <c r="B335" t="s">
        <v>547</v>
      </c>
      <c r="C335" t="s">
        <v>543</v>
      </c>
      <c r="D335" t="s">
        <v>548</v>
      </c>
      <c r="E335" t="s">
        <v>350</v>
      </c>
      <c r="F335">
        <v>4500462692</v>
      </c>
      <c r="G335" t="s">
        <v>12</v>
      </c>
      <c r="H335" t="s">
        <v>556</v>
      </c>
      <c r="I335" t="s">
        <v>350</v>
      </c>
      <c r="J335" s="1">
        <v>13396.28</v>
      </c>
      <c r="K335" s="1">
        <v>13396.28</v>
      </c>
      <c r="L335" t="str">
        <f>IFERROR(IF(VLOOKUP(LEFT(B335,2),'Humanitarian codes'!$A$2:$A$10,1,FALSE)=LEFT(B335,2),"Yes","Error"),"No")</f>
        <v>No</v>
      </c>
      <c r="AE335" s="1"/>
      <c r="AF335" s="1"/>
    </row>
    <row r="336" spans="1:32" hidden="1" x14ac:dyDescent="0.25">
      <c r="A336" t="s">
        <v>710</v>
      </c>
      <c r="B336" t="s">
        <v>547</v>
      </c>
      <c r="C336" t="s">
        <v>543</v>
      </c>
      <c r="D336" t="s">
        <v>548</v>
      </c>
      <c r="E336" t="s">
        <v>350</v>
      </c>
      <c r="F336">
        <v>4500462970</v>
      </c>
      <c r="G336" t="s">
        <v>12</v>
      </c>
      <c r="H336" t="s">
        <v>557</v>
      </c>
      <c r="I336" t="s">
        <v>350</v>
      </c>
      <c r="J336" s="1">
        <v>41068.949999999997</v>
      </c>
      <c r="K336" s="1">
        <v>41068.949999999997</v>
      </c>
      <c r="L336" t="str">
        <f>IFERROR(IF(VLOOKUP(LEFT(B336,2),'Humanitarian codes'!$A$2:$A$10,1,FALSE)=LEFT(B336,2),"Yes","Error"),"No")</f>
        <v>No</v>
      </c>
      <c r="AE336" s="1"/>
      <c r="AF336" s="1"/>
    </row>
    <row r="337" spans="1:32" hidden="1" x14ac:dyDescent="0.25">
      <c r="A337" t="s">
        <v>710</v>
      </c>
      <c r="B337" t="s">
        <v>547</v>
      </c>
      <c r="C337" t="s">
        <v>543</v>
      </c>
      <c r="D337" t="s">
        <v>548</v>
      </c>
      <c r="E337" t="s">
        <v>350</v>
      </c>
      <c r="F337">
        <v>4500462977</v>
      </c>
      <c r="G337" t="s">
        <v>12</v>
      </c>
      <c r="H337" t="s">
        <v>558</v>
      </c>
      <c r="I337" t="s">
        <v>350</v>
      </c>
      <c r="J337" s="1">
        <v>26907.26</v>
      </c>
      <c r="K337" s="1">
        <v>26907.26</v>
      </c>
      <c r="L337" t="str">
        <f>IFERROR(IF(VLOOKUP(LEFT(B337,2),'Humanitarian codes'!$A$2:$A$10,1,FALSE)=LEFT(B337,2),"Yes","Error"),"No")</f>
        <v>No</v>
      </c>
      <c r="AE337" s="1"/>
      <c r="AF337" s="1"/>
    </row>
    <row r="338" spans="1:32" hidden="1" x14ac:dyDescent="0.25">
      <c r="A338" t="s">
        <v>710</v>
      </c>
      <c r="B338" t="s">
        <v>559</v>
      </c>
      <c r="C338" t="s">
        <v>9</v>
      </c>
      <c r="D338" t="s">
        <v>560</v>
      </c>
      <c r="E338" t="s">
        <v>561</v>
      </c>
      <c r="F338">
        <v>4500455344</v>
      </c>
      <c r="G338" t="s">
        <v>12</v>
      </c>
      <c r="H338" t="s">
        <v>562</v>
      </c>
      <c r="I338" t="s">
        <v>96</v>
      </c>
      <c r="J338" s="1">
        <v>609957.69999999995</v>
      </c>
      <c r="K338" s="1">
        <v>609957.69999999995</v>
      </c>
      <c r="L338" t="str">
        <f>IFERROR(IF(VLOOKUP(LEFT(B338,2),'Humanitarian codes'!$A$2:$A$10,1,FALSE)=LEFT(B338,2),"Yes","Error"),"No")</f>
        <v>No</v>
      </c>
      <c r="AE338" s="1"/>
      <c r="AF338" s="1"/>
    </row>
    <row r="339" spans="1:32" hidden="1" x14ac:dyDescent="0.25">
      <c r="A339" t="s">
        <v>710</v>
      </c>
      <c r="B339" t="s">
        <v>563</v>
      </c>
      <c r="C339" t="s">
        <v>9</v>
      </c>
      <c r="D339" t="s">
        <v>564</v>
      </c>
      <c r="E339" t="s">
        <v>128</v>
      </c>
      <c r="F339">
        <v>4500462413</v>
      </c>
      <c r="G339" t="s">
        <v>12</v>
      </c>
      <c r="H339" t="s">
        <v>565</v>
      </c>
      <c r="I339" t="s">
        <v>128</v>
      </c>
      <c r="J339" s="1">
        <v>25000</v>
      </c>
      <c r="K339" s="1">
        <v>25000</v>
      </c>
      <c r="L339" t="str">
        <f>IFERROR(IF(VLOOKUP(LEFT(B339,2),'Humanitarian codes'!$A$2:$A$10,1,FALSE)=LEFT(B339,2),"Yes","Error"),"No")</f>
        <v>No</v>
      </c>
      <c r="AE339" s="1"/>
      <c r="AF339" s="1"/>
    </row>
    <row r="340" spans="1:32" hidden="1" x14ac:dyDescent="0.25">
      <c r="A340" t="s">
        <v>710</v>
      </c>
      <c r="B340" t="s">
        <v>563</v>
      </c>
      <c r="C340" t="s">
        <v>9</v>
      </c>
      <c r="D340" t="s">
        <v>564</v>
      </c>
      <c r="E340" t="s">
        <v>128</v>
      </c>
      <c r="F340">
        <v>4500465264</v>
      </c>
      <c r="G340" t="s">
        <v>12</v>
      </c>
      <c r="H340" t="s">
        <v>566</v>
      </c>
      <c r="I340" t="s">
        <v>128</v>
      </c>
      <c r="J340" s="1">
        <v>24991.19</v>
      </c>
      <c r="K340" s="1">
        <v>24991.19</v>
      </c>
      <c r="L340" t="str">
        <f>IFERROR(IF(VLOOKUP(LEFT(B340,2),'Humanitarian codes'!$A$2:$A$10,1,FALSE)=LEFT(B340,2),"Yes","Error"),"No")</f>
        <v>No</v>
      </c>
      <c r="AE340" s="1"/>
      <c r="AF340" s="1"/>
    </row>
    <row r="341" spans="1:32" hidden="1" x14ac:dyDescent="0.25">
      <c r="A341" t="s">
        <v>710</v>
      </c>
      <c r="B341" t="s">
        <v>563</v>
      </c>
      <c r="C341" t="s">
        <v>9</v>
      </c>
      <c r="D341" t="s">
        <v>564</v>
      </c>
      <c r="E341" t="s">
        <v>128</v>
      </c>
      <c r="F341">
        <v>4500467308</v>
      </c>
      <c r="G341" t="s">
        <v>12</v>
      </c>
      <c r="H341" t="s">
        <v>567</v>
      </c>
      <c r="I341" t="s">
        <v>128</v>
      </c>
      <c r="J341" s="1">
        <v>25000</v>
      </c>
      <c r="K341" s="1">
        <v>25000</v>
      </c>
      <c r="L341" t="str">
        <f>IFERROR(IF(VLOOKUP(LEFT(B341,2),'Humanitarian codes'!$A$2:$A$10,1,FALSE)=LEFT(B341,2),"Yes","Error"),"No")</f>
        <v>No</v>
      </c>
      <c r="AE341" s="1"/>
      <c r="AF341" s="1"/>
    </row>
    <row r="342" spans="1:32" hidden="1" x14ac:dyDescent="0.25">
      <c r="A342" t="s">
        <v>710</v>
      </c>
      <c r="B342" t="s">
        <v>563</v>
      </c>
      <c r="C342" t="s">
        <v>9</v>
      </c>
      <c r="D342" t="s">
        <v>564</v>
      </c>
      <c r="E342" t="s">
        <v>128</v>
      </c>
      <c r="F342">
        <v>4500469463</v>
      </c>
      <c r="G342" t="s">
        <v>12</v>
      </c>
      <c r="H342" t="s">
        <v>568</v>
      </c>
      <c r="I342" t="s">
        <v>128</v>
      </c>
      <c r="J342" s="1">
        <v>25000</v>
      </c>
      <c r="K342" s="1">
        <v>25000</v>
      </c>
      <c r="L342" t="str">
        <f>IFERROR(IF(VLOOKUP(LEFT(B342,2),'Humanitarian codes'!$A$2:$A$10,1,FALSE)=LEFT(B342,2),"Yes","Error"),"No")</f>
        <v>No</v>
      </c>
      <c r="AE342" s="1"/>
      <c r="AF342" s="1"/>
    </row>
    <row r="343" spans="1:32" hidden="1" x14ac:dyDescent="0.25">
      <c r="A343" t="s">
        <v>710</v>
      </c>
      <c r="B343" t="s">
        <v>563</v>
      </c>
      <c r="C343" t="s">
        <v>9</v>
      </c>
      <c r="D343" t="s">
        <v>564</v>
      </c>
      <c r="E343" t="s">
        <v>128</v>
      </c>
      <c r="F343">
        <v>4500469467</v>
      </c>
      <c r="G343" t="s">
        <v>12</v>
      </c>
      <c r="H343" t="s">
        <v>569</v>
      </c>
      <c r="I343" t="s">
        <v>128</v>
      </c>
      <c r="J343" s="1">
        <v>20504.599999999999</v>
      </c>
      <c r="K343" s="1">
        <v>20504.599999999999</v>
      </c>
      <c r="L343" t="str">
        <f>IFERROR(IF(VLOOKUP(LEFT(B343,2),'Humanitarian codes'!$A$2:$A$10,1,FALSE)=LEFT(B343,2),"Yes","Error"),"No")</f>
        <v>No</v>
      </c>
      <c r="AE343" s="1"/>
      <c r="AF343" s="1"/>
    </row>
    <row r="344" spans="1:32" hidden="1" x14ac:dyDescent="0.25">
      <c r="A344" t="s">
        <v>710</v>
      </c>
      <c r="B344" t="s">
        <v>563</v>
      </c>
      <c r="C344" t="s">
        <v>9</v>
      </c>
      <c r="D344" t="s">
        <v>564</v>
      </c>
      <c r="E344" t="s">
        <v>128</v>
      </c>
      <c r="F344">
        <v>4500475939</v>
      </c>
      <c r="G344" t="s">
        <v>12</v>
      </c>
      <c r="H344" t="s">
        <v>570</v>
      </c>
      <c r="I344" t="s">
        <v>128</v>
      </c>
      <c r="J344" s="1">
        <v>24940.84</v>
      </c>
      <c r="K344" s="1">
        <v>24940.84</v>
      </c>
      <c r="L344" t="str">
        <f>IFERROR(IF(VLOOKUP(LEFT(B344,2),'Humanitarian codes'!$A$2:$A$10,1,FALSE)=LEFT(B344,2),"Yes","Error"),"No")</f>
        <v>No</v>
      </c>
      <c r="AE344" s="1"/>
      <c r="AF344" s="1"/>
    </row>
    <row r="345" spans="1:32" hidden="1" x14ac:dyDescent="0.25">
      <c r="A345" t="s">
        <v>710</v>
      </c>
      <c r="B345" t="s">
        <v>563</v>
      </c>
      <c r="C345" t="s">
        <v>9</v>
      </c>
      <c r="D345" t="s">
        <v>564</v>
      </c>
      <c r="E345" t="s">
        <v>128</v>
      </c>
      <c r="F345">
        <v>4500479972</v>
      </c>
      <c r="G345" t="s">
        <v>12</v>
      </c>
      <c r="H345" t="s">
        <v>571</v>
      </c>
      <c r="I345" t="s">
        <v>128</v>
      </c>
      <c r="J345" s="1">
        <v>24999.24</v>
      </c>
      <c r="K345" s="1">
        <v>24999.24</v>
      </c>
      <c r="L345" t="str">
        <f>IFERROR(IF(VLOOKUP(LEFT(B345,2),'Humanitarian codes'!$A$2:$A$10,1,FALSE)=LEFT(B345,2),"Yes","Error"),"No")</f>
        <v>No</v>
      </c>
      <c r="AE345" s="1"/>
      <c r="AF345" s="1"/>
    </row>
    <row r="346" spans="1:32" hidden="1" x14ac:dyDescent="0.25">
      <c r="A346" t="s">
        <v>710</v>
      </c>
      <c r="B346" t="s">
        <v>572</v>
      </c>
      <c r="C346" t="s">
        <v>9</v>
      </c>
      <c r="D346" t="s">
        <v>573</v>
      </c>
      <c r="E346" t="s">
        <v>226</v>
      </c>
      <c r="F346">
        <v>4500462847</v>
      </c>
      <c r="G346" t="s">
        <v>12</v>
      </c>
      <c r="H346" t="s">
        <v>574</v>
      </c>
      <c r="I346" t="s">
        <v>226</v>
      </c>
      <c r="J346" s="1">
        <v>51189.279999999999</v>
      </c>
      <c r="K346" s="1">
        <v>51189.279999999999</v>
      </c>
      <c r="L346" t="str">
        <f>IFERROR(IF(VLOOKUP(LEFT(B346,2),'Humanitarian codes'!$A$2:$A$10,1,FALSE)=LEFT(B346,2),"Yes","Error"),"No")</f>
        <v>No</v>
      </c>
      <c r="AE346" s="1"/>
      <c r="AF346" s="1"/>
    </row>
    <row r="347" spans="1:32" hidden="1" x14ac:dyDescent="0.25">
      <c r="A347" t="s">
        <v>710</v>
      </c>
      <c r="B347" t="s">
        <v>575</v>
      </c>
      <c r="C347" t="s">
        <v>30</v>
      </c>
      <c r="D347" t="s">
        <v>576</v>
      </c>
      <c r="E347" t="s">
        <v>32</v>
      </c>
      <c r="F347">
        <v>4500472354</v>
      </c>
      <c r="G347" t="s">
        <v>12</v>
      </c>
      <c r="H347" t="s">
        <v>577</v>
      </c>
      <c r="I347" t="s">
        <v>32</v>
      </c>
      <c r="J347" s="1">
        <v>160000</v>
      </c>
      <c r="K347" s="1">
        <v>160000</v>
      </c>
      <c r="L347" t="str">
        <f>IFERROR(IF(VLOOKUP(LEFT(B347,2),'Humanitarian codes'!$A$2:$A$10,1,FALSE)=LEFT(B347,2),"Yes","Error"),"No")</f>
        <v>No</v>
      </c>
      <c r="AE347" s="1"/>
      <c r="AF347" s="1"/>
    </row>
    <row r="348" spans="1:32" hidden="1" x14ac:dyDescent="0.25">
      <c r="A348" t="s">
        <v>710</v>
      </c>
      <c r="B348" t="s">
        <v>578</v>
      </c>
      <c r="C348" t="s">
        <v>30</v>
      </c>
      <c r="D348" t="s">
        <v>579</v>
      </c>
      <c r="E348" t="s">
        <v>132</v>
      </c>
      <c r="F348">
        <v>4500461729</v>
      </c>
      <c r="G348" t="s">
        <v>12</v>
      </c>
      <c r="H348" t="s">
        <v>580</v>
      </c>
      <c r="I348" t="s">
        <v>581</v>
      </c>
      <c r="J348" s="1">
        <v>1120511.5</v>
      </c>
      <c r="K348" s="1">
        <v>1120511.5</v>
      </c>
      <c r="L348" t="str">
        <f>IFERROR(IF(VLOOKUP(LEFT(B348,2),'Humanitarian codes'!$A$2:$A$10,1,FALSE)=LEFT(B348,2),"Yes","Error"),"No")</f>
        <v>No</v>
      </c>
      <c r="AE348" s="1"/>
      <c r="AF348" s="1"/>
    </row>
    <row r="349" spans="1:32" hidden="1" x14ac:dyDescent="0.25">
      <c r="A349" t="s">
        <v>710</v>
      </c>
      <c r="B349" t="s">
        <v>578</v>
      </c>
      <c r="C349" t="s">
        <v>30</v>
      </c>
      <c r="D349" t="s">
        <v>579</v>
      </c>
      <c r="E349" t="s">
        <v>132</v>
      </c>
      <c r="F349">
        <v>4500467097</v>
      </c>
      <c r="G349" t="s">
        <v>12</v>
      </c>
      <c r="H349" t="s">
        <v>582</v>
      </c>
      <c r="I349" t="s">
        <v>132</v>
      </c>
      <c r="J349" s="1">
        <v>631363.62</v>
      </c>
      <c r="K349" s="1">
        <v>631363.62</v>
      </c>
      <c r="L349" t="str">
        <f>IFERROR(IF(VLOOKUP(LEFT(B349,2),'Humanitarian codes'!$A$2:$A$10,1,FALSE)=LEFT(B349,2),"Yes","Error"),"No")</f>
        <v>No</v>
      </c>
      <c r="AE349" s="1"/>
      <c r="AF349" s="1"/>
    </row>
    <row r="350" spans="1:32" hidden="1" x14ac:dyDescent="0.25">
      <c r="A350" t="s">
        <v>710</v>
      </c>
      <c r="B350" t="s">
        <v>583</v>
      </c>
      <c r="C350" t="s">
        <v>30</v>
      </c>
      <c r="D350" t="s">
        <v>584</v>
      </c>
      <c r="E350" t="s">
        <v>132</v>
      </c>
      <c r="F350">
        <v>4500468924</v>
      </c>
      <c r="G350" t="s">
        <v>12</v>
      </c>
      <c r="H350" t="s">
        <v>585</v>
      </c>
      <c r="I350" t="s">
        <v>509</v>
      </c>
      <c r="J350" s="1">
        <v>1196549.6200000001</v>
      </c>
      <c r="K350" s="1">
        <v>1196549.6200000001</v>
      </c>
      <c r="L350" t="str">
        <f>IFERROR(IF(VLOOKUP(LEFT(B350,2),'Humanitarian codes'!$A$2:$A$10,1,FALSE)=LEFT(B350,2),"Yes","Error"),"No")</f>
        <v>No</v>
      </c>
      <c r="AE350" s="1"/>
      <c r="AF350" s="1"/>
    </row>
    <row r="351" spans="1:32" hidden="1" x14ac:dyDescent="0.25">
      <c r="A351" t="s">
        <v>710</v>
      </c>
      <c r="B351" t="s">
        <v>583</v>
      </c>
      <c r="C351" t="s">
        <v>30</v>
      </c>
      <c r="D351" t="s">
        <v>584</v>
      </c>
      <c r="E351" t="s">
        <v>132</v>
      </c>
      <c r="F351">
        <v>4500468934</v>
      </c>
      <c r="G351" t="s">
        <v>12</v>
      </c>
      <c r="H351" t="s">
        <v>580</v>
      </c>
      <c r="I351" t="s">
        <v>581</v>
      </c>
      <c r="J351" s="1">
        <v>1591074.67</v>
      </c>
      <c r="K351" s="1">
        <v>1591074.67</v>
      </c>
      <c r="L351" t="str">
        <f>IFERROR(IF(VLOOKUP(LEFT(B351,2),'Humanitarian codes'!$A$2:$A$10,1,FALSE)=LEFT(B351,2),"Yes","Error"),"No")</f>
        <v>No</v>
      </c>
      <c r="AE351" s="1"/>
      <c r="AF351" s="1"/>
    </row>
    <row r="352" spans="1:32" hidden="1" x14ac:dyDescent="0.25">
      <c r="A352" t="s">
        <v>710</v>
      </c>
      <c r="B352" t="s">
        <v>586</v>
      </c>
      <c r="C352" t="s">
        <v>30</v>
      </c>
      <c r="D352" t="s">
        <v>587</v>
      </c>
      <c r="E352" t="s">
        <v>481</v>
      </c>
      <c r="F352">
        <v>4500456714</v>
      </c>
      <c r="G352" t="s">
        <v>12</v>
      </c>
      <c r="H352" t="s">
        <v>588</v>
      </c>
      <c r="I352" t="s">
        <v>481</v>
      </c>
      <c r="J352" s="1">
        <v>30292.51</v>
      </c>
      <c r="K352" s="1">
        <v>30292.51</v>
      </c>
      <c r="L352" t="str">
        <f>IFERROR(IF(VLOOKUP(LEFT(B352,2),'Humanitarian codes'!$A$2:$A$10,1,FALSE)=LEFT(B352,2),"Yes","Error"),"No")</f>
        <v>No</v>
      </c>
      <c r="AE352" s="1"/>
      <c r="AF352" s="1"/>
    </row>
    <row r="353" spans="1:32" hidden="1" x14ac:dyDescent="0.25">
      <c r="A353" t="s">
        <v>710</v>
      </c>
      <c r="B353" t="s">
        <v>586</v>
      </c>
      <c r="C353" t="s">
        <v>30</v>
      </c>
      <c r="D353" t="s">
        <v>587</v>
      </c>
      <c r="E353" t="s">
        <v>481</v>
      </c>
      <c r="F353">
        <v>4500463893</v>
      </c>
      <c r="G353" t="s">
        <v>12</v>
      </c>
      <c r="H353" t="s">
        <v>589</v>
      </c>
      <c r="I353" t="s">
        <v>481</v>
      </c>
      <c r="J353" s="1">
        <v>16385.68</v>
      </c>
      <c r="K353" s="1">
        <v>17859</v>
      </c>
      <c r="L353" t="str">
        <f>IFERROR(IF(VLOOKUP(LEFT(B353,2),'Humanitarian codes'!$A$2:$A$10,1,FALSE)=LEFT(B353,2),"Yes","Error"),"No")</f>
        <v>No</v>
      </c>
      <c r="AE353" s="1"/>
      <c r="AF353" s="1"/>
    </row>
    <row r="354" spans="1:32" hidden="1" x14ac:dyDescent="0.25">
      <c r="A354" t="s">
        <v>710</v>
      </c>
      <c r="B354" t="s">
        <v>586</v>
      </c>
      <c r="C354" t="s">
        <v>30</v>
      </c>
      <c r="D354" t="s">
        <v>587</v>
      </c>
      <c r="E354" t="s">
        <v>481</v>
      </c>
      <c r="F354">
        <v>4500469867</v>
      </c>
      <c r="G354" t="s">
        <v>12</v>
      </c>
      <c r="H354" t="s">
        <v>482</v>
      </c>
      <c r="I354" t="s">
        <v>481</v>
      </c>
      <c r="J354" s="1">
        <v>10753.24</v>
      </c>
      <c r="K354" s="1">
        <v>20094.91</v>
      </c>
      <c r="L354" t="str">
        <f>IFERROR(IF(VLOOKUP(LEFT(B354,2),'Humanitarian codes'!$A$2:$A$10,1,FALSE)=LEFT(B354,2),"Yes","Error"),"No")</f>
        <v>No</v>
      </c>
      <c r="AE354" s="1"/>
      <c r="AF354" s="1"/>
    </row>
    <row r="355" spans="1:32" hidden="1" x14ac:dyDescent="0.25">
      <c r="A355" t="s">
        <v>710</v>
      </c>
      <c r="B355" t="s">
        <v>590</v>
      </c>
      <c r="C355" t="s">
        <v>30</v>
      </c>
      <c r="D355" t="s">
        <v>591</v>
      </c>
      <c r="E355" t="s">
        <v>481</v>
      </c>
      <c r="F355">
        <v>4500463893</v>
      </c>
      <c r="G355" t="s">
        <v>12</v>
      </c>
      <c r="H355" t="s">
        <v>589</v>
      </c>
      <c r="I355" t="s">
        <v>481</v>
      </c>
      <c r="J355" s="1">
        <v>1473.32</v>
      </c>
      <c r="K355" s="1">
        <v>17859</v>
      </c>
      <c r="L355" t="str">
        <f>IFERROR(IF(VLOOKUP(LEFT(B355,2),'Humanitarian codes'!$A$2:$A$10,1,FALSE)=LEFT(B355,2),"Yes","Error"),"No")</f>
        <v>No</v>
      </c>
      <c r="AE355" s="1"/>
      <c r="AF355" s="1"/>
    </row>
    <row r="356" spans="1:32" hidden="1" x14ac:dyDescent="0.25">
      <c r="A356" t="s">
        <v>710</v>
      </c>
      <c r="B356" t="s">
        <v>590</v>
      </c>
      <c r="C356" t="s">
        <v>30</v>
      </c>
      <c r="D356" t="s">
        <v>591</v>
      </c>
      <c r="E356" t="s">
        <v>481</v>
      </c>
      <c r="F356">
        <v>4500469867</v>
      </c>
      <c r="G356" t="s">
        <v>12</v>
      </c>
      <c r="H356" t="s">
        <v>482</v>
      </c>
      <c r="I356" t="s">
        <v>481</v>
      </c>
      <c r="J356" s="1">
        <v>9341.67</v>
      </c>
      <c r="K356" s="1">
        <v>20094.91</v>
      </c>
      <c r="L356" t="str">
        <f>IFERROR(IF(VLOOKUP(LEFT(B356,2),'Humanitarian codes'!$A$2:$A$10,1,FALSE)=LEFT(B356,2),"Yes","Error"),"No")</f>
        <v>No</v>
      </c>
      <c r="AE356" s="1"/>
      <c r="AF356" s="1"/>
    </row>
    <row r="357" spans="1:32" hidden="1" x14ac:dyDescent="0.25">
      <c r="A357" t="s">
        <v>710</v>
      </c>
      <c r="B357" t="s">
        <v>592</v>
      </c>
      <c r="C357" t="s">
        <v>30</v>
      </c>
      <c r="D357" t="s">
        <v>593</v>
      </c>
      <c r="E357" t="s">
        <v>594</v>
      </c>
      <c r="F357">
        <v>4500471881</v>
      </c>
      <c r="G357" t="s">
        <v>12</v>
      </c>
      <c r="H357" t="s">
        <v>595</v>
      </c>
      <c r="I357" t="s">
        <v>594</v>
      </c>
      <c r="J357" s="1">
        <v>54963.92</v>
      </c>
      <c r="K357" s="1">
        <v>54963.92</v>
      </c>
      <c r="L357" t="str">
        <f>IFERROR(IF(VLOOKUP(LEFT(B357,2),'Humanitarian codes'!$A$2:$A$10,1,FALSE)=LEFT(B357,2),"Yes","Error"),"No")</f>
        <v>No</v>
      </c>
      <c r="AE357" s="1"/>
      <c r="AF357" s="1"/>
    </row>
    <row r="358" spans="1:32" hidden="1" x14ac:dyDescent="0.25">
      <c r="A358" t="s">
        <v>710</v>
      </c>
      <c r="B358" t="s">
        <v>596</v>
      </c>
      <c r="C358" t="s">
        <v>30</v>
      </c>
      <c r="D358" t="s">
        <v>597</v>
      </c>
      <c r="E358" t="s">
        <v>128</v>
      </c>
      <c r="F358">
        <v>4500460703</v>
      </c>
      <c r="G358" t="s">
        <v>12</v>
      </c>
      <c r="H358" t="s">
        <v>598</v>
      </c>
      <c r="I358" t="s">
        <v>128</v>
      </c>
      <c r="J358" s="1">
        <v>28465.65</v>
      </c>
      <c r="K358" s="1">
        <v>28465.65</v>
      </c>
      <c r="L358" t="str">
        <f>IFERROR(IF(VLOOKUP(LEFT(B358,2),'Humanitarian codes'!$A$2:$A$10,1,FALSE)=LEFT(B358,2),"Yes","Error"),"No")</f>
        <v>No</v>
      </c>
      <c r="AE358" s="1"/>
      <c r="AF358" s="1"/>
    </row>
    <row r="359" spans="1:32" hidden="1" x14ac:dyDescent="0.25">
      <c r="A359" t="s">
        <v>710</v>
      </c>
      <c r="B359" t="s">
        <v>596</v>
      </c>
      <c r="C359" t="s">
        <v>30</v>
      </c>
      <c r="D359" t="s">
        <v>597</v>
      </c>
      <c r="E359" t="s">
        <v>128</v>
      </c>
      <c r="F359">
        <v>4500460718</v>
      </c>
      <c r="G359" t="s">
        <v>12</v>
      </c>
      <c r="H359" t="s">
        <v>599</v>
      </c>
      <c r="I359" t="s">
        <v>128</v>
      </c>
      <c r="J359" s="1">
        <v>30000</v>
      </c>
      <c r="K359" s="1">
        <v>30000</v>
      </c>
      <c r="L359" t="str">
        <f>IFERROR(IF(VLOOKUP(LEFT(B359,2),'Humanitarian codes'!$A$2:$A$10,1,FALSE)=LEFT(B359,2),"Yes","Error"),"No")</f>
        <v>No</v>
      </c>
      <c r="AE359" s="1"/>
      <c r="AF359" s="1"/>
    </row>
    <row r="360" spans="1:32" hidden="1" x14ac:dyDescent="0.25">
      <c r="A360" t="s">
        <v>710</v>
      </c>
      <c r="B360" t="s">
        <v>596</v>
      </c>
      <c r="C360" t="s">
        <v>30</v>
      </c>
      <c r="D360" t="s">
        <v>597</v>
      </c>
      <c r="E360" t="s">
        <v>128</v>
      </c>
      <c r="F360">
        <v>4500460996</v>
      </c>
      <c r="G360" t="s">
        <v>12</v>
      </c>
      <c r="H360" t="s">
        <v>600</v>
      </c>
      <c r="I360" t="s">
        <v>128</v>
      </c>
      <c r="J360" s="1">
        <v>30000</v>
      </c>
      <c r="K360" s="1">
        <v>30000</v>
      </c>
      <c r="L360" t="str">
        <f>IFERROR(IF(VLOOKUP(LEFT(B360,2),'Humanitarian codes'!$A$2:$A$10,1,FALSE)=LEFT(B360,2),"Yes","Error"),"No")</f>
        <v>No</v>
      </c>
      <c r="AE360" s="1"/>
      <c r="AF360" s="1"/>
    </row>
    <row r="361" spans="1:32" hidden="1" x14ac:dyDescent="0.25">
      <c r="A361" t="s">
        <v>710</v>
      </c>
      <c r="B361" t="s">
        <v>596</v>
      </c>
      <c r="C361" t="s">
        <v>30</v>
      </c>
      <c r="D361" t="s">
        <v>597</v>
      </c>
      <c r="E361" t="s">
        <v>128</v>
      </c>
      <c r="F361">
        <v>4500461620</v>
      </c>
      <c r="G361" t="s">
        <v>12</v>
      </c>
      <c r="H361" t="s">
        <v>601</v>
      </c>
      <c r="I361" t="s">
        <v>128</v>
      </c>
      <c r="J361" s="1">
        <v>30000</v>
      </c>
      <c r="K361" s="1">
        <v>30000</v>
      </c>
      <c r="L361" t="str">
        <f>IFERROR(IF(VLOOKUP(LEFT(B361,2),'Humanitarian codes'!$A$2:$A$10,1,FALSE)=LEFT(B361,2),"Yes","Error"),"No")</f>
        <v>No</v>
      </c>
      <c r="AE361" s="1"/>
      <c r="AF361" s="1"/>
    </row>
    <row r="362" spans="1:32" hidden="1" x14ac:dyDescent="0.25">
      <c r="A362" t="s">
        <v>710</v>
      </c>
      <c r="B362" t="s">
        <v>596</v>
      </c>
      <c r="C362" t="s">
        <v>30</v>
      </c>
      <c r="D362" t="s">
        <v>597</v>
      </c>
      <c r="E362" t="s">
        <v>128</v>
      </c>
      <c r="F362">
        <v>4500462417</v>
      </c>
      <c r="G362" t="s">
        <v>12</v>
      </c>
      <c r="H362" t="s">
        <v>571</v>
      </c>
      <c r="I362" t="s">
        <v>128</v>
      </c>
      <c r="J362" s="1">
        <v>30000</v>
      </c>
      <c r="K362" s="1">
        <v>30000</v>
      </c>
      <c r="L362" t="str">
        <f>IFERROR(IF(VLOOKUP(LEFT(B362,2),'Humanitarian codes'!$A$2:$A$10,1,FALSE)=LEFT(B362,2),"Yes","Error"),"No")</f>
        <v>No</v>
      </c>
      <c r="AE362" s="1"/>
      <c r="AF362" s="1"/>
    </row>
    <row r="363" spans="1:32" hidden="1" x14ac:dyDescent="0.25">
      <c r="A363" t="s">
        <v>710</v>
      </c>
      <c r="B363" t="s">
        <v>596</v>
      </c>
      <c r="C363" t="s">
        <v>30</v>
      </c>
      <c r="D363" t="s">
        <v>597</v>
      </c>
      <c r="E363" t="s">
        <v>128</v>
      </c>
      <c r="F363">
        <v>4500462444</v>
      </c>
      <c r="G363" t="s">
        <v>12</v>
      </c>
      <c r="H363" t="s">
        <v>602</v>
      </c>
      <c r="I363" t="s">
        <v>128</v>
      </c>
      <c r="J363" s="1">
        <v>30000</v>
      </c>
      <c r="K363" s="1">
        <v>30000</v>
      </c>
      <c r="L363" t="str">
        <f>IFERROR(IF(VLOOKUP(LEFT(B363,2),'Humanitarian codes'!$A$2:$A$10,1,FALSE)=LEFT(B363,2),"Yes","Error"),"No")</f>
        <v>No</v>
      </c>
      <c r="AE363" s="1"/>
      <c r="AF363" s="1"/>
    </row>
    <row r="364" spans="1:32" hidden="1" x14ac:dyDescent="0.25">
      <c r="A364" t="s">
        <v>710</v>
      </c>
      <c r="B364" t="s">
        <v>596</v>
      </c>
      <c r="C364" t="s">
        <v>30</v>
      </c>
      <c r="D364" t="s">
        <v>597</v>
      </c>
      <c r="E364" t="s">
        <v>128</v>
      </c>
      <c r="F364">
        <v>4500466248</v>
      </c>
      <c r="G364" t="s">
        <v>12</v>
      </c>
      <c r="H364" t="s">
        <v>603</v>
      </c>
      <c r="I364" t="s">
        <v>128</v>
      </c>
      <c r="J364" s="1">
        <v>30000</v>
      </c>
      <c r="K364" s="1">
        <v>30000</v>
      </c>
      <c r="L364" t="str">
        <f>IFERROR(IF(VLOOKUP(LEFT(B364,2),'Humanitarian codes'!$A$2:$A$10,1,FALSE)=LEFT(B364,2),"Yes","Error"),"No")</f>
        <v>No</v>
      </c>
      <c r="AE364" s="1"/>
      <c r="AF364" s="1"/>
    </row>
    <row r="365" spans="1:32" hidden="1" x14ac:dyDescent="0.25">
      <c r="A365" t="s">
        <v>710</v>
      </c>
      <c r="B365" t="s">
        <v>604</v>
      </c>
      <c r="C365" t="s">
        <v>484</v>
      </c>
      <c r="D365" t="s">
        <v>605</v>
      </c>
      <c r="E365" t="s">
        <v>534</v>
      </c>
      <c r="F365">
        <v>4500456645</v>
      </c>
      <c r="G365" t="s">
        <v>12</v>
      </c>
      <c r="H365" t="s">
        <v>606</v>
      </c>
      <c r="I365" t="s">
        <v>402</v>
      </c>
      <c r="J365" s="1">
        <v>30201.34</v>
      </c>
      <c r="K365" s="1">
        <v>30201.34</v>
      </c>
      <c r="L365" t="str">
        <f>IFERROR(IF(VLOOKUP(LEFT(B365,2),'Humanitarian codes'!$A$2:$A$10,1,FALSE)=LEFT(B365,2),"Yes","Error"),"No")</f>
        <v>No</v>
      </c>
      <c r="AE365" s="1"/>
      <c r="AF365" s="1"/>
    </row>
    <row r="366" spans="1:32" hidden="1" x14ac:dyDescent="0.25">
      <c r="A366" t="s">
        <v>710</v>
      </c>
      <c r="B366" t="s">
        <v>607</v>
      </c>
      <c r="C366" t="s">
        <v>543</v>
      </c>
      <c r="D366" t="s">
        <v>608</v>
      </c>
      <c r="E366" t="s">
        <v>504</v>
      </c>
      <c r="F366">
        <v>4500455398</v>
      </c>
      <c r="G366" t="s">
        <v>12</v>
      </c>
      <c r="H366" t="s">
        <v>609</v>
      </c>
      <c r="I366" t="s">
        <v>504</v>
      </c>
      <c r="J366">
        <v>313.20999999999998</v>
      </c>
      <c r="K366" s="1">
        <v>3571.83</v>
      </c>
      <c r="L366" t="str">
        <f>IFERROR(IF(VLOOKUP(LEFT(B366,2),'Humanitarian codes'!$A$2:$A$10,1,FALSE)=LEFT(B366,2),"Yes","Error"),"No")</f>
        <v>No</v>
      </c>
      <c r="AE366" s="1"/>
      <c r="AF366" s="1"/>
    </row>
    <row r="367" spans="1:32" hidden="1" x14ac:dyDescent="0.25">
      <c r="A367" t="s">
        <v>710</v>
      </c>
      <c r="B367" t="s">
        <v>607</v>
      </c>
      <c r="C367" t="s">
        <v>543</v>
      </c>
      <c r="D367" t="s">
        <v>608</v>
      </c>
      <c r="E367" t="s">
        <v>504</v>
      </c>
      <c r="F367">
        <v>4500457414</v>
      </c>
      <c r="G367" t="s">
        <v>12</v>
      </c>
      <c r="H367" t="s">
        <v>610</v>
      </c>
      <c r="I367" t="s">
        <v>504</v>
      </c>
      <c r="J367" s="1">
        <v>8332.33</v>
      </c>
      <c r="K367" s="1">
        <v>8332.33</v>
      </c>
      <c r="L367" t="str">
        <f>IFERROR(IF(VLOOKUP(LEFT(B367,2),'Humanitarian codes'!$A$2:$A$10,1,FALSE)=LEFT(B367,2),"Yes","Error"),"No")</f>
        <v>No</v>
      </c>
      <c r="AE367" s="1"/>
      <c r="AF367" s="1"/>
    </row>
    <row r="368" spans="1:32" hidden="1" x14ac:dyDescent="0.25">
      <c r="A368" t="s">
        <v>710</v>
      </c>
      <c r="B368" t="s">
        <v>607</v>
      </c>
      <c r="C368" t="s">
        <v>543</v>
      </c>
      <c r="D368" t="s">
        <v>608</v>
      </c>
      <c r="E368" t="s">
        <v>504</v>
      </c>
      <c r="F368">
        <v>4500472300</v>
      </c>
      <c r="G368" t="s">
        <v>12</v>
      </c>
      <c r="H368" t="s">
        <v>609</v>
      </c>
      <c r="I368" t="s">
        <v>504</v>
      </c>
      <c r="J368">
        <v>516.62</v>
      </c>
      <c r="K368" s="1">
        <v>2812.26</v>
      </c>
      <c r="L368" t="str">
        <f>IFERROR(IF(VLOOKUP(LEFT(B368,2),'Humanitarian codes'!$A$2:$A$10,1,FALSE)=LEFT(B368,2),"Yes","Error"),"No")</f>
        <v>No</v>
      </c>
      <c r="AE368" s="1"/>
      <c r="AF368" s="1"/>
    </row>
    <row r="369" spans="1:32" hidden="1" x14ac:dyDescent="0.25">
      <c r="A369" t="s">
        <v>710</v>
      </c>
      <c r="B369" t="s">
        <v>607</v>
      </c>
      <c r="C369" t="s">
        <v>543</v>
      </c>
      <c r="D369" t="s">
        <v>608</v>
      </c>
      <c r="E369" t="s">
        <v>477</v>
      </c>
      <c r="F369">
        <v>4500464955</v>
      </c>
      <c r="G369" t="s">
        <v>12</v>
      </c>
      <c r="H369" t="s">
        <v>611</v>
      </c>
      <c r="I369" t="s">
        <v>477</v>
      </c>
      <c r="J369" s="1">
        <v>7825.18</v>
      </c>
      <c r="K369" s="1">
        <v>7825.18</v>
      </c>
      <c r="L369" t="str">
        <f>IFERROR(IF(VLOOKUP(LEFT(B369,2),'Humanitarian codes'!$A$2:$A$10,1,FALSE)=LEFT(B369,2),"Yes","Error"),"No")</f>
        <v>No</v>
      </c>
      <c r="AE369" s="1"/>
      <c r="AF369" s="1"/>
    </row>
    <row r="370" spans="1:32" hidden="1" x14ac:dyDescent="0.25">
      <c r="A370" t="s">
        <v>710</v>
      </c>
      <c r="B370" t="s">
        <v>607</v>
      </c>
      <c r="C370" t="s">
        <v>543</v>
      </c>
      <c r="D370" t="s">
        <v>608</v>
      </c>
      <c r="E370" t="s">
        <v>477</v>
      </c>
      <c r="F370">
        <v>4500470128</v>
      </c>
      <c r="G370" t="s">
        <v>12</v>
      </c>
      <c r="H370" t="s">
        <v>611</v>
      </c>
      <c r="I370" t="s">
        <v>477</v>
      </c>
      <c r="J370" s="1">
        <v>3782.52</v>
      </c>
      <c r="K370" s="1">
        <v>3782.52</v>
      </c>
      <c r="L370" t="str">
        <f>IFERROR(IF(VLOOKUP(LEFT(B370,2),'Humanitarian codes'!$A$2:$A$10,1,FALSE)=LEFT(B370,2),"Yes","Error"),"No")</f>
        <v>No</v>
      </c>
      <c r="AE370" s="1"/>
      <c r="AF370" s="1"/>
    </row>
    <row r="371" spans="1:32" hidden="1" x14ac:dyDescent="0.25">
      <c r="A371" t="s">
        <v>710</v>
      </c>
      <c r="B371" t="s">
        <v>607</v>
      </c>
      <c r="C371" t="s">
        <v>543</v>
      </c>
      <c r="D371" t="s">
        <v>608</v>
      </c>
      <c r="E371" t="s">
        <v>477</v>
      </c>
      <c r="F371">
        <v>4500473895</v>
      </c>
      <c r="G371" t="s">
        <v>12</v>
      </c>
      <c r="H371" t="s">
        <v>612</v>
      </c>
      <c r="I371" t="s">
        <v>477</v>
      </c>
      <c r="J371" s="1">
        <v>3382.89</v>
      </c>
      <c r="K371" s="1">
        <v>3382.89</v>
      </c>
      <c r="L371" t="str">
        <f>IFERROR(IF(VLOOKUP(LEFT(B371,2),'Humanitarian codes'!$A$2:$A$10,1,FALSE)=LEFT(B371,2),"Yes","Error"),"No")</f>
        <v>No</v>
      </c>
      <c r="AE371" s="1"/>
      <c r="AF371" s="1"/>
    </row>
    <row r="372" spans="1:32" hidden="1" x14ac:dyDescent="0.25">
      <c r="A372" t="s">
        <v>710</v>
      </c>
      <c r="B372" t="s">
        <v>607</v>
      </c>
      <c r="C372" t="s">
        <v>543</v>
      </c>
      <c r="D372" t="s">
        <v>608</v>
      </c>
      <c r="E372" t="s">
        <v>64</v>
      </c>
      <c r="F372">
        <v>4500476539</v>
      </c>
      <c r="G372" t="s">
        <v>12</v>
      </c>
      <c r="H372" t="s">
        <v>613</v>
      </c>
      <c r="I372" t="s">
        <v>64</v>
      </c>
      <c r="J372" s="1">
        <v>14497.26</v>
      </c>
      <c r="K372" s="1">
        <v>14497.26</v>
      </c>
      <c r="L372" t="str">
        <f>IFERROR(IF(VLOOKUP(LEFT(B372,2),'Humanitarian codes'!$A$2:$A$10,1,FALSE)=LEFT(B372,2),"Yes","Error"),"No")</f>
        <v>No</v>
      </c>
      <c r="AE372" s="1"/>
      <c r="AF372" s="1"/>
    </row>
    <row r="373" spans="1:32" hidden="1" x14ac:dyDescent="0.25">
      <c r="A373" t="s">
        <v>710</v>
      </c>
      <c r="B373" t="s">
        <v>607</v>
      </c>
      <c r="C373" t="s">
        <v>543</v>
      </c>
      <c r="D373" t="s">
        <v>608</v>
      </c>
      <c r="E373" t="s">
        <v>64</v>
      </c>
      <c r="F373">
        <v>4500476541</v>
      </c>
      <c r="G373" t="s">
        <v>12</v>
      </c>
      <c r="H373" t="s">
        <v>614</v>
      </c>
      <c r="I373" t="s">
        <v>64</v>
      </c>
      <c r="J373" s="1">
        <v>10963.59</v>
      </c>
      <c r="K373" s="1">
        <v>10963.59</v>
      </c>
      <c r="L373" t="str">
        <f>IFERROR(IF(VLOOKUP(LEFT(B373,2),'Humanitarian codes'!$A$2:$A$10,1,FALSE)=LEFT(B373,2),"Yes","Error"),"No")</f>
        <v>No</v>
      </c>
      <c r="AE373" s="1"/>
      <c r="AF373" s="1"/>
    </row>
    <row r="374" spans="1:32" hidden="1" x14ac:dyDescent="0.25">
      <c r="A374" t="s">
        <v>710</v>
      </c>
      <c r="B374" t="s">
        <v>607</v>
      </c>
      <c r="C374" t="s">
        <v>543</v>
      </c>
      <c r="D374" t="s">
        <v>608</v>
      </c>
      <c r="E374" t="s">
        <v>64</v>
      </c>
      <c r="F374">
        <v>4500476548</v>
      </c>
      <c r="G374" t="s">
        <v>12</v>
      </c>
      <c r="H374" t="s">
        <v>615</v>
      </c>
      <c r="I374" t="s">
        <v>616</v>
      </c>
      <c r="J374" s="1">
        <v>10777.87</v>
      </c>
      <c r="K374" s="1">
        <v>10777.87</v>
      </c>
      <c r="L374" t="str">
        <f>IFERROR(IF(VLOOKUP(LEFT(B374,2),'Humanitarian codes'!$A$2:$A$10,1,FALSE)=LEFT(B374,2),"Yes","Error"),"No")</f>
        <v>No</v>
      </c>
      <c r="AE374" s="1"/>
      <c r="AF374" s="1"/>
    </row>
    <row r="375" spans="1:32" hidden="1" x14ac:dyDescent="0.25">
      <c r="A375" t="s">
        <v>710</v>
      </c>
      <c r="B375" t="s">
        <v>617</v>
      </c>
      <c r="C375" t="s">
        <v>543</v>
      </c>
      <c r="D375" t="s">
        <v>618</v>
      </c>
      <c r="E375" t="s">
        <v>64</v>
      </c>
      <c r="F375">
        <v>4500479358</v>
      </c>
      <c r="G375" t="s">
        <v>12</v>
      </c>
      <c r="H375" t="s">
        <v>619</v>
      </c>
      <c r="I375" t="s">
        <v>64</v>
      </c>
      <c r="J375" s="1">
        <v>8478.4500000000007</v>
      </c>
      <c r="K375" s="1">
        <v>8478.4500000000007</v>
      </c>
      <c r="L375" t="str">
        <f>IFERROR(IF(VLOOKUP(LEFT(B375,2),'Humanitarian codes'!$A$2:$A$10,1,FALSE)=LEFT(B375,2),"Yes","Error"),"No")</f>
        <v>No</v>
      </c>
      <c r="AE375" s="1"/>
      <c r="AF375" s="1"/>
    </row>
    <row r="376" spans="1:32" hidden="1" x14ac:dyDescent="0.25">
      <c r="A376" t="s">
        <v>710</v>
      </c>
      <c r="B376" t="s">
        <v>617</v>
      </c>
      <c r="C376" t="s">
        <v>543</v>
      </c>
      <c r="D376" t="s">
        <v>618</v>
      </c>
      <c r="E376" t="s">
        <v>64</v>
      </c>
      <c r="F376">
        <v>4500479361</v>
      </c>
      <c r="G376" t="s">
        <v>12</v>
      </c>
      <c r="H376" t="s">
        <v>620</v>
      </c>
      <c r="I376" t="s">
        <v>64</v>
      </c>
      <c r="J376" s="1">
        <v>8483.44</v>
      </c>
      <c r="K376" s="1">
        <v>8483.44</v>
      </c>
      <c r="L376" t="str">
        <f>IFERROR(IF(VLOOKUP(LEFT(B376,2),'Humanitarian codes'!$A$2:$A$10,1,FALSE)=LEFT(B376,2),"Yes","Error"),"No")</f>
        <v>No</v>
      </c>
      <c r="AE376" s="1"/>
      <c r="AF376" s="1"/>
    </row>
    <row r="377" spans="1:32" hidden="1" x14ac:dyDescent="0.25">
      <c r="A377" t="s">
        <v>710</v>
      </c>
      <c r="B377" t="s">
        <v>621</v>
      </c>
      <c r="C377" t="s">
        <v>543</v>
      </c>
      <c r="D377" t="s">
        <v>622</v>
      </c>
      <c r="E377" t="s">
        <v>54</v>
      </c>
      <c r="F377">
        <v>4500457725</v>
      </c>
      <c r="G377" t="s">
        <v>12</v>
      </c>
      <c r="H377" t="s">
        <v>270</v>
      </c>
      <c r="I377" t="s">
        <v>54</v>
      </c>
      <c r="J377" s="1">
        <v>124727.71</v>
      </c>
      <c r="K377" s="1">
        <v>124727.71</v>
      </c>
      <c r="L377" t="str">
        <f>IFERROR(IF(VLOOKUP(LEFT(B377,2),'Humanitarian codes'!$A$2:$A$10,1,FALSE)=LEFT(B377,2),"Yes","Error"),"No")</f>
        <v>No</v>
      </c>
      <c r="AE377" s="1"/>
      <c r="AF377" s="1"/>
    </row>
    <row r="378" spans="1:32" hidden="1" x14ac:dyDescent="0.25">
      <c r="A378" t="s">
        <v>710</v>
      </c>
      <c r="B378" t="s">
        <v>621</v>
      </c>
      <c r="C378" t="s">
        <v>543</v>
      </c>
      <c r="D378" t="s">
        <v>622</v>
      </c>
      <c r="E378" t="s">
        <v>54</v>
      </c>
      <c r="F378">
        <v>4500458178</v>
      </c>
      <c r="G378" t="s">
        <v>12</v>
      </c>
      <c r="H378" t="s">
        <v>269</v>
      </c>
      <c r="I378" t="s">
        <v>54</v>
      </c>
      <c r="J378" s="1">
        <v>56000</v>
      </c>
      <c r="K378" s="1">
        <v>285147.40000000002</v>
      </c>
      <c r="L378" t="str">
        <f>IFERROR(IF(VLOOKUP(LEFT(B378,2),'Humanitarian codes'!$A$2:$A$10,1,FALSE)=LEFT(B378,2),"Yes","Error"),"No")</f>
        <v>No</v>
      </c>
      <c r="AE378" s="1"/>
      <c r="AF378" s="1"/>
    </row>
    <row r="379" spans="1:32" hidden="1" x14ac:dyDescent="0.25">
      <c r="A379" t="s">
        <v>710</v>
      </c>
      <c r="B379" t="s">
        <v>621</v>
      </c>
      <c r="C379" t="s">
        <v>543</v>
      </c>
      <c r="D379" t="s">
        <v>622</v>
      </c>
      <c r="E379" t="s">
        <v>54</v>
      </c>
      <c r="F379">
        <v>4500461468</v>
      </c>
      <c r="G379" t="s">
        <v>12</v>
      </c>
      <c r="H379" t="s">
        <v>270</v>
      </c>
      <c r="I379" t="s">
        <v>54</v>
      </c>
      <c r="J379" s="1">
        <v>80048.19</v>
      </c>
      <c r="K379" s="1">
        <v>262124.59</v>
      </c>
      <c r="L379" t="str">
        <f>IFERROR(IF(VLOOKUP(LEFT(B379,2),'Humanitarian codes'!$A$2:$A$10,1,FALSE)=LEFT(B379,2),"Yes","Error"),"No")</f>
        <v>No</v>
      </c>
      <c r="AE379" s="1"/>
      <c r="AF379" s="1"/>
    </row>
    <row r="380" spans="1:32" hidden="1" x14ac:dyDescent="0.25">
      <c r="A380" t="s">
        <v>710</v>
      </c>
      <c r="B380" t="s">
        <v>621</v>
      </c>
      <c r="C380" t="s">
        <v>543</v>
      </c>
      <c r="D380" t="s">
        <v>622</v>
      </c>
      <c r="E380" t="s">
        <v>54</v>
      </c>
      <c r="F380">
        <v>4500463525</v>
      </c>
      <c r="G380" t="s">
        <v>12</v>
      </c>
      <c r="H380" t="s">
        <v>272</v>
      </c>
      <c r="I380" t="s">
        <v>54</v>
      </c>
      <c r="J380">
        <v>891.57</v>
      </c>
      <c r="K380" s="1">
        <v>177203.79</v>
      </c>
      <c r="L380" t="str">
        <f>IFERROR(IF(VLOOKUP(LEFT(B380,2),'Humanitarian codes'!$A$2:$A$10,1,FALSE)=LEFT(B380,2),"Yes","Error"),"No")</f>
        <v>No</v>
      </c>
      <c r="AE380" s="1"/>
      <c r="AF380" s="1"/>
    </row>
    <row r="381" spans="1:32" hidden="1" x14ac:dyDescent="0.25">
      <c r="A381" t="s">
        <v>710</v>
      </c>
      <c r="B381" t="s">
        <v>621</v>
      </c>
      <c r="C381" t="s">
        <v>543</v>
      </c>
      <c r="D381" t="s">
        <v>622</v>
      </c>
      <c r="E381" t="s">
        <v>54</v>
      </c>
      <c r="F381">
        <v>4500464391</v>
      </c>
      <c r="G381" t="s">
        <v>12</v>
      </c>
      <c r="H381" t="s">
        <v>273</v>
      </c>
      <c r="I381" t="s">
        <v>54</v>
      </c>
      <c r="J381" s="1">
        <v>33098.800000000003</v>
      </c>
      <c r="K381" s="1">
        <v>203074.7</v>
      </c>
      <c r="L381" t="str">
        <f>IFERROR(IF(VLOOKUP(LEFT(B381,2),'Humanitarian codes'!$A$2:$A$10,1,FALSE)=LEFT(B381,2),"Yes","Error"),"No")</f>
        <v>No</v>
      </c>
      <c r="AE381" s="1"/>
      <c r="AF381" s="1"/>
    </row>
    <row r="382" spans="1:32" hidden="1" x14ac:dyDescent="0.25">
      <c r="A382" t="s">
        <v>710</v>
      </c>
      <c r="B382" t="s">
        <v>621</v>
      </c>
      <c r="C382" t="s">
        <v>543</v>
      </c>
      <c r="D382" t="s">
        <v>622</v>
      </c>
      <c r="E382" t="s">
        <v>54</v>
      </c>
      <c r="F382">
        <v>4500464426</v>
      </c>
      <c r="G382" t="s">
        <v>12</v>
      </c>
      <c r="H382" t="s">
        <v>274</v>
      </c>
      <c r="I382" t="s">
        <v>54</v>
      </c>
      <c r="J382">
        <v>869.88</v>
      </c>
      <c r="K382" s="1">
        <v>219154.61</v>
      </c>
      <c r="L382" t="str">
        <f>IFERROR(IF(VLOOKUP(LEFT(B382,2),'Humanitarian codes'!$A$2:$A$10,1,FALSE)=LEFT(B382,2),"Yes","Error"),"No")</f>
        <v>No</v>
      </c>
      <c r="AE382" s="1"/>
      <c r="AF382" s="1"/>
    </row>
    <row r="383" spans="1:32" hidden="1" x14ac:dyDescent="0.25">
      <c r="A383" t="s">
        <v>710</v>
      </c>
      <c r="B383" t="s">
        <v>621</v>
      </c>
      <c r="C383" t="s">
        <v>543</v>
      </c>
      <c r="D383" t="s">
        <v>622</v>
      </c>
      <c r="E383" t="s">
        <v>54</v>
      </c>
      <c r="F383">
        <v>4500464587</v>
      </c>
      <c r="G383" t="s">
        <v>12</v>
      </c>
      <c r="H383" t="s">
        <v>275</v>
      </c>
      <c r="I383" t="s">
        <v>54</v>
      </c>
      <c r="J383" s="1">
        <v>1084.3399999999999</v>
      </c>
      <c r="K383" s="1">
        <v>206147.43</v>
      </c>
      <c r="L383" t="str">
        <f>IFERROR(IF(VLOOKUP(LEFT(B383,2),'Humanitarian codes'!$A$2:$A$10,1,FALSE)=LEFT(B383,2),"Yes","Error"),"No")</f>
        <v>No</v>
      </c>
      <c r="AE383" s="1"/>
      <c r="AF383" s="1"/>
    </row>
    <row r="384" spans="1:32" hidden="1" x14ac:dyDescent="0.25">
      <c r="A384" t="s">
        <v>710</v>
      </c>
      <c r="B384" t="s">
        <v>621</v>
      </c>
      <c r="C384" t="s">
        <v>543</v>
      </c>
      <c r="D384" t="s">
        <v>622</v>
      </c>
      <c r="E384" t="s">
        <v>54</v>
      </c>
      <c r="F384">
        <v>4500464614</v>
      </c>
      <c r="G384" t="s">
        <v>12</v>
      </c>
      <c r="H384" t="s">
        <v>276</v>
      </c>
      <c r="I384" t="s">
        <v>54</v>
      </c>
      <c r="J384" s="1">
        <v>75023.62</v>
      </c>
      <c r="K384" s="1">
        <v>441364.42</v>
      </c>
      <c r="L384" t="str">
        <f>IFERROR(IF(VLOOKUP(LEFT(B384,2),'Humanitarian codes'!$A$2:$A$10,1,FALSE)=LEFT(B384,2),"Yes","Error"),"No")</f>
        <v>No</v>
      </c>
      <c r="AE384" s="1"/>
      <c r="AF384" s="1"/>
    </row>
    <row r="385" spans="1:32" hidden="1" x14ac:dyDescent="0.25">
      <c r="A385" t="s">
        <v>710</v>
      </c>
      <c r="B385" t="s">
        <v>621</v>
      </c>
      <c r="C385" t="s">
        <v>543</v>
      </c>
      <c r="D385" t="s">
        <v>622</v>
      </c>
      <c r="E385" t="s">
        <v>54</v>
      </c>
      <c r="F385">
        <v>4500464667</v>
      </c>
      <c r="G385" t="s">
        <v>12</v>
      </c>
      <c r="H385" t="s">
        <v>277</v>
      </c>
      <c r="I385" t="s">
        <v>54</v>
      </c>
      <c r="J385" s="1">
        <v>2072.29</v>
      </c>
      <c r="K385" s="1">
        <v>242143.11</v>
      </c>
      <c r="L385" t="str">
        <f>IFERROR(IF(VLOOKUP(LEFT(B385,2),'Humanitarian codes'!$A$2:$A$10,1,FALSE)=LEFT(B385,2),"Yes","Error"),"No")</f>
        <v>No</v>
      </c>
      <c r="AE385" s="1"/>
      <c r="AF385" s="1"/>
    </row>
    <row r="386" spans="1:32" hidden="1" x14ac:dyDescent="0.25">
      <c r="A386" t="s">
        <v>710</v>
      </c>
      <c r="B386" t="s">
        <v>621</v>
      </c>
      <c r="C386" t="s">
        <v>543</v>
      </c>
      <c r="D386" t="s">
        <v>622</v>
      </c>
      <c r="E386" t="s">
        <v>54</v>
      </c>
      <c r="F386">
        <v>4500464934</v>
      </c>
      <c r="G386" t="s">
        <v>12</v>
      </c>
      <c r="H386" t="s">
        <v>278</v>
      </c>
      <c r="I386" t="s">
        <v>54</v>
      </c>
      <c r="J386" s="1">
        <v>47465.13</v>
      </c>
      <c r="K386" s="1">
        <v>267987.49</v>
      </c>
      <c r="L386" t="str">
        <f>IFERROR(IF(VLOOKUP(LEFT(B386,2),'Humanitarian codes'!$A$2:$A$10,1,FALSE)=LEFT(B386,2),"Yes","Error"),"No")</f>
        <v>No</v>
      </c>
      <c r="AE386" s="1"/>
      <c r="AF386" s="1"/>
    </row>
    <row r="387" spans="1:32" hidden="1" x14ac:dyDescent="0.25">
      <c r="A387" t="s">
        <v>710</v>
      </c>
      <c r="B387" t="s">
        <v>621</v>
      </c>
      <c r="C387" t="s">
        <v>543</v>
      </c>
      <c r="D387" t="s">
        <v>622</v>
      </c>
      <c r="E387" t="s">
        <v>54</v>
      </c>
      <c r="F387">
        <v>4500465854</v>
      </c>
      <c r="G387" t="s">
        <v>12</v>
      </c>
      <c r="H387" t="s">
        <v>280</v>
      </c>
      <c r="I387" t="s">
        <v>54</v>
      </c>
      <c r="J387" s="1">
        <v>3759.04</v>
      </c>
      <c r="K387" s="1">
        <v>385605.34</v>
      </c>
      <c r="L387" t="str">
        <f>IFERROR(IF(VLOOKUP(LEFT(B387,2),'Humanitarian codes'!$A$2:$A$10,1,FALSE)=LEFT(B387,2),"Yes","Error"),"No")</f>
        <v>No</v>
      </c>
      <c r="AE387" s="1"/>
      <c r="AF387" s="1"/>
    </row>
    <row r="388" spans="1:32" hidden="1" x14ac:dyDescent="0.25">
      <c r="A388" t="s">
        <v>710</v>
      </c>
      <c r="B388" t="s">
        <v>623</v>
      </c>
      <c r="C388" t="s">
        <v>543</v>
      </c>
      <c r="D388" t="s">
        <v>624</v>
      </c>
      <c r="E388" t="s">
        <v>76</v>
      </c>
      <c r="F388">
        <v>4500478844</v>
      </c>
      <c r="G388" t="s">
        <v>12</v>
      </c>
      <c r="H388" t="s">
        <v>77</v>
      </c>
      <c r="I388" t="s">
        <v>76</v>
      </c>
      <c r="J388" s="1">
        <v>37311.39</v>
      </c>
      <c r="K388" s="1">
        <v>87242.81</v>
      </c>
      <c r="L388" t="str">
        <f>IFERROR(IF(VLOOKUP(LEFT(B388,2),'Humanitarian codes'!$A$2:$A$10,1,FALSE)=LEFT(B388,2),"Yes","Error"),"No")</f>
        <v>No</v>
      </c>
      <c r="AE388" s="1"/>
      <c r="AF388" s="1"/>
    </row>
    <row r="389" spans="1:32" hidden="1" x14ac:dyDescent="0.25">
      <c r="A389" t="s">
        <v>710</v>
      </c>
      <c r="B389" t="s">
        <v>623</v>
      </c>
      <c r="C389" t="s">
        <v>543</v>
      </c>
      <c r="D389" t="s">
        <v>624</v>
      </c>
      <c r="E389" t="s">
        <v>76</v>
      </c>
      <c r="F389">
        <v>4500478886</v>
      </c>
      <c r="G389" t="s">
        <v>12</v>
      </c>
      <c r="H389" t="s">
        <v>78</v>
      </c>
      <c r="I389" t="s">
        <v>76</v>
      </c>
      <c r="J389" s="1">
        <v>36213.99</v>
      </c>
      <c r="K389" s="1">
        <v>83683.95</v>
      </c>
      <c r="L389" t="str">
        <f>IFERROR(IF(VLOOKUP(LEFT(B389,2),'Humanitarian codes'!$A$2:$A$10,1,FALSE)=LEFT(B389,2),"Yes","Error"),"No")</f>
        <v>No</v>
      </c>
      <c r="AE389" s="1"/>
      <c r="AF389" s="1"/>
    </row>
    <row r="390" spans="1:32" hidden="1" x14ac:dyDescent="0.25">
      <c r="A390" t="s">
        <v>710</v>
      </c>
      <c r="B390" t="s">
        <v>623</v>
      </c>
      <c r="C390" t="s">
        <v>543</v>
      </c>
      <c r="D390" t="s">
        <v>624</v>
      </c>
      <c r="E390" t="s">
        <v>76</v>
      </c>
      <c r="F390">
        <v>4500479261</v>
      </c>
      <c r="G390" t="s">
        <v>12</v>
      </c>
      <c r="H390" t="s">
        <v>79</v>
      </c>
      <c r="I390" t="s">
        <v>76</v>
      </c>
      <c r="J390" s="1">
        <v>11950.62</v>
      </c>
      <c r="K390" s="1">
        <v>83524.009999999995</v>
      </c>
      <c r="L390" t="str">
        <f>IFERROR(IF(VLOOKUP(LEFT(B390,2),'Humanitarian codes'!$A$2:$A$10,1,FALSE)=LEFT(B390,2),"Yes","Error"),"No")</f>
        <v>No</v>
      </c>
      <c r="AE390" s="1"/>
      <c r="AF390" s="1"/>
    </row>
    <row r="391" spans="1:32" hidden="1" x14ac:dyDescent="0.25">
      <c r="A391" t="s">
        <v>710</v>
      </c>
      <c r="B391" t="s">
        <v>623</v>
      </c>
      <c r="C391" t="s">
        <v>543</v>
      </c>
      <c r="D391" t="s">
        <v>624</v>
      </c>
      <c r="E391" t="s">
        <v>76</v>
      </c>
      <c r="F391">
        <v>4500480143</v>
      </c>
      <c r="G391" t="s">
        <v>12</v>
      </c>
      <c r="H391" t="s">
        <v>314</v>
      </c>
      <c r="I391" t="s">
        <v>76</v>
      </c>
      <c r="J391" s="1">
        <v>82853.22</v>
      </c>
      <c r="K391" s="1">
        <v>118141.56</v>
      </c>
      <c r="L391" t="str">
        <f>IFERROR(IF(VLOOKUP(LEFT(B391,2),'Humanitarian codes'!$A$2:$A$10,1,FALSE)=LEFT(B391,2),"Yes","Error"),"No")</f>
        <v>No</v>
      </c>
      <c r="AE391" s="1"/>
      <c r="AF391" s="1"/>
    </row>
    <row r="392" spans="1:32" hidden="1" x14ac:dyDescent="0.25">
      <c r="A392" t="s">
        <v>710</v>
      </c>
      <c r="B392" t="s">
        <v>623</v>
      </c>
      <c r="C392" t="s">
        <v>543</v>
      </c>
      <c r="D392" t="s">
        <v>624</v>
      </c>
      <c r="E392" t="s">
        <v>76</v>
      </c>
      <c r="F392">
        <v>4500481336</v>
      </c>
      <c r="G392" t="s">
        <v>12</v>
      </c>
      <c r="H392" t="s">
        <v>80</v>
      </c>
      <c r="I392" t="s">
        <v>76</v>
      </c>
      <c r="J392" s="1">
        <v>16625.52</v>
      </c>
      <c r="K392" s="1">
        <v>50403.3</v>
      </c>
      <c r="L392" t="str">
        <f>IFERROR(IF(VLOOKUP(LEFT(B392,2),'Humanitarian codes'!$A$2:$A$10,1,FALSE)=LEFT(B392,2),"Yes","Error"),"No")</f>
        <v>No</v>
      </c>
      <c r="AE392" s="1"/>
      <c r="AF392" s="1"/>
    </row>
    <row r="393" spans="1:32" hidden="1" x14ac:dyDescent="0.25">
      <c r="A393" t="s">
        <v>710</v>
      </c>
      <c r="B393" t="s">
        <v>625</v>
      </c>
      <c r="C393" t="s">
        <v>543</v>
      </c>
      <c r="D393" t="s">
        <v>626</v>
      </c>
      <c r="E393" t="s">
        <v>210</v>
      </c>
      <c r="F393">
        <v>4500463006</v>
      </c>
      <c r="G393" t="s">
        <v>12</v>
      </c>
      <c r="H393" t="s">
        <v>627</v>
      </c>
      <c r="I393" t="s">
        <v>210</v>
      </c>
      <c r="J393" s="1">
        <v>83052.710000000006</v>
      </c>
      <c r="K393" s="1">
        <v>83052.710000000006</v>
      </c>
      <c r="L393" t="str">
        <f>IFERROR(IF(VLOOKUP(LEFT(B393,2),'Humanitarian codes'!$A$2:$A$10,1,FALSE)=LEFT(B393,2),"Yes","Error"),"No")</f>
        <v>No</v>
      </c>
      <c r="AE393" s="1"/>
      <c r="AF393" s="1"/>
    </row>
    <row r="394" spans="1:32" hidden="1" x14ac:dyDescent="0.25">
      <c r="A394" t="s">
        <v>710</v>
      </c>
      <c r="B394" t="s">
        <v>628</v>
      </c>
      <c r="C394" t="s">
        <v>543</v>
      </c>
      <c r="D394" t="s">
        <v>629</v>
      </c>
      <c r="E394" t="s">
        <v>155</v>
      </c>
      <c r="F394">
        <v>4500477798</v>
      </c>
      <c r="G394" t="s">
        <v>12</v>
      </c>
      <c r="H394" t="s">
        <v>630</v>
      </c>
      <c r="I394" t="s">
        <v>155</v>
      </c>
      <c r="J394" s="1">
        <v>625030</v>
      </c>
      <c r="K394" s="1">
        <v>625030</v>
      </c>
      <c r="L394" t="str">
        <f>IFERROR(IF(VLOOKUP(LEFT(B394,2),'Humanitarian codes'!$A$2:$A$10,1,FALSE)=LEFT(B394,2),"Yes","Error"),"No")</f>
        <v>No</v>
      </c>
      <c r="AE394" s="1"/>
      <c r="AF394" s="1"/>
    </row>
    <row r="395" spans="1:32" hidden="1" x14ac:dyDescent="0.25">
      <c r="A395" t="s">
        <v>710</v>
      </c>
      <c r="B395" t="s">
        <v>631</v>
      </c>
      <c r="C395" t="s">
        <v>543</v>
      </c>
      <c r="D395" t="s">
        <v>632</v>
      </c>
      <c r="E395" t="s">
        <v>123</v>
      </c>
      <c r="F395">
        <v>4500481907</v>
      </c>
      <c r="G395" t="s">
        <v>12</v>
      </c>
      <c r="H395" t="s">
        <v>633</v>
      </c>
      <c r="I395" t="s">
        <v>123</v>
      </c>
      <c r="J395" s="1">
        <v>968284.57</v>
      </c>
      <c r="K395" s="1">
        <v>968284.57</v>
      </c>
      <c r="L395" t="str">
        <f>IFERROR(IF(VLOOKUP(LEFT(B395,2),'Humanitarian codes'!$A$2:$A$10,1,FALSE)=LEFT(B395,2),"Yes","Error"),"No")</f>
        <v>No</v>
      </c>
      <c r="AE395" s="1"/>
      <c r="AF395" s="1"/>
    </row>
    <row r="396" spans="1:32" hidden="1" x14ac:dyDescent="0.25">
      <c r="A396" t="s">
        <v>710</v>
      </c>
      <c r="B396" t="s">
        <v>634</v>
      </c>
      <c r="C396" t="s">
        <v>543</v>
      </c>
      <c r="D396" t="s">
        <v>635</v>
      </c>
      <c r="E396" t="s">
        <v>477</v>
      </c>
      <c r="F396">
        <v>4500468261</v>
      </c>
      <c r="G396" t="s">
        <v>12</v>
      </c>
      <c r="H396" t="s">
        <v>636</v>
      </c>
      <c r="I396" t="s">
        <v>477</v>
      </c>
      <c r="J396" s="1">
        <v>69901.600000000006</v>
      </c>
      <c r="K396" s="1">
        <v>69901.600000000006</v>
      </c>
      <c r="L396" t="str">
        <f>IFERROR(IF(VLOOKUP(LEFT(B396,2),'Humanitarian codes'!$A$2:$A$10,1,FALSE)=LEFT(B396,2),"Yes","Error"),"No")</f>
        <v>No</v>
      </c>
      <c r="AE396" s="1"/>
      <c r="AF396" s="1"/>
    </row>
    <row r="397" spans="1:32" hidden="1" x14ac:dyDescent="0.25">
      <c r="A397" t="s">
        <v>710</v>
      </c>
      <c r="B397" t="s">
        <v>637</v>
      </c>
      <c r="C397" t="s">
        <v>543</v>
      </c>
      <c r="D397" t="s">
        <v>638</v>
      </c>
      <c r="E397" t="s">
        <v>76</v>
      </c>
      <c r="F397">
        <v>4500481336</v>
      </c>
      <c r="G397" t="s">
        <v>12</v>
      </c>
      <c r="H397" t="s">
        <v>80</v>
      </c>
      <c r="I397" t="s">
        <v>76</v>
      </c>
      <c r="J397" s="1">
        <v>4005.49</v>
      </c>
      <c r="K397" s="1">
        <v>50403.3</v>
      </c>
      <c r="L397" t="str">
        <f>IFERROR(IF(VLOOKUP(LEFT(B397,2),'Humanitarian codes'!$A$2:$A$10,1,FALSE)=LEFT(B397,2),"Yes","Error"),"No")</f>
        <v>No</v>
      </c>
      <c r="AE397" s="1"/>
      <c r="AF397" s="1"/>
    </row>
    <row r="398" spans="1:32" hidden="1" x14ac:dyDescent="0.25">
      <c r="A398" t="s">
        <v>710</v>
      </c>
      <c r="B398" t="s">
        <v>639</v>
      </c>
      <c r="C398" t="s">
        <v>543</v>
      </c>
      <c r="D398" t="s">
        <v>640</v>
      </c>
      <c r="E398" t="s">
        <v>25</v>
      </c>
      <c r="F398">
        <v>4500463993</v>
      </c>
      <c r="G398" t="s">
        <v>12</v>
      </c>
      <c r="H398" t="s">
        <v>641</v>
      </c>
      <c r="I398" t="s">
        <v>25</v>
      </c>
      <c r="J398" s="1">
        <v>121777.96</v>
      </c>
      <c r="K398" s="1">
        <v>121777.96</v>
      </c>
      <c r="L398" t="str">
        <f>IFERROR(IF(VLOOKUP(LEFT(B398,2),'Humanitarian codes'!$A$2:$A$10,1,FALSE)=LEFT(B398,2),"Yes","Error"),"No")</f>
        <v>No</v>
      </c>
      <c r="AE398" s="1"/>
      <c r="AF398" s="1"/>
    </row>
    <row r="399" spans="1:32" hidden="1" x14ac:dyDescent="0.25">
      <c r="A399" t="s">
        <v>710</v>
      </c>
      <c r="B399" t="s">
        <v>639</v>
      </c>
      <c r="C399" t="s">
        <v>543</v>
      </c>
      <c r="D399" t="s">
        <v>640</v>
      </c>
      <c r="E399" t="s">
        <v>25</v>
      </c>
      <c r="F399">
        <v>4500475253</v>
      </c>
      <c r="G399" t="s">
        <v>12</v>
      </c>
      <c r="H399" t="s">
        <v>527</v>
      </c>
      <c r="I399" t="s">
        <v>25</v>
      </c>
      <c r="J399">
        <v>299.88</v>
      </c>
      <c r="K399" s="1">
        <v>14954.02</v>
      </c>
      <c r="L399" t="str">
        <f>IFERROR(IF(VLOOKUP(LEFT(B399,2),'Humanitarian codes'!$A$2:$A$10,1,FALSE)=LEFT(B399,2),"Yes","Error"),"No")</f>
        <v>No</v>
      </c>
      <c r="AE399" s="1"/>
      <c r="AF399" s="1"/>
    </row>
    <row r="400" spans="1:32" hidden="1" x14ac:dyDescent="0.25">
      <c r="A400" t="s">
        <v>710</v>
      </c>
      <c r="B400" t="s">
        <v>639</v>
      </c>
      <c r="C400" t="s">
        <v>543</v>
      </c>
      <c r="D400" t="s">
        <v>640</v>
      </c>
      <c r="E400" t="s">
        <v>25</v>
      </c>
      <c r="F400">
        <v>4500476508</v>
      </c>
      <c r="G400" t="s">
        <v>12</v>
      </c>
      <c r="H400" t="s">
        <v>642</v>
      </c>
      <c r="I400" t="s">
        <v>25</v>
      </c>
      <c r="J400" s="1">
        <v>118652.54</v>
      </c>
      <c r="K400" s="1">
        <v>118652.54</v>
      </c>
      <c r="L400" t="str">
        <f>IFERROR(IF(VLOOKUP(LEFT(B400,2),'Humanitarian codes'!$A$2:$A$10,1,FALSE)=LEFT(B400,2),"Yes","Error"),"No")</f>
        <v>No</v>
      </c>
      <c r="AE400" s="1"/>
      <c r="AF400" s="1"/>
    </row>
    <row r="401" spans="1:32" hidden="1" x14ac:dyDescent="0.25">
      <c r="A401" t="s">
        <v>710</v>
      </c>
      <c r="B401" t="s">
        <v>639</v>
      </c>
      <c r="C401" t="s">
        <v>543</v>
      </c>
      <c r="D401" t="s">
        <v>640</v>
      </c>
      <c r="E401" t="s">
        <v>25</v>
      </c>
      <c r="F401">
        <v>4500476717</v>
      </c>
      <c r="G401" t="s">
        <v>12</v>
      </c>
      <c r="H401" t="s">
        <v>643</v>
      </c>
      <c r="I401" t="s">
        <v>25</v>
      </c>
      <c r="J401" s="1">
        <v>143488.60999999999</v>
      </c>
      <c r="K401" s="1">
        <v>143488.60999999999</v>
      </c>
      <c r="L401" t="str">
        <f>IFERROR(IF(VLOOKUP(LEFT(B401,2),'Humanitarian codes'!$A$2:$A$10,1,FALSE)=LEFT(B401,2),"Yes","Error"),"No")</f>
        <v>No</v>
      </c>
      <c r="AE401" s="1"/>
      <c r="AF401" s="1"/>
    </row>
    <row r="402" spans="1:32" hidden="1" x14ac:dyDescent="0.25">
      <c r="A402" t="s">
        <v>710</v>
      </c>
      <c r="B402" t="s">
        <v>639</v>
      </c>
      <c r="C402" t="s">
        <v>543</v>
      </c>
      <c r="D402" t="s">
        <v>640</v>
      </c>
      <c r="E402" t="s">
        <v>25</v>
      </c>
      <c r="F402">
        <v>4500481141</v>
      </c>
      <c r="G402" t="s">
        <v>12</v>
      </c>
      <c r="H402" t="s">
        <v>526</v>
      </c>
      <c r="I402" t="s">
        <v>25</v>
      </c>
      <c r="J402" s="1">
        <v>57531.98</v>
      </c>
      <c r="K402" s="1">
        <v>57531.98</v>
      </c>
      <c r="L402" t="str">
        <f>IFERROR(IF(VLOOKUP(LEFT(B402,2),'Humanitarian codes'!$A$2:$A$10,1,FALSE)=LEFT(B402,2),"Yes","Error"),"No")</f>
        <v>No</v>
      </c>
      <c r="AE402" s="1"/>
      <c r="AF402" s="1"/>
    </row>
    <row r="403" spans="1:32" hidden="1" x14ac:dyDescent="0.25">
      <c r="A403" t="s">
        <v>710</v>
      </c>
      <c r="B403" t="s">
        <v>644</v>
      </c>
      <c r="C403" t="s">
        <v>543</v>
      </c>
      <c r="D403" t="s">
        <v>645</v>
      </c>
      <c r="E403" t="s">
        <v>330</v>
      </c>
      <c r="F403">
        <v>4500480535</v>
      </c>
      <c r="G403" t="s">
        <v>12</v>
      </c>
      <c r="H403" t="s">
        <v>360</v>
      </c>
      <c r="I403" t="s">
        <v>330</v>
      </c>
      <c r="J403" s="1">
        <v>31613.86</v>
      </c>
      <c r="K403" s="1">
        <v>63786.720000000001</v>
      </c>
      <c r="L403" t="str">
        <f>IFERROR(IF(VLOOKUP(LEFT(B403,2),'Humanitarian codes'!$A$2:$A$10,1,FALSE)=LEFT(B403,2),"Yes","Error"),"No")</f>
        <v>No</v>
      </c>
      <c r="AF403" s="1"/>
    </row>
    <row r="404" spans="1:32" hidden="1" x14ac:dyDescent="0.25">
      <c r="A404" t="s">
        <v>710</v>
      </c>
      <c r="B404" t="s">
        <v>644</v>
      </c>
      <c r="C404" t="s">
        <v>543</v>
      </c>
      <c r="D404" t="s">
        <v>645</v>
      </c>
      <c r="E404" t="s">
        <v>128</v>
      </c>
      <c r="F404">
        <v>4500481758</v>
      </c>
      <c r="G404" t="s">
        <v>12</v>
      </c>
      <c r="H404" t="s">
        <v>646</v>
      </c>
      <c r="I404" t="s">
        <v>128</v>
      </c>
      <c r="J404" s="1">
        <v>280000</v>
      </c>
      <c r="K404" s="1">
        <v>280000</v>
      </c>
      <c r="L404" t="str">
        <f>IFERROR(IF(VLOOKUP(LEFT(B404,2),'Humanitarian codes'!$A$2:$A$10,1,FALSE)=LEFT(B404,2),"Yes","Error"),"No")</f>
        <v>No</v>
      </c>
      <c r="AE404" s="1"/>
      <c r="AF404" s="1"/>
    </row>
    <row r="405" spans="1:32" hidden="1" x14ac:dyDescent="0.25">
      <c r="A405" t="s">
        <v>710</v>
      </c>
      <c r="B405" t="s">
        <v>647</v>
      </c>
      <c r="C405" t="s">
        <v>543</v>
      </c>
      <c r="D405" t="s">
        <v>648</v>
      </c>
      <c r="E405" t="s">
        <v>649</v>
      </c>
      <c r="F405">
        <v>4500469247</v>
      </c>
      <c r="G405" t="s">
        <v>12</v>
      </c>
      <c r="H405" t="s">
        <v>650</v>
      </c>
      <c r="I405" t="s">
        <v>649</v>
      </c>
      <c r="J405" s="1">
        <v>222451.19</v>
      </c>
      <c r="K405" s="1">
        <v>222451.19</v>
      </c>
      <c r="L405" t="str">
        <f>IFERROR(IF(VLOOKUP(LEFT(B405,2),'Humanitarian codes'!$A$2:$A$10,1,FALSE)=LEFT(B405,2),"Yes","Error"),"No")</f>
        <v>No</v>
      </c>
      <c r="AE405" s="1"/>
      <c r="AF405" s="1"/>
    </row>
    <row r="406" spans="1:32" hidden="1" x14ac:dyDescent="0.25">
      <c r="A406" t="s">
        <v>710</v>
      </c>
      <c r="B406" t="s">
        <v>651</v>
      </c>
      <c r="C406" t="s">
        <v>543</v>
      </c>
      <c r="D406" t="s">
        <v>652</v>
      </c>
      <c r="E406" t="s">
        <v>45</v>
      </c>
      <c r="F406">
        <v>4500458764</v>
      </c>
      <c r="G406" t="s">
        <v>12</v>
      </c>
      <c r="H406" t="s">
        <v>653</v>
      </c>
      <c r="I406" t="s">
        <v>45</v>
      </c>
      <c r="J406" s="1">
        <v>111360</v>
      </c>
      <c r="K406" s="1">
        <v>111360</v>
      </c>
      <c r="L406" t="str">
        <f>IFERROR(IF(VLOOKUP(LEFT(B406,2),'Humanitarian codes'!$A$2:$A$10,1,FALSE)=LEFT(B406,2),"Yes","Error"),"No")</f>
        <v>No</v>
      </c>
      <c r="AE406" s="1"/>
      <c r="AF406" s="1"/>
    </row>
    <row r="407" spans="1:32" hidden="1" x14ac:dyDescent="0.25">
      <c r="A407" t="s">
        <v>710</v>
      </c>
      <c r="B407" t="s">
        <v>654</v>
      </c>
      <c r="C407" t="s">
        <v>543</v>
      </c>
      <c r="D407" t="s">
        <v>655</v>
      </c>
      <c r="E407" t="s">
        <v>350</v>
      </c>
      <c r="F407">
        <v>4500461449</v>
      </c>
      <c r="G407" t="s">
        <v>12</v>
      </c>
      <c r="H407" t="s">
        <v>555</v>
      </c>
      <c r="I407" t="s">
        <v>350</v>
      </c>
      <c r="J407" s="1">
        <v>6698.58</v>
      </c>
      <c r="K407" s="1">
        <v>46133.5</v>
      </c>
      <c r="L407" t="str">
        <f>IFERROR(IF(VLOOKUP(LEFT(B407,2),'Humanitarian codes'!$A$2:$A$10,1,FALSE)=LEFT(B407,2),"Yes","Error"),"No")</f>
        <v>No</v>
      </c>
      <c r="AE407" s="1"/>
      <c r="AF407" s="1"/>
    </row>
    <row r="408" spans="1:32" hidden="1" x14ac:dyDescent="0.25">
      <c r="A408" t="s">
        <v>710</v>
      </c>
      <c r="B408" t="s">
        <v>656</v>
      </c>
      <c r="C408" t="s">
        <v>543</v>
      </c>
      <c r="D408" t="s">
        <v>657</v>
      </c>
      <c r="E408" t="s">
        <v>45</v>
      </c>
      <c r="F408">
        <v>4500471887</v>
      </c>
      <c r="G408" t="s">
        <v>12</v>
      </c>
      <c r="H408" t="s">
        <v>658</v>
      </c>
      <c r="I408" t="s">
        <v>45</v>
      </c>
      <c r="J408" s="1">
        <v>135275</v>
      </c>
      <c r="K408" s="1">
        <v>135275</v>
      </c>
      <c r="L408" t="str">
        <f>IFERROR(IF(VLOOKUP(LEFT(B408,2),'Humanitarian codes'!$A$2:$A$10,1,FALSE)=LEFT(B408,2),"Yes","Error"),"No")</f>
        <v>No</v>
      </c>
      <c r="AE408" s="1"/>
      <c r="AF408" s="1"/>
    </row>
    <row r="409" spans="1:32" hidden="1" x14ac:dyDescent="0.25">
      <c r="A409" t="s">
        <v>710</v>
      </c>
      <c r="B409" t="s">
        <v>656</v>
      </c>
      <c r="C409" t="s">
        <v>543</v>
      </c>
      <c r="D409" t="s">
        <v>657</v>
      </c>
      <c r="E409" t="s">
        <v>45</v>
      </c>
      <c r="F409">
        <v>4500471888</v>
      </c>
      <c r="G409" t="s">
        <v>12</v>
      </c>
      <c r="H409" t="s">
        <v>541</v>
      </c>
      <c r="I409" t="s">
        <v>45</v>
      </c>
      <c r="J409" s="1">
        <v>53748</v>
      </c>
      <c r="K409" s="1">
        <v>153748</v>
      </c>
      <c r="L409" t="str">
        <f>IFERROR(IF(VLOOKUP(LEFT(B409,2),'Humanitarian codes'!$A$2:$A$10,1,FALSE)=LEFT(B409,2),"Yes","Error"),"No")</f>
        <v>No</v>
      </c>
      <c r="AE409" s="1"/>
      <c r="AF409" s="1"/>
    </row>
    <row r="410" spans="1:32" hidden="1" x14ac:dyDescent="0.25">
      <c r="A410" t="s">
        <v>710</v>
      </c>
      <c r="B410" t="s">
        <v>659</v>
      </c>
      <c r="C410" t="s">
        <v>543</v>
      </c>
      <c r="D410" t="s">
        <v>660</v>
      </c>
      <c r="E410" t="s">
        <v>504</v>
      </c>
      <c r="F410">
        <v>4500472300</v>
      </c>
      <c r="G410" t="s">
        <v>12</v>
      </c>
      <c r="H410" t="s">
        <v>609</v>
      </c>
      <c r="I410" t="s">
        <v>504</v>
      </c>
      <c r="J410" s="1">
        <v>2295.64</v>
      </c>
      <c r="K410" s="1">
        <v>2812.26</v>
      </c>
      <c r="L410" t="str">
        <f>IFERROR(IF(VLOOKUP(LEFT(B410,2),'Humanitarian codes'!$A$2:$A$10,1,FALSE)=LEFT(B410,2),"Yes","Error"),"No")</f>
        <v>No</v>
      </c>
      <c r="AE410" s="1"/>
      <c r="AF410" s="1"/>
    </row>
    <row r="411" spans="1:32" hidden="1" x14ac:dyDescent="0.25">
      <c r="A411" t="s">
        <v>710</v>
      </c>
      <c r="B411" t="s">
        <v>661</v>
      </c>
      <c r="C411" t="s">
        <v>543</v>
      </c>
      <c r="D411" t="s">
        <v>662</v>
      </c>
      <c r="E411" t="s">
        <v>663</v>
      </c>
      <c r="F411">
        <v>4500467701</v>
      </c>
      <c r="G411" t="s">
        <v>12</v>
      </c>
      <c r="H411" t="s">
        <v>664</v>
      </c>
      <c r="I411" t="s">
        <v>663</v>
      </c>
      <c r="J411" s="1">
        <v>133496.63</v>
      </c>
      <c r="K411" s="1">
        <v>133496.63</v>
      </c>
      <c r="L411" t="str">
        <f>IFERROR(IF(VLOOKUP(LEFT(B411,2),'Humanitarian codes'!$A$2:$A$10,1,FALSE)=LEFT(B411,2),"Yes","Error"),"No")</f>
        <v>No</v>
      </c>
      <c r="AE411" s="1"/>
      <c r="AF411" s="1"/>
    </row>
    <row r="412" spans="1:32" hidden="1" x14ac:dyDescent="0.25">
      <c r="A412" t="s">
        <v>710</v>
      </c>
      <c r="B412" t="s">
        <v>665</v>
      </c>
      <c r="C412" t="s">
        <v>543</v>
      </c>
      <c r="D412" t="s">
        <v>666</v>
      </c>
      <c r="E412" t="s">
        <v>45</v>
      </c>
      <c r="F412">
        <v>4500458760</v>
      </c>
      <c r="G412" t="s">
        <v>12</v>
      </c>
      <c r="H412" t="s">
        <v>327</v>
      </c>
      <c r="I412" t="s">
        <v>45</v>
      </c>
      <c r="J412" s="1">
        <v>475000</v>
      </c>
      <c r="K412" s="1">
        <v>553000</v>
      </c>
      <c r="L412" t="str">
        <f>IFERROR(IF(VLOOKUP(LEFT(B412,2),'Humanitarian codes'!$A$2:$A$10,1,FALSE)=LEFT(B412,2),"Yes","Error"),"No")</f>
        <v>No</v>
      </c>
      <c r="AE412" s="1"/>
      <c r="AF412" s="1"/>
    </row>
    <row r="413" spans="1:32" hidden="1" x14ac:dyDescent="0.25">
      <c r="A413" t="s">
        <v>710</v>
      </c>
      <c r="B413" t="s">
        <v>665</v>
      </c>
      <c r="C413" t="s">
        <v>543</v>
      </c>
      <c r="D413" t="s">
        <v>666</v>
      </c>
      <c r="E413" t="s">
        <v>45</v>
      </c>
      <c r="F413">
        <v>4500474481</v>
      </c>
      <c r="G413" t="s">
        <v>12</v>
      </c>
      <c r="H413" t="s">
        <v>667</v>
      </c>
      <c r="I413" t="s">
        <v>45</v>
      </c>
      <c r="J413" s="1">
        <v>299937</v>
      </c>
      <c r="K413" s="1">
        <v>299937</v>
      </c>
      <c r="L413" t="str">
        <f>IFERROR(IF(VLOOKUP(LEFT(B413,2),'Humanitarian codes'!$A$2:$A$10,1,FALSE)=LEFT(B413,2),"Yes","Error"),"No")</f>
        <v>No</v>
      </c>
      <c r="AE413" s="1"/>
      <c r="AF413" s="1"/>
    </row>
    <row r="414" spans="1:32" hidden="1" x14ac:dyDescent="0.25">
      <c r="A414" t="s">
        <v>710</v>
      </c>
      <c r="B414" t="s">
        <v>665</v>
      </c>
      <c r="C414" t="s">
        <v>543</v>
      </c>
      <c r="D414" t="s">
        <v>666</v>
      </c>
      <c r="E414" t="s">
        <v>45</v>
      </c>
      <c r="F414">
        <v>4500474506</v>
      </c>
      <c r="G414" t="s">
        <v>12</v>
      </c>
      <c r="H414" t="s">
        <v>668</v>
      </c>
      <c r="I414" t="s">
        <v>45</v>
      </c>
      <c r="J414" s="1">
        <v>200000</v>
      </c>
      <c r="K414" s="1">
        <v>200000</v>
      </c>
      <c r="L414" t="str">
        <f>IFERROR(IF(VLOOKUP(LEFT(B414,2),'Humanitarian codes'!$A$2:$A$10,1,FALSE)=LEFT(B414,2),"Yes","Error"),"No")</f>
        <v>No</v>
      </c>
      <c r="AE414" s="1"/>
      <c r="AF414" s="1"/>
    </row>
    <row r="415" spans="1:32" hidden="1" x14ac:dyDescent="0.25">
      <c r="A415" t="s">
        <v>710</v>
      </c>
      <c r="B415" t="s">
        <v>665</v>
      </c>
      <c r="C415" t="s">
        <v>543</v>
      </c>
      <c r="D415" t="s">
        <v>666</v>
      </c>
      <c r="E415" t="s">
        <v>45</v>
      </c>
      <c r="F415">
        <v>4500474704</v>
      </c>
      <c r="G415" t="s">
        <v>12</v>
      </c>
      <c r="H415" t="s">
        <v>156</v>
      </c>
      <c r="I415" t="s">
        <v>184</v>
      </c>
      <c r="J415" s="1">
        <v>560000</v>
      </c>
      <c r="K415" s="1">
        <v>560000</v>
      </c>
      <c r="L415" t="str">
        <f>IFERROR(IF(VLOOKUP(LEFT(B415,2),'Humanitarian codes'!$A$2:$A$10,1,FALSE)=LEFT(B415,2),"Yes","Error"),"No")</f>
        <v>No</v>
      </c>
      <c r="AE415" s="1"/>
      <c r="AF415" s="1"/>
    </row>
    <row r="416" spans="1:32" hidden="1" x14ac:dyDescent="0.25">
      <c r="A416" t="s">
        <v>710</v>
      </c>
      <c r="B416" t="s">
        <v>665</v>
      </c>
      <c r="C416" t="s">
        <v>543</v>
      </c>
      <c r="D416" t="s">
        <v>666</v>
      </c>
      <c r="E416" t="s">
        <v>45</v>
      </c>
      <c r="F416">
        <v>4500474709</v>
      </c>
      <c r="G416" t="s">
        <v>12</v>
      </c>
      <c r="H416" t="s">
        <v>73</v>
      </c>
      <c r="I416" t="s">
        <v>45</v>
      </c>
      <c r="J416" s="1">
        <v>140000</v>
      </c>
      <c r="K416" s="1">
        <v>560000</v>
      </c>
      <c r="L416" t="str">
        <f>IFERROR(IF(VLOOKUP(LEFT(B416,2),'Humanitarian codes'!$A$2:$A$10,1,FALSE)=LEFT(B416,2),"Yes","Error"),"No")</f>
        <v>No</v>
      </c>
      <c r="AE416" s="1"/>
      <c r="AF416" s="1"/>
    </row>
    <row r="417" spans="1:32" hidden="1" x14ac:dyDescent="0.25">
      <c r="A417" t="s">
        <v>710</v>
      </c>
      <c r="B417" t="s">
        <v>669</v>
      </c>
      <c r="C417" t="s">
        <v>30</v>
      </c>
      <c r="D417" t="s">
        <v>670</v>
      </c>
      <c r="E417" t="s">
        <v>205</v>
      </c>
      <c r="F417">
        <v>4500467703</v>
      </c>
      <c r="G417" t="s">
        <v>12</v>
      </c>
      <c r="H417" t="s">
        <v>206</v>
      </c>
      <c r="I417" t="s">
        <v>205</v>
      </c>
      <c r="J417" s="1">
        <v>160000</v>
      </c>
      <c r="K417" s="1">
        <v>160000</v>
      </c>
      <c r="L417" t="str">
        <f>IFERROR(IF(VLOOKUP(LEFT(B417,2),'Humanitarian codes'!$A$2:$A$10,1,FALSE)=LEFT(B417,2),"Yes","Error"),"No")</f>
        <v>No</v>
      </c>
      <c r="AE417" s="1"/>
      <c r="AF417" s="1"/>
    </row>
    <row r="418" spans="1:32" hidden="1" x14ac:dyDescent="0.25">
      <c r="A418" t="s">
        <v>710</v>
      </c>
      <c r="B418" t="s">
        <v>671</v>
      </c>
      <c r="C418" t="s">
        <v>543</v>
      </c>
      <c r="D418" t="s">
        <v>672</v>
      </c>
      <c r="E418" t="s">
        <v>549</v>
      </c>
      <c r="F418">
        <v>4500470563</v>
      </c>
      <c r="G418" t="s">
        <v>12</v>
      </c>
      <c r="H418" t="s">
        <v>673</v>
      </c>
      <c r="I418" t="s">
        <v>549</v>
      </c>
      <c r="J418" s="1">
        <v>8500</v>
      </c>
      <c r="K418" s="1">
        <v>8500</v>
      </c>
      <c r="L418" t="str">
        <f>IFERROR(IF(VLOOKUP(LEFT(B418,2),'Humanitarian codes'!$A$2:$A$10,1,FALSE)=LEFT(B418,2),"Yes","Error"),"No")</f>
        <v>No</v>
      </c>
      <c r="AE418" s="1"/>
      <c r="AF418" s="1"/>
    </row>
    <row r="419" spans="1:32" hidden="1" x14ac:dyDescent="0.25">
      <c r="A419" t="s">
        <v>710</v>
      </c>
      <c r="B419" t="s">
        <v>671</v>
      </c>
      <c r="C419" t="s">
        <v>543</v>
      </c>
      <c r="D419" t="s">
        <v>672</v>
      </c>
      <c r="E419" t="s">
        <v>549</v>
      </c>
      <c r="F419">
        <v>4500470565</v>
      </c>
      <c r="G419" t="s">
        <v>12</v>
      </c>
      <c r="H419" t="s">
        <v>550</v>
      </c>
      <c r="I419" t="s">
        <v>549</v>
      </c>
      <c r="J419" s="1">
        <v>8500</v>
      </c>
      <c r="K419" s="1">
        <v>8500</v>
      </c>
      <c r="L419" t="str">
        <f>IFERROR(IF(VLOOKUP(LEFT(B419,2),'Humanitarian codes'!$A$2:$A$10,1,FALSE)=LEFT(B419,2),"Yes","Error"),"No")</f>
        <v>No</v>
      </c>
      <c r="AE419" s="1"/>
      <c r="AF419" s="1"/>
    </row>
    <row r="420" spans="1:32" hidden="1" x14ac:dyDescent="0.25">
      <c r="A420" t="s">
        <v>710</v>
      </c>
      <c r="B420" t="s">
        <v>671</v>
      </c>
      <c r="C420" t="s">
        <v>543</v>
      </c>
      <c r="D420" t="s">
        <v>672</v>
      </c>
      <c r="E420" t="s">
        <v>549</v>
      </c>
      <c r="F420">
        <v>4500471577</v>
      </c>
      <c r="G420" t="s">
        <v>12</v>
      </c>
      <c r="H420" t="s">
        <v>674</v>
      </c>
      <c r="I420" t="s">
        <v>549</v>
      </c>
      <c r="J420" s="1">
        <v>11925.01</v>
      </c>
      <c r="K420" s="1">
        <v>11925.01</v>
      </c>
      <c r="L420" t="str">
        <f>IFERROR(IF(VLOOKUP(LEFT(B420,2),'Humanitarian codes'!$A$2:$A$10,1,FALSE)=LEFT(B420,2),"Yes","Error"),"No")</f>
        <v>No</v>
      </c>
      <c r="AE420" s="1"/>
      <c r="AF420" s="1"/>
    </row>
    <row r="421" spans="1:32" hidden="1" x14ac:dyDescent="0.25">
      <c r="A421" t="s">
        <v>710</v>
      </c>
      <c r="B421" t="s">
        <v>671</v>
      </c>
      <c r="C421" t="s">
        <v>543</v>
      </c>
      <c r="D421" t="s">
        <v>672</v>
      </c>
      <c r="E421" t="s">
        <v>239</v>
      </c>
      <c r="F421">
        <v>4500481484</v>
      </c>
      <c r="G421" t="s">
        <v>12</v>
      </c>
      <c r="H421" t="s">
        <v>675</v>
      </c>
      <c r="I421" t="s">
        <v>239</v>
      </c>
      <c r="J421" s="1">
        <v>73826.789999999994</v>
      </c>
      <c r="K421" s="1">
        <v>73826.789999999994</v>
      </c>
      <c r="L421" t="str">
        <f>IFERROR(IF(VLOOKUP(LEFT(B421,2),'Humanitarian codes'!$A$2:$A$10,1,FALSE)=LEFT(B421,2),"Yes","Error"),"No")</f>
        <v>No</v>
      </c>
      <c r="AE421" s="1"/>
      <c r="AF421" s="1"/>
    </row>
    <row r="422" spans="1:32" hidden="1" x14ac:dyDescent="0.25">
      <c r="A422" t="s">
        <v>710</v>
      </c>
      <c r="B422" t="s">
        <v>671</v>
      </c>
      <c r="C422" t="s">
        <v>543</v>
      </c>
      <c r="D422" t="s">
        <v>672</v>
      </c>
      <c r="E422" t="s">
        <v>676</v>
      </c>
      <c r="F422">
        <v>4500456421</v>
      </c>
      <c r="G422" t="s">
        <v>12</v>
      </c>
      <c r="H422" t="s">
        <v>677</v>
      </c>
      <c r="I422" t="s">
        <v>676</v>
      </c>
      <c r="J422" s="1">
        <v>90000</v>
      </c>
      <c r="K422" s="1">
        <v>90000</v>
      </c>
      <c r="L422" t="str">
        <f>IFERROR(IF(VLOOKUP(LEFT(B422,2),'Humanitarian codes'!$A$2:$A$10,1,FALSE)=LEFT(B422,2),"Yes","Error"),"No")</f>
        <v>No</v>
      </c>
      <c r="AE422" s="1"/>
      <c r="AF422" s="1"/>
    </row>
    <row r="423" spans="1:32" hidden="1" x14ac:dyDescent="0.25">
      <c r="A423" t="s">
        <v>710</v>
      </c>
      <c r="B423" t="s">
        <v>678</v>
      </c>
      <c r="C423" t="s">
        <v>543</v>
      </c>
      <c r="D423" t="s">
        <v>679</v>
      </c>
      <c r="E423" t="s">
        <v>175</v>
      </c>
      <c r="F423">
        <v>4500470147</v>
      </c>
      <c r="G423" t="s">
        <v>12</v>
      </c>
      <c r="H423" t="s">
        <v>680</v>
      </c>
      <c r="I423" t="s">
        <v>175</v>
      </c>
      <c r="J423" s="1">
        <v>139905.87</v>
      </c>
      <c r="K423" s="1">
        <v>139905.87</v>
      </c>
      <c r="L423" t="str">
        <f>IFERROR(IF(VLOOKUP(LEFT(B423,2),'Humanitarian codes'!$A$2:$A$10,1,FALSE)=LEFT(B423,2),"Yes","Error"),"No")</f>
        <v>No</v>
      </c>
      <c r="AE423" s="1"/>
      <c r="AF423" s="1"/>
    </row>
    <row r="424" spans="1:32" hidden="1" x14ac:dyDescent="0.25">
      <c r="A424" t="s">
        <v>710</v>
      </c>
      <c r="B424" t="s">
        <v>678</v>
      </c>
      <c r="C424" t="s">
        <v>543</v>
      </c>
      <c r="D424" t="s">
        <v>679</v>
      </c>
      <c r="E424" t="s">
        <v>175</v>
      </c>
      <c r="F424">
        <v>4500471097</v>
      </c>
      <c r="G424" t="s">
        <v>12</v>
      </c>
      <c r="H424" t="s">
        <v>681</v>
      </c>
      <c r="I424" t="s">
        <v>175</v>
      </c>
      <c r="J424" s="1">
        <v>75309.14</v>
      </c>
      <c r="K424" s="1">
        <v>75309.14</v>
      </c>
      <c r="L424" t="str">
        <f>IFERROR(IF(VLOOKUP(LEFT(B424,2),'Humanitarian codes'!$A$2:$A$10,1,FALSE)=LEFT(B424,2),"Yes","Error"),"No")</f>
        <v>No</v>
      </c>
      <c r="AE424" s="1"/>
      <c r="AF424" s="1"/>
    </row>
    <row r="425" spans="1:32" hidden="1" x14ac:dyDescent="0.25">
      <c r="A425" t="s">
        <v>710</v>
      </c>
      <c r="B425" t="s">
        <v>678</v>
      </c>
      <c r="C425" t="s">
        <v>543</v>
      </c>
      <c r="D425" t="s">
        <v>679</v>
      </c>
      <c r="E425" t="s">
        <v>175</v>
      </c>
      <c r="F425">
        <v>4500471101</v>
      </c>
      <c r="G425" t="s">
        <v>12</v>
      </c>
      <c r="H425" t="s">
        <v>682</v>
      </c>
      <c r="I425" t="s">
        <v>175</v>
      </c>
      <c r="J425" s="1">
        <v>142317.76000000001</v>
      </c>
      <c r="K425" s="1">
        <v>142317.76000000001</v>
      </c>
      <c r="L425" t="str">
        <f>IFERROR(IF(VLOOKUP(LEFT(B425,2),'Humanitarian codes'!$A$2:$A$10,1,FALSE)=LEFT(B425,2),"Yes","Error"),"No")</f>
        <v>No</v>
      </c>
      <c r="AE425" s="1"/>
      <c r="AF425" s="1"/>
    </row>
    <row r="426" spans="1:32" hidden="1" x14ac:dyDescent="0.25">
      <c r="A426" t="s">
        <v>710</v>
      </c>
      <c r="B426" t="s">
        <v>683</v>
      </c>
      <c r="C426" t="s">
        <v>543</v>
      </c>
      <c r="D426" t="s">
        <v>684</v>
      </c>
      <c r="E426" t="s">
        <v>175</v>
      </c>
      <c r="F426">
        <v>4500479140</v>
      </c>
      <c r="G426" t="s">
        <v>12</v>
      </c>
      <c r="H426" t="s">
        <v>685</v>
      </c>
      <c r="I426" t="s">
        <v>175</v>
      </c>
      <c r="J426" s="1">
        <v>204563.5</v>
      </c>
      <c r="K426" s="1">
        <v>204563.5</v>
      </c>
      <c r="L426" t="str">
        <f>IFERROR(IF(VLOOKUP(LEFT(B426,2),'Humanitarian codes'!$A$2:$A$10,1,FALSE)=LEFT(B426,2),"Yes","Error"),"No")</f>
        <v>No</v>
      </c>
      <c r="AE426" s="1"/>
      <c r="AF426" s="1"/>
    </row>
    <row r="427" spans="1:32" hidden="1" x14ac:dyDescent="0.25">
      <c r="A427" t="s">
        <v>710</v>
      </c>
      <c r="B427" t="s">
        <v>686</v>
      </c>
      <c r="C427" t="s">
        <v>543</v>
      </c>
      <c r="D427" t="s">
        <v>687</v>
      </c>
      <c r="E427" t="s">
        <v>688</v>
      </c>
      <c r="F427">
        <v>4500475921</v>
      </c>
      <c r="G427" t="s">
        <v>12</v>
      </c>
      <c r="H427" t="s">
        <v>689</v>
      </c>
      <c r="I427" t="s">
        <v>688</v>
      </c>
      <c r="J427" s="1">
        <v>41824.720000000001</v>
      </c>
      <c r="K427" s="1">
        <v>41824.720000000001</v>
      </c>
      <c r="L427" t="str">
        <f>IFERROR(IF(VLOOKUP(LEFT(B427,2),'Humanitarian codes'!$A$2:$A$10,1,FALSE)=LEFT(B427,2),"Yes","Error"),"No")</f>
        <v>No</v>
      </c>
      <c r="AE427" s="1"/>
      <c r="AF427" s="1"/>
    </row>
    <row r="428" spans="1:32" hidden="1" x14ac:dyDescent="0.25">
      <c r="A428" t="s">
        <v>710</v>
      </c>
      <c r="B428" t="s">
        <v>686</v>
      </c>
      <c r="C428" t="s">
        <v>543</v>
      </c>
      <c r="D428" t="s">
        <v>687</v>
      </c>
      <c r="E428" t="s">
        <v>20</v>
      </c>
      <c r="F428">
        <v>4500464222</v>
      </c>
      <c r="G428" t="s">
        <v>12</v>
      </c>
      <c r="H428" t="s">
        <v>690</v>
      </c>
      <c r="I428" t="s">
        <v>20</v>
      </c>
      <c r="J428" s="1">
        <v>7937.34</v>
      </c>
      <c r="K428" s="1">
        <v>7937.34</v>
      </c>
      <c r="L428" t="str">
        <f>IFERROR(IF(VLOOKUP(LEFT(B428,2),'Humanitarian codes'!$A$2:$A$10,1,FALSE)=LEFT(B428,2),"Yes","Error"),"No")</f>
        <v>No</v>
      </c>
      <c r="AE428" s="1"/>
      <c r="AF428" s="1"/>
    </row>
    <row r="429" spans="1:32" hidden="1" x14ac:dyDescent="0.25">
      <c r="A429" t="s">
        <v>710</v>
      </c>
      <c r="B429" t="s">
        <v>686</v>
      </c>
      <c r="C429" t="s">
        <v>543</v>
      </c>
      <c r="D429" t="s">
        <v>687</v>
      </c>
      <c r="E429" t="s">
        <v>16</v>
      </c>
      <c r="F429">
        <v>4500474039</v>
      </c>
      <c r="G429" t="s">
        <v>12</v>
      </c>
      <c r="H429" t="s">
        <v>691</v>
      </c>
      <c r="I429" t="s">
        <v>16</v>
      </c>
      <c r="J429" s="1">
        <v>91226.14</v>
      </c>
      <c r="K429" s="1">
        <v>91226.14</v>
      </c>
      <c r="L429" t="str">
        <f>IFERROR(IF(VLOOKUP(LEFT(B429,2),'Humanitarian codes'!$A$2:$A$10,1,FALSE)=LEFT(B429,2),"Yes","Error"),"No")</f>
        <v>No</v>
      </c>
      <c r="AE429" s="1"/>
      <c r="AF429" s="1"/>
    </row>
    <row r="430" spans="1:32" hidden="1" x14ac:dyDescent="0.25">
      <c r="A430" t="s">
        <v>710</v>
      </c>
      <c r="B430" t="s">
        <v>686</v>
      </c>
      <c r="C430" t="s">
        <v>543</v>
      </c>
      <c r="D430" t="s">
        <v>687</v>
      </c>
      <c r="E430" t="s">
        <v>692</v>
      </c>
      <c r="F430">
        <v>4500464006</v>
      </c>
      <c r="G430" t="s">
        <v>12</v>
      </c>
      <c r="H430" t="s">
        <v>693</v>
      </c>
      <c r="I430" t="s">
        <v>692</v>
      </c>
      <c r="J430" s="1">
        <v>31861.4</v>
      </c>
      <c r="K430" s="1">
        <v>31861.4</v>
      </c>
      <c r="L430" t="str">
        <f>IFERROR(IF(VLOOKUP(LEFT(B430,2),'Humanitarian codes'!$A$2:$A$10,1,FALSE)=LEFT(B430,2),"Yes","Error"),"No")</f>
        <v>No</v>
      </c>
      <c r="AE430" s="1"/>
      <c r="AF430" s="1"/>
    </row>
    <row r="431" spans="1:32" hidden="1" x14ac:dyDescent="0.25">
      <c r="A431" t="s">
        <v>710</v>
      </c>
      <c r="B431" t="s">
        <v>694</v>
      </c>
      <c r="C431" t="s">
        <v>543</v>
      </c>
      <c r="D431" t="s">
        <v>695</v>
      </c>
      <c r="E431" t="s">
        <v>504</v>
      </c>
      <c r="F431">
        <v>4500455398</v>
      </c>
      <c r="G431" t="s">
        <v>12</v>
      </c>
      <c r="H431" t="s">
        <v>609</v>
      </c>
      <c r="I431" t="s">
        <v>504</v>
      </c>
      <c r="J431" s="1">
        <v>3258.62</v>
      </c>
      <c r="K431" s="1">
        <v>3571.83</v>
      </c>
      <c r="L431" t="str">
        <f>IFERROR(IF(VLOOKUP(LEFT(B431,2),'Humanitarian codes'!$A$2:$A$10,1,FALSE)=LEFT(B431,2),"Yes","Error"),"No")</f>
        <v>No</v>
      </c>
      <c r="AE431" s="1"/>
      <c r="AF431" s="1"/>
    </row>
    <row r="432" spans="1:32" x14ac:dyDescent="0.25">
      <c r="A432" t="s">
        <v>710</v>
      </c>
      <c r="B432" t="s">
        <v>696</v>
      </c>
      <c r="C432" t="s">
        <v>30</v>
      </c>
      <c r="D432" t="s">
        <v>697</v>
      </c>
      <c r="E432" t="s">
        <v>159</v>
      </c>
      <c r="F432">
        <v>4500456750</v>
      </c>
      <c r="G432" t="s">
        <v>12</v>
      </c>
      <c r="H432" t="s">
        <v>160</v>
      </c>
      <c r="I432" t="s">
        <v>72</v>
      </c>
      <c r="J432" s="1">
        <v>135000</v>
      </c>
      <c r="K432" s="1">
        <v>175000</v>
      </c>
      <c r="L432" t="str">
        <f>IFERROR(IF(VLOOKUP(LEFT(B432,2),'Humanitarian codes'!$A$2:$A$10,1,FALSE)=LEFT(B432,2),"Yes","Error"),"No")</f>
        <v>Yes</v>
      </c>
      <c r="AE432" s="1"/>
      <c r="AF432" s="1"/>
    </row>
    <row r="433" spans="1:32" x14ac:dyDescent="0.25">
      <c r="A433" t="s">
        <v>710</v>
      </c>
      <c r="B433" t="s">
        <v>696</v>
      </c>
      <c r="C433" t="s">
        <v>30</v>
      </c>
      <c r="D433" t="s">
        <v>697</v>
      </c>
      <c r="E433" t="s">
        <v>159</v>
      </c>
      <c r="F433">
        <v>4500458605</v>
      </c>
      <c r="G433" t="s">
        <v>12</v>
      </c>
      <c r="H433" t="s">
        <v>698</v>
      </c>
      <c r="I433" t="s">
        <v>54</v>
      </c>
      <c r="J433" s="1">
        <v>200000</v>
      </c>
      <c r="K433" s="1">
        <v>200000</v>
      </c>
      <c r="L433" t="str">
        <f>IFERROR(IF(VLOOKUP(LEFT(B433,2),'Humanitarian codes'!$A$2:$A$10,1,FALSE)=LEFT(B433,2),"Yes","Error"),"No")</f>
        <v>Yes</v>
      </c>
      <c r="AE433" s="1"/>
      <c r="AF433" s="1"/>
    </row>
    <row r="434" spans="1:32" hidden="1" x14ac:dyDescent="0.25">
      <c r="A434" t="s">
        <v>710</v>
      </c>
      <c r="B434" t="s">
        <v>686</v>
      </c>
      <c r="C434" t="s">
        <v>543</v>
      </c>
      <c r="D434" t="s">
        <v>687</v>
      </c>
      <c r="E434" t="s">
        <v>688</v>
      </c>
      <c r="F434">
        <v>4500475903</v>
      </c>
      <c r="G434" t="s">
        <v>12</v>
      </c>
      <c r="H434" t="s">
        <v>689</v>
      </c>
      <c r="I434" t="s">
        <v>688</v>
      </c>
      <c r="J434" s="1">
        <v>271860.65999999997</v>
      </c>
      <c r="K434" s="1">
        <v>271860.65999999997</v>
      </c>
      <c r="L434" t="str">
        <f>IFERROR(IF(VLOOKUP(LEFT(B434,2),'Humanitarian codes'!$A$2:$A$10,1,FALSE)=LEFT(B434,2),"Yes","Error"),"No")</f>
        <v>No</v>
      </c>
      <c r="AE434" s="1"/>
      <c r="AF434" s="1"/>
    </row>
    <row r="435" spans="1:32" x14ac:dyDescent="0.25">
      <c r="A435" t="s">
        <v>710</v>
      </c>
      <c r="B435" t="s">
        <v>696</v>
      </c>
      <c r="C435" t="s">
        <v>30</v>
      </c>
      <c r="D435" t="s">
        <v>697</v>
      </c>
      <c r="E435" t="s">
        <v>159</v>
      </c>
      <c r="F435">
        <v>4500477531</v>
      </c>
      <c r="G435" t="s">
        <v>12</v>
      </c>
      <c r="H435" t="s">
        <v>699</v>
      </c>
      <c r="I435" t="s">
        <v>159</v>
      </c>
      <c r="J435" s="1">
        <v>350000</v>
      </c>
      <c r="K435" s="1">
        <v>350000</v>
      </c>
      <c r="L435" t="str">
        <f>IFERROR(IF(VLOOKUP(LEFT(B435,2),'Humanitarian codes'!$A$2:$A$10,1,FALSE)=LEFT(B435,2),"Yes","Error"),"No")</f>
        <v>Yes</v>
      </c>
      <c r="AE435" s="1"/>
      <c r="AF435" s="1"/>
    </row>
    <row r="436" spans="1:32" x14ac:dyDescent="0.25">
      <c r="A436" t="s">
        <v>710</v>
      </c>
      <c r="B436" t="s">
        <v>700</v>
      </c>
      <c r="C436" t="s">
        <v>30</v>
      </c>
      <c r="D436" t="s">
        <v>701</v>
      </c>
      <c r="E436" t="s">
        <v>257</v>
      </c>
      <c r="F436">
        <v>4500454893</v>
      </c>
      <c r="G436" t="s">
        <v>12</v>
      </c>
      <c r="H436" t="s">
        <v>422</v>
      </c>
      <c r="I436" t="s">
        <v>257</v>
      </c>
      <c r="J436" s="1">
        <v>78167.09</v>
      </c>
      <c r="K436" s="1">
        <v>83159.7</v>
      </c>
      <c r="L436" t="str">
        <f>IFERROR(IF(VLOOKUP(LEFT(B436,2),'Humanitarian codes'!$A$2:$A$10,1,FALSE)=LEFT(B436,2),"Yes","Error"),"No")</f>
        <v>Yes</v>
      </c>
      <c r="AE436" s="1"/>
      <c r="AF436" s="1"/>
    </row>
    <row r="437" spans="1:32" hidden="1" x14ac:dyDescent="0.25">
      <c r="A437" t="s">
        <v>710</v>
      </c>
      <c r="B437" t="s">
        <v>702</v>
      </c>
      <c r="C437" t="s">
        <v>9</v>
      </c>
      <c r="D437" t="s">
        <v>703</v>
      </c>
      <c r="E437" t="s">
        <v>704</v>
      </c>
      <c r="F437">
        <v>4500459206</v>
      </c>
      <c r="G437" t="s">
        <v>12</v>
      </c>
      <c r="H437" t="s">
        <v>705</v>
      </c>
      <c r="I437" t="s">
        <v>704</v>
      </c>
      <c r="J437" s="1">
        <v>17283.93</v>
      </c>
      <c r="K437" s="1">
        <v>17283.93</v>
      </c>
      <c r="L437" t="str">
        <f>IFERROR(IF(VLOOKUP(LEFT(B437,2),'Humanitarian codes'!$A$2:$A$10,1,FALSE)=LEFT(B437,2),"Yes","Error"),"No")</f>
        <v>No</v>
      </c>
      <c r="AE437" s="1"/>
      <c r="AF437" s="1"/>
    </row>
    <row r="438" spans="1:32" hidden="1" x14ac:dyDescent="0.25">
      <c r="A438" t="s">
        <v>710</v>
      </c>
      <c r="B438" t="s">
        <v>706</v>
      </c>
      <c r="C438" t="s">
        <v>9</v>
      </c>
      <c r="D438" t="s">
        <v>707</v>
      </c>
      <c r="E438" t="s">
        <v>509</v>
      </c>
      <c r="F438">
        <v>4500467979</v>
      </c>
      <c r="G438" t="s">
        <v>12</v>
      </c>
      <c r="H438" t="s">
        <v>708</v>
      </c>
      <c r="I438" t="s">
        <v>509</v>
      </c>
      <c r="J438" s="1">
        <v>42262.47</v>
      </c>
      <c r="K438" s="1">
        <v>42262.47</v>
      </c>
      <c r="L438" t="str">
        <f>IFERROR(IF(VLOOKUP(LEFT(B438,2),'Humanitarian codes'!$A$2:$A$10,1,FALSE)=LEFT(B438,2),"Yes","Error"),"No")</f>
        <v>No</v>
      </c>
      <c r="AE438" s="1"/>
      <c r="AF438" s="1"/>
    </row>
    <row r="439" spans="1:32" hidden="1" x14ac:dyDescent="0.25">
      <c r="A439" t="s">
        <v>710</v>
      </c>
      <c r="B439" t="s">
        <v>711</v>
      </c>
      <c r="C439" t="s">
        <v>9</v>
      </c>
      <c r="D439" t="s">
        <v>712</v>
      </c>
      <c r="E439" t="s">
        <v>54</v>
      </c>
      <c r="F439">
        <v>4500456966</v>
      </c>
      <c r="G439" t="s">
        <v>713</v>
      </c>
      <c r="H439" t="s">
        <v>714</v>
      </c>
      <c r="I439" t="s">
        <v>54</v>
      </c>
      <c r="J439" s="1">
        <v>47000</v>
      </c>
      <c r="K439" s="1">
        <v>47000</v>
      </c>
      <c r="L439" t="str">
        <f>IFERROR(IF(VLOOKUP(LEFT(B439,2),'Humanitarian codes'!$A$2:$A$10,1,FALSE)=LEFT(B439,2),"Yes","Error"),"No")</f>
        <v>No</v>
      </c>
      <c r="AE439" s="1"/>
      <c r="AF439" s="1"/>
    </row>
    <row r="440" spans="1:32" hidden="1" x14ac:dyDescent="0.25">
      <c r="A440" t="s">
        <v>710</v>
      </c>
      <c r="B440" t="s">
        <v>715</v>
      </c>
      <c r="C440" t="s">
        <v>30</v>
      </c>
      <c r="D440" t="s">
        <v>716</v>
      </c>
      <c r="E440" t="s">
        <v>717</v>
      </c>
      <c r="F440">
        <v>4500464609</v>
      </c>
      <c r="G440" t="s">
        <v>713</v>
      </c>
      <c r="H440" t="s">
        <v>718</v>
      </c>
      <c r="I440" t="s">
        <v>717</v>
      </c>
      <c r="J440" s="1">
        <v>121678.53</v>
      </c>
      <c r="K440" s="1">
        <v>121678.53</v>
      </c>
      <c r="L440" t="str">
        <f>IFERROR(IF(VLOOKUP(LEFT(B440,2),'Humanitarian codes'!$A$2:$A$10,1,FALSE)=LEFT(B440,2),"Yes","Error"),"No")</f>
        <v>No</v>
      </c>
      <c r="AE440" s="1"/>
      <c r="AF440" s="1"/>
    </row>
    <row r="441" spans="1:32" hidden="1" x14ac:dyDescent="0.25">
      <c r="A441" t="s">
        <v>710</v>
      </c>
      <c r="B441" t="s">
        <v>715</v>
      </c>
      <c r="C441" t="s">
        <v>30</v>
      </c>
      <c r="D441" t="s">
        <v>716</v>
      </c>
      <c r="E441" t="s">
        <v>717</v>
      </c>
      <c r="F441">
        <v>4500464613</v>
      </c>
      <c r="G441" t="s">
        <v>713</v>
      </c>
      <c r="H441" t="s">
        <v>719</v>
      </c>
      <c r="I441" t="s">
        <v>717</v>
      </c>
      <c r="J441" s="1">
        <v>125055.88</v>
      </c>
      <c r="K441" s="1">
        <v>125055.88</v>
      </c>
      <c r="L441" t="str">
        <f>IFERROR(IF(VLOOKUP(LEFT(B441,2),'Humanitarian codes'!$A$2:$A$10,1,FALSE)=LEFT(B441,2),"Yes","Error"),"No")</f>
        <v>No</v>
      </c>
      <c r="AE441" s="1"/>
      <c r="AF441" s="1"/>
    </row>
    <row r="442" spans="1:32" hidden="1" x14ac:dyDescent="0.25">
      <c r="A442" t="s">
        <v>710</v>
      </c>
      <c r="B442" t="s">
        <v>715</v>
      </c>
      <c r="C442" t="s">
        <v>30</v>
      </c>
      <c r="D442" t="s">
        <v>716</v>
      </c>
      <c r="E442" t="s">
        <v>717</v>
      </c>
      <c r="F442">
        <v>4500471379</v>
      </c>
      <c r="G442" t="s">
        <v>713</v>
      </c>
      <c r="H442" t="s">
        <v>720</v>
      </c>
      <c r="I442" t="s">
        <v>717</v>
      </c>
      <c r="J442" s="1">
        <v>122405.13</v>
      </c>
      <c r="K442" s="1">
        <v>122405.13</v>
      </c>
      <c r="L442" t="str">
        <f>IFERROR(IF(VLOOKUP(LEFT(B442,2),'Humanitarian codes'!$A$2:$A$10,1,FALSE)=LEFT(B442,2),"Yes","Error"),"No")</f>
        <v>No</v>
      </c>
      <c r="AE442" s="1"/>
      <c r="AF442" s="1"/>
    </row>
    <row r="443" spans="1:32" hidden="1" x14ac:dyDescent="0.25">
      <c r="A443" t="s">
        <v>710</v>
      </c>
      <c r="B443" t="s">
        <v>715</v>
      </c>
      <c r="C443" t="s">
        <v>30</v>
      </c>
      <c r="D443" t="s">
        <v>716</v>
      </c>
      <c r="E443" t="s">
        <v>717</v>
      </c>
      <c r="F443">
        <v>4500471388</v>
      </c>
      <c r="G443" t="s">
        <v>713</v>
      </c>
      <c r="H443" t="s">
        <v>721</v>
      </c>
      <c r="I443" t="s">
        <v>717</v>
      </c>
      <c r="J443" s="1">
        <v>119888.52</v>
      </c>
      <c r="K443" s="1">
        <v>119888.52</v>
      </c>
      <c r="L443" t="str">
        <f>IFERROR(IF(VLOOKUP(LEFT(B443,2),'Humanitarian codes'!$A$2:$A$10,1,FALSE)=LEFT(B443,2),"Yes","Error"),"No")</f>
        <v>No</v>
      </c>
      <c r="AE443" s="1"/>
      <c r="AF443" s="1"/>
    </row>
    <row r="444" spans="1:32" x14ac:dyDescent="0.25">
      <c r="A444" t="s">
        <v>710</v>
      </c>
      <c r="B444" t="s">
        <v>722</v>
      </c>
      <c r="C444" t="s">
        <v>30</v>
      </c>
      <c r="D444" t="s">
        <v>723</v>
      </c>
      <c r="E444" t="s">
        <v>717</v>
      </c>
      <c r="F444">
        <v>4500464186</v>
      </c>
      <c r="G444" t="s">
        <v>713</v>
      </c>
      <c r="H444" t="s">
        <v>724</v>
      </c>
      <c r="I444" t="s">
        <v>717</v>
      </c>
      <c r="J444" s="1">
        <v>356808.85</v>
      </c>
      <c r="K444" s="1">
        <v>356808.85</v>
      </c>
      <c r="L444" t="str">
        <f>IFERROR(IF(VLOOKUP(LEFT(B444,2),'Humanitarian codes'!$A$2:$A$10,1,FALSE)=LEFT(B444,2),"Yes","Error"),"No")</f>
        <v>Yes</v>
      </c>
      <c r="AE444" s="1"/>
      <c r="AF444" s="1"/>
    </row>
    <row r="445" spans="1:32" x14ac:dyDescent="0.25">
      <c r="A445" t="s">
        <v>710</v>
      </c>
      <c r="B445" t="s">
        <v>722</v>
      </c>
      <c r="C445" t="s">
        <v>30</v>
      </c>
      <c r="D445" t="s">
        <v>723</v>
      </c>
      <c r="E445" t="s">
        <v>717</v>
      </c>
      <c r="F445">
        <v>4500464192</v>
      </c>
      <c r="G445" t="s">
        <v>713</v>
      </c>
      <c r="H445" t="s">
        <v>725</v>
      </c>
      <c r="I445" t="s">
        <v>717</v>
      </c>
      <c r="J445" s="1">
        <v>369324.12</v>
      </c>
      <c r="K445" s="1">
        <v>369324.12</v>
      </c>
      <c r="L445" t="str">
        <f>IFERROR(IF(VLOOKUP(LEFT(B445,2),'Humanitarian codes'!$A$2:$A$10,1,FALSE)=LEFT(B445,2),"Yes","Error"),"No")</f>
        <v>Yes</v>
      </c>
      <c r="AE445" s="1"/>
      <c r="AF445" s="1"/>
    </row>
    <row r="446" spans="1:32" x14ac:dyDescent="0.25">
      <c r="A446" t="s">
        <v>710</v>
      </c>
      <c r="B446" t="s">
        <v>722</v>
      </c>
      <c r="C446" t="s">
        <v>30</v>
      </c>
      <c r="D446" t="s">
        <v>723</v>
      </c>
      <c r="E446" t="s">
        <v>717</v>
      </c>
      <c r="F446">
        <v>4500464196</v>
      </c>
      <c r="G446" t="s">
        <v>713</v>
      </c>
      <c r="H446" t="s">
        <v>726</v>
      </c>
      <c r="I446" t="s">
        <v>717</v>
      </c>
      <c r="J446" s="1">
        <v>387806.86</v>
      </c>
      <c r="K446" s="1">
        <v>387806.86</v>
      </c>
      <c r="L446" t="str">
        <f>IFERROR(IF(VLOOKUP(LEFT(B446,2),'Humanitarian codes'!$A$2:$A$10,1,FALSE)=LEFT(B446,2),"Yes","Error"),"No")</f>
        <v>Yes</v>
      </c>
      <c r="AE446" s="1"/>
      <c r="AF446" s="1"/>
    </row>
    <row r="447" spans="1:32" x14ac:dyDescent="0.25">
      <c r="A447" t="s">
        <v>710</v>
      </c>
      <c r="B447" t="s">
        <v>722</v>
      </c>
      <c r="C447" t="s">
        <v>30</v>
      </c>
      <c r="D447" t="s">
        <v>723</v>
      </c>
      <c r="E447" t="s">
        <v>717</v>
      </c>
      <c r="F447">
        <v>4500465860</v>
      </c>
      <c r="G447" t="s">
        <v>713</v>
      </c>
      <c r="H447" t="s">
        <v>727</v>
      </c>
      <c r="I447" t="s">
        <v>717</v>
      </c>
      <c r="J447" s="1">
        <v>388340.67</v>
      </c>
      <c r="K447" s="1">
        <v>388340.67</v>
      </c>
      <c r="L447" t="str">
        <f>IFERROR(IF(VLOOKUP(LEFT(B447,2),'Humanitarian codes'!$A$2:$A$10,1,FALSE)=LEFT(B447,2),"Yes","Error"),"No")</f>
        <v>Yes</v>
      </c>
      <c r="AE447" s="1"/>
      <c r="AF447" s="1"/>
    </row>
    <row r="448" spans="1:32" x14ac:dyDescent="0.25">
      <c r="A448" t="s">
        <v>710</v>
      </c>
      <c r="B448" t="s">
        <v>722</v>
      </c>
      <c r="C448" t="s">
        <v>30</v>
      </c>
      <c r="D448" t="s">
        <v>723</v>
      </c>
      <c r="E448" t="s">
        <v>717</v>
      </c>
      <c r="F448">
        <v>4500468775</v>
      </c>
      <c r="G448" t="s">
        <v>713</v>
      </c>
      <c r="H448" t="s">
        <v>728</v>
      </c>
      <c r="I448" t="s">
        <v>717</v>
      </c>
      <c r="J448" s="1">
        <v>232009.99</v>
      </c>
      <c r="K448" s="1">
        <v>232009.99</v>
      </c>
      <c r="L448" t="str">
        <f>IFERROR(IF(VLOOKUP(LEFT(B448,2),'Humanitarian codes'!$A$2:$A$10,1,FALSE)=LEFT(B448,2),"Yes","Error"),"No")</f>
        <v>Yes</v>
      </c>
      <c r="AE448" s="1"/>
      <c r="AF448" s="1"/>
    </row>
    <row r="449" spans="1:32" hidden="1" x14ac:dyDescent="0.25">
      <c r="A449" t="s">
        <v>710</v>
      </c>
      <c r="B449" t="s">
        <v>729</v>
      </c>
      <c r="C449" t="s">
        <v>30</v>
      </c>
      <c r="D449" t="s">
        <v>730</v>
      </c>
      <c r="E449" t="s">
        <v>717</v>
      </c>
      <c r="F449">
        <v>4500455444</v>
      </c>
      <c r="G449" t="s">
        <v>713</v>
      </c>
      <c r="H449" t="s">
        <v>731</v>
      </c>
      <c r="I449" t="s">
        <v>717</v>
      </c>
      <c r="J449" s="1">
        <v>298529</v>
      </c>
      <c r="K449" s="1">
        <v>298529</v>
      </c>
      <c r="L449" t="str">
        <f>IFERROR(IF(VLOOKUP(LEFT(B449,2),'Humanitarian codes'!$A$2:$A$10,1,FALSE)=LEFT(B449,2),"Yes","Error"),"No")</f>
        <v>No</v>
      </c>
      <c r="AE449" s="1"/>
      <c r="AF449" s="1"/>
    </row>
    <row r="450" spans="1:32" hidden="1" x14ac:dyDescent="0.25">
      <c r="A450" t="s">
        <v>710</v>
      </c>
      <c r="B450" t="s">
        <v>732</v>
      </c>
      <c r="C450" t="s">
        <v>466</v>
      </c>
      <c r="D450" t="s">
        <v>733</v>
      </c>
      <c r="E450" t="s">
        <v>167</v>
      </c>
      <c r="F450">
        <v>4500464361</v>
      </c>
      <c r="G450" t="s">
        <v>713</v>
      </c>
      <c r="H450" t="s">
        <v>734</v>
      </c>
      <c r="I450" t="s">
        <v>167</v>
      </c>
      <c r="J450" s="1">
        <v>14546.78</v>
      </c>
      <c r="K450" s="1">
        <v>45458.66</v>
      </c>
      <c r="L450" t="str">
        <f>IFERROR(IF(VLOOKUP(LEFT(B450,2),'Humanitarian codes'!$A$2:$A$10,1,FALSE)=LEFT(B450,2),"Yes","Error"),"No")</f>
        <v>No</v>
      </c>
      <c r="AE450" s="1"/>
      <c r="AF450" s="1"/>
    </row>
    <row r="451" spans="1:32" hidden="1" x14ac:dyDescent="0.25">
      <c r="A451" t="s">
        <v>710</v>
      </c>
      <c r="B451" t="s">
        <v>735</v>
      </c>
      <c r="C451" t="s">
        <v>466</v>
      </c>
      <c r="D451" t="s">
        <v>736</v>
      </c>
      <c r="E451" t="s">
        <v>167</v>
      </c>
      <c r="F451">
        <v>4500464361</v>
      </c>
      <c r="G451" t="s">
        <v>713</v>
      </c>
      <c r="H451" t="s">
        <v>734</v>
      </c>
      <c r="I451" t="s">
        <v>167</v>
      </c>
      <c r="J451" s="1">
        <v>30911.88</v>
      </c>
      <c r="K451" s="1">
        <v>45458.66</v>
      </c>
      <c r="L451" t="str">
        <f>IFERROR(IF(VLOOKUP(LEFT(B451,2),'Humanitarian codes'!$A$2:$A$10,1,FALSE)=LEFT(B451,2),"Yes","Error"),"No")</f>
        <v>No</v>
      </c>
      <c r="AE451" s="1"/>
      <c r="AF451" s="1"/>
    </row>
    <row r="452" spans="1:32" hidden="1" x14ac:dyDescent="0.25">
      <c r="A452" t="s">
        <v>710</v>
      </c>
      <c r="B452" t="s">
        <v>737</v>
      </c>
      <c r="C452" t="s">
        <v>30</v>
      </c>
      <c r="D452" t="s">
        <v>738</v>
      </c>
      <c r="E452" t="s">
        <v>261</v>
      </c>
      <c r="F452">
        <v>4500482348</v>
      </c>
      <c r="G452" t="s">
        <v>713</v>
      </c>
      <c r="H452" t="s">
        <v>739</v>
      </c>
      <c r="I452" t="s">
        <v>261</v>
      </c>
      <c r="J452" s="1">
        <v>51968.22</v>
      </c>
      <c r="K452" s="1">
        <v>51968.22</v>
      </c>
      <c r="L452" t="str">
        <f>IFERROR(IF(VLOOKUP(LEFT(B452,2),'Humanitarian codes'!$A$2:$A$10,1,FALSE)=LEFT(B452,2),"Yes","Error"),"No")</f>
        <v>No</v>
      </c>
      <c r="AE452" s="1"/>
      <c r="AF452" s="1"/>
    </row>
    <row r="453" spans="1:32" hidden="1" x14ac:dyDescent="0.25">
      <c r="A453" t="s">
        <v>710</v>
      </c>
      <c r="B453" t="s">
        <v>737</v>
      </c>
      <c r="C453" t="s">
        <v>30</v>
      </c>
      <c r="D453" t="s">
        <v>738</v>
      </c>
      <c r="E453" t="s">
        <v>261</v>
      </c>
      <c r="F453">
        <v>4500482350</v>
      </c>
      <c r="G453" t="s">
        <v>713</v>
      </c>
      <c r="H453" t="s">
        <v>740</v>
      </c>
      <c r="I453" t="s">
        <v>261</v>
      </c>
      <c r="J453" s="1">
        <v>40788.58</v>
      </c>
      <c r="K453" s="1">
        <v>40788.58</v>
      </c>
      <c r="L453" t="str">
        <f>IFERROR(IF(VLOOKUP(LEFT(B453,2),'Humanitarian codes'!$A$2:$A$10,1,FALSE)=LEFT(B453,2),"Yes","Error"),"No")</f>
        <v>No</v>
      </c>
      <c r="AE453" s="1"/>
      <c r="AF453" s="1"/>
    </row>
    <row r="454" spans="1:32" hidden="1" x14ac:dyDescent="0.25">
      <c r="A454" t="s">
        <v>710</v>
      </c>
      <c r="B454" t="s">
        <v>741</v>
      </c>
      <c r="C454" t="s">
        <v>30</v>
      </c>
      <c r="D454" t="s">
        <v>742</v>
      </c>
      <c r="E454" t="s">
        <v>68</v>
      </c>
      <c r="F454">
        <v>4500482476</v>
      </c>
      <c r="G454" t="s">
        <v>713</v>
      </c>
      <c r="H454" t="s">
        <v>743</v>
      </c>
      <c r="I454" t="s">
        <v>68</v>
      </c>
      <c r="J454" s="1">
        <v>53937.43</v>
      </c>
      <c r="K454" s="1">
        <v>53937.43</v>
      </c>
      <c r="L454" t="str">
        <f>IFERROR(IF(VLOOKUP(LEFT(B454,2),'Humanitarian codes'!$A$2:$A$10,1,FALSE)=LEFT(B454,2),"Yes","Error"),"No")</f>
        <v>No</v>
      </c>
      <c r="AE454" s="1"/>
      <c r="AF454" s="1"/>
    </row>
    <row r="455" spans="1:32" hidden="1" x14ac:dyDescent="0.25">
      <c r="A455" t="s">
        <v>710</v>
      </c>
      <c r="B455" t="s">
        <v>634</v>
      </c>
      <c r="C455" t="s">
        <v>543</v>
      </c>
      <c r="D455" t="s">
        <v>635</v>
      </c>
      <c r="E455" t="s">
        <v>477</v>
      </c>
      <c r="F455">
        <v>4500482150</v>
      </c>
      <c r="G455" t="s">
        <v>713</v>
      </c>
      <c r="H455" t="s">
        <v>744</v>
      </c>
      <c r="I455" t="s">
        <v>477</v>
      </c>
      <c r="J455" s="1">
        <v>48300</v>
      </c>
      <c r="K455" s="1">
        <v>48300</v>
      </c>
      <c r="L455" t="str">
        <f>IFERROR(IF(VLOOKUP(LEFT(B455,2),'Humanitarian codes'!$A$2:$A$10,1,FALSE)=LEFT(B455,2),"Yes","Error"),"No")</f>
        <v>No</v>
      </c>
      <c r="AE455" s="1"/>
      <c r="AF455" s="1"/>
    </row>
    <row r="456" spans="1:32" hidden="1" x14ac:dyDescent="0.25">
      <c r="A456" t="s">
        <v>710</v>
      </c>
      <c r="B456" t="s">
        <v>634</v>
      </c>
      <c r="C456" t="s">
        <v>543</v>
      </c>
      <c r="D456" t="s">
        <v>635</v>
      </c>
      <c r="E456" t="s">
        <v>477</v>
      </c>
      <c r="F456">
        <v>4500482155</v>
      </c>
      <c r="G456" t="s">
        <v>713</v>
      </c>
      <c r="H456" t="s">
        <v>506</v>
      </c>
      <c r="I456" t="s">
        <v>477</v>
      </c>
      <c r="J456" s="1">
        <v>46500</v>
      </c>
      <c r="K456" s="1">
        <v>46500</v>
      </c>
      <c r="L456" t="str">
        <f>IFERROR(IF(VLOOKUP(LEFT(B456,2),'Humanitarian codes'!$A$2:$A$10,1,FALSE)=LEFT(B456,2),"Yes","Error"),"No")</f>
        <v>No</v>
      </c>
      <c r="AE456" s="1"/>
      <c r="AF456" s="1"/>
    </row>
    <row r="457" spans="1:32" hidden="1" x14ac:dyDescent="0.25">
      <c r="A457" t="s">
        <v>710</v>
      </c>
      <c r="B457" t="s">
        <v>634</v>
      </c>
      <c r="C457" t="s">
        <v>543</v>
      </c>
      <c r="D457" t="s">
        <v>635</v>
      </c>
      <c r="E457" t="s">
        <v>477</v>
      </c>
      <c r="F457">
        <v>4500482159</v>
      </c>
      <c r="G457" t="s">
        <v>713</v>
      </c>
      <c r="H457" t="s">
        <v>611</v>
      </c>
      <c r="I457" t="s">
        <v>477</v>
      </c>
      <c r="J457" s="1">
        <v>38700</v>
      </c>
      <c r="K457" s="1">
        <v>38700</v>
      </c>
      <c r="L457" t="str">
        <f>IFERROR(IF(VLOOKUP(LEFT(B457,2),'Humanitarian codes'!$A$2:$A$10,1,FALSE)=LEFT(B457,2),"Yes","Error"),"No")</f>
        <v>No</v>
      </c>
      <c r="AE457" s="1"/>
      <c r="AF457" s="1"/>
    </row>
    <row r="458" spans="1:32" hidden="1" x14ac:dyDescent="0.25">
      <c r="A458" t="s">
        <v>710</v>
      </c>
      <c r="B458" t="s">
        <v>634</v>
      </c>
      <c r="C458" t="s">
        <v>543</v>
      </c>
      <c r="D458" t="s">
        <v>635</v>
      </c>
      <c r="E458" t="s">
        <v>477</v>
      </c>
      <c r="F458">
        <v>4500482163</v>
      </c>
      <c r="G458" t="s">
        <v>713</v>
      </c>
      <c r="H458" t="s">
        <v>745</v>
      </c>
      <c r="I458" t="s">
        <v>477</v>
      </c>
      <c r="J458" s="1">
        <v>42600</v>
      </c>
      <c r="K458" s="1">
        <v>42600</v>
      </c>
      <c r="L458" t="str">
        <f>IFERROR(IF(VLOOKUP(LEFT(B458,2),'Humanitarian codes'!$A$2:$A$10,1,FALSE)=LEFT(B458,2),"Yes","Error"),"No")</f>
        <v>No</v>
      </c>
      <c r="AE458" s="1"/>
      <c r="AF458" s="1"/>
    </row>
    <row r="459" spans="1:32" hidden="1" x14ac:dyDescent="0.25">
      <c r="A459" t="s">
        <v>1152</v>
      </c>
      <c r="B459" t="s">
        <v>748</v>
      </c>
      <c r="C459" t="s">
        <v>749</v>
      </c>
      <c r="D459" t="s">
        <v>9</v>
      </c>
      <c r="E459" t="s">
        <v>676</v>
      </c>
      <c r="F459">
        <v>4500454586</v>
      </c>
      <c r="G459" t="s">
        <v>12</v>
      </c>
      <c r="H459" t="s">
        <v>750</v>
      </c>
      <c r="I459" t="s">
        <v>751</v>
      </c>
      <c r="J459" s="1">
        <v>10000</v>
      </c>
      <c r="K459" s="1">
        <v>10000</v>
      </c>
      <c r="L459" t="str">
        <f>IFERROR(IF(VLOOKUP(LEFT(B459,2),'Humanitarian codes'!$A$2:$A$10,1,FALSE)=LEFT(B459,2),"Yes","Error"),"No")</f>
        <v>No</v>
      </c>
      <c r="AE459" s="1"/>
      <c r="AF459" s="1"/>
    </row>
    <row r="460" spans="1:32" hidden="1" x14ac:dyDescent="0.25">
      <c r="A460" t="s">
        <v>1152</v>
      </c>
      <c r="B460" t="s">
        <v>752</v>
      </c>
      <c r="C460" t="s">
        <v>753</v>
      </c>
      <c r="D460" t="s">
        <v>30</v>
      </c>
      <c r="E460" t="s">
        <v>261</v>
      </c>
      <c r="F460">
        <v>4500431100</v>
      </c>
      <c r="G460" t="s">
        <v>12</v>
      </c>
      <c r="H460" t="s">
        <v>754</v>
      </c>
      <c r="I460" t="s">
        <v>261</v>
      </c>
      <c r="J460" s="1">
        <v>162424.85999999999</v>
      </c>
      <c r="K460" s="1">
        <v>162424.85999999999</v>
      </c>
      <c r="L460" t="str">
        <f>IFERROR(IF(VLOOKUP(LEFT(B460,2),'Humanitarian codes'!$A$2:$A$10,1,FALSE)=LEFT(B460,2),"Yes","Error"),"No")</f>
        <v>No</v>
      </c>
      <c r="AE460" s="1"/>
      <c r="AF460" s="1"/>
    </row>
    <row r="461" spans="1:32" hidden="1" x14ac:dyDescent="0.25">
      <c r="A461" t="s">
        <v>1152</v>
      </c>
      <c r="B461" t="s">
        <v>755</v>
      </c>
      <c r="C461" t="s">
        <v>756</v>
      </c>
      <c r="D461" t="s">
        <v>30</v>
      </c>
      <c r="E461" t="s">
        <v>493</v>
      </c>
      <c r="F461">
        <v>4500448807</v>
      </c>
      <c r="G461" t="s">
        <v>12</v>
      </c>
      <c r="H461" t="s">
        <v>757</v>
      </c>
      <c r="I461" t="s">
        <v>493</v>
      </c>
      <c r="J461" s="1">
        <v>105000</v>
      </c>
      <c r="K461" s="1">
        <v>105000</v>
      </c>
      <c r="L461" t="str">
        <f>IFERROR(IF(VLOOKUP(LEFT(B461,2),'Humanitarian codes'!$A$2:$A$10,1,FALSE)=LEFT(B461,2),"Yes","Error"),"No")</f>
        <v>No</v>
      </c>
      <c r="AE461" s="1"/>
      <c r="AF461" s="1"/>
    </row>
    <row r="462" spans="1:32" hidden="1" x14ac:dyDescent="0.25">
      <c r="A462" t="s">
        <v>1152</v>
      </c>
      <c r="B462" t="s">
        <v>758</v>
      </c>
      <c r="C462" t="s">
        <v>759</v>
      </c>
      <c r="D462" t="s">
        <v>30</v>
      </c>
      <c r="E462" t="s">
        <v>760</v>
      </c>
      <c r="F462">
        <v>4500447182</v>
      </c>
      <c r="G462" t="s">
        <v>12</v>
      </c>
      <c r="H462" t="s">
        <v>761</v>
      </c>
      <c r="I462" t="s">
        <v>760</v>
      </c>
      <c r="J462" s="1">
        <v>4434.59</v>
      </c>
      <c r="K462" s="1">
        <v>4434.59</v>
      </c>
      <c r="L462" t="str">
        <f>IFERROR(IF(VLOOKUP(LEFT(B462,2),'Humanitarian codes'!$A$2:$A$10,1,FALSE)=LEFT(B462,2),"Yes","Error"),"No")</f>
        <v>No</v>
      </c>
      <c r="AE462" s="1"/>
      <c r="AF462" s="1"/>
    </row>
    <row r="463" spans="1:32" hidden="1" x14ac:dyDescent="0.25">
      <c r="A463" t="s">
        <v>1152</v>
      </c>
      <c r="B463" t="s">
        <v>762</v>
      </c>
      <c r="C463" t="s">
        <v>763</v>
      </c>
      <c r="D463" t="s">
        <v>30</v>
      </c>
      <c r="E463" t="s">
        <v>663</v>
      </c>
      <c r="F463">
        <v>4500450876</v>
      </c>
      <c r="G463" t="s">
        <v>12</v>
      </c>
      <c r="H463" t="s">
        <v>764</v>
      </c>
      <c r="I463" t="s">
        <v>751</v>
      </c>
      <c r="J463" s="1">
        <v>452509</v>
      </c>
      <c r="K463" s="1">
        <v>452509</v>
      </c>
      <c r="L463" t="str">
        <f>IFERROR(IF(VLOOKUP(LEFT(B463,2),'Humanitarian codes'!$A$2:$A$10,1,FALSE)=LEFT(B463,2),"Yes","Error"),"No")</f>
        <v>No</v>
      </c>
      <c r="AE463" s="1"/>
      <c r="AF463" s="1"/>
    </row>
    <row r="464" spans="1:32" hidden="1" x14ac:dyDescent="0.25">
      <c r="A464" t="s">
        <v>1152</v>
      </c>
      <c r="B464" t="s">
        <v>762</v>
      </c>
      <c r="C464" t="s">
        <v>763</v>
      </c>
      <c r="D464" t="s">
        <v>30</v>
      </c>
      <c r="E464" t="s">
        <v>663</v>
      </c>
      <c r="F464">
        <v>4500440227</v>
      </c>
      <c r="G464" t="s">
        <v>12</v>
      </c>
      <c r="H464" t="s">
        <v>765</v>
      </c>
      <c r="I464" t="s">
        <v>663</v>
      </c>
      <c r="J464" s="1">
        <v>55526.86</v>
      </c>
      <c r="K464" s="1">
        <v>55526.86</v>
      </c>
      <c r="L464" t="str">
        <f>IFERROR(IF(VLOOKUP(LEFT(B464,2),'Humanitarian codes'!$A$2:$A$10,1,FALSE)=LEFT(B464,2),"Yes","Error"),"No")</f>
        <v>No</v>
      </c>
      <c r="AE464" s="1"/>
      <c r="AF464" s="1"/>
    </row>
    <row r="465" spans="1:32" x14ac:dyDescent="0.25">
      <c r="A465" t="s">
        <v>1152</v>
      </c>
      <c r="B465" t="s">
        <v>74</v>
      </c>
      <c r="C465" t="s">
        <v>75</v>
      </c>
      <c r="D465" t="s">
        <v>30</v>
      </c>
      <c r="E465" t="s">
        <v>54</v>
      </c>
      <c r="F465">
        <v>4500439194</v>
      </c>
      <c r="G465" t="s">
        <v>12</v>
      </c>
      <c r="H465" t="s">
        <v>269</v>
      </c>
      <c r="I465" t="s">
        <v>54</v>
      </c>
      <c r="J465" s="1">
        <v>39278.67</v>
      </c>
      <c r="K465" s="1">
        <v>68763.009999999995</v>
      </c>
      <c r="L465" t="str">
        <f>IFERROR(IF(VLOOKUP(LEFT(B465,2),'Humanitarian codes'!$A$2:$A$10,1,FALSE)=LEFT(B465,2),"Yes","Error"),"No")</f>
        <v>Yes</v>
      </c>
      <c r="AE465" s="1"/>
      <c r="AF465" s="1"/>
    </row>
    <row r="466" spans="1:32" hidden="1" x14ac:dyDescent="0.25">
      <c r="A466" t="s">
        <v>1152</v>
      </c>
      <c r="B466" t="s">
        <v>766</v>
      </c>
      <c r="C466" t="s">
        <v>767</v>
      </c>
      <c r="D466" t="s">
        <v>30</v>
      </c>
      <c r="F466">
        <v>4500438130</v>
      </c>
      <c r="G466" t="s">
        <v>12</v>
      </c>
      <c r="H466" t="s">
        <v>768</v>
      </c>
      <c r="I466" t="s">
        <v>346</v>
      </c>
      <c r="J466" s="1">
        <v>106499.72</v>
      </c>
      <c r="K466" s="1">
        <v>106499.72</v>
      </c>
      <c r="L466" t="str">
        <f>IFERROR(IF(VLOOKUP(LEFT(B466,2),'Humanitarian codes'!$A$2:$A$10,1,FALSE)=LEFT(B466,2),"Yes","Error"),"No")</f>
        <v>No</v>
      </c>
      <c r="AE466" s="1"/>
      <c r="AF466" s="1"/>
    </row>
    <row r="467" spans="1:32" hidden="1" x14ac:dyDescent="0.25">
      <c r="A467" t="s">
        <v>1152</v>
      </c>
      <c r="B467" t="s">
        <v>769</v>
      </c>
      <c r="C467" t="s">
        <v>770</v>
      </c>
      <c r="D467" t="s">
        <v>30</v>
      </c>
      <c r="E467" t="s">
        <v>356</v>
      </c>
      <c r="F467">
        <v>4500434880</v>
      </c>
      <c r="G467" t="s">
        <v>12</v>
      </c>
      <c r="H467" t="s">
        <v>771</v>
      </c>
      <c r="I467" t="s">
        <v>184</v>
      </c>
      <c r="J467" s="1">
        <v>1634925.43</v>
      </c>
      <c r="K467" s="1">
        <v>1634925.43</v>
      </c>
      <c r="L467" t="str">
        <f>IFERROR(IF(VLOOKUP(LEFT(B467,2),'Humanitarian codes'!$A$2:$A$10,1,FALSE)=LEFT(B467,2),"Yes","Error"),"No")</f>
        <v>No</v>
      </c>
      <c r="AE467" s="1"/>
      <c r="AF467" s="1"/>
    </row>
    <row r="468" spans="1:32" hidden="1" x14ac:dyDescent="0.25">
      <c r="A468" t="s">
        <v>1152</v>
      </c>
      <c r="B468" t="s">
        <v>772</v>
      </c>
      <c r="C468" t="s">
        <v>767</v>
      </c>
      <c r="D468" t="s">
        <v>30</v>
      </c>
      <c r="F468">
        <v>4500436069</v>
      </c>
      <c r="G468" t="s">
        <v>12</v>
      </c>
      <c r="H468" t="s">
        <v>773</v>
      </c>
      <c r="I468" t="s">
        <v>774</v>
      </c>
      <c r="J468" s="1">
        <v>149972.04999999999</v>
      </c>
      <c r="K468" s="1">
        <v>149972.04999999999</v>
      </c>
      <c r="L468" t="str">
        <f>IFERROR(IF(VLOOKUP(LEFT(B468,2),'Humanitarian codes'!$A$2:$A$10,1,FALSE)=LEFT(B468,2),"Yes","Error"),"No")</f>
        <v>No</v>
      </c>
      <c r="AE468" s="1"/>
      <c r="AF468" s="1"/>
    </row>
    <row r="469" spans="1:32" hidden="1" x14ac:dyDescent="0.25">
      <c r="A469" t="s">
        <v>1152</v>
      </c>
      <c r="B469" t="s">
        <v>769</v>
      </c>
      <c r="C469" t="s">
        <v>770</v>
      </c>
      <c r="D469" t="s">
        <v>30</v>
      </c>
      <c r="E469" t="s">
        <v>356</v>
      </c>
      <c r="F469">
        <v>4500434881</v>
      </c>
      <c r="G469" t="s">
        <v>12</v>
      </c>
      <c r="H469" t="s">
        <v>775</v>
      </c>
      <c r="I469" t="s">
        <v>356</v>
      </c>
      <c r="J469" s="1">
        <v>2934045.24</v>
      </c>
      <c r="K469" s="1">
        <v>2934045.24</v>
      </c>
      <c r="L469" t="str">
        <f>IFERROR(IF(VLOOKUP(LEFT(B469,2),'Humanitarian codes'!$A$2:$A$10,1,FALSE)=LEFT(B469,2),"Yes","Error"),"No")</f>
        <v>No</v>
      </c>
      <c r="AF469" s="1"/>
    </row>
    <row r="470" spans="1:32" hidden="1" x14ac:dyDescent="0.25">
      <c r="A470" t="s">
        <v>1152</v>
      </c>
      <c r="B470" t="s">
        <v>758</v>
      </c>
      <c r="C470" t="s">
        <v>759</v>
      </c>
      <c r="D470" t="s">
        <v>30</v>
      </c>
      <c r="E470" t="s">
        <v>760</v>
      </c>
      <c r="F470">
        <v>4500447367</v>
      </c>
      <c r="G470" t="s">
        <v>12</v>
      </c>
      <c r="H470" t="s">
        <v>776</v>
      </c>
      <c r="I470" t="s">
        <v>760</v>
      </c>
      <c r="J470" s="1">
        <v>4434.59</v>
      </c>
      <c r="K470" s="1">
        <v>4434.59</v>
      </c>
      <c r="L470" t="str">
        <f>IFERROR(IF(VLOOKUP(LEFT(B470,2),'Humanitarian codes'!$A$2:$A$10,1,FALSE)=LEFT(B470,2),"Yes","Error"),"No")</f>
        <v>No</v>
      </c>
      <c r="AE470" s="1"/>
      <c r="AF470" s="1"/>
    </row>
    <row r="471" spans="1:32" hidden="1" x14ac:dyDescent="0.25">
      <c r="A471" t="s">
        <v>1152</v>
      </c>
      <c r="B471" t="s">
        <v>777</v>
      </c>
      <c r="C471" t="s">
        <v>778</v>
      </c>
      <c r="D471" t="s">
        <v>30</v>
      </c>
      <c r="E471" t="s">
        <v>500</v>
      </c>
      <c r="F471">
        <v>4500445007</v>
      </c>
      <c r="G471" t="s">
        <v>12</v>
      </c>
      <c r="H471" t="s">
        <v>779</v>
      </c>
      <c r="I471" t="s">
        <v>500</v>
      </c>
      <c r="J471" s="1">
        <v>13444.53</v>
      </c>
      <c r="K471" s="1">
        <v>13444.53</v>
      </c>
      <c r="L471" t="str">
        <f>IFERROR(IF(VLOOKUP(LEFT(B471,2),'Humanitarian codes'!$A$2:$A$10,1,FALSE)=LEFT(B471,2),"Yes","Error"),"No")</f>
        <v>No</v>
      </c>
      <c r="AE471" s="1"/>
      <c r="AF471" s="1"/>
    </row>
    <row r="472" spans="1:32" hidden="1" x14ac:dyDescent="0.25">
      <c r="A472" t="s">
        <v>1152</v>
      </c>
      <c r="B472" t="s">
        <v>772</v>
      </c>
      <c r="C472" t="s">
        <v>767</v>
      </c>
      <c r="D472" t="s">
        <v>30</v>
      </c>
      <c r="F472">
        <v>4500433823</v>
      </c>
      <c r="G472" t="s">
        <v>12</v>
      </c>
      <c r="H472" t="s">
        <v>780</v>
      </c>
      <c r="I472" t="s">
        <v>774</v>
      </c>
      <c r="J472" s="1">
        <v>145890.37</v>
      </c>
      <c r="K472" s="1">
        <v>145890.37</v>
      </c>
      <c r="L472" t="str">
        <f>IFERROR(IF(VLOOKUP(LEFT(B472,2),'Humanitarian codes'!$A$2:$A$10,1,FALSE)=LEFT(B472,2),"Yes","Error"),"No")</f>
        <v>No</v>
      </c>
      <c r="AE472" s="1"/>
      <c r="AF472" s="1"/>
    </row>
    <row r="473" spans="1:32" x14ac:dyDescent="0.25">
      <c r="A473" t="s">
        <v>1152</v>
      </c>
      <c r="B473" t="s">
        <v>74</v>
      </c>
      <c r="C473" t="s">
        <v>75</v>
      </c>
      <c r="D473" t="s">
        <v>30</v>
      </c>
      <c r="E473" t="s">
        <v>54</v>
      </c>
      <c r="F473">
        <v>4500439423</v>
      </c>
      <c r="G473" t="s">
        <v>12</v>
      </c>
      <c r="H473" t="s">
        <v>278</v>
      </c>
      <c r="I473" t="s">
        <v>54</v>
      </c>
      <c r="J473" s="1">
        <v>43529.36</v>
      </c>
      <c r="K473" s="1">
        <v>55821.89</v>
      </c>
      <c r="L473" t="str">
        <f>IFERROR(IF(VLOOKUP(LEFT(B473,2),'Humanitarian codes'!$A$2:$A$10,1,FALSE)=LEFT(B473,2),"Yes","Error"),"No")</f>
        <v>Yes</v>
      </c>
      <c r="AE473" s="1"/>
      <c r="AF473" s="1"/>
    </row>
    <row r="474" spans="1:32" x14ac:dyDescent="0.25">
      <c r="A474" t="s">
        <v>1152</v>
      </c>
      <c r="B474" t="s">
        <v>74</v>
      </c>
      <c r="C474" t="s">
        <v>75</v>
      </c>
      <c r="D474" t="s">
        <v>30</v>
      </c>
      <c r="E474" t="s">
        <v>54</v>
      </c>
      <c r="F474">
        <v>4500439428</v>
      </c>
      <c r="G474" t="s">
        <v>12</v>
      </c>
      <c r="H474" t="s">
        <v>273</v>
      </c>
      <c r="I474" t="s">
        <v>54</v>
      </c>
      <c r="J474" s="1">
        <v>42566.27</v>
      </c>
      <c r="K474" s="1">
        <v>53792.78</v>
      </c>
      <c r="L474" t="str">
        <f>IFERROR(IF(VLOOKUP(LEFT(B474,2),'Humanitarian codes'!$A$2:$A$10,1,FALSE)=LEFT(B474,2),"Yes","Error"),"No")</f>
        <v>Yes</v>
      </c>
      <c r="AE474" s="1"/>
      <c r="AF474" s="1"/>
    </row>
    <row r="475" spans="1:32" x14ac:dyDescent="0.25">
      <c r="A475" t="s">
        <v>1152</v>
      </c>
      <c r="B475" t="s">
        <v>74</v>
      </c>
      <c r="C475" t="s">
        <v>75</v>
      </c>
      <c r="D475" t="s">
        <v>30</v>
      </c>
      <c r="E475" t="s">
        <v>54</v>
      </c>
      <c r="F475">
        <v>4500439430</v>
      </c>
      <c r="G475" t="s">
        <v>12</v>
      </c>
      <c r="H475" t="s">
        <v>275</v>
      </c>
      <c r="I475" t="s">
        <v>54</v>
      </c>
      <c r="J475" s="1">
        <v>47287.03</v>
      </c>
      <c r="K475" s="1">
        <v>50565.1</v>
      </c>
      <c r="L475" t="str">
        <f>IFERROR(IF(VLOOKUP(LEFT(B475,2),'Humanitarian codes'!$A$2:$A$10,1,FALSE)=LEFT(B475,2),"Yes","Error"),"No")</f>
        <v>Yes</v>
      </c>
      <c r="AE475" s="1"/>
      <c r="AF475" s="1"/>
    </row>
    <row r="476" spans="1:32" x14ac:dyDescent="0.25">
      <c r="A476" t="s">
        <v>1152</v>
      </c>
      <c r="B476" t="s">
        <v>74</v>
      </c>
      <c r="C476" t="s">
        <v>75</v>
      </c>
      <c r="D476" t="s">
        <v>30</v>
      </c>
      <c r="E476" t="s">
        <v>54</v>
      </c>
      <c r="F476">
        <v>4500439425</v>
      </c>
      <c r="G476" t="s">
        <v>12</v>
      </c>
      <c r="H476" t="s">
        <v>276</v>
      </c>
      <c r="I476" t="s">
        <v>54</v>
      </c>
      <c r="J476" s="1">
        <v>53000</v>
      </c>
      <c r="K476" s="1">
        <v>64975.9</v>
      </c>
      <c r="L476" t="str">
        <f>IFERROR(IF(VLOOKUP(LEFT(B476,2),'Humanitarian codes'!$A$2:$A$10,1,FALSE)=LEFT(B476,2),"Yes","Error"),"No")</f>
        <v>Yes</v>
      </c>
      <c r="AE476" s="1"/>
      <c r="AF476" s="1"/>
    </row>
    <row r="477" spans="1:32" hidden="1" x14ac:dyDescent="0.25">
      <c r="A477" t="s">
        <v>1152</v>
      </c>
      <c r="B477" t="s">
        <v>51</v>
      </c>
      <c r="C477" t="s">
        <v>39</v>
      </c>
      <c r="D477" t="s">
        <v>30</v>
      </c>
      <c r="E477" t="s">
        <v>40</v>
      </c>
      <c r="F477">
        <v>4500435849</v>
      </c>
      <c r="G477" t="s">
        <v>12</v>
      </c>
      <c r="H477" t="s">
        <v>781</v>
      </c>
      <c r="I477" t="s">
        <v>40</v>
      </c>
      <c r="J477" s="1">
        <v>25586.73</v>
      </c>
      <c r="K477" s="1">
        <v>25586.73</v>
      </c>
      <c r="L477" t="str">
        <f>IFERROR(IF(VLOOKUP(LEFT(B477,2),'Humanitarian codes'!$A$2:$A$10,1,FALSE)=LEFT(B477,2),"Yes","Error"),"No")</f>
        <v>No</v>
      </c>
      <c r="AE477" s="1"/>
      <c r="AF477" s="1"/>
    </row>
    <row r="478" spans="1:32" hidden="1" x14ac:dyDescent="0.25">
      <c r="A478" t="s">
        <v>1152</v>
      </c>
      <c r="B478" t="s">
        <v>782</v>
      </c>
      <c r="C478" t="s">
        <v>783</v>
      </c>
      <c r="D478" t="s">
        <v>30</v>
      </c>
      <c r="E478" t="s">
        <v>261</v>
      </c>
      <c r="F478">
        <v>4500436694</v>
      </c>
      <c r="G478" t="s">
        <v>12</v>
      </c>
      <c r="H478" t="s">
        <v>784</v>
      </c>
      <c r="I478" t="s">
        <v>261</v>
      </c>
      <c r="J478" s="1">
        <v>72123.53</v>
      </c>
      <c r="K478" s="1">
        <v>1442470.67</v>
      </c>
      <c r="L478" t="str">
        <f>IFERROR(IF(VLOOKUP(LEFT(B478,2),'Humanitarian codes'!$A$2:$A$10,1,FALSE)=LEFT(B478,2),"Yes","Error"),"No")</f>
        <v>No</v>
      </c>
      <c r="AE478" s="1"/>
      <c r="AF478" s="1"/>
    </row>
    <row r="479" spans="1:32" hidden="1" x14ac:dyDescent="0.25">
      <c r="A479" t="s">
        <v>1152</v>
      </c>
      <c r="B479" t="s">
        <v>785</v>
      </c>
      <c r="C479" t="s">
        <v>783</v>
      </c>
      <c r="D479" t="s">
        <v>30</v>
      </c>
      <c r="E479" t="s">
        <v>261</v>
      </c>
      <c r="F479">
        <v>4500436694</v>
      </c>
      <c r="G479" t="s">
        <v>12</v>
      </c>
      <c r="H479" t="s">
        <v>784</v>
      </c>
      <c r="I479" t="s">
        <v>261</v>
      </c>
      <c r="J479" s="1">
        <v>1370347.14</v>
      </c>
      <c r="K479" s="1">
        <v>1442470.67</v>
      </c>
      <c r="L479" t="str">
        <f>IFERROR(IF(VLOOKUP(LEFT(B479,2),'Humanitarian codes'!$A$2:$A$10,1,FALSE)=LEFT(B479,2),"Yes","Error"),"No")</f>
        <v>No</v>
      </c>
      <c r="AE479" s="1"/>
      <c r="AF479" s="1"/>
    </row>
    <row r="480" spans="1:32" hidden="1" x14ac:dyDescent="0.25">
      <c r="A480" t="s">
        <v>1152</v>
      </c>
      <c r="B480" t="s">
        <v>786</v>
      </c>
      <c r="C480" t="s">
        <v>787</v>
      </c>
      <c r="D480" t="s">
        <v>30</v>
      </c>
      <c r="E480" t="s">
        <v>261</v>
      </c>
      <c r="F480">
        <v>4500433142</v>
      </c>
      <c r="G480" t="s">
        <v>12</v>
      </c>
      <c r="H480" t="s">
        <v>788</v>
      </c>
      <c r="I480" t="s">
        <v>261</v>
      </c>
      <c r="J480" s="1">
        <v>109033.49</v>
      </c>
      <c r="K480" s="1">
        <v>109033.49</v>
      </c>
      <c r="L480" t="str">
        <f>IFERROR(IF(VLOOKUP(LEFT(B480,2),'Humanitarian codes'!$A$2:$A$10,1,FALSE)=LEFT(B480,2),"Yes","Error"),"No")</f>
        <v>No</v>
      </c>
      <c r="AE480" s="1"/>
      <c r="AF480" s="1"/>
    </row>
    <row r="481" spans="1:32" x14ac:dyDescent="0.25">
      <c r="A481" t="s">
        <v>1152</v>
      </c>
      <c r="B481" t="s">
        <v>70</v>
      </c>
      <c r="C481" t="s">
        <v>71</v>
      </c>
      <c r="D481" t="s">
        <v>30</v>
      </c>
      <c r="E481" t="s">
        <v>72</v>
      </c>
      <c r="F481">
        <v>4500436404</v>
      </c>
      <c r="G481" t="s">
        <v>12</v>
      </c>
      <c r="H481" t="s">
        <v>179</v>
      </c>
      <c r="I481" t="s">
        <v>72</v>
      </c>
      <c r="J481" s="1">
        <v>979635.58</v>
      </c>
      <c r="K481" s="1">
        <v>979635.58</v>
      </c>
      <c r="L481" t="str">
        <f>IFERROR(IF(VLOOKUP(LEFT(B481,2),'Humanitarian codes'!$A$2:$A$10,1,FALSE)=LEFT(B481,2),"Yes","Error"),"No")</f>
        <v>Yes</v>
      </c>
      <c r="AE481" s="1"/>
      <c r="AF481" s="1"/>
    </row>
    <row r="482" spans="1:32" x14ac:dyDescent="0.25">
      <c r="A482" t="s">
        <v>1152</v>
      </c>
      <c r="B482" t="s">
        <v>74</v>
      </c>
      <c r="C482" t="s">
        <v>75</v>
      </c>
      <c r="D482" t="s">
        <v>30</v>
      </c>
      <c r="E482" t="s">
        <v>54</v>
      </c>
      <c r="F482">
        <v>4500439420</v>
      </c>
      <c r="G482" t="s">
        <v>12</v>
      </c>
      <c r="H482" t="s">
        <v>789</v>
      </c>
      <c r="I482" t="s">
        <v>54</v>
      </c>
      <c r="J482" s="1">
        <v>34204.82</v>
      </c>
      <c r="K482" s="1">
        <v>60575.9</v>
      </c>
      <c r="L482" t="str">
        <f>IFERROR(IF(VLOOKUP(LEFT(B482,2),'Humanitarian codes'!$A$2:$A$10,1,FALSE)=LEFT(B482,2),"Yes","Error"),"No")</f>
        <v>Yes</v>
      </c>
      <c r="AE482" s="1"/>
      <c r="AF482" s="1"/>
    </row>
    <row r="483" spans="1:32" x14ac:dyDescent="0.25">
      <c r="A483" t="s">
        <v>1152</v>
      </c>
      <c r="B483" t="s">
        <v>74</v>
      </c>
      <c r="C483" t="s">
        <v>75</v>
      </c>
      <c r="D483" t="s">
        <v>30</v>
      </c>
      <c r="E483" t="s">
        <v>54</v>
      </c>
      <c r="F483">
        <v>4500439433</v>
      </c>
      <c r="G483" t="s">
        <v>12</v>
      </c>
      <c r="H483" t="s">
        <v>280</v>
      </c>
      <c r="I483" t="s">
        <v>54</v>
      </c>
      <c r="J483" s="1">
        <v>104384.58</v>
      </c>
      <c r="K483" s="1">
        <v>111029.16</v>
      </c>
      <c r="L483" t="str">
        <f>IFERROR(IF(VLOOKUP(LEFT(B483,2),'Humanitarian codes'!$A$2:$A$10,1,FALSE)=LEFT(B483,2),"Yes","Error"),"No")</f>
        <v>Yes</v>
      </c>
      <c r="AE483" s="1"/>
      <c r="AF483" s="1"/>
    </row>
    <row r="484" spans="1:32" x14ac:dyDescent="0.25">
      <c r="A484" t="s">
        <v>1152</v>
      </c>
      <c r="B484" t="s">
        <v>74</v>
      </c>
      <c r="C484" t="s">
        <v>75</v>
      </c>
      <c r="D484" t="s">
        <v>30</v>
      </c>
      <c r="E484" t="s">
        <v>54</v>
      </c>
      <c r="F484">
        <v>4500440064</v>
      </c>
      <c r="G484" t="s">
        <v>12</v>
      </c>
      <c r="H484" t="s">
        <v>790</v>
      </c>
      <c r="I484" t="s">
        <v>54</v>
      </c>
      <c r="J484" s="1">
        <v>49709.64</v>
      </c>
      <c r="K484" s="1">
        <v>61348.19</v>
      </c>
      <c r="L484" t="str">
        <f>IFERROR(IF(VLOOKUP(LEFT(B484,2),'Humanitarian codes'!$A$2:$A$10,1,FALSE)=LEFT(B484,2),"Yes","Error"),"No")</f>
        <v>Yes</v>
      </c>
      <c r="AE484" s="1"/>
      <c r="AF484" s="1"/>
    </row>
    <row r="485" spans="1:32" x14ac:dyDescent="0.25">
      <c r="A485" t="s">
        <v>1152</v>
      </c>
      <c r="B485" t="s">
        <v>791</v>
      </c>
      <c r="C485" t="s">
        <v>792</v>
      </c>
      <c r="D485" t="s">
        <v>30</v>
      </c>
      <c r="E485" t="s">
        <v>793</v>
      </c>
      <c r="F485">
        <v>4500444518</v>
      </c>
      <c r="G485" t="s">
        <v>12</v>
      </c>
      <c r="H485" t="s">
        <v>794</v>
      </c>
      <c r="I485" t="s">
        <v>793</v>
      </c>
      <c r="J485" s="1">
        <v>70000.210000000006</v>
      </c>
      <c r="K485" s="1">
        <v>70000.210000000006</v>
      </c>
      <c r="L485" t="str">
        <f>IFERROR(IF(VLOOKUP(LEFT(B485,2),'Humanitarian codes'!$A$2:$A$10,1,FALSE)=LEFT(B485,2),"Yes","Error"),"No")</f>
        <v>Yes</v>
      </c>
      <c r="AE485" s="1"/>
      <c r="AF485" s="1"/>
    </row>
    <row r="486" spans="1:32" x14ac:dyDescent="0.25">
      <c r="A486" t="s">
        <v>1152</v>
      </c>
      <c r="B486" t="s">
        <v>791</v>
      </c>
      <c r="C486" t="s">
        <v>792</v>
      </c>
      <c r="D486" t="s">
        <v>30</v>
      </c>
      <c r="E486" t="s">
        <v>793</v>
      </c>
      <c r="F486">
        <v>4500444523</v>
      </c>
      <c r="G486" t="s">
        <v>12</v>
      </c>
      <c r="H486" t="s">
        <v>795</v>
      </c>
      <c r="I486" t="s">
        <v>793</v>
      </c>
      <c r="J486" s="1">
        <v>55467.11</v>
      </c>
      <c r="K486" s="1">
        <v>55467.11</v>
      </c>
      <c r="L486" t="str">
        <f>IFERROR(IF(VLOOKUP(LEFT(B486,2),'Humanitarian codes'!$A$2:$A$10,1,FALSE)=LEFT(B486,2),"Yes","Error"),"No")</f>
        <v>Yes</v>
      </c>
      <c r="AE486" s="1"/>
      <c r="AF486" s="1"/>
    </row>
    <row r="487" spans="1:32" x14ac:dyDescent="0.25">
      <c r="A487" t="s">
        <v>1152</v>
      </c>
      <c r="B487" t="s">
        <v>791</v>
      </c>
      <c r="C487" t="s">
        <v>792</v>
      </c>
      <c r="D487" t="s">
        <v>30</v>
      </c>
      <c r="E487" t="s">
        <v>793</v>
      </c>
      <c r="F487">
        <v>4500444522</v>
      </c>
      <c r="G487" t="s">
        <v>12</v>
      </c>
      <c r="H487" t="s">
        <v>796</v>
      </c>
      <c r="I487" t="s">
        <v>793</v>
      </c>
      <c r="J487" s="1">
        <v>66975.53</v>
      </c>
      <c r="K487" s="1">
        <v>66975.53</v>
      </c>
      <c r="L487" t="str">
        <f>IFERROR(IF(VLOOKUP(LEFT(B487,2),'Humanitarian codes'!$A$2:$A$10,1,FALSE)=LEFT(B487,2),"Yes","Error"),"No")</f>
        <v>Yes</v>
      </c>
      <c r="AE487" s="1"/>
      <c r="AF487" s="1"/>
    </row>
    <row r="488" spans="1:32" x14ac:dyDescent="0.25">
      <c r="A488" t="s">
        <v>1152</v>
      </c>
      <c r="B488" t="s">
        <v>791</v>
      </c>
      <c r="C488" t="s">
        <v>792</v>
      </c>
      <c r="D488" t="s">
        <v>30</v>
      </c>
      <c r="E488" t="s">
        <v>793</v>
      </c>
      <c r="F488">
        <v>4500444524</v>
      </c>
      <c r="G488" t="s">
        <v>12</v>
      </c>
      <c r="H488" t="s">
        <v>797</v>
      </c>
      <c r="I488" t="s">
        <v>798</v>
      </c>
      <c r="J488" s="1">
        <v>66015.44</v>
      </c>
      <c r="K488" s="1">
        <v>66015.44</v>
      </c>
      <c r="L488" t="str">
        <f>IFERROR(IF(VLOOKUP(LEFT(B488,2),'Humanitarian codes'!$A$2:$A$10,1,FALSE)=LEFT(B488,2),"Yes","Error"),"No")</f>
        <v>Yes</v>
      </c>
      <c r="AE488" s="1"/>
      <c r="AF488" s="1"/>
    </row>
    <row r="489" spans="1:32" x14ac:dyDescent="0.25">
      <c r="A489" t="s">
        <v>1152</v>
      </c>
      <c r="B489" t="s">
        <v>87</v>
      </c>
      <c r="C489" t="s">
        <v>88</v>
      </c>
      <c r="D489" t="s">
        <v>30</v>
      </c>
      <c r="E489" t="s">
        <v>32</v>
      </c>
      <c r="F489">
        <v>4500452143</v>
      </c>
      <c r="G489" t="s">
        <v>12</v>
      </c>
      <c r="H489" t="s">
        <v>799</v>
      </c>
      <c r="I489" t="s">
        <v>32</v>
      </c>
      <c r="J489" s="1">
        <v>211539</v>
      </c>
      <c r="K489" s="1">
        <v>211539</v>
      </c>
      <c r="L489" t="str">
        <f>IFERROR(IF(VLOOKUP(LEFT(B489,2),'Humanitarian codes'!$A$2:$A$10,1,FALSE)=LEFT(B489,2),"Yes","Error"),"No")</f>
        <v>Yes</v>
      </c>
      <c r="AE489" s="1"/>
      <c r="AF489" s="1"/>
    </row>
    <row r="490" spans="1:32" x14ac:dyDescent="0.25">
      <c r="A490" t="s">
        <v>1152</v>
      </c>
      <c r="B490" t="s">
        <v>87</v>
      </c>
      <c r="C490" t="s">
        <v>88</v>
      </c>
      <c r="D490" t="s">
        <v>30</v>
      </c>
      <c r="E490" t="s">
        <v>32</v>
      </c>
      <c r="F490">
        <v>4500450860</v>
      </c>
      <c r="G490" t="s">
        <v>12</v>
      </c>
      <c r="H490" t="s">
        <v>800</v>
      </c>
      <c r="I490" t="s">
        <v>32</v>
      </c>
      <c r="J490" s="1">
        <v>226744</v>
      </c>
      <c r="K490" s="1">
        <v>226744</v>
      </c>
      <c r="L490" t="str">
        <f>IFERROR(IF(VLOOKUP(LEFT(B490,2),'Humanitarian codes'!$A$2:$A$10,1,FALSE)=LEFT(B490,2),"Yes","Error"),"No")</f>
        <v>Yes</v>
      </c>
      <c r="AE490" s="1"/>
      <c r="AF490" s="1"/>
    </row>
    <row r="491" spans="1:32" x14ac:dyDescent="0.25">
      <c r="A491" t="s">
        <v>1152</v>
      </c>
      <c r="B491" t="s">
        <v>87</v>
      </c>
      <c r="C491" t="s">
        <v>88</v>
      </c>
      <c r="D491" t="s">
        <v>30</v>
      </c>
      <c r="E491" t="s">
        <v>32</v>
      </c>
      <c r="F491">
        <v>4500441422</v>
      </c>
      <c r="G491" t="s">
        <v>12</v>
      </c>
      <c r="H491" t="s">
        <v>801</v>
      </c>
      <c r="I491" t="s">
        <v>32</v>
      </c>
      <c r="J491" s="1">
        <v>222745</v>
      </c>
      <c r="K491" s="1">
        <v>222745</v>
      </c>
      <c r="L491" t="str">
        <f>IFERROR(IF(VLOOKUP(LEFT(B491,2),'Humanitarian codes'!$A$2:$A$10,1,FALSE)=LEFT(B491,2),"Yes","Error"),"No")</f>
        <v>Yes</v>
      </c>
      <c r="AE491" s="1"/>
      <c r="AF491" s="1"/>
    </row>
    <row r="492" spans="1:32" x14ac:dyDescent="0.25">
      <c r="A492" t="s">
        <v>1152</v>
      </c>
      <c r="B492" t="s">
        <v>87</v>
      </c>
      <c r="C492" t="s">
        <v>88</v>
      </c>
      <c r="D492" t="s">
        <v>30</v>
      </c>
      <c r="E492" t="s">
        <v>32</v>
      </c>
      <c r="F492">
        <v>4500439099</v>
      </c>
      <c r="G492" t="s">
        <v>12</v>
      </c>
      <c r="H492" t="s">
        <v>33</v>
      </c>
      <c r="I492" t="s">
        <v>32</v>
      </c>
      <c r="J492" s="1">
        <v>50642</v>
      </c>
      <c r="K492" s="1">
        <v>50642</v>
      </c>
      <c r="L492" t="str">
        <f>IFERROR(IF(VLOOKUP(LEFT(B492,2),'Humanitarian codes'!$A$2:$A$10,1,FALSE)=LEFT(B492,2),"Yes","Error"),"No")</f>
        <v>Yes</v>
      </c>
      <c r="AE492" s="1"/>
      <c r="AF492" s="1"/>
    </row>
    <row r="493" spans="1:32" x14ac:dyDescent="0.25">
      <c r="A493" t="s">
        <v>1152</v>
      </c>
      <c r="B493" t="s">
        <v>87</v>
      </c>
      <c r="C493" t="s">
        <v>88</v>
      </c>
      <c r="D493" t="s">
        <v>30</v>
      </c>
      <c r="E493" t="s">
        <v>32</v>
      </c>
      <c r="F493">
        <v>4500439967</v>
      </c>
      <c r="G493" t="s">
        <v>12</v>
      </c>
      <c r="H493" t="s">
        <v>802</v>
      </c>
      <c r="I493" t="s">
        <v>32</v>
      </c>
      <c r="J493" s="1">
        <v>78900</v>
      </c>
      <c r="K493" s="1">
        <v>78900</v>
      </c>
      <c r="L493" t="str">
        <f>IFERROR(IF(VLOOKUP(LEFT(B493,2),'Humanitarian codes'!$A$2:$A$10,1,FALSE)=LEFT(B493,2),"Yes","Error"),"No")</f>
        <v>Yes</v>
      </c>
      <c r="AE493" s="1"/>
      <c r="AF493" s="1"/>
    </row>
    <row r="494" spans="1:32" x14ac:dyDescent="0.25">
      <c r="A494" t="s">
        <v>1152</v>
      </c>
      <c r="B494" t="s">
        <v>87</v>
      </c>
      <c r="C494" t="s">
        <v>88</v>
      </c>
      <c r="D494" t="s">
        <v>30</v>
      </c>
      <c r="E494" t="s">
        <v>32</v>
      </c>
      <c r="F494">
        <v>4500445842</v>
      </c>
      <c r="G494" t="s">
        <v>12</v>
      </c>
      <c r="H494" t="s">
        <v>803</v>
      </c>
      <c r="I494" t="s">
        <v>32</v>
      </c>
      <c r="J494" s="1">
        <v>85985</v>
      </c>
      <c r="K494" s="1">
        <v>85985</v>
      </c>
      <c r="L494" t="str">
        <f>IFERROR(IF(VLOOKUP(LEFT(B494,2),'Humanitarian codes'!$A$2:$A$10,1,FALSE)=LEFT(B494,2),"Yes","Error"),"No")</f>
        <v>Yes</v>
      </c>
      <c r="AE494" s="1"/>
      <c r="AF494" s="1"/>
    </row>
    <row r="495" spans="1:32" x14ac:dyDescent="0.25">
      <c r="A495" t="s">
        <v>1152</v>
      </c>
      <c r="B495" t="s">
        <v>87</v>
      </c>
      <c r="C495" t="s">
        <v>88</v>
      </c>
      <c r="D495" t="s">
        <v>30</v>
      </c>
      <c r="E495" t="s">
        <v>32</v>
      </c>
      <c r="F495">
        <v>4500445835</v>
      </c>
      <c r="G495" t="s">
        <v>12</v>
      </c>
      <c r="H495" t="s">
        <v>804</v>
      </c>
      <c r="I495" t="s">
        <v>32</v>
      </c>
      <c r="J495" s="1">
        <v>218815</v>
      </c>
      <c r="K495" s="1">
        <v>218815</v>
      </c>
      <c r="L495" t="str">
        <f>IFERROR(IF(VLOOKUP(LEFT(B495,2),'Humanitarian codes'!$A$2:$A$10,1,FALSE)=LEFT(B495,2),"Yes","Error"),"No")</f>
        <v>Yes</v>
      </c>
      <c r="AE495" s="1"/>
      <c r="AF495" s="1"/>
    </row>
    <row r="496" spans="1:32" x14ac:dyDescent="0.25">
      <c r="A496" t="s">
        <v>1152</v>
      </c>
      <c r="B496" t="s">
        <v>87</v>
      </c>
      <c r="C496" t="s">
        <v>88</v>
      </c>
      <c r="D496" t="s">
        <v>30</v>
      </c>
      <c r="E496" t="s">
        <v>32</v>
      </c>
      <c r="F496">
        <v>4500447746</v>
      </c>
      <c r="G496" t="s">
        <v>12</v>
      </c>
      <c r="H496" t="s">
        <v>805</v>
      </c>
      <c r="I496" t="s">
        <v>32</v>
      </c>
      <c r="J496" s="1">
        <v>144727</v>
      </c>
      <c r="K496" s="1">
        <v>144727</v>
      </c>
      <c r="L496" t="str">
        <f>IFERROR(IF(VLOOKUP(LEFT(B496,2),'Humanitarian codes'!$A$2:$A$10,1,FALSE)=LEFT(B496,2),"Yes","Error"),"No")</f>
        <v>Yes</v>
      </c>
      <c r="AE496" s="1"/>
      <c r="AF496" s="1"/>
    </row>
    <row r="497" spans="1:32" x14ac:dyDescent="0.25">
      <c r="A497" t="s">
        <v>1152</v>
      </c>
      <c r="B497" t="s">
        <v>87</v>
      </c>
      <c r="C497" t="s">
        <v>88</v>
      </c>
      <c r="D497" t="s">
        <v>30</v>
      </c>
      <c r="E497" t="s">
        <v>32</v>
      </c>
      <c r="F497">
        <v>4500451612</v>
      </c>
      <c r="G497" t="s">
        <v>12</v>
      </c>
      <c r="H497" t="s">
        <v>806</v>
      </c>
      <c r="I497" t="s">
        <v>32</v>
      </c>
      <c r="J497" s="1">
        <v>163294</v>
      </c>
      <c r="K497" s="1">
        <v>163294</v>
      </c>
      <c r="L497" t="str">
        <f>IFERROR(IF(VLOOKUP(LEFT(B497,2),'Humanitarian codes'!$A$2:$A$10,1,FALSE)=LEFT(B497,2),"Yes","Error"),"No")</f>
        <v>Yes</v>
      </c>
      <c r="AE497" s="1"/>
      <c r="AF497" s="1"/>
    </row>
    <row r="498" spans="1:32" x14ac:dyDescent="0.25">
      <c r="A498" t="s">
        <v>1152</v>
      </c>
      <c r="B498" t="s">
        <v>87</v>
      </c>
      <c r="C498" t="s">
        <v>88</v>
      </c>
      <c r="D498" t="s">
        <v>30</v>
      </c>
      <c r="E498" t="s">
        <v>32</v>
      </c>
      <c r="F498">
        <v>4500450866</v>
      </c>
      <c r="G498" t="s">
        <v>12</v>
      </c>
      <c r="H498" t="s">
        <v>99</v>
      </c>
      <c r="I498" t="s">
        <v>32</v>
      </c>
      <c r="J498" s="1">
        <v>89807</v>
      </c>
      <c r="K498" s="1">
        <v>89807</v>
      </c>
      <c r="L498" t="str">
        <f>IFERROR(IF(VLOOKUP(LEFT(B498,2),'Humanitarian codes'!$A$2:$A$10,1,FALSE)=LEFT(B498,2),"Yes","Error"),"No")</f>
        <v>Yes</v>
      </c>
      <c r="AE498" s="1"/>
      <c r="AF498" s="1"/>
    </row>
    <row r="499" spans="1:32" x14ac:dyDescent="0.25">
      <c r="A499" t="s">
        <v>1152</v>
      </c>
      <c r="B499" t="s">
        <v>87</v>
      </c>
      <c r="C499" t="s">
        <v>88</v>
      </c>
      <c r="D499" t="s">
        <v>30</v>
      </c>
      <c r="E499" t="s">
        <v>32</v>
      </c>
      <c r="F499">
        <v>4500452126</v>
      </c>
      <c r="G499" t="s">
        <v>12</v>
      </c>
      <c r="H499" t="s">
        <v>807</v>
      </c>
      <c r="I499" t="s">
        <v>32</v>
      </c>
      <c r="J499" s="1">
        <v>249589</v>
      </c>
      <c r="K499" s="1">
        <v>249589</v>
      </c>
      <c r="L499" t="str">
        <f>IFERROR(IF(VLOOKUP(LEFT(B499,2),'Humanitarian codes'!$A$2:$A$10,1,FALSE)=LEFT(B499,2),"Yes","Error"),"No")</f>
        <v>Yes</v>
      </c>
      <c r="AE499" s="1"/>
      <c r="AF499" s="1"/>
    </row>
    <row r="500" spans="1:32" x14ac:dyDescent="0.25">
      <c r="A500" t="s">
        <v>1152</v>
      </c>
      <c r="B500" t="s">
        <v>87</v>
      </c>
      <c r="C500" t="s">
        <v>88</v>
      </c>
      <c r="D500" t="s">
        <v>30</v>
      </c>
      <c r="E500" t="s">
        <v>32</v>
      </c>
      <c r="F500">
        <v>4500452166</v>
      </c>
      <c r="G500" t="s">
        <v>12</v>
      </c>
      <c r="H500" t="s">
        <v>808</v>
      </c>
      <c r="I500" t="s">
        <v>32</v>
      </c>
      <c r="J500" s="1">
        <v>155524</v>
      </c>
      <c r="K500" s="1">
        <v>155524</v>
      </c>
      <c r="L500" t="str">
        <f>IFERROR(IF(VLOOKUP(LEFT(B500,2),'Humanitarian codes'!$A$2:$A$10,1,FALSE)=LEFT(B500,2),"Yes","Error"),"No")</f>
        <v>Yes</v>
      </c>
      <c r="AE500" s="1"/>
      <c r="AF500" s="1"/>
    </row>
    <row r="501" spans="1:32" x14ac:dyDescent="0.25">
      <c r="A501" t="s">
        <v>1152</v>
      </c>
      <c r="B501" t="s">
        <v>87</v>
      </c>
      <c r="C501" t="s">
        <v>88</v>
      </c>
      <c r="D501" t="s">
        <v>30</v>
      </c>
      <c r="E501" t="s">
        <v>32</v>
      </c>
      <c r="F501">
        <v>4500452246</v>
      </c>
      <c r="G501" t="s">
        <v>12</v>
      </c>
      <c r="H501" t="s">
        <v>809</v>
      </c>
      <c r="I501" t="s">
        <v>32</v>
      </c>
      <c r="J501" s="1">
        <v>249183</v>
      </c>
      <c r="K501" s="1">
        <v>249183</v>
      </c>
      <c r="L501" t="str">
        <f>IFERROR(IF(VLOOKUP(LEFT(B501,2),'Humanitarian codes'!$A$2:$A$10,1,FALSE)=LEFT(B501,2),"Yes","Error"),"No")</f>
        <v>Yes</v>
      </c>
      <c r="AE501" s="1"/>
      <c r="AF501" s="1"/>
    </row>
    <row r="502" spans="1:32" x14ac:dyDescent="0.25">
      <c r="A502" t="s">
        <v>1152</v>
      </c>
      <c r="B502" t="s">
        <v>87</v>
      </c>
      <c r="C502" t="s">
        <v>88</v>
      </c>
      <c r="D502" t="s">
        <v>30</v>
      </c>
      <c r="E502" t="s">
        <v>32</v>
      </c>
      <c r="F502">
        <v>4500454225</v>
      </c>
      <c r="G502" t="s">
        <v>12</v>
      </c>
      <c r="H502" t="s">
        <v>810</v>
      </c>
      <c r="I502" t="s">
        <v>32</v>
      </c>
      <c r="J502" s="1">
        <v>249814</v>
      </c>
      <c r="K502" s="1">
        <v>249814</v>
      </c>
      <c r="L502" t="str">
        <f>IFERROR(IF(VLOOKUP(LEFT(B502,2),'Humanitarian codes'!$A$2:$A$10,1,FALSE)=LEFT(B502,2),"Yes","Error"),"No")</f>
        <v>Yes</v>
      </c>
      <c r="AE502" s="1"/>
      <c r="AF502" s="1"/>
    </row>
    <row r="503" spans="1:32" x14ac:dyDescent="0.25">
      <c r="A503" t="s">
        <v>1152</v>
      </c>
      <c r="B503" t="s">
        <v>811</v>
      </c>
      <c r="C503" t="s">
        <v>812</v>
      </c>
      <c r="D503" t="s">
        <v>30</v>
      </c>
      <c r="E503" t="s">
        <v>123</v>
      </c>
      <c r="F503">
        <v>4500433481</v>
      </c>
      <c r="G503" t="s">
        <v>12</v>
      </c>
      <c r="H503" t="s">
        <v>367</v>
      </c>
      <c r="I503" t="s">
        <v>123</v>
      </c>
      <c r="J503" s="1">
        <v>54844</v>
      </c>
      <c r="K503" s="1">
        <v>70000</v>
      </c>
      <c r="L503" t="str">
        <f>IFERROR(IF(VLOOKUP(LEFT(B503,2),'Humanitarian codes'!$A$2:$A$10,1,FALSE)=LEFT(B503,2),"Yes","Error"),"No")</f>
        <v>Yes</v>
      </c>
      <c r="AE503" s="1"/>
      <c r="AF503" s="1"/>
    </row>
    <row r="504" spans="1:32" x14ac:dyDescent="0.25">
      <c r="A504" t="s">
        <v>1152</v>
      </c>
      <c r="B504" t="s">
        <v>811</v>
      </c>
      <c r="C504" t="s">
        <v>812</v>
      </c>
      <c r="D504" t="s">
        <v>30</v>
      </c>
      <c r="E504" t="s">
        <v>123</v>
      </c>
      <c r="F504">
        <v>4500433682</v>
      </c>
      <c r="G504" t="s">
        <v>12</v>
      </c>
      <c r="H504" t="s">
        <v>813</v>
      </c>
      <c r="I504" t="s">
        <v>123</v>
      </c>
      <c r="J504" s="1">
        <v>729938.07</v>
      </c>
      <c r="K504" s="1">
        <v>729938.07</v>
      </c>
      <c r="L504" t="str">
        <f>IFERROR(IF(VLOOKUP(LEFT(B504,2),'Humanitarian codes'!$A$2:$A$10,1,FALSE)=LEFT(B504,2),"Yes","Error"),"No")</f>
        <v>Yes</v>
      </c>
      <c r="AE504" s="1"/>
      <c r="AF504" s="1"/>
    </row>
    <row r="505" spans="1:32" x14ac:dyDescent="0.25">
      <c r="A505" t="s">
        <v>1152</v>
      </c>
      <c r="B505" t="s">
        <v>811</v>
      </c>
      <c r="C505" t="s">
        <v>812</v>
      </c>
      <c r="D505" t="s">
        <v>30</v>
      </c>
      <c r="E505" t="s">
        <v>123</v>
      </c>
      <c r="F505">
        <v>4500448340</v>
      </c>
      <c r="G505" t="s">
        <v>12</v>
      </c>
      <c r="H505" t="s">
        <v>366</v>
      </c>
      <c r="I505" t="s">
        <v>123</v>
      </c>
      <c r="J505" s="1">
        <v>867326.46</v>
      </c>
      <c r="K505" s="1">
        <v>867326.46</v>
      </c>
      <c r="L505" t="str">
        <f>IFERROR(IF(VLOOKUP(LEFT(B505,2),'Humanitarian codes'!$A$2:$A$10,1,FALSE)=LEFT(B505,2),"Yes","Error"),"No")</f>
        <v>Yes</v>
      </c>
      <c r="AE505" s="1"/>
      <c r="AF505" s="1"/>
    </row>
    <row r="506" spans="1:32" x14ac:dyDescent="0.25">
      <c r="A506" t="s">
        <v>1152</v>
      </c>
      <c r="B506" t="s">
        <v>811</v>
      </c>
      <c r="C506" t="s">
        <v>812</v>
      </c>
      <c r="D506" t="s">
        <v>30</v>
      </c>
      <c r="E506" t="s">
        <v>123</v>
      </c>
      <c r="F506">
        <v>4500454335</v>
      </c>
      <c r="G506" t="s">
        <v>12</v>
      </c>
      <c r="H506" t="s">
        <v>366</v>
      </c>
      <c r="I506" t="s">
        <v>123</v>
      </c>
      <c r="J506" s="1">
        <v>1023959.31</v>
      </c>
      <c r="K506" s="1">
        <v>1023959.31</v>
      </c>
      <c r="L506" t="str">
        <f>IFERROR(IF(VLOOKUP(LEFT(B506,2),'Humanitarian codes'!$A$2:$A$10,1,FALSE)=LEFT(B506,2),"Yes","Error"),"No")</f>
        <v>Yes</v>
      </c>
      <c r="AE506" s="1"/>
      <c r="AF506" s="1"/>
    </row>
    <row r="507" spans="1:32" x14ac:dyDescent="0.25">
      <c r="A507" t="s">
        <v>1152</v>
      </c>
      <c r="B507" t="s">
        <v>107</v>
      </c>
      <c r="C507" t="s">
        <v>108</v>
      </c>
      <c r="D507" t="s">
        <v>30</v>
      </c>
      <c r="E507" t="s">
        <v>814</v>
      </c>
      <c r="F507">
        <v>4500430177</v>
      </c>
      <c r="G507" t="s">
        <v>12</v>
      </c>
      <c r="H507" t="s">
        <v>119</v>
      </c>
      <c r="I507" t="s">
        <v>814</v>
      </c>
      <c r="J507" s="1">
        <v>19782.86</v>
      </c>
      <c r="K507" s="1">
        <v>19782.86</v>
      </c>
      <c r="L507" t="str">
        <f>IFERROR(IF(VLOOKUP(LEFT(B507,2),'Humanitarian codes'!$A$2:$A$10,1,FALSE)=LEFT(B507,2),"Yes","Error"),"No")</f>
        <v>Yes</v>
      </c>
      <c r="AE507" s="1"/>
      <c r="AF507" s="1"/>
    </row>
    <row r="508" spans="1:32" x14ac:dyDescent="0.25">
      <c r="A508" t="s">
        <v>1152</v>
      </c>
      <c r="B508" t="s">
        <v>107</v>
      </c>
      <c r="C508" t="s">
        <v>108</v>
      </c>
      <c r="D508" t="s">
        <v>30</v>
      </c>
      <c r="E508" t="s">
        <v>814</v>
      </c>
      <c r="F508">
        <v>4500440406</v>
      </c>
      <c r="G508" t="s">
        <v>12</v>
      </c>
      <c r="H508" t="s">
        <v>119</v>
      </c>
      <c r="I508" t="s">
        <v>814</v>
      </c>
      <c r="J508" s="1">
        <v>15581.41</v>
      </c>
      <c r="K508" s="1">
        <v>15581.41</v>
      </c>
      <c r="L508" t="str">
        <f>IFERROR(IF(VLOOKUP(LEFT(B508,2),'Humanitarian codes'!$A$2:$A$10,1,FALSE)=LEFT(B508,2),"Yes","Error"),"No")</f>
        <v>Yes</v>
      </c>
      <c r="AE508" s="1"/>
      <c r="AF508" s="1"/>
    </row>
    <row r="509" spans="1:32" x14ac:dyDescent="0.25">
      <c r="A509" t="s">
        <v>1152</v>
      </c>
      <c r="B509" t="s">
        <v>107</v>
      </c>
      <c r="C509" t="s">
        <v>108</v>
      </c>
      <c r="D509" t="s">
        <v>30</v>
      </c>
      <c r="E509" t="s">
        <v>814</v>
      </c>
      <c r="F509">
        <v>4500441161</v>
      </c>
      <c r="G509" t="s">
        <v>12</v>
      </c>
      <c r="H509" t="s">
        <v>115</v>
      </c>
      <c r="I509" t="s">
        <v>814</v>
      </c>
      <c r="J509" s="1">
        <v>10670.79</v>
      </c>
      <c r="K509" s="1">
        <v>10670.79</v>
      </c>
      <c r="L509" t="str">
        <f>IFERROR(IF(VLOOKUP(LEFT(B509,2),'Humanitarian codes'!$A$2:$A$10,1,FALSE)=LEFT(B509,2),"Yes","Error"),"No")</f>
        <v>Yes</v>
      </c>
      <c r="AE509" s="1"/>
      <c r="AF509" s="1"/>
    </row>
    <row r="510" spans="1:32" x14ac:dyDescent="0.25">
      <c r="A510" t="s">
        <v>1152</v>
      </c>
      <c r="B510" t="s">
        <v>121</v>
      </c>
      <c r="C510" t="s">
        <v>122</v>
      </c>
      <c r="D510" t="s">
        <v>30</v>
      </c>
      <c r="E510" t="s">
        <v>123</v>
      </c>
      <c r="F510">
        <v>4500433481</v>
      </c>
      <c r="G510" t="s">
        <v>12</v>
      </c>
      <c r="H510" t="s">
        <v>367</v>
      </c>
      <c r="I510" t="s">
        <v>123</v>
      </c>
      <c r="J510" s="1">
        <v>11656</v>
      </c>
      <c r="K510" s="1">
        <v>70000</v>
      </c>
      <c r="L510" t="str">
        <f>IFERROR(IF(VLOOKUP(LEFT(B510,2),'Humanitarian codes'!$A$2:$A$10,1,FALSE)=LEFT(B510,2),"Yes","Error"),"No")</f>
        <v>Yes</v>
      </c>
      <c r="AE510" s="1"/>
      <c r="AF510" s="1"/>
    </row>
    <row r="511" spans="1:32" x14ac:dyDescent="0.25">
      <c r="A511" t="s">
        <v>1152</v>
      </c>
      <c r="B511" t="s">
        <v>815</v>
      </c>
      <c r="C511" t="s">
        <v>816</v>
      </c>
      <c r="D511" t="s">
        <v>30</v>
      </c>
      <c r="E511" t="s">
        <v>123</v>
      </c>
      <c r="F511">
        <v>4500437603</v>
      </c>
      <c r="G511" t="s">
        <v>12</v>
      </c>
      <c r="H511" t="s">
        <v>125</v>
      </c>
      <c r="I511" t="s">
        <v>123</v>
      </c>
      <c r="J511" s="1">
        <v>727927.71</v>
      </c>
      <c r="K511" s="1">
        <v>727927.71</v>
      </c>
      <c r="L511" t="str">
        <f>IFERROR(IF(VLOOKUP(LEFT(B511,2),'Humanitarian codes'!$A$2:$A$10,1,FALSE)=LEFT(B511,2),"Yes","Error"),"No")</f>
        <v>Yes</v>
      </c>
      <c r="AE511" s="1"/>
      <c r="AF511" s="1"/>
    </row>
    <row r="512" spans="1:32" x14ac:dyDescent="0.25">
      <c r="A512" t="s">
        <v>1152</v>
      </c>
      <c r="B512" t="s">
        <v>130</v>
      </c>
      <c r="C512" t="s">
        <v>131</v>
      </c>
      <c r="D512" t="s">
        <v>30</v>
      </c>
      <c r="E512" t="s">
        <v>132</v>
      </c>
      <c r="F512">
        <v>4500433530</v>
      </c>
      <c r="G512" t="s">
        <v>12</v>
      </c>
      <c r="H512" t="s">
        <v>817</v>
      </c>
      <c r="I512" t="s">
        <v>132</v>
      </c>
      <c r="J512" s="1">
        <v>149484.4</v>
      </c>
      <c r="K512" s="1">
        <v>149484.4</v>
      </c>
      <c r="L512" t="str">
        <f>IFERROR(IF(VLOOKUP(LEFT(B512,2),'Humanitarian codes'!$A$2:$A$10,1,FALSE)=LEFT(B512,2),"Yes","Error"),"No")</f>
        <v>Yes</v>
      </c>
      <c r="AE512" s="1"/>
      <c r="AF512" s="1"/>
    </row>
    <row r="513" spans="1:32" x14ac:dyDescent="0.25">
      <c r="A513" t="s">
        <v>1152</v>
      </c>
      <c r="B513" t="s">
        <v>130</v>
      </c>
      <c r="C513" t="s">
        <v>131</v>
      </c>
      <c r="D513" t="s">
        <v>30</v>
      </c>
      <c r="E513" t="s">
        <v>132</v>
      </c>
      <c r="F513">
        <v>4500437714</v>
      </c>
      <c r="G513" t="s">
        <v>12</v>
      </c>
      <c r="H513" t="s">
        <v>818</v>
      </c>
      <c r="I513" t="s">
        <v>132</v>
      </c>
      <c r="J513" s="1">
        <v>109018.97</v>
      </c>
      <c r="K513" s="1">
        <v>109018.97</v>
      </c>
      <c r="L513" t="str">
        <f>IFERROR(IF(VLOOKUP(LEFT(B513,2),'Humanitarian codes'!$A$2:$A$10,1,FALSE)=LEFT(B513,2),"Yes","Error"),"No")</f>
        <v>Yes</v>
      </c>
      <c r="AE513" s="1"/>
      <c r="AF513" s="1"/>
    </row>
    <row r="514" spans="1:32" x14ac:dyDescent="0.25">
      <c r="A514" t="s">
        <v>1152</v>
      </c>
      <c r="B514" t="s">
        <v>130</v>
      </c>
      <c r="C514" t="s">
        <v>131</v>
      </c>
      <c r="D514" t="s">
        <v>30</v>
      </c>
      <c r="E514" t="s">
        <v>132</v>
      </c>
      <c r="F514">
        <v>4500442204</v>
      </c>
      <c r="G514" t="s">
        <v>12</v>
      </c>
      <c r="H514" t="s">
        <v>819</v>
      </c>
      <c r="I514" t="s">
        <v>132</v>
      </c>
      <c r="J514" s="1">
        <v>152150.35</v>
      </c>
      <c r="K514" s="1">
        <v>152150.35</v>
      </c>
      <c r="L514" t="str">
        <f>IFERROR(IF(VLOOKUP(LEFT(B514,2),'Humanitarian codes'!$A$2:$A$10,1,FALSE)=LEFT(B514,2),"Yes","Error"),"No")</f>
        <v>Yes</v>
      </c>
      <c r="AE514" s="1"/>
      <c r="AF514" s="1"/>
    </row>
    <row r="515" spans="1:32" x14ac:dyDescent="0.25">
      <c r="A515" t="s">
        <v>1152</v>
      </c>
      <c r="B515" t="s">
        <v>130</v>
      </c>
      <c r="C515" t="s">
        <v>131</v>
      </c>
      <c r="D515" t="s">
        <v>30</v>
      </c>
      <c r="E515" t="s">
        <v>132</v>
      </c>
      <c r="F515">
        <v>4500453841</v>
      </c>
      <c r="G515" t="s">
        <v>12</v>
      </c>
      <c r="H515" t="s">
        <v>820</v>
      </c>
      <c r="I515" t="s">
        <v>132</v>
      </c>
      <c r="J515" s="1">
        <v>289710.73</v>
      </c>
      <c r="K515" s="1">
        <v>289710.73</v>
      </c>
      <c r="L515" t="str">
        <f>IFERROR(IF(VLOOKUP(LEFT(B515,2),'Humanitarian codes'!$A$2:$A$10,1,FALSE)=LEFT(B515,2),"Yes","Error"),"No")</f>
        <v>Yes</v>
      </c>
      <c r="AE515" s="1"/>
      <c r="AF515" s="1"/>
    </row>
    <row r="516" spans="1:32" x14ac:dyDescent="0.25">
      <c r="A516" t="s">
        <v>1152</v>
      </c>
      <c r="B516" t="s">
        <v>130</v>
      </c>
      <c r="C516" t="s">
        <v>131</v>
      </c>
      <c r="D516" t="s">
        <v>30</v>
      </c>
      <c r="E516" t="s">
        <v>132</v>
      </c>
      <c r="F516">
        <v>4500454377</v>
      </c>
      <c r="G516" t="s">
        <v>12</v>
      </c>
      <c r="H516" t="s">
        <v>821</v>
      </c>
      <c r="I516" t="s">
        <v>132</v>
      </c>
      <c r="J516" s="1">
        <v>68146.070000000007</v>
      </c>
      <c r="K516" s="1">
        <v>68146.070000000007</v>
      </c>
      <c r="L516" t="str">
        <f>IFERROR(IF(VLOOKUP(LEFT(B516,2),'Humanitarian codes'!$A$2:$A$10,1,FALSE)=LEFT(B516,2),"Yes","Error"),"No")</f>
        <v>Yes</v>
      </c>
      <c r="AE516" s="1"/>
      <c r="AF516" s="1"/>
    </row>
    <row r="517" spans="1:32" x14ac:dyDescent="0.25">
      <c r="A517" t="s">
        <v>1152</v>
      </c>
      <c r="B517" t="s">
        <v>822</v>
      </c>
      <c r="C517" t="s">
        <v>823</v>
      </c>
      <c r="D517" t="s">
        <v>30</v>
      </c>
      <c r="E517" t="s">
        <v>356</v>
      </c>
      <c r="F517">
        <v>4500436841</v>
      </c>
      <c r="G517" t="s">
        <v>12</v>
      </c>
      <c r="H517" t="s">
        <v>824</v>
      </c>
      <c r="I517" t="s">
        <v>356</v>
      </c>
      <c r="J517" s="1">
        <v>228317</v>
      </c>
      <c r="K517" s="1">
        <v>228317</v>
      </c>
      <c r="L517" t="str">
        <f>IFERROR(IF(VLOOKUP(LEFT(B517,2),'Humanitarian codes'!$A$2:$A$10,1,FALSE)=LEFT(B517,2),"Yes","Error"),"No")</f>
        <v>Yes</v>
      </c>
      <c r="AE517" s="1"/>
      <c r="AF517" s="1"/>
    </row>
    <row r="518" spans="1:32" x14ac:dyDescent="0.25">
      <c r="A518" t="s">
        <v>1152</v>
      </c>
      <c r="B518" t="s">
        <v>822</v>
      </c>
      <c r="C518" t="s">
        <v>823</v>
      </c>
      <c r="D518" t="s">
        <v>30</v>
      </c>
      <c r="E518" t="s">
        <v>356</v>
      </c>
      <c r="F518">
        <v>4500441549</v>
      </c>
      <c r="G518" t="s">
        <v>12</v>
      </c>
      <c r="H518" t="s">
        <v>825</v>
      </c>
      <c r="I518" t="s">
        <v>356</v>
      </c>
      <c r="J518" s="1">
        <v>198405</v>
      </c>
      <c r="K518" s="1">
        <v>198405</v>
      </c>
      <c r="L518" t="str">
        <f>IFERROR(IF(VLOOKUP(LEFT(B518,2),'Humanitarian codes'!$A$2:$A$10,1,FALSE)=LEFT(B518,2),"Yes","Error"),"No")</f>
        <v>Yes</v>
      </c>
      <c r="AE518" s="1"/>
      <c r="AF518" s="1"/>
    </row>
    <row r="519" spans="1:32" x14ac:dyDescent="0.25">
      <c r="A519" t="s">
        <v>1152</v>
      </c>
      <c r="B519" t="s">
        <v>822</v>
      </c>
      <c r="C519" t="s">
        <v>823</v>
      </c>
      <c r="D519" t="s">
        <v>30</v>
      </c>
      <c r="E519" t="s">
        <v>356</v>
      </c>
      <c r="F519">
        <v>4500441566</v>
      </c>
      <c r="G519" t="s">
        <v>12</v>
      </c>
      <c r="H519" t="s">
        <v>826</v>
      </c>
      <c r="I519" t="s">
        <v>356</v>
      </c>
      <c r="J519" s="1">
        <v>178821</v>
      </c>
      <c r="K519" s="1">
        <v>178821</v>
      </c>
      <c r="L519" t="str">
        <f>IFERROR(IF(VLOOKUP(LEFT(B519,2),'Humanitarian codes'!$A$2:$A$10,1,FALSE)=LEFT(B519,2),"Yes","Error"),"No")</f>
        <v>Yes</v>
      </c>
      <c r="AE519" s="1"/>
      <c r="AF519" s="1"/>
    </row>
    <row r="520" spans="1:32" x14ac:dyDescent="0.25">
      <c r="A520" t="s">
        <v>1152</v>
      </c>
      <c r="B520" t="s">
        <v>822</v>
      </c>
      <c r="C520" t="s">
        <v>823</v>
      </c>
      <c r="D520" t="s">
        <v>30</v>
      </c>
      <c r="E520" t="s">
        <v>356</v>
      </c>
      <c r="F520">
        <v>4500441707</v>
      </c>
      <c r="G520" t="s">
        <v>12</v>
      </c>
      <c r="H520" t="s">
        <v>827</v>
      </c>
      <c r="I520" t="s">
        <v>356</v>
      </c>
      <c r="J520" s="1">
        <v>200000</v>
      </c>
      <c r="K520" s="1">
        <v>200000</v>
      </c>
      <c r="L520" t="str">
        <f>IFERROR(IF(VLOOKUP(LEFT(B520,2),'Humanitarian codes'!$A$2:$A$10,1,FALSE)=LEFT(B520,2),"Yes","Error"),"No")</f>
        <v>Yes</v>
      </c>
      <c r="AE520" s="1"/>
      <c r="AF520" s="1"/>
    </row>
    <row r="521" spans="1:32" x14ac:dyDescent="0.25">
      <c r="A521" t="s">
        <v>1152</v>
      </c>
      <c r="B521" t="s">
        <v>144</v>
      </c>
      <c r="C521" t="s">
        <v>145</v>
      </c>
      <c r="D521" t="s">
        <v>30</v>
      </c>
      <c r="E521" t="s">
        <v>146</v>
      </c>
      <c r="F521">
        <v>4500444468</v>
      </c>
      <c r="G521" t="s">
        <v>12</v>
      </c>
      <c r="H521" t="s">
        <v>828</v>
      </c>
      <c r="I521" t="s">
        <v>155</v>
      </c>
      <c r="J521" s="1">
        <v>17150</v>
      </c>
      <c r="K521" s="1">
        <v>17150</v>
      </c>
      <c r="L521" t="str">
        <f>IFERROR(IF(VLOOKUP(LEFT(B521,2),'Humanitarian codes'!$A$2:$A$10,1,FALSE)=LEFT(B521,2),"Yes","Error"),"No")</f>
        <v>Yes</v>
      </c>
      <c r="AE521" s="1"/>
      <c r="AF521" s="1"/>
    </row>
    <row r="522" spans="1:32" x14ac:dyDescent="0.25">
      <c r="A522" t="s">
        <v>1152</v>
      </c>
      <c r="B522" t="s">
        <v>144</v>
      </c>
      <c r="C522" t="s">
        <v>145</v>
      </c>
      <c r="D522" t="s">
        <v>30</v>
      </c>
      <c r="E522" t="s">
        <v>146</v>
      </c>
      <c r="F522">
        <v>4500435095</v>
      </c>
      <c r="G522" t="s">
        <v>12</v>
      </c>
      <c r="H522" t="s">
        <v>439</v>
      </c>
      <c r="I522" t="s">
        <v>146</v>
      </c>
      <c r="J522" s="1">
        <v>30600</v>
      </c>
      <c r="K522" s="1">
        <v>30600</v>
      </c>
      <c r="L522" t="str">
        <f>IFERROR(IF(VLOOKUP(LEFT(B522,2),'Humanitarian codes'!$A$2:$A$10,1,FALSE)=LEFT(B522,2),"Yes","Error"),"No")</f>
        <v>Yes</v>
      </c>
      <c r="AE522" s="1"/>
      <c r="AF522" s="1"/>
    </row>
    <row r="523" spans="1:32" x14ac:dyDescent="0.25">
      <c r="A523" t="s">
        <v>1152</v>
      </c>
      <c r="B523" t="s">
        <v>829</v>
      </c>
      <c r="C523" t="s">
        <v>830</v>
      </c>
      <c r="D523" t="s">
        <v>30</v>
      </c>
      <c r="E523" t="s">
        <v>831</v>
      </c>
      <c r="F523">
        <v>4500449663</v>
      </c>
      <c r="G523" t="s">
        <v>12</v>
      </c>
      <c r="H523" t="s">
        <v>351</v>
      </c>
      <c r="I523" t="s">
        <v>831</v>
      </c>
      <c r="J523" s="1">
        <v>14089.01</v>
      </c>
      <c r="K523" s="1">
        <v>14089.01</v>
      </c>
      <c r="L523" t="str">
        <f>IFERROR(IF(VLOOKUP(LEFT(B523,2),'Humanitarian codes'!$A$2:$A$10,1,FALSE)=LEFT(B523,2),"Yes","Error"),"No")</f>
        <v>Yes</v>
      </c>
      <c r="AE523" s="1"/>
      <c r="AF523" s="1"/>
    </row>
    <row r="524" spans="1:32" x14ac:dyDescent="0.25">
      <c r="A524" t="s">
        <v>1152</v>
      </c>
      <c r="B524" t="s">
        <v>148</v>
      </c>
      <c r="C524" t="s">
        <v>149</v>
      </c>
      <c r="D524" t="s">
        <v>30</v>
      </c>
      <c r="E524" t="s">
        <v>150</v>
      </c>
      <c r="F524">
        <v>4500432241</v>
      </c>
      <c r="G524" t="s">
        <v>12</v>
      </c>
      <c r="H524" t="s">
        <v>832</v>
      </c>
      <c r="I524" t="s">
        <v>150</v>
      </c>
      <c r="J524" s="1">
        <v>243899.54</v>
      </c>
      <c r="K524" s="1">
        <v>243899.54</v>
      </c>
      <c r="L524" t="str">
        <f>IFERROR(IF(VLOOKUP(LEFT(B524,2),'Humanitarian codes'!$A$2:$A$10,1,FALSE)=LEFT(B524,2),"Yes","Error"),"No")</f>
        <v>Yes</v>
      </c>
      <c r="AE524" s="1"/>
      <c r="AF524" s="1"/>
    </row>
    <row r="525" spans="1:32" x14ac:dyDescent="0.25">
      <c r="A525" t="s">
        <v>1152</v>
      </c>
      <c r="B525" t="s">
        <v>833</v>
      </c>
      <c r="C525" t="s">
        <v>834</v>
      </c>
      <c r="D525" t="s">
        <v>30</v>
      </c>
      <c r="E525" t="s">
        <v>261</v>
      </c>
      <c r="F525">
        <v>4500453024</v>
      </c>
      <c r="G525" t="s">
        <v>12</v>
      </c>
      <c r="H525" t="s">
        <v>835</v>
      </c>
      <c r="I525" t="s">
        <v>261</v>
      </c>
      <c r="J525" s="1">
        <v>6358.3</v>
      </c>
      <c r="K525" s="1">
        <v>181635.51</v>
      </c>
      <c r="L525" t="str">
        <f>IFERROR(IF(VLOOKUP(LEFT(B525,2),'Humanitarian codes'!$A$2:$A$10,1,FALSE)=LEFT(B525,2),"Yes","Error"),"No")</f>
        <v>Yes</v>
      </c>
      <c r="AE525" s="1"/>
      <c r="AF525" s="1"/>
    </row>
    <row r="526" spans="1:32" x14ac:dyDescent="0.25">
      <c r="A526" t="s">
        <v>1152</v>
      </c>
      <c r="B526" t="s">
        <v>153</v>
      </c>
      <c r="C526" t="s">
        <v>154</v>
      </c>
      <c r="D526" t="s">
        <v>30</v>
      </c>
      <c r="E526" t="s">
        <v>163</v>
      </c>
      <c r="F526">
        <v>4500440347</v>
      </c>
      <c r="G526" t="s">
        <v>12</v>
      </c>
      <c r="H526" t="s">
        <v>836</v>
      </c>
      <c r="I526" t="s">
        <v>163</v>
      </c>
      <c r="J526" s="1">
        <v>26086.26</v>
      </c>
      <c r="K526" s="1">
        <v>26086.26</v>
      </c>
      <c r="L526" t="str">
        <f>IFERROR(IF(VLOOKUP(LEFT(B526,2),'Humanitarian codes'!$A$2:$A$10,1,FALSE)=LEFT(B526,2),"Yes","Error"),"No")</f>
        <v>Yes</v>
      </c>
      <c r="AE526" s="1"/>
      <c r="AF526" s="1"/>
    </row>
    <row r="527" spans="1:32" x14ac:dyDescent="0.25">
      <c r="A527" t="s">
        <v>1152</v>
      </c>
      <c r="B527" t="s">
        <v>837</v>
      </c>
      <c r="C527" t="s">
        <v>838</v>
      </c>
      <c r="D527" t="s">
        <v>30</v>
      </c>
      <c r="E527" t="s">
        <v>32</v>
      </c>
      <c r="F527">
        <v>4500448248</v>
      </c>
      <c r="G527" t="s">
        <v>12</v>
      </c>
      <c r="H527" t="s">
        <v>810</v>
      </c>
      <c r="I527" t="s">
        <v>32</v>
      </c>
      <c r="J527" s="1">
        <v>313815.78000000003</v>
      </c>
      <c r="K527" s="1">
        <v>313815.78000000003</v>
      </c>
      <c r="L527" t="str">
        <f>IFERROR(IF(VLOOKUP(LEFT(B527,2),'Humanitarian codes'!$A$2:$A$10,1,FALSE)=LEFT(B527,2),"Yes","Error"),"No")</f>
        <v>Yes</v>
      </c>
      <c r="AE527" s="1"/>
      <c r="AF527" s="1"/>
    </row>
    <row r="528" spans="1:32" x14ac:dyDescent="0.25">
      <c r="A528" t="s">
        <v>1152</v>
      </c>
      <c r="B528" t="s">
        <v>839</v>
      </c>
      <c r="C528" t="s">
        <v>840</v>
      </c>
      <c r="D528" t="s">
        <v>30</v>
      </c>
      <c r="E528" t="s">
        <v>226</v>
      </c>
      <c r="F528">
        <v>4500432819</v>
      </c>
      <c r="G528" t="s">
        <v>12</v>
      </c>
      <c r="H528" t="s">
        <v>841</v>
      </c>
      <c r="I528" t="s">
        <v>226</v>
      </c>
      <c r="J528" s="1">
        <v>44047.25</v>
      </c>
      <c r="K528" s="1">
        <v>44047.25</v>
      </c>
      <c r="L528" t="str">
        <f>IFERROR(IF(VLOOKUP(LEFT(B528,2),'Humanitarian codes'!$A$2:$A$10,1,FALSE)=LEFT(B528,2),"Yes","Error"),"No")</f>
        <v>Yes</v>
      </c>
      <c r="AE528" s="1"/>
      <c r="AF528" s="1"/>
    </row>
    <row r="529" spans="1:32" x14ac:dyDescent="0.25">
      <c r="A529" t="s">
        <v>1152</v>
      </c>
      <c r="B529" t="s">
        <v>839</v>
      </c>
      <c r="C529" t="s">
        <v>840</v>
      </c>
      <c r="D529" t="s">
        <v>30</v>
      </c>
      <c r="E529" t="s">
        <v>226</v>
      </c>
      <c r="F529">
        <v>4500439289</v>
      </c>
      <c r="G529" t="s">
        <v>12</v>
      </c>
      <c r="H529" t="s">
        <v>842</v>
      </c>
      <c r="I529" t="s">
        <v>226</v>
      </c>
      <c r="J529" s="1">
        <v>122373.3</v>
      </c>
      <c r="K529" s="1">
        <v>271940.67</v>
      </c>
      <c r="L529" t="str">
        <f>IFERROR(IF(VLOOKUP(LEFT(B529,2),'Humanitarian codes'!$A$2:$A$10,1,FALSE)=LEFT(B529,2),"Yes","Error"),"No")</f>
        <v>Yes</v>
      </c>
      <c r="AE529" s="1"/>
      <c r="AF529" s="1"/>
    </row>
    <row r="530" spans="1:32" x14ac:dyDescent="0.25">
      <c r="A530" t="s">
        <v>1152</v>
      </c>
      <c r="B530" t="s">
        <v>843</v>
      </c>
      <c r="C530" t="s">
        <v>844</v>
      </c>
      <c r="D530" t="s">
        <v>30</v>
      </c>
      <c r="E530" t="s">
        <v>534</v>
      </c>
      <c r="F530">
        <v>4500430617</v>
      </c>
      <c r="G530" t="s">
        <v>12</v>
      </c>
      <c r="H530" t="s">
        <v>845</v>
      </c>
      <c r="I530" t="s">
        <v>534</v>
      </c>
      <c r="J530" s="1">
        <v>2435</v>
      </c>
      <c r="K530" s="1">
        <v>6635</v>
      </c>
      <c r="L530" t="str">
        <f>IFERROR(IF(VLOOKUP(LEFT(B530,2),'Humanitarian codes'!$A$2:$A$10,1,FALSE)=LEFT(B530,2),"Yes","Error"),"No")</f>
        <v>Yes</v>
      </c>
      <c r="AE530" s="1"/>
      <c r="AF530" s="1"/>
    </row>
    <row r="531" spans="1:32" x14ac:dyDescent="0.25">
      <c r="A531" t="s">
        <v>1152</v>
      </c>
      <c r="B531" t="s">
        <v>846</v>
      </c>
      <c r="C531" t="s">
        <v>847</v>
      </c>
      <c r="D531" t="s">
        <v>30</v>
      </c>
      <c r="E531" t="s">
        <v>305</v>
      </c>
      <c r="F531">
        <v>4500432095</v>
      </c>
      <c r="G531" t="s">
        <v>12</v>
      </c>
      <c r="H531" t="s">
        <v>310</v>
      </c>
      <c r="I531" t="s">
        <v>305</v>
      </c>
      <c r="J531" s="1">
        <v>44720.5</v>
      </c>
      <c r="K531" s="1">
        <v>44720.5</v>
      </c>
      <c r="L531" t="str">
        <f>IFERROR(IF(VLOOKUP(LEFT(B531,2),'Humanitarian codes'!$A$2:$A$10,1,FALSE)=LEFT(B531,2),"Yes","Error"),"No")</f>
        <v>Yes</v>
      </c>
      <c r="AE531" s="1"/>
      <c r="AF531" s="1"/>
    </row>
    <row r="532" spans="1:32" x14ac:dyDescent="0.25">
      <c r="A532" t="s">
        <v>1152</v>
      </c>
      <c r="B532" t="s">
        <v>846</v>
      </c>
      <c r="C532" t="s">
        <v>847</v>
      </c>
      <c r="D532" t="s">
        <v>30</v>
      </c>
      <c r="E532" t="s">
        <v>305</v>
      </c>
      <c r="F532">
        <v>4500446503</v>
      </c>
      <c r="G532" t="s">
        <v>12</v>
      </c>
      <c r="H532" t="s">
        <v>848</v>
      </c>
      <c r="I532" t="s">
        <v>305</v>
      </c>
      <c r="J532" s="1">
        <v>14237.73</v>
      </c>
      <c r="K532" s="1">
        <v>14237.73</v>
      </c>
      <c r="L532" t="str">
        <f>IFERROR(IF(VLOOKUP(LEFT(B532,2),'Humanitarian codes'!$A$2:$A$10,1,FALSE)=LEFT(B532,2),"Yes","Error"),"No")</f>
        <v>Yes</v>
      </c>
      <c r="AE532" s="1"/>
      <c r="AF532" s="1"/>
    </row>
    <row r="533" spans="1:32" x14ac:dyDescent="0.25">
      <c r="A533" t="s">
        <v>1152</v>
      </c>
      <c r="B533" t="s">
        <v>849</v>
      </c>
      <c r="C533" t="s">
        <v>850</v>
      </c>
      <c r="D533" t="s">
        <v>30</v>
      </c>
      <c r="E533" t="s">
        <v>320</v>
      </c>
      <c r="F533">
        <v>4500441035</v>
      </c>
      <c r="G533" t="s">
        <v>12</v>
      </c>
      <c r="H533" t="s">
        <v>851</v>
      </c>
      <c r="I533" t="s">
        <v>320</v>
      </c>
      <c r="J533" s="1">
        <v>2664</v>
      </c>
      <c r="K533" s="1">
        <v>14460</v>
      </c>
      <c r="L533" t="str">
        <f>IFERROR(IF(VLOOKUP(LEFT(B533,2),'Humanitarian codes'!$A$2:$A$10,1,FALSE)=LEFT(B533,2),"Yes","Error"),"No")</f>
        <v>Yes</v>
      </c>
      <c r="AE533" s="1"/>
      <c r="AF533" s="1"/>
    </row>
    <row r="534" spans="1:32" x14ac:dyDescent="0.25">
      <c r="A534" t="s">
        <v>1152</v>
      </c>
      <c r="B534" t="s">
        <v>169</v>
      </c>
      <c r="C534" t="s">
        <v>170</v>
      </c>
      <c r="D534" t="s">
        <v>30</v>
      </c>
      <c r="E534" t="s">
        <v>20</v>
      </c>
      <c r="F534">
        <v>4500432355</v>
      </c>
      <c r="G534" t="s">
        <v>12</v>
      </c>
      <c r="H534" t="s">
        <v>171</v>
      </c>
      <c r="I534" t="s">
        <v>20</v>
      </c>
      <c r="J534" s="1">
        <v>5393.54</v>
      </c>
      <c r="K534" s="1">
        <v>5393.54</v>
      </c>
      <c r="L534" t="str">
        <f>IFERROR(IF(VLOOKUP(LEFT(B534,2),'Humanitarian codes'!$A$2:$A$10,1,FALSE)=LEFT(B534,2),"Yes","Error"),"No")</f>
        <v>Yes</v>
      </c>
      <c r="AE534" s="1"/>
      <c r="AF534" s="1"/>
    </row>
    <row r="535" spans="1:32" x14ac:dyDescent="0.25">
      <c r="A535" t="s">
        <v>1152</v>
      </c>
      <c r="B535" t="s">
        <v>169</v>
      </c>
      <c r="C535" t="s">
        <v>170</v>
      </c>
      <c r="D535" t="s">
        <v>30</v>
      </c>
      <c r="E535" t="s">
        <v>20</v>
      </c>
      <c r="F535">
        <v>4500452984</v>
      </c>
      <c r="G535" t="s">
        <v>12</v>
      </c>
      <c r="H535" t="s">
        <v>852</v>
      </c>
      <c r="I535" t="s">
        <v>20</v>
      </c>
      <c r="J535" s="1">
        <v>94059.54</v>
      </c>
      <c r="K535" s="1">
        <v>94059.54</v>
      </c>
      <c r="L535" t="str">
        <f>IFERROR(IF(VLOOKUP(LEFT(B535,2),'Humanitarian codes'!$A$2:$A$10,1,FALSE)=LEFT(B535,2),"Yes","Error"),"No")</f>
        <v>Yes</v>
      </c>
      <c r="AE535" s="1"/>
      <c r="AF535" s="1"/>
    </row>
    <row r="536" spans="1:32" x14ac:dyDescent="0.25">
      <c r="A536" t="s">
        <v>1152</v>
      </c>
      <c r="B536" t="s">
        <v>173</v>
      </c>
      <c r="C536" t="s">
        <v>174</v>
      </c>
      <c r="D536" t="s">
        <v>30</v>
      </c>
      <c r="E536" t="s">
        <v>175</v>
      </c>
      <c r="F536">
        <v>4500444654</v>
      </c>
      <c r="G536" t="s">
        <v>12</v>
      </c>
      <c r="H536" t="s">
        <v>185</v>
      </c>
      <c r="I536" t="s">
        <v>175</v>
      </c>
      <c r="J536" s="1">
        <v>45000.35</v>
      </c>
      <c r="K536" s="1">
        <v>45000.35</v>
      </c>
      <c r="L536" t="str">
        <f>IFERROR(IF(VLOOKUP(LEFT(B536,2),'Humanitarian codes'!$A$2:$A$10,1,FALSE)=LEFT(B536,2),"Yes","Error"),"No")</f>
        <v>Yes</v>
      </c>
      <c r="AE536" s="1"/>
      <c r="AF536" s="1"/>
    </row>
    <row r="537" spans="1:32" x14ac:dyDescent="0.25">
      <c r="A537" t="s">
        <v>1152</v>
      </c>
      <c r="B537" t="s">
        <v>180</v>
      </c>
      <c r="C537" t="s">
        <v>181</v>
      </c>
      <c r="D537" t="s">
        <v>30</v>
      </c>
      <c r="E537" t="s">
        <v>175</v>
      </c>
      <c r="F537">
        <v>4500432643</v>
      </c>
      <c r="G537" t="s">
        <v>12</v>
      </c>
      <c r="H537" t="s">
        <v>183</v>
      </c>
      <c r="I537" t="s">
        <v>184</v>
      </c>
      <c r="J537" s="1">
        <v>60084.62</v>
      </c>
      <c r="K537" s="1">
        <v>60084.62</v>
      </c>
      <c r="L537" t="str">
        <f>IFERROR(IF(VLOOKUP(LEFT(B537,2),'Humanitarian codes'!$A$2:$A$10,1,FALSE)=LEFT(B537,2),"Yes","Error"),"No")</f>
        <v>Yes</v>
      </c>
      <c r="AE537" s="1"/>
      <c r="AF537" s="1"/>
    </row>
    <row r="538" spans="1:32" x14ac:dyDescent="0.25">
      <c r="A538" t="s">
        <v>1152</v>
      </c>
      <c r="B538" t="s">
        <v>180</v>
      </c>
      <c r="C538" t="s">
        <v>181</v>
      </c>
      <c r="D538" t="s">
        <v>30</v>
      </c>
      <c r="E538" t="s">
        <v>175</v>
      </c>
      <c r="F538">
        <v>4500451501</v>
      </c>
      <c r="G538" t="s">
        <v>12</v>
      </c>
      <c r="H538" t="s">
        <v>233</v>
      </c>
      <c r="I538" t="s">
        <v>175</v>
      </c>
      <c r="J538" s="1">
        <v>168135.55</v>
      </c>
      <c r="K538" s="1">
        <v>168135.55</v>
      </c>
      <c r="L538" t="str">
        <f>IFERROR(IF(VLOOKUP(LEFT(B538,2),'Humanitarian codes'!$A$2:$A$10,1,FALSE)=LEFT(B538,2),"Yes","Error"),"No")</f>
        <v>Yes</v>
      </c>
      <c r="AE538" s="1"/>
      <c r="AF538" s="1"/>
    </row>
    <row r="539" spans="1:32" x14ac:dyDescent="0.25">
      <c r="A539" t="s">
        <v>1152</v>
      </c>
      <c r="B539" t="s">
        <v>853</v>
      </c>
      <c r="C539" t="s">
        <v>854</v>
      </c>
      <c r="D539" t="s">
        <v>30</v>
      </c>
      <c r="E539" t="s">
        <v>330</v>
      </c>
      <c r="F539">
        <v>4500453704</v>
      </c>
      <c r="G539" t="s">
        <v>12</v>
      </c>
      <c r="H539" t="s">
        <v>855</v>
      </c>
      <c r="I539" t="s">
        <v>330</v>
      </c>
      <c r="J539" s="1">
        <v>231548.98</v>
      </c>
      <c r="K539" s="1">
        <v>231548.98</v>
      </c>
      <c r="L539" t="str">
        <f>IFERROR(IF(VLOOKUP(LEFT(B539,2),'Humanitarian codes'!$A$2:$A$10,1,FALSE)=LEFT(B539,2),"Yes","Error"),"No")</f>
        <v>Yes</v>
      </c>
      <c r="AE539" s="1"/>
      <c r="AF539" s="1"/>
    </row>
    <row r="540" spans="1:32" x14ac:dyDescent="0.25">
      <c r="A540" t="s">
        <v>1152</v>
      </c>
      <c r="B540" t="s">
        <v>188</v>
      </c>
      <c r="C540" t="s">
        <v>189</v>
      </c>
      <c r="D540" t="s">
        <v>30</v>
      </c>
      <c r="E540" t="s">
        <v>175</v>
      </c>
      <c r="F540">
        <v>4500437581</v>
      </c>
      <c r="G540" t="s">
        <v>12</v>
      </c>
      <c r="H540" t="s">
        <v>856</v>
      </c>
      <c r="I540" t="s">
        <v>175</v>
      </c>
      <c r="J540" s="1">
        <v>1403846.14</v>
      </c>
      <c r="K540" s="1">
        <v>1403846.14</v>
      </c>
      <c r="L540" t="str">
        <f>IFERROR(IF(VLOOKUP(LEFT(B540,2),'Humanitarian codes'!$A$2:$A$10,1,FALSE)=LEFT(B540,2),"Yes","Error"),"No")</f>
        <v>Yes</v>
      </c>
      <c r="AE540" s="1"/>
      <c r="AF540" s="1"/>
    </row>
    <row r="541" spans="1:32" x14ac:dyDescent="0.25">
      <c r="A541" t="s">
        <v>1152</v>
      </c>
      <c r="B541" t="s">
        <v>188</v>
      </c>
      <c r="C541" t="s">
        <v>189</v>
      </c>
      <c r="D541" t="s">
        <v>30</v>
      </c>
      <c r="E541" t="s">
        <v>175</v>
      </c>
      <c r="F541">
        <v>4500451351</v>
      </c>
      <c r="G541" t="s">
        <v>12</v>
      </c>
      <c r="H541" t="s">
        <v>176</v>
      </c>
      <c r="I541" t="s">
        <v>175</v>
      </c>
      <c r="J541" s="1">
        <v>14999.54</v>
      </c>
      <c r="K541" s="1">
        <v>107139.61</v>
      </c>
      <c r="L541" t="str">
        <f>IFERROR(IF(VLOOKUP(LEFT(B541,2),'Humanitarian codes'!$A$2:$A$10,1,FALSE)=LEFT(B541,2),"Yes","Error"),"No")</f>
        <v>Yes</v>
      </c>
      <c r="AE541" s="1"/>
      <c r="AF541" s="1"/>
    </row>
    <row r="542" spans="1:32" x14ac:dyDescent="0.25">
      <c r="A542" t="s">
        <v>1152</v>
      </c>
      <c r="B542" t="s">
        <v>857</v>
      </c>
      <c r="C542" t="s">
        <v>858</v>
      </c>
      <c r="D542" t="s">
        <v>30</v>
      </c>
      <c r="E542" t="s">
        <v>54</v>
      </c>
      <c r="F542">
        <v>4500435416</v>
      </c>
      <c r="G542" t="s">
        <v>12</v>
      </c>
      <c r="H542" t="s">
        <v>859</v>
      </c>
      <c r="I542" t="s">
        <v>54</v>
      </c>
      <c r="J542" s="1">
        <v>225276.17</v>
      </c>
      <c r="K542" s="1">
        <v>225276.17</v>
      </c>
      <c r="L542" t="str">
        <f>IFERROR(IF(VLOOKUP(LEFT(B542,2),'Humanitarian codes'!$A$2:$A$10,1,FALSE)=LEFT(B542,2),"Yes","Error"),"No")</f>
        <v>Yes</v>
      </c>
      <c r="AE542" s="1"/>
      <c r="AF542" s="1"/>
    </row>
    <row r="543" spans="1:32" x14ac:dyDescent="0.25">
      <c r="A543" t="s">
        <v>1152</v>
      </c>
      <c r="B543" t="s">
        <v>195</v>
      </c>
      <c r="C543" t="s">
        <v>196</v>
      </c>
      <c r="D543" t="s">
        <v>30</v>
      </c>
      <c r="E543" t="s">
        <v>197</v>
      </c>
      <c r="F543">
        <v>4500437787</v>
      </c>
      <c r="G543" t="s">
        <v>12</v>
      </c>
      <c r="H543" t="s">
        <v>860</v>
      </c>
      <c r="I543" t="s">
        <v>197</v>
      </c>
      <c r="J543" s="1">
        <v>72919.11</v>
      </c>
      <c r="K543" s="1">
        <v>72919.11</v>
      </c>
      <c r="L543" t="str">
        <f>IFERROR(IF(VLOOKUP(LEFT(B543,2),'Humanitarian codes'!$A$2:$A$10,1,FALSE)=LEFT(B543,2),"Yes","Error"),"No")</f>
        <v>Yes</v>
      </c>
      <c r="AE543" s="1"/>
      <c r="AF543" s="1"/>
    </row>
    <row r="544" spans="1:32" x14ac:dyDescent="0.25">
      <c r="A544" t="s">
        <v>1152</v>
      </c>
      <c r="B544" t="s">
        <v>195</v>
      </c>
      <c r="C544" t="s">
        <v>196</v>
      </c>
      <c r="D544" t="s">
        <v>30</v>
      </c>
      <c r="E544" t="s">
        <v>197</v>
      </c>
      <c r="F544">
        <v>4500437794</v>
      </c>
      <c r="G544" t="s">
        <v>12</v>
      </c>
      <c r="H544" t="s">
        <v>861</v>
      </c>
      <c r="I544" t="s">
        <v>197</v>
      </c>
      <c r="J544" s="1">
        <v>57497.45</v>
      </c>
      <c r="K544" s="1">
        <v>57497.45</v>
      </c>
      <c r="L544" t="str">
        <f>IFERROR(IF(VLOOKUP(LEFT(B544,2),'Humanitarian codes'!$A$2:$A$10,1,FALSE)=LEFT(B544,2),"Yes","Error"),"No")</f>
        <v>Yes</v>
      </c>
      <c r="AE544" s="1"/>
      <c r="AF544" s="1"/>
    </row>
    <row r="545" spans="1:32" x14ac:dyDescent="0.25">
      <c r="A545" t="s">
        <v>1152</v>
      </c>
      <c r="B545" t="s">
        <v>195</v>
      </c>
      <c r="C545" t="s">
        <v>196</v>
      </c>
      <c r="D545" t="s">
        <v>30</v>
      </c>
      <c r="E545" t="s">
        <v>197</v>
      </c>
      <c r="F545">
        <v>4500453286</v>
      </c>
      <c r="G545" t="s">
        <v>12</v>
      </c>
      <c r="H545" t="s">
        <v>862</v>
      </c>
      <c r="I545" t="s">
        <v>197</v>
      </c>
      <c r="J545" s="1">
        <v>11399.22</v>
      </c>
      <c r="K545" s="1">
        <v>11399.22</v>
      </c>
      <c r="L545" t="str">
        <f>IFERROR(IF(VLOOKUP(LEFT(B545,2),'Humanitarian codes'!$A$2:$A$10,1,FALSE)=LEFT(B545,2),"Yes","Error"),"No")</f>
        <v>Yes</v>
      </c>
      <c r="AE545" s="1"/>
      <c r="AF545" s="1"/>
    </row>
    <row r="546" spans="1:32" x14ac:dyDescent="0.25">
      <c r="A546" t="s">
        <v>1152</v>
      </c>
      <c r="B546" t="s">
        <v>195</v>
      </c>
      <c r="C546" t="s">
        <v>196</v>
      </c>
      <c r="D546" t="s">
        <v>30</v>
      </c>
      <c r="E546" t="s">
        <v>197</v>
      </c>
      <c r="F546">
        <v>4500439467</v>
      </c>
      <c r="G546" t="s">
        <v>12</v>
      </c>
      <c r="H546" t="s">
        <v>863</v>
      </c>
      <c r="I546" t="s">
        <v>197</v>
      </c>
      <c r="J546" s="1">
        <v>33025.01</v>
      </c>
      <c r="K546" s="1">
        <v>33025.01</v>
      </c>
      <c r="L546" t="str">
        <f>IFERROR(IF(VLOOKUP(LEFT(B546,2),'Humanitarian codes'!$A$2:$A$10,1,FALSE)=LEFT(B546,2),"Yes","Error"),"No")</f>
        <v>Yes</v>
      </c>
      <c r="AE546" s="1"/>
      <c r="AF546" s="1"/>
    </row>
    <row r="547" spans="1:32" x14ac:dyDescent="0.25">
      <c r="A547" t="s">
        <v>1152</v>
      </c>
      <c r="B547" t="s">
        <v>195</v>
      </c>
      <c r="C547" t="s">
        <v>196</v>
      </c>
      <c r="D547" t="s">
        <v>30</v>
      </c>
      <c r="E547" t="s">
        <v>864</v>
      </c>
      <c r="F547">
        <v>4500434361</v>
      </c>
      <c r="G547" t="s">
        <v>12</v>
      </c>
      <c r="H547" t="s">
        <v>865</v>
      </c>
      <c r="I547" t="s">
        <v>864</v>
      </c>
      <c r="J547" s="1">
        <v>69927.44</v>
      </c>
      <c r="K547" s="1">
        <v>69927.44</v>
      </c>
      <c r="L547" t="str">
        <f>IFERROR(IF(VLOOKUP(LEFT(B547,2),'Humanitarian codes'!$A$2:$A$10,1,FALSE)=LEFT(B547,2),"Yes","Error"),"No")</f>
        <v>Yes</v>
      </c>
      <c r="AE547" s="1"/>
      <c r="AF547" s="1"/>
    </row>
    <row r="548" spans="1:32" x14ac:dyDescent="0.25">
      <c r="A548" t="s">
        <v>1152</v>
      </c>
      <c r="B548" t="s">
        <v>195</v>
      </c>
      <c r="C548" t="s">
        <v>196</v>
      </c>
      <c r="D548" t="s">
        <v>30</v>
      </c>
      <c r="E548" t="s">
        <v>864</v>
      </c>
      <c r="F548">
        <v>4500440602</v>
      </c>
      <c r="G548" t="s">
        <v>12</v>
      </c>
      <c r="H548" t="s">
        <v>866</v>
      </c>
      <c r="I548" t="s">
        <v>864</v>
      </c>
      <c r="J548" s="1">
        <v>30067.11</v>
      </c>
      <c r="K548" s="1">
        <v>30067.11</v>
      </c>
      <c r="L548" t="str">
        <f>IFERROR(IF(VLOOKUP(LEFT(B548,2),'Humanitarian codes'!$A$2:$A$10,1,FALSE)=LEFT(B548,2),"Yes","Error"),"No")</f>
        <v>Yes</v>
      </c>
      <c r="AE548" s="1"/>
      <c r="AF548" s="1"/>
    </row>
    <row r="549" spans="1:32" x14ac:dyDescent="0.25">
      <c r="A549" t="s">
        <v>1152</v>
      </c>
      <c r="B549" t="s">
        <v>195</v>
      </c>
      <c r="C549" t="s">
        <v>196</v>
      </c>
      <c r="D549" t="s">
        <v>30</v>
      </c>
      <c r="E549" t="s">
        <v>864</v>
      </c>
      <c r="F549">
        <v>4500434717</v>
      </c>
      <c r="G549" t="s">
        <v>12</v>
      </c>
      <c r="H549" t="s">
        <v>867</v>
      </c>
      <c r="I549" t="s">
        <v>864</v>
      </c>
      <c r="J549" s="1">
        <v>23311.94</v>
      </c>
      <c r="K549" s="1">
        <v>23311.94</v>
      </c>
      <c r="L549" t="str">
        <f>IFERROR(IF(VLOOKUP(LEFT(B549,2),'Humanitarian codes'!$A$2:$A$10,1,FALSE)=LEFT(B549,2),"Yes","Error"),"No")</f>
        <v>Yes</v>
      </c>
      <c r="AE549" s="1"/>
      <c r="AF549" s="1"/>
    </row>
    <row r="550" spans="1:32" x14ac:dyDescent="0.25">
      <c r="A550" t="s">
        <v>1152</v>
      </c>
      <c r="B550" t="s">
        <v>195</v>
      </c>
      <c r="C550" t="s">
        <v>196</v>
      </c>
      <c r="D550" t="s">
        <v>30</v>
      </c>
      <c r="E550" t="s">
        <v>831</v>
      </c>
      <c r="F550">
        <v>4500447114</v>
      </c>
      <c r="G550" t="s">
        <v>12</v>
      </c>
      <c r="H550" t="s">
        <v>868</v>
      </c>
      <c r="I550" t="s">
        <v>831</v>
      </c>
      <c r="J550" s="1">
        <v>43196.95</v>
      </c>
      <c r="K550" s="1">
        <v>43196.95</v>
      </c>
      <c r="L550" t="str">
        <f>IFERROR(IF(VLOOKUP(LEFT(B550,2),'Humanitarian codes'!$A$2:$A$10,1,FALSE)=LEFT(B550,2),"Yes","Error"),"No")</f>
        <v>Yes</v>
      </c>
      <c r="AE550" s="1"/>
      <c r="AF550" s="1"/>
    </row>
    <row r="551" spans="1:32" x14ac:dyDescent="0.25">
      <c r="A551" t="s">
        <v>1152</v>
      </c>
      <c r="B551" t="s">
        <v>195</v>
      </c>
      <c r="C551" t="s">
        <v>196</v>
      </c>
      <c r="D551" t="s">
        <v>30</v>
      </c>
      <c r="E551" t="s">
        <v>205</v>
      </c>
      <c r="F551">
        <v>4500434718</v>
      </c>
      <c r="G551" t="s">
        <v>12</v>
      </c>
      <c r="H551" t="s">
        <v>869</v>
      </c>
      <c r="I551" t="s">
        <v>205</v>
      </c>
      <c r="J551" s="1">
        <v>950867.19</v>
      </c>
      <c r="K551" s="1">
        <v>950867.19</v>
      </c>
      <c r="L551" t="str">
        <f>IFERROR(IF(VLOOKUP(LEFT(B551,2),'Humanitarian codes'!$A$2:$A$10,1,FALSE)=LEFT(B551,2),"Yes","Error"),"No")</f>
        <v>Yes</v>
      </c>
      <c r="AF551" s="1"/>
    </row>
    <row r="552" spans="1:32" x14ac:dyDescent="0.25">
      <c r="A552" t="s">
        <v>1152</v>
      </c>
      <c r="B552" t="s">
        <v>195</v>
      </c>
      <c r="C552" t="s">
        <v>196</v>
      </c>
      <c r="D552" t="s">
        <v>30</v>
      </c>
      <c r="E552" t="s">
        <v>831</v>
      </c>
      <c r="F552">
        <v>4500447790</v>
      </c>
      <c r="G552" t="s">
        <v>12</v>
      </c>
      <c r="H552" t="s">
        <v>870</v>
      </c>
      <c r="I552" t="s">
        <v>831</v>
      </c>
      <c r="J552" s="1">
        <v>65143.35</v>
      </c>
      <c r="K552" s="1">
        <v>65143.35</v>
      </c>
      <c r="L552" t="str">
        <f>IFERROR(IF(VLOOKUP(LEFT(B552,2),'Humanitarian codes'!$A$2:$A$10,1,FALSE)=LEFT(B552,2),"Yes","Error"),"No")</f>
        <v>Yes</v>
      </c>
      <c r="AE552" s="1"/>
      <c r="AF552" s="1"/>
    </row>
    <row r="553" spans="1:32" x14ac:dyDescent="0.25">
      <c r="A553" t="s">
        <v>1152</v>
      </c>
      <c r="B553" t="s">
        <v>195</v>
      </c>
      <c r="C553" t="s">
        <v>196</v>
      </c>
      <c r="D553" t="s">
        <v>30</v>
      </c>
      <c r="E553" t="s">
        <v>205</v>
      </c>
      <c r="F553">
        <v>4500439483</v>
      </c>
      <c r="G553" t="s">
        <v>12</v>
      </c>
      <c r="H553" t="s">
        <v>871</v>
      </c>
      <c r="I553" t="s">
        <v>205</v>
      </c>
      <c r="J553" s="1">
        <v>31245.5</v>
      </c>
      <c r="K553" s="1">
        <v>31245.5</v>
      </c>
      <c r="L553" t="str">
        <f>IFERROR(IF(VLOOKUP(LEFT(B553,2),'Humanitarian codes'!$A$2:$A$10,1,FALSE)=LEFT(B553,2),"Yes","Error"),"No")</f>
        <v>Yes</v>
      </c>
      <c r="AE553" s="1"/>
      <c r="AF553" s="1"/>
    </row>
    <row r="554" spans="1:32" x14ac:dyDescent="0.25">
      <c r="A554" t="s">
        <v>1152</v>
      </c>
      <c r="B554" t="s">
        <v>195</v>
      </c>
      <c r="C554" t="s">
        <v>196</v>
      </c>
      <c r="D554" t="s">
        <v>30</v>
      </c>
      <c r="E554" t="s">
        <v>205</v>
      </c>
      <c r="F554">
        <v>4500441274</v>
      </c>
      <c r="G554" t="s">
        <v>12</v>
      </c>
      <c r="H554" t="s">
        <v>872</v>
      </c>
      <c r="I554" t="s">
        <v>205</v>
      </c>
      <c r="J554" s="1">
        <v>100000</v>
      </c>
      <c r="K554" s="1">
        <v>100000</v>
      </c>
      <c r="L554" t="str">
        <f>IFERROR(IF(VLOOKUP(LEFT(B554,2),'Humanitarian codes'!$A$2:$A$10,1,FALSE)=LEFT(B554,2),"Yes","Error"),"No")</f>
        <v>Yes</v>
      </c>
      <c r="AE554" s="1"/>
      <c r="AF554" s="1"/>
    </row>
    <row r="555" spans="1:32" x14ac:dyDescent="0.25">
      <c r="A555" t="s">
        <v>1152</v>
      </c>
      <c r="B555" t="s">
        <v>195</v>
      </c>
      <c r="C555" t="s">
        <v>196</v>
      </c>
      <c r="D555" t="s">
        <v>30</v>
      </c>
      <c r="E555" t="s">
        <v>205</v>
      </c>
      <c r="F555">
        <v>4500443387</v>
      </c>
      <c r="G555" t="s">
        <v>12</v>
      </c>
      <c r="H555" t="s">
        <v>873</v>
      </c>
      <c r="I555" t="s">
        <v>205</v>
      </c>
      <c r="J555" s="1">
        <v>70000</v>
      </c>
      <c r="K555" s="1">
        <v>70000</v>
      </c>
      <c r="L555" t="str">
        <f>IFERROR(IF(VLOOKUP(LEFT(B555,2),'Humanitarian codes'!$A$2:$A$10,1,FALSE)=LEFT(B555,2),"Yes","Error"),"No")</f>
        <v>Yes</v>
      </c>
      <c r="AE555" s="1"/>
      <c r="AF555" s="1"/>
    </row>
    <row r="556" spans="1:32" x14ac:dyDescent="0.25">
      <c r="A556" t="s">
        <v>1152</v>
      </c>
      <c r="B556" t="s">
        <v>195</v>
      </c>
      <c r="C556" t="s">
        <v>196</v>
      </c>
      <c r="D556" t="s">
        <v>30</v>
      </c>
      <c r="E556" t="s">
        <v>205</v>
      </c>
      <c r="F556">
        <v>4500444828</v>
      </c>
      <c r="G556" t="s">
        <v>12</v>
      </c>
      <c r="H556" t="s">
        <v>874</v>
      </c>
      <c r="I556" t="s">
        <v>205</v>
      </c>
      <c r="J556" s="1">
        <v>44250</v>
      </c>
      <c r="K556" s="1">
        <v>44250</v>
      </c>
      <c r="L556" t="str">
        <f>IFERROR(IF(VLOOKUP(LEFT(B556,2),'Humanitarian codes'!$A$2:$A$10,1,FALSE)=LEFT(B556,2),"Yes","Error"),"No")</f>
        <v>Yes</v>
      </c>
      <c r="AE556" s="1"/>
      <c r="AF556" s="1"/>
    </row>
    <row r="557" spans="1:32" x14ac:dyDescent="0.25">
      <c r="A557" t="s">
        <v>1152</v>
      </c>
      <c r="B557" t="s">
        <v>195</v>
      </c>
      <c r="C557" t="s">
        <v>196</v>
      </c>
      <c r="D557" t="s">
        <v>30</v>
      </c>
      <c r="E557" t="s">
        <v>205</v>
      </c>
      <c r="F557">
        <v>4500444839</v>
      </c>
      <c r="G557" t="s">
        <v>12</v>
      </c>
      <c r="H557" t="s">
        <v>875</v>
      </c>
      <c r="I557" t="s">
        <v>205</v>
      </c>
      <c r="J557" s="1">
        <v>246834</v>
      </c>
      <c r="K557" s="1">
        <v>246834</v>
      </c>
      <c r="L557" t="str">
        <f>IFERROR(IF(VLOOKUP(LEFT(B557,2),'Humanitarian codes'!$A$2:$A$10,1,FALSE)=LEFT(B557,2),"Yes","Error"),"No")</f>
        <v>Yes</v>
      </c>
      <c r="AE557" s="1"/>
      <c r="AF557" s="1"/>
    </row>
    <row r="558" spans="1:32" x14ac:dyDescent="0.25">
      <c r="A558" t="s">
        <v>1152</v>
      </c>
      <c r="B558" t="s">
        <v>195</v>
      </c>
      <c r="C558" t="s">
        <v>196</v>
      </c>
      <c r="D558" t="s">
        <v>30</v>
      </c>
      <c r="E558" t="s">
        <v>205</v>
      </c>
      <c r="F558">
        <v>4500447788</v>
      </c>
      <c r="G558" t="s">
        <v>12</v>
      </c>
      <c r="H558" t="s">
        <v>876</v>
      </c>
      <c r="I558" t="s">
        <v>205</v>
      </c>
      <c r="J558" s="1">
        <v>45000</v>
      </c>
      <c r="K558" s="1">
        <v>45000</v>
      </c>
      <c r="L558" t="str">
        <f>IFERROR(IF(VLOOKUP(LEFT(B558,2),'Humanitarian codes'!$A$2:$A$10,1,FALSE)=LEFT(B558,2),"Yes","Error"),"No")</f>
        <v>Yes</v>
      </c>
      <c r="AE558" s="1"/>
      <c r="AF558" s="1"/>
    </row>
    <row r="559" spans="1:32" x14ac:dyDescent="0.25">
      <c r="A559" t="s">
        <v>1152</v>
      </c>
      <c r="B559" t="s">
        <v>195</v>
      </c>
      <c r="C559" t="s">
        <v>196</v>
      </c>
      <c r="D559" t="s">
        <v>30</v>
      </c>
      <c r="E559" t="s">
        <v>205</v>
      </c>
      <c r="F559">
        <v>4500452947</v>
      </c>
      <c r="G559" t="s">
        <v>12</v>
      </c>
      <c r="H559" t="s">
        <v>209</v>
      </c>
      <c r="I559" t="s">
        <v>205</v>
      </c>
      <c r="J559" s="1">
        <v>80000</v>
      </c>
      <c r="K559" s="1">
        <v>80000</v>
      </c>
      <c r="L559" t="str">
        <f>IFERROR(IF(VLOOKUP(LEFT(B559,2),'Humanitarian codes'!$A$2:$A$10,1,FALSE)=LEFT(B559,2),"Yes","Error"),"No")</f>
        <v>Yes</v>
      </c>
      <c r="AE559" s="1"/>
      <c r="AF559" s="1"/>
    </row>
    <row r="560" spans="1:32" x14ac:dyDescent="0.25">
      <c r="A560" t="s">
        <v>1152</v>
      </c>
      <c r="B560" t="s">
        <v>195</v>
      </c>
      <c r="C560" t="s">
        <v>196</v>
      </c>
      <c r="D560" t="s">
        <v>30</v>
      </c>
      <c r="E560" t="s">
        <v>205</v>
      </c>
      <c r="F560">
        <v>4500449798</v>
      </c>
      <c r="G560" t="s">
        <v>12</v>
      </c>
      <c r="H560" t="s">
        <v>877</v>
      </c>
      <c r="I560" t="s">
        <v>205</v>
      </c>
      <c r="J560" s="1">
        <v>125250</v>
      </c>
      <c r="K560" s="1">
        <v>125250</v>
      </c>
      <c r="L560" t="str">
        <f>IFERROR(IF(VLOOKUP(LEFT(B560,2),'Humanitarian codes'!$A$2:$A$10,1,FALSE)=LEFT(B560,2),"Yes","Error"),"No")</f>
        <v>Yes</v>
      </c>
      <c r="AE560" s="1"/>
      <c r="AF560" s="1"/>
    </row>
    <row r="561" spans="1:32" x14ac:dyDescent="0.25">
      <c r="A561" t="s">
        <v>1152</v>
      </c>
      <c r="B561" t="s">
        <v>195</v>
      </c>
      <c r="C561" t="s">
        <v>196</v>
      </c>
      <c r="D561" t="s">
        <v>30</v>
      </c>
      <c r="E561" t="s">
        <v>205</v>
      </c>
      <c r="F561">
        <v>4500452962</v>
      </c>
      <c r="G561" t="s">
        <v>12</v>
      </c>
      <c r="H561" t="s">
        <v>878</v>
      </c>
      <c r="I561" t="s">
        <v>205</v>
      </c>
      <c r="J561" s="1">
        <v>178000</v>
      </c>
      <c r="K561" s="1">
        <v>178000</v>
      </c>
      <c r="L561" t="str">
        <f>IFERROR(IF(VLOOKUP(LEFT(B561,2),'Humanitarian codes'!$A$2:$A$10,1,FALSE)=LEFT(B561,2),"Yes","Error"),"No")</f>
        <v>Yes</v>
      </c>
      <c r="AE561" s="1"/>
      <c r="AF561" s="1"/>
    </row>
    <row r="562" spans="1:32" x14ac:dyDescent="0.25">
      <c r="A562" t="s">
        <v>1152</v>
      </c>
      <c r="B562" t="s">
        <v>195</v>
      </c>
      <c r="C562" t="s">
        <v>196</v>
      </c>
      <c r="D562" t="s">
        <v>30</v>
      </c>
      <c r="E562" t="s">
        <v>205</v>
      </c>
      <c r="F562">
        <v>4500454594</v>
      </c>
      <c r="G562" t="s">
        <v>12</v>
      </c>
      <c r="H562" t="s">
        <v>879</v>
      </c>
      <c r="I562" t="s">
        <v>205</v>
      </c>
      <c r="J562" s="1">
        <v>5954.73</v>
      </c>
      <c r="K562" s="1">
        <v>5954.73</v>
      </c>
      <c r="L562" t="str">
        <f>IFERROR(IF(VLOOKUP(LEFT(B562,2),'Humanitarian codes'!$A$2:$A$10,1,FALSE)=LEFT(B562,2),"Yes","Error"),"No")</f>
        <v>Yes</v>
      </c>
      <c r="AE562" s="1"/>
      <c r="AF562" s="1"/>
    </row>
    <row r="563" spans="1:32" x14ac:dyDescent="0.25">
      <c r="A563" t="s">
        <v>1152</v>
      </c>
      <c r="B563" t="s">
        <v>195</v>
      </c>
      <c r="C563" t="s">
        <v>196</v>
      </c>
      <c r="D563" t="s">
        <v>30</v>
      </c>
      <c r="E563" t="s">
        <v>210</v>
      </c>
      <c r="F563">
        <v>4500430794</v>
      </c>
      <c r="G563" t="s">
        <v>12</v>
      </c>
      <c r="H563" t="s">
        <v>468</v>
      </c>
      <c r="I563" t="s">
        <v>210</v>
      </c>
      <c r="J563" s="1">
        <v>265891.44</v>
      </c>
      <c r="K563" s="1">
        <v>265891.44</v>
      </c>
      <c r="L563" t="str">
        <f>IFERROR(IF(VLOOKUP(LEFT(B563,2),'Humanitarian codes'!$A$2:$A$10,1,FALSE)=LEFT(B563,2),"Yes","Error"),"No")</f>
        <v>Yes</v>
      </c>
      <c r="AE563" s="1"/>
      <c r="AF563" s="1"/>
    </row>
    <row r="564" spans="1:32" x14ac:dyDescent="0.25">
      <c r="A564" t="s">
        <v>1152</v>
      </c>
      <c r="B564" t="s">
        <v>195</v>
      </c>
      <c r="C564" t="s">
        <v>196</v>
      </c>
      <c r="D564" t="s">
        <v>30</v>
      </c>
      <c r="E564" t="s">
        <v>210</v>
      </c>
      <c r="F564">
        <v>4500435890</v>
      </c>
      <c r="G564" t="s">
        <v>12</v>
      </c>
      <c r="H564" t="s">
        <v>880</v>
      </c>
      <c r="I564" t="s">
        <v>210</v>
      </c>
      <c r="J564" s="1">
        <v>39328.79</v>
      </c>
      <c r="K564" s="1">
        <v>39328.79</v>
      </c>
      <c r="L564" t="str">
        <f>IFERROR(IF(VLOOKUP(LEFT(B564,2),'Humanitarian codes'!$A$2:$A$10,1,FALSE)=LEFT(B564,2),"Yes","Error"),"No")</f>
        <v>Yes</v>
      </c>
      <c r="AE564" s="1"/>
      <c r="AF564" s="1"/>
    </row>
    <row r="565" spans="1:32" x14ac:dyDescent="0.25">
      <c r="A565" t="s">
        <v>1152</v>
      </c>
      <c r="B565" t="s">
        <v>195</v>
      </c>
      <c r="C565" t="s">
        <v>196</v>
      </c>
      <c r="D565" t="s">
        <v>30</v>
      </c>
      <c r="E565" t="s">
        <v>210</v>
      </c>
      <c r="F565">
        <v>4500435900</v>
      </c>
      <c r="G565" t="s">
        <v>12</v>
      </c>
      <c r="H565" t="s">
        <v>217</v>
      </c>
      <c r="I565" t="s">
        <v>210</v>
      </c>
      <c r="J565" s="1">
        <v>79968.52</v>
      </c>
      <c r="K565" s="1">
        <v>79968.52</v>
      </c>
      <c r="L565" t="str">
        <f>IFERROR(IF(VLOOKUP(LEFT(B565,2),'Humanitarian codes'!$A$2:$A$10,1,FALSE)=LEFT(B565,2),"Yes","Error"),"No")</f>
        <v>Yes</v>
      </c>
      <c r="AE565" s="1"/>
      <c r="AF565" s="1"/>
    </row>
    <row r="566" spans="1:32" x14ac:dyDescent="0.25">
      <c r="A566" t="s">
        <v>1152</v>
      </c>
      <c r="B566" t="s">
        <v>195</v>
      </c>
      <c r="C566" t="s">
        <v>196</v>
      </c>
      <c r="D566" t="s">
        <v>30</v>
      </c>
      <c r="E566" t="s">
        <v>210</v>
      </c>
      <c r="F566">
        <v>4500435904</v>
      </c>
      <c r="G566" t="s">
        <v>12</v>
      </c>
      <c r="H566" t="s">
        <v>881</v>
      </c>
      <c r="I566" t="s">
        <v>210</v>
      </c>
      <c r="J566" s="1">
        <v>237231.25</v>
      </c>
      <c r="K566" s="1">
        <v>237231.25</v>
      </c>
      <c r="L566" t="str">
        <f>IFERROR(IF(VLOOKUP(LEFT(B566,2),'Humanitarian codes'!$A$2:$A$10,1,FALSE)=LEFT(B566,2),"Yes","Error"),"No")</f>
        <v>Yes</v>
      </c>
      <c r="AE566" s="1"/>
      <c r="AF566" s="1"/>
    </row>
    <row r="567" spans="1:32" x14ac:dyDescent="0.25">
      <c r="A567" t="s">
        <v>1152</v>
      </c>
      <c r="B567" t="s">
        <v>195</v>
      </c>
      <c r="C567" t="s">
        <v>196</v>
      </c>
      <c r="D567" t="s">
        <v>30</v>
      </c>
      <c r="E567" t="s">
        <v>210</v>
      </c>
      <c r="F567">
        <v>4500435906</v>
      </c>
      <c r="G567" t="s">
        <v>12</v>
      </c>
      <c r="H567" t="s">
        <v>882</v>
      </c>
      <c r="I567" t="s">
        <v>210</v>
      </c>
      <c r="J567" s="1">
        <v>109334.04</v>
      </c>
      <c r="K567" s="1">
        <v>109334.04</v>
      </c>
      <c r="L567" t="str">
        <f>IFERROR(IF(VLOOKUP(LEFT(B567,2),'Humanitarian codes'!$A$2:$A$10,1,FALSE)=LEFT(B567,2),"Yes","Error"),"No")</f>
        <v>Yes</v>
      </c>
      <c r="AE567" s="1"/>
      <c r="AF567" s="1"/>
    </row>
    <row r="568" spans="1:32" x14ac:dyDescent="0.25">
      <c r="A568" t="s">
        <v>1152</v>
      </c>
      <c r="B568" t="s">
        <v>195</v>
      </c>
      <c r="C568" t="s">
        <v>196</v>
      </c>
      <c r="D568" t="s">
        <v>30</v>
      </c>
      <c r="E568" t="s">
        <v>210</v>
      </c>
      <c r="F568">
        <v>4500435921</v>
      </c>
      <c r="G568" t="s">
        <v>12</v>
      </c>
      <c r="H568" t="s">
        <v>216</v>
      </c>
      <c r="I568" t="s">
        <v>210</v>
      </c>
      <c r="J568" s="1">
        <v>238131.08</v>
      </c>
      <c r="K568" s="1">
        <v>242003.12</v>
      </c>
      <c r="L568" t="str">
        <f>IFERROR(IF(VLOOKUP(LEFT(B568,2),'Humanitarian codes'!$A$2:$A$10,1,FALSE)=LEFT(B568,2),"Yes","Error"),"No")</f>
        <v>Yes</v>
      </c>
      <c r="AE568" s="1"/>
      <c r="AF568" s="1"/>
    </row>
    <row r="569" spans="1:32" x14ac:dyDescent="0.25">
      <c r="A569" t="s">
        <v>1152</v>
      </c>
      <c r="B569" t="s">
        <v>195</v>
      </c>
      <c r="C569" t="s">
        <v>196</v>
      </c>
      <c r="D569" t="s">
        <v>30</v>
      </c>
      <c r="E569" t="s">
        <v>210</v>
      </c>
      <c r="F569">
        <v>4500436682</v>
      </c>
      <c r="G569" t="s">
        <v>12</v>
      </c>
      <c r="H569" t="s">
        <v>218</v>
      </c>
      <c r="I569" t="s">
        <v>210</v>
      </c>
      <c r="J569" s="1">
        <v>183534.34</v>
      </c>
      <c r="K569" s="1">
        <v>183534.34</v>
      </c>
      <c r="L569" t="str">
        <f>IFERROR(IF(VLOOKUP(LEFT(B569,2),'Humanitarian codes'!$A$2:$A$10,1,FALSE)=LEFT(B569,2),"Yes","Error"),"No")</f>
        <v>Yes</v>
      </c>
      <c r="AE569" s="1"/>
      <c r="AF569" s="1"/>
    </row>
    <row r="570" spans="1:32" x14ac:dyDescent="0.25">
      <c r="A570" t="s">
        <v>1152</v>
      </c>
      <c r="B570" t="s">
        <v>195</v>
      </c>
      <c r="C570" t="s">
        <v>196</v>
      </c>
      <c r="D570" t="s">
        <v>30</v>
      </c>
      <c r="E570" t="s">
        <v>210</v>
      </c>
      <c r="F570">
        <v>4500436696</v>
      </c>
      <c r="G570" t="s">
        <v>12</v>
      </c>
      <c r="H570" t="s">
        <v>213</v>
      </c>
      <c r="I570" t="s">
        <v>210</v>
      </c>
      <c r="J570" s="1">
        <v>455820.65</v>
      </c>
      <c r="K570" s="1">
        <v>455820.65</v>
      </c>
      <c r="L570" t="str">
        <f>IFERROR(IF(VLOOKUP(LEFT(B570,2),'Humanitarian codes'!$A$2:$A$10,1,FALSE)=LEFT(B570,2),"Yes","Error"),"No")</f>
        <v>Yes</v>
      </c>
      <c r="AE570" s="1"/>
      <c r="AF570" s="1"/>
    </row>
    <row r="571" spans="1:32" x14ac:dyDescent="0.25">
      <c r="A571" t="s">
        <v>1152</v>
      </c>
      <c r="B571" t="s">
        <v>195</v>
      </c>
      <c r="C571" t="s">
        <v>196</v>
      </c>
      <c r="D571" t="s">
        <v>30</v>
      </c>
      <c r="E571" t="s">
        <v>210</v>
      </c>
      <c r="F571">
        <v>4500438339</v>
      </c>
      <c r="G571" t="s">
        <v>12</v>
      </c>
      <c r="H571" t="s">
        <v>216</v>
      </c>
      <c r="I571" t="s">
        <v>210</v>
      </c>
      <c r="J571" s="1">
        <v>64000</v>
      </c>
      <c r="K571" s="1">
        <v>64000</v>
      </c>
      <c r="L571" t="str">
        <f>IFERROR(IF(VLOOKUP(LEFT(B571,2),'Humanitarian codes'!$A$2:$A$10,1,FALSE)=LEFT(B571,2),"Yes","Error"),"No")</f>
        <v>Yes</v>
      </c>
      <c r="AE571" s="1"/>
      <c r="AF571" s="1"/>
    </row>
    <row r="572" spans="1:32" x14ac:dyDescent="0.25">
      <c r="A572" t="s">
        <v>1152</v>
      </c>
      <c r="B572" t="s">
        <v>195</v>
      </c>
      <c r="C572" t="s">
        <v>196</v>
      </c>
      <c r="D572" t="s">
        <v>30</v>
      </c>
      <c r="E572" t="s">
        <v>210</v>
      </c>
      <c r="F572">
        <v>4500438627</v>
      </c>
      <c r="G572" t="s">
        <v>12</v>
      </c>
      <c r="H572" t="s">
        <v>214</v>
      </c>
      <c r="I572" t="s">
        <v>210</v>
      </c>
      <c r="J572" s="1">
        <v>62648.11</v>
      </c>
      <c r="K572" s="1">
        <v>62648.11</v>
      </c>
      <c r="L572" t="str">
        <f>IFERROR(IF(VLOOKUP(LEFT(B572,2),'Humanitarian codes'!$A$2:$A$10,1,FALSE)=LEFT(B572,2),"Yes","Error"),"No")</f>
        <v>Yes</v>
      </c>
      <c r="AE572" s="1"/>
      <c r="AF572" s="1"/>
    </row>
    <row r="573" spans="1:32" x14ac:dyDescent="0.25">
      <c r="A573" t="s">
        <v>1152</v>
      </c>
      <c r="B573" t="s">
        <v>195</v>
      </c>
      <c r="C573" t="s">
        <v>196</v>
      </c>
      <c r="D573" t="s">
        <v>30</v>
      </c>
      <c r="E573" t="s">
        <v>210</v>
      </c>
      <c r="F573">
        <v>4500441571</v>
      </c>
      <c r="G573" t="s">
        <v>12</v>
      </c>
      <c r="H573" t="s">
        <v>215</v>
      </c>
      <c r="I573" t="s">
        <v>210</v>
      </c>
      <c r="J573" s="1">
        <v>90324.32</v>
      </c>
      <c r="K573" s="1">
        <v>90324.32</v>
      </c>
      <c r="L573" t="str">
        <f>IFERROR(IF(VLOOKUP(LEFT(B573,2),'Humanitarian codes'!$A$2:$A$10,1,FALSE)=LEFT(B573,2),"Yes","Error"),"No")</f>
        <v>Yes</v>
      </c>
      <c r="AE573" s="1"/>
      <c r="AF573" s="1"/>
    </row>
    <row r="574" spans="1:32" x14ac:dyDescent="0.25">
      <c r="A574" t="s">
        <v>1152</v>
      </c>
      <c r="B574" t="s">
        <v>195</v>
      </c>
      <c r="C574" t="s">
        <v>196</v>
      </c>
      <c r="D574" t="s">
        <v>30</v>
      </c>
      <c r="E574" t="s">
        <v>210</v>
      </c>
      <c r="F574">
        <v>4500443063</v>
      </c>
      <c r="G574" t="s">
        <v>12</v>
      </c>
      <c r="H574" t="s">
        <v>883</v>
      </c>
      <c r="I574" t="s">
        <v>210</v>
      </c>
      <c r="J574" s="1">
        <v>115786.69</v>
      </c>
      <c r="K574" s="1">
        <v>115786.69</v>
      </c>
      <c r="L574" t="str">
        <f>IFERROR(IF(VLOOKUP(LEFT(B574,2),'Humanitarian codes'!$A$2:$A$10,1,FALSE)=LEFT(B574,2),"Yes","Error"),"No")</f>
        <v>Yes</v>
      </c>
      <c r="AE574" s="1"/>
      <c r="AF574" s="1"/>
    </row>
    <row r="575" spans="1:32" x14ac:dyDescent="0.25">
      <c r="A575" t="s">
        <v>1152</v>
      </c>
      <c r="B575" t="s">
        <v>195</v>
      </c>
      <c r="C575" t="s">
        <v>196</v>
      </c>
      <c r="D575" t="s">
        <v>30</v>
      </c>
      <c r="E575" t="s">
        <v>210</v>
      </c>
      <c r="F575">
        <v>4500451733</v>
      </c>
      <c r="G575" t="s">
        <v>12</v>
      </c>
      <c r="H575" t="s">
        <v>884</v>
      </c>
      <c r="I575" t="s">
        <v>210</v>
      </c>
      <c r="J575" s="1">
        <v>63085.37</v>
      </c>
      <c r="K575" s="1">
        <v>63085.37</v>
      </c>
      <c r="L575" t="str">
        <f>IFERROR(IF(VLOOKUP(LEFT(B575,2),'Humanitarian codes'!$A$2:$A$10,1,FALSE)=LEFT(B575,2),"Yes","Error"),"No")</f>
        <v>Yes</v>
      </c>
      <c r="AE575" s="1"/>
      <c r="AF575" s="1"/>
    </row>
    <row r="576" spans="1:32" x14ac:dyDescent="0.25">
      <c r="A576" t="s">
        <v>1152</v>
      </c>
      <c r="B576" t="s">
        <v>195</v>
      </c>
      <c r="C576" t="s">
        <v>196</v>
      </c>
      <c r="D576" t="s">
        <v>30</v>
      </c>
      <c r="E576" t="s">
        <v>885</v>
      </c>
      <c r="F576">
        <v>4500450055</v>
      </c>
      <c r="G576" t="s">
        <v>12</v>
      </c>
      <c r="H576" t="s">
        <v>886</v>
      </c>
      <c r="I576" t="s">
        <v>885</v>
      </c>
      <c r="J576" s="1">
        <v>92941.91</v>
      </c>
      <c r="K576" s="1">
        <v>92941.91</v>
      </c>
      <c r="L576" t="str">
        <f>IFERROR(IF(VLOOKUP(LEFT(B576,2),'Humanitarian codes'!$A$2:$A$10,1,FALSE)=LEFT(B576,2),"Yes","Error"),"No")</f>
        <v>Yes</v>
      </c>
      <c r="AE576" s="1"/>
      <c r="AF576" s="1"/>
    </row>
    <row r="577" spans="1:32" x14ac:dyDescent="0.25">
      <c r="A577" t="s">
        <v>1152</v>
      </c>
      <c r="B577" t="s">
        <v>224</v>
      </c>
      <c r="C577" t="s">
        <v>225</v>
      </c>
      <c r="D577" t="s">
        <v>30</v>
      </c>
      <c r="E577" t="s">
        <v>226</v>
      </c>
      <c r="F577">
        <v>4500439289</v>
      </c>
      <c r="G577" t="s">
        <v>12</v>
      </c>
      <c r="H577" t="s">
        <v>842</v>
      </c>
      <c r="I577" t="s">
        <v>226</v>
      </c>
      <c r="J577" s="1">
        <v>149567.37</v>
      </c>
      <c r="K577" s="1">
        <v>271940.67</v>
      </c>
      <c r="L577" t="str">
        <f>IFERROR(IF(VLOOKUP(LEFT(B577,2),'Humanitarian codes'!$A$2:$A$10,1,FALSE)=LEFT(B577,2),"Yes","Error"),"No")</f>
        <v>Yes</v>
      </c>
      <c r="AE577" s="1"/>
      <c r="AF577" s="1"/>
    </row>
    <row r="578" spans="1:32" x14ac:dyDescent="0.25">
      <c r="A578" t="s">
        <v>1152</v>
      </c>
      <c r="B578" t="s">
        <v>224</v>
      </c>
      <c r="C578" t="s">
        <v>225</v>
      </c>
      <c r="D578" t="s">
        <v>30</v>
      </c>
      <c r="E578" t="s">
        <v>226</v>
      </c>
      <c r="F578">
        <v>4500439298</v>
      </c>
      <c r="G578" t="s">
        <v>12</v>
      </c>
      <c r="H578" t="s">
        <v>842</v>
      </c>
      <c r="I578" t="s">
        <v>226</v>
      </c>
      <c r="J578" s="1">
        <v>214256.26</v>
      </c>
      <c r="K578" s="1">
        <v>214256.26</v>
      </c>
      <c r="L578" t="str">
        <f>IFERROR(IF(VLOOKUP(LEFT(B578,2),'Humanitarian codes'!$A$2:$A$10,1,FALSE)=LEFT(B578,2),"Yes","Error"),"No")</f>
        <v>Yes</v>
      </c>
      <c r="AE578" s="1"/>
      <c r="AF578" s="1"/>
    </row>
    <row r="579" spans="1:32" x14ac:dyDescent="0.25">
      <c r="A579" t="s">
        <v>1152</v>
      </c>
      <c r="B579" t="s">
        <v>230</v>
      </c>
      <c r="C579" t="s">
        <v>231</v>
      </c>
      <c r="D579" t="s">
        <v>30</v>
      </c>
      <c r="E579" t="s">
        <v>175</v>
      </c>
      <c r="F579">
        <v>4500430930</v>
      </c>
      <c r="G579" t="s">
        <v>12</v>
      </c>
      <c r="H579" t="s">
        <v>232</v>
      </c>
      <c r="I579" t="s">
        <v>175</v>
      </c>
      <c r="J579" s="1">
        <v>235664.87</v>
      </c>
      <c r="K579" s="1">
        <v>235664.87</v>
      </c>
      <c r="L579" t="str">
        <f>IFERROR(IF(VLOOKUP(LEFT(B579,2),'Humanitarian codes'!$A$2:$A$10,1,FALSE)=LEFT(B579,2),"Yes","Error"),"No")</f>
        <v>Yes</v>
      </c>
      <c r="AE579" s="1"/>
      <c r="AF579" s="1"/>
    </row>
    <row r="580" spans="1:32" x14ac:dyDescent="0.25">
      <c r="A580" t="s">
        <v>1152</v>
      </c>
      <c r="B580" t="s">
        <v>230</v>
      </c>
      <c r="C580" t="s">
        <v>231</v>
      </c>
      <c r="D580" t="s">
        <v>30</v>
      </c>
      <c r="E580" t="s">
        <v>175</v>
      </c>
      <c r="F580">
        <v>4500432638</v>
      </c>
      <c r="G580" t="s">
        <v>12</v>
      </c>
      <c r="H580" t="s">
        <v>183</v>
      </c>
      <c r="I580" t="s">
        <v>184</v>
      </c>
      <c r="J580" s="1">
        <v>74795.649999999994</v>
      </c>
      <c r="K580" s="1">
        <v>74795.649999999994</v>
      </c>
      <c r="L580" t="str">
        <f>IFERROR(IF(VLOOKUP(LEFT(B580,2),'Humanitarian codes'!$A$2:$A$10,1,FALSE)=LEFT(B580,2),"Yes","Error"),"No")</f>
        <v>Yes</v>
      </c>
      <c r="AE580" s="1"/>
      <c r="AF580" s="1"/>
    </row>
    <row r="581" spans="1:32" x14ac:dyDescent="0.25">
      <c r="A581" t="s">
        <v>1152</v>
      </c>
      <c r="B581" t="s">
        <v>230</v>
      </c>
      <c r="C581" t="s">
        <v>231</v>
      </c>
      <c r="D581" t="s">
        <v>30</v>
      </c>
      <c r="E581" t="s">
        <v>175</v>
      </c>
      <c r="F581">
        <v>4500437075</v>
      </c>
      <c r="G581" t="s">
        <v>12</v>
      </c>
      <c r="H581" t="s">
        <v>887</v>
      </c>
      <c r="I581" t="s">
        <v>175</v>
      </c>
      <c r="J581" s="1">
        <v>177820.9</v>
      </c>
      <c r="K581" s="1">
        <v>177820.9</v>
      </c>
      <c r="L581" t="str">
        <f>IFERROR(IF(VLOOKUP(LEFT(B581,2),'Humanitarian codes'!$A$2:$A$10,1,FALSE)=LEFT(B581,2),"Yes","Error"),"No")</f>
        <v>Yes</v>
      </c>
      <c r="AE581" s="1"/>
      <c r="AF581" s="1"/>
    </row>
    <row r="582" spans="1:32" x14ac:dyDescent="0.25">
      <c r="A582" t="s">
        <v>1152</v>
      </c>
      <c r="B582" t="s">
        <v>230</v>
      </c>
      <c r="C582" t="s">
        <v>231</v>
      </c>
      <c r="D582" t="s">
        <v>30</v>
      </c>
      <c r="E582" t="s">
        <v>175</v>
      </c>
      <c r="F582">
        <v>4500444429</v>
      </c>
      <c r="G582" t="s">
        <v>12</v>
      </c>
      <c r="H582" t="s">
        <v>186</v>
      </c>
      <c r="I582" t="s">
        <v>175</v>
      </c>
      <c r="J582" s="1">
        <v>64181.2</v>
      </c>
      <c r="K582" s="1">
        <v>64181.2</v>
      </c>
      <c r="L582" t="str">
        <f>IFERROR(IF(VLOOKUP(LEFT(B582,2),'Humanitarian codes'!$A$2:$A$10,1,FALSE)=LEFT(B582,2),"Yes","Error"),"No")</f>
        <v>Yes</v>
      </c>
      <c r="AE582" s="1"/>
      <c r="AF582" s="1"/>
    </row>
    <row r="583" spans="1:32" x14ac:dyDescent="0.25">
      <c r="A583" t="s">
        <v>1152</v>
      </c>
      <c r="B583" t="s">
        <v>230</v>
      </c>
      <c r="C583" t="s">
        <v>231</v>
      </c>
      <c r="D583" t="s">
        <v>30</v>
      </c>
      <c r="E583" t="s">
        <v>175</v>
      </c>
      <c r="F583">
        <v>4500444502</v>
      </c>
      <c r="G583" t="s">
        <v>12</v>
      </c>
      <c r="H583" t="s">
        <v>395</v>
      </c>
      <c r="I583" t="s">
        <v>175</v>
      </c>
      <c r="J583" s="1">
        <v>62369.17</v>
      </c>
      <c r="K583" s="1">
        <v>62369.17</v>
      </c>
      <c r="L583" t="str">
        <f>IFERROR(IF(VLOOKUP(LEFT(B583,2),'Humanitarian codes'!$A$2:$A$10,1,FALSE)=LEFT(B583,2),"Yes","Error"),"No")</f>
        <v>Yes</v>
      </c>
      <c r="AE583" s="1"/>
      <c r="AF583" s="1"/>
    </row>
    <row r="584" spans="1:32" x14ac:dyDescent="0.25">
      <c r="A584" t="s">
        <v>1152</v>
      </c>
      <c r="B584" t="s">
        <v>230</v>
      </c>
      <c r="C584" t="s">
        <v>231</v>
      </c>
      <c r="D584" t="s">
        <v>30</v>
      </c>
      <c r="E584" t="s">
        <v>175</v>
      </c>
      <c r="F584">
        <v>4500448325</v>
      </c>
      <c r="G584" t="s">
        <v>12</v>
      </c>
      <c r="H584" t="s">
        <v>183</v>
      </c>
      <c r="I584" t="s">
        <v>184</v>
      </c>
      <c r="J584" s="1">
        <v>191883.94</v>
      </c>
      <c r="K584" s="1">
        <v>191883.94</v>
      </c>
      <c r="L584" t="str">
        <f>IFERROR(IF(VLOOKUP(LEFT(B584,2),'Humanitarian codes'!$A$2:$A$10,1,FALSE)=LEFT(B584,2),"Yes","Error"),"No")</f>
        <v>Yes</v>
      </c>
      <c r="AE584" s="1"/>
      <c r="AF584" s="1"/>
    </row>
    <row r="585" spans="1:32" x14ac:dyDescent="0.25">
      <c r="A585" t="s">
        <v>1152</v>
      </c>
      <c r="B585" t="s">
        <v>230</v>
      </c>
      <c r="C585" t="s">
        <v>231</v>
      </c>
      <c r="D585" t="s">
        <v>30</v>
      </c>
      <c r="E585" t="s">
        <v>175</v>
      </c>
      <c r="F585">
        <v>4500451351</v>
      </c>
      <c r="G585" t="s">
        <v>12</v>
      </c>
      <c r="H585" t="s">
        <v>176</v>
      </c>
      <c r="I585" t="s">
        <v>175</v>
      </c>
      <c r="J585" s="1">
        <v>92140.07</v>
      </c>
      <c r="K585" s="1">
        <v>107139.61</v>
      </c>
      <c r="L585" t="str">
        <f>IFERROR(IF(VLOOKUP(LEFT(B585,2),'Humanitarian codes'!$A$2:$A$10,1,FALSE)=LEFT(B585,2),"Yes","Error"),"No")</f>
        <v>Yes</v>
      </c>
      <c r="AE585" s="1"/>
      <c r="AF585" s="1"/>
    </row>
    <row r="586" spans="1:32" x14ac:dyDescent="0.25">
      <c r="A586" t="s">
        <v>1152</v>
      </c>
      <c r="B586" t="s">
        <v>237</v>
      </c>
      <c r="C586" t="s">
        <v>238</v>
      </c>
      <c r="D586" t="s">
        <v>30</v>
      </c>
      <c r="E586" t="s">
        <v>239</v>
      </c>
      <c r="F586">
        <v>4500438684</v>
      </c>
      <c r="G586" t="s">
        <v>12</v>
      </c>
      <c r="H586" t="s">
        <v>888</v>
      </c>
      <c r="I586" t="s">
        <v>239</v>
      </c>
      <c r="J586" s="1">
        <v>294943.84999999998</v>
      </c>
      <c r="K586" s="1">
        <v>294943.84999999998</v>
      </c>
      <c r="L586" t="str">
        <f>IFERROR(IF(VLOOKUP(LEFT(B586,2),'Humanitarian codes'!$A$2:$A$10,1,FALSE)=LEFT(B586,2),"Yes","Error"),"No")</f>
        <v>Yes</v>
      </c>
      <c r="AE586" s="1"/>
      <c r="AF586" s="1"/>
    </row>
    <row r="587" spans="1:32" x14ac:dyDescent="0.25">
      <c r="A587" t="s">
        <v>1152</v>
      </c>
      <c r="B587" t="s">
        <v>237</v>
      </c>
      <c r="C587" t="s">
        <v>238</v>
      </c>
      <c r="D587" t="s">
        <v>30</v>
      </c>
      <c r="E587" t="s">
        <v>239</v>
      </c>
      <c r="F587">
        <v>4500439009</v>
      </c>
      <c r="G587" t="s">
        <v>12</v>
      </c>
      <c r="H587" t="s">
        <v>889</v>
      </c>
      <c r="I587" t="s">
        <v>239</v>
      </c>
      <c r="J587" s="1">
        <v>154654.79</v>
      </c>
      <c r="K587" s="1">
        <v>154654.79</v>
      </c>
      <c r="L587" t="str">
        <f>IFERROR(IF(VLOOKUP(LEFT(B587,2),'Humanitarian codes'!$A$2:$A$10,1,FALSE)=LEFT(B587,2),"Yes","Error"),"No")</f>
        <v>Yes</v>
      </c>
      <c r="AE587" s="1"/>
      <c r="AF587" s="1"/>
    </row>
    <row r="588" spans="1:32" x14ac:dyDescent="0.25">
      <c r="A588" t="s">
        <v>1152</v>
      </c>
      <c r="B588" t="s">
        <v>241</v>
      </c>
      <c r="C588" t="s">
        <v>242</v>
      </c>
      <c r="D588" t="s">
        <v>30</v>
      </c>
      <c r="E588" t="s">
        <v>890</v>
      </c>
      <c r="F588">
        <v>4500438286</v>
      </c>
      <c r="G588" t="s">
        <v>12</v>
      </c>
      <c r="H588" t="s">
        <v>247</v>
      </c>
      <c r="I588" t="s">
        <v>890</v>
      </c>
      <c r="J588" s="1">
        <v>48648.65</v>
      </c>
      <c r="K588" s="1">
        <v>48648.65</v>
      </c>
      <c r="L588" t="str">
        <f>IFERROR(IF(VLOOKUP(LEFT(B588,2),'Humanitarian codes'!$A$2:$A$10,1,FALSE)=LEFT(B588,2),"Yes","Error"),"No")</f>
        <v>Yes</v>
      </c>
      <c r="AE588" s="1"/>
      <c r="AF588" s="1"/>
    </row>
    <row r="589" spans="1:32" x14ac:dyDescent="0.25">
      <c r="A589" t="s">
        <v>1152</v>
      </c>
      <c r="B589" t="s">
        <v>241</v>
      </c>
      <c r="C589" t="s">
        <v>242</v>
      </c>
      <c r="D589" t="s">
        <v>30</v>
      </c>
      <c r="E589" t="s">
        <v>890</v>
      </c>
      <c r="F589">
        <v>4500438287</v>
      </c>
      <c r="G589" t="s">
        <v>12</v>
      </c>
      <c r="H589" t="s">
        <v>246</v>
      </c>
      <c r="I589" t="s">
        <v>890</v>
      </c>
      <c r="J589" s="1">
        <v>18865.34</v>
      </c>
      <c r="K589" s="1">
        <v>18865.34</v>
      </c>
      <c r="L589" t="str">
        <f>IFERROR(IF(VLOOKUP(LEFT(B589,2),'Humanitarian codes'!$A$2:$A$10,1,FALSE)=LEFT(B589,2),"Yes","Error"),"No")</f>
        <v>Yes</v>
      </c>
      <c r="AE589" s="1"/>
      <c r="AF589" s="1"/>
    </row>
    <row r="590" spans="1:32" x14ac:dyDescent="0.25">
      <c r="A590" t="s">
        <v>1152</v>
      </c>
      <c r="B590" t="s">
        <v>241</v>
      </c>
      <c r="C590" t="s">
        <v>242</v>
      </c>
      <c r="D590" t="s">
        <v>30</v>
      </c>
      <c r="E590" t="s">
        <v>890</v>
      </c>
      <c r="F590">
        <v>4500438292</v>
      </c>
      <c r="G590" t="s">
        <v>12</v>
      </c>
      <c r="H590" t="s">
        <v>891</v>
      </c>
      <c r="I590" t="s">
        <v>890</v>
      </c>
      <c r="J590" s="1">
        <v>58846.38</v>
      </c>
      <c r="K590" s="1">
        <v>58846.38</v>
      </c>
      <c r="L590" t="str">
        <f>IFERROR(IF(VLOOKUP(LEFT(B590,2),'Humanitarian codes'!$A$2:$A$10,1,FALSE)=LEFT(B590,2),"Yes","Error"),"No")</f>
        <v>Yes</v>
      </c>
      <c r="AE590" s="1"/>
      <c r="AF590" s="1"/>
    </row>
    <row r="591" spans="1:32" x14ac:dyDescent="0.25">
      <c r="A591" t="s">
        <v>1152</v>
      </c>
      <c r="B591" t="s">
        <v>241</v>
      </c>
      <c r="C591" t="s">
        <v>242</v>
      </c>
      <c r="D591" t="s">
        <v>30</v>
      </c>
      <c r="E591" t="s">
        <v>890</v>
      </c>
      <c r="F591">
        <v>4500438298</v>
      </c>
      <c r="G591" t="s">
        <v>12</v>
      </c>
      <c r="H591" t="s">
        <v>244</v>
      </c>
      <c r="I591" t="s">
        <v>890</v>
      </c>
      <c r="J591" s="1">
        <v>13248.63</v>
      </c>
      <c r="K591" s="1">
        <v>13248.63</v>
      </c>
      <c r="L591" t="str">
        <f>IFERROR(IF(VLOOKUP(LEFT(B591,2),'Humanitarian codes'!$A$2:$A$10,1,FALSE)=LEFT(B591,2),"Yes","Error"),"No")</f>
        <v>Yes</v>
      </c>
      <c r="AE591" s="1"/>
      <c r="AF591" s="1"/>
    </row>
    <row r="592" spans="1:32" x14ac:dyDescent="0.25">
      <c r="A592" t="s">
        <v>1152</v>
      </c>
      <c r="B592" t="s">
        <v>241</v>
      </c>
      <c r="C592" t="s">
        <v>242</v>
      </c>
      <c r="D592" t="s">
        <v>30</v>
      </c>
      <c r="E592" t="s">
        <v>890</v>
      </c>
      <c r="F592">
        <v>4500438307</v>
      </c>
      <c r="G592" t="s">
        <v>12</v>
      </c>
      <c r="H592" t="s">
        <v>245</v>
      </c>
      <c r="I592" t="s">
        <v>890</v>
      </c>
      <c r="J592" s="1">
        <v>14664.86</v>
      </c>
      <c r="K592" s="1">
        <v>14664.86</v>
      </c>
      <c r="L592" t="str">
        <f>IFERROR(IF(VLOOKUP(LEFT(B592,2),'Humanitarian codes'!$A$2:$A$10,1,FALSE)=LEFT(B592,2),"Yes","Error"),"No")</f>
        <v>Yes</v>
      </c>
      <c r="AE592" s="1"/>
      <c r="AF592" s="1"/>
    </row>
    <row r="593" spans="1:32" x14ac:dyDescent="0.25">
      <c r="A593" t="s">
        <v>1152</v>
      </c>
      <c r="B593" t="s">
        <v>241</v>
      </c>
      <c r="C593" t="s">
        <v>242</v>
      </c>
      <c r="D593" t="s">
        <v>30</v>
      </c>
      <c r="E593" t="s">
        <v>890</v>
      </c>
      <c r="F593">
        <v>4500438310</v>
      </c>
      <c r="G593" t="s">
        <v>12</v>
      </c>
      <c r="H593" t="s">
        <v>892</v>
      </c>
      <c r="I593" t="s">
        <v>890</v>
      </c>
      <c r="J593" s="1">
        <v>27335.87</v>
      </c>
      <c r="K593" s="1">
        <v>27335.87</v>
      </c>
      <c r="L593" t="str">
        <f>IFERROR(IF(VLOOKUP(LEFT(B593,2),'Humanitarian codes'!$A$2:$A$10,1,FALSE)=LEFT(B593,2),"Yes","Error"),"No")</f>
        <v>Yes</v>
      </c>
      <c r="AE593" s="1"/>
      <c r="AF593" s="1"/>
    </row>
    <row r="594" spans="1:32" x14ac:dyDescent="0.25">
      <c r="A594" t="s">
        <v>1152</v>
      </c>
      <c r="B594" t="s">
        <v>241</v>
      </c>
      <c r="C594" t="s">
        <v>242</v>
      </c>
      <c r="D594" t="s">
        <v>30</v>
      </c>
      <c r="E594" t="s">
        <v>890</v>
      </c>
      <c r="F594">
        <v>4500438313</v>
      </c>
      <c r="G594" t="s">
        <v>12</v>
      </c>
      <c r="H594" t="s">
        <v>893</v>
      </c>
      <c r="I594" t="s">
        <v>890</v>
      </c>
      <c r="J594" s="1">
        <v>15405.4</v>
      </c>
      <c r="K594" s="1">
        <v>15405.4</v>
      </c>
      <c r="L594" t="str">
        <f>IFERROR(IF(VLOOKUP(LEFT(B594,2),'Humanitarian codes'!$A$2:$A$10,1,FALSE)=LEFT(B594,2),"Yes","Error"),"No")</f>
        <v>Yes</v>
      </c>
      <c r="AE594" s="1"/>
      <c r="AF594" s="1"/>
    </row>
    <row r="595" spans="1:32" x14ac:dyDescent="0.25">
      <c r="A595" t="s">
        <v>1152</v>
      </c>
      <c r="B595" t="s">
        <v>241</v>
      </c>
      <c r="C595" t="s">
        <v>242</v>
      </c>
      <c r="D595" t="s">
        <v>30</v>
      </c>
      <c r="E595" t="s">
        <v>890</v>
      </c>
      <c r="F595">
        <v>4500438696</v>
      </c>
      <c r="G595" t="s">
        <v>12</v>
      </c>
      <c r="H595" t="s">
        <v>894</v>
      </c>
      <c r="I595" t="s">
        <v>890</v>
      </c>
      <c r="J595" s="1">
        <v>27465.94</v>
      </c>
      <c r="K595" s="1">
        <v>27465.94</v>
      </c>
      <c r="L595" t="str">
        <f>IFERROR(IF(VLOOKUP(LEFT(B595,2),'Humanitarian codes'!$A$2:$A$10,1,FALSE)=LEFT(B595,2),"Yes","Error"),"No")</f>
        <v>Yes</v>
      </c>
      <c r="AE595" s="1"/>
      <c r="AF595" s="1"/>
    </row>
    <row r="596" spans="1:32" x14ac:dyDescent="0.25">
      <c r="A596" t="s">
        <v>1152</v>
      </c>
      <c r="B596" t="s">
        <v>895</v>
      </c>
      <c r="C596" t="s">
        <v>896</v>
      </c>
      <c r="D596" t="s">
        <v>30</v>
      </c>
      <c r="E596" t="s">
        <v>320</v>
      </c>
      <c r="F596">
        <v>4500441035</v>
      </c>
      <c r="G596" t="s">
        <v>12</v>
      </c>
      <c r="H596" t="s">
        <v>851</v>
      </c>
      <c r="I596" t="s">
        <v>320</v>
      </c>
      <c r="J596" s="1">
        <v>3336</v>
      </c>
      <c r="K596" s="1">
        <v>14460</v>
      </c>
      <c r="L596" t="str">
        <f>IFERROR(IF(VLOOKUP(LEFT(B596,2),'Humanitarian codes'!$A$2:$A$10,1,FALSE)=LEFT(B596,2),"Yes","Error"),"No")</f>
        <v>Yes</v>
      </c>
      <c r="AE596" s="1"/>
      <c r="AF596" s="1"/>
    </row>
    <row r="597" spans="1:32" x14ac:dyDescent="0.25">
      <c r="A597" t="s">
        <v>1152</v>
      </c>
      <c r="B597" t="s">
        <v>259</v>
      </c>
      <c r="C597" t="s">
        <v>260</v>
      </c>
      <c r="D597" t="s">
        <v>30</v>
      </c>
      <c r="E597" t="s">
        <v>261</v>
      </c>
      <c r="F597">
        <v>4500432504</v>
      </c>
      <c r="G597" t="s">
        <v>12</v>
      </c>
      <c r="H597" t="s">
        <v>897</v>
      </c>
      <c r="I597" t="s">
        <v>261</v>
      </c>
      <c r="J597" s="1">
        <v>197847.36</v>
      </c>
      <c r="K597" s="1">
        <v>197847.36</v>
      </c>
      <c r="L597" t="str">
        <f>IFERROR(IF(VLOOKUP(LEFT(B597,2),'Humanitarian codes'!$A$2:$A$10,1,FALSE)=LEFT(B597,2),"Yes","Error"),"No")</f>
        <v>Yes</v>
      </c>
      <c r="AE597" s="1"/>
      <c r="AF597" s="1"/>
    </row>
    <row r="598" spans="1:32" x14ac:dyDescent="0.25">
      <c r="A598" t="s">
        <v>1152</v>
      </c>
      <c r="B598" t="s">
        <v>259</v>
      </c>
      <c r="C598" t="s">
        <v>260</v>
      </c>
      <c r="D598" t="s">
        <v>30</v>
      </c>
      <c r="E598" t="s">
        <v>261</v>
      </c>
      <c r="F598">
        <v>4500438932</v>
      </c>
      <c r="G598" t="s">
        <v>12</v>
      </c>
      <c r="H598" t="s">
        <v>262</v>
      </c>
      <c r="I598" t="s">
        <v>261</v>
      </c>
      <c r="J598" s="1">
        <v>68393.55</v>
      </c>
      <c r="K598" s="1">
        <v>68393.55</v>
      </c>
      <c r="L598" t="str">
        <f>IFERROR(IF(VLOOKUP(LEFT(B598,2),'Humanitarian codes'!$A$2:$A$10,1,FALSE)=LEFT(B598,2),"Yes","Error"),"No")</f>
        <v>Yes</v>
      </c>
      <c r="AE598" s="1"/>
      <c r="AF598" s="1"/>
    </row>
    <row r="599" spans="1:32" x14ac:dyDescent="0.25">
      <c r="A599" t="s">
        <v>1152</v>
      </c>
      <c r="B599" t="s">
        <v>259</v>
      </c>
      <c r="C599" t="s">
        <v>260</v>
      </c>
      <c r="D599" t="s">
        <v>30</v>
      </c>
      <c r="E599" t="s">
        <v>261</v>
      </c>
      <c r="F599">
        <v>4500449320</v>
      </c>
      <c r="G599" t="s">
        <v>12</v>
      </c>
      <c r="H599" t="s">
        <v>264</v>
      </c>
      <c r="I599" t="s">
        <v>261</v>
      </c>
      <c r="J599" s="1">
        <v>170385.02</v>
      </c>
      <c r="K599" s="1">
        <v>170385.02</v>
      </c>
      <c r="L599" t="str">
        <f>IFERROR(IF(VLOOKUP(LEFT(B599,2),'Humanitarian codes'!$A$2:$A$10,1,FALSE)=LEFT(B599,2),"Yes","Error"),"No")</f>
        <v>Yes</v>
      </c>
      <c r="AE599" s="1"/>
      <c r="AF599" s="1"/>
    </row>
    <row r="600" spans="1:32" x14ac:dyDescent="0.25">
      <c r="A600" t="s">
        <v>1152</v>
      </c>
      <c r="B600" t="s">
        <v>259</v>
      </c>
      <c r="C600" t="s">
        <v>260</v>
      </c>
      <c r="D600" t="s">
        <v>30</v>
      </c>
      <c r="E600" t="s">
        <v>261</v>
      </c>
      <c r="F600">
        <v>4500453024</v>
      </c>
      <c r="G600" t="s">
        <v>12</v>
      </c>
      <c r="H600" t="s">
        <v>835</v>
      </c>
      <c r="I600" t="s">
        <v>261</v>
      </c>
      <c r="J600" s="1">
        <v>175277.21</v>
      </c>
      <c r="K600" s="1">
        <v>181635.51</v>
      </c>
      <c r="L600" t="str">
        <f>IFERROR(IF(VLOOKUP(LEFT(B600,2),'Humanitarian codes'!$A$2:$A$10,1,FALSE)=LEFT(B600,2),"Yes","Error"),"No")</f>
        <v>Yes</v>
      </c>
      <c r="AE600" s="1"/>
      <c r="AF600" s="1"/>
    </row>
    <row r="601" spans="1:32" x14ac:dyDescent="0.25">
      <c r="A601" t="s">
        <v>1152</v>
      </c>
      <c r="B601" t="s">
        <v>282</v>
      </c>
      <c r="C601" t="s">
        <v>283</v>
      </c>
      <c r="D601" t="s">
        <v>30</v>
      </c>
      <c r="E601" t="s">
        <v>146</v>
      </c>
      <c r="F601">
        <v>4500450158</v>
      </c>
      <c r="G601" t="s">
        <v>12</v>
      </c>
      <c r="H601" t="s">
        <v>898</v>
      </c>
      <c r="I601" t="s">
        <v>146</v>
      </c>
      <c r="J601" s="1">
        <v>27819</v>
      </c>
      <c r="K601" s="1">
        <v>27819</v>
      </c>
      <c r="L601" t="str">
        <f>IFERROR(IF(VLOOKUP(LEFT(B601,2),'Humanitarian codes'!$A$2:$A$10,1,FALSE)=LEFT(B601,2),"Yes","Error"),"No")</f>
        <v>Yes</v>
      </c>
      <c r="AE601" s="1"/>
      <c r="AF601" s="1"/>
    </row>
    <row r="602" spans="1:32" x14ac:dyDescent="0.25">
      <c r="A602" t="s">
        <v>1152</v>
      </c>
      <c r="B602" t="s">
        <v>899</v>
      </c>
      <c r="C602" t="s">
        <v>900</v>
      </c>
      <c r="D602" t="s">
        <v>30</v>
      </c>
      <c r="E602" t="s">
        <v>20</v>
      </c>
      <c r="F602">
        <v>4500448576</v>
      </c>
      <c r="G602" t="s">
        <v>12</v>
      </c>
      <c r="H602" t="s">
        <v>901</v>
      </c>
      <c r="I602" t="s">
        <v>20</v>
      </c>
      <c r="J602" s="1">
        <v>276452.53999999998</v>
      </c>
      <c r="K602" s="1">
        <v>276452.53999999998</v>
      </c>
      <c r="L602" t="str">
        <f>IFERROR(IF(VLOOKUP(LEFT(B602,2),'Humanitarian codes'!$A$2:$A$10,1,FALSE)=LEFT(B602,2),"Yes","Error"),"No")</f>
        <v>Yes</v>
      </c>
      <c r="AE602" s="1"/>
      <c r="AF602" s="1"/>
    </row>
    <row r="603" spans="1:32" x14ac:dyDescent="0.25">
      <c r="A603" t="s">
        <v>1152</v>
      </c>
      <c r="B603" t="s">
        <v>899</v>
      </c>
      <c r="C603" t="s">
        <v>900</v>
      </c>
      <c r="D603" t="s">
        <v>30</v>
      </c>
      <c r="E603" t="s">
        <v>20</v>
      </c>
      <c r="F603">
        <v>4500448577</v>
      </c>
      <c r="G603" t="s">
        <v>12</v>
      </c>
      <c r="H603" t="s">
        <v>172</v>
      </c>
      <c r="I603" t="s">
        <v>20</v>
      </c>
      <c r="J603" s="1">
        <v>611234.06000000006</v>
      </c>
      <c r="K603" s="1">
        <v>611234.06000000006</v>
      </c>
      <c r="L603" t="str">
        <f>IFERROR(IF(VLOOKUP(LEFT(B603,2),'Humanitarian codes'!$A$2:$A$10,1,FALSE)=LEFT(B603,2),"Yes","Error"),"No")</f>
        <v>Yes</v>
      </c>
      <c r="AE603" s="1"/>
      <c r="AF603" s="1"/>
    </row>
    <row r="604" spans="1:32" x14ac:dyDescent="0.25">
      <c r="A604" t="s">
        <v>1152</v>
      </c>
      <c r="B604" t="s">
        <v>287</v>
      </c>
      <c r="C604" t="s">
        <v>288</v>
      </c>
      <c r="D604" t="s">
        <v>30</v>
      </c>
      <c r="E604" t="s">
        <v>289</v>
      </c>
      <c r="F604">
        <v>4500442858</v>
      </c>
      <c r="G604" t="s">
        <v>12</v>
      </c>
      <c r="H604" t="s">
        <v>373</v>
      </c>
      <c r="I604" t="s">
        <v>289</v>
      </c>
      <c r="J604" s="1">
        <v>32432.43</v>
      </c>
      <c r="K604" s="1">
        <v>32432.43</v>
      </c>
      <c r="L604" t="str">
        <f>IFERROR(IF(VLOOKUP(LEFT(B604,2),'Humanitarian codes'!$A$2:$A$10,1,FALSE)=LEFT(B604,2),"Yes","Error"),"No")</f>
        <v>Yes</v>
      </c>
      <c r="AE604" s="1"/>
      <c r="AF604" s="1"/>
    </row>
    <row r="605" spans="1:32" x14ac:dyDescent="0.25">
      <c r="A605" t="s">
        <v>1152</v>
      </c>
      <c r="B605" t="s">
        <v>287</v>
      </c>
      <c r="C605" t="s">
        <v>288</v>
      </c>
      <c r="D605" t="s">
        <v>30</v>
      </c>
      <c r="E605" t="s">
        <v>289</v>
      </c>
      <c r="F605">
        <v>4500448916</v>
      </c>
      <c r="G605" t="s">
        <v>12</v>
      </c>
      <c r="H605" t="s">
        <v>902</v>
      </c>
      <c r="I605" t="s">
        <v>289</v>
      </c>
      <c r="J605" s="1">
        <v>100000</v>
      </c>
      <c r="K605" s="1">
        <v>100000</v>
      </c>
      <c r="L605" t="str">
        <f>IFERROR(IF(VLOOKUP(LEFT(B605,2),'Humanitarian codes'!$A$2:$A$10,1,FALSE)=LEFT(B605,2),"Yes","Error"),"No")</f>
        <v>Yes</v>
      </c>
      <c r="AE605" s="1"/>
      <c r="AF605" s="1"/>
    </row>
    <row r="606" spans="1:32" x14ac:dyDescent="0.25">
      <c r="A606" t="s">
        <v>1152</v>
      </c>
      <c r="B606" t="s">
        <v>287</v>
      </c>
      <c r="C606" t="s">
        <v>288</v>
      </c>
      <c r="D606" t="s">
        <v>30</v>
      </c>
      <c r="E606" t="s">
        <v>903</v>
      </c>
      <c r="F606">
        <v>4500450280</v>
      </c>
      <c r="G606" t="s">
        <v>12</v>
      </c>
      <c r="H606" t="s">
        <v>80</v>
      </c>
      <c r="I606" t="s">
        <v>903</v>
      </c>
      <c r="J606" s="1">
        <v>51126.19</v>
      </c>
      <c r="K606" s="1">
        <v>51126.19</v>
      </c>
      <c r="L606" t="str">
        <f>IFERROR(IF(VLOOKUP(LEFT(B606,2),'Humanitarian codes'!$A$2:$A$10,1,FALSE)=LEFT(B606,2),"Yes","Error"),"No")</f>
        <v>Yes</v>
      </c>
      <c r="AE606" s="1"/>
      <c r="AF606" s="1"/>
    </row>
    <row r="607" spans="1:32" x14ac:dyDescent="0.25">
      <c r="A607" t="s">
        <v>1152</v>
      </c>
      <c r="B607" t="s">
        <v>287</v>
      </c>
      <c r="C607" t="s">
        <v>288</v>
      </c>
      <c r="D607" t="s">
        <v>30</v>
      </c>
      <c r="E607" t="s">
        <v>305</v>
      </c>
      <c r="F607">
        <v>4500442533</v>
      </c>
      <c r="G607" t="s">
        <v>12</v>
      </c>
      <c r="H607" t="s">
        <v>308</v>
      </c>
      <c r="I607" t="s">
        <v>305</v>
      </c>
      <c r="J607" s="1">
        <v>18915.509999999998</v>
      </c>
      <c r="K607" s="1">
        <v>18915.509999999998</v>
      </c>
      <c r="L607" t="str">
        <f>IFERROR(IF(VLOOKUP(LEFT(B607,2),'Humanitarian codes'!$A$2:$A$10,1,FALSE)=LEFT(B607,2),"Yes","Error"),"No")</f>
        <v>Yes</v>
      </c>
      <c r="AE607" s="1"/>
      <c r="AF607" s="1"/>
    </row>
    <row r="608" spans="1:32" x14ac:dyDescent="0.25">
      <c r="A608" t="s">
        <v>1152</v>
      </c>
      <c r="B608" t="s">
        <v>287</v>
      </c>
      <c r="C608" t="s">
        <v>288</v>
      </c>
      <c r="D608" t="s">
        <v>30</v>
      </c>
      <c r="E608" t="s">
        <v>305</v>
      </c>
      <c r="F608">
        <v>4500446083</v>
      </c>
      <c r="G608" t="s">
        <v>12</v>
      </c>
      <c r="H608" t="s">
        <v>310</v>
      </c>
      <c r="I608" t="s">
        <v>305</v>
      </c>
      <c r="J608" s="1">
        <v>110971</v>
      </c>
      <c r="K608" s="1">
        <v>110971</v>
      </c>
      <c r="L608" t="str">
        <f>IFERROR(IF(VLOOKUP(LEFT(B608,2),'Humanitarian codes'!$A$2:$A$10,1,FALSE)=LEFT(B608,2),"Yes","Error"),"No")</f>
        <v>Yes</v>
      </c>
      <c r="AE608" s="1"/>
      <c r="AF608" s="1"/>
    </row>
    <row r="609" spans="1:32" x14ac:dyDescent="0.25">
      <c r="A609" t="s">
        <v>1152</v>
      </c>
      <c r="B609" t="s">
        <v>287</v>
      </c>
      <c r="C609" t="s">
        <v>288</v>
      </c>
      <c r="D609" t="s">
        <v>30</v>
      </c>
      <c r="E609" t="s">
        <v>305</v>
      </c>
      <c r="F609">
        <v>4500446188</v>
      </c>
      <c r="G609" t="s">
        <v>12</v>
      </c>
      <c r="H609" t="s">
        <v>904</v>
      </c>
      <c r="I609" t="s">
        <v>305</v>
      </c>
      <c r="J609" s="1">
        <v>139960.65</v>
      </c>
      <c r="K609" s="1">
        <v>139960.65</v>
      </c>
      <c r="L609" t="str">
        <f>IFERROR(IF(VLOOKUP(LEFT(B609,2),'Humanitarian codes'!$A$2:$A$10,1,FALSE)=LEFT(B609,2),"Yes","Error"),"No")</f>
        <v>Yes</v>
      </c>
      <c r="AE609" s="1"/>
      <c r="AF609" s="1"/>
    </row>
    <row r="610" spans="1:32" x14ac:dyDescent="0.25">
      <c r="A610" t="s">
        <v>1152</v>
      </c>
      <c r="B610" t="s">
        <v>287</v>
      </c>
      <c r="C610" t="s">
        <v>288</v>
      </c>
      <c r="D610" t="s">
        <v>30</v>
      </c>
      <c r="E610" t="s">
        <v>305</v>
      </c>
      <c r="F610">
        <v>4500447363</v>
      </c>
      <c r="G610" t="s">
        <v>12</v>
      </c>
      <c r="H610" t="s">
        <v>905</v>
      </c>
      <c r="I610" t="s">
        <v>305</v>
      </c>
      <c r="J610" s="1">
        <v>300000</v>
      </c>
      <c r="K610" s="1">
        <v>300000</v>
      </c>
      <c r="L610" t="str">
        <f>IFERROR(IF(VLOOKUP(LEFT(B610,2),'Humanitarian codes'!$A$2:$A$10,1,FALSE)=LEFT(B610,2),"Yes","Error"),"No")</f>
        <v>Yes</v>
      </c>
      <c r="AE610" s="1"/>
      <c r="AF610" s="1"/>
    </row>
    <row r="611" spans="1:32" x14ac:dyDescent="0.25">
      <c r="A611" t="s">
        <v>1152</v>
      </c>
      <c r="B611" t="s">
        <v>287</v>
      </c>
      <c r="C611" t="s">
        <v>288</v>
      </c>
      <c r="D611" t="s">
        <v>30</v>
      </c>
      <c r="E611" t="s">
        <v>305</v>
      </c>
      <c r="F611">
        <v>4500447673</v>
      </c>
      <c r="G611" t="s">
        <v>12</v>
      </c>
      <c r="H611" t="s">
        <v>906</v>
      </c>
      <c r="I611" t="s">
        <v>305</v>
      </c>
      <c r="J611" s="1">
        <v>179514.2</v>
      </c>
      <c r="K611" s="1">
        <v>179514.2</v>
      </c>
      <c r="L611" t="str">
        <f>IFERROR(IF(VLOOKUP(LEFT(B611,2),'Humanitarian codes'!$A$2:$A$10,1,FALSE)=LEFT(B611,2),"Yes","Error"),"No")</f>
        <v>Yes</v>
      </c>
      <c r="AE611" s="1"/>
      <c r="AF611" s="1"/>
    </row>
    <row r="612" spans="1:32" x14ac:dyDescent="0.25">
      <c r="A612" t="s">
        <v>1152</v>
      </c>
      <c r="B612" t="s">
        <v>287</v>
      </c>
      <c r="C612" t="s">
        <v>288</v>
      </c>
      <c r="D612" t="s">
        <v>30</v>
      </c>
      <c r="E612" t="s">
        <v>305</v>
      </c>
      <c r="F612">
        <v>4500450353</v>
      </c>
      <c r="G612" t="s">
        <v>12</v>
      </c>
      <c r="H612" t="s">
        <v>907</v>
      </c>
      <c r="I612" t="s">
        <v>305</v>
      </c>
      <c r="J612" s="1">
        <v>83617.58</v>
      </c>
      <c r="K612" s="1">
        <v>83617.58</v>
      </c>
      <c r="L612" t="str">
        <f>IFERROR(IF(VLOOKUP(LEFT(B612,2),'Humanitarian codes'!$A$2:$A$10,1,FALSE)=LEFT(B612,2),"Yes","Error"),"No")</f>
        <v>Yes</v>
      </c>
      <c r="AE612" s="1"/>
      <c r="AF612" s="1"/>
    </row>
    <row r="613" spans="1:32" x14ac:dyDescent="0.25">
      <c r="A613" t="s">
        <v>1152</v>
      </c>
      <c r="B613" t="s">
        <v>287</v>
      </c>
      <c r="C613" t="s">
        <v>288</v>
      </c>
      <c r="D613" t="s">
        <v>30</v>
      </c>
      <c r="E613" t="s">
        <v>305</v>
      </c>
      <c r="F613">
        <v>4500450734</v>
      </c>
      <c r="G613" t="s">
        <v>12</v>
      </c>
      <c r="H613" t="s">
        <v>908</v>
      </c>
      <c r="I613" t="s">
        <v>305</v>
      </c>
      <c r="J613" s="1">
        <v>163720.93</v>
      </c>
      <c r="K613" s="1">
        <v>163720.93</v>
      </c>
      <c r="L613" t="str">
        <f>IFERROR(IF(VLOOKUP(LEFT(B613,2),'Humanitarian codes'!$A$2:$A$10,1,FALSE)=LEFT(B613,2),"Yes","Error"),"No")</f>
        <v>Yes</v>
      </c>
      <c r="AE613" s="1"/>
      <c r="AF613" s="1"/>
    </row>
    <row r="614" spans="1:32" x14ac:dyDescent="0.25">
      <c r="A614" t="s">
        <v>1152</v>
      </c>
      <c r="B614" t="s">
        <v>287</v>
      </c>
      <c r="C614" t="s">
        <v>288</v>
      </c>
      <c r="D614" t="s">
        <v>30</v>
      </c>
      <c r="E614" t="s">
        <v>909</v>
      </c>
      <c r="F614">
        <v>4500448742</v>
      </c>
      <c r="G614" t="s">
        <v>12</v>
      </c>
      <c r="H614" t="s">
        <v>910</v>
      </c>
      <c r="I614" t="s">
        <v>909</v>
      </c>
      <c r="J614" s="1">
        <v>50000</v>
      </c>
      <c r="K614" s="1">
        <v>50000</v>
      </c>
      <c r="L614" t="str">
        <f>IFERROR(IF(VLOOKUP(LEFT(B614,2),'Humanitarian codes'!$A$2:$A$10,1,FALSE)=LEFT(B614,2),"Yes","Error"),"No")</f>
        <v>Yes</v>
      </c>
      <c r="AE614" s="1"/>
      <c r="AF614" s="1"/>
    </row>
    <row r="615" spans="1:32" x14ac:dyDescent="0.25">
      <c r="A615" t="s">
        <v>1152</v>
      </c>
      <c r="B615" t="s">
        <v>287</v>
      </c>
      <c r="C615" t="s">
        <v>288</v>
      </c>
      <c r="D615" t="s">
        <v>30</v>
      </c>
      <c r="E615" t="s">
        <v>911</v>
      </c>
      <c r="F615">
        <v>4500453285</v>
      </c>
      <c r="G615" t="s">
        <v>12</v>
      </c>
      <c r="H615" t="s">
        <v>912</v>
      </c>
      <c r="I615" t="s">
        <v>911</v>
      </c>
      <c r="J615" s="1">
        <v>70465.63</v>
      </c>
      <c r="K615" s="1">
        <v>70465.63</v>
      </c>
      <c r="L615" t="str">
        <f>IFERROR(IF(VLOOKUP(LEFT(B615,2),'Humanitarian codes'!$A$2:$A$10,1,FALSE)=LEFT(B615,2),"Yes","Error"),"No")</f>
        <v>Yes</v>
      </c>
      <c r="AE615" s="1"/>
      <c r="AF615" s="1"/>
    </row>
    <row r="616" spans="1:32" x14ac:dyDescent="0.25">
      <c r="A616" t="s">
        <v>1152</v>
      </c>
      <c r="B616" t="s">
        <v>325</v>
      </c>
      <c r="C616" t="s">
        <v>326</v>
      </c>
      <c r="D616" t="s">
        <v>30</v>
      </c>
      <c r="E616" t="s">
        <v>45</v>
      </c>
      <c r="F616">
        <v>4500454447</v>
      </c>
      <c r="G616" t="s">
        <v>12</v>
      </c>
      <c r="H616" t="s">
        <v>668</v>
      </c>
      <c r="I616" t="s">
        <v>45</v>
      </c>
      <c r="J616" s="1">
        <v>30000</v>
      </c>
      <c r="K616" s="1">
        <v>197000</v>
      </c>
      <c r="L616" t="str">
        <f>IFERROR(IF(VLOOKUP(LEFT(B616,2),'Humanitarian codes'!$A$2:$A$10,1,FALSE)=LEFT(B616,2),"Yes","Error"),"No")</f>
        <v>Yes</v>
      </c>
      <c r="AE616" s="1"/>
      <c r="AF616" s="1"/>
    </row>
    <row r="617" spans="1:32" x14ac:dyDescent="0.25">
      <c r="A617" t="s">
        <v>1152</v>
      </c>
      <c r="B617" t="s">
        <v>913</v>
      </c>
      <c r="C617" t="s">
        <v>914</v>
      </c>
      <c r="D617" t="s">
        <v>30</v>
      </c>
      <c r="E617" t="s">
        <v>320</v>
      </c>
      <c r="F617">
        <v>4500441035</v>
      </c>
      <c r="G617" t="s">
        <v>12</v>
      </c>
      <c r="H617" t="s">
        <v>851</v>
      </c>
      <c r="I617" t="s">
        <v>320</v>
      </c>
      <c r="J617" s="1">
        <v>8460</v>
      </c>
      <c r="K617" s="1">
        <v>14460</v>
      </c>
      <c r="L617" t="str">
        <f>IFERROR(IF(VLOOKUP(LEFT(B617,2),'Humanitarian codes'!$A$2:$A$10,1,FALSE)=LEFT(B617,2),"Yes","Error"),"No")</f>
        <v>Yes</v>
      </c>
      <c r="AE617" s="1"/>
      <c r="AF617" s="1"/>
    </row>
    <row r="618" spans="1:32" x14ac:dyDescent="0.25">
      <c r="A618" t="s">
        <v>1152</v>
      </c>
      <c r="B618" t="s">
        <v>333</v>
      </c>
      <c r="C618" t="s">
        <v>915</v>
      </c>
      <c r="D618" t="s">
        <v>30</v>
      </c>
      <c r="E618" t="s">
        <v>146</v>
      </c>
      <c r="F618">
        <v>4500451487</v>
      </c>
      <c r="G618" t="s">
        <v>12</v>
      </c>
      <c r="H618" t="s">
        <v>916</v>
      </c>
      <c r="I618" t="s">
        <v>146</v>
      </c>
      <c r="J618" s="1">
        <v>1330543.22</v>
      </c>
      <c r="K618" s="1">
        <v>1330543.22</v>
      </c>
      <c r="L618" t="str">
        <f>IFERROR(IF(VLOOKUP(LEFT(B618,2),'Humanitarian codes'!$A$2:$A$10,1,FALSE)=LEFT(B618,2),"Yes","Error"),"No")</f>
        <v>Yes</v>
      </c>
      <c r="AE618" s="1"/>
      <c r="AF618" s="1"/>
    </row>
    <row r="619" spans="1:32" x14ac:dyDescent="0.25">
      <c r="A619" t="s">
        <v>1152</v>
      </c>
      <c r="B619" t="s">
        <v>917</v>
      </c>
      <c r="C619" t="s">
        <v>918</v>
      </c>
      <c r="D619" t="s">
        <v>30</v>
      </c>
      <c r="E619" t="s">
        <v>45</v>
      </c>
      <c r="F619">
        <v>4500454447</v>
      </c>
      <c r="G619" t="s">
        <v>12</v>
      </c>
      <c r="H619" t="s">
        <v>668</v>
      </c>
      <c r="I619" t="s">
        <v>45</v>
      </c>
      <c r="J619" s="1">
        <v>167000</v>
      </c>
      <c r="K619" s="1">
        <v>197000</v>
      </c>
      <c r="L619" t="str">
        <f>IFERROR(IF(VLOOKUP(LEFT(B619,2),'Humanitarian codes'!$A$2:$A$10,1,FALSE)=LEFT(B619,2),"Yes","Error"),"No")</f>
        <v>Yes</v>
      </c>
      <c r="AE619" s="1"/>
      <c r="AF619" s="1"/>
    </row>
    <row r="620" spans="1:32" hidden="1" x14ac:dyDescent="0.25">
      <c r="A620" t="s">
        <v>1152</v>
      </c>
      <c r="B620" t="s">
        <v>919</v>
      </c>
      <c r="C620" t="s">
        <v>920</v>
      </c>
      <c r="D620" t="s">
        <v>30</v>
      </c>
      <c r="E620" t="s">
        <v>72</v>
      </c>
      <c r="F620">
        <v>4500434031</v>
      </c>
      <c r="G620" t="s">
        <v>12</v>
      </c>
      <c r="H620" t="s">
        <v>921</v>
      </c>
      <c r="I620" t="s">
        <v>72</v>
      </c>
      <c r="J620" s="1">
        <v>112080</v>
      </c>
      <c r="K620" s="1">
        <v>112080</v>
      </c>
      <c r="L620" t="str">
        <f>IFERROR(IF(VLOOKUP(LEFT(B620,2),'Humanitarian codes'!$A$2:$A$10,1,FALSE)=LEFT(B620,2),"Yes","Error"),"No")</f>
        <v>No</v>
      </c>
      <c r="AE620" s="1"/>
      <c r="AF620" s="1"/>
    </row>
    <row r="621" spans="1:32" x14ac:dyDescent="0.25">
      <c r="A621" t="s">
        <v>1152</v>
      </c>
      <c r="B621" t="s">
        <v>922</v>
      </c>
      <c r="C621" t="s">
        <v>923</v>
      </c>
      <c r="D621" t="s">
        <v>9</v>
      </c>
      <c r="E621" t="s">
        <v>924</v>
      </c>
      <c r="F621">
        <v>4500433655</v>
      </c>
      <c r="G621" t="s">
        <v>12</v>
      </c>
      <c r="H621" t="s">
        <v>925</v>
      </c>
      <c r="I621" t="s">
        <v>924</v>
      </c>
      <c r="J621" s="1">
        <v>32000</v>
      </c>
      <c r="K621" s="1">
        <v>32000</v>
      </c>
      <c r="L621" t="str">
        <f>IFERROR(IF(VLOOKUP(LEFT(B621,2),'Humanitarian codes'!$A$2:$A$10,1,FALSE)=LEFT(B621,2),"Yes","Error"),"No")</f>
        <v>Yes</v>
      </c>
      <c r="AE621" s="1"/>
      <c r="AF621" s="1"/>
    </row>
    <row r="622" spans="1:32" hidden="1" x14ac:dyDescent="0.25">
      <c r="A622" t="s">
        <v>1152</v>
      </c>
      <c r="B622" t="s">
        <v>409</v>
      </c>
      <c r="C622" t="s">
        <v>410</v>
      </c>
      <c r="D622" t="s">
        <v>30</v>
      </c>
      <c r="E622" t="s">
        <v>146</v>
      </c>
      <c r="F622">
        <v>4500448899</v>
      </c>
      <c r="G622" t="s">
        <v>12</v>
      </c>
      <c r="H622" t="s">
        <v>898</v>
      </c>
      <c r="I622" t="s">
        <v>146</v>
      </c>
      <c r="J622" s="1">
        <v>1205187.21</v>
      </c>
      <c r="K622" s="1">
        <v>1205187.21</v>
      </c>
      <c r="L622" t="str">
        <f>IFERROR(IF(VLOOKUP(LEFT(B622,2),'Humanitarian codes'!$A$2:$A$10,1,FALSE)=LEFT(B622,2),"Yes","Error"),"No")</f>
        <v>No</v>
      </c>
      <c r="AE622" s="1"/>
      <c r="AF622" s="1"/>
    </row>
    <row r="623" spans="1:32" hidden="1" x14ac:dyDescent="0.25">
      <c r="A623" t="s">
        <v>1152</v>
      </c>
      <c r="B623" t="s">
        <v>413</v>
      </c>
      <c r="C623" t="s">
        <v>414</v>
      </c>
      <c r="D623" t="s">
        <v>30</v>
      </c>
      <c r="E623" t="s">
        <v>320</v>
      </c>
      <c r="F623">
        <v>4500435672</v>
      </c>
      <c r="G623" t="s">
        <v>12</v>
      </c>
      <c r="H623" t="s">
        <v>926</v>
      </c>
      <c r="I623" t="s">
        <v>320</v>
      </c>
      <c r="J623" s="1">
        <v>63494</v>
      </c>
      <c r="K623" s="1">
        <v>63494</v>
      </c>
      <c r="L623" t="str">
        <f>IFERROR(IF(VLOOKUP(LEFT(B623,2),'Humanitarian codes'!$A$2:$A$10,1,FALSE)=LEFT(B623,2),"Yes","Error"),"No")</f>
        <v>No</v>
      </c>
      <c r="AE623" s="1"/>
      <c r="AF623" s="1"/>
    </row>
    <row r="624" spans="1:32" hidden="1" x14ac:dyDescent="0.25">
      <c r="A624" t="s">
        <v>1152</v>
      </c>
      <c r="B624" t="s">
        <v>927</v>
      </c>
      <c r="C624" t="s">
        <v>928</v>
      </c>
      <c r="D624" t="s">
        <v>30</v>
      </c>
      <c r="E624" t="s">
        <v>128</v>
      </c>
      <c r="F624">
        <v>4500435145</v>
      </c>
      <c r="G624" t="s">
        <v>12</v>
      </c>
      <c r="H624" t="s">
        <v>929</v>
      </c>
      <c r="I624" t="s">
        <v>128</v>
      </c>
      <c r="J624" s="1">
        <v>30000</v>
      </c>
      <c r="K624" s="1">
        <v>30000</v>
      </c>
      <c r="L624" t="str">
        <f>IFERROR(IF(VLOOKUP(LEFT(B624,2),'Humanitarian codes'!$A$2:$A$10,1,FALSE)=LEFT(B624,2),"Yes","Error"),"No")</f>
        <v>No</v>
      </c>
      <c r="AE624" s="1"/>
      <c r="AF624" s="1"/>
    </row>
    <row r="625" spans="1:32" hidden="1" x14ac:dyDescent="0.25">
      <c r="A625" t="s">
        <v>1152</v>
      </c>
      <c r="B625" t="s">
        <v>416</v>
      </c>
      <c r="C625" t="s">
        <v>417</v>
      </c>
      <c r="D625" t="s">
        <v>30</v>
      </c>
      <c r="E625" t="s">
        <v>54</v>
      </c>
      <c r="F625">
        <v>4500437339</v>
      </c>
      <c r="G625" t="s">
        <v>12</v>
      </c>
      <c r="H625" t="s">
        <v>930</v>
      </c>
      <c r="I625" t="s">
        <v>54</v>
      </c>
      <c r="J625" s="1">
        <v>96761.08</v>
      </c>
      <c r="K625" s="1">
        <v>96761.08</v>
      </c>
      <c r="L625" t="str">
        <f>IFERROR(IF(VLOOKUP(LEFT(B625,2),'Humanitarian codes'!$A$2:$A$10,1,FALSE)=LEFT(B625,2),"Yes","Error"),"No")</f>
        <v>No</v>
      </c>
      <c r="AE625" s="1"/>
      <c r="AF625" s="1"/>
    </row>
    <row r="626" spans="1:32" hidden="1" x14ac:dyDescent="0.25">
      <c r="A626" t="s">
        <v>1152</v>
      </c>
      <c r="B626" t="s">
        <v>416</v>
      </c>
      <c r="C626" t="s">
        <v>417</v>
      </c>
      <c r="D626" t="s">
        <v>30</v>
      </c>
      <c r="E626" t="s">
        <v>54</v>
      </c>
      <c r="F626">
        <v>4500438811</v>
      </c>
      <c r="G626" t="s">
        <v>12</v>
      </c>
      <c r="H626" t="s">
        <v>931</v>
      </c>
      <c r="I626" t="s">
        <v>54</v>
      </c>
      <c r="J626" s="1">
        <v>207759.04</v>
      </c>
      <c r="K626" s="1">
        <v>207759.04</v>
      </c>
      <c r="L626" t="str">
        <f>IFERROR(IF(VLOOKUP(LEFT(B626,2),'Humanitarian codes'!$A$2:$A$10,1,FALSE)=LEFT(B626,2),"Yes","Error"),"No")</f>
        <v>No</v>
      </c>
      <c r="AE626" s="1"/>
      <c r="AF626" s="1"/>
    </row>
    <row r="627" spans="1:32" hidden="1" x14ac:dyDescent="0.25">
      <c r="A627" t="s">
        <v>1152</v>
      </c>
      <c r="B627" t="s">
        <v>419</v>
      </c>
      <c r="C627" t="s">
        <v>420</v>
      </c>
      <c r="D627" t="s">
        <v>30</v>
      </c>
      <c r="E627" t="s">
        <v>257</v>
      </c>
      <c r="F627">
        <v>4500451226</v>
      </c>
      <c r="G627" t="s">
        <v>12</v>
      </c>
      <c r="H627" t="s">
        <v>258</v>
      </c>
      <c r="I627" t="s">
        <v>257</v>
      </c>
      <c r="J627" s="1">
        <v>83334.45</v>
      </c>
      <c r="K627" s="1">
        <v>83334.45</v>
      </c>
      <c r="L627" t="str">
        <f>IFERROR(IF(VLOOKUP(LEFT(B627,2),'Humanitarian codes'!$A$2:$A$10,1,FALSE)=LEFT(B627,2),"Yes","Error"),"No")</f>
        <v>No</v>
      </c>
      <c r="AE627" s="1"/>
      <c r="AF627" s="1"/>
    </row>
    <row r="628" spans="1:32" hidden="1" x14ac:dyDescent="0.25">
      <c r="A628" t="s">
        <v>1152</v>
      </c>
      <c r="B628" t="s">
        <v>425</v>
      </c>
      <c r="C628" t="s">
        <v>426</v>
      </c>
      <c r="D628" t="s">
        <v>30</v>
      </c>
      <c r="E628" t="s">
        <v>814</v>
      </c>
      <c r="F628">
        <v>4500438793</v>
      </c>
      <c r="G628" t="s">
        <v>12</v>
      </c>
      <c r="H628" t="s">
        <v>112</v>
      </c>
      <c r="I628" t="s">
        <v>814</v>
      </c>
      <c r="J628" s="1">
        <v>29666.26</v>
      </c>
      <c r="K628" s="1">
        <v>29666.26</v>
      </c>
      <c r="L628" t="str">
        <f>IFERROR(IF(VLOOKUP(LEFT(B628,2),'Humanitarian codes'!$A$2:$A$10,1,FALSE)=LEFT(B628,2),"Yes","Error"),"No")</f>
        <v>No</v>
      </c>
      <c r="AE628" s="1"/>
      <c r="AF628" s="1"/>
    </row>
    <row r="629" spans="1:32" hidden="1" x14ac:dyDescent="0.25">
      <c r="A629" t="s">
        <v>1152</v>
      </c>
      <c r="B629" t="s">
        <v>932</v>
      </c>
      <c r="C629" t="s">
        <v>933</v>
      </c>
      <c r="D629" t="s">
        <v>30</v>
      </c>
      <c r="E629" t="s">
        <v>253</v>
      </c>
      <c r="F629">
        <v>4500449921</v>
      </c>
      <c r="G629" t="s">
        <v>12</v>
      </c>
      <c r="H629" t="s">
        <v>156</v>
      </c>
      <c r="I629" t="s">
        <v>184</v>
      </c>
      <c r="J629" s="1">
        <v>256500</v>
      </c>
      <c r="K629" s="1">
        <v>256500</v>
      </c>
      <c r="L629" t="str">
        <f>IFERROR(IF(VLOOKUP(LEFT(B629,2),'Humanitarian codes'!$A$2:$A$10,1,FALSE)=LEFT(B629,2),"Yes","Error"),"No")</f>
        <v>No</v>
      </c>
      <c r="AE629" s="1"/>
      <c r="AF629" s="1"/>
    </row>
    <row r="630" spans="1:32" x14ac:dyDescent="0.25">
      <c r="A630" t="s">
        <v>1152</v>
      </c>
      <c r="B630" t="s">
        <v>934</v>
      </c>
      <c r="C630" t="s">
        <v>935</v>
      </c>
      <c r="D630" t="s">
        <v>30</v>
      </c>
      <c r="E630" t="s">
        <v>936</v>
      </c>
      <c r="F630">
        <v>4500431885</v>
      </c>
      <c r="G630" t="s">
        <v>12</v>
      </c>
      <c r="H630" t="s">
        <v>937</v>
      </c>
      <c r="I630" t="s">
        <v>936</v>
      </c>
      <c r="J630" s="1">
        <v>50000</v>
      </c>
      <c r="K630" s="1">
        <v>50000</v>
      </c>
      <c r="L630" t="str">
        <f>IFERROR(IF(VLOOKUP(LEFT(B630,2),'Humanitarian codes'!$A$2:$A$10,1,FALSE)=LEFT(B630,2),"Yes","Error"),"No")</f>
        <v>Yes</v>
      </c>
      <c r="AE630" s="1"/>
      <c r="AF630" s="1"/>
    </row>
    <row r="631" spans="1:32" hidden="1" x14ac:dyDescent="0.25">
      <c r="A631" t="s">
        <v>1152</v>
      </c>
      <c r="B631" t="s">
        <v>938</v>
      </c>
      <c r="C631" t="s">
        <v>939</v>
      </c>
      <c r="D631" t="s">
        <v>30</v>
      </c>
      <c r="E631" t="s">
        <v>940</v>
      </c>
      <c r="F631">
        <v>4500432821</v>
      </c>
      <c r="G631" t="s">
        <v>12</v>
      </c>
      <c r="H631" t="s">
        <v>941</v>
      </c>
      <c r="I631" t="s">
        <v>940</v>
      </c>
      <c r="J631" s="1">
        <v>129678.17</v>
      </c>
      <c r="K631" s="1">
        <v>129678.17</v>
      </c>
      <c r="L631" t="str">
        <f>IFERROR(IF(VLOOKUP(LEFT(B631,2),'Humanitarian codes'!$A$2:$A$10,1,FALSE)=LEFT(B631,2),"Yes","Error"),"No")</f>
        <v>No</v>
      </c>
      <c r="AE631" s="1"/>
      <c r="AF631" s="1"/>
    </row>
    <row r="632" spans="1:32" hidden="1" x14ac:dyDescent="0.25">
      <c r="A632" t="s">
        <v>1152</v>
      </c>
      <c r="B632" t="s">
        <v>938</v>
      </c>
      <c r="C632" t="s">
        <v>939</v>
      </c>
      <c r="D632" t="s">
        <v>30</v>
      </c>
      <c r="E632" t="s">
        <v>940</v>
      </c>
      <c r="F632">
        <v>4500432834</v>
      </c>
      <c r="G632" t="s">
        <v>12</v>
      </c>
      <c r="H632" t="s">
        <v>942</v>
      </c>
      <c r="I632" t="s">
        <v>940</v>
      </c>
      <c r="J632" s="1">
        <v>302087.59000000003</v>
      </c>
      <c r="K632" s="1">
        <v>302087.59000000003</v>
      </c>
      <c r="L632" t="str">
        <f>IFERROR(IF(VLOOKUP(LEFT(B632,2),'Humanitarian codes'!$A$2:$A$10,1,FALSE)=LEFT(B632,2),"Yes","Error"),"No")</f>
        <v>No</v>
      </c>
      <c r="AE632" s="1"/>
      <c r="AF632" s="1"/>
    </row>
    <row r="633" spans="1:32" hidden="1" x14ac:dyDescent="0.25">
      <c r="A633" t="s">
        <v>1152</v>
      </c>
      <c r="B633" t="s">
        <v>938</v>
      </c>
      <c r="C633" t="s">
        <v>939</v>
      </c>
      <c r="D633" t="s">
        <v>30</v>
      </c>
      <c r="E633" t="s">
        <v>940</v>
      </c>
      <c r="F633">
        <v>4500433539</v>
      </c>
      <c r="G633" t="s">
        <v>12</v>
      </c>
      <c r="H633" t="s">
        <v>943</v>
      </c>
      <c r="I633" t="s">
        <v>940</v>
      </c>
      <c r="J633" s="1">
        <v>67700</v>
      </c>
      <c r="K633" s="1">
        <v>67700</v>
      </c>
      <c r="L633" t="str">
        <f>IFERROR(IF(VLOOKUP(LEFT(B633,2),'Humanitarian codes'!$A$2:$A$10,1,FALSE)=LEFT(B633,2),"Yes","Error"),"No")</f>
        <v>No</v>
      </c>
      <c r="AE633" s="1"/>
      <c r="AF633" s="1"/>
    </row>
    <row r="634" spans="1:32" hidden="1" x14ac:dyDescent="0.25">
      <c r="A634" t="s">
        <v>1152</v>
      </c>
      <c r="B634" t="s">
        <v>938</v>
      </c>
      <c r="C634" t="s">
        <v>939</v>
      </c>
      <c r="D634" t="s">
        <v>30</v>
      </c>
      <c r="E634" t="s">
        <v>940</v>
      </c>
      <c r="F634">
        <v>4500433552</v>
      </c>
      <c r="G634" t="s">
        <v>12</v>
      </c>
      <c r="H634" t="s">
        <v>944</v>
      </c>
      <c r="I634" t="s">
        <v>940</v>
      </c>
      <c r="J634" s="1">
        <v>129650</v>
      </c>
      <c r="K634" s="1">
        <v>129650</v>
      </c>
      <c r="L634" t="str">
        <f>IFERROR(IF(VLOOKUP(LEFT(B634,2),'Humanitarian codes'!$A$2:$A$10,1,FALSE)=LEFT(B634,2),"Yes","Error"),"No")</f>
        <v>No</v>
      </c>
      <c r="AE634" s="1"/>
      <c r="AF634" s="1"/>
    </row>
    <row r="635" spans="1:32" hidden="1" x14ac:dyDescent="0.25">
      <c r="A635" t="s">
        <v>1152</v>
      </c>
      <c r="B635" t="s">
        <v>938</v>
      </c>
      <c r="C635" t="s">
        <v>939</v>
      </c>
      <c r="D635" t="s">
        <v>30</v>
      </c>
      <c r="E635" t="s">
        <v>940</v>
      </c>
      <c r="F635">
        <v>4500434104</v>
      </c>
      <c r="G635" t="s">
        <v>12</v>
      </c>
      <c r="H635" t="s">
        <v>945</v>
      </c>
      <c r="I635" t="s">
        <v>940</v>
      </c>
      <c r="J635" s="1">
        <v>221200</v>
      </c>
      <c r="K635" s="1">
        <v>221200</v>
      </c>
      <c r="L635" t="str">
        <f>IFERROR(IF(VLOOKUP(LEFT(B635,2),'Humanitarian codes'!$A$2:$A$10,1,FALSE)=LEFT(B635,2),"Yes","Error"),"No")</f>
        <v>No</v>
      </c>
      <c r="AE635" s="1"/>
      <c r="AF635" s="1"/>
    </row>
    <row r="636" spans="1:32" hidden="1" x14ac:dyDescent="0.25">
      <c r="A636" t="s">
        <v>1152</v>
      </c>
      <c r="B636" t="s">
        <v>938</v>
      </c>
      <c r="C636" t="s">
        <v>939</v>
      </c>
      <c r="D636" t="s">
        <v>30</v>
      </c>
      <c r="E636" t="s">
        <v>940</v>
      </c>
      <c r="F636">
        <v>4500435466</v>
      </c>
      <c r="G636" t="s">
        <v>12</v>
      </c>
      <c r="H636" t="s">
        <v>946</v>
      </c>
      <c r="I636" t="s">
        <v>940</v>
      </c>
      <c r="J636" s="1">
        <v>50750</v>
      </c>
      <c r="K636" s="1">
        <v>50750</v>
      </c>
      <c r="L636" t="str">
        <f>IFERROR(IF(VLOOKUP(LEFT(B636,2),'Humanitarian codes'!$A$2:$A$10,1,FALSE)=LEFT(B636,2),"Yes","Error"),"No")</f>
        <v>No</v>
      </c>
      <c r="AE636" s="1"/>
      <c r="AF636" s="1"/>
    </row>
    <row r="637" spans="1:32" hidden="1" x14ac:dyDescent="0.25">
      <c r="A637" t="s">
        <v>1152</v>
      </c>
      <c r="B637" t="s">
        <v>938</v>
      </c>
      <c r="C637" t="s">
        <v>939</v>
      </c>
      <c r="D637" t="s">
        <v>30</v>
      </c>
      <c r="E637" t="s">
        <v>940</v>
      </c>
      <c r="F637">
        <v>4500435482</v>
      </c>
      <c r="G637" t="s">
        <v>12</v>
      </c>
      <c r="H637" t="s">
        <v>947</v>
      </c>
      <c r="I637" t="s">
        <v>940</v>
      </c>
      <c r="J637" s="1">
        <v>50750</v>
      </c>
      <c r="K637" s="1">
        <v>50750</v>
      </c>
      <c r="L637" t="str">
        <f>IFERROR(IF(VLOOKUP(LEFT(B637,2),'Humanitarian codes'!$A$2:$A$10,1,FALSE)=LEFT(B637,2),"Yes","Error"),"No")</f>
        <v>No</v>
      </c>
      <c r="AE637" s="1"/>
      <c r="AF637" s="1"/>
    </row>
    <row r="638" spans="1:32" hidden="1" x14ac:dyDescent="0.25">
      <c r="A638" t="s">
        <v>1152</v>
      </c>
      <c r="B638" t="s">
        <v>948</v>
      </c>
      <c r="C638" t="s">
        <v>949</v>
      </c>
      <c r="D638" t="s">
        <v>543</v>
      </c>
      <c r="E638" t="s">
        <v>903</v>
      </c>
      <c r="F638">
        <v>4500447310</v>
      </c>
      <c r="G638" t="s">
        <v>12</v>
      </c>
      <c r="H638" t="s">
        <v>950</v>
      </c>
      <c r="I638" t="s">
        <v>903</v>
      </c>
      <c r="J638" s="1">
        <v>7218.51</v>
      </c>
      <c r="K638" s="1">
        <v>60154.25</v>
      </c>
      <c r="L638" t="str">
        <f>IFERROR(IF(VLOOKUP(LEFT(B638,2),'Humanitarian codes'!$A$2:$A$10,1,FALSE)=LEFT(B638,2),"Yes","Error"),"No")</f>
        <v>No</v>
      </c>
      <c r="AE638" s="1"/>
      <c r="AF638" s="1"/>
    </row>
    <row r="639" spans="1:32" hidden="1" x14ac:dyDescent="0.25">
      <c r="A639" t="s">
        <v>1152</v>
      </c>
      <c r="B639" t="s">
        <v>951</v>
      </c>
      <c r="C639" t="s">
        <v>952</v>
      </c>
      <c r="D639" t="s">
        <v>543</v>
      </c>
      <c r="E639" t="s">
        <v>953</v>
      </c>
      <c r="F639">
        <v>4500436502</v>
      </c>
      <c r="G639" t="s">
        <v>12</v>
      </c>
      <c r="H639" t="s">
        <v>954</v>
      </c>
      <c r="I639" t="s">
        <v>616</v>
      </c>
      <c r="J639" s="1">
        <v>697972.12</v>
      </c>
      <c r="K639" s="1">
        <v>697972.12</v>
      </c>
      <c r="L639" t="str">
        <f>IFERROR(IF(VLOOKUP(LEFT(B639,2),'Humanitarian codes'!$A$2:$A$10,1,FALSE)=LEFT(B639,2),"Yes","Error"),"No")</f>
        <v>No</v>
      </c>
      <c r="AE639" s="1"/>
      <c r="AF639" s="1"/>
    </row>
    <row r="640" spans="1:32" hidden="1" x14ac:dyDescent="0.25">
      <c r="A640" t="s">
        <v>1152</v>
      </c>
      <c r="B640" t="s">
        <v>465</v>
      </c>
      <c r="C640" t="s">
        <v>467</v>
      </c>
      <c r="D640" t="s">
        <v>466</v>
      </c>
      <c r="E640" t="s">
        <v>210</v>
      </c>
      <c r="F640">
        <v>4500434785</v>
      </c>
      <c r="G640" t="s">
        <v>12</v>
      </c>
      <c r="H640" t="s">
        <v>215</v>
      </c>
      <c r="I640" t="s">
        <v>210</v>
      </c>
      <c r="J640" s="1">
        <v>90675.839999999997</v>
      </c>
      <c r="K640" s="1">
        <v>90675.839999999997</v>
      </c>
      <c r="L640" t="str">
        <f>IFERROR(IF(VLOOKUP(LEFT(B640,2),'Humanitarian codes'!$A$2:$A$10,1,FALSE)=LEFT(B640,2),"Yes","Error"),"No")</f>
        <v>No</v>
      </c>
      <c r="AE640" s="1"/>
      <c r="AF640" s="1"/>
    </row>
    <row r="641" spans="1:32" hidden="1" x14ac:dyDescent="0.25">
      <c r="A641" t="s">
        <v>1152</v>
      </c>
      <c r="B641" t="s">
        <v>465</v>
      </c>
      <c r="C641" t="s">
        <v>467</v>
      </c>
      <c r="D641" t="s">
        <v>466</v>
      </c>
      <c r="E641" t="s">
        <v>210</v>
      </c>
      <c r="F641">
        <v>4500440809</v>
      </c>
      <c r="G641" t="s">
        <v>12</v>
      </c>
      <c r="H641" t="s">
        <v>955</v>
      </c>
      <c r="I641" t="s">
        <v>210</v>
      </c>
      <c r="J641" s="1">
        <v>20000</v>
      </c>
      <c r="K641" s="1">
        <v>20000</v>
      </c>
      <c r="L641" t="str">
        <f>IFERROR(IF(VLOOKUP(LEFT(B641,2),'Humanitarian codes'!$A$2:$A$10,1,FALSE)=LEFT(B641,2),"Yes","Error"),"No")</f>
        <v>No</v>
      </c>
      <c r="AE641" s="1"/>
      <c r="AF641" s="1"/>
    </row>
    <row r="642" spans="1:32" hidden="1" x14ac:dyDescent="0.25">
      <c r="A642" t="s">
        <v>1152</v>
      </c>
      <c r="B642" t="s">
        <v>956</v>
      </c>
      <c r="C642" t="s">
        <v>957</v>
      </c>
      <c r="D642" t="s">
        <v>466</v>
      </c>
      <c r="E642" t="s">
        <v>958</v>
      </c>
      <c r="F642">
        <v>4500448341</v>
      </c>
      <c r="G642" t="s">
        <v>12</v>
      </c>
      <c r="H642" t="s">
        <v>959</v>
      </c>
      <c r="I642" t="s">
        <v>509</v>
      </c>
      <c r="J642" s="1">
        <v>52878.39</v>
      </c>
      <c r="K642" s="1">
        <v>52878.39</v>
      </c>
      <c r="L642" t="str">
        <f>IFERROR(IF(VLOOKUP(LEFT(B642,2),'Humanitarian codes'!$A$2:$A$10,1,FALSE)=LEFT(B642,2),"Yes","Error"),"No")</f>
        <v>No</v>
      </c>
      <c r="AE642" s="1"/>
      <c r="AF642" s="1"/>
    </row>
    <row r="643" spans="1:32" hidden="1" x14ac:dyDescent="0.25">
      <c r="A643" t="s">
        <v>1152</v>
      </c>
      <c r="B643" t="s">
        <v>472</v>
      </c>
      <c r="C643" t="s">
        <v>473</v>
      </c>
      <c r="D643" t="s">
        <v>466</v>
      </c>
      <c r="E643" t="s">
        <v>150</v>
      </c>
      <c r="F643">
        <v>4500434410</v>
      </c>
      <c r="G643" t="s">
        <v>12</v>
      </c>
      <c r="H643" t="s">
        <v>960</v>
      </c>
      <c r="I643" t="s">
        <v>150</v>
      </c>
      <c r="J643" s="1">
        <v>215951.98</v>
      </c>
      <c r="K643" s="1">
        <v>215951.98</v>
      </c>
      <c r="L643" t="str">
        <f>IFERROR(IF(VLOOKUP(LEFT(B643,2),'Humanitarian codes'!$A$2:$A$10,1,FALSE)=LEFT(B643,2),"Yes","Error"),"No")</f>
        <v>No</v>
      </c>
      <c r="AE643" s="1"/>
      <c r="AF643" s="1"/>
    </row>
    <row r="644" spans="1:32" hidden="1" x14ac:dyDescent="0.25">
      <c r="A644" t="s">
        <v>1152</v>
      </c>
      <c r="B644" t="s">
        <v>472</v>
      </c>
      <c r="C644" t="s">
        <v>473</v>
      </c>
      <c r="D644" t="s">
        <v>466</v>
      </c>
      <c r="E644" t="s">
        <v>150</v>
      </c>
      <c r="F644">
        <v>4500447915</v>
      </c>
      <c r="G644" t="s">
        <v>12</v>
      </c>
      <c r="H644" t="s">
        <v>960</v>
      </c>
      <c r="I644" t="s">
        <v>150</v>
      </c>
      <c r="J644" s="1">
        <v>40774.25</v>
      </c>
      <c r="K644" s="1">
        <v>40774.25</v>
      </c>
      <c r="L644" t="str">
        <f>IFERROR(IF(VLOOKUP(LEFT(B644,2),'Humanitarian codes'!$A$2:$A$10,1,FALSE)=LEFT(B644,2),"Yes","Error"),"No")</f>
        <v>No</v>
      </c>
      <c r="AE644" s="1"/>
      <c r="AF644" s="1"/>
    </row>
    <row r="645" spans="1:32" hidden="1" x14ac:dyDescent="0.25">
      <c r="A645" t="s">
        <v>1152</v>
      </c>
      <c r="B645" t="s">
        <v>472</v>
      </c>
      <c r="C645" t="s">
        <v>473</v>
      </c>
      <c r="D645" t="s">
        <v>466</v>
      </c>
      <c r="E645" t="s">
        <v>477</v>
      </c>
      <c r="F645">
        <v>4500437303</v>
      </c>
      <c r="G645" t="s">
        <v>12</v>
      </c>
      <c r="H645" t="s">
        <v>478</v>
      </c>
      <c r="I645" t="s">
        <v>477</v>
      </c>
      <c r="J645" s="1">
        <v>27625.35</v>
      </c>
      <c r="K645" s="1">
        <v>27625.35</v>
      </c>
      <c r="L645" t="str">
        <f>IFERROR(IF(VLOOKUP(LEFT(B645,2),'Humanitarian codes'!$A$2:$A$10,1,FALSE)=LEFT(B645,2),"Yes","Error"),"No")</f>
        <v>No</v>
      </c>
      <c r="AE645" s="1"/>
      <c r="AF645" s="1"/>
    </row>
    <row r="646" spans="1:32" hidden="1" x14ac:dyDescent="0.25">
      <c r="A646" t="s">
        <v>1152</v>
      </c>
      <c r="B646" t="s">
        <v>472</v>
      </c>
      <c r="C646" t="s">
        <v>473</v>
      </c>
      <c r="D646" t="s">
        <v>466</v>
      </c>
      <c r="E646" t="s">
        <v>477</v>
      </c>
      <c r="F646">
        <v>4500439246</v>
      </c>
      <c r="G646" t="s">
        <v>12</v>
      </c>
      <c r="H646" t="s">
        <v>961</v>
      </c>
      <c r="I646" t="s">
        <v>477</v>
      </c>
      <c r="J646" s="1">
        <v>22730.1</v>
      </c>
      <c r="K646" s="1">
        <v>22730.1</v>
      </c>
      <c r="L646" t="str">
        <f>IFERROR(IF(VLOOKUP(LEFT(B646,2),'Humanitarian codes'!$A$2:$A$10,1,FALSE)=LEFT(B646,2),"Yes","Error"),"No")</f>
        <v>No</v>
      </c>
      <c r="AE646" s="1"/>
      <c r="AF646" s="1"/>
    </row>
    <row r="647" spans="1:32" hidden="1" x14ac:dyDescent="0.25">
      <c r="A647" t="s">
        <v>1152</v>
      </c>
      <c r="B647" t="s">
        <v>472</v>
      </c>
      <c r="C647" t="s">
        <v>473</v>
      </c>
      <c r="D647" t="s">
        <v>466</v>
      </c>
      <c r="E647" t="s">
        <v>477</v>
      </c>
      <c r="F647">
        <v>4500437306</v>
      </c>
      <c r="G647" t="s">
        <v>12</v>
      </c>
      <c r="H647" t="s">
        <v>744</v>
      </c>
      <c r="I647" t="s">
        <v>477</v>
      </c>
      <c r="J647" s="1">
        <v>26102.06</v>
      </c>
      <c r="K647" s="1">
        <v>26102.06</v>
      </c>
      <c r="L647" t="str">
        <f>IFERROR(IF(VLOOKUP(LEFT(B647,2),'Humanitarian codes'!$A$2:$A$10,1,FALSE)=LEFT(B647,2),"Yes","Error"),"No")</f>
        <v>No</v>
      </c>
      <c r="AE647" s="1"/>
      <c r="AF647" s="1"/>
    </row>
    <row r="648" spans="1:32" hidden="1" x14ac:dyDescent="0.25">
      <c r="A648" t="s">
        <v>1152</v>
      </c>
      <c r="B648" t="s">
        <v>472</v>
      </c>
      <c r="C648" t="s">
        <v>473</v>
      </c>
      <c r="D648" t="s">
        <v>466</v>
      </c>
      <c r="E648" t="s">
        <v>477</v>
      </c>
      <c r="F648">
        <v>4500439247</v>
      </c>
      <c r="G648" t="s">
        <v>12</v>
      </c>
      <c r="H648" t="s">
        <v>962</v>
      </c>
      <c r="I648" t="s">
        <v>477</v>
      </c>
      <c r="J648" s="1">
        <v>24487.85</v>
      </c>
      <c r="K648" s="1">
        <v>24487.85</v>
      </c>
      <c r="L648" t="str">
        <f>IFERROR(IF(VLOOKUP(LEFT(B648,2),'Humanitarian codes'!$A$2:$A$10,1,FALSE)=LEFT(B648,2),"Yes","Error"),"No")</f>
        <v>No</v>
      </c>
      <c r="AE648" s="1"/>
      <c r="AF648" s="1"/>
    </row>
    <row r="649" spans="1:32" hidden="1" x14ac:dyDescent="0.25">
      <c r="A649" t="s">
        <v>1152</v>
      </c>
      <c r="B649" t="s">
        <v>472</v>
      </c>
      <c r="C649" t="s">
        <v>473</v>
      </c>
      <c r="D649" t="s">
        <v>466</v>
      </c>
      <c r="E649" t="s">
        <v>64</v>
      </c>
      <c r="F649">
        <v>4500449928</v>
      </c>
      <c r="G649" t="s">
        <v>12</v>
      </c>
      <c r="H649" t="s">
        <v>963</v>
      </c>
      <c r="I649" t="s">
        <v>64</v>
      </c>
      <c r="J649" s="1">
        <v>122965.9</v>
      </c>
      <c r="K649" s="1">
        <v>122965.9</v>
      </c>
      <c r="L649" t="str">
        <f>IFERROR(IF(VLOOKUP(LEFT(B649,2),'Humanitarian codes'!$A$2:$A$10,1,FALSE)=LEFT(B649,2),"Yes","Error"),"No")</f>
        <v>No</v>
      </c>
      <c r="AE649" s="1"/>
      <c r="AF649" s="1"/>
    </row>
    <row r="650" spans="1:32" hidden="1" x14ac:dyDescent="0.25">
      <c r="A650" t="s">
        <v>1152</v>
      </c>
      <c r="B650" t="s">
        <v>964</v>
      </c>
      <c r="C650" t="s">
        <v>965</v>
      </c>
      <c r="D650" t="s">
        <v>466</v>
      </c>
      <c r="E650" t="s">
        <v>966</v>
      </c>
      <c r="F650">
        <v>4500441479</v>
      </c>
      <c r="G650" t="s">
        <v>12</v>
      </c>
      <c r="H650" t="s">
        <v>967</v>
      </c>
      <c r="I650" t="s">
        <v>966</v>
      </c>
      <c r="J650" s="1">
        <v>90000</v>
      </c>
      <c r="K650" s="1">
        <v>90000</v>
      </c>
      <c r="L650" t="str">
        <f>IFERROR(IF(VLOOKUP(LEFT(B650,2),'Humanitarian codes'!$A$2:$A$10,1,FALSE)=LEFT(B650,2),"Yes","Error"),"No")</f>
        <v>No</v>
      </c>
      <c r="AE650" s="1"/>
      <c r="AF650" s="1"/>
    </row>
    <row r="651" spans="1:32" hidden="1" x14ac:dyDescent="0.25">
      <c r="A651" t="s">
        <v>1152</v>
      </c>
      <c r="B651" t="s">
        <v>964</v>
      </c>
      <c r="C651" t="s">
        <v>965</v>
      </c>
      <c r="D651" t="s">
        <v>466</v>
      </c>
      <c r="E651" t="s">
        <v>966</v>
      </c>
      <c r="F651">
        <v>4500441496</v>
      </c>
      <c r="G651" t="s">
        <v>12</v>
      </c>
      <c r="H651" t="s">
        <v>968</v>
      </c>
      <c r="I651" t="s">
        <v>966</v>
      </c>
      <c r="J651" s="1">
        <v>90000</v>
      </c>
      <c r="K651" s="1">
        <v>90000</v>
      </c>
      <c r="L651" t="str">
        <f>IFERROR(IF(VLOOKUP(LEFT(B651,2),'Humanitarian codes'!$A$2:$A$10,1,FALSE)=LEFT(B651,2),"Yes","Error"),"No")</f>
        <v>No</v>
      </c>
      <c r="AE651" s="1"/>
      <c r="AF651" s="1"/>
    </row>
    <row r="652" spans="1:32" hidden="1" x14ac:dyDescent="0.25">
      <c r="A652" t="s">
        <v>1152</v>
      </c>
      <c r="B652" t="s">
        <v>969</v>
      </c>
      <c r="C652" t="s">
        <v>970</v>
      </c>
      <c r="D652" t="s">
        <v>466</v>
      </c>
      <c r="E652" t="s">
        <v>509</v>
      </c>
      <c r="F652">
        <v>4500430652</v>
      </c>
      <c r="G652" t="s">
        <v>12</v>
      </c>
      <c r="H652" t="s">
        <v>971</v>
      </c>
      <c r="I652" t="s">
        <v>972</v>
      </c>
      <c r="J652" s="1">
        <v>85724.1</v>
      </c>
      <c r="K652" s="1">
        <v>85724.1</v>
      </c>
      <c r="L652" t="str">
        <f>IFERROR(IF(VLOOKUP(LEFT(B652,2),'Humanitarian codes'!$A$2:$A$10,1,FALSE)=LEFT(B652,2),"Yes","Error"),"No")</f>
        <v>No</v>
      </c>
      <c r="AE652" s="1"/>
      <c r="AF652" s="1"/>
    </row>
    <row r="653" spans="1:32" hidden="1" x14ac:dyDescent="0.25">
      <c r="A653" t="s">
        <v>1152</v>
      </c>
      <c r="B653" t="s">
        <v>969</v>
      </c>
      <c r="C653" t="s">
        <v>970</v>
      </c>
      <c r="D653" t="s">
        <v>466</v>
      </c>
      <c r="E653" t="s">
        <v>509</v>
      </c>
      <c r="F653">
        <v>4500448946</v>
      </c>
      <c r="G653" t="s">
        <v>12</v>
      </c>
      <c r="H653" t="s">
        <v>971</v>
      </c>
      <c r="I653" t="s">
        <v>972</v>
      </c>
      <c r="J653" s="1">
        <v>283965.65999999997</v>
      </c>
      <c r="K653" s="1">
        <v>283965.65999999997</v>
      </c>
      <c r="L653" t="str">
        <f>IFERROR(IF(VLOOKUP(LEFT(B653,2),'Humanitarian codes'!$A$2:$A$10,1,FALSE)=LEFT(B653,2),"Yes","Error"),"No")</f>
        <v>No</v>
      </c>
      <c r="AE653" s="1"/>
      <c r="AF653" s="1"/>
    </row>
    <row r="654" spans="1:32" hidden="1" x14ac:dyDescent="0.25">
      <c r="A654" t="s">
        <v>1152</v>
      </c>
      <c r="B654" t="s">
        <v>732</v>
      </c>
      <c r="C654" t="s">
        <v>733</v>
      </c>
      <c r="D654" t="s">
        <v>466</v>
      </c>
      <c r="E654" t="s">
        <v>167</v>
      </c>
      <c r="F654">
        <v>4500434179</v>
      </c>
      <c r="G654" t="s">
        <v>12</v>
      </c>
      <c r="H654" t="s">
        <v>973</v>
      </c>
      <c r="I654" t="s">
        <v>167</v>
      </c>
      <c r="J654" s="1">
        <v>64128.02</v>
      </c>
      <c r="K654" s="1">
        <v>64128.02</v>
      </c>
      <c r="L654" t="str">
        <f>IFERROR(IF(VLOOKUP(LEFT(B654,2),'Humanitarian codes'!$A$2:$A$10,1,FALSE)=LEFT(B654,2),"Yes","Error"),"No")</f>
        <v>No</v>
      </c>
      <c r="AE654" s="1"/>
      <c r="AF654" s="1"/>
    </row>
    <row r="655" spans="1:32" hidden="1" x14ac:dyDescent="0.25">
      <c r="A655" t="s">
        <v>1152</v>
      </c>
      <c r="B655" t="s">
        <v>732</v>
      </c>
      <c r="C655" t="s">
        <v>733</v>
      </c>
      <c r="D655" t="s">
        <v>466</v>
      </c>
      <c r="E655" t="s">
        <v>167</v>
      </c>
      <c r="F655">
        <v>4500438630</v>
      </c>
      <c r="G655" t="s">
        <v>12</v>
      </c>
      <c r="H655" t="s">
        <v>974</v>
      </c>
      <c r="I655" t="s">
        <v>167</v>
      </c>
      <c r="J655" s="1">
        <v>82164.08</v>
      </c>
      <c r="K655" s="1">
        <v>82164.08</v>
      </c>
      <c r="L655" t="str">
        <f>IFERROR(IF(VLOOKUP(LEFT(B655,2),'Humanitarian codes'!$A$2:$A$10,1,FALSE)=LEFT(B655,2),"Yes","Error"),"No")</f>
        <v>No</v>
      </c>
      <c r="AE655" s="1"/>
      <c r="AF655" s="1"/>
    </row>
    <row r="656" spans="1:32" hidden="1" x14ac:dyDescent="0.25">
      <c r="A656" t="s">
        <v>1152</v>
      </c>
      <c r="B656" t="s">
        <v>975</v>
      </c>
      <c r="C656" t="s">
        <v>976</v>
      </c>
      <c r="D656" t="s">
        <v>466</v>
      </c>
      <c r="E656" t="s">
        <v>500</v>
      </c>
      <c r="F656">
        <v>4500445538</v>
      </c>
      <c r="G656" t="s">
        <v>12</v>
      </c>
      <c r="H656" t="s">
        <v>977</v>
      </c>
      <c r="I656" t="s">
        <v>500</v>
      </c>
      <c r="J656" s="1">
        <v>6454.04</v>
      </c>
      <c r="K656" s="1">
        <v>80675.490000000005</v>
      </c>
      <c r="L656" t="str">
        <f>IFERROR(IF(VLOOKUP(LEFT(B656,2),'Humanitarian codes'!$A$2:$A$10,1,FALSE)=LEFT(B656,2),"Yes","Error"),"No")</f>
        <v>No</v>
      </c>
      <c r="AE656" s="1"/>
      <c r="AF656" s="1"/>
    </row>
    <row r="657" spans="1:32" hidden="1" x14ac:dyDescent="0.25">
      <c r="A657" t="s">
        <v>1152</v>
      </c>
      <c r="B657" t="s">
        <v>498</v>
      </c>
      <c r="C657" t="s">
        <v>499</v>
      </c>
      <c r="D657" t="s">
        <v>466</v>
      </c>
      <c r="E657" t="s">
        <v>500</v>
      </c>
      <c r="F657">
        <v>4500445538</v>
      </c>
      <c r="G657" t="s">
        <v>12</v>
      </c>
      <c r="H657" t="s">
        <v>977</v>
      </c>
      <c r="I657" t="s">
        <v>500</v>
      </c>
      <c r="J657" s="1">
        <v>50018.8</v>
      </c>
      <c r="K657" s="1">
        <v>80675.490000000005</v>
      </c>
      <c r="L657" t="str">
        <f>IFERROR(IF(VLOOKUP(LEFT(B657,2),'Humanitarian codes'!$A$2:$A$10,1,FALSE)=LEFT(B657,2),"Yes","Error"),"No")</f>
        <v>No</v>
      </c>
      <c r="AE657" s="1"/>
      <c r="AF657" s="1"/>
    </row>
    <row r="658" spans="1:32" hidden="1" x14ac:dyDescent="0.25">
      <c r="A658" t="s">
        <v>1152</v>
      </c>
      <c r="B658" t="s">
        <v>978</v>
      </c>
      <c r="C658" t="s">
        <v>979</v>
      </c>
      <c r="D658" t="s">
        <v>466</v>
      </c>
      <c r="E658" t="s">
        <v>561</v>
      </c>
      <c r="F658">
        <v>4500445948</v>
      </c>
      <c r="G658" t="s">
        <v>12</v>
      </c>
      <c r="H658" t="s">
        <v>980</v>
      </c>
      <c r="I658" t="s">
        <v>561</v>
      </c>
      <c r="J658" s="1">
        <v>17866.669999999998</v>
      </c>
      <c r="K658" s="1">
        <v>17866.669999999998</v>
      </c>
      <c r="L658" t="str">
        <f>IFERROR(IF(VLOOKUP(LEFT(B658,2),'Humanitarian codes'!$A$2:$A$10,1,FALSE)=LEFT(B658,2),"Yes","Error"),"No")</f>
        <v>No</v>
      </c>
      <c r="AE658" s="1"/>
      <c r="AF658" s="1"/>
    </row>
    <row r="659" spans="1:32" hidden="1" x14ac:dyDescent="0.25">
      <c r="A659" t="s">
        <v>1152</v>
      </c>
      <c r="B659" t="s">
        <v>981</v>
      </c>
      <c r="C659" t="s">
        <v>982</v>
      </c>
      <c r="D659" t="s">
        <v>466</v>
      </c>
      <c r="E659" t="s">
        <v>798</v>
      </c>
      <c r="F659">
        <v>4500438148</v>
      </c>
      <c r="G659" t="s">
        <v>12</v>
      </c>
      <c r="H659" t="s">
        <v>983</v>
      </c>
      <c r="I659" t="s">
        <v>402</v>
      </c>
      <c r="J659" s="1">
        <v>4324324.33</v>
      </c>
      <c r="K659" s="1">
        <v>4324324.33</v>
      </c>
      <c r="L659" t="str">
        <f>IFERROR(IF(VLOOKUP(LEFT(B659,2),'Humanitarian codes'!$A$2:$A$10,1,FALSE)=LEFT(B659,2),"Yes","Error"),"No")</f>
        <v>No</v>
      </c>
      <c r="AE659" s="1"/>
      <c r="AF659" s="1"/>
    </row>
    <row r="660" spans="1:32" hidden="1" x14ac:dyDescent="0.25">
      <c r="A660" t="s">
        <v>1152</v>
      </c>
      <c r="B660" t="s">
        <v>507</v>
      </c>
      <c r="C660" t="s">
        <v>508</v>
      </c>
      <c r="D660" t="s">
        <v>466</v>
      </c>
      <c r="E660" t="s">
        <v>509</v>
      </c>
      <c r="F660">
        <v>4500449540</v>
      </c>
      <c r="G660" t="s">
        <v>12</v>
      </c>
      <c r="H660" t="s">
        <v>984</v>
      </c>
      <c r="I660" t="s">
        <v>985</v>
      </c>
      <c r="J660" s="1">
        <v>11862.52</v>
      </c>
      <c r="K660" s="1">
        <v>11862.52</v>
      </c>
      <c r="L660" t="str">
        <f>IFERROR(IF(VLOOKUP(LEFT(B660,2),'Humanitarian codes'!$A$2:$A$10,1,FALSE)=LEFT(B660,2),"Yes","Error"),"No")</f>
        <v>No</v>
      </c>
      <c r="AE660" s="1"/>
      <c r="AF660" s="1"/>
    </row>
    <row r="661" spans="1:32" hidden="1" x14ac:dyDescent="0.25">
      <c r="A661" t="s">
        <v>1152</v>
      </c>
      <c r="B661" t="s">
        <v>507</v>
      </c>
      <c r="C661" t="s">
        <v>508</v>
      </c>
      <c r="D661" t="s">
        <v>466</v>
      </c>
      <c r="E661" t="s">
        <v>509</v>
      </c>
      <c r="F661">
        <v>4500444771</v>
      </c>
      <c r="G661" t="s">
        <v>12</v>
      </c>
      <c r="H661" t="s">
        <v>986</v>
      </c>
      <c r="I661" t="s">
        <v>509</v>
      </c>
      <c r="J661" s="1">
        <v>83286.490000000005</v>
      </c>
      <c r="K661" s="1">
        <v>83286.490000000005</v>
      </c>
      <c r="L661" t="str">
        <f>IFERROR(IF(VLOOKUP(LEFT(B661,2),'Humanitarian codes'!$A$2:$A$10,1,FALSE)=LEFT(B661,2),"Yes","Error"),"No")</f>
        <v>No</v>
      </c>
      <c r="AE661" s="1"/>
      <c r="AF661" s="1"/>
    </row>
    <row r="662" spans="1:32" hidden="1" x14ac:dyDescent="0.25">
      <c r="A662" t="s">
        <v>1152</v>
      </c>
      <c r="B662" t="s">
        <v>524</v>
      </c>
      <c r="C662" t="s">
        <v>525</v>
      </c>
      <c r="D662" t="s">
        <v>512</v>
      </c>
      <c r="E662" t="s">
        <v>534</v>
      </c>
      <c r="F662">
        <v>4500430617</v>
      </c>
      <c r="G662" t="s">
        <v>12</v>
      </c>
      <c r="H662" t="s">
        <v>845</v>
      </c>
      <c r="I662" t="s">
        <v>534</v>
      </c>
      <c r="J662">
        <v>500</v>
      </c>
      <c r="K662" s="1">
        <v>6635</v>
      </c>
      <c r="L662" t="str">
        <f>IFERROR(IF(VLOOKUP(LEFT(B662,2),'Humanitarian codes'!$A$2:$A$10,1,FALSE)=LEFT(B662,2),"Yes","Error"),"No")</f>
        <v>No</v>
      </c>
      <c r="AE662" s="1"/>
      <c r="AF662" s="1"/>
    </row>
    <row r="663" spans="1:32" hidden="1" x14ac:dyDescent="0.25">
      <c r="A663" t="s">
        <v>1152</v>
      </c>
      <c r="B663" t="s">
        <v>524</v>
      </c>
      <c r="C663" t="s">
        <v>525</v>
      </c>
      <c r="D663" t="s">
        <v>512</v>
      </c>
      <c r="E663" t="s">
        <v>25</v>
      </c>
      <c r="F663">
        <v>4500435880</v>
      </c>
      <c r="G663" t="s">
        <v>12</v>
      </c>
      <c r="H663" t="s">
        <v>987</v>
      </c>
      <c r="I663" t="s">
        <v>25</v>
      </c>
      <c r="J663" s="1">
        <v>30485.59</v>
      </c>
      <c r="K663" s="1">
        <v>30485.59</v>
      </c>
      <c r="L663" t="str">
        <f>IFERROR(IF(VLOOKUP(LEFT(B663,2),'Humanitarian codes'!$A$2:$A$10,1,FALSE)=LEFT(B663,2),"Yes","Error"),"No")</f>
        <v>No</v>
      </c>
      <c r="AE663" s="1"/>
      <c r="AF663" s="1"/>
    </row>
    <row r="664" spans="1:32" hidden="1" x14ac:dyDescent="0.25">
      <c r="A664" t="s">
        <v>1152</v>
      </c>
      <c r="B664" t="s">
        <v>988</v>
      </c>
      <c r="C664" t="s">
        <v>989</v>
      </c>
      <c r="D664" t="s">
        <v>512</v>
      </c>
      <c r="E664" t="s">
        <v>990</v>
      </c>
      <c r="F664">
        <v>4500454483</v>
      </c>
      <c r="G664" t="s">
        <v>12</v>
      </c>
      <c r="H664" t="s">
        <v>991</v>
      </c>
      <c r="I664" t="s">
        <v>990</v>
      </c>
      <c r="J664" s="1">
        <v>25039.52</v>
      </c>
      <c r="K664" s="1">
        <v>25039.52</v>
      </c>
      <c r="L664" t="str">
        <f>IFERROR(IF(VLOOKUP(LEFT(B664,2),'Humanitarian codes'!$A$2:$A$10,1,FALSE)=LEFT(B664,2),"Yes","Error"),"No")</f>
        <v>No</v>
      </c>
      <c r="AE664" s="1"/>
      <c r="AF664" s="1"/>
    </row>
    <row r="665" spans="1:32" hidden="1" x14ac:dyDescent="0.25">
      <c r="A665" t="s">
        <v>1152</v>
      </c>
      <c r="B665" t="s">
        <v>988</v>
      </c>
      <c r="C665" t="s">
        <v>989</v>
      </c>
      <c r="D665" t="s">
        <v>512</v>
      </c>
      <c r="E665" t="s">
        <v>992</v>
      </c>
      <c r="F665">
        <v>4500451633</v>
      </c>
      <c r="G665" t="s">
        <v>12</v>
      </c>
      <c r="H665" t="s">
        <v>993</v>
      </c>
      <c r="I665" t="s">
        <v>992</v>
      </c>
      <c r="J665" s="1">
        <v>8000</v>
      </c>
      <c r="K665" s="1">
        <v>10000</v>
      </c>
      <c r="L665" t="str">
        <f>IFERROR(IF(VLOOKUP(LEFT(B665,2),'Humanitarian codes'!$A$2:$A$10,1,FALSE)=LEFT(B665,2),"Yes","Error"),"No")</f>
        <v>No</v>
      </c>
      <c r="AE665" s="1"/>
      <c r="AF665" s="1"/>
    </row>
    <row r="666" spans="1:32" hidden="1" x14ac:dyDescent="0.25">
      <c r="A666" t="s">
        <v>1152</v>
      </c>
      <c r="B666" t="s">
        <v>994</v>
      </c>
      <c r="C666" t="s">
        <v>995</v>
      </c>
      <c r="D666" t="s">
        <v>512</v>
      </c>
      <c r="E666" t="s">
        <v>996</v>
      </c>
      <c r="F666">
        <v>4500447645</v>
      </c>
      <c r="G666" t="s">
        <v>12</v>
      </c>
      <c r="H666" t="s">
        <v>997</v>
      </c>
      <c r="I666" t="s">
        <v>996</v>
      </c>
      <c r="J666" s="1">
        <v>66518.84</v>
      </c>
      <c r="K666" s="1">
        <v>66518.84</v>
      </c>
      <c r="L666" t="str">
        <f>IFERROR(IF(VLOOKUP(LEFT(B666,2),'Humanitarian codes'!$A$2:$A$10,1,FALSE)=LEFT(B666,2),"Yes","Error"),"No")</f>
        <v>No</v>
      </c>
      <c r="AE666" s="1"/>
      <c r="AF666" s="1"/>
    </row>
    <row r="667" spans="1:32" hidden="1" x14ac:dyDescent="0.25">
      <c r="A667" t="s">
        <v>1152</v>
      </c>
      <c r="B667" t="s">
        <v>994</v>
      </c>
      <c r="C667" t="s">
        <v>995</v>
      </c>
      <c r="D667" t="s">
        <v>512</v>
      </c>
      <c r="E667" t="s">
        <v>996</v>
      </c>
      <c r="F667">
        <v>4500447651</v>
      </c>
      <c r="G667" t="s">
        <v>12</v>
      </c>
      <c r="H667" t="s">
        <v>998</v>
      </c>
      <c r="I667" t="s">
        <v>996</v>
      </c>
      <c r="J667" s="1">
        <v>92017.74</v>
      </c>
      <c r="K667" s="1">
        <v>92017.74</v>
      </c>
      <c r="L667" t="str">
        <f>IFERROR(IF(VLOOKUP(LEFT(B667,2),'Humanitarian codes'!$A$2:$A$10,1,FALSE)=LEFT(B667,2),"Yes","Error"),"No")</f>
        <v>No</v>
      </c>
      <c r="AE667" s="1"/>
      <c r="AF667" s="1"/>
    </row>
    <row r="668" spans="1:32" hidden="1" x14ac:dyDescent="0.25">
      <c r="A668" t="s">
        <v>1152</v>
      </c>
      <c r="B668" t="s">
        <v>994</v>
      </c>
      <c r="C668" t="s">
        <v>995</v>
      </c>
      <c r="D668" t="s">
        <v>512</v>
      </c>
      <c r="E668" t="s">
        <v>996</v>
      </c>
      <c r="F668">
        <v>4500447656</v>
      </c>
      <c r="G668" t="s">
        <v>12</v>
      </c>
      <c r="H668" t="s">
        <v>999</v>
      </c>
      <c r="I668" t="s">
        <v>996</v>
      </c>
      <c r="J668" s="1">
        <v>21915.74</v>
      </c>
      <c r="K668" s="1">
        <v>21915.74</v>
      </c>
      <c r="L668" t="str">
        <f>IFERROR(IF(VLOOKUP(LEFT(B668,2),'Humanitarian codes'!$A$2:$A$10,1,FALSE)=LEFT(B668,2),"Yes","Error"),"No")</f>
        <v>No</v>
      </c>
      <c r="AE668" s="1"/>
      <c r="AF668" s="1"/>
    </row>
    <row r="669" spans="1:32" hidden="1" x14ac:dyDescent="0.25">
      <c r="A669" t="s">
        <v>1152</v>
      </c>
      <c r="B669" t="s">
        <v>1000</v>
      </c>
      <c r="C669" t="s">
        <v>1001</v>
      </c>
      <c r="D669" t="s">
        <v>512</v>
      </c>
      <c r="E669" t="s">
        <v>992</v>
      </c>
      <c r="F669">
        <v>4500451633</v>
      </c>
      <c r="G669" t="s">
        <v>12</v>
      </c>
      <c r="H669" t="s">
        <v>993</v>
      </c>
      <c r="I669" t="s">
        <v>992</v>
      </c>
      <c r="J669" s="1">
        <v>2000</v>
      </c>
      <c r="K669" s="1">
        <v>10000</v>
      </c>
      <c r="L669" t="str">
        <f>IFERROR(IF(VLOOKUP(LEFT(B669,2),'Humanitarian codes'!$A$2:$A$10,1,FALSE)=LEFT(B669,2),"Yes","Error"),"No")</f>
        <v>No</v>
      </c>
      <c r="AE669" s="1"/>
      <c r="AF669" s="1"/>
    </row>
    <row r="670" spans="1:32" x14ac:dyDescent="0.25">
      <c r="A670" t="s">
        <v>1152</v>
      </c>
      <c r="B670" t="s">
        <v>1002</v>
      </c>
      <c r="C670" t="s">
        <v>1003</v>
      </c>
      <c r="D670" t="s">
        <v>512</v>
      </c>
      <c r="E670" t="s">
        <v>175</v>
      </c>
      <c r="F670">
        <v>4500454345</v>
      </c>
      <c r="G670" t="s">
        <v>12</v>
      </c>
      <c r="H670" t="s">
        <v>1004</v>
      </c>
      <c r="I670" t="s">
        <v>175</v>
      </c>
      <c r="J670" s="1">
        <v>554672.96</v>
      </c>
      <c r="K670" s="1">
        <v>554672.96</v>
      </c>
      <c r="L670" t="str">
        <f>IFERROR(IF(VLOOKUP(LEFT(B670,2),'Humanitarian codes'!$A$2:$A$10,1,FALSE)=LEFT(B670,2),"Yes","Error"),"No")</f>
        <v>Yes</v>
      </c>
      <c r="AE670" s="1"/>
      <c r="AF670" s="1"/>
    </row>
    <row r="671" spans="1:32" hidden="1" x14ac:dyDescent="0.25">
      <c r="A671" t="s">
        <v>1152</v>
      </c>
      <c r="B671" t="s">
        <v>1005</v>
      </c>
      <c r="C671" t="s">
        <v>1006</v>
      </c>
      <c r="D671" t="s">
        <v>543</v>
      </c>
      <c r="E671" t="s">
        <v>549</v>
      </c>
      <c r="F671">
        <v>4500439447</v>
      </c>
      <c r="G671" t="s">
        <v>12</v>
      </c>
      <c r="H671" t="s">
        <v>1007</v>
      </c>
      <c r="I671" t="s">
        <v>549</v>
      </c>
      <c r="J671" s="1">
        <v>10000</v>
      </c>
      <c r="K671" s="1">
        <v>10000</v>
      </c>
      <c r="L671" t="str">
        <f>IFERROR(IF(VLOOKUP(LEFT(B671,2),'Humanitarian codes'!$A$2:$A$10,1,FALSE)=LEFT(B671,2),"Yes","Error"),"No")</f>
        <v>No</v>
      </c>
      <c r="AE671" s="1"/>
      <c r="AF671" s="1"/>
    </row>
    <row r="672" spans="1:32" hidden="1" x14ac:dyDescent="0.25">
      <c r="A672" t="s">
        <v>1152</v>
      </c>
      <c r="B672" t="s">
        <v>1005</v>
      </c>
      <c r="C672" t="s">
        <v>1006</v>
      </c>
      <c r="D672" t="s">
        <v>543</v>
      </c>
      <c r="E672" t="s">
        <v>11</v>
      </c>
      <c r="F672">
        <v>4500442253</v>
      </c>
      <c r="G672" t="s">
        <v>12</v>
      </c>
      <c r="H672" t="s">
        <v>1008</v>
      </c>
      <c r="I672" t="s">
        <v>11</v>
      </c>
      <c r="J672" s="1">
        <v>38000</v>
      </c>
      <c r="K672" s="1">
        <v>38000</v>
      </c>
      <c r="L672" t="str">
        <f>IFERROR(IF(VLOOKUP(LEFT(B672,2),'Humanitarian codes'!$A$2:$A$10,1,FALSE)=LEFT(B672,2),"Yes","Error"),"No")</f>
        <v>No</v>
      </c>
      <c r="AE672" s="1"/>
      <c r="AF672" s="1"/>
    </row>
    <row r="673" spans="1:32" hidden="1" x14ac:dyDescent="0.25">
      <c r="A673" t="s">
        <v>1152</v>
      </c>
      <c r="B673" t="s">
        <v>1009</v>
      </c>
      <c r="C673" t="s">
        <v>1010</v>
      </c>
      <c r="D673" t="s">
        <v>543</v>
      </c>
      <c r="E673" t="s">
        <v>518</v>
      </c>
      <c r="F673">
        <v>4500435215</v>
      </c>
      <c r="G673" t="s">
        <v>12</v>
      </c>
      <c r="H673" t="s">
        <v>1011</v>
      </c>
      <c r="I673" t="s">
        <v>518</v>
      </c>
      <c r="J673" s="1">
        <v>15000</v>
      </c>
      <c r="K673" s="1">
        <v>15000</v>
      </c>
      <c r="L673" t="str">
        <f>IFERROR(IF(VLOOKUP(LEFT(B673,2),'Humanitarian codes'!$A$2:$A$10,1,FALSE)=LEFT(B673,2),"Yes","Error"),"No")</f>
        <v>No</v>
      </c>
      <c r="AE673" s="1"/>
      <c r="AF673" s="1"/>
    </row>
    <row r="674" spans="1:32" hidden="1" x14ac:dyDescent="0.25">
      <c r="A674" t="s">
        <v>1152</v>
      </c>
      <c r="B674" t="s">
        <v>1012</v>
      </c>
      <c r="C674" t="s">
        <v>1013</v>
      </c>
      <c r="D674" t="s">
        <v>543</v>
      </c>
      <c r="E674" t="s">
        <v>500</v>
      </c>
      <c r="F674">
        <v>4500445538</v>
      </c>
      <c r="G674" t="s">
        <v>12</v>
      </c>
      <c r="H674" t="s">
        <v>977</v>
      </c>
      <c r="I674" t="s">
        <v>500</v>
      </c>
      <c r="J674" s="1">
        <v>24202.65</v>
      </c>
      <c r="K674" s="1">
        <v>80675.490000000005</v>
      </c>
      <c r="L674" t="str">
        <f>IFERROR(IF(VLOOKUP(LEFT(B674,2),'Humanitarian codes'!$A$2:$A$10,1,FALSE)=LEFT(B674,2),"Yes","Error"),"No")</f>
        <v>No</v>
      </c>
      <c r="AE674" s="1"/>
      <c r="AF674" s="1"/>
    </row>
    <row r="675" spans="1:32" hidden="1" x14ac:dyDescent="0.25">
      <c r="A675" t="s">
        <v>1152</v>
      </c>
      <c r="B675" t="s">
        <v>1014</v>
      </c>
      <c r="C675" t="s">
        <v>1015</v>
      </c>
      <c r="D675" t="s">
        <v>9</v>
      </c>
      <c r="E675" t="s">
        <v>226</v>
      </c>
      <c r="F675">
        <v>4500433021</v>
      </c>
      <c r="G675" t="s">
        <v>12</v>
      </c>
      <c r="H675" t="s">
        <v>227</v>
      </c>
      <c r="I675" t="s">
        <v>226</v>
      </c>
      <c r="J675" s="1">
        <v>223643.56</v>
      </c>
      <c r="K675" s="1">
        <v>223643.56</v>
      </c>
      <c r="L675" t="str">
        <f>IFERROR(IF(VLOOKUP(LEFT(B675,2),'Humanitarian codes'!$A$2:$A$10,1,FALSE)=LEFT(B675,2),"Yes","Error"),"No")</f>
        <v>No</v>
      </c>
      <c r="AE675" s="1"/>
      <c r="AF675" s="1"/>
    </row>
    <row r="676" spans="1:32" hidden="1" x14ac:dyDescent="0.25">
      <c r="A676" t="s">
        <v>1152</v>
      </c>
      <c r="B676" t="s">
        <v>586</v>
      </c>
      <c r="C676" t="s">
        <v>587</v>
      </c>
      <c r="D676" t="s">
        <v>30</v>
      </c>
      <c r="E676" t="s">
        <v>1016</v>
      </c>
      <c r="F676">
        <v>4500440014</v>
      </c>
      <c r="G676" t="s">
        <v>12</v>
      </c>
      <c r="H676" t="s">
        <v>588</v>
      </c>
      <c r="I676" t="s">
        <v>1016</v>
      </c>
      <c r="J676" s="1">
        <v>23628.77</v>
      </c>
      <c r="K676" s="1">
        <v>23628.77</v>
      </c>
      <c r="L676" t="str">
        <f>IFERROR(IF(VLOOKUP(LEFT(B676,2),'Humanitarian codes'!$A$2:$A$10,1,FALSE)=LEFT(B676,2),"Yes","Error"),"No")</f>
        <v>No</v>
      </c>
      <c r="AE676" s="1"/>
      <c r="AF676" s="1"/>
    </row>
    <row r="677" spans="1:32" hidden="1" x14ac:dyDescent="0.25">
      <c r="A677" t="s">
        <v>1152</v>
      </c>
      <c r="B677" t="s">
        <v>1017</v>
      </c>
      <c r="C677" t="s">
        <v>1018</v>
      </c>
      <c r="D677" t="s">
        <v>30</v>
      </c>
      <c r="E677" t="s">
        <v>330</v>
      </c>
      <c r="F677">
        <v>4500441557</v>
      </c>
      <c r="G677" t="s">
        <v>12</v>
      </c>
      <c r="H677" t="s">
        <v>360</v>
      </c>
      <c r="I677" t="s">
        <v>330</v>
      </c>
      <c r="J677" s="1">
        <v>5768.44</v>
      </c>
      <c r="K677" s="1">
        <v>5768.44</v>
      </c>
      <c r="L677" t="str">
        <f>IFERROR(IF(VLOOKUP(LEFT(B677,2),'Humanitarian codes'!$A$2:$A$10,1,FALSE)=LEFT(B677,2),"Yes","Error"),"No")</f>
        <v>No</v>
      </c>
      <c r="AE677" s="1"/>
      <c r="AF677" s="1"/>
    </row>
    <row r="678" spans="1:32" hidden="1" x14ac:dyDescent="0.25">
      <c r="A678" t="s">
        <v>1152</v>
      </c>
      <c r="B678" t="s">
        <v>1017</v>
      </c>
      <c r="C678" t="s">
        <v>1018</v>
      </c>
      <c r="D678" t="s">
        <v>30</v>
      </c>
      <c r="E678" t="s">
        <v>330</v>
      </c>
      <c r="F678">
        <v>4500441568</v>
      </c>
      <c r="G678" t="s">
        <v>12</v>
      </c>
      <c r="H678" t="s">
        <v>1019</v>
      </c>
      <c r="I678" t="s">
        <v>330</v>
      </c>
      <c r="J678" s="1">
        <v>6592.5</v>
      </c>
      <c r="K678" s="1">
        <v>6592.5</v>
      </c>
      <c r="L678" t="str">
        <f>IFERROR(IF(VLOOKUP(LEFT(B678,2),'Humanitarian codes'!$A$2:$A$10,1,FALSE)=LEFT(B678,2),"Yes","Error"),"No")</f>
        <v>No</v>
      </c>
      <c r="AE678" s="1"/>
      <c r="AF678" s="1"/>
    </row>
    <row r="679" spans="1:32" hidden="1" x14ac:dyDescent="0.25">
      <c r="A679" t="s">
        <v>1152</v>
      </c>
      <c r="B679" t="s">
        <v>1017</v>
      </c>
      <c r="C679" t="s">
        <v>1018</v>
      </c>
      <c r="D679" t="s">
        <v>30</v>
      </c>
      <c r="E679" t="s">
        <v>330</v>
      </c>
      <c r="F679">
        <v>4500441575</v>
      </c>
      <c r="G679" t="s">
        <v>12</v>
      </c>
      <c r="H679" t="s">
        <v>1020</v>
      </c>
      <c r="I679" t="s">
        <v>330</v>
      </c>
      <c r="J679" s="1">
        <v>13185</v>
      </c>
      <c r="K679" s="1">
        <v>13185</v>
      </c>
      <c r="L679" t="str">
        <f>IFERROR(IF(VLOOKUP(LEFT(B679,2),'Humanitarian codes'!$A$2:$A$10,1,FALSE)=LEFT(B679,2),"Yes","Error"),"No")</f>
        <v>No</v>
      </c>
      <c r="AE679" s="1"/>
      <c r="AF679" s="1"/>
    </row>
    <row r="680" spans="1:32" hidden="1" x14ac:dyDescent="0.25">
      <c r="A680" t="s">
        <v>1152</v>
      </c>
      <c r="B680" t="s">
        <v>1017</v>
      </c>
      <c r="C680" t="s">
        <v>1018</v>
      </c>
      <c r="D680" t="s">
        <v>30</v>
      </c>
      <c r="E680" t="s">
        <v>330</v>
      </c>
      <c r="F680">
        <v>4500441724</v>
      </c>
      <c r="G680" t="s">
        <v>12</v>
      </c>
      <c r="H680" t="s">
        <v>1021</v>
      </c>
      <c r="I680" t="s">
        <v>330</v>
      </c>
      <c r="J680" s="1">
        <v>8240.6299999999992</v>
      </c>
      <c r="K680" s="1">
        <v>8240.6299999999992</v>
      </c>
      <c r="L680" t="str">
        <f>IFERROR(IF(VLOOKUP(LEFT(B680,2),'Humanitarian codes'!$A$2:$A$10,1,FALSE)=LEFT(B680,2),"Yes","Error"),"No")</f>
        <v>No</v>
      </c>
      <c r="AE680" s="1"/>
      <c r="AF680" s="1"/>
    </row>
    <row r="681" spans="1:32" hidden="1" x14ac:dyDescent="0.25">
      <c r="A681" t="s">
        <v>1152</v>
      </c>
      <c r="B681" t="s">
        <v>1017</v>
      </c>
      <c r="C681" t="s">
        <v>1018</v>
      </c>
      <c r="D681" t="s">
        <v>30</v>
      </c>
      <c r="E681" t="s">
        <v>330</v>
      </c>
      <c r="F681">
        <v>4500441732</v>
      </c>
      <c r="G681" t="s">
        <v>12</v>
      </c>
      <c r="H681" t="s">
        <v>1022</v>
      </c>
      <c r="I681" t="s">
        <v>330</v>
      </c>
      <c r="J681" s="1">
        <v>8240.6299999999992</v>
      </c>
      <c r="K681" s="1">
        <v>8240.6299999999992</v>
      </c>
      <c r="L681" t="str">
        <f>IFERROR(IF(VLOOKUP(LEFT(B681,2),'Humanitarian codes'!$A$2:$A$10,1,FALSE)=LEFT(B681,2),"Yes","Error"),"No")</f>
        <v>No</v>
      </c>
      <c r="AE681" s="1"/>
      <c r="AF681" s="1"/>
    </row>
    <row r="682" spans="1:32" hidden="1" x14ac:dyDescent="0.25">
      <c r="A682" t="s">
        <v>1152</v>
      </c>
      <c r="B682" t="s">
        <v>1017</v>
      </c>
      <c r="C682" t="s">
        <v>1018</v>
      </c>
      <c r="D682" t="s">
        <v>30</v>
      </c>
      <c r="E682" t="s">
        <v>330</v>
      </c>
      <c r="F682">
        <v>4500441741</v>
      </c>
      <c r="G682" t="s">
        <v>12</v>
      </c>
      <c r="H682" t="s">
        <v>1022</v>
      </c>
      <c r="I682" t="s">
        <v>330</v>
      </c>
      <c r="J682" s="1">
        <v>5768.44</v>
      </c>
      <c r="K682" s="1">
        <v>5768.44</v>
      </c>
      <c r="L682" t="str">
        <f>IFERROR(IF(VLOOKUP(LEFT(B682,2),'Humanitarian codes'!$A$2:$A$10,1,FALSE)=LEFT(B682,2),"Yes","Error"),"No")</f>
        <v>No</v>
      </c>
      <c r="AE682" s="1"/>
      <c r="AF682" s="1"/>
    </row>
    <row r="683" spans="1:32" hidden="1" x14ac:dyDescent="0.25">
      <c r="A683" t="s">
        <v>1152</v>
      </c>
      <c r="B683" t="s">
        <v>1017</v>
      </c>
      <c r="C683" t="s">
        <v>1018</v>
      </c>
      <c r="D683" t="s">
        <v>30</v>
      </c>
      <c r="E683" t="s">
        <v>330</v>
      </c>
      <c r="F683">
        <v>4500441772</v>
      </c>
      <c r="G683" t="s">
        <v>12</v>
      </c>
      <c r="H683" t="s">
        <v>1023</v>
      </c>
      <c r="I683" t="s">
        <v>330</v>
      </c>
      <c r="J683" s="1">
        <v>6592.5</v>
      </c>
      <c r="K683" s="1">
        <v>6592.5</v>
      </c>
      <c r="L683" t="str">
        <f>IFERROR(IF(VLOOKUP(LEFT(B683,2),'Humanitarian codes'!$A$2:$A$10,1,FALSE)=LEFT(B683,2),"Yes","Error"),"No")</f>
        <v>No</v>
      </c>
      <c r="AE683" s="1"/>
      <c r="AF683" s="1"/>
    </row>
    <row r="684" spans="1:32" hidden="1" x14ac:dyDescent="0.25">
      <c r="A684" t="s">
        <v>1152</v>
      </c>
      <c r="B684" t="s">
        <v>1017</v>
      </c>
      <c r="C684" t="s">
        <v>1018</v>
      </c>
      <c r="D684" t="s">
        <v>30</v>
      </c>
      <c r="E684" t="s">
        <v>330</v>
      </c>
      <c r="F684">
        <v>4500441755</v>
      </c>
      <c r="G684" t="s">
        <v>12</v>
      </c>
      <c r="H684" t="s">
        <v>1023</v>
      </c>
      <c r="I684" t="s">
        <v>330</v>
      </c>
      <c r="J684" s="1">
        <v>5768.44</v>
      </c>
      <c r="K684" s="1">
        <v>5768.44</v>
      </c>
      <c r="L684" t="str">
        <f>IFERROR(IF(VLOOKUP(LEFT(B684,2),'Humanitarian codes'!$A$2:$A$10,1,FALSE)=LEFT(B684,2),"Yes","Error"),"No")</f>
        <v>No</v>
      </c>
      <c r="AE684" s="1"/>
      <c r="AF684" s="1"/>
    </row>
    <row r="685" spans="1:32" hidden="1" x14ac:dyDescent="0.25">
      <c r="A685" t="s">
        <v>1152</v>
      </c>
      <c r="B685" t="s">
        <v>1017</v>
      </c>
      <c r="C685" t="s">
        <v>1018</v>
      </c>
      <c r="D685" t="s">
        <v>30</v>
      </c>
      <c r="E685" t="s">
        <v>330</v>
      </c>
      <c r="F685">
        <v>4500441777</v>
      </c>
      <c r="G685" t="s">
        <v>12</v>
      </c>
      <c r="H685" t="s">
        <v>1024</v>
      </c>
      <c r="I685" t="s">
        <v>330</v>
      </c>
      <c r="J685" s="1">
        <v>6592.5</v>
      </c>
      <c r="K685" s="1">
        <v>6592.5</v>
      </c>
      <c r="L685" t="str">
        <f>IFERROR(IF(VLOOKUP(LEFT(B685,2),'Humanitarian codes'!$A$2:$A$10,1,FALSE)=LEFT(B685,2),"Yes","Error"),"No")</f>
        <v>No</v>
      </c>
      <c r="AE685" s="1"/>
      <c r="AF685" s="1"/>
    </row>
    <row r="686" spans="1:32" hidden="1" x14ac:dyDescent="0.25">
      <c r="A686" t="s">
        <v>1152</v>
      </c>
      <c r="B686" t="s">
        <v>1017</v>
      </c>
      <c r="C686" t="s">
        <v>1018</v>
      </c>
      <c r="D686" t="s">
        <v>30</v>
      </c>
      <c r="E686" t="s">
        <v>330</v>
      </c>
      <c r="F686">
        <v>4500441796</v>
      </c>
      <c r="G686" t="s">
        <v>12</v>
      </c>
      <c r="H686" t="s">
        <v>1025</v>
      </c>
      <c r="I686" t="s">
        <v>330</v>
      </c>
      <c r="J686" s="1">
        <v>6592.5</v>
      </c>
      <c r="K686" s="1">
        <v>6592.5</v>
      </c>
      <c r="L686" t="str">
        <f>IFERROR(IF(VLOOKUP(LEFT(B686,2),'Humanitarian codes'!$A$2:$A$10,1,FALSE)=LEFT(B686,2),"Yes","Error"),"No")</f>
        <v>No</v>
      </c>
      <c r="AE686" s="1"/>
      <c r="AF686" s="1"/>
    </row>
    <row r="687" spans="1:32" hidden="1" x14ac:dyDescent="0.25">
      <c r="A687" t="s">
        <v>1152</v>
      </c>
      <c r="B687" t="s">
        <v>1026</v>
      </c>
      <c r="C687" t="s">
        <v>1027</v>
      </c>
      <c r="D687" t="s">
        <v>30</v>
      </c>
      <c r="E687" t="s">
        <v>1016</v>
      </c>
      <c r="F687">
        <v>4500432298</v>
      </c>
      <c r="G687" t="s">
        <v>12</v>
      </c>
      <c r="H687" t="s">
        <v>589</v>
      </c>
      <c r="I687" t="s">
        <v>1016</v>
      </c>
      <c r="J687" s="1">
        <v>88317.26</v>
      </c>
      <c r="K687" s="1">
        <v>88317.26</v>
      </c>
      <c r="L687" t="str">
        <f>IFERROR(IF(VLOOKUP(LEFT(B687,2),'Humanitarian codes'!$A$2:$A$10,1,FALSE)=LEFT(B687,2),"Yes","Error"),"No")</f>
        <v>No</v>
      </c>
      <c r="AE687" s="1"/>
      <c r="AF687" s="1"/>
    </row>
    <row r="688" spans="1:32" hidden="1" x14ac:dyDescent="0.25">
      <c r="A688" t="s">
        <v>1152</v>
      </c>
      <c r="B688" t="s">
        <v>1026</v>
      </c>
      <c r="C688" t="s">
        <v>1027</v>
      </c>
      <c r="D688" t="s">
        <v>30</v>
      </c>
      <c r="E688" t="s">
        <v>1016</v>
      </c>
      <c r="F688">
        <v>4500432301</v>
      </c>
      <c r="G688" t="s">
        <v>12</v>
      </c>
      <c r="H688" t="s">
        <v>482</v>
      </c>
      <c r="I688" t="s">
        <v>1016</v>
      </c>
      <c r="J688" s="1">
        <v>81350.460000000006</v>
      </c>
      <c r="K688" s="1">
        <v>81350.460000000006</v>
      </c>
      <c r="L688" t="str">
        <f>IFERROR(IF(VLOOKUP(LEFT(B688,2),'Humanitarian codes'!$A$2:$A$10,1,FALSE)=LEFT(B688,2),"Yes","Error"),"No")</f>
        <v>No</v>
      </c>
      <c r="AE688" s="1"/>
      <c r="AF688" s="1"/>
    </row>
    <row r="689" spans="1:32" hidden="1" x14ac:dyDescent="0.25">
      <c r="A689" t="s">
        <v>1152</v>
      </c>
      <c r="B689" t="s">
        <v>1028</v>
      </c>
      <c r="C689" t="s">
        <v>1029</v>
      </c>
      <c r="D689" t="s">
        <v>30</v>
      </c>
      <c r="E689" t="s">
        <v>261</v>
      </c>
      <c r="F689">
        <v>4500447487</v>
      </c>
      <c r="G689" t="s">
        <v>12</v>
      </c>
      <c r="H689" t="s">
        <v>1030</v>
      </c>
      <c r="I689" t="s">
        <v>261</v>
      </c>
      <c r="J689" s="1">
        <v>761294.83</v>
      </c>
      <c r="K689" s="1">
        <v>906530</v>
      </c>
      <c r="L689" t="str">
        <f>IFERROR(IF(VLOOKUP(LEFT(B689,2),'Humanitarian codes'!$A$2:$A$10,1,FALSE)=LEFT(B689,2),"Yes","Error"),"No")</f>
        <v>No</v>
      </c>
      <c r="AE689" s="1"/>
      <c r="AF689" s="1"/>
    </row>
    <row r="690" spans="1:32" hidden="1" x14ac:dyDescent="0.25">
      <c r="A690" t="s">
        <v>1152</v>
      </c>
      <c r="B690" t="s">
        <v>1031</v>
      </c>
      <c r="C690" t="s">
        <v>1032</v>
      </c>
      <c r="D690" t="s">
        <v>30</v>
      </c>
      <c r="E690" t="s">
        <v>83</v>
      </c>
      <c r="F690">
        <v>4500439617</v>
      </c>
      <c r="G690" t="s">
        <v>12</v>
      </c>
      <c r="H690" t="s">
        <v>1033</v>
      </c>
      <c r="I690" t="s">
        <v>83</v>
      </c>
      <c r="J690" s="1">
        <v>95973</v>
      </c>
      <c r="K690" s="1">
        <v>95973</v>
      </c>
      <c r="L690" t="str">
        <f>IFERROR(IF(VLOOKUP(LEFT(B690,2),'Humanitarian codes'!$A$2:$A$10,1,FALSE)=LEFT(B690,2),"Yes","Error"),"No")</f>
        <v>No</v>
      </c>
      <c r="AE690" s="1"/>
      <c r="AF690" s="1"/>
    </row>
    <row r="691" spans="1:32" hidden="1" x14ac:dyDescent="0.25">
      <c r="A691" t="s">
        <v>1152</v>
      </c>
      <c r="B691" t="s">
        <v>604</v>
      </c>
      <c r="C691" t="s">
        <v>605</v>
      </c>
      <c r="D691" t="s">
        <v>484</v>
      </c>
      <c r="E691" t="s">
        <v>534</v>
      </c>
      <c r="F691">
        <v>4500430617</v>
      </c>
      <c r="G691" t="s">
        <v>12</v>
      </c>
      <c r="H691" t="s">
        <v>845</v>
      </c>
      <c r="I691" t="s">
        <v>534</v>
      </c>
      <c r="J691">
        <v>700</v>
      </c>
      <c r="K691" s="1">
        <v>6635</v>
      </c>
      <c r="L691" t="str">
        <f>IFERROR(IF(VLOOKUP(LEFT(B691,2),'Humanitarian codes'!$A$2:$A$10,1,FALSE)=LEFT(B691,2),"Yes","Error"),"No")</f>
        <v>No</v>
      </c>
      <c r="AE691" s="1"/>
      <c r="AF691" s="1"/>
    </row>
    <row r="692" spans="1:32" hidden="1" x14ac:dyDescent="0.25">
      <c r="A692" t="s">
        <v>1152</v>
      </c>
      <c r="B692" t="s">
        <v>1034</v>
      </c>
      <c r="C692" t="s">
        <v>1035</v>
      </c>
      <c r="D692" t="s">
        <v>484</v>
      </c>
      <c r="E692" t="s">
        <v>132</v>
      </c>
      <c r="F692">
        <v>4500437287</v>
      </c>
      <c r="G692" t="s">
        <v>12</v>
      </c>
      <c r="H692" t="s">
        <v>1036</v>
      </c>
      <c r="I692" t="s">
        <v>132</v>
      </c>
      <c r="J692" s="1">
        <v>7931404.04</v>
      </c>
      <c r="K692" s="1">
        <v>7931404.04</v>
      </c>
      <c r="L692" t="str">
        <f>IFERROR(IF(VLOOKUP(LEFT(B692,2),'Humanitarian codes'!$A$2:$A$10,1,FALSE)=LEFT(B692,2),"Yes","Error"),"No")</f>
        <v>No</v>
      </c>
      <c r="AE692" s="1"/>
      <c r="AF692" s="1"/>
    </row>
    <row r="693" spans="1:32" hidden="1" x14ac:dyDescent="0.25">
      <c r="A693" t="s">
        <v>1152</v>
      </c>
      <c r="B693" t="s">
        <v>1034</v>
      </c>
      <c r="C693" t="s">
        <v>1035</v>
      </c>
      <c r="D693" t="s">
        <v>484</v>
      </c>
      <c r="E693" t="s">
        <v>132</v>
      </c>
      <c r="F693">
        <v>4500437710</v>
      </c>
      <c r="G693" t="s">
        <v>12</v>
      </c>
      <c r="H693" t="s">
        <v>1037</v>
      </c>
      <c r="I693" t="s">
        <v>132</v>
      </c>
      <c r="J693" s="1">
        <v>11682743.83</v>
      </c>
      <c r="K693" s="1">
        <v>11682743.83</v>
      </c>
      <c r="L693" t="str">
        <f>IFERROR(IF(VLOOKUP(LEFT(B693,2),'Humanitarian codes'!$A$2:$A$10,1,FALSE)=LEFT(B693,2),"Yes","Error"),"No")</f>
        <v>No</v>
      </c>
      <c r="AE693" s="1"/>
      <c r="AF693" s="1"/>
    </row>
    <row r="694" spans="1:32" hidden="1" x14ac:dyDescent="0.25">
      <c r="A694" t="s">
        <v>1152</v>
      </c>
      <c r="B694" t="s">
        <v>1038</v>
      </c>
      <c r="C694" t="s">
        <v>1039</v>
      </c>
      <c r="D694" t="s">
        <v>484</v>
      </c>
      <c r="E694" t="s">
        <v>534</v>
      </c>
      <c r="F694">
        <v>4500430617</v>
      </c>
      <c r="G694" t="s">
        <v>12</v>
      </c>
      <c r="H694" t="s">
        <v>845</v>
      </c>
      <c r="I694" t="s">
        <v>534</v>
      </c>
      <c r="J694" s="1">
        <v>3000</v>
      </c>
      <c r="K694" s="1">
        <v>6635</v>
      </c>
      <c r="L694" t="str">
        <f>IFERROR(IF(VLOOKUP(LEFT(B694,2),'Humanitarian codes'!$A$2:$A$10,1,FALSE)=LEFT(B694,2),"Yes","Error"),"No")</f>
        <v>No</v>
      </c>
      <c r="AE694" s="1"/>
      <c r="AF694" s="1"/>
    </row>
    <row r="695" spans="1:32" hidden="1" x14ac:dyDescent="0.25">
      <c r="A695" t="s">
        <v>1152</v>
      </c>
      <c r="B695" t="s">
        <v>1040</v>
      </c>
      <c r="C695" t="s">
        <v>1041</v>
      </c>
      <c r="D695" t="s">
        <v>484</v>
      </c>
      <c r="E695" t="s">
        <v>132</v>
      </c>
      <c r="F695">
        <v>4500432313</v>
      </c>
      <c r="G695" t="s">
        <v>12</v>
      </c>
      <c r="H695" t="s">
        <v>1042</v>
      </c>
      <c r="I695" t="s">
        <v>616</v>
      </c>
      <c r="J695" s="1">
        <v>65000</v>
      </c>
      <c r="K695" s="1">
        <v>65000</v>
      </c>
      <c r="L695" t="str">
        <f>IFERROR(IF(VLOOKUP(LEFT(B695,2),'Humanitarian codes'!$A$2:$A$10,1,FALSE)=LEFT(B695,2),"Yes","Error"),"No")</f>
        <v>No</v>
      </c>
      <c r="AF695" s="1"/>
    </row>
    <row r="696" spans="1:32" hidden="1" x14ac:dyDescent="0.25">
      <c r="A696" t="s">
        <v>1152</v>
      </c>
      <c r="B696" t="s">
        <v>1043</v>
      </c>
      <c r="C696" t="s">
        <v>1044</v>
      </c>
      <c r="D696" t="s">
        <v>543</v>
      </c>
      <c r="E696" t="s">
        <v>175</v>
      </c>
      <c r="F696">
        <v>4500447161</v>
      </c>
      <c r="G696" t="s">
        <v>12</v>
      </c>
      <c r="H696" t="s">
        <v>1045</v>
      </c>
      <c r="I696" t="s">
        <v>175</v>
      </c>
      <c r="J696" s="1">
        <v>104752.95</v>
      </c>
      <c r="K696" s="1">
        <v>104752.95</v>
      </c>
      <c r="L696" t="str">
        <f>IFERROR(IF(VLOOKUP(LEFT(B696,2),'Humanitarian codes'!$A$2:$A$10,1,FALSE)=LEFT(B696,2),"Yes","Error"),"No")</f>
        <v>No</v>
      </c>
      <c r="AE696" s="1"/>
      <c r="AF696" s="1"/>
    </row>
    <row r="697" spans="1:32" hidden="1" x14ac:dyDescent="0.25">
      <c r="A697" t="s">
        <v>1152</v>
      </c>
      <c r="B697" t="s">
        <v>1046</v>
      </c>
      <c r="C697" t="s">
        <v>1047</v>
      </c>
      <c r="D697" t="s">
        <v>543</v>
      </c>
      <c r="E697" t="s">
        <v>1048</v>
      </c>
      <c r="F697">
        <v>4500444789</v>
      </c>
      <c r="G697" t="s">
        <v>12</v>
      </c>
      <c r="H697" t="s">
        <v>1049</v>
      </c>
      <c r="I697" t="s">
        <v>1048</v>
      </c>
      <c r="J697" s="1">
        <v>7522.25</v>
      </c>
      <c r="K697" s="1">
        <v>7522.25</v>
      </c>
      <c r="L697" t="str">
        <f>IFERROR(IF(VLOOKUP(LEFT(B697,2),'Humanitarian codes'!$A$2:$A$10,1,FALSE)=LEFT(B697,2),"Yes","Error"),"No")</f>
        <v>No</v>
      </c>
      <c r="AE697" s="1"/>
      <c r="AF697" s="1"/>
    </row>
    <row r="698" spans="1:32" hidden="1" x14ac:dyDescent="0.25">
      <c r="A698" t="s">
        <v>1152</v>
      </c>
      <c r="B698" t="s">
        <v>607</v>
      </c>
      <c r="C698" t="s">
        <v>608</v>
      </c>
      <c r="D698" t="s">
        <v>543</v>
      </c>
      <c r="E698" t="s">
        <v>477</v>
      </c>
      <c r="F698">
        <v>4500435984</v>
      </c>
      <c r="G698" t="s">
        <v>12</v>
      </c>
      <c r="H698" t="s">
        <v>745</v>
      </c>
      <c r="I698" t="s">
        <v>477</v>
      </c>
      <c r="J698" s="1">
        <v>3993.31</v>
      </c>
      <c r="K698" s="1">
        <v>3993.31</v>
      </c>
      <c r="L698" t="str">
        <f>IFERROR(IF(VLOOKUP(LEFT(B698,2),'Humanitarian codes'!$A$2:$A$10,1,FALSE)=LEFT(B698,2),"Yes","Error"),"No")</f>
        <v>No</v>
      </c>
      <c r="AE698" s="1"/>
      <c r="AF698" s="1"/>
    </row>
    <row r="699" spans="1:32" hidden="1" x14ac:dyDescent="0.25">
      <c r="A699" t="s">
        <v>1152</v>
      </c>
      <c r="B699" t="s">
        <v>607</v>
      </c>
      <c r="C699" t="s">
        <v>608</v>
      </c>
      <c r="D699" t="s">
        <v>543</v>
      </c>
      <c r="E699" t="s">
        <v>477</v>
      </c>
      <c r="F699">
        <v>4500444269</v>
      </c>
      <c r="G699" t="s">
        <v>12</v>
      </c>
      <c r="H699" t="s">
        <v>1050</v>
      </c>
      <c r="I699" t="s">
        <v>477</v>
      </c>
      <c r="J699" s="1">
        <v>4000.48</v>
      </c>
      <c r="K699" s="1">
        <v>4000.48</v>
      </c>
      <c r="L699" t="str">
        <f>IFERROR(IF(VLOOKUP(LEFT(B699,2),'Humanitarian codes'!$A$2:$A$10,1,FALSE)=LEFT(B699,2),"Yes","Error"),"No")</f>
        <v>No</v>
      </c>
      <c r="AE699" s="1"/>
      <c r="AF699" s="1"/>
    </row>
    <row r="700" spans="1:32" hidden="1" x14ac:dyDescent="0.25">
      <c r="A700" t="s">
        <v>1152</v>
      </c>
      <c r="B700" t="s">
        <v>607</v>
      </c>
      <c r="C700" t="s">
        <v>608</v>
      </c>
      <c r="D700" t="s">
        <v>543</v>
      </c>
      <c r="E700" t="s">
        <v>477</v>
      </c>
      <c r="F700">
        <v>4500450330</v>
      </c>
      <c r="G700" t="s">
        <v>12</v>
      </c>
      <c r="H700" t="s">
        <v>612</v>
      </c>
      <c r="I700" t="s">
        <v>477</v>
      </c>
      <c r="J700" s="1">
        <v>3410.93</v>
      </c>
      <c r="K700" s="1">
        <v>3410.93</v>
      </c>
      <c r="L700" t="str">
        <f>IFERROR(IF(VLOOKUP(LEFT(B700,2),'Humanitarian codes'!$A$2:$A$10,1,FALSE)=LEFT(B700,2),"Yes","Error"),"No")</f>
        <v>No</v>
      </c>
      <c r="AE700" s="1"/>
      <c r="AF700" s="1"/>
    </row>
    <row r="701" spans="1:32" hidden="1" x14ac:dyDescent="0.25">
      <c r="A701" t="s">
        <v>1152</v>
      </c>
      <c r="B701" t="s">
        <v>607</v>
      </c>
      <c r="C701" t="s">
        <v>608</v>
      </c>
      <c r="D701" t="s">
        <v>543</v>
      </c>
      <c r="E701" t="s">
        <v>477</v>
      </c>
      <c r="F701">
        <v>4500454329</v>
      </c>
      <c r="G701" t="s">
        <v>12</v>
      </c>
      <c r="H701" t="s">
        <v>1050</v>
      </c>
      <c r="I701" t="s">
        <v>477</v>
      </c>
      <c r="J701" s="1">
        <v>1568.35</v>
      </c>
      <c r="K701" s="1">
        <v>1568.35</v>
      </c>
      <c r="L701" t="str">
        <f>IFERROR(IF(VLOOKUP(LEFT(B701,2),'Humanitarian codes'!$A$2:$A$10,1,FALSE)=LEFT(B701,2),"Yes","Error"),"No")</f>
        <v>No</v>
      </c>
      <c r="AE701" s="1"/>
      <c r="AF701" s="1"/>
    </row>
    <row r="702" spans="1:32" hidden="1" x14ac:dyDescent="0.25">
      <c r="A702" t="s">
        <v>1152</v>
      </c>
      <c r="B702" t="s">
        <v>607</v>
      </c>
      <c r="C702" t="s">
        <v>608</v>
      </c>
      <c r="D702" t="s">
        <v>543</v>
      </c>
      <c r="E702" t="s">
        <v>1051</v>
      </c>
      <c r="F702">
        <v>4500433433</v>
      </c>
      <c r="G702" t="s">
        <v>12</v>
      </c>
      <c r="H702" t="s">
        <v>1052</v>
      </c>
      <c r="I702" t="s">
        <v>1051</v>
      </c>
      <c r="J702" s="1">
        <v>4800</v>
      </c>
      <c r="K702" s="1">
        <v>4800</v>
      </c>
      <c r="L702" t="str">
        <f>IFERROR(IF(VLOOKUP(LEFT(B702,2),'Humanitarian codes'!$A$2:$A$10,1,FALSE)=LEFT(B702,2),"Yes","Error"),"No")</f>
        <v>No</v>
      </c>
      <c r="AE702" s="1"/>
      <c r="AF702" s="1"/>
    </row>
    <row r="703" spans="1:32" hidden="1" x14ac:dyDescent="0.25">
      <c r="A703" t="s">
        <v>1152</v>
      </c>
      <c r="B703" t="s">
        <v>607</v>
      </c>
      <c r="C703" t="s">
        <v>608</v>
      </c>
      <c r="D703" t="s">
        <v>543</v>
      </c>
      <c r="E703" t="s">
        <v>1051</v>
      </c>
      <c r="F703">
        <v>4500433438</v>
      </c>
      <c r="G703" t="s">
        <v>12</v>
      </c>
      <c r="H703" t="s">
        <v>1053</v>
      </c>
      <c r="I703" t="s">
        <v>1051</v>
      </c>
      <c r="J703" s="1">
        <v>4800</v>
      </c>
      <c r="K703" s="1">
        <v>4800</v>
      </c>
      <c r="L703" t="str">
        <f>IFERROR(IF(VLOOKUP(LEFT(B703,2),'Humanitarian codes'!$A$2:$A$10,1,FALSE)=LEFT(B703,2),"Yes","Error"),"No")</f>
        <v>No</v>
      </c>
      <c r="AE703" s="1"/>
      <c r="AF703" s="1"/>
    </row>
    <row r="704" spans="1:32" hidden="1" x14ac:dyDescent="0.25">
      <c r="A704" t="s">
        <v>1152</v>
      </c>
      <c r="B704" t="s">
        <v>607</v>
      </c>
      <c r="C704" t="s">
        <v>608</v>
      </c>
      <c r="D704" t="s">
        <v>543</v>
      </c>
      <c r="E704" t="s">
        <v>1051</v>
      </c>
      <c r="F704">
        <v>4500433442</v>
      </c>
      <c r="G704" t="s">
        <v>12</v>
      </c>
      <c r="H704" t="s">
        <v>1054</v>
      </c>
      <c r="I704" t="s">
        <v>1051</v>
      </c>
      <c r="J704" s="1">
        <v>9280</v>
      </c>
      <c r="K704" s="1">
        <v>9280</v>
      </c>
      <c r="L704" t="str">
        <f>IFERROR(IF(VLOOKUP(LEFT(B704,2),'Humanitarian codes'!$A$2:$A$10,1,FALSE)=LEFT(B704,2),"Yes","Error"),"No")</f>
        <v>No</v>
      </c>
      <c r="AE704" s="1"/>
      <c r="AF704" s="1"/>
    </row>
    <row r="705" spans="1:32" hidden="1" x14ac:dyDescent="0.25">
      <c r="A705" t="s">
        <v>1152</v>
      </c>
      <c r="B705" t="s">
        <v>607</v>
      </c>
      <c r="C705" t="s">
        <v>608</v>
      </c>
      <c r="D705" t="s">
        <v>543</v>
      </c>
      <c r="E705" t="s">
        <v>1051</v>
      </c>
      <c r="F705">
        <v>4500433449</v>
      </c>
      <c r="G705" t="s">
        <v>12</v>
      </c>
      <c r="H705" t="s">
        <v>1055</v>
      </c>
      <c r="I705" t="s">
        <v>1051</v>
      </c>
      <c r="J705" s="1">
        <v>13920</v>
      </c>
      <c r="K705" s="1">
        <v>13920</v>
      </c>
      <c r="L705" t="str">
        <f>IFERROR(IF(VLOOKUP(LEFT(B705,2),'Humanitarian codes'!$A$2:$A$10,1,FALSE)=LEFT(B705,2),"Yes","Error"),"No")</f>
        <v>No</v>
      </c>
      <c r="AE705" s="1"/>
      <c r="AF705" s="1"/>
    </row>
    <row r="706" spans="1:32" hidden="1" x14ac:dyDescent="0.25">
      <c r="A706" t="s">
        <v>1152</v>
      </c>
      <c r="B706" t="s">
        <v>607</v>
      </c>
      <c r="C706" t="s">
        <v>608</v>
      </c>
      <c r="D706" t="s">
        <v>543</v>
      </c>
      <c r="E706" t="s">
        <v>1051</v>
      </c>
      <c r="F706">
        <v>4500434590</v>
      </c>
      <c r="G706" t="s">
        <v>12</v>
      </c>
      <c r="H706" t="s">
        <v>1056</v>
      </c>
      <c r="I706" t="s">
        <v>1051</v>
      </c>
      <c r="J706" s="1">
        <v>4800</v>
      </c>
      <c r="K706" s="1">
        <v>4800</v>
      </c>
      <c r="L706" t="str">
        <f>IFERROR(IF(VLOOKUP(LEFT(B706,2),'Humanitarian codes'!$A$2:$A$10,1,FALSE)=LEFT(B706,2),"Yes","Error"),"No")</f>
        <v>No</v>
      </c>
      <c r="AE706" s="1"/>
      <c r="AF706" s="1"/>
    </row>
    <row r="707" spans="1:32" hidden="1" x14ac:dyDescent="0.25">
      <c r="A707" t="s">
        <v>1152</v>
      </c>
      <c r="B707" t="s">
        <v>607</v>
      </c>
      <c r="C707" t="s">
        <v>608</v>
      </c>
      <c r="D707" t="s">
        <v>543</v>
      </c>
      <c r="E707" t="s">
        <v>1051</v>
      </c>
      <c r="F707">
        <v>4500433453</v>
      </c>
      <c r="G707" t="s">
        <v>12</v>
      </c>
      <c r="H707" t="s">
        <v>1057</v>
      </c>
      <c r="I707" t="s">
        <v>1051</v>
      </c>
      <c r="J707" s="1">
        <v>9280</v>
      </c>
      <c r="K707" s="1">
        <v>9280</v>
      </c>
      <c r="L707" t="str">
        <f>IFERROR(IF(VLOOKUP(LEFT(B707,2),'Humanitarian codes'!$A$2:$A$10,1,FALSE)=LEFT(B707,2),"Yes","Error"),"No")</f>
        <v>No</v>
      </c>
      <c r="AE707" s="1"/>
      <c r="AF707" s="1"/>
    </row>
    <row r="708" spans="1:32" hidden="1" x14ac:dyDescent="0.25">
      <c r="A708" t="s">
        <v>1152</v>
      </c>
      <c r="B708" t="s">
        <v>607</v>
      </c>
      <c r="C708" t="s">
        <v>608</v>
      </c>
      <c r="D708" t="s">
        <v>543</v>
      </c>
      <c r="E708" t="s">
        <v>64</v>
      </c>
      <c r="F708">
        <v>4500446124</v>
      </c>
      <c r="G708" t="s">
        <v>12</v>
      </c>
      <c r="H708" t="s">
        <v>1058</v>
      </c>
      <c r="I708" t="s">
        <v>64</v>
      </c>
      <c r="J708">
        <v>493.07</v>
      </c>
      <c r="K708">
        <v>493.07</v>
      </c>
      <c r="L708" t="str">
        <f>IFERROR(IF(VLOOKUP(LEFT(B708,2),'Humanitarian codes'!$A$2:$A$10,1,FALSE)=LEFT(B708,2),"Yes","Error"),"No")</f>
        <v>No</v>
      </c>
      <c r="AE708" s="1"/>
      <c r="AF708" s="1"/>
    </row>
    <row r="709" spans="1:32" hidden="1" x14ac:dyDescent="0.25">
      <c r="A709" t="s">
        <v>1152</v>
      </c>
      <c r="B709" t="s">
        <v>607</v>
      </c>
      <c r="C709" t="s">
        <v>608</v>
      </c>
      <c r="D709" t="s">
        <v>543</v>
      </c>
      <c r="E709" t="s">
        <v>64</v>
      </c>
      <c r="F709">
        <v>4500446129</v>
      </c>
      <c r="G709" t="s">
        <v>12</v>
      </c>
      <c r="H709" t="s">
        <v>1059</v>
      </c>
      <c r="I709" t="s">
        <v>64</v>
      </c>
      <c r="J709">
        <v>493.07</v>
      </c>
      <c r="K709">
        <v>493.07</v>
      </c>
      <c r="L709" t="str">
        <f>IFERROR(IF(VLOOKUP(LEFT(B709,2),'Humanitarian codes'!$A$2:$A$10,1,FALSE)=LEFT(B709,2),"Yes","Error"),"No")</f>
        <v>No</v>
      </c>
      <c r="AE709" s="1"/>
      <c r="AF709" s="1"/>
    </row>
    <row r="710" spans="1:32" hidden="1" x14ac:dyDescent="0.25">
      <c r="A710" t="s">
        <v>1152</v>
      </c>
      <c r="B710" t="s">
        <v>607</v>
      </c>
      <c r="C710" t="s">
        <v>608</v>
      </c>
      <c r="D710" t="s">
        <v>543</v>
      </c>
      <c r="E710" t="s">
        <v>64</v>
      </c>
      <c r="F710">
        <v>4500447990</v>
      </c>
      <c r="G710" t="s">
        <v>12</v>
      </c>
      <c r="H710" t="s">
        <v>1060</v>
      </c>
      <c r="I710" t="s">
        <v>64</v>
      </c>
      <c r="J710" s="1">
        <v>1933.32</v>
      </c>
      <c r="K710" s="1">
        <v>1933.32</v>
      </c>
      <c r="L710" t="str">
        <f>IFERROR(IF(VLOOKUP(LEFT(B710,2),'Humanitarian codes'!$A$2:$A$10,1,FALSE)=LEFT(B710,2),"Yes","Error"),"No")</f>
        <v>No</v>
      </c>
      <c r="AE710" s="1"/>
      <c r="AF710" s="1"/>
    </row>
    <row r="711" spans="1:32" hidden="1" x14ac:dyDescent="0.25">
      <c r="A711" t="s">
        <v>1152</v>
      </c>
      <c r="B711" t="s">
        <v>607</v>
      </c>
      <c r="C711" t="s">
        <v>608</v>
      </c>
      <c r="D711" t="s">
        <v>543</v>
      </c>
      <c r="E711" t="s">
        <v>64</v>
      </c>
      <c r="F711">
        <v>4500446144</v>
      </c>
      <c r="G711" t="s">
        <v>12</v>
      </c>
      <c r="H711" t="s">
        <v>1061</v>
      </c>
      <c r="I711" t="s">
        <v>64</v>
      </c>
      <c r="J711">
        <v>493.07</v>
      </c>
      <c r="K711">
        <v>493.07</v>
      </c>
      <c r="L711" t="str">
        <f>IFERROR(IF(VLOOKUP(LEFT(B711,2),'Humanitarian codes'!$A$2:$A$10,1,FALSE)=LEFT(B711,2),"Yes","Error"),"No")</f>
        <v>No</v>
      </c>
      <c r="AE711" s="1"/>
      <c r="AF711" s="1"/>
    </row>
    <row r="712" spans="1:32" hidden="1" x14ac:dyDescent="0.25">
      <c r="A712" t="s">
        <v>1152</v>
      </c>
      <c r="B712" t="s">
        <v>1062</v>
      </c>
      <c r="C712" t="s">
        <v>1063</v>
      </c>
      <c r="D712" t="s">
        <v>543</v>
      </c>
      <c r="E712" t="s">
        <v>523</v>
      </c>
      <c r="F712">
        <v>4500435603</v>
      </c>
      <c r="G712" t="s">
        <v>12</v>
      </c>
      <c r="H712" t="s">
        <v>1064</v>
      </c>
      <c r="I712" t="s">
        <v>523</v>
      </c>
      <c r="J712" s="1">
        <v>67267.740000000005</v>
      </c>
      <c r="K712" s="1">
        <v>67267.740000000005</v>
      </c>
      <c r="L712" t="str">
        <f>IFERROR(IF(VLOOKUP(LEFT(B712,2),'Humanitarian codes'!$A$2:$A$10,1,FALSE)=LEFT(B712,2),"Yes","Error"),"No")</f>
        <v>No</v>
      </c>
      <c r="AE712" s="1"/>
      <c r="AF712" s="1"/>
    </row>
    <row r="713" spans="1:32" hidden="1" x14ac:dyDescent="0.25">
      <c r="A713" t="s">
        <v>1152</v>
      </c>
      <c r="B713" t="s">
        <v>617</v>
      </c>
      <c r="C713" t="s">
        <v>618</v>
      </c>
      <c r="D713" t="s">
        <v>543</v>
      </c>
      <c r="E713" t="s">
        <v>64</v>
      </c>
      <c r="F713">
        <v>4500441879</v>
      </c>
      <c r="G713" t="s">
        <v>12</v>
      </c>
      <c r="H713" t="s">
        <v>1065</v>
      </c>
      <c r="I713" t="s">
        <v>64</v>
      </c>
      <c r="J713" s="1">
        <v>2575.64</v>
      </c>
      <c r="K713" s="1">
        <v>2575.64</v>
      </c>
      <c r="L713" t="str">
        <f>IFERROR(IF(VLOOKUP(LEFT(B713,2),'Humanitarian codes'!$A$2:$A$10,1,FALSE)=LEFT(B713,2),"Yes","Error"),"No")</f>
        <v>No</v>
      </c>
      <c r="AE713" s="1"/>
      <c r="AF713" s="1"/>
    </row>
    <row r="714" spans="1:32" hidden="1" x14ac:dyDescent="0.25">
      <c r="A714" t="s">
        <v>1152</v>
      </c>
      <c r="B714" t="s">
        <v>617</v>
      </c>
      <c r="C714" t="s">
        <v>618</v>
      </c>
      <c r="D714" t="s">
        <v>543</v>
      </c>
      <c r="E714" t="s">
        <v>64</v>
      </c>
      <c r="F714">
        <v>4500441888</v>
      </c>
      <c r="G714" t="s">
        <v>12</v>
      </c>
      <c r="H714" t="s">
        <v>1059</v>
      </c>
      <c r="I714" t="s">
        <v>64</v>
      </c>
      <c r="J714" s="1">
        <v>2548.91</v>
      </c>
      <c r="K714" s="1">
        <v>2548.91</v>
      </c>
      <c r="L714" t="str">
        <f>IFERROR(IF(VLOOKUP(LEFT(B714,2),'Humanitarian codes'!$A$2:$A$10,1,FALSE)=LEFT(B714,2),"Yes","Error"),"No")</f>
        <v>No</v>
      </c>
      <c r="AE714" s="1"/>
      <c r="AF714" s="1"/>
    </row>
    <row r="715" spans="1:32" hidden="1" x14ac:dyDescent="0.25">
      <c r="A715" t="s">
        <v>1152</v>
      </c>
      <c r="B715" t="s">
        <v>617</v>
      </c>
      <c r="C715" t="s">
        <v>618</v>
      </c>
      <c r="D715" t="s">
        <v>543</v>
      </c>
      <c r="E715" t="s">
        <v>64</v>
      </c>
      <c r="F715">
        <v>4500441907</v>
      </c>
      <c r="G715" t="s">
        <v>12</v>
      </c>
      <c r="H715" t="s">
        <v>1061</v>
      </c>
      <c r="I715" t="s">
        <v>64</v>
      </c>
      <c r="J715" s="1">
        <v>2659.46</v>
      </c>
      <c r="K715" s="1">
        <v>2659.46</v>
      </c>
      <c r="L715" t="str">
        <f>IFERROR(IF(VLOOKUP(LEFT(B715,2),'Humanitarian codes'!$A$2:$A$10,1,FALSE)=LEFT(B715,2),"Yes","Error"),"No")</f>
        <v>No</v>
      </c>
      <c r="AE715" s="1"/>
      <c r="AF715" s="1"/>
    </row>
    <row r="716" spans="1:32" hidden="1" x14ac:dyDescent="0.25">
      <c r="A716" t="s">
        <v>1152</v>
      </c>
      <c r="B716" t="s">
        <v>617</v>
      </c>
      <c r="C716" t="s">
        <v>618</v>
      </c>
      <c r="D716" t="s">
        <v>543</v>
      </c>
      <c r="E716" t="s">
        <v>64</v>
      </c>
      <c r="F716">
        <v>4500444652</v>
      </c>
      <c r="G716" t="s">
        <v>12</v>
      </c>
      <c r="H716" t="s">
        <v>1059</v>
      </c>
      <c r="I716" t="s">
        <v>64</v>
      </c>
      <c r="J716" s="1">
        <v>2548.91</v>
      </c>
      <c r="K716" s="1">
        <v>2548.91</v>
      </c>
      <c r="L716" t="str">
        <f>IFERROR(IF(VLOOKUP(LEFT(B716,2),'Humanitarian codes'!$A$2:$A$10,1,FALSE)=LEFT(B716,2),"Yes","Error"),"No")</f>
        <v>No</v>
      </c>
      <c r="AE716" s="1"/>
      <c r="AF716" s="1"/>
    </row>
    <row r="717" spans="1:32" hidden="1" x14ac:dyDescent="0.25">
      <c r="A717" t="s">
        <v>1152</v>
      </c>
      <c r="B717" t="s">
        <v>623</v>
      </c>
      <c r="C717" t="s">
        <v>624</v>
      </c>
      <c r="D717" t="s">
        <v>543</v>
      </c>
      <c r="E717" t="s">
        <v>903</v>
      </c>
      <c r="F717">
        <v>4500447310</v>
      </c>
      <c r="G717" t="s">
        <v>12</v>
      </c>
      <c r="H717" t="s">
        <v>950</v>
      </c>
      <c r="I717" t="s">
        <v>903</v>
      </c>
      <c r="J717" s="1">
        <v>52935.74</v>
      </c>
      <c r="K717" s="1">
        <v>60154.25</v>
      </c>
      <c r="L717" t="str">
        <f>IFERROR(IF(VLOOKUP(LEFT(B717,2),'Humanitarian codes'!$A$2:$A$10,1,FALSE)=LEFT(B717,2),"Yes","Error"),"No")</f>
        <v>No</v>
      </c>
      <c r="AE717" s="1"/>
      <c r="AF717" s="1"/>
    </row>
    <row r="718" spans="1:32" hidden="1" x14ac:dyDescent="0.25">
      <c r="A718" t="s">
        <v>1152</v>
      </c>
      <c r="B718" t="s">
        <v>625</v>
      </c>
      <c r="C718" t="s">
        <v>626</v>
      </c>
      <c r="D718" t="s">
        <v>543</v>
      </c>
      <c r="E718" t="s">
        <v>210</v>
      </c>
      <c r="F718">
        <v>4500435921</v>
      </c>
      <c r="G718" t="s">
        <v>12</v>
      </c>
      <c r="H718" t="s">
        <v>216</v>
      </c>
      <c r="I718" t="s">
        <v>210</v>
      </c>
      <c r="J718" s="1">
        <v>3872.04</v>
      </c>
      <c r="K718" s="1">
        <v>242003.12</v>
      </c>
      <c r="L718" t="str">
        <f>IFERROR(IF(VLOOKUP(LEFT(B718,2),'Humanitarian codes'!$A$2:$A$10,1,FALSE)=LEFT(B718,2),"Yes","Error"),"No")</f>
        <v>No</v>
      </c>
      <c r="AE718" s="1"/>
      <c r="AF718" s="1"/>
    </row>
    <row r="719" spans="1:32" hidden="1" x14ac:dyDescent="0.25">
      <c r="A719" t="s">
        <v>1152</v>
      </c>
      <c r="B719" t="s">
        <v>1066</v>
      </c>
      <c r="C719" t="s">
        <v>1067</v>
      </c>
      <c r="D719" t="s">
        <v>543</v>
      </c>
      <c r="E719" t="s">
        <v>1068</v>
      </c>
      <c r="F719">
        <v>4500449709</v>
      </c>
      <c r="G719" t="s">
        <v>12</v>
      </c>
      <c r="H719" t="s">
        <v>1069</v>
      </c>
      <c r="I719" t="s">
        <v>16</v>
      </c>
      <c r="J719" s="1">
        <v>48584.5</v>
      </c>
      <c r="K719" s="1">
        <v>48584.5</v>
      </c>
      <c r="L719" t="str">
        <f>IFERROR(IF(VLOOKUP(LEFT(B719,2),'Humanitarian codes'!$A$2:$A$10,1,FALSE)=LEFT(B719,2),"Yes","Error"),"No")</f>
        <v>No</v>
      </c>
      <c r="AE719" s="1"/>
      <c r="AF719" s="1"/>
    </row>
    <row r="720" spans="1:32" hidden="1" x14ac:dyDescent="0.25">
      <c r="A720" t="s">
        <v>1152</v>
      </c>
      <c r="B720" t="s">
        <v>1070</v>
      </c>
      <c r="C720" t="s">
        <v>1071</v>
      </c>
      <c r="D720" t="s">
        <v>543</v>
      </c>
      <c r="E720" t="s">
        <v>54</v>
      </c>
      <c r="F720">
        <v>4500439194</v>
      </c>
      <c r="G720" t="s">
        <v>12</v>
      </c>
      <c r="H720" t="s">
        <v>269</v>
      </c>
      <c r="I720" t="s">
        <v>54</v>
      </c>
      <c r="J720" s="1">
        <v>29484.34</v>
      </c>
      <c r="K720" s="1">
        <v>68763.009999999995</v>
      </c>
      <c r="L720" t="str">
        <f>IFERROR(IF(VLOOKUP(LEFT(B720,2),'Humanitarian codes'!$A$2:$A$10,1,FALSE)=LEFT(B720,2),"Yes","Error"),"No")</f>
        <v>No</v>
      </c>
      <c r="AE720" s="1"/>
      <c r="AF720" s="1"/>
    </row>
    <row r="721" spans="1:32" hidden="1" x14ac:dyDescent="0.25">
      <c r="A721" t="s">
        <v>1152</v>
      </c>
      <c r="B721" t="s">
        <v>1070</v>
      </c>
      <c r="C721" t="s">
        <v>1071</v>
      </c>
      <c r="D721" t="s">
        <v>543</v>
      </c>
      <c r="E721" t="s">
        <v>54</v>
      </c>
      <c r="F721">
        <v>4500439420</v>
      </c>
      <c r="G721" t="s">
        <v>12</v>
      </c>
      <c r="H721" t="s">
        <v>789</v>
      </c>
      <c r="I721" t="s">
        <v>54</v>
      </c>
      <c r="J721" s="1">
        <v>26371.08</v>
      </c>
      <c r="K721" s="1">
        <v>60575.9</v>
      </c>
      <c r="L721" t="str">
        <f>IFERROR(IF(VLOOKUP(LEFT(B721,2),'Humanitarian codes'!$A$2:$A$10,1,FALSE)=LEFT(B721,2),"Yes","Error"),"No")</f>
        <v>No</v>
      </c>
      <c r="AE721" s="1"/>
      <c r="AF721" s="1"/>
    </row>
    <row r="722" spans="1:32" hidden="1" x14ac:dyDescent="0.25">
      <c r="A722" t="s">
        <v>1152</v>
      </c>
      <c r="B722" t="s">
        <v>1070</v>
      </c>
      <c r="C722" t="s">
        <v>1071</v>
      </c>
      <c r="D722" t="s">
        <v>543</v>
      </c>
      <c r="E722" t="s">
        <v>54</v>
      </c>
      <c r="F722">
        <v>4500439423</v>
      </c>
      <c r="G722" t="s">
        <v>12</v>
      </c>
      <c r="H722" t="s">
        <v>278</v>
      </c>
      <c r="I722" t="s">
        <v>54</v>
      </c>
      <c r="J722" s="1">
        <v>12292.53</v>
      </c>
      <c r="K722" s="1">
        <v>55821.89</v>
      </c>
      <c r="L722" t="str">
        <f>IFERROR(IF(VLOOKUP(LEFT(B722,2),'Humanitarian codes'!$A$2:$A$10,1,FALSE)=LEFT(B722,2),"Yes","Error"),"No")</f>
        <v>No</v>
      </c>
      <c r="AE722" s="1"/>
      <c r="AF722" s="1"/>
    </row>
    <row r="723" spans="1:32" hidden="1" x14ac:dyDescent="0.25">
      <c r="A723" t="s">
        <v>1152</v>
      </c>
      <c r="B723" t="s">
        <v>1070</v>
      </c>
      <c r="C723" t="s">
        <v>1071</v>
      </c>
      <c r="D723" t="s">
        <v>543</v>
      </c>
      <c r="E723" t="s">
        <v>54</v>
      </c>
      <c r="F723">
        <v>4500439425</v>
      </c>
      <c r="G723" t="s">
        <v>12</v>
      </c>
      <c r="H723" t="s">
        <v>276</v>
      </c>
      <c r="I723" t="s">
        <v>54</v>
      </c>
      <c r="J723" s="1">
        <v>11975.9</v>
      </c>
      <c r="K723" s="1">
        <v>64975.9</v>
      </c>
      <c r="L723" t="str">
        <f>IFERROR(IF(VLOOKUP(LEFT(B723,2),'Humanitarian codes'!$A$2:$A$10,1,FALSE)=LEFT(B723,2),"Yes","Error"),"No")</f>
        <v>No</v>
      </c>
      <c r="AE723" s="1"/>
      <c r="AF723" s="1"/>
    </row>
    <row r="724" spans="1:32" hidden="1" x14ac:dyDescent="0.25">
      <c r="A724" t="s">
        <v>1152</v>
      </c>
      <c r="B724" t="s">
        <v>1070</v>
      </c>
      <c r="C724" t="s">
        <v>1071</v>
      </c>
      <c r="D724" t="s">
        <v>543</v>
      </c>
      <c r="E724" t="s">
        <v>54</v>
      </c>
      <c r="F724">
        <v>4500439428</v>
      </c>
      <c r="G724" t="s">
        <v>12</v>
      </c>
      <c r="H724" t="s">
        <v>273</v>
      </c>
      <c r="I724" t="s">
        <v>54</v>
      </c>
      <c r="J724" s="1">
        <v>11226.51</v>
      </c>
      <c r="K724" s="1">
        <v>53792.78</v>
      </c>
      <c r="L724" t="str">
        <f>IFERROR(IF(VLOOKUP(LEFT(B724,2),'Humanitarian codes'!$A$2:$A$10,1,FALSE)=LEFT(B724,2),"Yes","Error"),"No")</f>
        <v>No</v>
      </c>
      <c r="AE724" s="1"/>
      <c r="AF724" s="1"/>
    </row>
    <row r="725" spans="1:32" hidden="1" x14ac:dyDescent="0.25">
      <c r="A725" t="s">
        <v>1152</v>
      </c>
      <c r="B725" t="s">
        <v>1070</v>
      </c>
      <c r="C725" t="s">
        <v>1071</v>
      </c>
      <c r="D725" t="s">
        <v>543</v>
      </c>
      <c r="E725" t="s">
        <v>54</v>
      </c>
      <c r="F725">
        <v>4500439430</v>
      </c>
      <c r="G725" t="s">
        <v>12</v>
      </c>
      <c r="H725" t="s">
        <v>275</v>
      </c>
      <c r="I725" t="s">
        <v>54</v>
      </c>
      <c r="J725" s="1">
        <v>3278.07</v>
      </c>
      <c r="K725" s="1">
        <v>50565.1</v>
      </c>
      <c r="L725" t="str">
        <f>IFERROR(IF(VLOOKUP(LEFT(B725,2),'Humanitarian codes'!$A$2:$A$10,1,FALSE)=LEFT(B725,2),"Yes","Error"),"No")</f>
        <v>No</v>
      </c>
      <c r="AE725" s="1"/>
      <c r="AF725" s="1"/>
    </row>
    <row r="726" spans="1:32" hidden="1" x14ac:dyDescent="0.25">
      <c r="A726" t="s">
        <v>1152</v>
      </c>
      <c r="B726" t="s">
        <v>1070</v>
      </c>
      <c r="C726" t="s">
        <v>1071</v>
      </c>
      <c r="D726" t="s">
        <v>543</v>
      </c>
      <c r="E726" t="s">
        <v>54</v>
      </c>
      <c r="F726">
        <v>4500439433</v>
      </c>
      <c r="G726" t="s">
        <v>12</v>
      </c>
      <c r="H726" t="s">
        <v>280</v>
      </c>
      <c r="I726" t="s">
        <v>54</v>
      </c>
      <c r="J726" s="1">
        <v>6644.58</v>
      </c>
      <c r="K726" s="1">
        <v>111029.16</v>
      </c>
      <c r="L726" t="str">
        <f>IFERROR(IF(VLOOKUP(LEFT(B726,2),'Humanitarian codes'!$A$2:$A$10,1,FALSE)=LEFT(B726,2),"Yes","Error"),"No")</f>
        <v>No</v>
      </c>
      <c r="AE726" s="1"/>
      <c r="AF726" s="1"/>
    </row>
    <row r="727" spans="1:32" hidden="1" x14ac:dyDescent="0.25">
      <c r="A727" t="s">
        <v>1152</v>
      </c>
      <c r="B727" t="s">
        <v>1070</v>
      </c>
      <c r="C727" t="s">
        <v>1071</v>
      </c>
      <c r="D727" t="s">
        <v>543</v>
      </c>
      <c r="E727" t="s">
        <v>54</v>
      </c>
      <c r="F727">
        <v>4500440064</v>
      </c>
      <c r="G727" t="s">
        <v>12</v>
      </c>
      <c r="H727" t="s">
        <v>790</v>
      </c>
      <c r="I727" t="s">
        <v>54</v>
      </c>
      <c r="J727" s="1">
        <v>11638.55</v>
      </c>
      <c r="K727" s="1">
        <v>61348.19</v>
      </c>
      <c r="L727" t="str">
        <f>IFERROR(IF(VLOOKUP(LEFT(B727,2),'Humanitarian codes'!$A$2:$A$10,1,FALSE)=LEFT(B727,2),"Yes","Error"),"No")</f>
        <v>No</v>
      </c>
      <c r="AE727" s="1"/>
      <c r="AF727" s="1"/>
    </row>
    <row r="728" spans="1:32" hidden="1" x14ac:dyDescent="0.25">
      <c r="A728" t="s">
        <v>1152</v>
      </c>
      <c r="B728" t="s">
        <v>1070</v>
      </c>
      <c r="C728" t="s">
        <v>1071</v>
      </c>
      <c r="D728" t="s">
        <v>543</v>
      </c>
      <c r="E728" t="s">
        <v>54</v>
      </c>
      <c r="F728">
        <v>4500442471</v>
      </c>
      <c r="G728" t="s">
        <v>12</v>
      </c>
      <c r="H728" t="s">
        <v>1072</v>
      </c>
      <c r="I728" t="s">
        <v>54</v>
      </c>
      <c r="J728" s="1">
        <v>4433.7299999999996</v>
      </c>
      <c r="K728" s="1">
        <v>4433.7299999999996</v>
      </c>
      <c r="L728" t="str">
        <f>IFERROR(IF(VLOOKUP(LEFT(B728,2),'Humanitarian codes'!$A$2:$A$10,1,FALSE)=LEFT(B728,2),"Yes","Error"),"No")</f>
        <v>No</v>
      </c>
      <c r="AE728" s="1"/>
      <c r="AF728" s="1"/>
    </row>
    <row r="729" spans="1:32" hidden="1" x14ac:dyDescent="0.25">
      <c r="A729" t="s">
        <v>1152</v>
      </c>
      <c r="B729" t="s">
        <v>1070</v>
      </c>
      <c r="C729" t="s">
        <v>1071</v>
      </c>
      <c r="D729" t="s">
        <v>543</v>
      </c>
      <c r="E729" t="s">
        <v>54</v>
      </c>
      <c r="F729">
        <v>4500443661</v>
      </c>
      <c r="G729" t="s">
        <v>12</v>
      </c>
      <c r="H729" t="s">
        <v>1073</v>
      </c>
      <c r="I729" t="s">
        <v>54</v>
      </c>
      <c r="J729" s="1">
        <v>4783.13</v>
      </c>
      <c r="K729" s="1">
        <v>4783.13</v>
      </c>
      <c r="L729" t="str">
        <f>IFERROR(IF(VLOOKUP(LEFT(B729,2),'Humanitarian codes'!$A$2:$A$10,1,FALSE)=LEFT(B729,2),"Yes","Error"),"No")</f>
        <v>No</v>
      </c>
      <c r="AE729" s="1"/>
      <c r="AF729" s="1"/>
    </row>
    <row r="730" spans="1:32" hidden="1" x14ac:dyDescent="0.25">
      <c r="A730" t="s">
        <v>1152</v>
      </c>
      <c r="B730" t="s">
        <v>1070</v>
      </c>
      <c r="C730" t="s">
        <v>1071</v>
      </c>
      <c r="D730" t="s">
        <v>543</v>
      </c>
      <c r="E730" t="s">
        <v>54</v>
      </c>
      <c r="F730">
        <v>4500446430</v>
      </c>
      <c r="G730" t="s">
        <v>12</v>
      </c>
      <c r="H730" t="s">
        <v>1074</v>
      </c>
      <c r="I730" t="s">
        <v>54</v>
      </c>
      <c r="J730" s="1">
        <v>4819.28</v>
      </c>
      <c r="K730" s="1">
        <v>4819.28</v>
      </c>
      <c r="L730" t="str">
        <f>IFERROR(IF(VLOOKUP(LEFT(B730,2),'Humanitarian codes'!$A$2:$A$10,1,FALSE)=LEFT(B730,2),"Yes","Error"),"No")</f>
        <v>No</v>
      </c>
      <c r="AE730" s="1"/>
      <c r="AF730" s="1"/>
    </row>
    <row r="731" spans="1:32" hidden="1" x14ac:dyDescent="0.25">
      <c r="A731" t="s">
        <v>1152</v>
      </c>
      <c r="B731" t="s">
        <v>1075</v>
      </c>
      <c r="C731" t="s">
        <v>1076</v>
      </c>
      <c r="D731" t="s">
        <v>543</v>
      </c>
      <c r="E731" t="s">
        <v>903</v>
      </c>
      <c r="F731">
        <v>4500449524</v>
      </c>
      <c r="G731" t="s">
        <v>12</v>
      </c>
      <c r="H731" t="s">
        <v>1077</v>
      </c>
      <c r="I731" t="s">
        <v>903</v>
      </c>
      <c r="J731" s="1">
        <v>176978.07</v>
      </c>
      <c r="K731" s="1">
        <v>176978.07</v>
      </c>
      <c r="L731" t="str">
        <f>IFERROR(IF(VLOOKUP(LEFT(B731,2),'Humanitarian codes'!$A$2:$A$10,1,FALSE)=LEFT(B731,2),"Yes","Error"),"No")</f>
        <v>No</v>
      </c>
      <c r="AE731" s="1"/>
      <c r="AF731" s="1"/>
    </row>
    <row r="732" spans="1:32" hidden="1" x14ac:dyDescent="0.25">
      <c r="A732" t="s">
        <v>1152</v>
      </c>
      <c r="B732" t="s">
        <v>1078</v>
      </c>
      <c r="C732" t="s">
        <v>1079</v>
      </c>
      <c r="D732" t="s">
        <v>543</v>
      </c>
      <c r="E732" t="s">
        <v>534</v>
      </c>
      <c r="F732">
        <v>4500443581</v>
      </c>
      <c r="G732" t="s">
        <v>12</v>
      </c>
      <c r="H732" t="s">
        <v>1080</v>
      </c>
      <c r="I732" t="s">
        <v>534</v>
      </c>
      <c r="J732" s="1">
        <v>75675.679999999993</v>
      </c>
      <c r="K732" s="1">
        <v>75675.679999999993</v>
      </c>
      <c r="L732" t="str">
        <f>IFERROR(IF(VLOOKUP(LEFT(B732,2),'Humanitarian codes'!$A$2:$A$10,1,FALSE)=LEFT(B732,2),"Yes","Error"),"No")</f>
        <v>No</v>
      </c>
      <c r="AE732" s="1"/>
      <c r="AF732" s="1"/>
    </row>
    <row r="733" spans="1:32" hidden="1" x14ac:dyDescent="0.25">
      <c r="A733" t="s">
        <v>1152</v>
      </c>
      <c r="B733" t="s">
        <v>1081</v>
      </c>
      <c r="C733" t="s">
        <v>1082</v>
      </c>
      <c r="D733" t="s">
        <v>543</v>
      </c>
      <c r="E733" t="s">
        <v>25</v>
      </c>
      <c r="F733">
        <v>4500447974</v>
      </c>
      <c r="G733" t="s">
        <v>12</v>
      </c>
      <c r="H733" t="s">
        <v>1083</v>
      </c>
      <c r="I733" t="s">
        <v>25</v>
      </c>
      <c r="J733" s="1">
        <v>66134.02</v>
      </c>
      <c r="K733" s="1">
        <v>66134.02</v>
      </c>
      <c r="L733" t="str">
        <f>IFERROR(IF(VLOOKUP(LEFT(B733,2),'Humanitarian codes'!$A$2:$A$10,1,FALSE)=LEFT(B733,2),"Yes","Error"),"No")</f>
        <v>No</v>
      </c>
      <c r="AE733" s="1"/>
      <c r="AF733" s="1"/>
    </row>
    <row r="734" spans="1:32" hidden="1" x14ac:dyDescent="0.25">
      <c r="A734" t="s">
        <v>1152</v>
      </c>
      <c r="B734" t="s">
        <v>1078</v>
      </c>
      <c r="C734" t="s">
        <v>1079</v>
      </c>
      <c r="D734" t="s">
        <v>543</v>
      </c>
      <c r="E734" t="s">
        <v>534</v>
      </c>
      <c r="F734">
        <v>4500443585</v>
      </c>
      <c r="G734" t="s">
        <v>12</v>
      </c>
      <c r="H734" t="s">
        <v>1084</v>
      </c>
      <c r="I734" t="s">
        <v>534</v>
      </c>
      <c r="J734" s="1">
        <v>75425.95</v>
      </c>
      <c r="K734" s="1">
        <v>75425.95</v>
      </c>
      <c r="L734" t="str">
        <f>IFERROR(IF(VLOOKUP(LEFT(B734,2),'Humanitarian codes'!$A$2:$A$10,1,FALSE)=LEFT(B734,2),"Yes","Error"),"No")</f>
        <v>No</v>
      </c>
      <c r="AE734" s="1"/>
      <c r="AF734" s="1"/>
    </row>
    <row r="735" spans="1:32" hidden="1" x14ac:dyDescent="0.25">
      <c r="A735" t="s">
        <v>1152</v>
      </c>
      <c r="B735" t="s">
        <v>639</v>
      </c>
      <c r="C735" t="s">
        <v>640</v>
      </c>
      <c r="D735" t="s">
        <v>543</v>
      </c>
      <c r="E735" t="s">
        <v>25</v>
      </c>
      <c r="F735">
        <v>4500445822</v>
      </c>
      <c r="G735" t="s">
        <v>12</v>
      </c>
      <c r="H735" t="s">
        <v>1085</v>
      </c>
      <c r="I735" t="s">
        <v>25</v>
      </c>
      <c r="J735" s="1">
        <v>126211.63</v>
      </c>
      <c r="K735" s="1">
        <v>126211.63</v>
      </c>
      <c r="L735" t="str">
        <f>IFERROR(IF(VLOOKUP(LEFT(B735,2),'Humanitarian codes'!$A$2:$A$10,1,FALSE)=LEFT(B735,2),"Yes","Error"),"No")</f>
        <v>No</v>
      </c>
      <c r="AE735" s="1"/>
      <c r="AF735" s="1"/>
    </row>
    <row r="736" spans="1:32" hidden="1" x14ac:dyDescent="0.25">
      <c r="A736" t="s">
        <v>1152</v>
      </c>
      <c r="B736" t="s">
        <v>1086</v>
      </c>
      <c r="C736" t="s">
        <v>1087</v>
      </c>
      <c r="D736" t="s">
        <v>543</v>
      </c>
      <c r="E736" t="s">
        <v>890</v>
      </c>
      <c r="F736">
        <v>4500439879</v>
      </c>
      <c r="G736" t="s">
        <v>12</v>
      </c>
      <c r="H736" t="s">
        <v>1088</v>
      </c>
      <c r="I736" t="s">
        <v>890</v>
      </c>
      <c r="J736" s="1">
        <v>18380.75</v>
      </c>
      <c r="K736" s="1">
        <v>18380.75</v>
      </c>
      <c r="L736" t="str">
        <f>IFERROR(IF(VLOOKUP(LEFT(B736,2),'Humanitarian codes'!$A$2:$A$10,1,FALSE)=LEFT(B736,2),"Yes","Error"),"No")</f>
        <v>No</v>
      </c>
      <c r="AE736" s="1"/>
      <c r="AF736" s="1"/>
    </row>
    <row r="737" spans="1:32" hidden="1" x14ac:dyDescent="0.25">
      <c r="A737" t="s">
        <v>1152</v>
      </c>
      <c r="B737" t="s">
        <v>1086</v>
      </c>
      <c r="C737" t="s">
        <v>1087</v>
      </c>
      <c r="D737" t="s">
        <v>543</v>
      </c>
      <c r="E737" t="s">
        <v>890</v>
      </c>
      <c r="F737">
        <v>4500449425</v>
      </c>
      <c r="G737" t="s">
        <v>12</v>
      </c>
      <c r="H737" t="s">
        <v>1089</v>
      </c>
      <c r="I737" t="s">
        <v>890</v>
      </c>
      <c r="J737" s="1">
        <v>30813.84</v>
      </c>
      <c r="K737" s="1">
        <v>30813.84</v>
      </c>
      <c r="L737" t="str">
        <f>IFERROR(IF(VLOOKUP(LEFT(B737,2),'Humanitarian codes'!$A$2:$A$10,1,FALSE)=LEFT(B737,2),"Yes","Error"),"No")</f>
        <v>No</v>
      </c>
      <c r="AE737" s="1"/>
      <c r="AF737" s="1"/>
    </row>
    <row r="738" spans="1:32" hidden="1" x14ac:dyDescent="0.25">
      <c r="A738" t="s">
        <v>1152</v>
      </c>
      <c r="B738" t="s">
        <v>644</v>
      </c>
      <c r="C738" t="s">
        <v>645</v>
      </c>
      <c r="D738" t="s">
        <v>543</v>
      </c>
      <c r="E738" t="s">
        <v>45</v>
      </c>
      <c r="F738">
        <v>4500451526</v>
      </c>
      <c r="G738" t="s">
        <v>12</v>
      </c>
      <c r="H738" t="s">
        <v>667</v>
      </c>
      <c r="I738" t="s">
        <v>45</v>
      </c>
      <c r="J738" s="1">
        <v>80000</v>
      </c>
      <c r="K738" s="1">
        <v>80000</v>
      </c>
      <c r="L738" t="str">
        <f>IFERROR(IF(VLOOKUP(LEFT(B738,2),'Humanitarian codes'!$A$2:$A$10,1,FALSE)=LEFT(B738,2),"Yes","Error"),"No")</f>
        <v>No</v>
      </c>
      <c r="AE738" s="1"/>
      <c r="AF738" s="1"/>
    </row>
    <row r="739" spans="1:32" hidden="1" x14ac:dyDescent="0.25">
      <c r="A739" t="s">
        <v>1152</v>
      </c>
      <c r="B739" t="s">
        <v>1090</v>
      </c>
      <c r="C739" t="s">
        <v>1091</v>
      </c>
      <c r="D739" t="s">
        <v>543</v>
      </c>
      <c r="E739" t="s">
        <v>32</v>
      </c>
      <c r="F739">
        <v>4500438162</v>
      </c>
      <c r="G739" t="s">
        <v>12</v>
      </c>
      <c r="H739" t="s">
        <v>1092</v>
      </c>
      <c r="I739" t="s">
        <v>985</v>
      </c>
      <c r="J739" s="1">
        <v>324324.32</v>
      </c>
      <c r="K739" s="1">
        <v>324324.32</v>
      </c>
      <c r="L739" t="str">
        <f>IFERROR(IF(VLOOKUP(LEFT(B739,2),'Humanitarian codes'!$A$2:$A$10,1,FALSE)=LEFT(B739,2),"Yes","Error"),"No")</f>
        <v>No</v>
      </c>
      <c r="AE739" s="1"/>
      <c r="AF739" s="1"/>
    </row>
    <row r="740" spans="1:32" hidden="1" x14ac:dyDescent="0.25">
      <c r="A740" t="s">
        <v>1152</v>
      </c>
      <c r="B740" t="s">
        <v>1090</v>
      </c>
      <c r="C740" t="s">
        <v>1091</v>
      </c>
      <c r="D740" t="s">
        <v>543</v>
      </c>
      <c r="E740" t="s">
        <v>32</v>
      </c>
      <c r="F740">
        <v>4500442898</v>
      </c>
      <c r="G740" t="s">
        <v>12</v>
      </c>
      <c r="H740" t="s">
        <v>1093</v>
      </c>
      <c r="I740" t="s">
        <v>32</v>
      </c>
      <c r="J740" s="1">
        <v>405405.41</v>
      </c>
      <c r="K740" s="1">
        <v>405405.41</v>
      </c>
      <c r="L740" t="str">
        <f>IFERROR(IF(VLOOKUP(LEFT(B740,2),'Humanitarian codes'!$A$2:$A$10,1,FALSE)=LEFT(B740,2),"Yes","Error"),"No")</f>
        <v>No</v>
      </c>
      <c r="AE740" s="1"/>
      <c r="AF740" s="1"/>
    </row>
    <row r="741" spans="1:32" hidden="1" x14ac:dyDescent="0.25">
      <c r="A741" t="s">
        <v>1152</v>
      </c>
      <c r="B741" t="s">
        <v>1090</v>
      </c>
      <c r="C741" t="s">
        <v>1091</v>
      </c>
      <c r="D741" t="s">
        <v>543</v>
      </c>
      <c r="E741" t="s">
        <v>32</v>
      </c>
      <c r="F741">
        <v>4500452442</v>
      </c>
      <c r="G741" t="s">
        <v>12</v>
      </c>
      <c r="H741" t="s">
        <v>1094</v>
      </c>
      <c r="I741" t="s">
        <v>463</v>
      </c>
      <c r="J741" s="1">
        <v>1108647.47</v>
      </c>
      <c r="K741" s="1">
        <v>1108647.47</v>
      </c>
      <c r="L741" t="str">
        <f>IFERROR(IF(VLOOKUP(LEFT(B741,2),'Humanitarian codes'!$A$2:$A$10,1,FALSE)=LEFT(B741,2),"Yes","Error"),"No")</f>
        <v>No</v>
      </c>
      <c r="AE741" s="1"/>
      <c r="AF741" s="1"/>
    </row>
    <row r="742" spans="1:32" hidden="1" x14ac:dyDescent="0.25">
      <c r="A742" t="s">
        <v>1152</v>
      </c>
      <c r="B742" t="s">
        <v>647</v>
      </c>
      <c r="C742" t="s">
        <v>648</v>
      </c>
      <c r="D742" t="s">
        <v>543</v>
      </c>
      <c r="E742" t="s">
        <v>649</v>
      </c>
      <c r="F742">
        <v>4500439256</v>
      </c>
      <c r="G742" t="s">
        <v>12</v>
      </c>
      <c r="H742" t="s">
        <v>1095</v>
      </c>
      <c r="I742" t="s">
        <v>649</v>
      </c>
      <c r="J742" s="1">
        <v>126285.2</v>
      </c>
      <c r="K742" s="1">
        <v>126285.2</v>
      </c>
      <c r="L742" t="str">
        <f>IFERROR(IF(VLOOKUP(LEFT(B742,2),'Humanitarian codes'!$A$2:$A$10,1,FALSE)=LEFT(B742,2),"Yes","Error"),"No")</f>
        <v>No</v>
      </c>
      <c r="AE742" s="1"/>
      <c r="AF742" s="1"/>
    </row>
    <row r="743" spans="1:32" hidden="1" x14ac:dyDescent="0.25">
      <c r="A743" t="s">
        <v>1152</v>
      </c>
      <c r="B743" t="s">
        <v>1096</v>
      </c>
      <c r="C743" t="s">
        <v>1097</v>
      </c>
      <c r="D743" t="s">
        <v>543</v>
      </c>
      <c r="E743" t="s">
        <v>509</v>
      </c>
      <c r="F743">
        <v>4500444718</v>
      </c>
      <c r="G743" t="s">
        <v>12</v>
      </c>
      <c r="H743" t="s">
        <v>1098</v>
      </c>
      <c r="I743" t="s">
        <v>581</v>
      </c>
      <c r="J743" s="1">
        <v>107330.8</v>
      </c>
      <c r="K743" s="1">
        <v>107330.8</v>
      </c>
      <c r="L743" t="str">
        <f>IFERROR(IF(VLOOKUP(LEFT(B743,2),'Humanitarian codes'!$A$2:$A$10,1,FALSE)=LEFT(B743,2),"Yes","Error"),"No")</f>
        <v>No</v>
      </c>
      <c r="AE743" s="1"/>
      <c r="AF743" s="1"/>
    </row>
    <row r="744" spans="1:32" hidden="1" x14ac:dyDescent="0.25">
      <c r="A744" t="s">
        <v>1152</v>
      </c>
      <c r="B744" t="s">
        <v>1096</v>
      </c>
      <c r="C744" t="s">
        <v>1097</v>
      </c>
      <c r="D744" t="s">
        <v>543</v>
      </c>
      <c r="E744" t="s">
        <v>509</v>
      </c>
      <c r="F744">
        <v>4500444723</v>
      </c>
      <c r="G744" t="s">
        <v>12</v>
      </c>
      <c r="H744" t="s">
        <v>1099</v>
      </c>
      <c r="I744" t="s">
        <v>305</v>
      </c>
      <c r="J744" s="1">
        <v>16654.05</v>
      </c>
      <c r="K744" s="1">
        <v>16654.05</v>
      </c>
      <c r="L744" t="str">
        <f>IFERROR(IF(VLOOKUP(LEFT(B744,2),'Humanitarian codes'!$A$2:$A$10,1,FALSE)=LEFT(B744,2),"Yes","Error"),"No")</f>
        <v>No</v>
      </c>
      <c r="AE744" s="1"/>
      <c r="AF744" s="1"/>
    </row>
    <row r="745" spans="1:32" hidden="1" x14ac:dyDescent="0.25">
      <c r="A745" t="s">
        <v>1152</v>
      </c>
      <c r="B745" t="s">
        <v>1096</v>
      </c>
      <c r="C745" t="s">
        <v>1097</v>
      </c>
      <c r="D745" t="s">
        <v>543</v>
      </c>
      <c r="E745" t="s">
        <v>509</v>
      </c>
      <c r="F745">
        <v>4500447729</v>
      </c>
      <c r="G745" t="s">
        <v>12</v>
      </c>
      <c r="H745" t="s">
        <v>1100</v>
      </c>
      <c r="I745" t="s">
        <v>509</v>
      </c>
      <c r="J745" s="1">
        <v>41090.9</v>
      </c>
      <c r="K745" s="1">
        <v>41090.9</v>
      </c>
      <c r="L745" t="str">
        <f>IFERROR(IF(VLOOKUP(LEFT(B745,2),'Humanitarian codes'!$A$2:$A$10,1,FALSE)=LEFT(B745,2),"Yes","Error"),"No")</f>
        <v>No</v>
      </c>
      <c r="AE745" s="1"/>
      <c r="AF745" s="1"/>
    </row>
    <row r="746" spans="1:32" hidden="1" x14ac:dyDescent="0.25">
      <c r="A746" t="s">
        <v>1152</v>
      </c>
      <c r="B746" t="s">
        <v>1101</v>
      </c>
      <c r="C746" t="s">
        <v>1102</v>
      </c>
      <c r="D746" t="s">
        <v>543</v>
      </c>
      <c r="E746" t="s">
        <v>150</v>
      </c>
      <c r="F746">
        <v>4500440091</v>
      </c>
      <c r="G746" t="s">
        <v>12</v>
      </c>
      <c r="H746" t="s">
        <v>832</v>
      </c>
      <c r="I746" t="s">
        <v>150</v>
      </c>
      <c r="J746" s="1">
        <v>233371.39</v>
      </c>
      <c r="K746" s="1">
        <v>233371.39</v>
      </c>
      <c r="L746" t="str">
        <f>IFERROR(IF(VLOOKUP(LEFT(B746,2),'Humanitarian codes'!$A$2:$A$10,1,FALSE)=LEFT(B746,2),"Yes","Error"),"No")</f>
        <v>No</v>
      </c>
      <c r="AE746" s="1"/>
      <c r="AF746" s="1"/>
    </row>
    <row r="747" spans="1:32" hidden="1" x14ac:dyDescent="0.25">
      <c r="A747" t="s">
        <v>1152</v>
      </c>
      <c r="B747" t="s">
        <v>1101</v>
      </c>
      <c r="C747" t="s">
        <v>1102</v>
      </c>
      <c r="D747" t="s">
        <v>543</v>
      </c>
      <c r="E747" t="s">
        <v>150</v>
      </c>
      <c r="F747">
        <v>4500432975</v>
      </c>
      <c r="G747" t="s">
        <v>12</v>
      </c>
      <c r="H747" t="s">
        <v>1103</v>
      </c>
      <c r="I747" t="s">
        <v>150</v>
      </c>
      <c r="J747" s="1">
        <v>305590.7</v>
      </c>
      <c r="K747" s="1">
        <v>305590.7</v>
      </c>
      <c r="L747" t="str">
        <f>IFERROR(IF(VLOOKUP(LEFT(B747,2),'Humanitarian codes'!$A$2:$A$10,1,FALSE)=LEFT(B747,2),"Yes","Error"),"No")</f>
        <v>No</v>
      </c>
      <c r="AE747" s="1"/>
      <c r="AF747" s="1"/>
    </row>
    <row r="748" spans="1:32" hidden="1" x14ac:dyDescent="0.25">
      <c r="A748" t="s">
        <v>1152</v>
      </c>
      <c r="B748" t="s">
        <v>1104</v>
      </c>
      <c r="C748" t="s">
        <v>1105</v>
      </c>
      <c r="D748" t="s">
        <v>543</v>
      </c>
      <c r="E748" t="s">
        <v>1106</v>
      </c>
      <c r="F748">
        <v>4500431782</v>
      </c>
      <c r="G748" t="s">
        <v>12</v>
      </c>
      <c r="H748" t="s">
        <v>1107</v>
      </c>
      <c r="I748" t="s">
        <v>1106</v>
      </c>
      <c r="J748" s="1">
        <v>218401.52</v>
      </c>
      <c r="K748" s="1">
        <v>218401.52</v>
      </c>
      <c r="L748" t="str">
        <f>IFERROR(IF(VLOOKUP(LEFT(B748,2),'Humanitarian codes'!$A$2:$A$10,1,FALSE)=LEFT(B748,2),"Yes","Error"),"No")</f>
        <v>No</v>
      </c>
      <c r="AE748" s="1"/>
      <c r="AF748" s="1"/>
    </row>
    <row r="749" spans="1:32" hidden="1" x14ac:dyDescent="0.25">
      <c r="A749" t="s">
        <v>1152</v>
      </c>
      <c r="B749" t="s">
        <v>1104</v>
      </c>
      <c r="C749" t="s">
        <v>1105</v>
      </c>
      <c r="D749" t="s">
        <v>543</v>
      </c>
      <c r="E749" t="s">
        <v>1106</v>
      </c>
      <c r="F749">
        <v>4500443529</v>
      </c>
      <c r="G749" t="s">
        <v>12</v>
      </c>
      <c r="H749" t="s">
        <v>1108</v>
      </c>
      <c r="I749" t="s">
        <v>1106</v>
      </c>
      <c r="J749" s="1">
        <v>71612</v>
      </c>
      <c r="K749" s="1">
        <v>71612</v>
      </c>
      <c r="L749" t="str">
        <f>IFERROR(IF(VLOOKUP(LEFT(B749,2),'Humanitarian codes'!$A$2:$A$10,1,FALSE)=LEFT(B749,2),"Yes","Error"),"No")</f>
        <v>No</v>
      </c>
      <c r="U749" s="1"/>
      <c r="V749" s="1"/>
      <c r="AE749" s="1"/>
      <c r="AF749" s="1"/>
    </row>
    <row r="750" spans="1:32" hidden="1" x14ac:dyDescent="0.25">
      <c r="A750" t="s">
        <v>1152</v>
      </c>
      <c r="B750" t="s">
        <v>651</v>
      </c>
      <c r="C750" t="s">
        <v>652</v>
      </c>
      <c r="D750" t="s">
        <v>543</v>
      </c>
      <c r="E750" t="s">
        <v>45</v>
      </c>
      <c r="F750">
        <v>4500451532</v>
      </c>
      <c r="G750" t="s">
        <v>12</v>
      </c>
      <c r="H750" t="s">
        <v>1109</v>
      </c>
      <c r="I750" t="s">
        <v>45</v>
      </c>
      <c r="J750" s="1">
        <v>60350</v>
      </c>
      <c r="K750" s="1">
        <v>60350</v>
      </c>
      <c r="L750" t="str">
        <f>IFERROR(IF(VLOOKUP(LEFT(B750,2),'Humanitarian codes'!$A$2:$A$10,1,FALSE)=LEFT(B750,2),"Yes","Error"),"No")</f>
        <v>No</v>
      </c>
      <c r="AE750" s="1"/>
      <c r="AF750" s="1"/>
    </row>
    <row r="751" spans="1:32" hidden="1" x14ac:dyDescent="0.25">
      <c r="A751" t="s">
        <v>1152</v>
      </c>
      <c r="B751" t="s">
        <v>651</v>
      </c>
      <c r="C751" t="s">
        <v>652</v>
      </c>
      <c r="D751" t="s">
        <v>543</v>
      </c>
      <c r="E751" t="s">
        <v>45</v>
      </c>
      <c r="F751">
        <v>4500453632</v>
      </c>
      <c r="G751" t="s">
        <v>12</v>
      </c>
      <c r="H751" t="s">
        <v>327</v>
      </c>
      <c r="I751" t="s">
        <v>45</v>
      </c>
      <c r="J751" s="1">
        <v>144700</v>
      </c>
      <c r="K751" s="1">
        <v>144700</v>
      </c>
      <c r="L751" t="str">
        <f>IFERROR(IF(VLOOKUP(LEFT(B751,2),'Humanitarian codes'!$A$2:$A$10,1,FALSE)=LEFT(B751,2),"Yes","Error"),"No")</f>
        <v>No</v>
      </c>
      <c r="AF751" s="1"/>
    </row>
    <row r="752" spans="1:32" hidden="1" x14ac:dyDescent="0.25">
      <c r="A752" t="s">
        <v>1152</v>
      </c>
      <c r="B752" t="s">
        <v>1110</v>
      </c>
      <c r="C752" t="s">
        <v>1111</v>
      </c>
      <c r="D752" t="s">
        <v>1112</v>
      </c>
      <c r="E752" t="s">
        <v>261</v>
      </c>
      <c r="F752">
        <v>4500435937</v>
      </c>
      <c r="G752" t="s">
        <v>12</v>
      </c>
      <c r="H752" t="s">
        <v>1113</v>
      </c>
      <c r="I752" t="s">
        <v>261</v>
      </c>
      <c r="J752" s="1">
        <v>162424.23000000001</v>
      </c>
      <c r="K752" s="1">
        <v>162424.23000000001</v>
      </c>
      <c r="L752" t="str">
        <f>IFERROR(IF(VLOOKUP(LEFT(B752,2),'Humanitarian codes'!$A$2:$A$10,1,FALSE)=LEFT(B752,2),"Yes","Error"),"No")</f>
        <v>No</v>
      </c>
      <c r="AE752" s="1"/>
      <c r="AF752" s="1"/>
    </row>
    <row r="753" spans="1:32" hidden="1" x14ac:dyDescent="0.25">
      <c r="A753" t="s">
        <v>1152</v>
      </c>
      <c r="B753" t="s">
        <v>1110</v>
      </c>
      <c r="C753" t="s">
        <v>1111</v>
      </c>
      <c r="D753" t="s">
        <v>1112</v>
      </c>
      <c r="E753" t="s">
        <v>261</v>
      </c>
      <c r="F753">
        <v>4500447487</v>
      </c>
      <c r="G753" t="s">
        <v>12</v>
      </c>
      <c r="H753" t="s">
        <v>1030</v>
      </c>
      <c r="I753" t="s">
        <v>261</v>
      </c>
      <c r="J753" s="1">
        <v>145235.17000000001</v>
      </c>
      <c r="K753" s="1">
        <v>906530</v>
      </c>
      <c r="L753" t="str">
        <f>IFERROR(IF(VLOOKUP(LEFT(B753,2),'Humanitarian codes'!$A$2:$A$10,1,FALSE)=LEFT(B753,2),"Yes","Error"),"No")</f>
        <v>No</v>
      </c>
      <c r="AE753" s="1"/>
      <c r="AF753" s="1"/>
    </row>
    <row r="754" spans="1:32" hidden="1" x14ac:dyDescent="0.25">
      <c r="A754" t="s">
        <v>1152</v>
      </c>
      <c r="B754" t="s">
        <v>671</v>
      </c>
      <c r="C754" t="s">
        <v>672</v>
      </c>
      <c r="D754" t="s">
        <v>543</v>
      </c>
      <c r="E754" t="s">
        <v>549</v>
      </c>
      <c r="F754">
        <v>4500441900</v>
      </c>
      <c r="G754" t="s">
        <v>12</v>
      </c>
      <c r="H754" t="s">
        <v>673</v>
      </c>
      <c r="I754" t="s">
        <v>549</v>
      </c>
      <c r="J754" s="1">
        <v>11950</v>
      </c>
      <c r="K754" s="1">
        <v>11950</v>
      </c>
      <c r="L754" t="str">
        <f>IFERROR(IF(VLOOKUP(LEFT(B754,2),'Humanitarian codes'!$A$2:$A$10,1,FALSE)=LEFT(B754,2),"Yes","Error"),"No")</f>
        <v>No</v>
      </c>
      <c r="AE754" s="1"/>
      <c r="AF754" s="1"/>
    </row>
    <row r="755" spans="1:32" hidden="1" x14ac:dyDescent="0.25">
      <c r="A755" t="s">
        <v>1152</v>
      </c>
      <c r="B755" t="s">
        <v>671</v>
      </c>
      <c r="C755" t="s">
        <v>672</v>
      </c>
      <c r="D755" t="s">
        <v>543</v>
      </c>
      <c r="E755" t="s">
        <v>549</v>
      </c>
      <c r="F755">
        <v>4500441933</v>
      </c>
      <c r="G755" t="s">
        <v>12</v>
      </c>
      <c r="H755" t="s">
        <v>550</v>
      </c>
      <c r="I755" t="s">
        <v>549</v>
      </c>
      <c r="J755" s="1">
        <v>11950</v>
      </c>
      <c r="K755" s="1">
        <v>11950</v>
      </c>
      <c r="L755" t="str">
        <f>IFERROR(IF(VLOOKUP(LEFT(B755,2),'Humanitarian codes'!$A$2:$A$10,1,FALSE)=LEFT(B755,2),"Yes","Error"),"No")</f>
        <v>No</v>
      </c>
      <c r="AE755" s="1"/>
      <c r="AF755" s="1"/>
    </row>
    <row r="756" spans="1:32" hidden="1" x14ac:dyDescent="0.25">
      <c r="A756" t="s">
        <v>1152</v>
      </c>
      <c r="B756" t="s">
        <v>671</v>
      </c>
      <c r="C756" t="s">
        <v>672</v>
      </c>
      <c r="D756" t="s">
        <v>543</v>
      </c>
      <c r="E756" t="s">
        <v>549</v>
      </c>
      <c r="F756">
        <v>4500443414</v>
      </c>
      <c r="G756" t="s">
        <v>12</v>
      </c>
      <c r="H756" t="s">
        <v>1007</v>
      </c>
      <c r="I756" t="s">
        <v>549</v>
      </c>
      <c r="J756" s="1">
        <v>11950</v>
      </c>
      <c r="K756" s="1">
        <v>11950</v>
      </c>
      <c r="L756" t="str">
        <f>IFERROR(IF(VLOOKUP(LEFT(B756,2),'Humanitarian codes'!$A$2:$A$10,1,FALSE)=LEFT(B756,2),"Yes","Error"),"No")</f>
        <v>No</v>
      </c>
      <c r="AE756" s="1"/>
      <c r="AF756" s="1"/>
    </row>
    <row r="757" spans="1:32" hidden="1" x14ac:dyDescent="0.25">
      <c r="A757" t="s">
        <v>1152</v>
      </c>
      <c r="B757" t="s">
        <v>671</v>
      </c>
      <c r="C757" t="s">
        <v>672</v>
      </c>
      <c r="D757" t="s">
        <v>543</v>
      </c>
      <c r="E757" t="s">
        <v>549</v>
      </c>
      <c r="F757">
        <v>4500443415</v>
      </c>
      <c r="G757" t="s">
        <v>12</v>
      </c>
      <c r="H757" t="s">
        <v>674</v>
      </c>
      <c r="I757" t="s">
        <v>549</v>
      </c>
      <c r="J757" s="1">
        <v>11950</v>
      </c>
      <c r="K757" s="1">
        <v>11950</v>
      </c>
      <c r="L757" t="str">
        <f>IFERROR(IF(VLOOKUP(LEFT(B757,2),'Humanitarian codes'!$A$2:$A$10,1,FALSE)=LEFT(B757,2),"Yes","Error"),"No")</f>
        <v>No</v>
      </c>
      <c r="AE757" s="1"/>
      <c r="AF757" s="1"/>
    </row>
    <row r="758" spans="1:32" hidden="1" x14ac:dyDescent="0.25">
      <c r="A758" t="s">
        <v>1152</v>
      </c>
      <c r="B758" t="s">
        <v>671</v>
      </c>
      <c r="C758" t="s">
        <v>672</v>
      </c>
      <c r="D758" t="s">
        <v>543</v>
      </c>
      <c r="E758" t="s">
        <v>549</v>
      </c>
      <c r="F758">
        <v>4500451654</v>
      </c>
      <c r="G758" t="s">
        <v>12</v>
      </c>
      <c r="H758" t="s">
        <v>673</v>
      </c>
      <c r="I758" t="s">
        <v>549</v>
      </c>
      <c r="J758" s="1">
        <v>4280</v>
      </c>
      <c r="K758" s="1">
        <v>4280</v>
      </c>
      <c r="L758" t="str">
        <f>IFERROR(IF(VLOOKUP(LEFT(B758,2),'Humanitarian codes'!$A$2:$A$10,1,FALSE)=LEFT(B758,2),"Yes","Error"),"No")</f>
        <v>No</v>
      </c>
      <c r="AE758" s="1"/>
      <c r="AF758" s="1"/>
    </row>
    <row r="759" spans="1:32" hidden="1" x14ac:dyDescent="0.25">
      <c r="A759" t="s">
        <v>1152</v>
      </c>
      <c r="B759" t="s">
        <v>671</v>
      </c>
      <c r="C759" t="s">
        <v>672</v>
      </c>
      <c r="D759" t="s">
        <v>543</v>
      </c>
      <c r="E759" t="s">
        <v>549</v>
      </c>
      <c r="F759">
        <v>4500453797</v>
      </c>
      <c r="G759" t="s">
        <v>12</v>
      </c>
      <c r="H759" t="s">
        <v>674</v>
      </c>
      <c r="I759" t="s">
        <v>549</v>
      </c>
      <c r="J759" s="1">
        <v>11525</v>
      </c>
      <c r="K759" s="1">
        <v>11525</v>
      </c>
      <c r="L759" t="str">
        <f>IFERROR(IF(VLOOKUP(LEFT(B759,2),'Humanitarian codes'!$A$2:$A$10,1,FALSE)=LEFT(B759,2),"Yes","Error"),"No")</f>
        <v>No</v>
      </c>
      <c r="AE759" s="1"/>
      <c r="AF759" s="1"/>
    </row>
    <row r="760" spans="1:32" hidden="1" x14ac:dyDescent="0.25">
      <c r="A760" t="s">
        <v>1152</v>
      </c>
      <c r="B760" t="s">
        <v>671</v>
      </c>
      <c r="C760" t="s">
        <v>672</v>
      </c>
      <c r="D760" t="s">
        <v>543</v>
      </c>
      <c r="E760" t="s">
        <v>549</v>
      </c>
      <c r="F760">
        <v>4500451656</v>
      </c>
      <c r="G760" t="s">
        <v>12</v>
      </c>
      <c r="H760" t="s">
        <v>550</v>
      </c>
      <c r="I760" t="s">
        <v>549</v>
      </c>
      <c r="J760" s="1">
        <v>2215</v>
      </c>
      <c r="K760" s="1">
        <v>2215</v>
      </c>
      <c r="L760" t="str">
        <f>IFERROR(IF(VLOOKUP(LEFT(B760,2),'Humanitarian codes'!$A$2:$A$10,1,FALSE)=LEFT(B760,2),"Yes","Error"),"No")</f>
        <v>No</v>
      </c>
      <c r="AE760" s="1"/>
      <c r="AF760" s="1"/>
    </row>
    <row r="761" spans="1:32" hidden="1" x14ac:dyDescent="0.25">
      <c r="A761" t="s">
        <v>1152</v>
      </c>
      <c r="B761" t="s">
        <v>671</v>
      </c>
      <c r="C761" t="s">
        <v>672</v>
      </c>
      <c r="D761" t="s">
        <v>543</v>
      </c>
      <c r="E761" t="s">
        <v>549</v>
      </c>
      <c r="F761">
        <v>4500453798</v>
      </c>
      <c r="G761" t="s">
        <v>12</v>
      </c>
      <c r="H761" t="s">
        <v>1007</v>
      </c>
      <c r="I761" t="s">
        <v>549</v>
      </c>
      <c r="J761" s="1">
        <v>2100</v>
      </c>
      <c r="K761" s="1">
        <v>2100</v>
      </c>
      <c r="L761" t="str">
        <f>IFERROR(IF(VLOOKUP(LEFT(B761,2),'Humanitarian codes'!$A$2:$A$10,1,FALSE)=LEFT(B761,2),"Yes","Error"),"No")</f>
        <v>No</v>
      </c>
      <c r="AE761" s="1"/>
      <c r="AF761" s="1"/>
    </row>
    <row r="762" spans="1:32" hidden="1" x14ac:dyDescent="0.25">
      <c r="A762" t="s">
        <v>1152</v>
      </c>
      <c r="B762" t="s">
        <v>671</v>
      </c>
      <c r="C762" t="s">
        <v>672</v>
      </c>
      <c r="D762" t="s">
        <v>543</v>
      </c>
      <c r="E762" t="s">
        <v>549</v>
      </c>
      <c r="F762">
        <v>4500453822</v>
      </c>
      <c r="G762" t="s">
        <v>12</v>
      </c>
      <c r="H762" t="s">
        <v>1114</v>
      </c>
      <c r="I762" t="s">
        <v>549</v>
      </c>
      <c r="J762" s="1">
        <v>33600</v>
      </c>
      <c r="K762" s="1">
        <v>33600</v>
      </c>
      <c r="L762" t="str">
        <f>IFERROR(IF(VLOOKUP(LEFT(B762,2),'Humanitarian codes'!$A$2:$A$10,1,FALSE)=LEFT(B762,2),"Yes","Error"),"No")</f>
        <v>No</v>
      </c>
      <c r="AE762" s="1"/>
      <c r="AF762" s="1"/>
    </row>
    <row r="763" spans="1:32" hidden="1" x14ac:dyDescent="0.25">
      <c r="A763" t="s">
        <v>1152</v>
      </c>
      <c r="B763" t="s">
        <v>671</v>
      </c>
      <c r="C763" t="s">
        <v>672</v>
      </c>
      <c r="D763" t="s">
        <v>543</v>
      </c>
      <c r="E763" t="s">
        <v>239</v>
      </c>
      <c r="F763">
        <v>4500438740</v>
      </c>
      <c r="G763" t="s">
        <v>12</v>
      </c>
      <c r="H763" t="s">
        <v>1115</v>
      </c>
      <c r="I763" t="s">
        <v>239</v>
      </c>
      <c r="J763" s="1">
        <v>118979.56</v>
      </c>
      <c r="K763" s="1">
        <v>118979.56</v>
      </c>
      <c r="L763" t="str">
        <f>IFERROR(IF(VLOOKUP(LEFT(B763,2),'Humanitarian codes'!$A$2:$A$10,1,FALSE)=LEFT(B763,2),"Yes","Error"),"No")</f>
        <v>No</v>
      </c>
      <c r="AE763" s="1"/>
      <c r="AF763" s="1"/>
    </row>
    <row r="764" spans="1:32" hidden="1" x14ac:dyDescent="0.25">
      <c r="A764" t="s">
        <v>1152</v>
      </c>
      <c r="B764" t="s">
        <v>671</v>
      </c>
      <c r="C764" t="s">
        <v>672</v>
      </c>
      <c r="D764" t="s">
        <v>543</v>
      </c>
      <c r="E764" t="s">
        <v>239</v>
      </c>
      <c r="F764">
        <v>4500453873</v>
      </c>
      <c r="G764" t="s">
        <v>12</v>
      </c>
      <c r="H764" t="s">
        <v>1116</v>
      </c>
      <c r="I764" t="s">
        <v>239</v>
      </c>
      <c r="J764" s="1">
        <v>288976.51</v>
      </c>
      <c r="K764" s="1">
        <v>288976.51</v>
      </c>
      <c r="L764" t="str">
        <f>IFERROR(IF(VLOOKUP(LEFT(B764,2),'Humanitarian codes'!$A$2:$A$10,1,FALSE)=LEFT(B764,2),"Yes","Error"),"No")</f>
        <v>No</v>
      </c>
      <c r="AE764" s="1"/>
      <c r="AF764" s="1"/>
    </row>
    <row r="765" spans="1:32" hidden="1" x14ac:dyDescent="0.25">
      <c r="A765" t="s">
        <v>1152</v>
      </c>
      <c r="B765" t="s">
        <v>671</v>
      </c>
      <c r="C765" t="s">
        <v>672</v>
      </c>
      <c r="D765" t="s">
        <v>543</v>
      </c>
      <c r="E765" t="s">
        <v>239</v>
      </c>
      <c r="F765">
        <v>4500446179</v>
      </c>
      <c r="G765" t="s">
        <v>12</v>
      </c>
      <c r="H765" t="s">
        <v>1117</v>
      </c>
      <c r="I765" t="s">
        <v>239</v>
      </c>
      <c r="J765" s="1">
        <v>109269.49</v>
      </c>
      <c r="K765" s="1">
        <v>109269.49</v>
      </c>
      <c r="L765" t="str">
        <f>IFERROR(IF(VLOOKUP(LEFT(B765,2),'Humanitarian codes'!$A$2:$A$10,1,FALSE)=LEFT(B765,2),"Yes","Error"),"No")</f>
        <v>No</v>
      </c>
      <c r="AE765" s="1"/>
      <c r="AF765" s="1"/>
    </row>
    <row r="766" spans="1:32" hidden="1" x14ac:dyDescent="0.25">
      <c r="A766" t="s">
        <v>1152</v>
      </c>
      <c r="B766" t="s">
        <v>671</v>
      </c>
      <c r="C766" t="s">
        <v>672</v>
      </c>
      <c r="D766" t="s">
        <v>543</v>
      </c>
      <c r="E766" t="s">
        <v>676</v>
      </c>
      <c r="F766">
        <v>4500445915</v>
      </c>
      <c r="G766" t="s">
        <v>12</v>
      </c>
      <c r="H766" t="s">
        <v>1118</v>
      </c>
      <c r="I766" t="s">
        <v>676</v>
      </c>
      <c r="J766" s="1">
        <v>159969</v>
      </c>
      <c r="K766" s="1">
        <v>159969</v>
      </c>
      <c r="L766" t="str">
        <f>IFERROR(IF(VLOOKUP(LEFT(B766,2),'Humanitarian codes'!$A$2:$A$10,1,FALSE)=LEFT(B766,2),"Yes","Error"),"No")</f>
        <v>No</v>
      </c>
      <c r="AE766" s="1"/>
      <c r="AF766" s="1"/>
    </row>
    <row r="767" spans="1:32" hidden="1" x14ac:dyDescent="0.25">
      <c r="A767" t="s">
        <v>1152</v>
      </c>
      <c r="B767" t="s">
        <v>678</v>
      </c>
      <c r="C767" t="s">
        <v>679</v>
      </c>
      <c r="D767" t="s">
        <v>543</v>
      </c>
      <c r="E767" t="s">
        <v>175</v>
      </c>
      <c r="F767">
        <v>4500454215</v>
      </c>
      <c r="G767" t="s">
        <v>12</v>
      </c>
      <c r="H767" t="s">
        <v>680</v>
      </c>
      <c r="I767" t="s">
        <v>175</v>
      </c>
      <c r="J767" s="1">
        <v>205880.78</v>
      </c>
      <c r="K767" s="1">
        <v>205880.78</v>
      </c>
      <c r="L767" t="str">
        <f>IFERROR(IF(VLOOKUP(LEFT(B767,2),'Humanitarian codes'!$A$2:$A$10,1,FALSE)=LEFT(B767,2),"Yes","Error"),"No")</f>
        <v>No</v>
      </c>
      <c r="AE767" s="1"/>
      <c r="AF767" s="1"/>
    </row>
    <row r="768" spans="1:32" hidden="1" x14ac:dyDescent="0.25">
      <c r="A768" t="s">
        <v>1152</v>
      </c>
      <c r="B768" t="s">
        <v>678</v>
      </c>
      <c r="C768" t="s">
        <v>679</v>
      </c>
      <c r="D768" t="s">
        <v>543</v>
      </c>
      <c r="E768" t="s">
        <v>175</v>
      </c>
      <c r="F768">
        <v>4500454221</v>
      </c>
      <c r="G768" t="s">
        <v>12</v>
      </c>
      <c r="H768" t="s">
        <v>681</v>
      </c>
      <c r="I768" t="s">
        <v>175</v>
      </c>
      <c r="J768" s="1">
        <v>186468.91</v>
      </c>
      <c r="K768" s="1">
        <v>186468.91</v>
      </c>
      <c r="L768" t="str">
        <f>IFERROR(IF(VLOOKUP(LEFT(B768,2),'Humanitarian codes'!$A$2:$A$10,1,FALSE)=LEFT(B768,2),"Yes","Error"),"No")</f>
        <v>No</v>
      </c>
      <c r="AE768" s="1"/>
      <c r="AF768" s="1"/>
    </row>
    <row r="769" spans="1:32" hidden="1" x14ac:dyDescent="0.25">
      <c r="A769" t="s">
        <v>1152</v>
      </c>
      <c r="B769" t="s">
        <v>678</v>
      </c>
      <c r="C769" t="s">
        <v>679</v>
      </c>
      <c r="D769" t="s">
        <v>543</v>
      </c>
      <c r="E769" t="s">
        <v>175</v>
      </c>
      <c r="F769">
        <v>4500454231</v>
      </c>
      <c r="G769" t="s">
        <v>12</v>
      </c>
      <c r="H769" t="s">
        <v>1119</v>
      </c>
      <c r="I769" t="s">
        <v>175</v>
      </c>
      <c r="J769" s="1">
        <v>273338.94</v>
      </c>
      <c r="K769" s="1">
        <v>273338.94</v>
      </c>
      <c r="L769" t="str">
        <f>IFERROR(IF(VLOOKUP(LEFT(B769,2),'Humanitarian codes'!$A$2:$A$10,1,FALSE)=LEFT(B769,2),"Yes","Error"),"No")</f>
        <v>No</v>
      </c>
      <c r="AE769" s="1"/>
      <c r="AF769" s="1"/>
    </row>
    <row r="770" spans="1:32" hidden="1" x14ac:dyDescent="0.25">
      <c r="A770" t="s">
        <v>1152</v>
      </c>
      <c r="B770" t="s">
        <v>678</v>
      </c>
      <c r="C770" t="s">
        <v>679</v>
      </c>
      <c r="D770" t="s">
        <v>543</v>
      </c>
      <c r="E770" t="s">
        <v>175</v>
      </c>
      <c r="F770">
        <v>4500454232</v>
      </c>
      <c r="G770" t="s">
        <v>12</v>
      </c>
      <c r="H770" t="s">
        <v>1120</v>
      </c>
      <c r="I770" t="s">
        <v>175</v>
      </c>
      <c r="J770" s="1">
        <v>235912.53</v>
      </c>
      <c r="K770" s="1">
        <v>235912.53</v>
      </c>
      <c r="L770" t="str">
        <f>IFERROR(IF(VLOOKUP(LEFT(B770,2),'Humanitarian codes'!$A$2:$A$10,1,FALSE)=LEFT(B770,2),"Yes","Error"),"No")</f>
        <v>No</v>
      </c>
      <c r="AE770" s="1"/>
      <c r="AF770" s="1"/>
    </row>
    <row r="771" spans="1:32" hidden="1" x14ac:dyDescent="0.25">
      <c r="A771" t="s">
        <v>1152</v>
      </c>
      <c r="B771" t="s">
        <v>678</v>
      </c>
      <c r="C771" t="s">
        <v>679</v>
      </c>
      <c r="D771" t="s">
        <v>543</v>
      </c>
      <c r="E771" t="s">
        <v>175</v>
      </c>
      <c r="F771">
        <v>4500454236</v>
      </c>
      <c r="G771" t="s">
        <v>12</v>
      </c>
      <c r="H771" t="s">
        <v>682</v>
      </c>
      <c r="I771" t="s">
        <v>175</v>
      </c>
      <c r="J771" s="1">
        <v>295380.98</v>
      </c>
      <c r="K771" s="1">
        <v>295380.98</v>
      </c>
      <c r="L771" t="str">
        <f>IFERROR(IF(VLOOKUP(LEFT(B771,2),'Humanitarian codes'!$A$2:$A$10,1,FALSE)=LEFT(B771,2),"Yes","Error"),"No")</f>
        <v>No</v>
      </c>
      <c r="AE771" s="1"/>
      <c r="AF771" s="1"/>
    </row>
    <row r="772" spans="1:32" hidden="1" x14ac:dyDescent="0.25">
      <c r="A772" t="s">
        <v>1152</v>
      </c>
      <c r="B772" t="s">
        <v>678</v>
      </c>
      <c r="C772" t="s">
        <v>679</v>
      </c>
      <c r="D772" t="s">
        <v>543</v>
      </c>
      <c r="E772" t="s">
        <v>175</v>
      </c>
      <c r="F772">
        <v>4500454239</v>
      </c>
      <c r="G772" t="s">
        <v>12</v>
      </c>
      <c r="H772" t="s">
        <v>182</v>
      </c>
      <c r="I772" t="s">
        <v>175</v>
      </c>
      <c r="J772" s="1">
        <v>279646.76</v>
      </c>
      <c r="K772" s="1">
        <v>279646.76</v>
      </c>
      <c r="L772" t="str">
        <f>IFERROR(IF(VLOOKUP(LEFT(B772,2),'Humanitarian codes'!$A$2:$A$10,1,FALSE)=LEFT(B772,2),"Yes","Error"),"No")</f>
        <v>No</v>
      </c>
      <c r="AE772" s="1"/>
      <c r="AF772" s="1"/>
    </row>
    <row r="773" spans="1:32" hidden="1" x14ac:dyDescent="0.25">
      <c r="A773" t="s">
        <v>1152</v>
      </c>
      <c r="B773" t="s">
        <v>1121</v>
      </c>
      <c r="C773" t="s">
        <v>1122</v>
      </c>
      <c r="D773" t="s">
        <v>543</v>
      </c>
      <c r="E773" t="s">
        <v>534</v>
      </c>
      <c r="F773">
        <v>4500433238</v>
      </c>
      <c r="G773" t="s">
        <v>12</v>
      </c>
      <c r="H773" t="s">
        <v>1123</v>
      </c>
      <c r="I773" t="s">
        <v>534</v>
      </c>
      <c r="J773" s="1">
        <v>14412</v>
      </c>
      <c r="K773" s="1">
        <v>14412</v>
      </c>
      <c r="L773" t="str">
        <f>IFERROR(IF(VLOOKUP(LEFT(B773,2),'Humanitarian codes'!$A$2:$A$10,1,FALSE)=LEFT(B773,2),"Yes","Error"),"No")</f>
        <v>No</v>
      </c>
      <c r="AE773" s="1"/>
      <c r="AF773" s="1"/>
    </row>
    <row r="774" spans="1:32" hidden="1" x14ac:dyDescent="0.25">
      <c r="A774" t="s">
        <v>1152</v>
      </c>
      <c r="B774" t="s">
        <v>1124</v>
      </c>
      <c r="C774" t="s">
        <v>1125</v>
      </c>
      <c r="D774" t="s">
        <v>543</v>
      </c>
      <c r="E774" t="s">
        <v>1126</v>
      </c>
      <c r="F774">
        <v>4500434081</v>
      </c>
      <c r="G774" t="s">
        <v>12</v>
      </c>
      <c r="H774" t="s">
        <v>1127</v>
      </c>
      <c r="I774" t="s">
        <v>1126</v>
      </c>
      <c r="J774" s="1">
        <v>206352.31</v>
      </c>
      <c r="K774" s="1">
        <v>206352.31</v>
      </c>
      <c r="L774" t="str">
        <f>IFERROR(IF(VLOOKUP(LEFT(B774,2),'Humanitarian codes'!$A$2:$A$10,1,FALSE)=LEFT(B774,2),"Yes","Error"),"No")</f>
        <v>No</v>
      </c>
      <c r="AE774" s="1"/>
      <c r="AF774" s="1"/>
    </row>
    <row r="775" spans="1:32" hidden="1" x14ac:dyDescent="0.25">
      <c r="A775" t="s">
        <v>1152</v>
      </c>
      <c r="B775" t="s">
        <v>686</v>
      </c>
      <c r="C775" t="s">
        <v>687</v>
      </c>
      <c r="D775" t="s">
        <v>543</v>
      </c>
      <c r="E775" t="s">
        <v>1128</v>
      </c>
      <c r="F775">
        <v>4500451535</v>
      </c>
      <c r="G775" t="s">
        <v>12</v>
      </c>
      <c r="H775" t="s">
        <v>1129</v>
      </c>
      <c r="I775" t="s">
        <v>1128</v>
      </c>
      <c r="J775" s="1">
        <v>163181.87</v>
      </c>
      <c r="K775" s="1">
        <v>163181.87</v>
      </c>
      <c r="L775" t="str">
        <f>IFERROR(IF(VLOOKUP(LEFT(B775,2),'Humanitarian codes'!$A$2:$A$10,1,FALSE)=LEFT(B775,2),"Yes","Error"),"No")</f>
        <v>No</v>
      </c>
      <c r="AE775" s="1"/>
      <c r="AF775" s="1"/>
    </row>
    <row r="776" spans="1:32" hidden="1" x14ac:dyDescent="0.25">
      <c r="A776" t="s">
        <v>1152</v>
      </c>
      <c r="B776" t="s">
        <v>686</v>
      </c>
      <c r="C776" t="s">
        <v>687</v>
      </c>
      <c r="D776" t="s">
        <v>543</v>
      </c>
      <c r="E776" t="s">
        <v>1128</v>
      </c>
      <c r="F776">
        <v>4500451660</v>
      </c>
      <c r="G776" t="s">
        <v>12</v>
      </c>
      <c r="H776" t="s">
        <v>1130</v>
      </c>
      <c r="I776" t="s">
        <v>1128</v>
      </c>
      <c r="J776" s="1">
        <v>217147.53</v>
      </c>
      <c r="K776" s="1">
        <v>217147.53</v>
      </c>
      <c r="L776" t="str">
        <f>IFERROR(IF(VLOOKUP(LEFT(B776,2),'Humanitarian codes'!$A$2:$A$10,1,FALSE)=LEFT(B776,2),"Yes","Error"),"No")</f>
        <v>No</v>
      </c>
      <c r="AE776" s="1"/>
      <c r="AF776" s="1"/>
    </row>
    <row r="777" spans="1:32" hidden="1" x14ac:dyDescent="0.25">
      <c r="A777" t="s">
        <v>1152</v>
      </c>
      <c r="B777" t="s">
        <v>686</v>
      </c>
      <c r="C777" t="s">
        <v>687</v>
      </c>
      <c r="D777" t="s">
        <v>543</v>
      </c>
      <c r="E777" t="s">
        <v>1128</v>
      </c>
      <c r="F777">
        <v>4500452357</v>
      </c>
      <c r="G777" t="s">
        <v>12</v>
      </c>
      <c r="H777" t="s">
        <v>1131</v>
      </c>
      <c r="I777" t="s">
        <v>1128</v>
      </c>
      <c r="J777" s="1">
        <v>223572.02</v>
      </c>
      <c r="K777" s="1">
        <v>223572.02</v>
      </c>
      <c r="L777" t="str">
        <f>IFERROR(IF(VLOOKUP(LEFT(B777,2),'Humanitarian codes'!$A$2:$A$10,1,FALSE)=LEFT(B777,2),"Yes","Error"),"No")</f>
        <v>No</v>
      </c>
      <c r="AE777" s="1"/>
      <c r="AF777" s="1"/>
    </row>
    <row r="778" spans="1:32" hidden="1" x14ac:dyDescent="0.25">
      <c r="A778" t="s">
        <v>1152</v>
      </c>
      <c r="B778" t="s">
        <v>686</v>
      </c>
      <c r="C778" t="s">
        <v>687</v>
      </c>
      <c r="D778" t="s">
        <v>543</v>
      </c>
      <c r="E778" t="s">
        <v>20</v>
      </c>
      <c r="F778">
        <v>4500440224</v>
      </c>
      <c r="G778" t="s">
        <v>12</v>
      </c>
      <c r="H778" t="s">
        <v>690</v>
      </c>
      <c r="I778" t="s">
        <v>20</v>
      </c>
      <c r="J778" s="1">
        <v>11866.5</v>
      </c>
      <c r="K778" s="1">
        <v>11866.5</v>
      </c>
      <c r="L778" t="str">
        <f>IFERROR(IF(VLOOKUP(LEFT(B778,2),'Humanitarian codes'!$A$2:$A$10,1,FALSE)=LEFT(B778,2),"Yes","Error"),"No")</f>
        <v>No</v>
      </c>
      <c r="AE778" s="1"/>
      <c r="AF778" s="1"/>
    </row>
    <row r="779" spans="1:32" hidden="1" x14ac:dyDescent="0.25">
      <c r="A779" t="s">
        <v>1152</v>
      </c>
      <c r="B779" t="s">
        <v>686</v>
      </c>
      <c r="C779" t="s">
        <v>687</v>
      </c>
      <c r="D779" t="s">
        <v>543</v>
      </c>
      <c r="E779" t="s">
        <v>692</v>
      </c>
      <c r="F779">
        <v>4500451232</v>
      </c>
      <c r="G779" t="s">
        <v>12</v>
      </c>
      <c r="H779" t="s">
        <v>1132</v>
      </c>
      <c r="I779" t="s">
        <v>692</v>
      </c>
      <c r="J779" s="1">
        <v>4802.82</v>
      </c>
      <c r="K779" s="1">
        <v>4802.82</v>
      </c>
      <c r="L779" t="str">
        <f>IFERROR(IF(VLOOKUP(LEFT(B779,2),'Humanitarian codes'!$A$2:$A$10,1,FALSE)=LEFT(B779,2),"Yes","Error"),"No")</f>
        <v>No</v>
      </c>
      <c r="AE779" s="1"/>
      <c r="AF779" s="1"/>
    </row>
    <row r="780" spans="1:32" hidden="1" x14ac:dyDescent="0.25">
      <c r="A780" t="s">
        <v>1152</v>
      </c>
      <c r="B780" t="s">
        <v>1133</v>
      </c>
      <c r="C780" t="s">
        <v>1134</v>
      </c>
      <c r="D780" t="s">
        <v>543</v>
      </c>
      <c r="E780" t="s">
        <v>509</v>
      </c>
      <c r="F780">
        <v>4500434041</v>
      </c>
      <c r="G780" t="s">
        <v>12</v>
      </c>
      <c r="H780" t="s">
        <v>1135</v>
      </c>
      <c r="I780" t="s">
        <v>509</v>
      </c>
      <c r="J780" s="1">
        <v>7802.79</v>
      </c>
      <c r="K780" s="1">
        <v>7802.79</v>
      </c>
      <c r="L780" t="str">
        <f>IFERROR(IF(VLOOKUP(LEFT(B780,2),'Humanitarian codes'!$A$2:$A$10,1,FALSE)=LEFT(B780,2),"Yes","Error"),"No")</f>
        <v>No</v>
      </c>
      <c r="AE780" s="1"/>
      <c r="AF780" s="1"/>
    </row>
    <row r="781" spans="1:32" hidden="1" x14ac:dyDescent="0.25">
      <c r="A781" t="s">
        <v>1152</v>
      </c>
      <c r="B781" t="s">
        <v>1133</v>
      </c>
      <c r="C781" t="s">
        <v>1134</v>
      </c>
      <c r="D781" t="s">
        <v>543</v>
      </c>
      <c r="E781" t="s">
        <v>509</v>
      </c>
      <c r="F781">
        <v>4500434043</v>
      </c>
      <c r="G781" t="s">
        <v>12</v>
      </c>
      <c r="H781" t="s">
        <v>1136</v>
      </c>
      <c r="I781" t="s">
        <v>509</v>
      </c>
      <c r="J781" s="1">
        <v>8124.33</v>
      </c>
      <c r="K781" s="1">
        <v>8124.33</v>
      </c>
      <c r="L781" t="str">
        <f>IFERROR(IF(VLOOKUP(LEFT(B781,2),'Humanitarian codes'!$A$2:$A$10,1,FALSE)=LEFT(B781,2),"Yes","Error"),"No")</f>
        <v>No</v>
      </c>
      <c r="AE781" s="1"/>
      <c r="AF781" s="1"/>
    </row>
    <row r="782" spans="1:32" hidden="1" x14ac:dyDescent="0.25">
      <c r="A782" t="s">
        <v>1152</v>
      </c>
      <c r="B782" t="s">
        <v>1133</v>
      </c>
      <c r="C782" t="s">
        <v>1134</v>
      </c>
      <c r="D782" t="s">
        <v>543</v>
      </c>
      <c r="E782" t="s">
        <v>509</v>
      </c>
      <c r="F782">
        <v>4500445128</v>
      </c>
      <c r="G782" t="s">
        <v>12</v>
      </c>
      <c r="H782" t="s">
        <v>1137</v>
      </c>
      <c r="I782" t="s">
        <v>509</v>
      </c>
      <c r="J782" s="1">
        <v>5081.08</v>
      </c>
      <c r="K782" s="1">
        <v>5081.08</v>
      </c>
      <c r="L782" t="str">
        <f>IFERROR(IF(VLOOKUP(LEFT(B782,2),'Humanitarian codes'!$A$2:$A$10,1,FALSE)=LEFT(B782,2),"Yes","Error"),"No")</f>
        <v>No</v>
      </c>
      <c r="AE782" s="1"/>
      <c r="AF782" s="1"/>
    </row>
    <row r="783" spans="1:32" hidden="1" x14ac:dyDescent="0.25">
      <c r="A783" t="s">
        <v>1152</v>
      </c>
      <c r="B783" t="s">
        <v>1133</v>
      </c>
      <c r="C783" t="s">
        <v>1134</v>
      </c>
      <c r="D783" t="s">
        <v>543</v>
      </c>
      <c r="E783" t="s">
        <v>509</v>
      </c>
      <c r="F783">
        <v>4500445129</v>
      </c>
      <c r="G783" t="s">
        <v>12</v>
      </c>
      <c r="H783" t="s">
        <v>1138</v>
      </c>
      <c r="I783" t="s">
        <v>509</v>
      </c>
      <c r="J783" s="1">
        <v>8648.65</v>
      </c>
      <c r="K783" s="1">
        <v>8648.65</v>
      </c>
      <c r="L783" t="str">
        <f>IFERROR(IF(VLOOKUP(LEFT(B783,2),'Humanitarian codes'!$A$2:$A$10,1,FALSE)=LEFT(B783,2),"Yes","Error"),"No")</f>
        <v>No</v>
      </c>
      <c r="AE783" s="1"/>
      <c r="AF783" s="1"/>
    </row>
    <row r="784" spans="1:32" hidden="1" x14ac:dyDescent="0.25">
      <c r="A784" t="s">
        <v>1152</v>
      </c>
      <c r="B784" t="s">
        <v>1133</v>
      </c>
      <c r="C784" t="s">
        <v>1134</v>
      </c>
      <c r="D784" t="s">
        <v>543</v>
      </c>
      <c r="E784" t="s">
        <v>509</v>
      </c>
      <c r="F784">
        <v>4500445130</v>
      </c>
      <c r="G784" t="s">
        <v>12</v>
      </c>
      <c r="H784" t="s">
        <v>1139</v>
      </c>
      <c r="I784" t="s">
        <v>509</v>
      </c>
      <c r="J784" s="1">
        <v>8540.5400000000009</v>
      </c>
      <c r="K784" s="1">
        <v>8540.5400000000009</v>
      </c>
      <c r="L784" t="str">
        <f>IFERROR(IF(VLOOKUP(LEFT(B784,2),'Humanitarian codes'!$A$2:$A$10,1,FALSE)=LEFT(B784,2),"Yes","Error"),"No")</f>
        <v>No</v>
      </c>
      <c r="AE784" s="1"/>
      <c r="AF784" s="1"/>
    </row>
    <row r="785" spans="1:32" hidden="1" x14ac:dyDescent="0.25">
      <c r="A785" t="s">
        <v>1152</v>
      </c>
      <c r="B785" t="s">
        <v>1133</v>
      </c>
      <c r="C785" t="s">
        <v>1134</v>
      </c>
      <c r="D785" t="s">
        <v>543</v>
      </c>
      <c r="E785" t="s">
        <v>509</v>
      </c>
      <c r="F785">
        <v>4500445728</v>
      </c>
      <c r="G785" t="s">
        <v>12</v>
      </c>
      <c r="H785" t="s">
        <v>1140</v>
      </c>
      <c r="I785" t="s">
        <v>509</v>
      </c>
      <c r="J785" s="1">
        <v>4901.62</v>
      </c>
      <c r="K785" s="1">
        <v>4901.62</v>
      </c>
      <c r="L785" t="str">
        <f>IFERROR(IF(VLOOKUP(LEFT(B785,2),'Humanitarian codes'!$A$2:$A$10,1,FALSE)=LEFT(B785,2),"Yes","Error"),"No")</f>
        <v>No</v>
      </c>
      <c r="AE785" s="1"/>
      <c r="AF785" s="1"/>
    </row>
    <row r="786" spans="1:32" x14ac:dyDescent="0.25">
      <c r="A786" t="s">
        <v>1152</v>
      </c>
      <c r="B786" t="s">
        <v>1141</v>
      </c>
      <c r="C786" t="s">
        <v>1142</v>
      </c>
      <c r="D786" t="s">
        <v>30</v>
      </c>
      <c r="E786" t="s">
        <v>123</v>
      </c>
      <c r="F786">
        <v>4500433481</v>
      </c>
      <c r="G786" t="s">
        <v>12</v>
      </c>
      <c r="H786" t="s">
        <v>367</v>
      </c>
      <c r="I786" t="s">
        <v>123</v>
      </c>
      <c r="J786" s="1">
        <v>3500</v>
      </c>
      <c r="K786" s="1">
        <v>70000</v>
      </c>
      <c r="L786" t="str">
        <f>IFERROR(IF(VLOOKUP(LEFT(B786,2),'Humanitarian codes'!$A$2:$A$10,1,FALSE)=LEFT(B786,2),"Yes","Error"),"No")</f>
        <v>Yes</v>
      </c>
      <c r="AE786" s="1"/>
      <c r="AF786" s="1"/>
    </row>
    <row r="787" spans="1:32" x14ac:dyDescent="0.25">
      <c r="A787" t="s">
        <v>1152</v>
      </c>
      <c r="B787" t="s">
        <v>1143</v>
      </c>
      <c r="C787" t="s">
        <v>1144</v>
      </c>
      <c r="D787" t="s">
        <v>30</v>
      </c>
      <c r="E787" t="s">
        <v>54</v>
      </c>
      <c r="F787">
        <v>4500430914</v>
      </c>
      <c r="G787" t="s">
        <v>12</v>
      </c>
      <c r="H787" t="s">
        <v>277</v>
      </c>
      <c r="I787" t="s">
        <v>54</v>
      </c>
      <c r="J787" s="1">
        <v>58131.83</v>
      </c>
      <c r="K787" s="1">
        <v>58131.83</v>
      </c>
      <c r="L787" t="str">
        <f>IFERROR(IF(VLOOKUP(LEFT(B787,2),'Humanitarian codes'!$A$2:$A$10,1,FALSE)=LEFT(B787,2),"Yes","Error"),"No")</f>
        <v>Yes</v>
      </c>
      <c r="AE787" s="1"/>
      <c r="AF787" s="1"/>
    </row>
    <row r="788" spans="1:32" x14ac:dyDescent="0.25">
      <c r="A788" t="s">
        <v>1152</v>
      </c>
      <c r="B788" t="s">
        <v>1145</v>
      </c>
      <c r="C788" t="s">
        <v>1146</v>
      </c>
      <c r="D788" t="s">
        <v>30</v>
      </c>
      <c r="E788" t="s">
        <v>146</v>
      </c>
      <c r="F788">
        <v>4500433463</v>
      </c>
      <c r="G788" t="s">
        <v>12</v>
      </c>
      <c r="H788" t="s">
        <v>1147</v>
      </c>
      <c r="I788" t="s">
        <v>146</v>
      </c>
      <c r="J788" s="1">
        <v>31740</v>
      </c>
      <c r="K788" s="1">
        <v>31740</v>
      </c>
      <c r="L788" t="str">
        <f>IFERROR(IF(VLOOKUP(LEFT(B788,2),'Humanitarian codes'!$A$2:$A$10,1,FALSE)=LEFT(B788,2),"Yes","Error"),"No")</f>
        <v>Yes</v>
      </c>
      <c r="AE788" s="1"/>
      <c r="AF788" s="1"/>
    </row>
    <row r="789" spans="1:32" hidden="1" x14ac:dyDescent="0.25">
      <c r="A789" t="s">
        <v>1152</v>
      </c>
      <c r="B789" t="s">
        <v>1148</v>
      </c>
      <c r="C789" t="s">
        <v>1149</v>
      </c>
      <c r="D789" t="s">
        <v>9</v>
      </c>
      <c r="E789" t="s">
        <v>146</v>
      </c>
      <c r="F789">
        <v>4500449666</v>
      </c>
      <c r="G789" t="s">
        <v>12</v>
      </c>
      <c r="H789" t="s">
        <v>1150</v>
      </c>
      <c r="I789" t="s">
        <v>1151</v>
      </c>
      <c r="J789" s="1">
        <v>149667.4</v>
      </c>
      <c r="K789" s="1">
        <v>149667.4</v>
      </c>
      <c r="L789" t="str">
        <f>IFERROR(IF(VLOOKUP(LEFT(B789,2),'Humanitarian codes'!$A$2:$A$10,1,FALSE)=LEFT(B789,2),"Yes","Error"),"No")</f>
        <v>No</v>
      </c>
      <c r="AE789" s="1"/>
      <c r="AF789" s="1"/>
    </row>
    <row r="790" spans="1:32" x14ac:dyDescent="0.25">
      <c r="A790" t="s">
        <v>1152</v>
      </c>
      <c r="B790" t="s">
        <v>722</v>
      </c>
      <c r="C790" t="s">
        <v>723</v>
      </c>
      <c r="D790" t="s">
        <v>30</v>
      </c>
      <c r="E790" t="s">
        <v>717</v>
      </c>
      <c r="F790">
        <v>4500430528</v>
      </c>
      <c r="G790" t="s">
        <v>713</v>
      </c>
      <c r="H790" t="s">
        <v>1154</v>
      </c>
      <c r="I790" t="s">
        <v>717</v>
      </c>
      <c r="J790" s="1">
        <v>135127.5</v>
      </c>
      <c r="K790" s="1">
        <v>135127.5</v>
      </c>
      <c r="L790" t="str">
        <f>IFERROR(IF(VLOOKUP(LEFT(B790,2),'Humanitarian codes'!$A$2:$A$10,1,FALSE)=LEFT(B790,2),"Yes","Error"),"No")</f>
        <v>Yes</v>
      </c>
      <c r="AE790" s="1"/>
      <c r="AF790" s="1"/>
    </row>
    <row r="791" spans="1:32" x14ac:dyDescent="0.25">
      <c r="A791" t="s">
        <v>1152</v>
      </c>
      <c r="B791" t="s">
        <v>722</v>
      </c>
      <c r="C791" t="s">
        <v>723</v>
      </c>
      <c r="D791" t="s">
        <v>30</v>
      </c>
      <c r="E791" t="s">
        <v>717</v>
      </c>
      <c r="F791">
        <v>4500440304</v>
      </c>
      <c r="G791" t="s">
        <v>713</v>
      </c>
      <c r="H791" t="s">
        <v>1155</v>
      </c>
      <c r="I791" t="s">
        <v>717</v>
      </c>
      <c r="J791" s="1">
        <v>100094.45</v>
      </c>
      <c r="K791" s="1">
        <v>100094.45</v>
      </c>
      <c r="L791" t="str">
        <f>IFERROR(IF(VLOOKUP(LEFT(B791,2),'Humanitarian codes'!$A$2:$A$10,1,FALSE)=LEFT(B791,2),"Yes","Error"),"No")</f>
        <v>Yes</v>
      </c>
      <c r="AE791" s="1"/>
      <c r="AF791" s="1"/>
    </row>
    <row r="792" spans="1:32" x14ac:dyDescent="0.25">
      <c r="A792" t="s">
        <v>1152</v>
      </c>
      <c r="B792" t="s">
        <v>722</v>
      </c>
      <c r="C792" t="s">
        <v>723</v>
      </c>
      <c r="D792" t="s">
        <v>30</v>
      </c>
      <c r="E792" t="s">
        <v>717</v>
      </c>
      <c r="F792">
        <v>4500441711</v>
      </c>
      <c r="G792" t="s">
        <v>713</v>
      </c>
      <c r="H792" t="s">
        <v>1156</v>
      </c>
      <c r="I792" t="s">
        <v>717</v>
      </c>
      <c r="J792" s="1">
        <v>113677</v>
      </c>
      <c r="K792" s="1">
        <v>113677</v>
      </c>
      <c r="L792" t="str">
        <f>IFERROR(IF(VLOOKUP(LEFT(B792,2),'Humanitarian codes'!$A$2:$A$10,1,FALSE)=LEFT(B792,2),"Yes","Error"),"No")</f>
        <v>Yes</v>
      </c>
      <c r="AE792" s="1"/>
      <c r="AF792" s="1"/>
    </row>
    <row r="793" spans="1:32" x14ac:dyDescent="0.25">
      <c r="A793" t="s">
        <v>1152</v>
      </c>
      <c r="B793" t="s">
        <v>722</v>
      </c>
      <c r="C793" t="s">
        <v>723</v>
      </c>
      <c r="D793" t="s">
        <v>30</v>
      </c>
      <c r="E793" t="s">
        <v>717</v>
      </c>
      <c r="F793">
        <v>4500441713</v>
      </c>
      <c r="G793" t="s">
        <v>713</v>
      </c>
      <c r="H793" t="s">
        <v>728</v>
      </c>
      <c r="I793" t="s">
        <v>717</v>
      </c>
      <c r="J793" s="1">
        <v>538500</v>
      </c>
      <c r="K793" s="1">
        <v>538500</v>
      </c>
      <c r="L793" t="str">
        <f>IFERROR(IF(VLOOKUP(LEFT(B793,2),'Humanitarian codes'!$A$2:$A$10,1,FALSE)=LEFT(B793,2),"Yes","Error"),"No")</f>
        <v>Yes</v>
      </c>
      <c r="AE793" s="1"/>
      <c r="AF793" s="1"/>
    </row>
    <row r="794" spans="1:32" x14ac:dyDescent="0.25">
      <c r="A794" t="s">
        <v>1152</v>
      </c>
      <c r="B794" t="s">
        <v>722</v>
      </c>
      <c r="C794" t="s">
        <v>723</v>
      </c>
      <c r="D794" t="s">
        <v>30</v>
      </c>
      <c r="E794" t="s">
        <v>717</v>
      </c>
      <c r="F794">
        <v>4500441716</v>
      </c>
      <c r="G794" t="s">
        <v>713</v>
      </c>
      <c r="H794" t="s">
        <v>1157</v>
      </c>
      <c r="I794" t="s">
        <v>717</v>
      </c>
      <c r="J794" s="1">
        <v>368993.67</v>
      </c>
      <c r="K794" s="1">
        <v>368993.67</v>
      </c>
      <c r="L794" t="str">
        <f>IFERROR(IF(VLOOKUP(LEFT(B794,2),'Humanitarian codes'!$A$2:$A$10,1,FALSE)=LEFT(B794,2),"Yes","Error"),"No")</f>
        <v>Yes</v>
      </c>
      <c r="AE794" s="1"/>
      <c r="AF794" s="1"/>
    </row>
    <row r="795" spans="1:32" x14ac:dyDescent="0.25">
      <c r="A795" t="s">
        <v>1152</v>
      </c>
      <c r="B795" t="s">
        <v>722</v>
      </c>
      <c r="C795" t="s">
        <v>723</v>
      </c>
      <c r="D795" t="s">
        <v>30</v>
      </c>
      <c r="E795" t="s">
        <v>717</v>
      </c>
      <c r="F795">
        <v>4500444943</v>
      </c>
      <c r="G795" t="s">
        <v>713</v>
      </c>
      <c r="H795" t="s">
        <v>1158</v>
      </c>
      <c r="I795" t="s">
        <v>717</v>
      </c>
      <c r="J795" s="1">
        <v>152791.4</v>
      </c>
      <c r="K795" s="1">
        <v>152791.4</v>
      </c>
      <c r="L795" t="str">
        <f>IFERROR(IF(VLOOKUP(LEFT(B795,2),'Humanitarian codes'!$A$2:$A$10,1,FALSE)=LEFT(B795,2),"Yes","Error"),"No")</f>
        <v>Yes</v>
      </c>
      <c r="AE795" s="1"/>
      <c r="AF795" s="1"/>
    </row>
    <row r="796" spans="1:32" x14ac:dyDescent="0.25">
      <c r="A796" t="s">
        <v>1152</v>
      </c>
      <c r="B796" t="s">
        <v>722</v>
      </c>
      <c r="C796" t="s">
        <v>723</v>
      </c>
      <c r="D796" t="s">
        <v>30</v>
      </c>
      <c r="E796" t="s">
        <v>717</v>
      </c>
      <c r="F796">
        <v>4500444963</v>
      </c>
      <c r="G796" t="s">
        <v>713</v>
      </c>
      <c r="H796" t="s">
        <v>1159</v>
      </c>
      <c r="I796" t="s">
        <v>717</v>
      </c>
      <c r="J796" s="1">
        <v>271926.67</v>
      </c>
      <c r="K796" s="1">
        <v>271926.67</v>
      </c>
      <c r="L796" t="str">
        <f>IFERROR(IF(VLOOKUP(LEFT(B796,2),'Humanitarian codes'!$A$2:$A$10,1,FALSE)=LEFT(B796,2),"Yes","Error"),"No")</f>
        <v>Yes</v>
      </c>
      <c r="AE796" s="1"/>
      <c r="AF796" s="1"/>
    </row>
    <row r="797" spans="1:32" x14ac:dyDescent="0.25">
      <c r="A797" t="s">
        <v>1152</v>
      </c>
      <c r="B797" t="s">
        <v>722</v>
      </c>
      <c r="C797" t="s">
        <v>723</v>
      </c>
      <c r="D797" t="s">
        <v>30</v>
      </c>
      <c r="E797" t="s">
        <v>717</v>
      </c>
      <c r="F797">
        <v>4500445308</v>
      </c>
      <c r="G797" t="s">
        <v>713</v>
      </c>
      <c r="H797" t="s">
        <v>1160</v>
      </c>
      <c r="I797" t="s">
        <v>717</v>
      </c>
      <c r="J797" s="1">
        <v>193335.44</v>
      </c>
      <c r="K797" s="1">
        <v>193335.44</v>
      </c>
      <c r="L797" t="str">
        <f>IFERROR(IF(VLOOKUP(LEFT(B797,2),'Humanitarian codes'!$A$2:$A$10,1,FALSE)=LEFT(B797,2),"Yes","Error"),"No")</f>
        <v>Yes</v>
      </c>
      <c r="AE797" s="1"/>
      <c r="AF797" s="1"/>
    </row>
    <row r="798" spans="1:32" x14ac:dyDescent="0.25">
      <c r="A798" t="s">
        <v>1152</v>
      </c>
      <c r="B798" t="s">
        <v>722</v>
      </c>
      <c r="C798" t="s">
        <v>723</v>
      </c>
      <c r="D798" t="s">
        <v>30</v>
      </c>
      <c r="E798" t="s">
        <v>717</v>
      </c>
      <c r="F798">
        <v>4500446963</v>
      </c>
      <c r="G798" t="s">
        <v>713</v>
      </c>
      <c r="H798" t="s">
        <v>1161</v>
      </c>
      <c r="I798" t="s">
        <v>717</v>
      </c>
      <c r="J798" s="1">
        <v>49654</v>
      </c>
      <c r="K798" s="1">
        <v>49654</v>
      </c>
      <c r="L798" t="str">
        <f>IFERROR(IF(VLOOKUP(LEFT(B798,2),'Humanitarian codes'!$A$2:$A$10,1,FALSE)=LEFT(B798,2),"Yes","Error"),"No")</f>
        <v>Yes</v>
      </c>
      <c r="AE798" s="1"/>
      <c r="AF798" s="1"/>
    </row>
    <row r="799" spans="1:32" x14ac:dyDescent="0.25">
      <c r="A799" t="s">
        <v>1152</v>
      </c>
      <c r="B799" t="s">
        <v>722</v>
      </c>
      <c r="C799" t="s">
        <v>723</v>
      </c>
      <c r="D799" t="s">
        <v>30</v>
      </c>
      <c r="E799" t="s">
        <v>717</v>
      </c>
      <c r="F799">
        <v>4500447221</v>
      </c>
      <c r="G799" t="s">
        <v>713</v>
      </c>
      <c r="H799" t="s">
        <v>1162</v>
      </c>
      <c r="I799" t="s">
        <v>717</v>
      </c>
      <c r="J799" s="1">
        <v>417503</v>
      </c>
      <c r="K799" s="1">
        <v>417503</v>
      </c>
      <c r="L799" t="str">
        <f>IFERROR(IF(VLOOKUP(LEFT(B799,2),'Humanitarian codes'!$A$2:$A$10,1,FALSE)=LEFT(B799,2),"Yes","Error"),"No")</f>
        <v>Yes</v>
      </c>
      <c r="AE799" s="1"/>
      <c r="AF799" s="1"/>
    </row>
    <row r="800" spans="1:32" x14ac:dyDescent="0.25">
      <c r="A800" t="s">
        <v>1152</v>
      </c>
      <c r="B800" t="s">
        <v>265</v>
      </c>
      <c r="C800" t="s">
        <v>266</v>
      </c>
      <c r="D800" t="s">
        <v>30</v>
      </c>
      <c r="E800" t="s">
        <v>54</v>
      </c>
      <c r="F800">
        <v>4500449380</v>
      </c>
      <c r="G800" t="s">
        <v>713</v>
      </c>
      <c r="H800" t="s">
        <v>1163</v>
      </c>
      <c r="I800" t="s">
        <v>54</v>
      </c>
      <c r="J800" s="1">
        <v>49620.72</v>
      </c>
      <c r="K800" s="1">
        <v>49620.72</v>
      </c>
      <c r="L800" t="str">
        <f>IFERROR(IF(VLOOKUP(LEFT(B800,2),'Humanitarian codes'!$A$2:$A$10,1,FALSE)=LEFT(B800,2),"Yes","Error"),"No")</f>
        <v>Yes</v>
      </c>
      <c r="AE800" s="1"/>
      <c r="AF800" s="1"/>
    </row>
    <row r="801" spans="1:32" hidden="1" x14ac:dyDescent="0.25">
      <c r="A801" t="s">
        <v>1152</v>
      </c>
      <c r="B801" t="s">
        <v>1164</v>
      </c>
      <c r="C801" t="s">
        <v>1165</v>
      </c>
      <c r="D801" t="s">
        <v>30</v>
      </c>
      <c r="E801" t="s">
        <v>1166</v>
      </c>
      <c r="F801">
        <v>4500447554</v>
      </c>
      <c r="G801" t="s">
        <v>713</v>
      </c>
      <c r="H801" t="s">
        <v>1167</v>
      </c>
      <c r="I801" t="s">
        <v>1166</v>
      </c>
      <c r="J801" s="1">
        <v>68981.86</v>
      </c>
      <c r="K801" s="1">
        <v>68981.86</v>
      </c>
      <c r="L801" t="str">
        <f>IFERROR(IF(VLOOKUP(LEFT(B801,2),'Humanitarian codes'!$A$2:$A$10,1,FALSE)=LEFT(B801,2),"Yes","Error"),"No")</f>
        <v>No</v>
      </c>
      <c r="AE801" s="1"/>
      <c r="AF801" s="1"/>
    </row>
    <row r="802" spans="1:32" hidden="1" x14ac:dyDescent="0.25">
      <c r="A802" t="s">
        <v>1152</v>
      </c>
      <c r="B802" t="s">
        <v>1110</v>
      </c>
      <c r="C802" t="s">
        <v>1111</v>
      </c>
      <c r="D802" t="s">
        <v>1112</v>
      </c>
      <c r="E802" t="s">
        <v>261</v>
      </c>
      <c r="F802">
        <v>4500452956</v>
      </c>
      <c r="G802" t="s">
        <v>713</v>
      </c>
      <c r="H802" t="s">
        <v>1168</v>
      </c>
      <c r="I802" t="s">
        <v>261</v>
      </c>
      <c r="J802" s="1">
        <v>97016.73</v>
      </c>
      <c r="K802" s="1">
        <v>97016.73</v>
      </c>
      <c r="L802" t="str">
        <f>IFERROR(IF(VLOOKUP(LEFT(B802,2),'Humanitarian codes'!$A$2:$A$10,1,FALSE)=LEFT(B802,2),"Yes","Error"),"No")</f>
        <v>No</v>
      </c>
      <c r="AE802" s="1"/>
      <c r="AF802" s="1"/>
    </row>
    <row r="803" spans="1:32" x14ac:dyDescent="0.25">
      <c r="A803" t="s">
        <v>1658</v>
      </c>
      <c r="B803" t="s">
        <v>1171</v>
      </c>
      <c r="C803" t="s">
        <v>1172</v>
      </c>
      <c r="D803" t="s">
        <v>30</v>
      </c>
      <c r="E803" t="s">
        <v>83</v>
      </c>
      <c r="F803">
        <v>4500422524</v>
      </c>
      <c r="G803" t="s">
        <v>12</v>
      </c>
      <c r="H803" t="s">
        <v>1173</v>
      </c>
      <c r="I803" t="s">
        <v>83</v>
      </c>
      <c r="J803" s="1">
        <v>120000</v>
      </c>
      <c r="K803" s="1">
        <v>120000</v>
      </c>
      <c r="L803" t="str">
        <f>IFERROR(IF(VLOOKUP(LEFT(B803,2),'Humanitarian codes'!$A$2:$A$10,1,FALSE)=LEFT(B803,2),"Yes","Error"),"No")</f>
        <v>Yes</v>
      </c>
      <c r="AE803" s="1"/>
      <c r="AF803" s="1"/>
    </row>
    <row r="804" spans="1:32" hidden="1" x14ac:dyDescent="0.25">
      <c r="A804" t="s">
        <v>1658</v>
      </c>
      <c r="B804" t="s">
        <v>8</v>
      </c>
      <c r="C804" t="s">
        <v>10</v>
      </c>
      <c r="D804" t="s">
        <v>9</v>
      </c>
      <c r="E804" t="s">
        <v>11</v>
      </c>
      <c r="F804">
        <v>4500407302</v>
      </c>
      <c r="G804" t="s">
        <v>12</v>
      </c>
      <c r="H804" t="s">
        <v>1175</v>
      </c>
      <c r="I804" t="s">
        <v>11</v>
      </c>
      <c r="J804" s="1">
        <v>515079.73</v>
      </c>
      <c r="K804" s="1">
        <v>515079.73</v>
      </c>
      <c r="L804" t="str">
        <f>IFERROR(IF(VLOOKUP(LEFT(B804,2),'Humanitarian codes'!$A$2:$A$10,1,FALSE)=LEFT(B804,2),"Yes","Error"),"No")</f>
        <v>No</v>
      </c>
      <c r="AE804" s="1"/>
      <c r="AF804" s="1"/>
    </row>
    <row r="805" spans="1:32" hidden="1" x14ac:dyDescent="0.25">
      <c r="A805" t="s">
        <v>1658</v>
      </c>
      <c r="B805" t="s">
        <v>8</v>
      </c>
      <c r="C805" t="s">
        <v>10</v>
      </c>
      <c r="D805" t="s">
        <v>9</v>
      </c>
      <c r="E805" t="s">
        <v>11</v>
      </c>
      <c r="F805">
        <v>4500412551</v>
      </c>
      <c r="G805" t="s">
        <v>12</v>
      </c>
      <c r="H805" t="s">
        <v>1176</v>
      </c>
      <c r="I805" t="s">
        <v>11</v>
      </c>
      <c r="J805" s="1">
        <v>110629</v>
      </c>
      <c r="K805" s="1">
        <v>110629</v>
      </c>
      <c r="L805" t="str">
        <f>IFERROR(IF(VLOOKUP(LEFT(B805,2),'Humanitarian codes'!$A$2:$A$10,1,FALSE)=LEFT(B805,2),"Yes","Error"),"No")</f>
        <v>No</v>
      </c>
      <c r="AE805" s="1"/>
      <c r="AF805" s="1"/>
    </row>
    <row r="806" spans="1:32" hidden="1" x14ac:dyDescent="0.25">
      <c r="A806" t="s">
        <v>1658</v>
      </c>
      <c r="B806" t="s">
        <v>8</v>
      </c>
      <c r="C806" t="s">
        <v>10</v>
      </c>
      <c r="D806" t="s">
        <v>9</v>
      </c>
      <c r="E806" t="s">
        <v>11</v>
      </c>
      <c r="F806">
        <v>4500419943</v>
      </c>
      <c r="G806" t="s">
        <v>12</v>
      </c>
      <c r="H806" t="s">
        <v>1177</v>
      </c>
      <c r="I806" t="s">
        <v>11</v>
      </c>
      <c r="J806" s="1">
        <v>800000</v>
      </c>
      <c r="K806" s="1">
        <v>800000</v>
      </c>
      <c r="L806" t="str">
        <f>IFERROR(IF(VLOOKUP(LEFT(B806,2),'Humanitarian codes'!$A$2:$A$10,1,FALSE)=LEFT(B806,2),"Yes","Error"),"No")</f>
        <v>No</v>
      </c>
      <c r="AE806" s="1"/>
      <c r="AF806" s="1"/>
    </row>
    <row r="807" spans="1:32" hidden="1" x14ac:dyDescent="0.25">
      <c r="A807" t="s">
        <v>1658</v>
      </c>
      <c r="B807" t="s">
        <v>1178</v>
      </c>
      <c r="C807" t="s">
        <v>1179</v>
      </c>
      <c r="D807" t="s">
        <v>9</v>
      </c>
      <c r="E807" t="s">
        <v>54</v>
      </c>
      <c r="F807">
        <v>4500406280</v>
      </c>
      <c r="G807" t="s">
        <v>12</v>
      </c>
      <c r="H807" t="s">
        <v>1180</v>
      </c>
      <c r="I807" t="s">
        <v>54</v>
      </c>
      <c r="J807" s="1">
        <v>10704.41</v>
      </c>
      <c r="K807" s="1">
        <v>10704.41</v>
      </c>
      <c r="L807" t="str">
        <f>IFERROR(IF(VLOOKUP(LEFT(B807,2),'Humanitarian codes'!$A$2:$A$10,1,FALSE)=LEFT(B807,2),"Yes","Error"),"No")</f>
        <v>No</v>
      </c>
      <c r="AE807" s="1"/>
      <c r="AF807" s="1"/>
    </row>
    <row r="808" spans="1:32" hidden="1" x14ac:dyDescent="0.25">
      <c r="A808" t="s">
        <v>1658</v>
      </c>
      <c r="B808" t="s">
        <v>1178</v>
      </c>
      <c r="C808" t="s">
        <v>1179</v>
      </c>
      <c r="D808" t="s">
        <v>9</v>
      </c>
      <c r="E808" t="s">
        <v>54</v>
      </c>
      <c r="F808">
        <v>4500409474</v>
      </c>
      <c r="G808" t="s">
        <v>12</v>
      </c>
      <c r="H808" t="s">
        <v>1181</v>
      </c>
      <c r="I808" t="s">
        <v>54</v>
      </c>
      <c r="J808" s="1">
        <v>7869.57</v>
      </c>
      <c r="K808" s="1">
        <v>7869.57</v>
      </c>
      <c r="L808" t="str">
        <f>IFERROR(IF(VLOOKUP(LEFT(B808,2),'Humanitarian codes'!$A$2:$A$10,1,FALSE)=LEFT(B808,2),"Yes","Error"),"No")</f>
        <v>No</v>
      </c>
      <c r="AE808" s="1"/>
      <c r="AF808" s="1"/>
    </row>
    <row r="809" spans="1:32" hidden="1" x14ac:dyDescent="0.25">
      <c r="A809" t="s">
        <v>1658</v>
      </c>
      <c r="B809" t="s">
        <v>1182</v>
      </c>
      <c r="C809" t="s">
        <v>1183</v>
      </c>
      <c r="D809" t="s">
        <v>30</v>
      </c>
      <c r="E809" t="s">
        <v>1016</v>
      </c>
      <c r="F809">
        <v>4500406177</v>
      </c>
      <c r="G809" t="s">
        <v>12</v>
      </c>
      <c r="H809" t="s">
        <v>589</v>
      </c>
      <c r="I809" t="s">
        <v>1016</v>
      </c>
      <c r="J809" s="1">
        <v>14664.5</v>
      </c>
      <c r="K809" s="1">
        <v>14664.5</v>
      </c>
      <c r="L809" t="str">
        <f>IFERROR(IF(VLOOKUP(LEFT(B809,2),'Humanitarian codes'!$A$2:$A$10,1,FALSE)=LEFT(B809,2),"Yes","Error"),"No")</f>
        <v>No</v>
      </c>
      <c r="AE809" s="1"/>
      <c r="AF809" s="1"/>
    </row>
    <row r="810" spans="1:32" hidden="1" x14ac:dyDescent="0.25">
      <c r="A810" t="s">
        <v>1658</v>
      </c>
      <c r="B810" t="s">
        <v>1182</v>
      </c>
      <c r="C810" t="s">
        <v>1183</v>
      </c>
      <c r="D810" t="s">
        <v>30</v>
      </c>
      <c r="E810" t="s">
        <v>1016</v>
      </c>
      <c r="F810">
        <v>4500406181</v>
      </c>
      <c r="G810" t="s">
        <v>12</v>
      </c>
      <c r="H810" t="s">
        <v>1184</v>
      </c>
      <c r="I810" t="s">
        <v>1016</v>
      </c>
      <c r="J810" s="1">
        <v>10492.42</v>
      </c>
      <c r="K810" s="1">
        <v>10492.42</v>
      </c>
      <c r="L810" t="str">
        <f>IFERROR(IF(VLOOKUP(LEFT(B810,2),'Humanitarian codes'!$A$2:$A$10,1,FALSE)=LEFT(B810,2),"Yes","Error"),"No")</f>
        <v>No</v>
      </c>
      <c r="AE810" s="1"/>
      <c r="AF810" s="1"/>
    </row>
    <row r="811" spans="1:32" hidden="1" x14ac:dyDescent="0.25">
      <c r="A811" t="s">
        <v>1658</v>
      </c>
      <c r="B811" t="s">
        <v>1182</v>
      </c>
      <c r="C811" t="s">
        <v>1183</v>
      </c>
      <c r="D811" t="s">
        <v>30</v>
      </c>
      <c r="E811" t="s">
        <v>1016</v>
      </c>
      <c r="F811">
        <v>4500406252</v>
      </c>
      <c r="G811" t="s">
        <v>12</v>
      </c>
      <c r="H811" t="s">
        <v>1185</v>
      </c>
      <c r="I811" t="s">
        <v>1016</v>
      </c>
      <c r="J811" s="1">
        <v>12424.24</v>
      </c>
      <c r="K811" s="1">
        <v>12424.24</v>
      </c>
      <c r="L811" t="str">
        <f>IFERROR(IF(VLOOKUP(LEFT(B811,2),'Humanitarian codes'!$A$2:$A$10,1,FALSE)=LEFT(B811,2),"Yes","Error"),"No")</f>
        <v>No</v>
      </c>
      <c r="AE811" s="1"/>
      <c r="AF811" s="1"/>
    </row>
    <row r="812" spans="1:32" hidden="1" x14ac:dyDescent="0.25">
      <c r="A812" t="s">
        <v>1658</v>
      </c>
      <c r="B812" t="s">
        <v>1186</v>
      </c>
      <c r="C812" t="s">
        <v>1187</v>
      </c>
      <c r="D812" t="s">
        <v>30</v>
      </c>
      <c r="E812" t="s">
        <v>261</v>
      </c>
      <c r="F812">
        <v>4500409600</v>
      </c>
      <c r="G812" t="s">
        <v>12</v>
      </c>
      <c r="H812" t="s">
        <v>1188</v>
      </c>
      <c r="I812" t="s">
        <v>261</v>
      </c>
      <c r="J812" s="1">
        <v>67738.3</v>
      </c>
      <c r="K812" s="1">
        <v>67738.3</v>
      </c>
      <c r="L812" t="str">
        <f>IFERROR(IF(VLOOKUP(LEFT(B812,2),'Humanitarian codes'!$A$2:$A$10,1,FALSE)=LEFT(B812,2),"Yes","Error"),"No")</f>
        <v>No</v>
      </c>
      <c r="AE812" s="1"/>
      <c r="AF812" s="1"/>
    </row>
    <row r="813" spans="1:32" hidden="1" x14ac:dyDescent="0.25">
      <c r="A813" t="s">
        <v>1658</v>
      </c>
      <c r="B813" t="s">
        <v>1186</v>
      </c>
      <c r="C813" t="s">
        <v>1187</v>
      </c>
      <c r="D813" t="s">
        <v>30</v>
      </c>
      <c r="E813" t="s">
        <v>261</v>
      </c>
      <c r="F813">
        <v>4500410843</v>
      </c>
      <c r="G813" t="s">
        <v>12</v>
      </c>
      <c r="H813" t="s">
        <v>784</v>
      </c>
      <c r="I813" t="s">
        <v>261</v>
      </c>
      <c r="J813" s="1">
        <v>121352.27</v>
      </c>
      <c r="K813" s="1">
        <v>175872.86</v>
      </c>
      <c r="L813" t="str">
        <f>IFERROR(IF(VLOOKUP(LEFT(B813,2),'Humanitarian codes'!$A$2:$A$10,1,FALSE)=LEFT(B813,2),"Yes","Error"),"No")</f>
        <v>No</v>
      </c>
      <c r="AE813" s="1"/>
      <c r="AF813" s="1"/>
    </row>
    <row r="814" spans="1:32" hidden="1" x14ac:dyDescent="0.25">
      <c r="A814" t="s">
        <v>1658</v>
      </c>
      <c r="B814" t="s">
        <v>1186</v>
      </c>
      <c r="C814" t="s">
        <v>1187</v>
      </c>
      <c r="D814" t="s">
        <v>30</v>
      </c>
      <c r="E814" t="s">
        <v>261</v>
      </c>
      <c r="F814">
        <v>4500413734</v>
      </c>
      <c r="G814" t="s">
        <v>12</v>
      </c>
      <c r="H814" t="s">
        <v>1188</v>
      </c>
      <c r="I814" t="s">
        <v>261</v>
      </c>
      <c r="J814" s="1">
        <v>81339.34</v>
      </c>
      <c r="K814" s="1">
        <v>81339.34</v>
      </c>
      <c r="L814" t="str">
        <f>IFERROR(IF(VLOOKUP(LEFT(B814,2),'Humanitarian codes'!$A$2:$A$10,1,FALSE)=LEFT(B814,2),"Yes","Error"),"No")</f>
        <v>No</v>
      </c>
      <c r="AE814" s="1"/>
      <c r="AF814" s="1"/>
    </row>
    <row r="815" spans="1:32" hidden="1" x14ac:dyDescent="0.25">
      <c r="A815" t="s">
        <v>1658</v>
      </c>
      <c r="B815" t="s">
        <v>1186</v>
      </c>
      <c r="C815" t="s">
        <v>1187</v>
      </c>
      <c r="D815" t="s">
        <v>30</v>
      </c>
      <c r="E815" t="s">
        <v>261</v>
      </c>
      <c r="F815">
        <v>4500421526</v>
      </c>
      <c r="G815" t="s">
        <v>12</v>
      </c>
      <c r="H815" t="s">
        <v>1190</v>
      </c>
      <c r="I815" t="s">
        <v>261</v>
      </c>
      <c r="J815" s="1">
        <v>59555.19</v>
      </c>
      <c r="K815" s="1">
        <v>59555.19</v>
      </c>
      <c r="L815" t="str">
        <f>IFERROR(IF(VLOOKUP(LEFT(B815,2),'Humanitarian codes'!$A$2:$A$10,1,FALSE)=LEFT(B815,2),"Yes","Error"),"No")</f>
        <v>No</v>
      </c>
      <c r="AE815" s="1"/>
      <c r="AF815" s="1"/>
    </row>
    <row r="816" spans="1:32" hidden="1" x14ac:dyDescent="0.25">
      <c r="A816" t="s">
        <v>1658</v>
      </c>
      <c r="B816" t="s">
        <v>1186</v>
      </c>
      <c r="C816" t="s">
        <v>1187</v>
      </c>
      <c r="D816" t="s">
        <v>30</v>
      </c>
      <c r="E816" t="s">
        <v>261</v>
      </c>
      <c r="F816">
        <v>4500422668</v>
      </c>
      <c r="G816" t="s">
        <v>12</v>
      </c>
      <c r="H816" t="s">
        <v>1191</v>
      </c>
      <c r="I816" t="s">
        <v>261</v>
      </c>
      <c r="J816" s="1">
        <v>57908.28</v>
      </c>
      <c r="K816" s="1">
        <v>57908.28</v>
      </c>
      <c r="L816" t="str">
        <f>IFERROR(IF(VLOOKUP(LEFT(B816,2),'Humanitarian codes'!$A$2:$A$10,1,FALSE)=LEFT(B816,2),"Yes","Error"),"No")</f>
        <v>No</v>
      </c>
      <c r="AE816" s="1"/>
      <c r="AF816" s="1"/>
    </row>
    <row r="817" spans="1:32" hidden="1" x14ac:dyDescent="0.25">
      <c r="A817" t="s">
        <v>1658</v>
      </c>
      <c r="B817" t="s">
        <v>762</v>
      </c>
      <c r="C817" t="s">
        <v>763</v>
      </c>
      <c r="D817" t="s">
        <v>30</v>
      </c>
      <c r="E817" t="s">
        <v>663</v>
      </c>
      <c r="F817">
        <v>4500424122</v>
      </c>
      <c r="G817" t="s">
        <v>12</v>
      </c>
      <c r="H817" t="s">
        <v>1192</v>
      </c>
      <c r="I817" t="s">
        <v>663</v>
      </c>
      <c r="J817" s="1">
        <v>100000</v>
      </c>
      <c r="K817" s="1">
        <v>100000</v>
      </c>
      <c r="L817" t="str">
        <f>IFERROR(IF(VLOOKUP(LEFT(B817,2),'Humanitarian codes'!$A$2:$A$10,1,FALSE)=LEFT(B817,2),"Yes","Error"),"No")</f>
        <v>No</v>
      </c>
      <c r="AE817" s="1"/>
      <c r="AF817" s="1"/>
    </row>
    <row r="818" spans="1:32" hidden="1" x14ac:dyDescent="0.25">
      <c r="A818" t="s">
        <v>1658</v>
      </c>
      <c r="B818" t="s">
        <v>1195</v>
      </c>
      <c r="C818" t="s">
        <v>1196</v>
      </c>
      <c r="D818" t="s">
        <v>30</v>
      </c>
      <c r="E818" t="s">
        <v>493</v>
      </c>
      <c r="F818">
        <v>4500408480</v>
      </c>
      <c r="G818" t="s">
        <v>12</v>
      </c>
      <c r="H818" t="s">
        <v>1197</v>
      </c>
      <c r="I818" t="s">
        <v>493</v>
      </c>
      <c r="J818" s="1">
        <v>80801.440000000002</v>
      </c>
      <c r="K818" s="1">
        <v>80801.440000000002</v>
      </c>
      <c r="L818" t="str">
        <f>IFERROR(IF(VLOOKUP(LEFT(B818,2),'Humanitarian codes'!$A$2:$A$10,1,FALSE)=LEFT(B818,2),"Yes","Error"),"No")</f>
        <v>No</v>
      </c>
      <c r="AE818" s="1"/>
      <c r="AF818" s="1"/>
    </row>
    <row r="819" spans="1:32" hidden="1" x14ac:dyDescent="0.25">
      <c r="A819" t="s">
        <v>1658</v>
      </c>
      <c r="B819" t="s">
        <v>1195</v>
      </c>
      <c r="C819" t="s">
        <v>1196</v>
      </c>
      <c r="D819" t="s">
        <v>30</v>
      </c>
      <c r="E819" t="s">
        <v>493</v>
      </c>
      <c r="F819">
        <v>4500408796</v>
      </c>
      <c r="G819" t="s">
        <v>12</v>
      </c>
      <c r="H819" t="s">
        <v>1198</v>
      </c>
      <c r="I819" t="s">
        <v>493</v>
      </c>
      <c r="J819" s="1">
        <v>148929.35999999999</v>
      </c>
      <c r="K819" s="1">
        <v>148929.35999999999</v>
      </c>
      <c r="L819" t="str">
        <f>IFERROR(IF(VLOOKUP(LEFT(B819,2),'Humanitarian codes'!$A$2:$A$10,1,FALSE)=LEFT(B819,2),"Yes","Error"),"No")</f>
        <v>No</v>
      </c>
      <c r="AE819" s="1"/>
      <c r="AF819" s="1"/>
    </row>
    <row r="820" spans="1:32" hidden="1" x14ac:dyDescent="0.25">
      <c r="A820" t="s">
        <v>1658</v>
      </c>
      <c r="B820" t="s">
        <v>1195</v>
      </c>
      <c r="C820" t="s">
        <v>1196</v>
      </c>
      <c r="D820" t="s">
        <v>30</v>
      </c>
      <c r="E820" t="s">
        <v>493</v>
      </c>
      <c r="F820">
        <v>4500408809</v>
      </c>
      <c r="G820" t="s">
        <v>12</v>
      </c>
      <c r="H820" t="s">
        <v>1199</v>
      </c>
      <c r="I820" t="s">
        <v>493</v>
      </c>
      <c r="J820" s="1">
        <v>212180.06</v>
      </c>
      <c r="K820" s="1">
        <v>212180.06</v>
      </c>
      <c r="L820" t="str">
        <f>IFERROR(IF(VLOOKUP(LEFT(B820,2),'Humanitarian codes'!$A$2:$A$10,1,FALSE)=LEFT(B820,2),"Yes","Error"),"No")</f>
        <v>No</v>
      </c>
      <c r="AE820" s="1"/>
      <c r="AF820" s="1"/>
    </row>
    <row r="821" spans="1:32" hidden="1" x14ac:dyDescent="0.25">
      <c r="A821" t="s">
        <v>1658</v>
      </c>
      <c r="B821" t="s">
        <v>1195</v>
      </c>
      <c r="C821" t="s">
        <v>1196</v>
      </c>
      <c r="D821" t="s">
        <v>30</v>
      </c>
      <c r="E821" t="s">
        <v>493</v>
      </c>
      <c r="F821">
        <v>4500409252</v>
      </c>
      <c r="G821" t="s">
        <v>12</v>
      </c>
      <c r="H821" t="s">
        <v>1200</v>
      </c>
      <c r="I821" t="s">
        <v>493</v>
      </c>
      <c r="J821" s="1">
        <v>115454.2</v>
      </c>
      <c r="K821" s="1">
        <v>115454.2</v>
      </c>
      <c r="L821" t="str">
        <f>IFERROR(IF(VLOOKUP(LEFT(B821,2),'Humanitarian codes'!$A$2:$A$10,1,FALSE)=LEFT(B821,2),"Yes","Error"),"No")</f>
        <v>No</v>
      </c>
      <c r="AE821" s="1"/>
      <c r="AF821" s="1"/>
    </row>
    <row r="822" spans="1:32" hidden="1" x14ac:dyDescent="0.25">
      <c r="A822" t="s">
        <v>1658</v>
      </c>
      <c r="B822" t="s">
        <v>1195</v>
      </c>
      <c r="C822" t="s">
        <v>1196</v>
      </c>
      <c r="D822" t="s">
        <v>30</v>
      </c>
      <c r="E822" t="s">
        <v>493</v>
      </c>
      <c r="F822">
        <v>4500409254</v>
      </c>
      <c r="G822" t="s">
        <v>12</v>
      </c>
      <c r="H822" t="s">
        <v>1201</v>
      </c>
      <c r="I822" t="s">
        <v>493</v>
      </c>
      <c r="J822" s="1">
        <v>77424.850000000006</v>
      </c>
      <c r="K822" s="1">
        <v>77424.850000000006</v>
      </c>
      <c r="L822" t="str">
        <f>IFERROR(IF(VLOOKUP(LEFT(B822,2),'Humanitarian codes'!$A$2:$A$10,1,FALSE)=LEFT(B822,2),"Yes","Error"),"No")</f>
        <v>No</v>
      </c>
      <c r="AE822" s="1"/>
      <c r="AF822" s="1"/>
    </row>
    <row r="823" spans="1:32" hidden="1" x14ac:dyDescent="0.25">
      <c r="A823" t="s">
        <v>1658</v>
      </c>
      <c r="B823" t="s">
        <v>758</v>
      </c>
      <c r="C823" t="s">
        <v>759</v>
      </c>
      <c r="D823" t="s">
        <v>30</v>
      </c>
      <c r="E823" t="s">
        <v>760</v>
      </c>
      <c r="F823">
        <v>4500429048</v>
      </c>
      <c r="G823" t="s">
        <v>12</v>
      </c>
      <c r="H823" t="s">
        <v>1202</v>
      </c>
      <c r="I823" t="s">
        <v>760</v>
      </c>
      <c r="J823" s="1">
        <v>4275.93</v>
      </c>
      <c r="K823" s="1">
        <v>4275.93</v>
      </c>
      <c r="L823" t="str">
        <f>IFERROR(IF(VLOOKUP(LEFT(B823,2),'Humanitarian codes'!$A$2:$A$10,1,FALSE)=LEFT(B823,2),"Yes","Error"),"No")</f>
        <v>No</v>
      </c>
      <c r="AE823" s="1"/>
      <c r="AF823" s="1"/>
    </row>
    <row r="824" spans="1:32" hidden="1" x14ac:dyDescent="0.25">
      <c r="A824" t="s">
        <v>1658</v>
      </c>
      <c r="B824" t="s">
        <v>758</v>
      </c>
      <c r="C824" t="s">
        <v>759</v>
      </c>
      <c r="D824" t="s">
        <v>30</v>
      </c>
      <c r="E824" t="s">
        <v>760</v>
      </c>
      <c r="F824">
        <v>4500429049</v>
      </c>
      <c r="G824" t="s">
        <v>12</v>
      </c>
      <c r="H824" t="s">
        <v>1203</v>
      </c>
      <c r="I824" t="s">
        <v>760</v>
      </c>
      <c r="J824" s="1">
        <v>4268.4399999999996</v>
      </c>
      <c r="K824" s="1">
        <v>4268.4399999999996</v>
      </c>
      <c r="L824" t="str">
        <f>IFERROR(IF(VLOOKUP(LEFT(B824,2),'Humanitarian codes'!$A$2:$A$10,1,FALSE)=LEFT(B824,2),"Yes","Error"),"No")</f>
        <v>No</v>
      </c>
      <c r="AE824" s="1"/>
      <c r="AF824" s="1"/>
    </row>
    <row r="825" spans="1:32" hidden="1" x14ac:dyDescent="0.25">
      <c r="A825" t="s">
        <v>1658</v>
      </c>
      <c r="B825" t="s">
        <v>758</v>
      </c>
      <c r="C825" t="s">
        <v>759</v>
      </c>
      <c r="D825" t="s">
        <v>30</v>
      </c>
      <c r="E825" t="s">
        <v>760</v>
      </c>
      <c r="F825">
        <v>4500429050</v>
      </c>
      <c r="G825" t="s">
        <v>12</v>
      </c>
      <c r="H825" t="s">
        <v>1204</v>
      </c>
      <c r="I825" t="s">
        <v>760</v>
      </c>
      <c r="J825" s="1">
        <v>4240.6400000000003</v>
      </c>
      <c r="K825" s="1">
        <v>4240.6400000000003</v>
      </c>
      <c r="L825" t="str">
        <f>IFERROR(IF(VLOOKUP(LEFT(B825,2),'Humanitarian codes'!$A$2:$A$10,1,FALSE)=LEFT(B825,2),"Yes","Error"),"No")</f>
        <v>No</v>
      </c>
      <c r="AE825" s="1"/>
      <c r="AF825" s="1"/>
    </row>
    <row r="826" spans="1:32" hidden="1" x14ac:dyDescent="0.25">
      <c r="A826" t="s">
        <v>1658</v>
      </c>
      <c r="B826" t="s">
        <v>758</v>
      </c>
      <c r="C826" t="s">
        <v>759</v>
      </c>
      <c r="D826" t="s">
        <v>30</v>
      </c>
      <c r="E826" t="s">
        <v>760</v>
      </c>
      <c r="F826">
        <v>4500429061</v>
      </c>
      <c r="G826" t="s">
        <v>12</v>
      </c>
      <c r="H826" t="s">
        <v>1205</v>
      </c>
      <c r="I826" t="s">
        <v>760</v>
      </c>
      <c r="J826" s="1">
        <v>4277</v>
      </c>
      <c r="K826" s="1">
        <v>4277</v>
      </c>
      <c r="L826" t="str">
        <f>IFERROR(IF(VLOOKUP(LEFT(B826,2),'Humanitarian codes'!$A$2:$A$10,1,FALSE)=LEFT(B826,2),"Yes","Error"),"No")</f>
        <v>No</v>
      </c>
      <c r="AE826" s="1"/>
      <c r="AF826" s="1"/>
    </row>
    <row r="827" spans="1:32" hidden="1" x14ac:dyDescent="0.25">
      <c r="A827" t="s">
        <v>1658</v>
      </c>
      <c r="B827" t="s">
        <v>758</v>
      </c>
      <c r="C827" t="s">
        <v>759</v>
      </c>
      <c r="D827" t="s">
        <v>30</v>
      </c>
      <c r="E827" t="s">
        <v>760</v>
      </c>
      <c r="F827">
        <v>4500429064</v>
      </c>
      <c r="G827" t="s">
        <v>12</v>
      </c>
      <c r="H827" t="s">
        <v>1206</v>
      </c>
      <c r="I827" t="s">
        <v>760</v>
      </c>
      <c r="J827" s="1">
        <v>4278.08</v>
      </c>
      <c r="K827" s="1">
        <v>4278.08</v>
      </c>
      <c r="L827" t="str">
        <f>IFERROR(IF(VLOOKUP(LEFT(B827,2),'Humanitarian codes'!$A$2:$A$10,1,FALSE)=LEFT(B827,2),"Yes","Error"),"No")</f>
        <v>No</v>
      </c>
      <c r="AE827" s="1"/>
      <c r="AF827" s="1"/>
    </row>
    <row r="828" spans="1:32" hidden="1" x14ac:dyDescent="0.25">
      <c r="A828" t="s">
        <v>1658</v>
      </c>
      <c r="B828" t="s">
        <v>758</v>
      </c>
      <c r="C828" t="s">
        <v>759</v>
      </c>
      <c r="D828" t="s">
        <v>30</v>
      </c>
      <c r="E828" t="s">
        <v>760</v>
      </c>
      <c r="F828">
        <v>4500429066</v>
      </c>
      <c r="G828" t="s">
        <v>12</v>
      </c>
      <c r="H828" t="s">
        <v>1207</v>
      </c>
      <c r="I828" t="s">
        <v>760</v>
      </c>
      <c r="J828" s="1">
        <v>4278.08</v>
      </c>
      <c r="K828" s="1">
        <v>4278.08</v>
      </c>
      <c r="L828" t="str">
        <f>IFERROR(IF(VLOOKUP(LEFT(B828,2),'Humanitarian codes'!$A$2:$A$10,1,FALSE)=LEFT(B828,2),"Yes","Error"),"No")</f>
        <v>No</v>
      </c>
      <c r="AE828" s="1"/>
      <c r="AF828" s="1"/>
    </row>
    <row r="829" spans="1:32" hidden="1" x14ac:dyDescent="0.25">
      <c r="A829" t="s">
        <v>1658</v>
      </c>
      <c r="B829" t="s">
        <v>758</v>
      </c>
      <c r="C829" t="s">
        <v>759</v>
      </c>
      <c r="D829" t="s">
        <v>30</v>
      </c>
      <c r="E829" t="s">
        <v>760</v>
      </c>
      <c r="F829">
        <v>4500429068</v>
      </c>
      <c r="G829" t="s">
        <v>12</v>
      </c>
      <c r="H829" t="s">
        <v>1208</v>
      </c>
      <c r="I829" t="s">
        <v>760</v>
      </c>
      <c r="J829" s="1">
        <v>4224.6000000000004</v>
      </c>
      <c r="K829" s="1">
        <v>4224.6000000000004</v>
      </c>
      <c r="L829" t="str">
        <f>IFERROR(IF(VLOOKUP(LEFT(B829,2),'Humanitarian codes'!$A$2:$A$10,1,FALSE)=LEFT(B829,2),"Yes","Error"),"No")</f>
        <v>No</v>
      </c>
      <c r="AE829" s="1"/>
      <c r="AF829" s="1"/>
    </row>
    <row r="830" spans="1:32" hidden="1" x14ac:dyDescent="0.25">
      <c r="A830" t="s">
        <v>1658</v>
      </c>
      <c r="B830" t="s">
        <v>758</v>
      </c>
      <c r="C830" t="s">
        <v>759</v>
      </c>
      <c r="D830" t="s">
        <v>30</v>
      </c>
      <c r="E830" t="s">
        <v>760</v>
      </c>
      <c r="F830">
        <v>4500429069</v>
      </c>
      <c r="G830" t="s">
        <v>12</v>
      </c>
      <c r="H830" t="s">
        <v>1209</v>
      </c>
      <c r="I830" t="s">
        <v>760</v>
      </c>
      <c r="J830" s="1">
        <v>4195.72</v>
      </c>
      <c r="K830" s="1">
        <v>4195.72</v>
      </c>
      <c r="L830" t="str">
        <f>IFERROR(IF(VLOOKUP(LEFT(B830,2),'Humanitarian codes'!$A$2:$A$10,1,FALSE)=LEFT(B830,2),"Yes","Error"),"No")</f>
        <v>No</v>
      </c>
      <c r="AE830" s="1"/>
      <c r="AF830" s="1"/>
    </row>
    <row r="831" spans="1:32" hidden="1" x14ac:dyDescent="0.25">
      <c r="A831" t="s">
        <v>1658</v>
      </c>
      <c r="B831" t="s">
        <v>758</v>
      </c>
      <c r="C831" t="s">
        <v>759</v>
      </c>
      <c r="D831" t="s">
        <v>30</v>
      </c>
      <c r="E831" t="s">
        <v>760</v>
      </c>
      <c r="F831">
        <v>4500429071</v>
      </c>
      <c r="G831" t="s">
        <v>12</v>
      </c>
      <c r="H831" t="s">
        <v>1210</v>
      </c>
      <c r="I831" t="s">
        <v>760</v>
      </c>
      <c r="J831" s="1">
        <v>4280.6099999999997</v>
      </c>
      <c r="K831" s="1">
        <v>4280.6099999999997</v>
      </c>
      <c r="L831" t="str">
        <f>IFERROR(IF(VLOOKUP(LEFT(B831,2),'Humanitarian codes'!$A$2:$A$10,1,FALSE)=LEFT(B831,2),"Yes","Error"),"No")</f>
        <v>No</v>
      </c>
      <c r="AE831" s="1"/>
      <c r="AF831" s="1"/>
    </row>
    <row r="832" spans="1:32" hidden="1" x14ac:dyDescent="0.25">
      <c r="A832" t="s">
        <v>1658</v>
      </c>
      <c r="B832" t="s">
        <v>758</v>
      </c>
      <c r="C832" t="s">
        <v>759</v>
      </c>
      <c r="D832" t="s">
        <v>30</v>
      </c>
      <c r="E832" t="s">
        <v>760</v>
      </c>
      <c r="F832">
        <v>4500429074</v>
      </c>
      <c r="G832" t="s">
        <v>12</v>
      </c>
      <c r="H832" t="s">
        <v>1211</v>
      </c>
      <c r="I832" t="s">
        <v>760</v>
      </c>
      <c r="J832" s="1">
        <v>4278.08</v>
      </c>
      <c r="K832" s="1">
        <v>4278.08</v>
      </c>
      <c r="L832" t="str">
        <f>IFERROR(IF(VLOOKUP(LEFT(B832,2),'Humanitarian codes'!$A$2:$A$10,1,FALSE)=LEFT(B832,2),"Yes","Error"),"No")</f>
        <v>No</v>
      </c>
      <c r="AE832" s="1"/>
      <c r="AF832" s="1"/>
    </row>
    <row r="833" spans="1:32" hidden="1" x14ac:dyDescent="0.25">
      <c r="A833" t="s">
        <v>1658</v>
      </c>
      <c r="B833" t="s">
        <v>758</v>
      </c>
      <c r="C833" t="s">
        <v>759</v>
      </c>
      <c r="D833" t="s">
        <v>30</v>
      </c>
      <c r="E833" t="s">
        <v>760</v>
      </c>
      <c r="F833">
        <v>4500429076</v>
      </c>
      <c r="G833" t="s">
        <v>12</v>
      </c>
      <c r="H833" t="s">
        <v>1212</v>
      </c>
      <c r="I833" t="s">
        <v>760</v>
      </c>
      <c r="J833" s="1">
        <v>4232.09</v>
      </c>
      <c r="K833" s="1">
        <v>4232.09</v>
      </c>
      <c r="L833" t="str">
        <f>IFERROR(IF(VLOOKUP(LEFT(B833,2),'Humanitarian codes'!$A$2:$A$10,1,FALSE)=LEFT(B833,2),"Yes","Error"),"No")</f>
        <v>No</v>
      </c>
      <c r="AE833" s="1"/>
      <c r="AF833" s="1"/>
    </row>
    <row r="834" spans="1:32" hidden="1" x14ac:dyDescent="0.25">
      <c r="A834" t="s">
        <v>1658</v>
      </c>
      <c r="B834" t="s">
        <v>1224</v>
      </c>
      <c r="C834" t="s">
        <v>1225</v>
      </c>
      <c r="D834" t="s">
        <v>30</v>
      </c>
      <c r="E834" t="s">
        <v>128</v>
      </c>
      <c r="F834">
        <v>4500406717</v>
      </c>
      <c r="G834" t="s">
        <v>12</v>
      </c>
      <c r="H834" t="s">
        <v>1226</v>
      </c>
      <c r="I834" t="s">
        <v>128</v>
      </c>
      <c r="J834" s="1">
        <v>16774.810000000001</v>
      </c>
      <c r="K834" s="1">
        <v>16774.810000000001</v>
      </c>
      <c r="L834" t="str">
        <f>IFERROR(IF(VLOOKUP(LEFT(B834,2),'Humanitarian codes'!$A$2:$A$10,1,FALSE)=LEFT(B834,2),"Yes","Error"),"No")</f>
        <v>No</v>
      </c>
      <c r="AE834" s="1"/>
      <c r="AF834" s="1"/>
    </row>
    <row r="835" spans="1:32" hidden="1" x14ac:dyDescent="0.25">
      <c r="A835" t="s">
        <v>1658</v>
      </c>
      <c r="B835" t="s">
        <v>1224</v>
      </c>
      <c r="C835" t="s">
        <v>1225</v>
      </c>
      <c r="D835" t="s">
        <v>30</v>
      </c>
      <c r="E835" t="s">
        <v>128</v>
      </c>
      <c r="F835">
        <v>4500414534</v>
      </c>
      <c r="G835" t="s">
        <v>12</v>
      </c>
      <c r="H835" t="s">
        <v>1227</v>
      </c>
      <c r="I835" t="s">
        <v>751</v>
      </c>
      <c r="J835" s="1">
        <v>60000</v>
      </c>
      <c r="K835" s="1">
        <v>60000</v>
      </c>
      <c r="L835" t="str">
        <f>IFERROR(IF(VLOOKUP(LEFT(B835,2),'Humanitarian codes'!$A$2:$A$10,1,FALSE)=LEFT(B835,2),"Yes","Error"),"No")</f>
        <v>No</v>
      </c>
      <c r="AE835" s="1"/>
      <c r="AF835" s="1"/>
    </row>
    <row r="836" spans="1:32" hidden="1" x14ac:dyDescent="0.25">
      <c r="A836" t="s">
        <v>1658</v>
      </c>
      <c r="B836" t="s">
        <v>1224</v>
      </c>
      <c r="C836" t="s">
        <v>1225</v>
      </c>
      <c r="D836" t="s">
        <v>30</v>
      </c>
      <c r="E836" t="s">
        <v>128</v>
      </c>
      <c r="F836">
        <v>4500419008</v>
      </c>
      <c r="G836" t="s">
        <v>12</v>
      </c>
      <c r="H836" t="s">
        <v>565</v>
      </c>
      <c r="I836" t="s">
        <v>128</v>
      </c>
      <c r="J836" s="1">
        <v>50000</v>
      </c>
      <c r="K836" s="1">
        <v>50000</v>
      </c>
      <c r="L836" t="str">
        <f>IFERROR(IF(VLOOKUP(LEFT(B836,2),'Humanitarian codes'!$A$2:$A$10,1,FALSE)=LEFT(B836,2),"Yes","Error"),"No")</f>
        <v>No</v>
      </c>
      <c r="AE836" s="1"/>
      <c r="AF836" s="1"/>
    </row>
    <row r="837" spans="1:32" hidden="1" x14ac:dyDescent="0.25">
      <c r="A837" t="s">
        <v>1658</v>
      </c>
      <c r="B837" t="s">
        <v>1224</v>
      </c>
      <c r="C837" t="s">
        <v>1225</v>
      </c>
      <c r="D837" t="s">
        <v>30</v>
      </c>
      <c r="E837" t="s">
        <v>128</v>
      </c>
      <c r="F837">
        <v>4500419714</v>
      </c>
      <c r="G837" t="s">
        <v>12</v>
      </c>
      <c r="H837" t="s">
        <v>1228</v>
      </c>
      <c r="I837" t="s">
        <v>128</v>
      </c>
      <c r="J837" s="1">
        <v>50000</v>
      </c>
      <c r="K837" s="1">
        <v>50000</v>
      </c>
      <c r="L837" t="str">
        <f>IFERROR(IF(VLOOKUP(LEFT(B837,2),'Humanitarian codes'!$A$2:$A$10,1,FALSE)=LEFT(B837,2),"Yes","Error"),"No")</f>
        <v>No</v>
      </c>
      <c r="AE837" s="1"/>
      <c r="AF837" s="1"/>
    </row>
    <row r="838" spans="1:32" hidden="1" x14ac:dyDescent="0.25">
      <c r="A838" t="s">
        <v>1658</v>
      </c>
      <c r="B838" t="s">
        <v>47</v>
      </c>
      <c r="C838" t="s">
        <v>48</v>
      </c>
      <c r="D838" t="s">
        <v>30</v>
      </c>
      <c r="E838" t="s">
        <v>49</v>
      </c>
      <c r="F838">
        <v>4500417669</v>
      </c>
      <c r="G838" t="s">
        <v>12</v>
      </c>
      <c r="H838" t="s">
        <v>1229</v>
      </c>
      <c r="I838" t="s">
        <v>49</v>
      </c>
      <c r="J838" s="1">
        <v>156000</v>
      </c>
      <c r="K838" s="1">
        <v>156000</v>
      </c>
      <c r="L838" t="str">
        <f>IFERROR(IF(VLOOKUP(LEFT(B838,2),'Humanitarian codes'!$A$2:$A$10,1,FALSE)=LEFT(B838,2),"Yes","Error"),"No")</f>
        <v>No</v>
      </c>
      <c r="AE838" s="1"/>
      <c r="AF838" s="1"/>
    </row>
    <row r="839" spans="1:32" hidden="1" x14ac:dyDescent="0.25">
      <c r="A839" t="s">
        <v>1658</v>
      </c>
      <c r="B839" t="s">
        <v>47</v>
      </c>
      <c r="C839" t="s">
        <v>48</v>
      </c>
      <c r="D839" t="s">
        <v>30</v>
      </c>
      <c r="E839" t="s">
        <v>49</v>
      </c>
      <c r="F839">
        <v>4500422448</v>
      </c>
      <c r="G839" t="s">
        <v>12</v>
      </c>
      <c r="H839" t="s">
        <v>1230</v>
      </c>
      <c r="I839" t="s">
        <v>49</v>
      </c>
      <c r="J839" s="1">
        <v>179700</v>
      </c>
      <c r="K839" s="1">
        <v>179700</v>
      </c>
      <c r="L839" t="str">
        <f>IFERROR(IF(VLOOKUP(LEFT(B839,2),'Humanitarian codes'!$A$2:$A$10,1,FALSE)=LEFT(B839,2),"Yes","Error"),"No")</f>
        <v>No</v>
      </c>
      <c r="AE839" s="1"/>
      <c r="AF839" s="1"/>
    </row>
    <row r="840" spans="1:32" hidden="1" x14ac:dyDescent="0.25">
      <c r="A840" t="s">
        <v>1658</v>
      </c>
      <c r="B840" t="s">
        <v>1231</v>
      </c>
      <c r="C840" t="s">
        <v>1232</v>
      </c>
      <c r="D840" t="s">
        <v>30</v>
      </c>
      <c r="E840" t="s">
        <v>493</v>
      </c>
      <c r="F840">
        <v>4500414844</v>
      </c>
      <c r="G840" t="s">
        <v>12</v>
      </c>
      <c r="H840" t="s">
        <v>1200</v>
      </c>
      <c r="I840" t="s">
        <v>493</v>
      </c>
      <c r="J840" s="1">
        <v>198500</v>
      </c>
      <c r="K840" s="1">
        <v>198500</v>
      </c>
      <c r="L840" t="str">
        <f>IFERROR(IF(VLOOKUP(LEFT(B840,2),'Humanitarian codes'!$A$2:$A$10,1,FALSE)=LEFT(B840,2),"Yes","Error"),"No")</f>
        <v>No</v>
      </c>
      <c r="AE840" s="1"/>
      <c r="AF840" s="1"/>
    </row>
    <row r="841" spans="1:32" hidden="1" x14ac:dyDescent="0.25">
      <c r="A841" t="s">
        <v>1658</v>
      </c>
      <c r="B841" t="s">
        <v>1231</v>
      </c>
      <c r="C841" t="s">
        <v>1232</v>
      </c>
      <c r="D841" t="s">
        <v>30</v>
      </c>
      <c r="E841" t="s">
        <v>493</v>
      </c>
      <c r="F841">
        <v>4500415781</v>
      </c>
      <c r="G841" t="s">
        <v>12</v>
      </c>
      <c r="H841" t="s">
        <v>1233</v>
      </c>
      <c r="I841" t="s">
        <v>493</v>
      </c>
      <c r="J841" s="1">
        <v>57750</v>
      </c>
      <c r="K841" s="1">
        <v>57750</v>
      </c>
      <c r="L841" t="str">
        <f>IFERROR(IF(VLOOKUP(LEFT(B841,2),'Humanitarian codes'!$A$2:$A$10,1,FALSE)=LEFT(B841,2),"Yes","Error"),"No")</f>
        <v>No</v>
      </c>
      <c r="AE841" s="1"/>
      <c r="AF841" s="1"/>
    </row>
    <row r="842" spans="1:32" hidden="1" x14ac:dyDescent="0.25">
      <c r="A842" t="s">
        <v>1658</v>
      </c>
      <c r="B842" t="s">
        <v>1231</v>
      </c>
      <c r="C842" t="s">
        <v>1232</v>
      </c>
      <c r="D842" t="s">
        <v>30</v>
      </c>
      <c r="E842" t="s">
        <v>493</v>
      </c>
      <c r="F842">
        <v>4500417076</v>
      </c>
      <c r="G842" t="s">
        <v>12</v>
      </c>
      <c r="H842" t="s">
        <v>1234</v>
      </c>
      <c r="I842" t="s">
        <v>493</v>
      </c>
      <c r="J842" s="1">
        <v>100000</v>
      </c>
      <c r="K842" s="1">
        <v>100000</v>
      </c>
      <c r="L842" t="str">
        <f>IFERROR(IF(VLOOKUP(LEFT(B842,2),'Humanitarian codes'!$A$2:$A$10,1,FALSE)=LEFT(B842,2),"Yes","Error"),"No")</f>
        <v>No</v>
      </c>
      <c r="AE842" s="1"/>
      <c r="AF842" s="1"/>
    </row>
    <row r="843" spans="1:32" hidden="1" x14ac:dyDescent="0.25">
      <c r="A843" t="s">
        <v>1658</v>
      </c>
      <c r="B843" t="s">
        <v>1235</v>
      </c>
      <c r="C843" t="s">
        <v>1236</v>
      </c>
      <c r="D843" t="s">
        <v>30</v>
      </c>
      <c r="E843" t="s">
        <v>760</v>
      </c>
      <c r="F843">
        <v>4500411940</v>
      </c>
      <c r="G843" t="s">
        <v>12</v>
      </c>
      <c r="H843" t="s">
        <v>1237</v>
      </c>
      <c r="I843" t="s">
        <v>760</v>
      </c>
      <c r="J843" s="1">
        <v>578082.94999999995</v>
      </c>
      <c r="K843" s="1">
        <v>578082.94999999995</v>
      </c>
      <c r="L843" t="str">
        <f>IFERROR(IF(VLOOKUP(LEFT(B843,2),'Humanitarian codes'!$A$2:$A$10,1,FALSE)=LEFT(B843,2),"Yes","Error"),"No")</f>
        <v>No</v>
      </c>
      <c r="AE843" s="1"/>
      <c r="AF843" s="1"/>
    </row>
    <row r="844" spans="1:32" x14ac:dyDescent="0.25">
      <c r="A844" t="s">
        <v>1658</v>
      </c>
      <c r="B844" t="s">
        <v>1238</v>
      </c>
      <c r="C844" t="s">
        <v>1239</v>
      </c>
      <c r="D844" t="s">
        <v>30</v>
      </c>
      <c r="E844" t="s">
        <v>561</v>
      </c>
      <c r="F844">
        <v>4500424714</v>
      </c>
      <c r="G844" t="s">
        <v>12</v>
      </c>
      <c r="H844" t="s">
        <v>1240</v>
      </c>
      <c r="I844" t="s">
        <v>561</v>
      </c>
      <c r="J844" s="1">
        <v>9994.1</v>
      </c>
      <c r="K844" s="1">
        <v>9994.1</v>
      </c>
      <c r="L844" t="str">
        <f>IFERROR(IF(VLOOKUP(LEFT(B844,2),'Humanitarian codes'!$A$2:$A$10,1,FALSE)=LEFT(B844,2),"Yes","Error"),"No")</f>
        <v>Yes</v>
      </c>
      <c r="AE844" s="1"/>
      <c r="AF844" s="1"/>
    </row>
    <row r="845" spans="1:32" x14ac:dyDescent="0.25">
      <c r="A845" t="s">
        <v>1658</v>
      </c>
      <c r="B845" t="s">
        <v>1238</v>
      </c>
      <c r="C845" t="s">
        <v>1239</v>
      </c>
      <c r="D845" t="s">
        <v>30</v>
      </c>
      <c r="E845" t="s">
        <v>561</v>
      </c>
      <c r="F845">
        <v>4500425163</v>
      </c>
      <c r="G845" t="s">
        <v>12</v>
      </c>
      <c r="H845" t="s">
        <v>1241</v>
      </c>
      <c r="I845" t="s">
        <v>561</v>
      </c>
      <c r="J845" s="1">
        <v>6553.66</v>
      </c>
      <c r="K845" s="1">
        <v>6553.66</v>
      </c>
      <c r="L845" t="str">
        <f>IFERROR(IF(VLOOKUP(LEFT(B845,2),'Humanitarian codes'!$A$2:$A$10,1,FALSE)=LEFT(B845,2),"Yes","Error"),"No")</f>
        <v>Yes</v>
      </c>
      <c r="AE845" s="1"/>
      <c r="AF845" s="1"/>
    </row>
    <row r="846" spans="1:32" x14ac:dyDescent="0.25">
      <c r="A846" t="s">
        <v>1658</v>
      </c>
      <c r="B846" t="s">
        <v>1246</v>
      </c>
      <c r="C846" t="s">
        <v>1247</v>
      </c>
      <c r="D846" t="s">
        <v>30</v>
      </c>
      <c r="E846" t="s">
        <v>54</v>
      </c>
      <c r="F846">
        <v>4500387996</v>
      </c>
      <c r="G846" t="s">
        <v>12</v>
      </c>
      <c r="H846" t="s">
        <v>1248</v>
      </c>
      <c r="I846" t="s">
        <v>54</v>
      </c>
      <c r="J846" s="1">
        <v>23040.45</v>
      </c>
      <c r="K846" s="1">
        <v>23040.45</v>
      </c>
      <c r="L846" t="str">
        <f>IFERROR(IF(VLOOKUP(LEFT(B846,2),'Humanitarian codes'!$A$2:$A$10,1,FALSE)=LEFT(B846,2),"Yes","Error"),"No")</f>
        <v>Yes</v>
      </c>
      <c r="AE846" s="1"/>
      <c r="AF846" s="1"/>
    </row>
    <row r="847" spans="1:32" x14ac:dyDescent="0.25">
      <c r="A847" t="s">
        <v>1658</v>
      </c>
      <c r="B847" t="s">
        <v>1249</v>
      </c>
      <c r="C847" t="s">
        <v>1250</v>
      </c>
      <c r="D847" t="s">
        <v>30</v>
      </c>
      <c r="E847" t="s">
        <v>717</v>
      </c>
      <c r="F847">
        <v>4500420023</v>
      </c>
      <c r="G847" t="s">
        <v>12</v>
      </c>
      <c r="H847" t="s">
        <v>1251</v>
      </c>
      <c r="I847" t="s">
        <v>717</v>
      </c>
      <c r="J847" s="1">
        <v>51723</v>
      </c>
      <c r="K847" s="1">
        <v>51723</v>
      </c>
      <c r="L847" t="str">
        <f>IFERROR(IF(VLOOKUP(LEFT(B847,2),'Humanitarian codes'!$A$2:$A$10,1,FALSE)=LEFT(B847,2),"Yes","Error"),"No")</f>
        <v>Yes</v>
      </c>
      <c r="AE847" s="1"/>
      <c r="AF847" s="1"/>
    </row>
    <row r="848" spans="1:32" x14ac:dyDescent="0.25">
      <c r="A848" t="s">
        <v>1658</v>
      </c>
      <c r="B848" t="s">
        <v>1249</v>
      </c>
      <c r="C848" t="s">
        <v>1250</v>
      </c>
      <c r="D848" t="s">
        <v>30</v>
      </c>
      <c r="E848" t="s">
        <v>717</v>
      </c>
      <c r="F848">
        <v>4500420382</v>
      </c>
      <c r="G848" t="s">
        <v>12</v>
      </c>
      <c r="H848" t="s">
        <v>1252</v>
      </c>
      <c r="I848" t="s">
        <v>155</v>
      </c>
      <c r="J848" s="1">
        <v>125170</v>
      </c>
      <c r="K848" s="1">
        <v>125170</v>
      </c>
      <c r="L848" t="str">
        <f>IFERROR(IF(VLOOKUP(LEFT(B848,2),'Humanitarian codes'!$A$2:$A$10,1,FALSE)=LEFT(B848,2),"Yes","Error"),"No")</f>
        <v>Yes</v>
      </c>
      <c r="AE848" s="1"/>
      <c r="AF848" s="1"/>
    </row>
    <row r="849" spans="1:32" x14ac:dyDescent="0.25">
      <c r="A849" t="s">
        <v>1658</v>
      </c>
      <c r="B849" t="s">
        <v>1249</v>
      </c>
      <c r="C849" t="s">
        <v>1250</v>
      </c>
      <c r="D849" t="s">
        <v>30</v>
      </c>
      <c r="E849" t="s">
        <v>717</v>
      </c>
      <c r="F849">
        <v>4500420402</v>
      </c>
      <c r="G849" t="s">
        <v>12</v>
      </c>
      <c r="H849" t="s">
        <v>1253</v>
      </c>
      <c r="I849" t="s">
        <v>717</v>
      </c>
      <c r="J849" s="1">
        <v>30019</v>
      </c>
      <c r="K849" s="1">
        <v>30019</v>
      </c>
      <c r="L849" t="str">
        <f>IFERROR(IF(VLOOKUP(LEFT(B849,2),'Humanitarian codes'!$A$2:$A$10,1,FALSE)=LEFT(B849,2),"Yes","Error"),"No")</f>
        <v>Yes</v>
      </c>
      <c r="AF849" s="1"/>
    </row>
    <row r="850" spans="1:32" x14ac:dyDescent="0.25">
      <c r="A850" t="s">
        <v>1658</v>
      </c>
      <c r="B850" t="s">
        <v>74</v>
      </c>
      <c r="C850" t="s">
        <v>75</v>
      </c>
      <c r="D850" t="s">
        <v>30</v>
      </c>
      <c r="E850" t="s">
        <v>903</v>
      </c>
      <c r="F850">
        <v>4500408744</v>
      </c>
      <c r="G850" t="s">
        <v>12</v>
      </c>
      <c r="H850" t="s">
        <v>314</v>
      </c>
      <c r="I850" t="s">
        <v>903</v>
      </c>
      <c r="J850" s="1">
        <v>49552.94</v>
      </c>
      <c r="K850" s="1">
        <v>109054.44</v>
      </c>
      <c r="L850" t="str">
        <f>IFERROR(IF(VLOOKUP(LEFT(B850,2),'Humanitarian codes'!$A$2:$A$10,1,FALSE)=LEFT(B850,2),"Yes","Error"),"No")</f>
        <v>Yes</v>
      </c>
      <c r="AF850" s="1"/>
    </row>
    <row r="851" spans="1:32" x14ac:dyDescent="0.25">
      <c r="A851" t="s">
        <v>1658</v>
      </c>
      <c r="B851" t="s">
        <v>74</v>
      </c>
      <c r="C851" t="s">
        <v>75</v>
      </c>
      <c r="D851" t="s">
        <v>30</v>
      </c>
      <c r="E851" t="s">
        <v>54</v>
      </c>
      <c r="F851">
        <v>4500419717</v>
      </c>
      <c r="G851" t="s">
        <v>12</v>
      </c>
      <c r="H851" t="s">
        <v>1254</v>
      </c>
      <c r="I851" t="s">
        <v>54</v>
      </c>
      <c r="J851" s="1">
        <v>42827</v>
      </c>
      <c r="K851" s="1">
        <v>81587</v>
      </c>
      <c r="L851" t="str">
        <f>IFERROR(IF(VLOOKUP(LEFT(B851,2),'Humanitarian codes'!$A$2:$A$10,1,FALSE)=LEFT(B851,2),"Yes","Error"),"No")</f>
        <v>Yes</v>
      </c>
      <c r="AE851" s="1"/>
      <c r="AF851" s="1"/>
    </row>
    <row r="852" spans="1:32" x14ac:dyDescent="0.25">
      <c r="A852" t="s">
        <v>1658</v>
      </c>
      <c r="B852" t="s">
        <v>74</v>
      </c>
      <c r="C852" t="s">
        <v>75</v>
      </c>
      <c r="D852" t="s">
        <v>30</v>
      </c>
      <c r="E852" t="s">
        <v>54</v>
      </c>
      <c r="F852">
        <v>4500421002</v>
      </c>
      <c r="G852" t="s">
        <v>12</v>
      </c>
      <c r="H852" t="s">
        <v>1254</v>
      </c>
      <c r="I852" t="s">
        <v>54</v>
      </c>
      <c r="J852" s="1">
        <v>47692</v>
      </c>
      <c r="K852" s="1">
        <v>158975</v>
      </c>
      <c r="L852" t="str">
        <f>IFERROR(IF(VLOOKUP(LEFT(B852,2),'Humanitarian codes'!$A$2:$A$10,1,FALSE)=LEFT(B852,2),"Yes","Error"),"No")</f>
        <v>Yes</v>
      </c>
      <c r="AE852" s="1"/>
      <c r="AF852" s="1"/>
    </row>
    <row r="853" spans="1:32" x14ac:dyDescent="0.25">
      <c r="A853" t="s">
        <v>1658</v>
      </c>
      <c r="B853" t="s">
        <v>87</v>
      </c>
      <c r="C853" t="s">
        <v>88</v>
      </c>
      <c r="D853" t="s">
        <v>30</v>
      </c>
      <c r="E853" t="s">
        <v>32</v>
      </c>
      <c r="F853">
        <v>4500415884</v>
      </c>
      <c r="G853" t="s">
        <v>12</v>
      </c>
      <c r="H853" t="s">
        <v>807</v>
      </c>
      <c r="I853" t="s">
        <v>32</v>
      </c>
      <c r="J853" s="1">
        <v>106961</v>
      </c>
      <c r="K853" s="1">
        <v>106961</v>
      </c>
      <c r="L853" t="str">
        <f>IFERROR(IF(VLOOKUP(LEFT(B853,2),'Humanitarian codes'!$A$2:$A$10,1,FALSE)=LEFT(B853,2),"Yes","Error"),"No")</f>
        <v>Yes</v>
      </c>
      <c r="AE853" s="1"/>
      <c r="AF853" s="1"/>
    </row>
    <row r="854" spans="1:32" x14ac:dyDescent="0.25">
      <c r="A854" t="s">
        <v>1658</v>
      </c>
      <c r="B854" t="s">
        <v>87</v>
      </c>
      <c r="C854" t="s">
        <v>88</v>
      </c>
      <c r="D854" t="s">
        <v>30</v>
      </c>
      <c r="E854" t="s">
        <v>32</v>
      </c>
      <c r="F854">
        <v>4500417795</v>
      </c>
      <c r="G854" t="s">
        <v>12</v>
      </c>
      <c r="H854" t="s">
        <v>101</v>
      </c>
      <c r="I854" t="s">
        <v>32</v>
      </c>
      <c r="J854" s="1">
        <v>219206</v>
      </c>
      <c r="K854" s="1">
        <v>219206</v>
      </c>
      <c r="L854" t="str">
        <f>IFERROR(IF(VLOOKUP(LEFT(B854,2),'Humanitarian codes'!$A$2:$A$10,1,FALSE)=LEFT(B854,2),"Yes","Error"),"No")</f>
        <v>Yes</v>
      </c>
      <c r="AF854" s="1"/>
    </row>
    <row r="855" spans="1:32" x14ac:dyDescent="0.25">
      <c r="A855" t="s">
        <v>1658</v>
      </c>
      <c r="B855" t="s">
        <v>87</v>
      </c>
      <c r="C855" t="s">
        <v>88</v>
      </c>
      <c r="D855" t="s">
        <v>30</v>
      </c>
      <c r="E855" t="s">
        <v>32</v>
      </c>
      <c r="F855">
        <v>4500418669</v>
      </c>
      <c r="G855" t="s">
        <v>12</v>
      </c>
      <c r="H855" t="s">
        <v>37</v>
      </c>
      <c r="I855" t="s">
        <v>32</v>
      </c>
      <c r="J855" s="1">
        <v>179439</v>
      </c>
      <c r="K855" s="1">
        <v>179439</v>
      </c>
      <c r="L855" t="str">
        <f>IFERROR(IF(VLOOKUP(LEFT(B855,2),'Humanitarian codes'!$A$2:$A$10,1,FALSE)=LEFT(B855,2),"Yes","Error"),"No")</f>
        <v>Yes</v>
      </c>
      <c r="AE855" s="1"/>
      <c r="AF855" s="1"/>
    </row>
    <row r="856" spans="1:32" x14ac:dyDescent="0.25">
      <c r="A856" t="s">
        <v>1658</v>
      </c>
      <c r="B856" t="s">
        <v>87</v>
      </c>
      <c r="C856" t="s">
        <v>88</v>
      </c>
      <c r="D856" t="s">
        <v>30</v>
      </c>
      <c r="E856" t="s">
        <v>32</v>
      </c>
      <c r="F856">
        <v>4500419664</v>
      </c>
      <c r="G856" t="s">
        <v>12</v>
      </c>
      <c r="H856" t="s">
        <v>1261</v>
      </c>
      <c r="I856" t="s">
        <v>32</v>
      </c>
      <c r="J856" s="1">
        <v>289976</v>
      </c>
      <c r="K856" s="1">
        <v>289976</v>
      </c>
      <c r="L856" t="str">
        <f>IFERROR(IF(VLOOKUP(LEFT(B856,2),'Humanitarian codes'!$A$2:$A$10,1,FALSE)=LEFT(B856,2),"Yes","Error"),"No")</f>
        <v>Yes</v>
      </c>
      <c r="AE856" s="1"/>
      <c r="AF856" s="1"/>
    </row>
    <row r="857" spans="1:32" x14ac:dyDescent="0.25">
      <c r="A857" t="s">
        <v>1658</v>
      </c>
      <c r="B857" t="s">
        <v>87</v>
      </c>
      <c r="C857" t="s">
        <v>88</v>
      </c>
      <c r="D857" t="s">
        <v>30</v>
      </c>
      <c r="E857" t="s">
        <v>32</v>
      </c>
      <c r="F857">
        <v>4500421242</v>
      </c>
      <c r="G857" t="s">
        <v>12</v>
      </c>
      <c r="H857" t="s">
        <v>99</v>
      </c>
      <c r="I857" t="s">
        <v>32</v>
      </c>
      <c r="J857" s="1">
        <v>42614</v>
      </c>
      <c r="K857" s="1">
        <v>42614</v>
      </c>
      <c r="L857" t="str">
        <f>IFERROR(IF(VLOOKUP(LEFT(B857,2),'Humanitarian codes'!$A$2:$A$10,1,FALSE)=LEFT(B857,2),"Yes","Error"),"No")</f>
        <v>Yes</v>
      </c>
      <c r="AE857" s="1"/>
      <c r="AF857" s="1"/>
    </row>
    <row r="858" spans="1:32" x14ac:dyDescent="0.25">
      <c r="A858" t="s">
        <v>1658</v>
      </c>
      <c r="B858" t="s">
        <v>87</v>
      </c>
      <c r="C858" t="s">
        <v>88</v>
      </c>
      <c r="D858" t="s">
        <v>30</v>
      </c>
      <c r="E858" t="s">
        <v>32</v>
      </c>
      <c r="F858">
        <v>4500426968</v>
      </c>
      <c r="G858" t="s">
        <v>12</v>
      </c>
      <c r="H858" t="s">
        <v>807</v>
      </c>
      <c r="I858" t="s">
        <v>32</v>
      </c>
      <c r="J858" s="1">
        <v>242168</v>
      </c>
      <c r="K858" s="1">
        <v>242168</v>
      </c>
      <c r="L858" t="str">
        <f>IFERROR(IF(VLOOKUP(LEFT(B858,2),'Humanitarian codes'!$A$2:$A$10,1,FALSE)=LEFT(B858,2),"Yes","Error"),"No")</f>
        <v>Yes</v>
      </c>
      <c r="AE858" s="1"/>
      <c r="AF858" s="1"/>
    </row>
    <row r="859" spans="1:32" x14ac:dyDescent="0.25">
      <c r="A859" t="s">
        <v>1658</v>
      </c>
      <c r="B859" t="s">
        <v>1264</v>
      </c>
      <c r="C859" t="s">
        <v>1265</v>
      </c>
      <c r="D859" t="s">
        <v>30</v>
      </c>
      <c r="E859" t="s">
        <v>175</v>
      </c>
      <c r="F859">
        <v>4500425798</v>
      </c>
      <c r="G859" t="s">
        <v>12</v>
      </c>
      <c r="H859" t="s">
        <v>1004</v>
      </c>
      <c r="I859" t="s">
        <v>175</v>
      </c>
      <c r="J859" s="1">
        <v>39878.519999999997</v>
      </c>
      <c r="K859" s="1">
        <v>39878.519999999997</v>
      </c>
      <c r="L859" t="str">
        <f>IFERROR(IF(VLOOKUP(LEFT(B859,2),'Humanitarian codes'!$A$2:$A$10,1,FALSE)=LEFT(B859,2),"Yes","Error"),"No")</f>
        <v>Yes</v>
      </c>
      <c r="AE859" s="1"/>
      <c r="AF859" s="1"/>
    </row>
    <row r="860" spans="1:32" x14ac:dyDescent="0.25">
      <c r="A860" t="s">
        <v>1658</v>
      </c>
      <c r="B860" t="s">
        <v>1268</v>
      </c>
      <c r="C860" t="s">
        <v>1269</v>
      </c>
      <c r="D860" t="s">
        <v>30</v>
      </c>
      <c r="E860" t="s">
        <v>175</v>
      </c>
      <c r="F860">
        <v>4500416740</v>
      </c>
      <c r="G860" t="s">
        <v>12</v>
      </c>
      <c r="H860" t="s">
        <v>185</v>
      </c>
      <c r="I860" t="s">
        <v>175</v>
      </c>
      <c r="J860" s="1">
        <v>30000.46</v>
      </c>
      <c r="K860" s="1">
        <v>30000.46</v>
      </c>
      <c r="L860" t="str">
        <f>IFERROR(IF(VLOOKUP(LEFT(B860,2),'Humanitarian codes'!$A$2:$A$10,1,FALSE)=LEFT(B860,2),"Yes","Error"),"No")</f>
        <v>Yes</v>
      </c>
      <c r="AE860" s="1"/>
      <c r="AF860" s="1"/>
    </row>
    <row r="861" spans="1:32" x14ac:dyDescent="0.25">
      <c r="A861" t="s">
        <v>1658</v>
      </c>
      <c r="B861" t="s">
        <v>1270</v>
      </c>
      <c r="C861" t="s">
        <v>1271</v>
      </c>
      <c r="D861" t="s">
        <v>30</v>
      </c>
      <c r="E861" t="s">
        <v>32</v>
      </c>
      <c r="F861">
        <v>4500410917</v>
      </c>
      <c r="G861" t="s">
        <v>12</v>
      </c>
      <c r="H861" t="s">
        <v>1272</v>
      </c>
      <c r="I861" t="s">
        <v>972</v>
      </c>
      <c r="J861" s="1">
        <v>29659</v>
      </c>
      <c r="K861" s="1">
        <v>29659</v>
      </c>
      <c r="L861" t="str">
        <f>IFERROR(IF(VLOOKUP(LEFT(B861,2),'Humanitarian codes'!$A$2:$A$10,1,FALSE)=LEFT(B861,2),"Yes","Error"),"No")</f>
        <v>Yes</v>
      </c>
      <c r="AE861" s="1"/>
      <c r="AF861" s="1"/>
    </row>
    <row r="862" spans="1:32" x14ac:dyDescent="0.25">
      <c r="A862" t="s">
        <v>1658</v>
      </c>
      <c r="B862" t="s">
        <v>1275</v>
      </c>
      <c r="C862" t="s">
        <v>1276</v>
      </c>
      <c r="D862" t="s">
        <v>30</v>
      </c>
      <c r="E862" t="s">
        <v>197</v>
      </c>
      <c r="F862">
        <v>4500381405</v>
      </c>
      <c r="G862" t="s">
        <v>12</v>
      </c>
      <c r="H862" t="s">
        <v>1277</v>
      </c>
      <c r="I862" t="s">
        <v>197</v>
      </c>
      <c r="J862" s="1">
        <v>3537.51</v>
      </c>
      <c r="K862" s="1">
        <v>3537.51</v>
      </c>
      <c r="L862" t="str">
        <f>IFERROR(IF(VLOOKUP(LEFT(B862,2),'Humanitarian codes'!$A$2:$A$10,1,FALSE)=LEFT(B862,2),"Yes","Error"),"No")</f>
        <v>Yes</v>
      </c>
      <c r="AE862" s="1"/>
      <c r="AF862" s="1"/>
    </row>
    <row r="863" spans="1:32" x14ac:dyDescent="0.25">
      <c r="A863" t="s">
        <v>1658</v>
      </c>
      <c r="B863" t="s">
        <v>1275</v>
      </c>
      <c r="C863" t="s">
        <v>1276</v>
      </c>
      <c r="D863" t="s">
        <v>30</v>
      </c>
      <c r="E863" t="s">
        <v>831</v>
      </c>
      <c r="F863">
        <v>4500403098</v>
      </c>
      <c r="G863" t="s">
        <v>12</v>
      </c>
      <c r="H863" t="s">
        <v>870</v>
      </c>
      <c r="I863" t="s">
        <v>831</v>
      </c>
      <c r="J863" s="1">
        <v>6290.17</v>
      </c>
      <c r="K863" s="1">
        <v>6290.17</v>
      </c>
      <c r="L863" t="str">
        <f>IFERROR(IF(VLOOKUP(LEFT(B863,2),'Humanitarian codes'!$A$2:$A$10,1,FALSE)=LEFT(B863,2),"Yes","Error"),"No")</f>
        <v>Yes</v>
      </c>
      <c r="AF863" s="1"/>
    </row>
    <row r="864" spans="1:32" x14ac:dyDescent="0.25">
      <c r="A864" t="s">
        <v>1658</v>
      </c>
      <c r="B864" t="s">
        <v>1275</v>
      </c>
      <c r="C864" t="s">
        <v>1276</v>
      </c>
      <c r="D864" t="s">
        <v>30</v>
      </c>
      <c r="E864" t="s">
        <v>831</v>
      </c>
      <c r="F864">
        <v>4500417182</v>
      </c>
      <c r="G864" t="s">
        <v>12</v>
      </c>
      <c r="H864" t="s">
        <v>870</v>
      </c>
      <c r="I864" t="s">
        <v>831</v>
      </c>
      <c r="J864" s="1">
        <v>11725.03</v>
      </c>
      <c r="K864" s="1">
        <v>11725.03</v>
      </c>
      <c r="L864" t="str">
        <f>IFERROR(IF(VLOOKUP(LEFT(B864,2),'Humanitarian codes'!$A$2:$A$10,1,FALSE)=LEFT(B864,2),"Yes","Error"),"No")</f>
        <v>Yes</v>
      </c>
      <c r="AE864" s="1"/>
      <c r="AF864" s="1"/>
    </row>
    <row r="865" spans="1:32" x14ac:dyDescent="0.25">
      <c r="A865" t="s">
        <v>1658</v>
      </c>
      <c r="B865" t="s">
        <v>1275</v>
      </c>
      <c r="C865" t="s">
        <v>1276</v>
      </c>
      <c r="D865" t="s">
        <v>30</v>
      </c>
      <c r="E865" t="s">
        <v>210</v>
      </c>
      <c r="F865">
        <v>4500385683</v>
      </c>
      <c r="G865" t="s">
        <v>12</v>
      </c>
      <c r="H865" t="s">
        <v>468</v>
      </c>
      <c r="I865" t="s">
        <v>210</v>
      </c>
      <c r="J865" s="1">
        <v>4997.3</v>
      </c>
      <c r="K865" s="1">
        <v>4997.3</v>
      </c>
      <c r="L865" t="str">
        <f>IFERROR(IF(VLOOKUP(LEFT(B865,2),'Humanitarian codes'!$A$2:$A$10,1,FALSE)=LEFT(B865,2),"Yes","Error"),"No")</f>
        <v>Yes</v>
      </c>
      <c r="AE865" s="1"/>
      <c r="AF865" s="1"/>
    </row>
    <row r="866" spans="1:32" x14ac:dyDescent="0.25">
      <c r="A866" t="s">
        <v>1658</v>
      </c>
      <c r="B866" t="s">
        <v>1275</v>
      </c>
      <c r="C866" t="s">
        <v>1276</v>
      </c>
      <c r="D866" t="s">
        <v>30</v>
      </c>
      <c r="E866" t="s">
        <v>1048</v>
      </c>
      <c r="F866">
        <v>4500406180</v>
      </c>
      <c r="G866" t="s">
        <v>12</v>
      </c>
      <c r="H866" t="s">
        <v>220</v>
      </c>
      <c r="I866" t="s">
        <v>1048</v>
      </c>
      <c r="J866" s="1">
        <v>11105.99</v>
      </c>
      <c r="K866" s="1">
        <v>14788.52</v>
      </c>
      <c r="L866" t="str">
        <f>IFERROR(IF(VLOOKUP(LEFT(B866,2),'Humanitarian codes'!$A$2:$A$10,1,FALSE)=LEFT(B866,2),"Yes","Error"),"No")</f>
        <v>Yes</v>
      </c>
      <c r="AE866" s="1"/>
      <c r="AF866" s="1"/>
    </row>
    <row r="867" spans="1:32" x14ac:dyDescent="0.25">
      <c r="A867" t="s">
        <v>1658</v>
      </c>
      <c r="B867" t="s">
        <v>107</v>
      </c>
      <c r="C867" t="s">
        <v>1279</v>
      </c>
      <c r="D867" t="s">
        <v>30</v>
      </c>
      <c r="E867" t="s">
        <v>814</v>
      </c>
      <c r="F867">
        <v>4500406481</v>
      </c>
      <c r="G867" t="s">
        <v>12</v>
      </c>
      <c r="H867" t="s">
        <v>120</v>
      </c>
      <c r="I867" t="s">
        <v>814</v>
      </c>
      <c r="J867" s="1">
        <v>45569.760000000002</v>
      </c>
      <c r="K867" s="1">
        <v>65099.66</v>
      </c>
      <c r="L867" t="str">
        <f>IFERROR(IF(VLOOKUP(LEFT(B867,2),'Humanitarian codes'!$A$2:$A$10,1,FALSE)=LEFT(B867,2),"Yes","Error"),"No")</f>
        <v>Yes</v>
      </c>
      <c r="AE867" s="1"/>
      <c r="AF867" s="1"/>
    </row>
    <row r="868" spans="1:32" x14ac:dyDescent="0.25">
      <c r="A868" t="s">
        <v>1658</v>
      </c>
      <c r="B868" t="s">
        <v>107</v>
      </c>
      <c r="C868" t="s">
        <v>1279</v>
      </c>
      <c r="D868" t="s">
        <v>30</v>
      </c>
      <c r="E868" t="s">
        <v>814</v>
      </c>
      <c r="F868">
        <v>4500406501</v>
      </c>
      <c r="G868" t="s">
        <v>12</v>
      </c>
      <c r="H868" t="s">
        <v>116</v>
      </c>
      <c r="I868" t="s">
        <v>814</v>
      </c>
      <c r="J868" s="1">
        <v>17867.689999999999</v>
      </c>
      <c r="K868" s="1">
        <v>25525.27</v>
      </c>
      <c r="L868" t="str">
        <f>IFERROR(IF(VLOOKUP(LEFT(B868,2),'Humanitarian codes'!$A$2:$A$10,1,FALSE)=LEFT(B868,2),"Yes","Error"),"No")</f>
        <v>Yes</v>
      </c>
      <c r="AE868" s="1"/>
      <c r="AF868" s="1"/>
    </row>
    <row r="869" spans="1:32" x14ac:dyDescent="0.25">
      <c r="A869" t="s">
        <v>1658</v>
      </c>
      <c r="B869" t="s">
        <v>107</v>
      </c>
      <c r="C869" t="s">
        <v>1279</v>
      </c>
      <c r="D869" t="s">
        <v>30</v>
      </c>
      <c r="E869" t="s">
        <v>814</v>
      </c>
      <c r="F869">
        <v>4500406517</v>
      </c>
      <c r="G869" t="s">
        <v>12</v>
      </c>
      <c r="H869" t="s">
        <v>116</v>
      </c>
      <c r="I869" t="s">
        <v>814</v>
      </c>
      <c r="J869" s="1">
        <v>21686.28</v>
      </c>
      <c r="K869" s="1">
        <v>30980.400000000001</v>
      </c>
      <c r="L869" t="str">
        <f>IFERROR(IF(VLOOKUP(LEFT(B869,2),'Humanitarian codes'!$A$2:$A$10,1,FALSE)=LEFT(B869,2),"Yes","Error"),"No")</f>
        <v>Yes</v>
      </c>
      <c r="AE869" s="1"/>
      <c r="AF869" s="1"/>
    </row>
    <row r="870" spans="1:32" x14ac:dyDescent="0.25">
      <c r="A870" t="s">
        <v>1658</v>
      </c>
      <c r="B870" t="s">
        <v>107</v>
      </c>
      <c r="C870" t="s">
        <v>1279</v>
      </c>
      <c r="D870" t="s">
        <v>30</v>
      </c>
      <c r="E870" t="s">
        <v>814</v>
      </c>
      <c r="F870">
        <v>4500408333</v>
      </c>
      <c r="G870" t="s">
        <v>12</v>
      </c>
      <c r="H870" t="s">
        <v>117</v>
      </c>
      <c r="I870" t="s">
        <v>814</v>
      </c>
      <c r="J870" s="1">
        <v>38464.53</v>
      </c>
      <c r="K870" s="1">
        <v>38464.53</v>
      </c>
      <c r="L870" t="str">
        <f>IFERROR(IF(VLOOKUP(LEFT(B870,2),'Humanitarian codes'!$A$2:$A$10,1,FALSE)=LEFT(B870,2),"Yes","Error"),"No")</f>
        <v>Yes</v>
      </c>
      <c r="AE870" s="1"/>
      <c r="AF870" s="1"/>
    </row>
    <row r="871" spans="1:32" x14ac:dyDescent="0.25">
      <c r="A871" t="s">
        <v>1658</v>
      </c>
      <c r="B871" t="s">
        <v>107</v>
      </c>
      <c r="C871" t="s">
        <v>1279</v>
      </c>
      <c r="D871" t="s">
        <v>30</v>
      </c>
      <c r="E871" t="s">
        <v>814</v>
      </c>
      <c r="F871">
        <v>4500408380</v>
      </c>
      <c r="G871" t="s">
        <v>12</v>
      </c>
      <c r="H871" t="s">
        <v>112</v>
      </c>
      <c r="I871" t="s">
        <v>814</v>
      </c>
      <c r="J871" s="1">
        <v>28038.87</v>
      </c>
      <c r="K871" s="1">
        <v>28038.87</v>
      </c>
      <c r="L871" t="str">
        <f>IFERROR(IF(VLOOKUP(LEFT(B871,2),'Humanitarian codes'!$A$2:$A$10,1,FALSE)=LEFT(B871,2),"Yes","Error"),"No")</f>
        <v>Yes</v>
      </c>
      <c r="AE871" s="1"/>
      <c r="AF871" s="1"/>
    </row>
    <row r="872" spans="1:32" x14ac:dyDescent="0.25">
      <c r="A872" t="s">
        <v>1658</v>
      </c>
      <c r="B872" t="s">
        <v>107</v>
      </c>
      <c r="C872" t="s">
        <v>1279</v>
      </c>
      <c r="D872" t="s">
        <v>30</v>
      </c>
      <c r="E872" t="s">
        <v>814</v>
      </c>
      <c r="F872">
        <v>4500408390</v>
      </c>
      <c r="G872" t="s">
        <v>12</v>
      </c>
      <c r="H872" t="s">
        <v>113</v>
      </c>
      <c r="I872" t="s">
        <v>814</v>
      </c>
      <c r="J872" s="1">
        <v>18973.89</v>
      </c>
      <c r="K872" s="1">
        <v>27105.58</v>
      </c>
      <c r="L872" t="str">
        <f>IFERROR(IF(VLOOKUP(LEFT(B872,2),'Humanitarian codes'!$A$2:$A$10,1,FALSE)=LEFT(B872,2),"Yes","Error"),"No")</f>
        <v>Yes</v>
      </c>
      <c r="AE872" s="1"/>
      <c r="AF872" s="1"/>
    </row>
    <row r="873" spans="1:32" x14ac:dyDescent="0.25">
      <c r="A873" t="s">
        <v>1658</v>
      </c>
      <c r="B873" t="s">
        <v>121</v>
      </c>
      <c r="C873" t="s">
        <v>122</v>
      </c>
      <c r="D873" t="s">
        <v>30</v>
      </c>
      <c r="E873" t="s">
        <v>123</v>
      </c>
      <c r="F873">
        <v>4500414016</v>
      </c>
      <c r="G873" t="s">
        <v>12</v>
      </c>
      <c r="H873" t="s">
        <v>124</v>
      </c>
      <c r="I873" t="s">
        <v>123</v>
      </c>
      <c r="J873" s="1">
        <v>51971.5</v>
      </c>
      <c r="K873" s="1">
        <v>51971.5</v>
      </c>
      <c r="L873" t="str">
        <f>IFERROR(IF(VLOOKUP(LEFT(B873,2),'Humanitarian codes'!$A$2:$A$10,1,FALSE)=LEFT(B873,2),"Yes","Error"),"No")</f>
        <v>Yes</v>
      </c>
      <c r="AE873" s="1"/>
      <c r="AF873" s="1"/>
    </row>
    <row r="874" spans="1:32" x14ac:dyDescent="0.25">
      <c r="A874" t="s">
        <v>1658</v>
      </c>
      <c r="B874" t="s">
        <v>121</v>
      </c>
      <c r="C874" t="s">
        <v>122</v>
      </c>
      <c r="D874" t="s">
        <v>30</v>
      </c>
      <c r="E874" t="s">
        <v>123</v>
      </c>
      <c r="F874">
        <v>4500417820</v>
      </c>
      <c r="G874" t="s">
        <v>12</v>
      </c>
      <c r="H874" t="s">
        <v>1280</v>
      </c>
      <c r="I874" t="s">
        <v>123</v>
      </c>
      <c r="J874" s="1">
        <v>32394.35</v>
      </c>
      <c r="K874" s="1">
        <v>32394.35</v>
      </c>
      <c r="L874" t="str">
        <f>IFERROR(IF(VLOOKUP(LEFT(B874,2),'Humanitarian codes'!$A$2:$A$10,1,FALSE)=LEFT(B874,2),"Yes","Error"),"No")</f>
        <v>Yes</v>
      </c>
      <c r="AE874" s="1"/>
      <c r="AF874" s="1"/>
    </row>
    <row r="875" spans="1:32" x14ac:dyDescent="0.25">
      <c r="A875" t="s">
        <v>1658</v>
      </c>
      <c r="B875" t="s">
        <v>722</v>
      </c>
      <c r="C875" t="s">
        <v>723</v>
      </c>
      <c r="D875" t="s">
        <v>30</v>
      </c>
      <c r="E875" t="s">
        <v>717</v>
      </c>
      <c r="F875">
        <v>4500411900</v>
      </c>
      <c r="G875" t="s">
        <v>713</v>
      </c>
      <c r="H875" t="s">
        <v>1283</v>
      </c>
      <c r="I875" t="s">
        <v>717</v>
      </c>
      <c r="J875" s="1">
        <v>58806.61</v>
      </c>
      <c r="K875" s="1">
        <v>58806.61</v>
      </c>
      <c r="L875" t="str">
        <f>IFERROR(IF(VLOOKUP(LEFT(B875,2),'Humanitarian codes'!$A$2:$A$10,1,FALSE)=LEFT(B875,2),"Yes","Error"),"No")</f>
        <v>Yes</v>
      </c>
      <c r="AE875" s="1"/>
      <c r="AF875" s="1"/>
    </row>
    <row r="876" spans="1:32" x14ac:dyDescent="0.25">
      <c r="A876" t="s">
        <v>1658</v>
      </c>
      <c r="B876" t="s">
        <v>1288</v>
      </c>
      <c r="C876" t="s">
        <v>1289</v>
      </c>
      <c r="D876" t="s">
        <v>30</v>
      </c>
      <c r="E876" t="s">
        <v>54</v>
      </c>
      <c r="F876">
        <v>4500384045</v>
      </c>
      <c r="G876" t="s">
        <v>12</v>
      </c>
      <c r="H876" t="s">
        <v>1290</v>
      </c>
      <c r="I876" t="s">
        <v>54</v>
      </c>
      <c r="J876" s="1">
        <v>117866.67</v>
      </c>
      <c r="K876" s="1">
        <v>117866.67</v>
      </c>
      <c r="L876" t="str">
        <f>IFERROR(IF(VLOOKUP(LEFT(B876,2),'Humanitarian codes'!$A$2:$A$10,1,FALSE)=LEFT(B876,2),"Yes","Error"),"No")</f>
        <v>Yes</v>
      </c>
      <c r="AE876" s="1"/>
      <c r="AF876" s="1"/>
    </row>
    <row r="877" spans="1:32" x14ac:dyDescent="0.25">
      <c r="A877" t="s">
        <v>1658</v>
      </c>
      <c r="B877" t="s">
        <v>1288</v>
      </c>
      <c r="C877" t="s">
        <v>1289</v>
      </c>
      <c r="D877" t="s">
        <v>30</v>
      </c>
      <c r="E877" t="s">
        <v>54</v>
      </c>
      <c r="F877">
        <v>4500406562</v>
      </c>
      <c r="G877" t="s">
        <v>12</v>
      </c>
      <c r="H877" t="s">
        <v>1291</v>
      </c>
      <c r="I877" t="s">
        <v>54</v>
      </c>
      <c r="J877" s="1">
        <v>128490.41</v>
      </c>
      <c r="K877" s="1">
        <v>128490.41</v>
      </c>
      <c r="L877" t="str">
        <f>IFERROR(IF(VLOOKUP(LEFT(B877,2),'Humanitarian codes'!$A$2:$A$10,1,FALSE)=LEFT(B877,2),"Yes","Error"),"No")</f>
        <v>Yes</v>
      </c>
      <c r="AF877" s="1"/>
    </row>
    <row r="878" spans="1:32" x14ac:dyDescent="0.25">
      <c r="A878" t="s">
        <v>1658</v>
      </c>
      <c r="B878" t="s">
        <v>1288</v>
      </c>
      <c r="C878" t="s">
        <v>1289</v>
      </c>
      <c r="D878" t="s">
        <v>30</v>
      </c>
      <c r="E878" t="s">
        <v>54</v>
      </c>
      <c r="F878">
        <v>4500406599</v>
      </c>
      <c r="G878" t="s">
        <v>12</v>
      </c>
      <c r="H878" t="s">
        <v>1292</v>
      </c>
      <c r="I878" t="s">
        <v>54</v>
      </c>
      <c r="J878" s="1">
        <v>84200.39</v>
      </c>
      <c r="K878" s="1">
        <v>84200.39</v>
      </c>
      <c r="L878" t="str">
        <f>IFERROR(IF(VLOOKUP(LEFT(B878,2),'Humanitarian codes'!$A$2:$A$10,1,FALSE)=LEFT(B878,2),"Yes","Error"),"No")</f>
        <v>Yes</v>
      </c>
      <c r="AE878" s="1"/>
      <c r="AF878" s="1"/>
    </row>
    <row r="879" spans="1:32" x14ac:dyDescent="0.25">
      <c r="A879" t="s">
        <v>1658</v>
      </c>
      <c r="B879" t="s">
        <v>1288</v>
      </c>
      <c r="C879" t="s">
        <v>1289</v>
      </c>
      <c r="D879" t="s">
        <v>30</v>
      </c>
      <c r="E879" t="s">
        <v>54</v>
      </c>
      <c r="F879">
        <v>4500420524</v>
      </c>
      <c r="G879" t="s">
        <v>12</v>
      </c>
      <c r="H879" t="s">
        <v>277</v>
      </c>
      <c r="I879" t="s">
        <v>54</v>
      </c>
      <c r="J879" s="1">
        <v>89969.600000000006</v>
      </c>
      <c r="K879" s="1">
        <v>89969.600000000006</v>
      </c>
      <c r="L879" t="str">
        <f>IFERROR(IF(VLOOKUP(LEFT(B879,2),'Humanitarian codes'!$A$2:$A$10,1,FALSE)=LEFT(B879,2),"Yes","Error"),"No")</f>
        <v>Yes</v>
      </c>
      <c r="AE879" s="1"/>
      <c r="AF879" s="1"/>
    </row>
    <row r="880" spans="1:32" x14ac:dyDescent="0.25">
      <c r="A880" t="s">
        <v>1658</v>
      </c>
      <c r="B880" t="s">
        <v>1288</v>
      </c>
      <c r="C880" t="s">
        <v>1289</v>
      </c>
      <c r="D880" t="s">
        <v>30</v>
      </c>
      <c r="E880" t="s">
        <v>54</v>
      </c>
      <c r="F880">
        <v>4500421002</v>
      </c>
      <c r="G880" t="s">
        <v>12</v>
      </c>
      <c r="H880" t="s">
        <v>1254</v>
      </c>
      <c r="I880" t="s">
        <v>54</v>
      </c>
      <c r="J880" s="1">
        <v>47692</v>
      </c>
      <c r="K880" s="1">
        <v>158975</v>
      </c>
      <c r="L880" t="str">
        <f>IFERROR(IF(VLOOKUP(LEFT(B880,2),'Humanitarian codes'!$A$2:$A$10,1,FALSE)=LEFT(B880,2),"Yes","Error"),"No")</f>
        <v>Yes</v>
      </c>
      <c r="AE880" s="1"/>
      <c r="AF880" s="1"/>
    </row>
    <row r="881" spans="1:32" x14ac:dyDescent="0.25">
      <c r="A881" t="s">
        <v>1658</v>
      </c>
      <c r="B881" t="s">
        <v>1293</v>
      </c>
      <c r="C881" t="s">
        <v>1294</v>
      </c>
      <c r="D881" t="s">
        <v>30</v>
      </c>
      <c r="E881" t="s">
        <v>123</v>
      </c>
      <c r="F881">
        <v>4500413877</v>
      </c>
      <c r="G881" t="s">
        <v>12</v>
      </c>
      <c r="H881" t="s">
        <v>1295</v>
      </c>
      <c r="I881" t="s">
        <v>123</v>
      </c>
      <c r="J881" s="1">
        <v>140000</v>
      </c>
      <c r="K881" s="1">
        <v>140000</v>
      </c>
      <c r="L881" t="str">
        <f>IFERROR(IF(VLOOKUP(LEFT(B881,2),'Humanitarian codes'!$A$2:$A$10,1,FALSE)=LEFT(B881,2),"Yes","Error"),"No")</f>
        <v>Yes</v>
      </c>
      <c r="AF881" s="1"/>
    </row>
    <row r="882" spans="1:32" x14ac:dyDescent="0.25">
      <c r="A882" t="s">
        <v>1658</v>
      </c>
      <c r="B882" t="s">
        <v>1293</v>
      </c>
      <c r="C882" t="s">
        <v>1294</v>
      </c>
      <c r="D882" t="s">
        <v>30</v>
      </c>
      <c r="E882" t="s">
        <v>123</v>
      </c>
      <c r="F882">
        <v>4500413886</v>
      </c>
      <c r="G882" t="s">
        <v>12</v>
      </c>
      <c r="H882" t="s">
        <v>1296</v>
      </c>
      <c r="I882" t="s">
        <v>123</v>
      </c>
      <c r="J882" s="1">
        <v>140000</v>
      </c>
      <c r="K882" s="1">
        <v>140000</v>
      </c>
      <c r="L882" t="str">
        <f>IFERROR(IF(VLOOKUP(LEFT(B882,2),'Humanitarian codes'!$A$2:$A$10,1,FALSE)=LEFT(B882,2),"Yes","Error"),"No")</f>
        <v>Yes</v>
      </c>
      <c r="AE882" s="1"/>
      <c r="AF882" s="1"/>
    </row>
    <row r="883" spans="1:32" x14ac:dyDescent="0.25">
      <c r="A883" t="s">
        <v>1658</v>
      </c>
      <c r="B883" t="s">
        <v>1297</v>
      </c>
      <c r="C883" t="s">
        <v>1298</v>
      </c>
      <c r="D883" t="s">
        <v>30</v>
      </c>
      <c r="E883" t="s">
        <v>239</v>
      </c>
      <c r="F883">
        <v>4500421106</v>
      </c>
      <c r="G883" t="s">
        <v>12</v>
      </c>
      <c r="H883" t="s">
        <v>888</v>
      </c>
      <c r="I883" t="s">
        <v>239</v>
      </c>
      <c r="J883" s="1">
        <v>50355.96</v>
      </c>
      <c r="K883" s="1">
        <v>50355.96</v>
      </c>
      <c r="L883" t="str">
        <f>IFERROR(IF(VLOOKUP(LEFT(B883,2),'Humanitarian codes'!$A$2:$A$10,1,FALSE)=LEFT(B883,2),"Yes","Error"),"No")</f>
        <v>Yes</v>
      </c>
      <c r="AF883" s="1"/>
    </row>
    <row r="884" spans="1:32" x14ac:dyDescent="0.25">
      <c r="A884" t="s">
        <v>1658</v>
      </c>
      <c r="B884" t="s">
        <v>130</v>
      </c>
      <c r="C884" t="s">
        <v>131</v>
      </c>
      <c r="D884" t="s">
        <v>30</v>
      </c>
      <c r="E884" t="s">
        <v>132</v>
      </c>
      <c r="F884">
        <v>4500417477</v>
      </c>
      <c r="G884" t="s">
        <v>12</v>
      </c>
      <c r="H884" t="s">
        <v>1299</v>
      </c>
      <c r="I884" t="s">
        <v>132</v>
      </c>
      <c r="J884" s="1">
        <v>138985.57999999999</v>
      </c>
      <c r="K884" s="1">
        <v>138985.57999999999</v>
      </c>
      <c r="L884" t="str">
        <f>IFERROR(IF(VLOOKUP(LEFT(B884,2),'Humanitarian codes'!$A$2:$A$10,1,FALSE)=LEFT(B884,2),"Yes","Error"),"No")</f>
        <v>Yes</v>
      </c>
      <c r="AE884" s="1"/>
      <c r="AF884" s="1"/>
    </row>
    <row r="885" spans="1:32" x14ac:dyDescent="0.25">
      <c r="A885" t="s">
        <v>1658</v>
      </c>
      <c r="B885" t="s">
        <v>130</v>
      </c>
      <c r="C885" t="s">
        <v>131</v>
      </c>
      <c r="D885" t="s">
        <v>30</v>
      </c>
      <c r="E885" t="s">
        <v>132</v>
      </c>
      <c r="F885">
        <v>4500424432</v>
      </c>
      <c r="G885" t="s">
        <v>12</v>
      </c>
      <c r="H885" t="s">
        <v>1300</v>
      </c>
      <c r="I885" t="s">
        <v>132</v>
      </c>
      <c r="J885" s="1">
        <v>293005.51</v>
      </c>
      <c r="K885" s="1">
        <v>293005.51</v>
      </c>
      <c r="L885" t="str">
        <f>IFERROR(IF(VLOOKUP(LEFT(B885,2),'Humanitarian codes'!$A$2:$A$10,1,FALSE)=LEFT(B885,2),"Yes","Error"),"No")</f>
        <v>Yes</v>
      </c>
      <c r="AE885" s="1"/>
      <c r="AF885" s="1"/>
    </row>
    <row r="886" spans="1:32" x14ac:dyDescent="0.25">
      <c r="A886" t="s">
        <v>1658</v>
      </c>
      <c r="B886" t="s">
        <v>130</v>
      </c>
      <c r="C886" t="s">
        <v>131</v>
      </c>
      <c r="D886" t="s">
        <v>30</v>
      </c>
      <c r="E886" t="s">
        <v>132</v>
      </c>
      <c r="F886">
        <v>4500426447</v>
      </c>
      <c r="G886" t="s">
        <v>12</v>
      </c>
      <c r="H886" t="s">
        <v>1301</v>
      </c>
      <c r="I886" t="s">
        <v>132</v>
      </c>
      <c r="J886" s="1">
        <v>115906.83</v>
      </c>
      <c r="K886" s="1">
        <v>115906.83</v>
      </c>
      <c r="L886" t="str">
        <f>IFERROR(IF(VLOOKUP(LEFT(B886,2),'Humanitarian codes'!$A$2:$A$10,1,FALSE)=LEFT(B886,2),"Yes","Error"),"No")</f>
        <v>Yes</v>
      </c>
      <c r="AE886" s="1"/>
      <c r="AF886" s="1"/>
    </row>
    <row r="887" spans="1:32" x14ac:dyDescent="0.25">
      <c r="A887" t="s">
        <v>1658</v>
      </c>
      <c r="B887" t="s">
        <v>822</v>
      </c>
      <c r="C887" t="s">
        <v>823</v>
      </c>
      <c r="D887" t="s">
        <v>30</v>
      </c>
      <c r="E887" t="s">
        <v>356</v>
      </c>
      <c r="F887">
        <v>4500393814</v>
      </c>
      <c r="G887" t="s">
        <v>12</v>
      </c>
      <c r="H887" t="s">
        <v>1306</v>
      </c>
      <c r="I887" t="s">
        <v>356</v>
      </c>
      <c r="J887" s="1">
        <v>18500</v>
      </c>
      <c r="K887" s="1">
        <v>18500</v>
      </c>
      <c r="L887" t="str">
        <f>IFERROR(IF(VLOOKUP(LEFT(B887,2),'Humanitarian codes'!$A$2:$A$10,1,FALSE)=LEFT(B887,2),"Yes","Error"),"No")</f>
        <v>Yes</v>
      </c>
      <c r="AE887" s="1"/>
      <c r="AF887" s="1"/>
    </row>
    <row r="888" spans="1:32" x14ac:dyDescent="0.25">
      <c r="A888" t="s">
        <v>1658</v>
      </c>
      <c r="B888" t="s">
        <v>822</v>
      </c>
      <c r="C888" t="s">
        <v>823</v>
      </c>
      <c r="D888" t="s">
        <v>30</v>
      </c>
      <c r="E888" t="s">
        <v>356</v>
      </c>
      <c r="F888">
        <v>4500409559</v>
      </c>
      <c r="G888" t="s">
        <v>12</v>
      </c>
      <c r="H888" t="s">
        <v>1307</v>
      </c>
      <c r="I888" t="s">
        <v>356</v>
      </c>
      <c r="J888" s="1">
        <v>150000</v>
      </c>
      <c r="K888" s="1">
        <v>150000</v>
      </c>
      <c r="L888" t="str">
        <f>IFERROR(IF(VLOOKUP(LEFT(B888,2),'Humanitarian codes'!$A$2:$A$10,1,FALSE)=LEFT(B888,2),"Yes","Error"),"No")</f>
        <v>Yes</v>
      </c>
      <c r="AE888" s="1"/>
      <c r="AF888" s="1"/>
    </row>
    <row r="889" spans="1:32" x14ac:dyDescent="0.25">
      <c r="A889" t="s">
        <v>1658</v>
      </c>
      <c r="B889" t="s">
        <v>822</v>
      </c>
      <c r="C889" t="s">
        <v>823</v>
      </c>
      <c r="D889" t="s">
        <v>30</v>
      </c>
      <c r="E889" t="s">
        <v>356</v>
      </c>
      <c r="F889">
        <v>4500410412</v>
      </c>
      <c r="G889" t="s">
        <v>12</v>
      </c>
      <c r="H889" t="s">
        <v>357</v>
      </c>
      <c r="I889" t="s">
        <v>356</v>
      </c>
      <c r="J889" s="1">
        <v>133569</v>
      </c>
      <c r="K889" s="1">
        <v>133569</v>
      </c>
      <c r="L889" t="str">
        <f>IFERROR(IF(VLOOKUP(LEFT(B889,2),'Humanitarian codes'!$A$2:$A$10,1,FALSE)=LEFT(B889,2),"Yes","Error"),"No")</f>
        <v>Yes</v>
      </c>
      <c r="AE889" s="1"/>
      <c r="AF889" s="1"/>
    </row>
    <row r="890" spans="1:32" x14ac:dyDescent="0.25">
      <c r="A890" t="s">
        <v>1658</v>
      </c>
      <c r="B890" t="s">
        <v>822</v>
      </c>
      <c r="C890" t="s">
        <v>823</v>
      </c>
      <c r="D890" t="s">
        <v>30</v>
      </c>
      <c r="E890" t="s">
        <v>356</v>
      </c>
      <c r="F890">
        <v>4500412643</v>
      </c>
      <c r="G890" t="s">
        <v>12</v>
      </c>
      <c r="H890" t="s">
        <v>1308</v>
      </c>
      <c r="I890" t="s">
        <v>356</v>
      </c>
      <c r="J890" s="1">
        <v>215351</v>
      </c>
      <c r="K890" s="1">
        <v>215351</v>
      </c>
      <c r="L890" t="str">
        <f>IFERROR(IF(VLOOKUP(LEFT(B890,2),'Humanitarian codes'!$A$2:$A$10,1,FALSE)=LEFT(B890,2),"Yes","Error"),"No")</f>
        <v>Yes</v>
      </c>
      <c r="AE890" s="1"/>
      <c r="AF890" s="1"/>
    </row>
    <row r="891" spans="1:32" x14ac:dyDescent="0.25">
      <c r="A891" t="s">
        <v>1658</v>
      </c>
      <c r="B891" t="s">
        <v>822</v>
      </c>
      <c r="C891" t="s">
        <v>823</v>
      </c>
      <c r="D891" t="s">
        <v>30</v>
      </c>
      <c r="E891" t="s">
        <v>356</v>
      </c>
      <c r="F891">
        <v>4500413963</v>
      </c>
      <c r="G891" t="s">
        <v>12</v>
      </c>
      <c r="H891" t="s">
        <v>1309</v>
      </c>
      <c r="I891" t="s">
        <v>356</v>
      </c>
      <c r="J891" s="1">
        <v>178730</v>
      </c>
      <c r="K891" s="1">
        <v>178730</v>
      </c>
      <c r="L891" t="str">
        <f>IFERROR(IF(VLOOKUP(LEFT(B891,2),'Humanitarian codes'!$A$2:$A$10,1,FALSE)=LEFT(B891,2),"Yes","Error"),"No")</f>
        <v>Yes</v>
      </c>
      <c r="AE891" s="1"/>
      <c r="AF891" s="1"/>
    </row>
    <row r="892" spans="1:32" x14ac:dyDescent="0.25">
      <c r="A892" t="s">
        <v>1658</v>
      </c>
      <c r="B892" t="s">
        <v>822</v>
      </c>
      <c r="C892" t="s">
        <v>823</v>
      </c>
      <c r="D892" t="s">
        <v>30</v>
      </c>
      <c r="E892" t="s">
        <v>356</v>
      </c>
      <c r="F892">
        <v>4500423239</v>
      </c>
      <c r="G892" t="s">
        <v>12</v>
      </c>
      <c r="H892" t="s">
        <v>1310</v>
      </c>
      <c r="I892" t="s">
        <v>356</v>
      </c>
      <c r="J892" s="1">
        <v>118748</v>
      </c>
      <c r="K892" s="1">
        <v>118748</v>
      </c>
      <c r="L892" t="str">
        <f>IFERROR(IF(VLOOKUP(LEFT(B892,2),'Humanitarian codes'!$A$2:$A$10,1,FALSE)=LEFT(B892,2),"Yes","Error"),"No")</f>
        <v>Yes</v>
      </c>
      <c r="AE892" s="1"/>
      <c r="AF892" s="1"/>
    </row>
    <row r="893" spans="1:32" x14ac:dyDescent="0.25">
      <c r="A893" t="s">
        <v>1658</v>
      </c>
      <c r="B893" t="s">
        <v>822</v>
      </c>
      <c r="C893" t="s">
        <v>823</v>
      </c>
      <c r="D893" t="s">
        <v>30</v>
      </c>
      <c r="E893" t="s">
        <v>356</v>
      </c>
      <c r="F893">
        <v>4500424452</v>
      </c>
      <c r="G893" t="s">
        <v>12</v>
      </c>
      <c r="H893" t="s">
        <v>1311</v>
      </c>
      <c r="I893" t="s">
        <v>356</v>
      </c>
      <c r="J893" s="1">
        <v>97526</v>
      </c>
      <c r="K893" s="1">
        <v>97526</v>
      </c>
      <c r="L893" t="str">
        <f>IFERROR(IF(VLOOKUP(LEFT(B893,2),'Humanitarian codes'!$A$2:$A$10,1,FALSE)=LEFT(B893,2),"Yes","Error"),"No")</f>
        <v>Yes</v>
      </c>
      <c r="AE893" s="1"/>
      <c r="AF893" s="1"/>
    </row>
    <row r="894" spans="1:32" x14ac:dyDescent="0.25">
      <c r="A894" t="s">
        <v>1658</v>
      </c>
      <c r="B894" t="s">
        <v>822</v>
      </c>
      <c r="C894" t="s">
        <v>823</v>
      </c>
      <c r="D894" t="s">
        <v>30</v>
      </c>
      <c r="E894" t="s">
        <v>356</v>
      </c>
      <c r="F894">
        <v>4500424457</v>
      </c>
      <c r="G894" t="s">
        <v>12</v>
      </c>
      <c r="H894" t="s">
        <v>1312</v>
      </c>
      <c r="I894" t="s">
        <v>356</v>
      </c>
      <c r="J894" s="1">
        <v>204203</v>
      </c>
      <c r="K894" s="1">
        <v>204203</v>
      </c>
      <c r="L894" t="str">
        <f>IFERROR(IF(VLOOKUP(LEFT(B894,2),'Humanitarian codes'!$A$2:$A$10,1,FALSE)=LEFT(B894,2),"Yes","Error"),"No")</f>
        <v>Yes</v>
      </c>
      <c r="AE894" s="1"/>
      <c r="AF894" s="1"/>
    </row>
    <row r="895" spans="1:32" x14ac:dyDescent="0.25">
      <c r="A895" t="s">
        <v>1658</v>
      </c>
      <c r="B895" t="s">
        <v>822</v>
      </c>
      <c r="C895" t="s">
        <v>823</v>
      </c>
      <c r="D895" t="s">
        <v>30</v>
      </c>
      <c r="E895" t="s">
        <v>356</v>
      </c>
      <c r="F895">
        <v>4500426794</v>
      </c>
      <c r="G895" t="s">
        <v>12</v>
      </c>
      <c r="H895" t="s">
        <v>1313</v>
      </c>
      <c r="I895" t="s">
        <v>356</v>
      </c>
      <c r="J895" s="1">
        <v>168647</v>
      </c>
      <c r="K895" s="1">
        <v>168647</v>
      </c>
      <c r="L895" t="str">
        <f>IFERROR(IF(VLOOKUP(LEFT(B895,2),'Humanitarian codes'!$A$2:$A$10,1,FALSE)=LEFT(B895,2),"Yes","Error"),"No")</f>
        <v>Yes</v>
      </c>
      <c r="AE895" s="1"/>
      <c r="AF895" s="1"/>
    </row>
    <row r="896" spans="1:32" x14ac:dyDescent="0.25">
      <c r="A896" t="s">
        <v>1658</v>
      </c>
      <c r="B896" t="s">
        <v>822</v>
      </c>
      <c r="C896" t="s">
        <v>823</v>
      </c>
      <c r="D896" t="s">
        <v>30</v>
      </c>
      <c r="E896" t="s">
        <v>356</v>
      </c>
      <c r="F896">
        <v>4500426844</v>
      </c>
      <c r="G896" t="s">
        <v>12</v>
      </c>
      <c r="H896" t="s">
        <v>1306</v>
      </c>
      <c r="I896" t="s">
        <v>356</v>
      </c>
      <c r="J896" s="1">
        <v>148577</v>
      </c>
      <c r="K896" s="1">
        <v>148577</v>
      </c>
      <c r="L896" t="str">
        <f>IFERROR(IF(VLOOKUP(LEFT(B896,2),'Humanitarian codes'!$A$2:$A$10,1,FALSE)=LEFT(B896,2),"Yes","Error"),"No")</f>
        <v>Yes</v>
      </c>
      <c r="AE896" s="1"/>
      <c r="AF896" s="1"/>
    </row>
    <row r="897" spans="1:32" x14ac:dyDescent="0.25">
      <c r="A897" t="s">
        <v>1658</v>
      </c>
      <c r="B897" t="s">
        <v>822</v>
      </c>
      <c r="C897" t="s">
        <v>823</v>
      </c>
      <c r="D897" t="s">
        <v>30</v>
      </c>
      <c r="E897" t="s">
        <v>356</v>
      </c>
      <c r="F897">
        <v>4500428785</v>
      </c>
      <c r="G897" t="s">
        <v>12</v>
      </c>
      <c r="H897" t="s">
        <v>1314</v>
      </c>
      <c r="I897" t="s">
        <v>356</v>
      </c>
      <c r="J897" s="1">
        <v>215406</v>
      </c>
      <c r="K897" s="1">
        <v>215406</v>
      </c>
      <c r="L897" t="str">
        <f>IFERROR(IF(VLOOKUP(LEFT(B897,2),'Humanitarian codes'!$A$2:$A$10,1,FALSE)=LEFT(B897,2),"Yes","Error"),"No")</f>
        <v>Yes</v>
      </c>
      <c r="AE897" s="1"/>
      <c r="AF897" s="1"/>
    </row>
    <row r="898" spans="1:32" x14ac:dyDescent="0.25">
      <c r="A898" t="s">
        <v>1658</v>
      </c>
      <c r="B898" t="s">
        <v>822</v>
      </c>
      <c r="C898" t="s">
        <v>823</v>
      </c>
      <c r="D898" t="s">
        <v>30</v>
      </c>
      <c r="E898" t="s">
        <v>356</v>
      </c>
      <c r="F898">
        <v>4500429440</v>
      </c>
      <c r="G898" t="s">
        <v>12</v>
      </c>
      <c r="H898" t="s">
        <v>1315</v>
      </c>
      <c r="I898" t="s">
        <v>356</v>
      </c>
      <c r="J898" s="1">
        <v>144709</v>
      </c>
      <c r="K898" s="1">
        <v>144709</v>
      </c>
      <c r="L898" t="str">
        <f>IFERROR(IF(VLOOKUP(LEFT(B898,2),'Humanitarian codes'!$A$2:$A$10,1,FALSE)=LEFT(B898,2),"Yes","Error"),"No")</f>
        <v>Yes</v>
      </c>
      <c r="AE898" s="1"/>
      <c r="AF898" s="1"/>
    </row>
    <row r="899" spans="1:32" x14ac:dyDescent="0.25">
      <c r="A899" t="s">
        <v>1658</v>
      </c>
      <c r="B899" t="s">
        <v>1316</v>
      </c>
      <c r="C899" t="s">
        <v>1317</v>
      </c>
      <c r="D899" t="s">
        <v>30</v>
      </c>
      <c r="E899" t="s">
        <v>320</v>
      </c>
      <c r="F899">
        <v>4500413002</v>
      </c>
      <c r="G899" t="s">
        <v>12</v>
      </c>
      <c r="H899" t="s">
        <v>851</v>
      </c>
      <c r="I899" t="s">
        <v>320</v>
      </c>
      <c r="J899" s="1">
        <v>6480</v>
      </c>
      <c r="K899" s="1">
        <v>6480</v>
      </c>
      <c r="L899" t="str">
        <f>IFERROR(IF(VLOOKUP(LEFT(B899,2),'Humanitarian codes'!$A$2:$A$10,1,FALSE)=LEFT(B899,2),"Yes","Error"),"No")</f>
        <v>Yes</v>
      </c>
      <c r="AE899" s="1"/>
      <c r="AF899" s="1"/>
    </row>
    <row r="900" spans="1:32" x14ac:dyDescent="0.25">
      <c r="A900" t="s">
        <v>1658</v>
      </c>
      <c r="B900" t="s">
        <v>1318</v>
      </c>
      <c r="C900" t="s">
        <v>1319</v>
      </c>
      <c r="D900" t="s">
        <v>30</v>
      </c>
      <c r="E900" t="s">
        <v>289</v>
      </c>
      <c r="F900">
        <v>4500410765</v>
      </c>
      <c r="G900" t="s">
        <v>12</v>
      </c>
      <c r="H900" t="s">
        <v>1320</v>
      </c>
      <c r="I900" t="s">
        <v>289</v>
      </c>
      <c r="J900" s="1">
        <v>2776.6</v>
      </c>
      <c r="K900" s="1">
        <v>2776.6</v>
      </c>
      <c r="L900" t="str">
        <f>IFERROR(IF(VLOOKUP(LEFT(B900,2),'Humanitarian codes'!$A$2:$A$10,1,FALSE)=LEFT(B900,2),"Yes","Error"),"No")</f>
        <v>Yes</v>
      </c>
      <c r="AE900" s="1"/>
      <c r="AF900" s="1"/>
    </row>
    <row r="901" spans="1:32" x14ac:dyDescent="0.25">
      <c r="A901" t="s">
        <v>1658</v>
      </c>
      <c r="B901" t="s">
        <v>1318</v>
      </c>
      <c r="C901" t="s">
        <v>1319</v>
      </c>
      <c r="D901" t="s">
        <v>30</v>
      </c>
      <c r="E901" t="s">
        <v>289</v>
      </c>
      <c r="F901">
        <v>4500420571</v>
      </c>
      <c r="G901" t="s">
        <v>12</v>
      </c>
      <c r="H901" t="s">
        <v>1321</v>
      </c>
      <c r="I901" t="s">
        <v>289</v>
      </c>
      <c r="J901" s="1">
        <v>1095.5</v>
      </c>
      <c r="K901" s="1">
        <v>1095.5</v>
      </c>
      <c r="L901" t="str">
        <f>IFERROR(IF(VLOOKUP(LEFT(B901,2),'Humanitarian codes'!$A$2:$A$10,1,FALSE)=LEFT(B901,2),"Yes","Error"),"No")</f>
        <v>Yes</v>
      </c>
      <c r="AE901" s="1"/>
      <c r="AF901" s="1"/>
    </row>
    <row r="902" spans="1:32" x14ac:dyDescent="0.25">
      <c r="A902" t="s">
        <v>1658</v>
      </c>
      <c r="B902" t="s">
        <v>1318</v>
      </c>
      <c r="C902" t="s">
        <v>1319</v>
      </c>
      <c r="D902" t="s">
        <v>30</v>
      </c>
      <c r="E902" t="s">
        <v>289</v>
      </c>
      <c r="F902">
        <v>4500421289</v>
      </c>
      <c r="G902" t="s">
        <v>12</v>
      </c>
      <c r="H902" t="s">
        <v>1322</v>
      </c>
      <c r="I902" t="s">
        <v>289</v>
      </c>
      <c r="J902" s="1">
        <v>5030.7</v>
      </c>
      <c r="K902" s="1">
        <v>5030.7</v>
      </c>
      <c r="L902" t="str">
        <f>IFERROR(IF(VLOOKUP(LEFT(B902,2),'Humanitarian codes'!$A$2:$A$10,1,FALSE)=LEFT(B902,2),"Yes","Error"),"No")</f>
        <v>Yes</v>
      </c>
      <c r="AE902" s="1"/>
      <c r="AF902" s="1"/>
    </row>
    <row r="903" spans="1:32" x14ac:dyDescent="0.25">
      <c r="A903" t="s">
        <v>1658</v>
      </c>
      <c r="B903" t="s">
        <v>1318</v>
      </c>
      <c r="C903" t="s">
        <v>1319</v>
      </c>
      <c r="D903" t="s">
        <v>30</v>
      </c>
      <c r="E903" t="s">
        <v>303</v>
      </c>
      <c r="F903">
        <v>4500384080</v>
      </c>
      <c r="G903" t="s">
        <v>12</v>
      </c>
      <c r="H903" t="s">
        <v>374</v>
      </c>
      <c r="I903" t="s">
        <v>303</v>
      </c>
      <c r="J903" s="1">
        <v>19882.23</v>
      </c>
      <c r="K903" s="1">
        <v>24233.34</v>
      </c>
      <c r="L903" t="str">
        <f>IFERROR(IF(VLOOKUP(LEFT(B903,2),'Humanitarian codes'!$A$2:$A$10,1,FALSE)=LEFT(B903,2),"Yes","Error"),"No")</f>
        <v>Yes</v>
      </c>
      <c r="AE903" s="1"/>
      <c r="AF903" s="1"/>
    </row>
    <row r="904" spans="1:32" x14ac:dyDescent="0.25">
      <c r="A904" t="s">
        <v>1658</v>
      </c>
      <c r="B904" t="s">
        <v>1318</v>
      </c>
      <c r="C904" t="s">
        <v>1319</v>
      </c>
      <c r="D904" t="s">
        <v>30</v>
      </c>
      <c r="E904" t="s">
        <v>303</v>
      </c>
      <c r="F904">
        <v>4500415007</v>
      </c>
      <c r="G904" t="s">
        <v>12</v>
      </c>
      <c r="H904" t="s">
        <v>1323</v>
      </c>
      <c r="I904" t="s">
        <v>303</v>
      </c>
      <c r="J904" s="1">
        <v>81846.460000000006</v>
      </c>
      <c r="K904" s="1">
        <v>81846.460000000006</v>
      </c>
      <c r="L904" t="str">
        <f>IFERROR(IF(VLOOKUP(LEFT(B904,2),'Humanitarian codes'!$A$2:$A$10,1,FALSE)=LEFT(B904,2),"Yes","Error"),"No")</f>
        <v>Yes</v>
      </c>
      <c r="AE904" s="1"/>
      <c r="AF904" s="1"/>
    </row>
    <row r="905" spans="1:32" x14ac:dyDescent="0.25">
      <c r="A905" t="s">
        <v>1658</v>
      </c>
      <c r="B905" t="s">
        <v>1318</v>
      </c>
      <c r="C905" t="s">
        <v>1319</v>
      </c>
      <c r="D905" t="s">
        <v>30</v>
      </c>
      <c r="E905" t="s">
        <v>303</v>
      </c>
      <c r="F905">
        <v>4500424948</v>
      </c>
      <c r="G905" t="s">
        <v>12</v>
      </c>
      <c r="H905" t="s">
        <v>1324</v>
      </c>
      <c r="I905" t="s">
        <v>303</v>
      </c>
      <c r="J905" s="1">
        <v>69862.63</v>
      </c>
      <c r="K905" s="1">
        <v>69862.63</v>
      </c>
      <c r="L905" t="str">
        <f>IFERROR(IF(VLOOKUP(LEFT(B905,2),'Humanitarian codes'!$A$2:$A$10,1,FALSE)=LEFT(B905,2),"Yes","Error"),"No")</f>
        <v>Yes</v>
      </c>
      <c r="AE905" s="1"/>
      <c r="AF905" s="1"/>
    </row>
    <row r="906" spans="1:32" x14ac:dyDescent="0.25">
      <c r="A906" t="s">
        <v>1658</v>
      </c>
      <c r="B906" t="s">
        <v>1318</v>
      </c>
      <c r="C906" t="s">
        <v>1319</v>
      </c>
      <c r="D906" t="s">
        <v>30</v>
      </c>
      <c r="E906" t="s">
        <v>903</v>
      </c>
      <c r="F906">
        <v>4500408744</v>
      </c>
      <c r="G906" t="s">
        <v>12</v>
      </c>
      <c r="H906" t="s">
        <v>314</v>
      </c>
      <c r="I906" t="s">
        <v>903</v>
      </c>
      <c r="J906" s="1">
        <v>59501.5</v>
      </c>
      <c r="K906" s="1">
        <v>109054.44</v>
      </c>
      <c r="L906" t="str">
        <f>IFERROR(IF(VLOOKUP(LEFT(B906,2),'Humanitarian codes'!$A$2:$A$10,1,FALSE)=LEFT(B906,2),"Yes","Error"),"No")</f>
        <v>Yes</v>
      </c>
      <c r="AE906" s="1"/>
      <c r="AF906" s="1"/>
    </row>
    <row r="907" spans="1:32" x14ac:dyDescent="0.25">
      <c r="A907" t="s">
        <v>1658</v>
      </c>
      <c r="B907" t="s">
        <v>1318</v>
      </c>
      <c r="C907" t="s">
        <v>1319</v>
      </c>
      <c r="D907" t="s">
        <v>30</v>
      </c>
      <c r="E907" t="s">
        <v>903</v>
      </c>
      <c r="F907">
        <v>4500408749</v>
      </c>
      <c r="G907" t="s">
        <v>12</v>
      </c>
      <c r="H907" t="s">
        <v>950</v>
      </c>
      <c r="I907" t="s">
        <v>903</v>
      </c>
      <c r="J907" s="1">
        <v>67029.19</v>
      </c>
      <c r="K907" s="1">
        <v>67029.19</v>
      </c>
      <c r="L907" t="str">
        <f>IFERROR(IF(VLOOKUP(LEFT(B907,2),'Humanitarian codes'!$A$2:$A$10,1,FALSE)=LEFT(B907,2),"Yes","Error"),"No")</f>
        <v>Yes</v>
      </c>
      <c r="AE907" s="1"/>
      <c r="AF907" s="1"/>
    </row>
    <row r="908" spans="1:32" x14ac:dyDescent="0.25">
      <c r="A908" t="s">
        <v>1658</v>
      </c>
      <c r="B908" t="s">
        <v>1318</v>
      </c>
      <c r="C908" t="s">
        <v>1319</v>
      </c>
      <c r="D908" t="s">
        <v>30</v>
      </c>
      <c r="E908" t="s">
        <v>903</v>
      </c>
      <c r="F908">
        <v>4500417054</v>
      </c>
      <c r="G908" t="s">
        <v>12</v>
      </c>
      <c r="H908" t="s">
        <v>1325</v>
      </c>
      <c r="I908" t="s">
        <v>751</v>
      </c>
      <c r="J908" s="1">
        <v>40000</v>
      </c>
      <c r="K908" s="1">
        <v>42311</v>
      </c>
      <c r="L908" t="str">
        <f>IFERROR(IF(VLOOKUP(LEFT(B908,2),'Humanitarian codes'!$A$2:$A$10,1,FALSE)=LEFT(B908,2),"Yes","Error"),"No")</f>
        <v>Yes</v>
      </c>
      <c r="AE908" s="1"/>
      <c r="AF908" s="1"/>
    </row>
    <row r="909" spans="1:32" x14ac:dyDescent="0.25">
      <c r="A909" t="s">
        <v>1658</v>
      </c>
      <c r="B909" t="s">
        <v>1318</v>
      </c>
      <c r="C909" t="s">
        <v>1319</v>
      </c>
      <c r="D909" t="s">
        <v>30</v>
      </c>
      <c r="E909" t="s">
        <v>305</v>
      </c>
      <c r="F909">
        <v>4500382894</v>
      </c>
      <c r="G909" t="s">
        <v>12</v>
      </c>
      <c r="H909" t="s">
        <v>904</v>
      </c>
      <c r="I909" t="s">
        <v>305</v>
      </c>
      <c r="J909" s="1">
        <v>25570.66</v>
      </c>
      <c r="K909" s="1">
        <v>25570.66</v>
      </c>
      <c r="L909" t="str">
        <f>IFERROR(IF(VLOOKUP(LEFT(B909,2),'Humanitarian codes'!$A$2:$A$10,1,FALSE)=LEFT(B909,2),"Yes","Error"),"No")</f>
        <v>Yes</v>
      </c>
      <c r="AE909" s="1"/>
      <c r="AF909" s="1"/>
    </row>
    <row r="910" spans="1:32" x14ac:dyDescent="0.25">
      <c r="A910" t="s">
        <v>1658</v>
      </c>
      <c r="B910" t="s">
        <v>1318</v>
      </c>
      <c r="C910" t="s">
        <v>1319</v>
      </c>
      <c r="D910" t="s">
        <v>30</v>
      </c>
      <c r="E910" t="s">
        <v>305</v>
      </c>
      <c r="F910">
        <v>4500393088</v>
      </c>
      <c r="G910" t="s">
        <v>12</v>
      </c>
      <c r="H910" t="s">
        <v>1326</v>
      </c>
      <c r="I910" t="s">
        <v>305</v>
      </c>
      <c r="J910" s="1">
        <v>6225.1</v>
      </c>
      <c r="K910" s="1">
        <v>6225.1</v>
      </c>
      <c r="L910" t="str">
        <f>IFERROR(IF(VLOOKUP(LEFT(B910,2),'Humanitarian codes'!$A$2:$A$10,1,FALSE)=LEFT(B910,2),"Yes","Error"),"No")</f>
        <v>Yes</v>
      </c>
      <c r="AE910" s="1"/>
      <c r="AF910" s="1"/>
    </row>
    <row r="911" spans="1:32" x14ac:dyDescent="0.25">
      <c r="A911" t="s">
        <v>1658</v>
      </c>
      <c r="B911" t="s">
        <v>1318</v>
      </c>
      <c r="C911" t="s">
        <v>1319</v>
      </c>
      <c r="D911" t="s">
        <v>30</v>
      </c>
      <c r="E911" t="s">
        <v>305</v>
      </c>
      <c r="F911">
        <v>4500400060</v>
      </c>
      <c r="G911" t="s">
        <v>12</v>
      </c>
      <c r="H911" t="s">
        <v>310</v>
      </c>
      <c r="I911" t="s">
        <v>305</v>
      </c>
      <c r="J911" s="1">
        <v>77321.61</v>
      </c>
      <c r="K911" s="1">
        <v>77321.61</v>
      </c>
      <c r="L911" t="str">
        <f>IFERROR(IF(VLOOKUP(LEFT(B911,2),'Humanitarian codes'!$A$2:$A$10,1,FALSE)=LEFT(B911,2),"Yes","Error"),"No")</f>
        <v>Yes</v>
      </c>
      <c r="AE911" s="1"/>
      <c r="AF911" s="1"/>
    </row>
    <row r="912" spans="1:32" x14ac:dyDescent="0.25">
      <c r="A912" t="s">
        <v>1658</v>
      </c>
      <c r="B912" t="s">
        <v>1318</v>
      </c>
      <c r="C912" t="s">
        <v>1319</v>
      </c>
      <c r="D912" t="s">
        <v>30</v>
      </c>
      <c r="E912" t="s">
        <v>305</v>
      </c>
      <c r="F912">
        <v>4500411630</v>
      </c>
      <c r="G912" t="s">
        <v>12</v>
      </c>
      <c r="H912" t="s">
        <v>907</v>
      </c>
      <c r="I912" t="s">
        <v>305</v>
      </c>
      <c r="J912" s="1">
        <v>75290.720000000001</v>
      </c>
      <c r="K912" s="1">
        <v>75290.720000000001</v>
      </c>
      <c r="L912" t="str">
        <f>IFERROR(IF(VLOOKUP(LEFT(B912,2),'Humanitarian codes'!$A$2:$A$10,1,FALSE)=LEFT(B912,2),"Yes","Error"),"No")</f>
        <v>Yes</v>
      </c>
      <c r="AE912" s="1"/>
      <c r="AF912" s="1"/>
    </row>
    <row r="913" spans="1:32" x14ac:dyDescent="0.25">
      <c r="A913" t="s">
        <v>1658</v>
      </c>
      <c r="B913" t="s">
        <v>1318</v>
      </c>
      <c r="C913" t="s">
        <v>1319</v>
      </c>
      <c r="D913" t="s">
        <v>30</v>
      </c>
      <c r="E913" t="s">
        <v>305</v>
      </c>
      <c r="F913">
        <v>4500415509</v>
      </c>
      <c r="G913" t="s">
        <v>12</v>
      </c>
      <c r="H913" t="s">
        <v>1327</v>
      </c>
      <c r="I913" t="s">
        <v>305</v>
      </c>
      <c r="J913" s="1">
        <v>23425.599999999999</v>
      </c>
      <c r="K913" s="1">
        <v>23425.599999999999</v>
      </c>
      <c r="L913" t="str">
        <f>IFERROR(IF(VLOOKUP(LEFT(B913,2),'Humanitarian codes'!$A$2:$A$10,1,FALSE)=LEFT(B913,2),"Yes","Error"),"No")</f>
        <v>Yes</v>
      </c>
      <c r="AE913" s="1"/>
      <c r="AF913" s="1"/>
    </row>
    <row r="914" spans="1:32" x14ac:dyDescent="0.25">
      <c r="A914" t="s">
        <v>1658</v>
      </c>
      <c r="B914" t="s">
        <v>1318</v>
      </c>
      <c r="C914" t="s">
        <v>1319</v>
      </c>
      <c r="D914" t="s">
        <v>30</v>
      </c>
      <c r="E914" t="s">
        <v>305</v>
      </c>
      <c r="F914">
        <v>4500416096</v>
      </c>
      <c r="G914" t="s">
        <v>12</v>
      </c>
      <c r="H914" t="s">
        <v>1328</v>
      </c>
      <c r="I914" t="s">
        <v>305</v>
      </c>
      <c r="J914" s="1">
        <v>22516.080000000002</v>
      </c>
      <c r="K914" s="1">
        <v>22516.080000000002</v>
      </c>
      <c r="L914" t="str">
        <f>IFERROR(IF(VLOOKUP(LEFT(B914,2),'Humanitarian codes'!$A$2:$A$10,1,FALSE)=LEFT(B914,2),"Yes","Error"),"No")</f>
        <v>Yes</v>
      </c>
      <c r="AE914" s="1"/>
      <c r="AF914" s="1"/>
    </row>
    <row r="915" spans="1:32" x14ac:dyDescent="0.25">
      <c r="A915" t="s">
        <v>1658</v>
      </c>
      <c r="B915" t="s">
        <v>1318</v>
      </c>
      <c r="C915" t="s">
        <v>1319</v>
      </c>
      <c r="D915" t="s">
        <v>30</v>
      </c>
      <c r="E915" t="s">
        <v>305</v>
      </c>
      <c r="F915">
        <v>4500416196</v>
      </c>
      <c r="G915" t="s">
        <v>12</v>
      </c>
      <c r="H915" t="s">
        <v>908</v>
      </c>
      <c r="I915" t="s">
        <v>305</v>
      </c>
      <c r="J915" s="1">
        <v>24908.55</v>
      </c>
      <c r="K915" s="1">
        <v>24908.55</v>
      </c>
      <c r="L915" t="str">
        <f>IFERROR(IF(VLOOKUP(LEFT(B915,2),'Humanitarian codes'!$A$2:$A$10,1,FALSE)=LEFT(B915,2),"Yes","Error"),"No")</f>
        <v>Yes</v>
      </c>
      <c r="AE915" s="1"/>
      <c r="AF915" s="1"/>
    </row>
    <row r="916" spans="1:32" x14ac:dyDescent="0.25">
      <c r="A916" t="s">
        <v>1658</v>
      </c>
      <c r="B916" t="s">
        <v>1318</v>
      </c>
      <c r="C916" t="s">
        <v>1319</v>
      </c>
      <c r="D916" t="s">
        <v>30</v>
      </c>
      <c r="E916" t="s">
        <v>305</v>
      </c>
      <c r="F916">
        <v>4500416474</v>
      </c>
      <c r="G916" t="s">
        <v>12</v>
      </c>
      <c r="H916" t="s">
        <v>1329</v>
      </c>
      <c r="I916" t="s">
        <v>305</v>
      </c>
      <c r="J916" s="1">
        <v>53788.43</v>
      </c>
      <c r="K916" s="1">
        <v>53788.43</v>
      </c>
      <c r="L916" t="str">
        <f>IFERROR(IF(VLOOKUP(LEFT(B916,2),'Humanitarian codes'!$A$2:$A$10,1,FALSE)=LEFT(B916,2),"Yes","Error"),"No")</f>
        <v>Yes</v>
      </c>
      <c r="AE916" s="1"/>
      <c r="AF916" s="1"/>
    </row>
    <row r="917" spans="1:32" x14ac:dyDescent="0.25">
      <c r="A917" t="s">
        <v>1658</v>
      </c>
      <c r="B917" t="s">
        <v>1318</v>
      </c>
      <c r="C917" t="s">
        <v>1319</v>
      </c>
      <c r="D917" t="s">
        <v>30</v>
      </c>
      <c r="E917" t="s">
        <v>909</v>
      </c>
      <c r="F917">
        <v>4500408584</v>
      </c>
      <c r="G917" t="s">
        <v>12</v>
      </c>
      <c r="H917" t="s">
        <v>1330</v>
      </c>
      <c r="I917" t="s">
        <v>909</v>
      </c>
      <c r="J917" s="1">
        <v>28745.48</v>
      </c>
      <c r="K917" s="1">
        <v>28745.48</v>
      </c>
      <c r="L917" t="str">
        <f>IFERROR(IF(VLOOKUP(LEFT(B917,2),'Humanitarian codes'!$A$2:$A$10,1,FALSE)=LEFT(B917,2),"Yes","Error"),"No")</f>
        <v>Yes</v>
      </c>
      <c r="AE917" s="1"/>
      <c r="AF917" s="1"/>
    </row>
    <row r="918" spans="1:32" x14ac:dyDescent="0.25">
      <c r="A918" t="s">
        <v>1658</v>
      </c>
      <c r="B918" t="s">
        <v>1318</v>
      </c>
      <c r="C918" t="s">
        <v>1319</v>
      </c>
      <c r="D918" t="s">
        <v>30</v>
      </c>
      <c r="E918" t="s">
        <v>909</v>
      </c>
      <c r="F918">
        <v>4500408591</v>
      </c>
      <c r="G918" t="s">
        <v>12</v>
      </c>
      <c r="H918" t="s">
        <v>1331</v>
      </c>
      <c r="I918" t="s">
        <v>909</v>
      </c>
      <c r="J918" s="1">
        <v>57848.55</v>
      </c>
      <c r="K918" s="1">
        <v>57848.55</v>
      </c>
      <c r="L918" t="str">
        <f>IFERROR(IF(VLOOKUP(LEFT(B918,2),'Humanitarian codes'!$A$2:$A$10,1,FALSE)=LEFT(B918,2),"Yes","Error"),"No")</f>
        <v>Yes</v>
      </c>
      <c r="AE918" s="1"/>
      <c r="AF918" s="1"/>
    </row>
    <row r="919" spans="1:32" x14ac:dyDescent="0.25">
      <c r="A919" t="s">
        <v>1658</v>
      </c>
      <c r="B919" t="s">
        <v>1318</v>
      </c>
      <c r="C919" t="s">
        <v>1319</v>
      </c>
      <c r="D919" t="s">
        <v>30</v>
      </c>
      <c r="E919" t="s">
        <v>909</v>
      </c>
      <c r="F919">
        <v>4500411529</v>
      </c>
      <c r="G919" t="s">
        <v>12</v>
      </c>
      <c r="H919" t="s">
        <v>1332</v>
      </c>
      <c r="I919" t="s">
        <v>909</v>
      </c>
      <c r="J919" s="1">
        <v>57703.199999999997</v>
      </c>
      <c r="K919" s="1">
        <v>57703.199999999997</v>
      </c>
      <c r="L919" t="str">
        <f>IFERROR(IF(VLOOKUP(LEFT(B919,2),'Humanitarian codes'!$A$2:$A$10,1,FALSE)=LEFT(B919,2),"Yes","Error"),"No")</f>
        <v>Yes</v>
      </c>
      <c r="AE919" s="1"/>
      <c r="AF919" s="1"/>
    </row>
    <row r="920" spans="1:32" x14ac:dyDescent="0.25">
      <c r="A920" t="s">
        <v>1658</v>
      </c>
      <c r="B920" t="s">
        <v>829</v>
      </c>
      <c r="C920" t="s">
        <v>830</v>
      </c>
      <c r="D920" t="s">
        <v>30</v>
      </c>
      <c r="E920" t="s">
        <v>831</v>
      </c>
      <c r="F920">
        <v>4500428121</v>
      </c>
      <c r="G920" t="s">
        <v>12</v>
      </c>
      <c r="H920" t="s">
        <v>351</v>
      </c>
      <c r="I920" t="s">
        <v>831</v>
      </c>
      <c r="J920" s="1">
        <v>26096.83</v>
      </c>
      <c r="K920" s="1">
        <v>26096.83</v>
      </c>
      <c r="L920" t="str">
        <f>IFERROR(IF(VLOOKUP(LEFT(B920,2),'Humanitarian codes'!$A$2:$A$10,1,FALSE)=LEFT(B920,2),"Yes","Error"),"No")</f>
        <v>Yes</v>
      </c>
      <c r="AE920" s="1"/>
      <c r="AF920" s="1"/>
    </row>
    <row r="921" spans="1:32" x14ac:dyDescent="0.25">
      <c r="A921" t="s">
        <v>1658</v>
      </c>
      <c r="B921" t="s">
        <v>1347</v>
      </c>
      <c r="C921" t="s">
        <v>1348</v>
      </c>
      <c r="D921" t="s">
        <v>30</v>
      </c>
      <c r="E921" t="s">
        <v>155</v>
      </c>
      <c r="F921">
        <v>4500417064</v>
      </c>
      <c r="G921" t="s">
        <v>12</v>
      </c>
      <c r="H921" t="s">
        <v>335</v>
      </c>
      <c r="I921" t="s">
        <v>155</v>
      </c>
      <c r="J921" s="1">
        <v>70947.34</v>
      </c>
      <c r="K921" s="1">
        <v>70947.34</v>
      </c>
      <c r="L921" t="str">
        <f>IFERROR(IF(VLOOKUP(LEFT(B921,2),'Humanitarian codes'!$A$2:$A$10,1,FALSE)=LEFT(B921,2),"Yes","Error"),"No")</f>
        <v>Yes</v>
      </c>
      <c r="AE921" s="1"/>
      <c r="AF921" s="1"/>
    </row>
    <row r="922" spans="1:32" x14ac:dyDescent="0.25">
      <c r="A922" t="s">
        <v>1658</v>
      </c>
      <c r="B922" t="s">
        <v>1349</v>
      </c>
      <c r="C922" t="s">
        <v>1350</v>
      </c>
      <c r="D922" t="s">
        <v>30</v>
      </c>
      <c r="E922" t="s">
        <v>20</v>
      </c>
      <c r="F922">
        <v>4500410514</v>
      </c>
      <c r="G922" t="s">
        <v>12</v>
      </c>
      <c r="H922" t="s">
        <v>172</v>
      </c>
      <c r="I922" t="s">
        <v>20</v>
      </c>
      <c r="J922" s="1">
        <v>215230.79</v>
      </c>
      <c r="K922" s="1">
        <v>215230.79</v>
      </c>
      <c r="L922" t="str">
        <f>IFERROR(IF(VLOOKUP(LEFT(B922,2),'Humanitarian codes'!$A$2:$A$10,1,FALSE)=LEFT(B922,2),"Yes","Error"),"No")</f>
        <v>Yes</v>
      </c>
      <c r="AE922" s="1"/>
      <c r="AF922" s="1"/>
    </row>
    <row r="923" spans="1:32" x14ac:dyDescent="0.25">
      <c r="A923" t="s">
        <v>1658</v>
      </c>
      <c r="B923" t="s">
        <v>1349</v>
      </c>
      <c r="C923" t="s">
        <v>1350</v>
      </c>
      <c r="D923" t="s">
        <v>30</v>
      </c>
      <c r="E923" t="s">
        <v>20</v>
      </c>
      <c r="F923">
        <v>4500411991</v>
      </c>
      <c r="G923" t="s">
        <v>12</v>
      </c>
      <c r="H923" t="s">
        <v>852</v>
      </c>
      <c r="I923" t="s">
        <v>20</v>
      </c>
      <c r="J923" s="1">
        <v>80694.350000000006</v>
      </c>
      <c r="K923" s="1">
        <v>80694.350000000006</v>
      </c>
      <c r="L923" t="str">
        <f>IFERROR(IF(VLOOKUP(LEFT(B923,2),'Humanitarian codes'!$A$2:$A$10,1,FALSE)=LEFT(B923,2),"Yes","Error"),"No")</f>
        <v>Yes</v>
      </c>
      <c r="AE923" s="1"/>
      <c r="AF923" s="1"/>
    </row>
    <row r="924" spans="1:32" x14ac:dyDescent="0.25">
      <c r="A924" t="s">
        <v>1658</v>
      </c>
      <c r="B924" t="s">
        <v>1349</v>
      </c>
      <c r="C924" t="s">
        <v>1350</v>
      </c>
      <c r="D924" t="s">
        <v>30</v>
      </c>
      <c r="E924" t="s">
        <v>20</v>
      </c>
      <c r="F924">
        <v>4500422095</v>
      </c>
      <c r="G924" t="s">
        <v>12</v>
      </c>
      <c r="H924" t="s">
        <v>901</v>
      </c>
      <c r="I924" t="s">
        <v>20</v>
      </c>
      <c r="J924" s="1">
        <v>48691.26</v>
      </c>
      <c r="K924" s="1">
        <v>48691.26</v>
      </c>
      <c r="L924" t="str">
        <f>IFERROR(IF(VLOOKUP(LEFT(B924,2),'Humanitarian codes'!$A$2:$A$10,1,FALSE)=LEFT(B924,2),"Yes","Error"),"No")</f>
        <v>Yes</v>
      </c>
      <c r="AE924" s="1"/>
      <c r="AF924" s="1"/>
    </row>
    <row r="925" spans="1:32" x14ac:dyDescent="0.25">
      <c r="A925" t="s">
        <v>1658</v>
      </c>
      <c r="B925" t="s">
        <v>1351</v>
      </c>
      <c r="C925" t="s">
        <v>1352</v>
      </c>
      <c r="D925" t="s">
        <v>30</v>
      </c>
      <c r="E925" t="s">
        <v>150</v>
      </c>
      <c r="F925">
        <v>4500406035</v>
      </c>
      <c r="G925" t="s">
        <v>12</v>
      </c>
      <c r="H925" t="s">
        <v>1353</v>
      </c>
      <c r="I925" t="s">
        <v>150</v>
      </c>
      <c r="J925" s="1">
        <v>81139.199999999997</v>
      </c>
      <c r="K925" s="1">
        <v>81139.199999999997</v>
      </c>
      <c r="L925" t="str">
        <f>IFERROR(IF(VLOOKUP(LEFT(B925,2),'Humanitarian codes'!$A$2:$A$10,1,FALSE)=LEFT(B925,2),"Yes","Error"),"No")</f>
        <v>Yes</v>
      </c>
      <c r="AE925" s="1"/>
      <c r="AF925" s="1"/>
    </row>
    <row r="926" spans="1:32" x14ac:dyDescent="0.25">
      <c r="A926" t="s">
        <v>1658</v>
      </c>
      <c r="B926" t="s">
        <v>148</v>
      </c>
      <c r="C926" t="s">
        <v>149</v>
      </c>
      <c r="D926" t="s">
        <v>30</v>
      </c>
      <c r="E926" t="s">
        <v>150</v>
      </c>
      <c r="F926">
        <v>4500405982</v>
      </c>
      <c r="G926" t="s">
        <v>12</v>
      </c>
      <c r="H926" t="s">
        <v>1103</v>
      </c>
      <c r="I926" t="s">
        <v>150</v>
      </c>
      <c r="J926" s="1">
        <v>233795.29</v>
      </c>
      <c r="K926" s="1">
        <v>233795.29</v>
      </c>
      <c r="L926" t="str">
        <f>IFERROR(IF(VLOOKUP(LEFT(B926,2),'Humanitarian codes'!$A$2:$A$10,1,FALSE)=LEFT(B926,2),"Yes","Error"),"No")</f>
        <v>Yes</v>
      </c>
      <c r="AE926" s="1"/>
      <c r="AF926" s="1"/>
    </row>
    <row r="927" spans="1:32" x14ac:dyDescent="0.25">
      <c r="A927" t="s">
        <v>1658</v>
      </c>
      <c r="B927" t="s">
        <v>157</v>
      </c>
      <c r="C927" t="s">
        <v>158</v>
      </c>
      <c r="D927" t="s">
        <v>30</v>
      </c>
      <c r="E927" t="s">
        <v>159</v>
      </c>
      <c r="F927">
        <v>4500426657</v>
      </c>
      <c r="G927" t="s">
        <v>12</v>
      </c>
      <c r="H927" t="s">
        <v>1358</v>
      </c>
      <c r="I927" t="s">
        <v>159</v>
      </c>
      <c r="J927" s="1">
        <v>102135</v>
      </c>
      <c r="K927" s="1">
        <v>185700</v>
      </c>
      <c r="L927" t="str">
        <f>IFERROR(IF(VLOOKUP(LEFT(B927,2),'Humanitarian codes'!$A$2:$A$10,1,FALSE)=LEFT(B927,2),"Yes","Error"),"No")</f>
        <v>Yes</v>
      </c>
      <c r="AE927" s="1"/>
      <c r="AF927" s="1"/>
    </row>
    <row r="928" spans="1:32" x14ac:dyDescent="0.25">
      <c r="A928" t="s">
        <v>1658</v>
      </c>
      <c r="B928" t="s">
        <v>1359</v>
      </c>
      <c r="C928" t="s">
        <v>1360</v>
      </c>
      <c r="D928" t="s">
        <v>30</v>
      </c>
      <c r="E928" t="s">
        <v>253</v>
      </c>
      <c r="F928">
        <v>4500411916</v>
      </c>
      <c r="G928" t="s">
        <v>12</v>
      </c>
      <c r="H928" t="s">
        <v>1361</v>
      </c>
      <c r="I928" t="s">
        <v>253</v>
      </c>
      <c r="J928" s="1">
        <v>100000</v>
      </c>
      <c r="K928" s="1">
        <v>100000</v>
      </c>
      <c r="L928" t="str">
        <f>IFERROR(IF(VLOOKUP(LEFT(B928,2),'Humanitarian codes'!$A$2:$A$10,1,FALSE)=LEFT(B928,2),"Yes","Error"),"No")</f>
        <v>Yes</v>
      </c>
      <c r="AE928" s="1"/>
      <c r="AF928" s="1"/>
    </row>
    <row r="929" spans="1:32" x14ac:dyDescent="0.25">
      <c r="A929" t="s">
        <v>1658</v>
      </c>
      <c r="B929" t="s">
        <v>1359</v>
      </c>
      <c r="C929" t="s">
        <v>1360</v>
      </c>
      <c r="D929" t="s">
        <v>30</v>
      </c>
      <c r="E929" t="s">
        <v>253</v>
      </c>
      <c r="F929">
        <v>4500418071</v>
      </c>
      <c r="G929" t="s">
        <v>12</v>
      </c>
      <c r="H929" t="s">
        <v>1362</v>
      </c>
      <c r="I929" t="s">
        <v>253</v>
      </c>
      <c r="J929" s="1">
        <v>26247.08</v>
      </c>
      <c r="K929" s="1">
        <v>37949.78</v>
      </c>
      <c r="L929" t="str">
        <f>IFERROR(IF(VLOOKUP(LEFT(B929,2),'Humanitarian codes'!$A$2:$A$10,1,FALSE)=LEFT(B929,2),"Yes","Error"),"No")</f>
        <v>Yes</v>
      </c>
      <c r="AE929" s="1"/>
      <c r="AF929" s="1"/>
    </row>
    <row r="930" spans="1:32" x14ac:dyDescent="0.25">
      <c r="A930" t="s">
        <v>1658</v>
      </c>
      <c r="B930" t="s">
        <v>1363</v>
      </c>
      <c r="C930" t="s">
        <v>1364</v>
      </c>
      <c r="D930" t="s">
        <v>30</v>
      </c>
      <c r="E930" t="s">
        <v>253</v>
      </c>
      <c r="F930">
        <v>4500418071</v>
      </c>
      <c r="G930" t="s">
        <v>12</v>
      </c>
      <c r="H930" t="s">
        <v>1362</v>
      </c>
      <c r="I930" t="s">
        <v>253</v>
      </c>
      <c r="J930" s="1">
        <v>11702.7</v>
      </c>
      <c r="K930" s="1">
        <v>37949.78</v>
      </c>
      <c r="L930" t="str">
        <f>IFERROR(IF(VLOOKUP(LEFT(B930,2),'Humanitarian codes'!$A$2:$A$10,1,FALSE)=LEFT(B930,2),"Yes","Error"),"No")</f>
        <v>Yes</v>
      </c>
      <c r="AF930" s="1"/>
    </row>
    <row r="931" spans="1:32" x14ac:dyDescent="0.25">
      <c r="A931" t="s">
        <v>1658</v>
      </c>
      <c r="B931" t="s">
        <v>833</v>
      </c>
      <c r="C931" t="s">
        <v>834</v>
      </c>
      <c r="D931" t="s">
        <v>30</v>
      </c>
      <c r="E931" t="s">
        <v>261</v>
      </c>
      <c r="F931">
        <v>4500413625</v>
      </c>
      <c r="G931" t="s">
        <v>12</v>
      </c>
      <c r="H931" t="s">
        <v>835</v>
      </c>
      <c r="I931" t="s">
        <v>261</v>
      </c>
      <c r="J931" s="1">
        <v>84951</v>
      </c>
      <c r="K931" s="1">
        <v>84951</v>
      </c>
      <c r="L931" t="str">
        <f>IFERROR(IF(VLOOKUP(LEFT(B931,2),'Humanitarian codes'!$A$2:$A$10,1,FALSE)=LEFT(B931,2),"Yes","Error"),"No")</f>
        <v>Yes</v>
      </c>
      <c r="AE931" s="1"/>
      <c r="AF931" s="1"/>
    </row>
    <row r="932" spans="1:32" x14ac:dyDescent="0.25">
      <c r="A932" t="s">
        <v>1658</v>
      </c>
      <c r="B932" t="s">
        <v>1365</v>
      </c>
      <c r="C932" t="s">
        <v>1366</v>
      </c>
      <c r="D932" t="s">
        <v>30</v>
      </c>
      <c r="E932" t="s">
        <v>356</v>
      </c>
      <c r="F932">
        <v>4500406743</v>
      </c>
      <c r="G932" t="s">
        <v>12</v>
      </c>
      <c r="H932" t="s">
        <v>1367</v>
      </c>
      <c r="I932" t="s">
        <v>356</v>
      </c>
      <c r="J932" s="1">
        <v>99000</v>
      </c>
      <c r="K932" s="1">
        <v>99000</v>
      </c>
      <c r="L932" t="str">
        <f>IFERROR(IF(VLOOKUP(LEFT(B932,2),'Humanitarian codes'!$A$2:$A$10,1,FALSE)=LEFT(B932,2),"Yes","Error"),"No")</f>
        <v>Yes</v>
      </c>
      <c r="AF932" s="1"/>
    </row>
    <row r="933" spans="1:32" x14ac:dyDescent="0.25">
      <c r="A933" t="s">
        <v>1658</v>
      </c>
      <c r="B933" t="s">
        <v>1365</v>
      </c>
      <c r="C933" t="s">
        <v>1366</v>
      </c>
      <c r="D933" t="s">
        <v>30</v>
      </c>
      <c r="E933" t="s">
        <v>356</v>
      </c>
      <c r="F933">
        <v>4500408606</v>
      </c>
      <c r="G933" t="s">
        <v>12</v>
      </c>
      <c r="H933" t="s">
        <v>1368</v>
      </c>
      <c r="I933" t="s">
        <v>356</v>
      </c>
      <c r="J933" s="1">
        <v>10000</v>
      </c>
      <c r="K933" s="1">
        <v>10000</v>
      </c>
      <c r="L933" t="str">
        <f>IFERROR(IF(VLOOKUP(LEFT(B933,2),'Humanitarian codes'!$A$2:$A$10,1,FALSE)=LEFT(B933,2),"Yes","Error"),"No")</f>
        <v>Yes</v>
      </c>
      <c r="AE933" s="1"/>
      <c r="AF933" s="1"/>
    </row>
    <row r="934" spans="1:32" x14ac:dyDescent="0.25">
      <c r="A934" t="s">
        <v>1658</v>
      </c>
      <c r="B934" t="s">
        <v>1369</v>
      </c>
      <c r="C934" t="s">
        <v>1370</v>
      </c>
      <c r="D934" t="s">
        <v>30</v>
      </c>
      <c r="E934" t="s">
        <v>903</v>
      </c>
      <c r="F934">
        <v>4500417054</v>
      </c>
      <c r="G934" t="s">
        <v>12</v>
      </c>
      <c r="H934" t="s">
        <v>1325</v>
      </c>
      <c r="I934" t="s">
        <v>751</v>
      </c>
      <c r="J934" s="1">
        <v>2311</v>
      </c>
      <c r="K934" s="1">
        <v>42311</v>
      </c>
      <c r="L934" t="str">
        <f>IFERROR(IF(VLOOKUP(LEFT(B934,2),'Humanitarian codes'!$A$2:$A$10,1,FALSE)=LEFT(B934,2),"Yes","Error"),"No")</f>
        <v>Yes</v>
      </c>
      <c r="AE934" s="1"/>
      <c r="AF934" s="1"/>
    </row>
    <row r="935" spans="1:32" x14ac:dyDescent="0.25">
      <c r="A935" t="s">
        <v>1658</v>
      </c>
      <c r="B935" t="s">
        <v>173</v>
      </c>
      <c r="C935" t="s">
        <v>174</v>
      </c>
      <c r="D935" t="s">
        <v>30</v>
      </c>
      <c r="E935" t="s">
        <v>175</v>
      </c>
      <c r="F935">
        <v>4500416736</v>
      </c>
      <c r="G935" t="s">
        <v>12</v>
      </c>
      <c r="H935" t="s">
        <v>176</v>
      </c>
      <c r="I935" t="s">
        <v>175</v>
      </c>
      <c r="J935" s="1">
        <v>328201.26</v>
      </c>
      <c r="K935" s="1">
        <v>328201.26</v>
      </c>
      <c r="L935" t="str">
        <f>IFERROR(IF(VLOOKUP(LEFT(B935,2),'Humanitarian codes'!$A$2:$A$10,1,FALSE)=LEFT(B935,2),"Yes","Error"),"No")</f>
        <v>Yes</v>
      </c>
      <c r="AE935" s="1"/>
      <c r="AF935" s="1"/>
    </row>
    <row r="936" spans="1:32" x14ac:dyDescent="0.25">
      <c r="A936" t="s">
        <v>1658</v>
      </c>
      <c r="B936" t="s">
        <v>173</v>
      </c>
      <c r="C936" t="s">
        <v>174</v>
      </c>
      <c r="D936" t="s">
        <v>30</v>
      </c>
      <c r="E936" t="s">
        <v>175</v>
      </c>
      <c r="F936">
        <v>4500428506</v>
      </c>
      <c r="G936" t="s">
        <v>12</v>
      </c>
      <c r="H936" t="s">
        <v>185</v>
      </c>
      <c r="I936" t="s">
        <v>175</v>
      </c>
      <c r="J936" s="1">
        <v>28124.6</v>
      </c>
      <c r="K936" s="1">
        <v>28124.6</v>
      </c>
      <c r="L936" t="str">
        <f>IFERROR(IF(VLOOKUP(LEFT(B936,2),'Humanitarian codes'!$A$2:$A$10,1,FALSE)=LEFT(B936,2),"Yes","Error"),"No")</f>
        <v>Yes</v>
      </c>
      <c r="AE936" s="1"/>
      <c r="AF936" s="1"/>
    </row>
    <row r="937" spans="1:32" x14ac:dyDescent="0.25">
      <c r="A937" t="s">
        <v>1658</v>
      </c>
      <c r="B937" t="s">
        <v>1371</v>
      </c>
      <c r="C937" t="s">
        <v>1372</v>
      </c>
      <c r="D937" t="s">
        <v>30</v>
      </c>
      <c r="E937" t="s">
        <v>175</v>
      </c>
      <c r="F937">
        <v>4500424190</v>
      </c>
      <c r="G937" t="s">
        <v>12</v>
      </c>
      <c r="H937" t="s">
        <v>395</v>
      </c>
      <c r="I937" t="s">
        <v>175</v>
      </c>
      <c r="J937" s="1">
        <v>24160.36</v>
      </c>
      <c r="K937" s="1">
        <v>24160.36</v>
      </c>
      <c r="L937" t="str">
        <f>IFERROR(IF(VLOOKUP(LEFT(B937,2),'Humanitarian codes'!$A$2:$A$10,1,FALSE)=LEFT(B937,2),"Yes","Error"),"No")</f>
        <v>Yes</v>
      </c>
      <c r="AE937" s="1"/>
      <c r="AF937" s="1"/>
    </row>
    <row r="938" spans="1:32" x14ac:dyDescent="0.25">
      <c r="A938" t="s">
        <v>1658</v>
      </c>
      <c r="B938" t="s">
        <v>180</v>
      </c>
      <c r="C938" t="s">
        <v>181</v>
      </c>
      <c r="D938" t="s">
        <v>30</v>
      </c>
      <c r="E938" t="s">
        <v>175</v>
      </c>
      <c r="F938">
        <v>4500423758</v>
      </c>
      <c r="G938" t="s">
        <v>12</v>
      </c>
      <c r="H938" t="s">
        <v>232</v>
      </c>
      <c r="I938" t="s">
        <v>175</v>
      </c>
      <c r="J938" s="1">
        <v>33724.06</v>
      </c>
      <c r="K938" s="1">
        <v>33724.06</v>
      </c>
      <c r="L938" t="str">
        <f>IFERROR(IF(VLOOKUP(LEFT(B938,2),'Humanitarian codes'!$A$2:$A$10,1,FALSE)=LEFT(B938,2),"Yes","Error"),"No")</f>
        <v>Yes</v>
      </c>
      <c r="AE938" s="1"/>
      <c r="AF938" s="1"/>
    </row>
    <row r="939" spans="1:32" x14ac:dyDescent="0.25">
      <c r="A939" t="s">
        <v>1658</v>
      </c>
      <c r="B939" t="s">
        <v>180</v>
      </c>
      <c r="C939" t="s">
        <v>181</v>
      </c>
      <c r="D939" t="s">
        <v>30</v>
      </c>
      <c r="E939" t="s">
        <v>175</v>
      </c>
      <c r="F939">
        <v>4500423765</v>
      </c>
      <c r="G939" t="s">
        <v>12</v>
      </c>
      <c r="H939" t="s">
        <v>685</v>
      </c>
      <c r="I939" t="s">
        <v>175</v>
      </c>
      <c r="J939" s="1">
        <v>146497.49</v>
      </c>
      <c r="K939" s="1">
        <v>146497.49</v>
      </c>
      <c r="L939" t="str">
        <f>IFERROR(IF(VLOOKUP(LEFT(B939,2),'Humanitarian codes'!$A$2:$A$10,1,FALSE)=LEFT(B939,2),"Yes","Error"),"No")</f>
        <v>Yes</v>
      </c>
      <c r="AE939" s="1"/>
      <c r="AF939" s="1"/>
    </row>
    <row r="940" spans="1:32" x14ac:dyDescent="0.25">
      <c r="A940" t="s">
        <v>1658</v>
      </c>
      <c r="B940" t="s">
        <v>180</v>
      </c>
      <c r="C940" t="s">
        <v>181</v>
      </c>
      <c r="D940" t="s">
        <v>30</v>
      </c>
      <c r="E940" t="s">
        <v>175</v>
      </c>
      <c r="F940">
        <v>4500424189</v>
      </c>
      <c r="G940" t="s">
        <v>12</v>
      </c>
      <c r="H940" t="s">
        <v>187</v>
      </c>
      <c r="I940" t="s">
        <v>175</v>
      </c>
      <c r="J940" s="1">
        <v>138361.53</v>
      </c>
      <c r="K940" s="1">
        <v>138361.53</v>
      </c>
      <c r="L940" t="str">
        <f>IFERROR(IF(VLOOKUP(LEFT(B940,2),'Humanitarian codes'!$A$2:$A$10,1,FALSE)=LEFT(B940,2),"Yes","Error"),"No")</f>
        <v>Yes</v>
      </c>
      <c r="AE940" s="1"/>
      <c r="AF940" s="1"/>
    </row>
    <row r="941" spans="1:32" x14ac:dyDescent="0.25">
      <c r="A941" t="s">
        <v>1658</v>
      </c>
      <c r="B941" t="s">
        <v>188</v>
      </c>
      <c r="C941" t="s">
        <v>189</v>
      </c>
      <c r="D941" t="s">
        <v>30</v>
      </c>
      <c r="E941" t="s">
        <v>175</v>
      </c>
      <c r="F941">
        <v>4500425691</v>
      </c>
      <c r="G941" t="s">
        <v>12</v>
      </c>
      <c r="H941" t="s">
        <v>176</v>
      </c>
      <c r="I941" t="s">
        <v>175</v>
      </c>
      <c r="J941" s="1">
        <v>109065.92</v>
      </c>
      <c r="K941" s="1">
        <v>109065.92</v>
      </c>
      <c r="L941" t="str">
        <f>IFERROR(IF(VLOOKUP(LEFT(B941,2),'Humanitarian codes'!$A$2:$A$10,1,FALSE)=LEFT(B941,2),"Yes","Error"),"No")</f>
        <v>Yes</v>
      </c>
      <c r="AE941" s="1"/>
      <c r="AF941" s="1"/>
    </row>
    <row r="942" spans="1:32" x14ac:dyDescent="0.25">
      <c r="A942" t="s">
        <v>1658</v>
      </c>
      <c r="B942" t="s">
        <v>188</v>
      </c>
      <c r="C942" t="s">
        <v>189</v>
      </c>
      <c r="D942" t="s">
        <v>30</v>
      </c>
      <c r="E942" t="s">
        <v>175</v>
      </c>
      <c r="F942">
        <v>4500428536</v>
      </c>
      <c r="G942" t="s">
        <v>12</v>
      </c>
      <c r="H942" t="s">
        <v>186</v>
      </c>
      <c r="I942" t="s">
        <v>175</v>
      </c>
      <c r="J942" s="1">
        <v>60169.69</v>
      </c>
      <c r="K942" s="1">
        <v>60169.69</v>
      </c>
      <c r="L942" t="str">
        <f>IFERROR(IF(VLOOKUP(LEFT(B942,2),'Humanitarian codes'!$A$2:$A$10,1,FALSE)=LEFT(B942,2),"Yes","Error"),"No")</f>
        <v>Yes</v>
      </c>
      <c r="AF942" s="1"/>
    </row>
    <row r="943" spans="1:32" x14ac:dyDescent="0.25">
      <c r="A943" t="s">
        <v>1658</v>
      </c>
      <c r="B943" t="s">
        <v>195</v>
      </c>
      <c r="C943" t="s">
        <v>196</v>
      </c>
      <c r="D943" t="s">
        <v>30</v>
      </c>
      <c r="E943" t="s">
        <v>197</v>
      </c>
      <c r="F943">
        <v>4500429534</v>
      </c>
      <c r="G943" t="s">
        <v>12</v>
      </c>
      <c r="H943" t="s">
        <v>1373</v>
      </c>
      <c r="I943" t="s">
        <v>197</v>
      </c>
      <c r="J943" s="1">
        <v>44746.73</v>
      </c>
      <c r="K943" s="1">
        <v>44746.73</v>
      </c>
      <c r="L943" t="str">
        <f>IFERROR(IF(VLOOKUP(LEFT(B943,2),'Humanitarian codes'!$A$2:$A$10,1,FALSE)=LEFT(B943,2),"Yes","Error"),"No")</f>
        <v>Yes</v>
      </c>
      <c r="AE943" s="1"/>
      <c r="AF943" s="1"/>
    </row>
    <row r="944" spans="1:32" x14ac:dyDescent="0.25">
      <c r="A944" t="s">
        <v>1658</v>
      </c>
      <c r="B944" t="s">
        <v>195</v>
      </c>
      <c r="C944" t="s">
        <v>196</v>
      </c>
      <c r="D944" t="s">
        <v>30</v>
      </c>
      <c r="E944" t="s">
        <v>201</v>
      </c>
      <c r="F944">
        <v>4500424722</v>
      </c>
      <c r="G944" t="s">
        <v>12</v>
      </c>
      <c r="H944" t="s">
        <v>1036</v>
      </c>
      <c r="I944" t="s">
        <v>616</v>
      </c>
      <c r="J944" s="1">
        <v>50000</v>
      </c>
      <c r="K944" s="1">
        <v>50000</v>
      </c>
      <c r="L944" t="str">
        <f>IFERROR(IF(VLOOKUP(LEFT(B944,2),'Humanitarian codes'!$A$2:$A$10,1,FALSE)=LEFT(B944,2),"Yes","Error"),"No")</f>
        <v>Yes</v>
      </c>
      <c r="AE944" s="1"/>
      <c r="AF944" s="1"/>
    </row>
    <row r="945" spans="1:32" x14ac:dyDescent="0.25">
      <c r="A945" t="s">
        <v>1658</v>
      </c>
      <c r="B945" t="s">
        <v>1378</v>
      </c>
      <c r="C945" t="s">
        <v>1379</v>
      </c>
      <c r="D945" t="s">
        <v>9</v>
      </c>
      <c r="E945" t="s">
        <v>500</v>
      </c>
      <c r="F945">
        <v>4500420963</v>
      </c>
      <c r="G945" t="s">
        <v>12</v>
      </c>
      <c r="H945" t="s">
        <v>779</v>
      </c>
      <c r="I945" t="s">
        <v>500</v>
      </c>
      <c r="J945" s="1">
        <v>69478.36</v>
      </c>
      <c r="K945" s="1">
        <v>69478.36</v>
      </c>
      <c r="L945" t="str">
        <f>IFERROR(IF(VLOOKUP(LEFT(B945,2),'Humanitarian codes'!$A$2:$A$10,1,FALSE)=LEFT(B945,2),"Yes","Error"),"No")</f>
        <v>Yes</v>
      </c>
      <c r="AE945" s="1"/>
      <c r="AF945" s="1"/>
    </row>
    <row r="946" spans="1:32" x14ac:dyDescent="0.25">
      <c r="A946" t="s">
        <v>1658</v>
      </c>
      <c r="B946" t="s">
        <v>1381</v>
      </c>
      <c r="C946" t="s">
        <v>1382</v>
      </c>
      <c r="D946" t="s">
        <v>9</v>
      </c>
      <c r="E946" t="s">
        <v>175</v>
      </c>
      <c r="F946">
        <v>4500423764</v>
      </c>
      <c r="G946" t="s">
        <v>12</v>
      </c>
      <c r="H946" t="s">
        <v>1383</v>
      </c>
      <c r="I946" t="s">
        <v>175</v>
      </c>
      <c r="J946" s="1">
        <v>74657.539999999994</v>
      </c>
      <c r="K946" s="1">
        <v>74657.539999999994</v>
      </c>
      <c r="L946" t="str">
        <f>IFERROR(IF(VLOOKUP(LEFT(B946,2),'Humanitarian codes'!$A$2:$A$10,1,FALSE)=LEFT(B946,2),"Yes","Error"),"No")</f>
        <v>Yes</v>
      </c>
      <c r="AE946" s="1"/>
      <c r="AF946" s="1"/>
    </row>
    <row r="947" spans="1:32" hidden="1" x14ac:dyDescent="0.25">
      <c r="A947" t="s">
        <v>1658</v>
      </c>
      <c r="B947" t="s">
        <v>1384</v>
      </c>
      <c r="C947" t="s">
        <v>1385</v>
      </c>
      <c r="D947" t="s">
        <v>30</v>
      </c>
      <c r="E947" t="s">
        <v>54</v>
      </c>
      <c r="F947">
        <v>4500410011</v>
      </c>
      <c r="G947" t="s">
        <v>12</v>
      </c>
      <c r="H947" t="s">
        <v>1254</v>
      </c>
      <c r="I947" t="s">
        <v>54</v>
      </c>
      <c r="J947" s="1">
        <v>243603.53</v>
      </c>
      <c r="K947" s="1">
        <v>243603.53</v>
      </c>
      <c r="L947" t="str">
        <f>IFERROR(IF(VLOOKUP(LEFT(B947,2),'Humanitarian codes'!$A$2:$A$10,1,FALSE)=LEFT(B947,2),"Yes","Error"),"No")</f>
        <v>No</v>
      </c>
      <c r="AE947" s="1"/>
      <c r="AF947" s="1"/>
    </row>
    <row r="948" spans="1:32" hidden="1" x14ac:dyDescent="0.25">
      <c r="A948" t="s">
        <v>1658</v>
      </c>
      <c r="B948" t="s">
        <v>1386</v>
      </c>
      <c r="C948" t="s">
        <v>1387</v>
      </c>
      <c r="D948" t="s">
        <v>30</v>
      </c>
      <c r="E948" t="s">
        <v>940</v>
      </c>
      <c r="F948">
        <v>4500388761</v>
      </c>
      <c r="G948" t="s">
        <v>12</v>
      </c>
      <c r="H948" t="s">
        <v>1388</v>
      </c>
      <c r="I948" t="s">
        <v>940</v>
      </c>
      <c r="J948" s="1">
        <v>61266</v>
      </c>
      <c r="K948" s="1">
        <v>61266</v>
      </c>
      <c r="L948" t="str">
        <f>IFERROR(IF(VLOOKUP(LEFT(B948,2),'Humanitarian codes'!$A$2:$A$10,1,FALSE)=LEFT(B948,2),"Yes","Error"),"No")</f>
        <v>No</v>
      </c>
      <c r="AE948" s="1"/>
      <c r="AF948" s="1"/>
    </row>
    <row r="949" spans="1:32" hidden="1" x14ac:dyDescent="0.25">
      <c r="A949" t="s">
        <v>1658</v>
      </c>
      <c r="B949" t="s">
        <v>1393</v>
      </c>
      <c r="C949" t="s">
        <v>1394</v>
      </c>
      <c r="D949" t="s">
        <v>30</v>
      </c>
      <c r="E949" t="s">
        <v>54</v>
      </c>
      <c r="F949">
        <v>4500421002</v>
      </c>
      <c r="G949" t="s">
        <v>12</v>
      </c>
      <c r="H949" t="s">
        <v>1254</v>
      </c>
      <c r="I949" t="s">
        <v>54</v>
      </c>
      <c r="J949" s="1">
        <v>7949</v>
      </c>
      <c r="K949" s="1">
        <v>158975</v>
      </c>
      <c r="L949" t="str">
        <f>IFERROR(IF(VLOOKUP(LEFT(B949,2),'Humanitarian codes'!$A$2:$A$10,1,FALSE)=LEFT(B949,2),"Yes","Error"),"No")</f>
        <v>No</v>
      </c>
      <c r="AE949" s="1"/>
      <c r="AF949" s="1"/>
    </row>
    <row r="950" spans="1:32" hidden="1" x14ac:dyDescent="0.25">
      <c r="A950" t="s">
        <v>1658</v>
      </c>
      <c r="B950" t="s">
        <v>407</v>
      </c>
      <c r="C950" t="s">
        <v>408</v>
      </c>
      <c r="D950" t="s">
        <v>30</v>
      </c>
      <c r="E950" t="s">
        <v>54</v>
      </c>
      <c r="F950">
        <v>4500419717</v>
      </c>
      <c r="G950" t="s">
        <v>12</v>
      </c>
      <c r="H950" t="s">
        <v>1254</v>
      </c>
      <c r="I950" t="s">
        <v>54</v>
      </c>
      <c r="J950" s="1">
        <v>8160</v>
      </c>
      <c r="K950" s="1">
        <v>81587</v>
      </c>
      <c r="L950" t="str">
        <f>IFERROR(IF(VLOOKUP(LEFT(B950,2),'Humanitarian codes'!$A$2:$A$10,1,FALSE)=LEFT(B950,2),"Yes","Error"),"No")</f>
        <v>No</v>
      </c>
      <c r="AE950" s="1"/>
      <c r="AF950" s="1"/>
    </row>
    <row r="951" spans="1:32" hidden="1" x14ac:dyDescent="0.25">
      <c r="A951" t="s">
        <v>1658</v>
      </c>
      <c r="B951" t="s">
        <v>1396</v>
      </c>
      <c r="C951" t="s">
        <v>1397</v>
      </c>
      <c r="D951" t="s">
        <v>30</v>
      </c>
      <c r="E951" t="s">
        <v>123</v>
      </c>
      <c r="F951">
        <v>4500412419</v>
      </c>
      <c r="G951" t="s">
        <v>713</v>
      </c>
      <c r="H951" t="s">
        <v>1398</v>
      </c>
      <c r="I951" t="s">
        <v>123</v>
      </c>
      <c r="J951" s="1">
        <v>36335.58</v>
      </c>
      <c r="K951" s="1">
        <v>36335.58</v>
      </c>
      <c r="L951" t="str">
        <f>IFERROR(IF(VLOOKUP(LEFT(B951,2),'Humanitarian codes'!$A$2:$A$10,1,FALSE)=LEFT(B951,2),"Yes","Error"),"No")</f>
        <v>No</v>
      </c>
      <c r="AE951" s="1"/>
      <c r="AF951" s="1"/>
    </row>
    <row r="952" spans="1:32" hidden="1" x14ac:dyDescent="0.25">
      <c r="A952" t="s">
        <v>1658</v>
      </c>
      <c r="B952" t="s">
        <v>1396</v>
      </c>
      <c r="C952" t="s">
        <v>1397</v>
      </c>
      <c r="D952" t="s">
        <v>30</v>
      </c>
      <c r="E952" t="s">
        <v>123</v>
      </c>
      <c r="F952">
        <v>4500414707</v>
      </c>
      <c r="G952" t="s">
        <v>713</v>
      </c>
      <c r="H952" t="s">
        <v>1399</v>
      </c>
      <c r="I952" t="s">
        <v>123</v>
      </c>
      <c r="J952" s="1">
        <v>32319.69</v>
      </c>
      <c r="K952" s="1">
        <v>32319.69</v>
      </c>
      <c r="L952" t="str">
        <f>IFERROR(IF(VLOOKUP(LEFT(B952,2),'Humanitarian codes'!$A$2:$A$10,1,FALSE)=LEFT(B952,2),"Yes","Error"),"No")</f>
        <v>No</v>
      </c>
      <c r="AE952" s="1"/>
      <c r="AF952" s="1"/>
    </row>
    <row r="953" spans="1:32" hidden="1" x14ac:dyDescent="0.25">
      <c r="A953" t="s">
        <v>1658</v>
      </c>
      <c r="B953" t="s">
        <v>1400</v>
      </c>
      <c r="C953" t="s">
        <v>1401</v>
      </c>
      <c r="D953" t="s">
        <v>30</v>
      </c>
      <c r="E953" t="s">
        <v>54</v>
      </c>
      <c r="F953">
        <v>4500419717</v>
      </c>
      <c r="G953" t="s">
        <v>12</v>
      </c>
      <c r="H953" t="s">
        <v>1254</v>
      </c>
      <c r="I953" t="s">
        <v>54</v>
      </c>
      <c r="J953" s="1">
        <v>30600</v>
      </c>
      <c r="K953" s="1">
        <v>81587</v>
      </c>
      <c r="L953" t="str">
        <f>IFERROR(IF(VLOOKUP(LEFT(B953,2),'Humanitarian codes'!$A$2:$A$10,1,FALSE)=LEFT(B953,2),"Yes","Error"),"No")</f>
        <v>No</v>
      </c>
      <c r="AE953" s="1"/>
      <c r="AF953" s="1"/>
    </row>
    <row r="954" spans="1:32" hidden="1" x14ac:dyDescent="0.25">
      <c r="A954" t="s">
        <v>1658</v>
      </c>
      <c r="B954" t="s">
        <v>1402</v>
      </c>
      <c r="C954" t="s">
        <v>1403</v>
      </c>
      <c r="D954" t="s">
        <v>30</v>
      </c>
      <c r="E954" t="s">
        <v>356</v>
      </c>
      <c r="F954">
        <v>4500416698</v>
      </c>
      <c r="G954" t="s">
        <v>12</v>
      </c>
      <c r="H954" t="s">
        <v>1404</v>
      </c>
      <c r="I954" t="s">
        <v>184</v>
      </c>
      <c r="J954" s="1">
        <v>320855.61</v>
      </c>
      <c r="K954" s="1">
        <v>320855.61</v>
      </c>
      <c r="L954" t="str">
        <f>IFERROR(IF(VLOOKUP(LEFT(B954,2),'Humanitarian codes'!$A$2:$A$10,1,FALSE)=LEFT(B954,2),"Yes","Error"),"No")</f>
        <v>No</v>
      </c>
      <c r="AE954" s="1"/>
      <c r="AF954" s="1"/>
    </row>
    <row r="955" spans="1:32" hidden="1" x14ac:dyDescent="0.25">
      <c r="A955" t="s">
        <v>1658</v>
      </c>
      <c r="B955" t="s">
        <v>416</v>
      </c>
      <c r="C955" t="s">
        <v>417</v>
      </c>
      <c r="D955" t="s">
        <v>30</v>
      </c>
      <c r="E955" t="s">
        <v>54</v>
      </c>
      <c r="F955">
        <v>4500416095</v>
      </c>
      <c r="G955" t="s">
        <v>12</v>
      </c>
      <c r="H955" t="s">
        <v>1405</v>
      </c>
      <c r="I955" t="s">
        <v>972</v>
      </c>
      <c r="J955" s="1">
        <v>330000</v>
      </c>
      <c r="K955" s="1">
        <v>330000</v>
      </c>
      <c r="L955" t="str">
        <f>IFERROR(IF(VLOOKUP(LEFT(B955,2),'Humanitarian codes'!$A$2:$A$10,1,FALSE)=LEFT(B955,2),"Yes","Error"),"No")</f>
        <v>No</v>
      </c>
      <c r="AE955" s="1"/>
      <c r="AF955" s="1"/>
    </row>
    <row r="956" spans="1:32" hidden="1" x14ac:dyDescent="0.25">
      <c r="A956" t="s">
        <v>1658</v>
      </c>
      <c r="B956" t="s">
        <v>416</v>
      </c>
      <c r="C956" t="s">
        <v>417</v>
      </c>
      <c r="D956" t="s">
        <v>30</v>
      </c>
      <c r="E956" t="s">
        <v>54</v>
      </c>
      <c r="F956">
        <v>4500418849</v>
      </c>
      <c r="G956" t="s">
        <v>12</v>
      </c>
      <c r="H956" t="s">
        <v>1406</v>
      </c>
      <c r="I956" t="s">
        <v>54</v>
      </c>
      <c r="J956" s="1">
        <v>98060.25</v>
      </c>
      <c r="K956" s="1">
        <v>98060.25</v>
      </c>
      <c r="L956" t="str">
        <f>IFERROR(IF(VLOOKUP(LEFT(B956,2),'Humanitarian codes'!$A$2:$A$10,1,FALSE)=LEFT(B956,2),"Yes","Error"),"No")</f>
        <v>No</v>
      </c>
      <c r="AE956" s="1"/>
      <c r="AF956" s="1"/>
    </row>
    <row r="957" spans="1:32" hidden="1" x14ac:dyDescent="0.25">
      <c r="A957" t="s">
        <v>1658</v>
      </c>
      <c r="B957" t="s">
        <v>416</v>
      </c>
      <c r="C957" t="s">
        <v>417</v>
      </c>
      <c r="D957" t="s">
        <v>30</v>
      </c>
      <c r="E957" t="s">
        <v>54</v>
      </c>
      <c r="F957">
        <v>4500419439</v>
      </c>
      <c r="G957" t="s">
        <v>12</v>
      </c>
      <c r="H957" t="s">
        <v>1407</v>
      </c>
      <c r="I957" t="s">
        <v>54</v>
      </c>
      <c r="J957" s="1">
        <v>220111.3</v>
      </c>
      <c r="K957" s="1">
        <v>220111.3</v>
      </c>
      <c r="L957" t="str">
        <f>IFERROR(IF(VLOOKUP(LEFT(B957,2),'Humanitarian codes'!$A$2:$A$10,1,FALSE)=LEFT(B957,2),"Yes","Error"),"No")</f>
        <v>No</v>
      </c>
      <c r="AE957" s="1"/>
      <c r="AF957" s="1"/>
    </row>
    <row r="958" spans="1:32" hidden="1" x14ac:dyDescent="0.25">
      <c r="A958" t="s">
        <v>1658</v>
      </c>
      <c r="B958" t="s">
        <v>416</v>
      </c>
      <c r="C958" t="s">
        <v>417</v>
      </c>
      <c r="D958" t="s">
        <v>30</v>
      </c>
      <c r="E958" t="s">
        <v>54</v>
      </c>
      <c r="F958">
        <v>4500421002</v>
      </c>
      <c r="G958" t="s">
        <v>12</v>
      </c>
      <c r="H958" t="s">
        <v>1254</v>
      </c>
      <c r="I958" t="s">
        <v>54</v>
      </c>
      <c r="J958" s="1">
        <v>7950</v>
      </c>
      <c r="K958" s="1">
        <v>158975</v>
      </c>
      <c r="L958" t="str">
        <f>IFERROR(IF(VLOOKUP(LEFT(B958,2),'Humanitarian codes'!$A$2:$A$10,1,FALSE)=LEFT(B958,2),"Yes","Error"),"No")</f>
        <v>No</v>
      </c>
      <c r="AE958" s="1"/>
      <c r="AF958" s="1"/>
    </row>
    <row r="959" spans="1:32" hidden="1" x14ac:dyDescent="0.25">
      <c r="A959" t="s">
        <v>1658</v>
      </c>
      <c r="B959" t="s">
        <v>1408</v>
      </c>
      <c r="C959" t="s">
        <v>1409</v>
      </c>
      <c r="D959" t="s">
        <v>30</v>
      </c>
      <c r="E959" t="s">
        <v>83</v>
      </c>
      <c r="F959">
        <v>4500424463</v>
      </c>
      <c r="G959" t="s">
        <v>12</v>
      </c>
      <c r="H959" t="s">
        <v>1410</v>
      </c>
      <c r="I959" t="s">
        <v>83</v>
      </c>
      <c r="J959" s="1">
        <v>1007709.07</v>
      </c>
      <c r="K959" s="1">
        <v>1007709.07</v>
      </c>
      <c r="L959" t="str">
        <f>IFERROR(IF(VLOOKUP(LEFT(B959,2),'Humanitarian codes'!$A$2:$A$10,1,FALSE)=LEFT(B959,2),"Yes","Error"),"No")</f>
        <v>No</v>
      </c>
      <c r="AE959" s="1"/>
      <c r="AF959" s="1"/>
    </row>
    <row r="960" spans="1:32" x14ac:dyDescent="0.25">
      <c r="A960" t="s">
        <v>1658</v>
      </c>
      <c r="B960" t="s">
        <v>1411</v>
      </c>
      <c r="C960" t="s">
        <v>1412</v>
      </c>
      <c r="D960" t="s">
        <v>30</v>
      </c>
      <c r="E960" t="s">
        <v>257</v>
      </c>
      <c r="F960">
        <v>4500429499</v>
      </c>
      <c r="G960" t="s">
        <v>12</v>
      </c>
      <c r="H960" t="s">
        <v>1414</v>
      </c>
      <c r="I960" t="s">
        <v>257</v>
      </c>
      <c r="J960" s="1">
        <v>13217.94</v>
      </c>
      <c r="K960" s="1">
        <v>13217.94</v>
      </c>
      <c r="L960" t="str">
        <f>IFERROR(IF(VLOOKUP(LEFT(B960,2),'Humanitarian codes'!$A$2:$A$10,1,FALSE)=LEFT(B960,2),"Yes","Error"),"No")</f>
        <v>Yes</v>
      </c>
      <c r="AE960" s="1"/>
      <c r="AF960" s="1"/>
    </row>
    <row r="961" spans="1:32" x14ac:dyDescent="0.25">
      <c r="A961" t="s">
        <v>1658</v>
      </c>
      <c r="B961" t="s">
        <v>1415</v>
      </c>
      <c r="C961" t="s">
        <v>1416</v>
      </c>
      <c r="D961" t="s">
        <v>30</v>
      </c>
      <c r="E961" t="s">
        <v>814</v>
      </c>
      <c r="F961">
        <v>4500406481</v>
      </c>
      <c r="G961" t="s">
        <v>12</v>
      </c>
      <c r="H961" t="s">
        <v>120</v>
      </c>
      <c r="I961" t="s">
        <v>814</v>
      </c>
      <c r="J961" s="1">
        <v>19529.900000000001</v>
      </c>
      <c r="K961" s="1">
        <v>65099.66</v>
      </c>
      <c r="L961" t="str">
        <f>IFERROR(IF(VLOOKUP(LEFT(B961,2),'Humanitarian codes'!$A$2:$A$10,1,FALSE)=LEFT(B961,2),"Yes","Error"),"No")</f>
        <v>Yes</v>
      </c>
      <c r="AE961" s="1"/>
      <c r="AF961" s="1"/>
    </row>
    <row r="962" spans="1:32" x14ac:dyDescent="0.25">
      <c r="A962" t="s">
        <v>1658</v>
      </c>
      <c r="B962" t="s">
        <v>1415</v>
      </c>
      <c r="C962" t="s">
        <v>1416</v>
      </c>
      <c r="D962" t="s">
        <v>30</v>
      </c>
      <c r="E962" t="s">
        <v>814</v>
      </c>
      <c r="F962">
        <v>4500406501</v>
      </c>
      <c r="G962" t="s">
        <v>12</v>
      </c>
      <c r="H962" t="s">
        <v>116</v>
      </c>
      <c r="I962" t="s">
        <v>814</v>
      </c>
      <c r="J962" s="1">
        <v>7657.58</v>
      </c>
      <c r="K962" s="1">
        <v>25525.27</v>
      </c>
      <c r="L962" t="str">
        <f>IFERROR(IF(VLOOKUP(LEFT(B962,2),'Humanitarian codes'!$A$2:$A$10,1,FALSE)=LEFT(B962,2),"Yes","Error"),"No")</f>
        <v>Yes</v>
      </c>
      <c r="AE962" s="1"/>
      <c r="AF962" s="1"/>
    </row>
    <row r="963" spans="1:32" x14ac:dyDescent="0.25">
      <c r="A963" t="s">
        <v>1658</v>
      </c>
      <c r="B963" t="s">
        <v>1415</v>
      </c>
      <c r="C963" t="s">
        <v>1416</v>
      </c>
      <c r="D963" t="s">
        <v>30</v>
      </c>
      <c r="E963" t="s">
        <v>814</v>
      </c>
      <c r="F963">
        <v>4500406517</v>
      </c>
      <c r="G963" t="s">
        <v>12</v>
      </c>
      <c r="H963" t="s">
        <v>116</v>
      </c>
      <c r="I963" t="s">
        <v>814</v>
      </c>
      <c r="J963" s="1">
        <v>9294.1200000000008</v>
      </c>
      <c r="K963" s="1">
        <v>30980.400000000001</v>
      </c>
      <c r="L963" t="str">
        <f>IFERROR(IF(VLOOKUP(LEFT(B963,2),'Humanitarian codes'!$A$2:$A$10,1,FALSE)=LEFT(B963,2),"Yes","Error"),"No")</f>
        <v>Yes</v>
      </c>
      <c r="AE963" s="1"/>
      <c r="AF963" s="1"/>
    </row>
    <row r="964" spans="1:32" x14ac:dyDescent="0.25">
      <c r="A964" t="s">
        <v>1658</v>
      </c>
      <c r="B964" t="s">
        <v>1415</v>
      </c>
      <c r="C964" t="s">
        <v>1416</v>
      </c>
      <c r="D964" t="s">
        <v>30</v>
      </c>
      <c r="E964" t="s">
        <v>814</v>
      </c>
      <c r="F964">
        <v>4500408390</v>
      </c>
      <c r="G964" t="s">
        <v>12</v>
      </c>
      <c r="H964" t="s">
        <v>113</v>
      </c>
      <c r="I964" t="s">
        <v>814</v>
      </c>
      <c r="J964" s="1">
        <v>8131.69</v>
      </c>
      <c r="K964" s="1">
        <v>27105.58</v>
      </c>
      <c r="L964" t="str">
        <f>IFERROR(IF(VLOOKUP(LEFT(B964,2),'Humanitarian codes'!$A$2:$A$10,1,FALSE)=LEFT(B964,2),"Yes","Error"),"No")</f>
        <v>Yes</v>
      </c>
      <c r="AE964" s="1"/>
      <c r="AF964" s="1"/>
    </row>
    <row r="965" spans="1:32" x14ac:dyDescent="0.25">
      <c r="A965" t="s">
        <v>1658</v>
      </c>
      <c r="B965" t="s">
        <v>1417</v>
      </c>
      <c r="C965" t="s">
        <v>1418</v>
      </c>
      <c r="D965" t="s">
        <v>30</v>
      </c>
      <c r="E965" t="s">
        <v>890</v>
      </c>
      <c r="F965">
        <v>4500407696</v>
      </c>
      <c r="G965" t="s">
        <v>12</v>
      </c>
      <c r="H965" t="s">
        <v>892</v>
      </c>
      <c r="I965" t="s">
        <v>890</v>
      </c>
      <c r="J965" s="1">
        <v>7175.5</v>
      </c>
      <c r="K965" s="1">
        <v>7175.5</v>
      </c>
      <c r="L965" t="str">
        <f>IFERROR(IF(VLOOKUP(LEFT(B965,2),'Humanitarian codes'!$A$2:$A$10,1,FALSE)=LEFT(B965,2),"Yes","Error"),"No")</f>
        <v>Yes</v>
      </c>
      <c r="AE965" s="1"/>
      <c r="AF965" s="1"/>
    </row>
    <row r="966" spans="1:32" x14ac:dyDescent="0.25">
      <c r="A966" t="s">
        <v>1658</v>
      </c>
      <c r="B966" t="s">
        <v>1417</v>
      </c>
      <c r="C966" t="s">
        <v>1418</v>
      </c>
      <c r="D966" t="s">
        <v>30</v>
      </c>
      <c r="E966" t="s">
        <v>890</v>
      </c>
      <c r="F966">
        <v>4500407975</v>
      </c>
      <c r="G966" t="s">
        <v>12</v>
      </c>
      <c r="H966" t="s">
        <v>1419</v>
      </c>
      <c r="I966" t="s">
        <v>890</v>
      </c>
      <c r="J966" s="1">
        <v>17564</v>
      </c>
      <c r="K966" s="1">
        <v>17564</v>
      </c>
      <c r="L966" t="str">
        <f>IFERROR(IF(VLOOKUP(LEFT(B966,2),'Humanitarian codes'!$A$2:$A$10,1,FALSE)=LEFT(B966,2),"Yes","Error"),"No")</f>
        <v>Yes</v>
      </c>
      <c r="AE966" s="1"/>
      <c r="AF966" s="1"/>
    </row>
    <row r="967" spans="1:32" x14ac:dyDescent="0.25">
      <c r="A967" t="s">
        <v>1658</v>
      </c>
      <c r="B967" t="s">
        <v>1417</v>
      </c>
      <c r="C967" t="s">
        <v>1418</v>
      </c>
      <c r="D967" t="s">
        <v>30</v>
      </c>
      <c r="E967" t="s">
        <v>890</v>
      </c>
      <c r="F967">
        <v>4500414461</v>
      </c>
      <c r="G967" t="s">
        <v>12</v>
      </c>
      <c r="H967" t="s">
        <v>1420</v>
      </c>
      <c r="I967" t="s">
        <v>890</v>
      </c>
      <c r="J967" s="1">
        <v>2732</v>
      </c>
      <c r="K967" s="1">
        <v>2732</v>
      </c>
      <c r="L967" t="str">
        <f>IFERROR(IF(VLOOKUP(LEFT(B967,2),'Humanitarian codes'!$A$2:$A$10,1,FALSE)=LEFT(B967,2),"Yes","Error"),"No")</f>
        <v>Yes</v>
      </c>
      <c r="AE967" s="1"/>
      <c r="AF967" s="1"/>
    </row>
    <row r="968" spans="1:32" x14ac:dyDescent="0.25">
      <c r="A968" t="s">
        <v>1658</v>
      </c>
      <c r="B968" t="s">
        <v>1417</v>
      </c>
      <c r="C968" t="s">
        <v>1418</v>
      </c>
      <c r="D968" t="s">
        <v>30</v>
      </c>
      <c r="E968" t="s">
        <v>890</v>
      </c>
      <c r="F968">
        <v>4500417896</v>
      </c>
      <c r="G968" t="s">
        <v>12</v>
      </c>
      <c r="H968" t="s">
        <v>1421</v>
      </c>
      <c r="I968" t="s">
        <v>890</v>
      </c>
      <c r="J968" s="1">
        <v>4060</v>
      </c>
      <c r="K968" s="1">
        <v>4060</v>
      </c>
      <c r="L968" t="str">
        <f>IFERROR(IF(VLOOKUP(LEFT(B968,2),'Humanitarian codes'!$A$2:$A$10,1,FALSE)=LEFT(B968,2),"Yes","Error"),"No")</f>
        <v>Yes</v>
      </c>
      <c r="AE968" s="1"/>
      <c r="AF968" s="1"/>
    </row>
    <row r="969" spans="1:32" x14ac:dyDescent="0.25">
      <c r="A969" t="s">
        <v>1658</v>
      </c>
      <c r="B969" t="s">
        <v>1417</v>
      </c>
      <c r="C969" t="s">
        <v>1418</v>
      </c>
      <c r="D969" t="s">
        <v>30</v>
      </c>
      <c r="E969" t="s">
        <v>890</v>
      </c>
      <c r="F969">
        <v>4500419042</v>
      </c>
      <c r="G969" t="s">
        <v>12</v>
      </c>
      <c r="H969" t="s">
        <v>1088</v>
      </c>
      <c r="I969" t="s">
        <v>890</v>
      </c>
      <c r="J969" s="1">
        <v>46088</v>
      </c>
      <c r="K969" s="1">
        <v>46088</v>
      </c>
      <c r="L969" t="str">
        <f>IFERROR(IF(VLOOKUP(LEFT(B969,2),'Humanitarian codes'!$A$2:$A$10,1,FALSE)=LEFT(B969,2),"Yes","Error"),"No")</f>
        <v>Yes</v>
      </c>
      <c r="AE969" s="1"/>
      <c r="AF969" s="1"/>
    </row>
    <row r="970" spans="1:32" hidden="1" x14ac:dyDescent="0.25">
      <c r="A970" t="s">
        <v>1658</v>
      </c>
      <c r="B970" t="s">
        <v>456</v>
      </c>
      <c r="C970" t="s">
        <v>457</v>
      </c>
      <c r="D970" t="s">
        <v>30</v>
      </c>
      <c r="E970" t="s">
        <v>940</v>
      </c>
      <c r="F970">
        <v>4500408576</v>
      </c>
      <c r="G970" t="s">
        <v>12</v>
      </c>
      <c r="H970" t="s">
        <v>945</v>
      </c>
      <c r="I970" t="s">
        <v>940</v>
      </c>
      <c r="J970" s="1">
        <v>98240.89</v>
      </c>
      <c r="K970" s="1">
        <v>98240.89</v>
      </c>
      <c r="L970" t="str">
        <f>IFERROR(IF(VLOOKUP(LEFT(B970,2),'Humanitarian codes'!$A$2:$A$10,1,FALSE)=LEFT(B970,2),"Yes","Error"),"No")</f>
        <v>No</v>
      </c>
      <c r="AE970" s="1"/>
      <c r="AF970" s="1"/>
    </row>
    <row r="971" spans="1:32" hidden="1" x14ac:dyDescent="0.25">
      <c r="A971" t="s">
        <v>1658</v>
      </c>
      <c r="B971" t="s">
        <v>456</v>
      </c>
      <c r="C971" t="s">
        <v>457</v>
      </c>
      <c r="D971" t="s">
        <v>30</v>
      </c>
      <c r="E971" t="s">
        <v>940</v>
      </c>
      <c r="F971">
        <v>4500408578</v>
      </c>
      <c r="G971" t="s">
        <v>12</v>
      </c>
      <c r="H971" t="s">
        <v>1429</v>
      </c>
      <c r="I971" t="s">
        <v>940</v>
      </c>
      <c r="J971" s="1">
        <v>54921.24</v>
      </c>
      <c r="K971" s="1">
        <v>54921.24</v>
      </c>
      <c r="L971" t="str">
        <f>IFERROR(IF(VLOOKUP(LEFT(B971,2),'Humanitarian codes'!$A$2:$A$10,1,FALSE)=LEFT(B971,2),"Yes","Error"),"No")</f>
        <v>No</v>
      </c>
      <c r="AE971" s="1"/>
      <c r="AF971" s="1"/>
    </row>
    <row r="972" spans="1:32" hidden="1" x14ac:dyDescent="0.25">
      <c r="A972" t="s">
        <v>1658</v>
      </c>
      <c r="B972" t="s">
        <v>456</v>
      </c>
      <c r="C972" t="s">
        <v>457</v>
      </c>
      <c r="D972" t="s">
        <v>30</v>
      </c>
      <c r="E972" t="s">
        <v>940</v>
      </c>
      <c r="F972">
        <v>4500408581</v>
      </c>
      <c r="G972" t="s">
        <v>12</v>
      </c>
      <c r="H972" t="s">
        <v>1430</v>
      </c>
      <c r="I972" t="s">
        <v>940</v>
      </c>
      <c r="J972" s="1">
        <v>63793.1</v>
      </c>
      <c r="K972" s="1">
        <v>63793.1</v>
      </c>
      <c r="L972" t="str">
        <f>IFERROR(IF(VLOOKUP(LEFT(B972,2),'Humanitarian codes'!$A$2:$A$10,1,FALSE)=LEFT(B972,2),"Yes","Error"),"No")</f>
        <v>No</v>
      </c>
      <c r="AE972" s="1"/>
      <c r="AF972" s="1"/>
    </row>
    <row r="973" spans="1:32" hidden="1" x14ac:dyDescent="0.25">
      <c r="A973" t="s">
        <v>1658</v>
      </c>
      <c r="B973" t="s">
        <v>1431</v>
      </c>
      <c r="C973" t="s">
        <v>1432</v>
      </c>
      <c r="D973" t="s">
        <v>30</v>
      </c>
      <c r="E973" t="s">
        <v>261</v>
      </c>
      <c r="F973">
        <v>4500412429</v>
      </c>
      <c r="G973" t="s">
        <v>12</v>
      </c>
      <c r="H973" t="s">
        <v>1433</v>
      </c>
      <c r="I973" t="s">
        <v>261</v>
      </c>
      <c r="J973" s="1">
        <v>487754.04</v>
      </c>
      <c r="K973" s="1">
        <v>487754.04</v>
      </c>
      <c r="L973" t="str">
        <f>IFERROR(IF(VLOOKUP(LEFT(B973,2),'Humanitarian codes'!$A$2:$A$10,1,FALSE)=LEFT(B973,2),"Yes","Error"),"No")</f>
        <v>No</v>
      </c>
      <c r="AE973" s="1"/>
      <c r="AF973" s="1"/>
    </row>
    <row r="974" spans="1:32" hidden="1" x14ac:dyDescent="0.25">
      <c r="A974" t="s">
        <v>1658</v>
      </c>
      <c r="B974" t="s">
        <v>1434</v>
      </c>
      <c r="C974" t="s">
        <v>1435</v>
      </c>
      <c r="D974" t="s">
        <v>543</v>
      </c>
      <c r="E974" t="s">
        <v>1436</v>
      </c>
      <c r="F974">
        <v>4500428499</v>
      </c>
      <c r="G974" t="s">
        <v>12</v>
      </c>
      <c r="H974" t="s">
        <v>1437</v>
      </c>
      <c r="I974" t="s">
        <v>1436</v>
      </c>
      <c r="J974" s="1">
        <v>14910615.1</v>
      </c>
      <c r="K974" s="1">
        <v>14910615.1</v>
      </c>
      <c r="L974" t="str">
        <f>IFERROR(IF(VLOOKUP(LEFT(B974,2),'Humanitarian codes'!$A$2:$A$10,1,FALSE)=LEFT(B974,2),"Yes","Error"),"No")</f>
        <v>No</v>
      </c>
      <c r="AE974" s="1"/>
      <c r="AF974" s="1"/>
    </row>
    <row r="975" spans="1:32" hidden="1" x14ac:dyDescent="0.25">
      <c r="A975" t="s">
        <v>1658</v>
      </c>
      <c r="B975" t="s">
        <v>1438</v>
      </c>
      <c r="C975" t="s">
        <v>1439</v>
      </c>
      <c r="D975" t="s">
        <v>543</v>
      </c>
      <c r="E975" t="s">
        <v>150</v>
      </c>
      <c r="F975">
        <v>4500409746</v>
      </c>
      <c r="G975" t="s">
        <v>12</v>
      </c>
      <c r="H975" t="s">
        <v>1440</v>
      </c>
      <c r="I975" t="s">
        <v>150</v>
      </c>
      <c r="J975" s="1">
        <v>82637.64</v>
      </c>
      <c r="K975" s="1">
        <v>82637.64</v>
      </c>
      <c r="L975" t="str">
        <f>IFERROR(IF(VLOOKUP(LEFT(B975,2),'Humanitarian codes'!$A$2:$A$10,1,FALSE)=LEFT(B975,2),"Yes","Error"),"No")</f>
        <v>No</v>
      </c>
      <c r="AE975" s="1"/>
      <c r="AF975" s="1"/>
    </row>
    <row r="976" spans="1:32" hidden="1" x14ac:dyDescent="0.25">
      <c r="A976" t="s">
        <v>1658</v>
      </c>
      <c r="B976" t="s">
        <v>1441</v>
      </c>
      <c r="C976" t="s">
        <v>1442</v>
      </c>
      <c r="D976" t="s">
        <v>543</v>
      </c>
      <c r="E976" t="s">
        <v>40</v>
      </c>
      <c r="F976">
        <v>4500408169</v>
      </c>
      <c r="G976" t="s">
        <v>12</v>
      </c>
      <c r="H976" t="s">
        <v>1444</v>
      </c>
      <c r="I976" t="s">
        <v>40</v>
      </c>
      <c r="J976" s="1">
        <v>110000</v>
      </c>
      <c r="K976" s="1">
        <v>110000</v>
      </c>
      <c r="L976" t="str">
        <f>IFERROR(IF(VLOOKUP(LEFT(B976,2),'Humanitarian codes'!$A$2:$A$10,1,FALSE)=LEFT(B976,2),"Yes","Error"),"No")</f>
        <v>No</v>
      </c>
      <c r="AE976" s="1"/>
      <c r="AF976" s="1"/>
    </row>
    <row r="977" spans="1:32" hidden="1" x14ac:dyDescent="0.25">
      <c r="A977" t="s">
        <v>1658</v>
      </c>
      <c r="B977" t="s">
        <v>1447</v>
      </c>
      <c r="C977" t="s">
        <v>1448</v>
      </c>
      <c r="D977" t="s">
        <v>543</v>
      </c>
      <c r="E977" t="s">
        <v>523</v>
      </c>
      <c r="F977">
        <v>4500427847</v>
      </c>
      <c r="G977" t="s">
        <v>12</v>
      </c>
      <c r="H977" t="s">
        <v>1449</v>
      </c>
      <c r="I977" t="s">
        <v>523</v>
      </c>
      <c r="J977" s="1">
        <v>1170.73</v>
      </c>
      <c r="K977" s="1">
        <v>1170.73</v>
      </c>
      <c r="L977" t="str">
        <f>IFERROR(IF(VLOOKUP(LEFT(B977,2),'Humanitarian codes'!$A$2:$A$10,1,FALSE)=LEFT(B977,2),"Yes","Error"),"No")</f>
        <v>No</v>
      </c>
      <c r="AE977" s="1"/>
      <c r="AF977" s="1"/>
    </row>
    <row r="978" spans="1:32" hidden="1" x14ac:dyDescent="0.25">
      <c r="A978" t="s">
        <v>1658</v>
      </c>
      <c r="B978" t="s">
        <v>1447</v>
      </c>
      <c r="C978" t="s">
        <v>1448</v>
      </c>
      <c r="D978" t="s">
        <v>543</v>
      </c>
      <c r="E978" t="s">
        <v>523</v>
      </c>
      <c r="F978">
        <v>4500427848</v>
      </c>
      <c r="G978" t="s">
        <v>12</v>
      </c>
      <c r="H978" t="s">
        <v>1450</v>
      </c>
      <c r="I978" t="s">
        <v>523</v>
      </c>
      <c r="J978" s="1">
        <v>1131.45</v>
      </c>
      <c r="K978" s="1">
        <v>1131.45</v>
      </c>
      <c r="L978" t="str">
        <f>IFERROR(IF(VLOOKUP(LEFT(B978,2),'Humanitarian codes'!$A$2:$A$10,1,FALSE)=LEFT(B978,2),"Yes","Error"),"No")</f>
        <v>No</v>
      </c>
      <c r="AE978" s="1"/>
      <c r="AF978" s="1"/>
    </row>
    <row r="979" spans="1:32" hidden="1" x14ac:dyDescent="0.25">
      <c r="A979" t="s">
        <v>1658</v>
      </c>
      <c r="B979" t="s">
        <v>1456</v>
      </c>
      <c r="C979" t="s">
        <v>1457</v>
      </c>
      <c r="D979" t="s">
        <v>543</v>
      </c>
      <c r="E979" t="s">
        <v>449</v>
      </c>
      <c r="F979">
        <v>4500428229</v>
      </c>
      <c r="G979" t="s">
        <v>12</v>
      </c>
      <c r="H979" t="s">
        <v>1458</v>
      </c>
      <c r="I979" t="s">
        <v>449</v>
      </c>
      <c r="J979" s="1">
        <v>40000</v>
      </c>
      <c r="K979" s="1">
        <v>40000</v>
      </c>
      <c r="L979" t="str">
        <f>IFERROR(IF(VLOOKUP(LEFT(B979,2),'Humanitarian codes'!$A$2:$A$10,1,FALSE)=LEFT(B979,2),"Yes","Error"),"No")</f>
        <v>No</v>
      </c>
      <c r="AE979" s="1"/>
      <c r="AF979" s="1"/>
    </row>
    <row r="980" spans="1:32" hidden="1" x14ac:dyDescent="0.25">
      <c r="A980" t="s">
        <v>1658</v>
      </c>
      <c r="B980" t="s">
        <v>1459</v>
      </c>
      <c r="C980" t="s">
        <v>1460</v>
      </c>
      <c r="D980" t="s">
        <v>466</v>
      </c>
      <c r="E980" t="s">
        <v>1278</v>
      </c>
      <c r="F980">
        <v>4500390192</v>
      </c>
      <c r="G980" t="s">
        <v>12</v>
      </c>
      <c r="H980" t="s">
        <v>1461</v>
      </c>
      <c r="I980" t="s">
        <v>1278</v>
      </c>
      <c r="J980" s="1">
        <v>9462.99</v>
      </c>
      <c r="K980" s="1">
        <v>9462.99</v>
      </c>
      <c r="L980" t="str">
        <f>IFERROR(IF(VLOOKUP(LEFT(B980,2),'Humanitarian codes'!$A$2:$A$10,1,FALSE)=LEFT(B980,2),"Yes","Error"),"No")</f>
        <v>No</v>
      </c>
      <c r="AE980" s="1"/>
      <c r="AF980" s="1"/>
    </row>
    <row r="981" spans="1:32" hidden="1" x14ac:dyDescent="0.25">
      <c r="A981" t="s">
        <v>1658</v>
      </c>
      <c r="B981" t="s">
        <v>1459</v>
      </c>
      <c r="C981" t="s">
        <v>1460</v>
      </c>
      <c r="D981" t="s">
        <v>466</v>
      </c>
      <c r="E981" t="s">
        <v>1278</v>
      </c>
      <c r="F981">
        <v>4500410777</v>
      </c>
      <c r="G981" t="s">
        <v>12</v>
      </c>
      <c r="H981" t="s">
        <v>1462</v>
      </c>
      <c r="I981" t="s">
        <v>1278</v>
      </c>
      <c r="J981" s="1">
        <v>55732.9</v>
      </c>
      <c r="K981" s="1">
        <v>55732.9</v>
      </c>
      <c r="L981" t="str">
        <f>IFERROR(IF(VLOOKUP(LEFT(B981,2),'Humanitarian codes'!$A$2:$A$10,1,FALSE)=LEFT(B981,2),"Yes","Error"),"No")</f>
        <v>No</v>
      </c>
      <c r="AE981" s="1"/>
      <c r="AF981" s="1"/>
    </row>
    <row r="982" spans="1:32" hidden="1" x14ac:dyDescent="0.25">
      <c r="A982" t="s">
        <v>1658</v>
      </c>
      <c r="B982" t="s">
        <v>1463</v>
      </c>
      <c r="C982" t="s">
        <v>1464</v>
      </c>
      <c r="D982" t="s">
        <v>466</v>
      </c>
      <c r="E982" t="s">
        <v>504</v>
      </c>
      <c r="F982">
        <v>4500423647</v>
      </c>
      <c r="G982" t="s">
        <v>12</v>
      </c>
      <c r="H982" t="s">
        <v>1465</v>
      </c>
      <c r="I982" t="s">
        <v>504</v>
      </c>
      <c r="J982" s="1">
        <v>15153.75</v>
      </c>
      <c r="K982" s="1">
        <v>15153.75</v>
      </c>
      <c r="L982" t="str">
        <f>IFERROR(IF(VLOOKUP(LEFT(B982,2),'Humanitarian codes'!$A$2:$A$10,1,FALSE)=LEFT(B982,2),"Yes","Error"),"No")</f>
        <v>No</v>
      </c>
      <c r="AE982" s="1"/>
      <c r="AF982" s="1"/>
    </row>
    <row r="983" spans="1:32" hidden="1" x14ac:dyDescent="0.25">
      <c r="A983" t="s">
        <v>1658</v>
      </c>
      <c r="B983" t="s">
        <v>1466</v>
      </c>
      <c r="C983" t="s">
        <v>1467</v>
      </c>
      <c r="D983" t="s">
        <v>466</v>
      </c>
      <c r="E983" t="s">
        <v>649</v>
      </c>
      <c r="F983">
        <v>4500429177</v>
      </c>
      <c r="G983" t="s">
        <v>12</v>
      </c>
      <c r="H983" t="s">
        <v>1468</v>
      </c>
      <c r="I983" t="s">
        <v>649</v>
      </c>
      <c r="J983" s="1">
        <v>7317.33</v>
      </c>
      <c r="K983" s="1">
        <v>7317.33</v>
      </c>
      <c r="L983" t="str">
        <f>IFERROR(IF(VLOOKUP(LEFT(B983,2),'Humanitarian codes'!$A$2:$A$10,1,FALSE)=LEFT(B983,2),"Yes","Error"),"No")</f>
        <v>No</v>
      </c>
      <c r="AE983" s="1"/>
      <c r="AF983" s="1"/>
    </row>
    <row r="984" spans="1:32" hidden="1" x14ac:dyDescent="0.25">
      <c r="A984" t="s">
        <v>1658</v>
      </c>
      <c r="B984" t="s">
        <v>1469</v>
      </c>
      <c r="C984" t="s">
        <v>473</v>
      </c>
      <c r="D984" t="s">
        <v>466</v>
      </c>
      <c r="E984" t="s">
        <v>150</v>
      </c>
      <c r="F984">
        <v>4500428778</v>
      </c>
      <c r="G984" t="s">
        <v>12</v>
      </c>
      <c r="H984" t="s">
        <v>1470</v>
      </c>
      <c r="I984" t="s">
        <v>150</v>
      </c>
      <c r="J984" s="1">
        <v>80877.929999999993</v>
      </c>
      <c r="K984" s="1">
        <v>80877.929999999993</v>
      </c>
      <c r="L984" t="str">
        <f>IFERROR(IF(VLOOKUP(LEFT(B984,2),'Humanitarian codes'!$A$2:$A$10,1,FALSE)=LEFT(B984,2),"Yes","Error"),"No")</f>
        <v>No</v>
      </c>
      <c r="AE984" s="1"/>
      <c r="AF984" s="1"/>
    </row>
    <row r="985" spans="1:32" hidden="1" x14ac:dyDescent="0.25">
      <c r="A985" t="s">
        <v>1658</v>
      </c>
      <c r="B985" t="s">
        <v>1471</v>
      </c>
      <c r="C985" t="s">
        <v>1472</v>
      </c>
      <c r="D985" t="s">
        <v>466</v>
      </c>
      <c r="E985" t="s">
        <v>1016</v>
      </c>
      <c r="F985">
        <v>4500418490</v>
      </c>
      <c r="G985" t="s">
        <v>12</v>
      </c>
      <c r="H985" t="s">
        <v>1473</v>
      </c>
      <c r="I985" t="s">
        <v>1016</v>
      </c>
      <c r="J985" s="1">
        <v>2711.22</v>
      </c>
      <c r="K985" s="1">
        <v>2711.22</v>
      </c>
      <c r="L985" t="str">
        <f>IFERROR(IF(VLOOKUP(LEFT(B985,2),'Humanitarian codes'!$A$2:$A$10,1,FALSE)=LEFT(B985,2),"Yes","Error"),"No")</f>
        <v>No</v>
      </c>
      <c r="AE985" s="1"/>
      <c r="AF985" s="1"/>
    </row>
    <row r="986" spans="1:32" hidden="1" x14ac:dyDescent="0.25">
      <c r="A986" t="s">
        <v>1658</v>
      </c>
      <c r="B986" t="s">
        <v>1471</v>
      </c>
      <c r="C986" t="s">
        <v>1472</v>
      </c>
      <c r="D986" t="s">
        <v>466</v>
      </c>
      <c r="E986" t="s">
        <v>1016</v>
      </c>
      <c r="F986">
        <v>4500418592</v>
      </c>
      <c r="G986" t="s">
        <v>12</v>
      </c>
      <c r="H986" t="s">
        <v>482</v>
      </c>
      <c r="I986" t="s">
        <v>1016</v>
      </c>
      <c r="J986" s="1">
        <v>11225.55</v>
      </c>
      <c r="K986" s="1">
        <v>11225.55</v>
      </c>
      <c r="L986" t="str">
        <f>IFERROR(IF(VLOOKUP(LEFT(B986,2),'Humanitarian codes'!$A$2:$A$10,1,FALSE)=LEFT(B986,2),"Yes","Error"),"No")</f>
        <v>No</v>
      </c>
      <c r="AE986" s="1"/>
      <c r="AF986" s="1"/>
    </row>
    <row r="987" spans="1:32" hidden="1" x14ac:dyDescent="0.25">
      <c r="A987" t="s">
        <v>1658</v>
      </c>
      <c r="B987" t="s">
        <v>1474</v>
      </c>
      <c r="C987" t="s">
        <v>1475</v>
      </c>
      <c r="D987" t="s">
        <v>466</v>
      </c>
      <c r="E987" t="s">
        <v>1278</v>
      </c>
      <c r="F987">
        <v>4500407654</v>
      </c>
      <c r="G987" t="s">
        <v>12</v>
      </c>
      <c r="H987" t="s">
        <v>1476</v>
      </c>
      <c r="I987" t="s">
        <v>1278</v>
      </c>
      <c r="J987" s="1">
        <v>32158.61</v>
      </c>
      <c r="K987" s="1">
        <v>32158.61</v>
      </c>
      <c r="L987" t="str">
        <f>IFERROR(IF(VLOOKUP(LEFT(B987,2),'Humanitarian codes'!$A$2:$A$10,1,FALSE)=LEFT(B987,2),"Yes","Error"),"No")</f>
        <v>No</v>
      </c>
      <c r="AE987" s="1"/>
      <c r="AF987" s="1"/>
    </row>
    <row r="988" spans="1:32" hidden="1" x14ac:dyDescent="0.25">
      <c r="A988" t="s">
        <v>1658</v>
      </c>
      <c r="B988" t="s">
        <v>1474</v>
      </c>
      <c r="C988" t="s">
        <v>1475</v>
      </c>
      <c r="D988" t="s">
        <v>466</v>
      </c>
      <c r="E988" t="s">
        <v>1278</v>
      </c>
      <c r="F988">
        <v>4500410426</v>
      </c>
      <c r="G988" t="s">
        <v>12</v>
      </c>
      <c r="H988" t="s">
        <v>1477</v>
      </c>
      <c r="I988" t="s">
        <v>1278</v>
      </c>
      <c r="J988" s="1">
        <v>28446.97</v>
      </c>
      <c r="K988" s="1">
        <v>28446.97</v>
      </c>
      <c r="L988" t="str">
        <f>IFERROR(IF(VLOOKUP(LEFT(B988,2),'Humanitarian codes'!$A$2:$A$10,1,FALSE)=LEFT(B988,2),"Yes","Error"),"No")</f>
        <v>No</v>
      </c>
      <c r="AE988" s="1"/>
      <c r="AF988" s="1"/>
    </row>
    <row r="989" spans="1:32" hidden="1" x14ac:dyDescent="0.25">
      <c r="A989" t="s">
        <v>1658</v>
      </c>
      <c r="B989" t="s">
        <v>469</v>
      </c>
      <c r="C989" t="s">
        <v>470</v>
      </c>
      <c r="D989" t="s">
        <v>466</v>
      </c>
      <c r="E989" t="s">
        <v>289</v>
      </c>
      <c r="F989">
        <v>4500426585</v>
      </c>
      <c r="G989" t="s">
        <v>12</v>
      </c>
      <c r="H989" t="s">
        <v>291</v>
      </c>
      <c r="I989" t="s">
        <v>289</v>
      </c>
      <c r="J989" s="1">
        <v>39823.01</v>
      </c>
      <c r="K989" s="1">
        <v>39823.01</v>
      </c>
      <c r="L989" t="str">
        <f>IFERROR(IF(VLOOKUP(LEFT(B989,2),'Humanitarian codes'!$A$2:$A$10,1,FALSE)=LEFT(B989,2),"Yes","Error"),"No")</f>
        <v>No</v>
      </c>
      <c r="AE989" s="1"/>
      <c r="AF989" s="1"/>
    </row>
    <row r="990" spans="1:32" hidden="1" x14ac:dyDescent="0.25">
      <c r="A990" t="s">
        <v>1658</v>
      </c>
      <c r="B990" t="s">
        <v>956</v>
      </c>
      <c r="C990" t="s">
        <v>957</v>
      </c>
      <c r="D990" t="s">
        <v>466</v>
      </c>
      <c r="E990" t="s">
        <v>958</v>
      </c>
      <c r="F990">
        <v>4500419627</v>
      </c>
      <c r="G990" t="s">
        <v>12</v>
      </c>
      <c r="H990" t="s">
        <v>1479</v>
      </c>
      <c r="I990" t="s">
        <v>958</v>
      </c>
      <c r="J990" s="1">
        <v>104142.46</v>
      </c>
      <c r="K990" s="1">
        <v>104142.46</v>
      </c>
      <c r="L990" t="str">
        <f>IFERROR(IF(VLOOKUP(LEFT(B990,2),'Humanitarian codes'!$A$2:$A$10,1,FALSE)=LEFT(B990,2),"Yes","Error"),"No")</f>
        <v>No</v>
      </c>
      <c r="AE990" s="1"/>
      <c r="AF990" s="1"/>
    </row>
    <row r="991" spans="1:32" hidden="1" x14ac:dyDescent="0.25">
      <c r="A991" t="s">
        <v>1658</v>
      </c>
      <c r="B991" t="s">
        <v>956</v>
      </c>
      <c r="C991" t="s">
        <v>957</v>
      </c>
      <c r="D991" t="s">
        <v>466</v>
      </c>
      <c r="E991" t="s">
        <v>958</v>
      </c>
      <c r="F991">
        <v>4500425681</v>
      </c>
      <c r="G991" t="s">
        <v>12</v>
      </c>
      <c r="H991" t="s">
        <v>1480</v>
      </c>
      <c r="I991" t="s">
        <v>402</v>
      </c>
      <c r="J991" s="1">
        <v>152654.85999999999</v>
      </c>
      <c r="K991" s="1">
        <v>152654.85999999999</v>
      </c>
      <c r="L991" t="str">
        <f>IFERROR(IF(VLOOKUP(LEFT(B991,2),'Humanitarian codes'!$A$2:$A$10,1,FALSE)=LEFT(B991,2),"Yes","Error"),"No")</f>
        <v>No</v>
      </c>
      <c r="AE991" s="1"/>
      <c r="AF991" s="1"/>
    </row>
    <row r="992" spans="1:32" hidden="1" x14ac:dyDescent="0.25">
      <c r="A992" t="s">
        <v>1658</v>
      </c>
      <c r="B992" t="s">
        <v>1486</v>
      </c>
      <c r="C992" t="s">
        <v>1487</v>
      </c>
      <c r="D992" t="s">
        <v>466</v>
      </c>
      <c r="E992" t="s">
        <v>253</v>
      </c>
      <c r="F992">
        <v>4500429407</v>
      </c>
      <c r="G992" t="s">
        <v>12</v>
      </c>
      <c r="H992" t="s">
        <v>1488</v>
      </c>
      <c r="I992" t="s">
        <v>253</v>
      </c>
      <c r="J992" s="1">
        <v>126672</v>
      </c>
      <c r="K992" s="1">
        <v>126672</v>
      </c>
      <c r="L992" t="str">
        <f>IFERROR(IF(VLOOKUP(LEFT(B992,2),'Humanitarian codes'!$A$2:$A$10,1,FALSE)=LEFT(B992,2),"Yes","Error"),"No")</f>
        <v>No</v>
      </c>
      <c r="AE992" s="1"/>
      <c r="AF992" s="1"/>
    </row>
    <row r="993" spans="1:32" hidden="1" x14ac:dyDescent="0.25">
      <c r="A993" t="s">
        <v>1658</v>
      </c>
      <c r="B993" t="s">
        <v>511</v>
      </c>
      <c r="C993" t="s">
        <v>513</v>
      </c>
      <c r="D993" t="s">
        <v>512</v>
      </c>
      <c r="E993" t="s">
        <v>167</v>
      </c>
      <c r="F993">
        <v>4500405992</v>
      </c>
      <c r="G993" t="s">
        <v>12</v>
      </c>
      <c r="H993" t="s">
        <v>516</v>
      </c>
      <c r="I993" t="s">
        <v>167</v>
      </c>
      <c r="J993" s="1">
        <v>347738.21</v>
      </c>
      <c r="K993" s="1">
        <v>347738.21</v>
      </c>
      <c r="L993" t="str">
        <f>IFERROR(IF(VLOOKUP(LEFT(B993,2),'Humanitarian codes'!$A$2:$A$10,1,FALSE)=LEFT(B993,2),"Yes","Error"),"No")</f>
        <v>No</v>
      </c>
      <c r="AE993" s="1"/>
      <c r="AF993" s="1"/>
    </row>
    <row r="994" spans="1:32" hidden="1" x14ac:dyDescent="0.25">
      <c r="A994" t="s">
        <v>1658</v>
      </c>
      <c r="B994" t="s">
        <v>524</v>
      </c>
      <c r="C994" t="s">
        <v>525</v>
      </c>
      <c r="D994" t="s">
        <v>512</v>
      </c>
      <c r="E994" t="s">
        <v>25</v>
      </c>
      <c r="F994">
        <v>4500421352</v>
      </c>
      <c r="G994" t="s">
        <v>12</v>
      </c>
      <c r="H994" t="s">
        <v>1493</v>
      </c>
      <c r="I994" t="s">
        <v>1494</v>
      </c>
      <c r="J994" s="1">
        <v>57754.01</v>
      </c>
      <c r="K994" s="1">
        <v>57754.01</v>
      </c>
      <c r="L994" t="str">
        <f>IFERROR(IF(VLOOKUP(LEFT(B994,2),'Humanitarian codes'!$A$2:$A$10,1,FALSE)=LEFT(B994,2),"Yes","Error"),"No")</f>
        <v>No</v>
      </c>
      <c r="AE994" s="1"/>
      <c r="AF994" s="1"/>
    </row>
    <row r="995" spans="1:32" hidden="1" x14ac:dyDescent="0.25">
      <c r="A995" t="s">
        <v>1658</v>
      </c>
      <c r="B995" t="s">
        <v>988</v>
      </c>
      <c r="C995" t="s">
        <v>989</v>
      </c>
      <c r="D995" t="s">
        <v>512</v>
      </c>
      <c r="E995" t="s">
        <v>992</v>
      </c>
      <c r="F995">
        <v>4500407517</v>
      </c>
      <c r="G995" t="s">
        <v>12</v>
      </c>
      <c r="H995" t="s">
        <v>993</v>
      </c>
      <c r="I995" t="s">
        <v>992</v>
      </c>
      <c r="J995" s="1">
        <v>41488.39</v>
      </c>
      <c r="K995" s="1">
        <v>41488.39</v>
      </c>
      <c r="L995" t="str">
        <f>IFERROR(IF(VLOOKUP(LEFT(B995,2),'Humanitarian codes'!$A$2:$A$10,1,FALSE)=LEFT(B995,2),"Yes","Error"),"No")</f>
        <v>No</v>
      </c>
      <c r="AE995" s="1"/>
      <c r="AF995" s="1"/>
    </row>
    <row r="996" spans="1:32" hidden="1" x14ac:dyDescent="0.25">
      <c r="A996" t="s">
        <v>1658</v>
      </c>
      <c r="B996" t="s">
        <v>988</v>
      </c>
      <c r="C996" t="s">
        <v>989</v>
      </c>
      <c r="D996" t="s">
        <v>512</v>
      </c>
      <c r="E996" t="s">
        <v>992</v>
      </c>
      <c r="F996">
        <v>4500422936</v>
      </c>
      <c r="G996" t="s">
        <v>12</v>
      </c>
      <c r="H996" t="s">
        <v>993</v>
      </c>
      <c r="I996" t="s">
        <v>992</v>
      </c>
      <c r="J996" s="1">
        <v>10000</v>
      </c>
      <c r="K996" s="1">
        <v>10000</v>
      </c>
      <c r="L996" t="str">
        <f>IFERROR(IF(VLOOKUP(LEFT(B996,2),'Humanitarian codes'!$A$2:$A$10,1,FALSE)=LEFT(B996,2),"Yes","Error"),"No")</f>
        <v>No</v>
      </c>
      <c r="AE996" s="1"/>
      <c r="AF996" s="1"/>
    </row>
    <row r="997" spans="1:32" hidden="1" x14ac:dyDescent="0.25">
      <c r="A997" t="s">
        <v>1658</v>
      </c>
      <c r="B997" t="s">
        <v>988</v>
      </c>
      <c r="C997" t="s">
        <v>989</v>
      </c>
      <c r="D997" t="s">
        <v>512</v>
      </c>
      <c r="E997" t="s">
        <v>992</v>
      </c>
      <c r="F997">
        <v>4500427959</v>
      </c>
      <c r="G997" t="s">
        <v>12</v>
      </c>
      <c r="H997" t="s">
        <v>993</v>
      </c>
      <c r="I997" t="s">
        <v>992</v>
      </c>
      <c r="J997" s="1">
        <v>5000</v>
      </c>
      <c r="K997" s="1">
        <v>5000</v>
      </c>
      <c r="L997" t="str">
        <f>IFERROR(IF(VLOOKUP(LEFT(B997,2),'Humanitarian codes'!$A$2:$A$10,1,FALSE)=LEFT(B997,2),"Yes","Error"),"No")</f>
        <v>No</v>
      </c>
      <c r="AE997" s="1"/>
      <c r="AF997" s="1"/>
    </row>
    <row r="998" spans="1:32" hidden="1" x14ac:dyDescent="0.25">
      <c r="A998" t="s">
        <v>1658</v>
      </c>
      <c r="B998" t="s">
        <v>988</v>
      </c>
      <c r="C998" t="s">
        <v>989</v>
      </c>
      <c r="D998" t="s">
        <v>512</v>
      </c>
      <c r="E998" t="s">
        <v>83</v>
      </c>
      <c r="F998">
        <v>4500414700</v>
      </c>
      <c r="G998" t="s">
        <v>12</v>
      </c>
      <c r="H998" t="s">
        <v>1495</v>
      </c>
      <c r="I998" t="s">
        <v>83</v>
      </c>
      <c r="J998" s="1">
        <v>85470.87</v>
      </c>
      <c r="K998" s="1">
        <v>85470.87</v>
      </c>
      <c r="L998" t="str">
        <f>IFERROR(IF(VLOOKUP(LEFT(B998,2),'Humanitarian codes'!$A$2:$A$10,1,FALSE)=LEFT(B998,2),"Yes","Error"),"No")</f>
        <v>No</v>
      </c>
      <c r="AE998" s="1"/>
      <c r="AF998" s="1"/>
    </row>
    <row r="999" spans="1:32" hidden="1" x14ac:dyDescent="0.25">
      <c r="A999" t="s">
        <v>1658</v>
      </c>
      <c r="B999" t="s">
        <v>988</v>
      </c>
      <c r="C999" t="s">
        <v>989</v>
      </c>
      <c r="D999" t="s">
        <v>512</v>
      </c>
      <c r="E999" t="s">
        <v>83</v>
      </c>
      <c r="F999">
        <v>4500429616</v>
      </c>
      <c r="G999" t="s">
        <v>12</v>
      </c>
      <c r="H999" t="s">
        <v>1496</v>
      </c>
      <c r="I999" t="s">
        <v>83</v>
      </c>
      <c r="J999" s="1">
        <v>54361.3</v>
      </c>
      <c r="K999" s="1">
        <v>54361.3</v>
      </c>
      <c r="L999" t="str">
        <f>IFERROR(IF(VLOOKUP(LEFT(B999,2),'Humanitarian codes'!$A$2:$A$10,1,FALSE)=LEFT(B999,2),"Yes","Error"),"No")</f>
        <v>No</v>
      </c>
      <c r="AE999" s="1"/>
      <c r="AF999" s="1"/>
    </row>
    <row r="1000" spans="1:32" hidden="1" x14ac:dyDescent="0.25">
      <c r="A1000" t="s">
        <v>1658</v>
      </c>
      <c r="B1000" t="s">
        <v>988</v>
      </c>
      <c r="C1000" t="s">
        <v>989</v>
      </c>
      <c r="D1000" t="s">
        <v>512</v>
      </c>
      <c r="E1000" t="s">
        <v>1422</v>
      </c>
      <c r="F1000">
        <v>4500428607</v>
      </c>
      <c r="G1000" t="s">
        <v>12</v>
      </c>
      <c r="H1000" t="s">
        <v>1497</v>
      </c>
      <c r="I1000" t="s">
        <v>581</v>
      </c>
      <c r="J1000" s="1">
        <v>4144891.79</v>
      </c>
      <c r="K1000" s="1">
        <v>4144891.79</v>
      </c>
      <c r="L1000" t="str">
        <f>IFERROR(IF(VLOOKUP(LEFT(B1000,2),'Humanitarian codes'!$A$2:$A$10,1,FALSE)=LEFT(B1000,2),"Yes","Error"),"No")</f>
        <v>No</v>
      </c>
      <c r="AE1000" s="1"/>
      <c r="AF1000" s="1"/>
    </row>
    <row r="1001" spans="1:32" hidden="1" x14ac:dyDescent="0.25">
      <c r="A1001" t="s">
        <v>1658</v>
      </c>
      <c r="B1001" t="s">
        <v>1498</v>
      </c>
      <c r="C1001" t="s">
        <v>1499</v>
      </c>
      <c r="D1001" t="s">
        <v>512</v>
      </c>
      <c r="E1001" t="s">
        <v>594</v>
      </c>
      <c r="F1001">
        <v>4500419211</v>
      </c>
      <c r="G1001" t="s">
        <v>12</v>
      </c>
      <c r="H1001" t="s">
        <v>1500</v>
      </c>
      <c r="I1001" t="s">
        <v>594</v>
      </c>
      <c r="J1001" s="1">
        <v>73165.820000000007</v>
      </c>
      <c r="K1001" s="1">
        <v>73165.820000000007</v>
      </c>
      <c r="L1001" t="str">
        <f>IFERROR(IF(VLOOKUP(LEFT(B1001,2),'Humanitarian codes'!$A$2:$A$10,1,FALSE)=LEFT(B1001,2),"Yes","Error"),"No")</f>
        <v>No</v>
      </c>
      <c r="AE1001" s="1"/>
      <c r="AF1001" s="1"/>
    </row>
    <row r="1002" spans="1:32" hidden="1" x14ac:dyDescent="0.25">
      <c r="A1002" t="s">
        <v>1658</v>
      </c>
      <c r="B1002" t="s">
        <v>1498</v>
      </c>
      <c r="C1002" t="s">
        <v>1499</v>
      </c>
      <c r="D1002" t="s">
        <v>512</v>
      </c>
      <c r="E1002" t="s">
        <v>594</v>
      </c>
      <c r="F1002">
        <v>4500419213</v>
      </c>
      <c r="G1002" t="s">
        <v>12</v>
      </c>
      <c r="H1002" t="s">
        <v>1501</v>
      </c>
      <c r="I1002" t="s">
        <v>594</v>
      </c>
      <c r="J1002" s="1">
        <v>137967.07999999999</v>
      </c>
      <c r="K1002" s="1">
        <v>137967.07999999999</v>
      </c>
      <c r="L1002" t="str">
        <f>IFERROR(IF(VLOOKUP(LEFT(B1002,2),'Humanitarian codes'!$A$2:$A$10,1,FALSE)=LEFT(B1002,2),"Yes","Error"),"No")</f>
        <v>No</v>
      </c>
      <c r="AE1002" s="1"/>
      <c r="AF1002" s="1"/>
    </row>
    <row r="1003" spans="1:32" hidden="1" x14ac:dyDescent="0.25">
      <c r="A1003" t="s">
        <v>1658</v>
      </c>
      <c r="B1003" t="s">
        <v>1502</v>
      </c>
      <c r="C1003" t="s">
        <v>1503</v>
      </c>
      <c r="D1003" t="s">
        <v>512</v>
      </c>
      <c r="E1003" t="s">
        <v>534</v>
      </c>
      <c r="F1003">
        <v>4500418293</v>
      </c>
      <c r="G1003" t="s">
        <v>12</v>
      </c>
      <c r="H1003" t="s">
        <v>845</v>
      </c>
      <c r="I1003" t="s">
        <v>534</v>
      </c>
      <c r="J1003" s="1">
        <v>3994.03</v>
      </c>
      <c r="K1003" s="1">
        <v>26626.880000000001</v>
      </c>
      <c r="L1003" t="str">
        <f>IFERROR(IF(VLOOKUP(LEFT(B1003,2),'Humanitarian codes'!$A$2:$A$10,1,FALSE)=LEFT(B1003,2),"Yes","Error"),"No")</f>
        <v>No</v>
      </c>
      <c r="AE1003" s="1"/>
      <c r="AF1003" s="1"/>
    </row>
    <row r="1004" spans="1:32" hidden="1" x14ac:dyDescent="0.25">
      <c r="A1004" t="s">
        <v>1658</v>
      </c>
      <c r="B1004" t="s">
        <v>1505</v>
      </c>
      <c r="C1004" t="s">
        <v>1506</v>
      </c>
      <c r="D1004" t="s">
        <v>512</v>
      </c>
      <c r="E1004" t="s">
        <v>155</v>
      </c>
      <c r="F1004">
        <v>4500406849</v>
      </c>
      <c r="G1004" t="s">
        <v>12</v>
      </c>
      <c r="H1004" t="s">
        <v>1507</v>
      </c>
      <c r="I1004" t="s">
        <v>155</v>
      </c>
      <c r="J1004" s="1">
        <v>152795.5</v>
      </c>
      <c r="K1004" s="1">
        <v>305591</v>
      </c>
      <c r="L1004" t="str">
        <f>IFERROR(IF(VLOOKUP(LEFT(B1004,2),'Humanitarian codes'!$A$2:$A$10,1,FALSE)=LEFT(B1004,2),"Yes","Error"),"No")</f>
        <v>No</v>
      </c>
      <c r="AE1004" s="1"/>
      <c r="AF1004" s="1"/>
    </row>
    <row r="1005" spans="1:32" hidden="1" x14ac:dyDescent="0.25">
      <c r="A1005" t="s">
        <v>1658</v>
      </c>
      <c r="B1005" t="s">
        <v>1509</v>
      </c>
      <c r="C1005" t="s">
        <v>1510</v>
      </c>
      <c r="D1005" t="s">
        <v>512</v>
      </c>
      <c r="E1005" t="s">
        <v>534</v>
      </c>
      <c r="F1005">
        <v>4500418293</v>
      </c>
      <c r="G1005" t="s">
        <v>12</v>
      </c>
      <c r="H1005" t="s">
        <v>845</v>
      </c>
      <c r="I1005" t="s">
        <v>534</v>
      </c>
      <c r="J1005" s="1">
        <v>5325.38</v>
      </c>
      <c r="K1005" s="1">
        <v>26626.880000000001</v>
      </c>
      <c r="L1005" t="str">
        <f>IFERROR(IF(VLOOKUP(LEFT(B1005,2),'Humanitarian codes'!$A$2:$A$10,1,FALSE)=LEFT(B1005,2),"Yes","Error"),"No")</f>
        <v>No</v>
      </c>
      <c r="AE1005" s="1"/>
      <c r="AF1005" s="1"/>
    </row>
    <row r="1006" spans="1:32" hidden="1" x14ac:dyDescent="0.25">
      <c r="A1006" t="s">
        <v>1658</v>
      </c>
      <c r="B1006" t="s">
        <v>1511</v>
      </c>
      <c r="C1006" t="s">
        <v>1512</v>
      </c>
      <c r="D1006" t="s">
        <v>512</v>
      </c>
      <c r="E1006" t="s">
        <v>534</v>
      </c>
      <c r="F1006">
        <v>4500418293</v>
      </c>
      <c r="G1006" t="s">
        <v>12</v>
      </c>
      <c r="H1006" t="s">
        <v>845</v>
      </c>
      <c r="I1006" t="s">
        <v>534</v>
      </c>
      <c r="J1006" s="1">
        <v>2662.69</v>
      </c>
      <c r="K1006" s="1">
        <v>26626.880000000001</v>
      </c>
      <c r="L1006" t="str">
        <f>IFERROR(IF(VLOOKUP(LEFT(B1006,2),'Humanitarian codes'!$A$2:$A$10,1,FALSE)=LEFT(B1006,2),"Yes","Error"),"No")</f>
        <v>No</v>
      </c>
      <c r="AE1006" s="1"/>
      <c r="AF1006" s="1"/>
    </row>
    <row r="1007" spans="1:32" x14ac:dyDescent="0.25">
      <c r="A1007" t="s">
        <v>1658</v>
      </c>
      <c r="B1007" t="s">
        <v>1517</v>
      </c>
      <c r="C1007" t="s">
        <v>1518</v>
      </c>
      <c r="D1007" t="s">
        <v>512</v>
      </c>
      <c r="E1007" t="s">
        <v>205</v>
      </c>
      <c r="F1007">
        <v>4500427423</v>
      </c>
      <c r="G1007" t="s">
        <v>12</v>
      </c>
      <c r="H1007" t="s">
        <v>1519</v>
      </c>
      <c r="I1007" t="s">
        <v>205</v>
      </c>
      <c r="J1007" s="1">
        <v>201562.5</v>
      </c>
      <c r="K1007" s="1">
        <v>201562.5</v>
      </c>
      <c r="L1007" t="str">
        <f>IFERROR(IF(VLOOKUP(LEFT(B1007,2),'Humanitarian codes'!$A$2:$A$10,1,FALSE)=LEFT(B1007,2),"Yes","Error"),"No")</f>
        <v>Yes</v>
      </c>
      <c r="AE1007" s="1"/>
      <c r="AF1007" s="1"/>
    </row>
    <row r="1008" spans="1:32" x14ac:dyDescent="0.25">
      <c r="A1008" t="s">
        <v>1658</v>
      </c>
      <c r="B1008" t="s">
        <v>1517</v>
      </c>
      <c r="C1008" t="s">
        <v>1518</v>
      </c>
      <c r="D1008" t="s">
        <v>512</v>
      </c>
      <c r="E1008" t="s">
        <v>210</v>
      </c>
      <c r="F1008">
        <v>4500423410</v>
      </c>
      <c r="G1008" t="s">
        <v>12</v>
      </c>
      <c r="H1008" t="s">
        <v>212</v>
      </c>
      <c r="I1008" t="s">
        <v>210</v>
      </c>
      <c r="J1008" s="1">
        <v>56763.12</v>
      </c>
      <c r="K1008" s="1">
        <v>56763.12</v>
      </c>
      <c r="L1008" t="str">
        <f>IFERROR(IF(VLOOKUP(LEFT(B1008,2),'Humanitarian codes'!$A$2:$A$10,1,FALSE)=LEFT(B1008,2),"Yes","Error"),"No")</f>
        <v>Yes</v>
      </c>
      <c r="AE1008" s="1"/>
      <c r="AF1008" s="1"/>
    </row>
    <row r="1009" spans="1:32" x14ac:dyDescent="0.25">
      <c r="A1009" t="s">
        <v>1658</v>
      </c>
      <c r="B1009" t="s">
        <v>1517</v>
      </c>
      <c r="C1009" t="s">
        <v>1518</v>
      </c>
      <c r="D1009" t="s">
        <v>512</v>
      </c>
      <c r="E1009" t="s">
        <v>890</v>
      </c>
      <c r="F1009">
        <v>4500417931</v>
      </c>
      <c r="G1009" t="s">
        <v>12</v>
      </c>
      <c r="H1009" t="s">
        <v>246</v>
      </c>
      <c r="I1009" t="s">
        <v>890</v>
      </c>
      <c r="J1009" s="1">
        <v>85959.33</v>
      </c>
      <c r="K1009" s="1">
        <v>85959.33</v>
      </c>
      <c r="L1009" t="str">
        <f>IFERROR(IF(VLOOKUP(LEFT(B1009,2),'Humanitarian codes'!$A$2:$A$10,1,FALSE)=LEFT(B1009,2),"Yes","Error"),"No")</f>
        <v>Yes</v>
      </c>
      <c r="AE1009" s="1"/>
      <c r="AF1009" s="1"/>
    </row>
    <row r="1010" spans="1:32" x14ac:dyDescent="0.25">
      <c r="A1010" t="s">
        <v>1658</v>
      </c>
      <c r="B1010" t="s">
        <v>1517</v>
      </c>
      <c r="C1010" t="s">
        <v>1518</v>
      </c>
      <c r="D1010" t="s">
        <v>512</v>
      </c>
      <c r="E1010" t="s">
        <v>890</v>
      </c>
      <c r="F1010">
        <v>4500417935</v>
      </c>
      <c r="G1010" t="s">
        <v>12</v>
      </c>
      <c r="H1010" t="s">
        <v>1419</v>
      </c>
      <c r="I1010" t="s">
        <v>890</v>
      </c>
      <c r="J1010" s="1">
        <v>85959.33</v>
      </c>
      <c r="K1010" s="1">
        <v>85959.33</v>
      </c>
      <c r="L1010" t="str">
        <f>IFERROR(IF(VLOOKUP(LEFT(B1010,2),'Humanitarian codes'!$A$2:$A$10,1,FALSE)=LEFT(B1010,2),"Yes","Error"),"No")</f>
        <v>Yes</v>
      </c>
      <c r="AE1010" s="1"/>
      <c r="AF1010" s="1"/>
    </row>
    <row r="1011" spans="1:32" hidden="1" x14ac:dyDescent="0.25">
      <c r="A1011" t="s">
        <v>1658</v>
      </c>
      <c r="B1011" t="s">
        <v>1520</v>
      </c>
      <c r="C1011" t="s">
        <v>1521</v>
      </c>
      <c r="D1011" t="s">
        <v>543</v>
      </c>
      <c r="E1011" t="s">
        <v>885</v>
      </c>
      <c r="F1011">
        <v>4500409288</v>
      </c>
      <c r="G1011" t="s">
        <v>12</v>
      </c>
      <c r="H1011" t="s">
        <v>1522</v>
      </c>
      <c r="I1011" t="s">
        <v>885</v>
      </c>
      <c r="J1011">
        <v>810.16</v>
      </c>
      <c r="K1011">
        <v>810.16</v>
      </c>
      <c r="L1011" t="str">
        <f>IFERROR(IF(VLOOKUP(LEFT(B1011,2),'Humanitarian codes'!$A$2:$A$10,1,FALSE)=LEFT(B1011,2),"Yes","Error"),"No")</f>
        <v>No</v>
      </c>
      <c r="AE1011" s="1"/>
      <c r="AF1011" s="1"/>
    </row>
    <row r="1012" spans="1:32" hidden="1" x14ac:dyDescent="0.25">
      <c r="A1012" t="s">
        <v>1658</v>
      </c>
      <c r="B1012" t="s">
        <v>1523</v>
      </c>
      <c r="C1012" t="s">
        <v>1524</v>
      </c>
      <c r="D1012" t="s">
        <v>543</v>
      </c>
      <c r="E1012" t="s">
        <v>1016</v>
      </c>
      <c r="F1012">
        <v>4500409951</v>
      </c>
      <c r="G1012" t="s">
        <v>12</v>
      </c>
      <c r="H1012" t="s">
        <v>589</v>
      </c>
      <c r="I1012" t="s">
        <v>1016</v>
      </c>
      <c r="J1012" s="1">
        <v>10768.4</v>
      </c>
      <c r="K1012" s="1">
        <v>10768.4</v>
      </c>
      <c r="L1012" t="str">
        <f>IFERROR(IF(VLOOKUP(LEFT(B1012,2),'Humanitarian codes'!$A$2:$A$10,1,FALSE)=LEFT(B1012,2),"Yes","Error"),"No")</f>
        <v>No</v>
      </c>
      <c r="AE1012" s="1"/>
      <c r="AF1012" s="1"/>
    </row>
    <row r="1013" spans="1:32" hidden="1" x14ac:dyDescent="0.25">
      <c r="A1013" t="s">
        <v>1658</v>
      </c>
      <c r="B1013" t="s">
        <v>1523</v>
      </c>
      <c r="C1013" t="s">
        <v>1524</v>
      </c>
      <c r="D1013" t="s">
        <v>543</v>
      </c>
      <c r="E1013" t="s">
        <v>1016</v>
      </c>
      <c r="F1013">
        <v>4500409970</v>
      </c>
      <c r="G1013" t="s">
        <v>12</v>
      </c>
      <c r="H1013" t="s">
        <v>1525</v>
      </c>
      <c r="I1013" t="s">
        <v>1016</v>
      </c>
      <c r="J1013" s="1">
        <v>11298.7</v>
      </c>
      <c r="K1013" s="1">
        <v>11298.7</v>
      </c>
      <c r="L1013" t="str">
        <f>IFERROR(IF(VLOOKUP(LEFT(B1013,2),'Humanitarian codes'!$A$2:$A$10,1,FALSE)=LEFT(B1013,2),"Yes","Error"),"No")</f>
        <v>No</v>
      </c>
      <c r="AE1013" s="1"/>
      <c r="AF1013" s="1"/>
    </row>
    <row r="1014" spans="1:32" hidden="1" x14ac:dyDescent="0.25">
      <c r="A1014" t="s">
        <v>1658</v>
      </c>
      <c r="B1014" t="s">
        <v>1526</v>
      </c>
      <c r="C1014" t="s">
        <v>1527</v>
      </c>
      <c r="D1014" t="s">
        <v>543</v>
      </c>
      <c r="E1014" t="s">
        <v>486</v>
      </c>
      <c r="F1014">
        <v>4500407566</v>
      </c>
      <c r="G1014" t="s">
        <v>12</v>
      </c>
      <c r="H1014" t="s">
        <v>1528</v>
      </c>
      <c r="I1014" t="s">
        <v>486</v>
      </c>
      <c r="J1014" s="1">
        <v>148214.28</v>
      </c>
      <c r="K1014" s="1">
        <v>148214.28</v>
      </c>
      <c r="L1014" t="str">
        <f>IFERROR(IF(VLOOKUP(LEFT(B1014,2),'Humanitarian codes'!$A$2:$A$10,1,FALSE)=LEFT(B1014,2),"Yes","Error"),"No")</f>
        <v>No</v>
      </c>
      <c r="AE1014" s="1"/>
      <c r="AF1014" s="1"/>
    </row>
    <row r="1015" spans="1:32" hidden="1" x14ac:dyDescent="0.25">
      <c r="A1015" t="s">
        <v>1658</v>
      </c>
      <c r="B1015" t="s">
        <v>1526</v>
      </c>
      <c r="C1015" t="s">
        <v>1527</v>
      </c>
      <c r="D1015" t="s">
        <v>543</v>
      </c>
      <c r="E1015" t="s">
        <v>486</v>
      </c>
      <c r="F1015">
        <v>4500407869</v>
      </c>
      <c r="G1015" t="s">
        <v>12</v>
      </c>
      <c r="H1015" t="s">
        <v>1529</v>
      </c>
      <c r="I1015" t="s">
        <v>486</v>
      </c>
      <c r="J1015" s="1">
        <v>98374.45</v>
      </c>
      <c r="K1015" s="1">
        <v>98374.45</v>
      </c>
      <c r="L1015" t="str">
        <f>IFERROR(IF(VLOOKUP(LEFT(B1015,2),'Humanitarian codes'!$A$2:$A$10,1,FALSE)=LEFT(B1015,2),"Yes","Error"),"No")</f>
        <v>No</v>
      </c>
      <c r="AE1015" s="1"/>
      <c r="AF1015" s="1"/>
    </row>
    <row r="1016" spans="1:32" hidden="1" x14ac:dyDescent="0.25">
      <c r="A1016" t="s">
        <v>1658</v>
      </c>
      <c r="B1016" t="s">
        <v>1005</v>
      </c>
      <c r="C1016" t="s">
        <v>1006</v>
      </c>
      <c r="D1016" t="s">
        <v>543</v>
      </c>
      <c r="E1016" t="s">
        <v>549</v>
      </c>
      <c r="F1016">
        <v>4500411354</v>
      </c>
      <c r="G1016" t="s">
        <v>12</v>
      </c>
      <c r="H1016" t="s">
        <v>552</v>
      </c>
      <c r="I1016" t="s">
        <v>549</v>
      </c>
      <c r="J1016" s="1">
        <v>20212.509999999998</v>
      </c>
      <c r="K1016" s="1">
        <v>20212.509999999998</v>
      </c>
      <c r="L1016" t="str">
        <f>IFERROR(IF(VLOOKUP(LEFT(B1016,2),'Humanitarian codes'!$A$2:$A$10,1,FALSE)=LEFT(B1016,2),"Yes","Error"),"No")</f>
        <v>No</v>
      </c>
      <c r="AE1016" s="1"/>
      <c r="AF1016" s="1"/>
    </row>
    <row r="1017" spans="1:32" hidden="1" x14ac:dyDescent="0.25">
      <c r="A1017" t="s">
        <v>1658</v>
      </c>
      <c r="B1017" t="s">
        <v>1005</v>
      </c>
      <c r="C1017" t="s">
        <v>1006</v>
      </c>
      <c r="D1017" t="s">
        <v>543</v>
      </c>
      <c r="E1017" t="s">
        <v>549</v>
      </c>
      <c r="F1017">
        <v>4500427056</v>
      </c>
      <c r="G1017" t="s">
        <v>12</v>
      </c>
      <c r="H1017" t="s">
        <v>552</v>
      </c>
      <c r="I1017" t="s">
        <v>549</v>
      </c>
      <c r="J1017" s="1">
        <v>4604</v>
      </c>
      <c r="K1017" s="1">
        <v>4604</v>
      </c>
      <c r="L1017" t="str">
        <f>IFERROR(IF(VLOOKUP(LEFT(B1017,2),'Humanitarian codes'!$A$2:$A$10,1,FALSE)=LEFT(B1017,2),"Yes","Error"),"No")</f>
        <v>No</v>
      </c>
      <c r="AE1017" s="1"/>
      <c r="AF1017" s="1"/>
    </row>
    <row r="1018" spans="1:32" hidden="1" x14ac:dyDescent="0.25">
      <c r="A1018" t="s">
        <v>1658</v>
      </c>
      <c r="B1018" t="s">
        <v>1005</v>
      </c>
      <c r="C1018" t="s">
        <v>1006</v>
      </c>
      <c r="D1018" t="s">
        <v>543</v>
      </c>
      <c r="E1018" t="s">
        <v>831</v>
      </c>
      <c r="F1018">
        <v>4500412166</v>
      </c>
      <c r="G1018" t="s">
        <v>12</v>
      </c>
      <c r="H1018" t="s">
        <v>557</v>
      </c>
      <c r="I1018" t="s">
        <v>831</v>
      </c>
      <c r="J1018" s="1">
        <v>10553.41</v>
      </c>
      <c r="K1018" s="1">
        <v>10553.41</v>
      </c>
      <c r="L1018" t="str">
        <f>IFERROR(IF(VLOOKUP(LEFT(B1018,2),'Humanitarian codes'!$A$2:$A$10,1,FALSE)=LEFT(B1018,2),"Yes","Error"),"No")</f>
        <v>No</v>
      </c>
      <c r="AE1018" s="1"/>
      <c r="AF1018" s="1"/>
    </row>
    <row r="1019" spans="1:32" hidden="1" x14ac:dyDescent="0.25">
      <c r="A1019" t="s">
        <v>1658</v>
      </c>
      <c r="B1019" t="s">
        <v>1005</v>
      </c>
      <c r="C1019" t="s">
        <v>1006</v>
      </c>
      <c r="D1019" t="s">
        <v>543</v>
      </c>
      <c r="E1019" t="s">
        <v>831</v>
      </c>
      <c r="F1019">
        <v>4500429542</v>
      </c>
      <c r="G1019" t="s">
        <v>12</v>
      </c>
      <c r="H1019" t="s">
        <v>554</v>
      </c>
      <c r="I1019" t="s">
        <v>831</v>
      </c>
      <c r="J1019" s="1">
        <v>11500.5</v>
      </c>
      <c r="K1019" s="1">
        <v>11500.5</v>
      </c>
      <c r="L1019" t="str">
        <f>IFERROR(IF(VLOOKUP(LEFT(B1019,2),'Humanitarian codes'!$A$2:$A$10,1,FALSE)=LEFT(B1019,2),"Yes","Error"),"No")</f>
        <v>No</v>
      </c>
      <c r="AE1019" s="1"/>
      <c r="AF1019" s="1"/>
    </row>
    <row r="1020" spans="1:32" hidden="1" x14ac:dyDescent="0.25">
      <c r="A1020" t="s">
        <v>1658</v>
      </c>
      <c r="B1020" t="s">
        <v>1005</v>
      </c>
      <c r="C1020" t="s">
        <v>1006</v>
      </c>
      <c r="D1020" t="s">
        <v>543</v>
      </c>
      <c r="E1020" t="s">
        <v>831</v>
      </c>
      <c r="F1020">
        <v>4500429546</v>
      </c>
      <c r="G1020" t="s">
        <v>12</v>
      </c>
      <c r="H1020" t="s">
        <v>555</v>
      </c>
      <c r="I1020" t="s">
        <v>831</v>
      </c>
      <c r="J1020" s="1">
        <v>2126.5700000000002</v>
      </c>
      <c r="K1020" s="1">
        <v>2126.5700000000002</v>
      </c>
      <c r="L1020" t="str">
        <f>IFERROR(IF(VLOOKUP(LEFT(B1020,2),'Humanitarian codes'!$A$2:$A$10,1,FALSE)=LEFT(B1020,2),"Yes","Error"),"No")</f>
        <v>No</v>
      </c>
      <c r="AE1020" s="1"/>
      <c r="AF1020" s="1"/>
    </row>
    <row r="1021" spans="1:32" hidden="1" x14ac:dyDescent="0.25">
      <c r="A1021" t="s">
        <v>1658</v>
      </c>
      <c r="B1021" t="s">
        <v>1530</v>
      </c>
      <c r="C1021" t="s">
        <v>1531</v>
      </c>
      <c r="D1021" t="s">
        <v>543</v>
      </c>
      <c r="E1021" t="s">
        <v>500</v>
      </c>
      <c r="F1021">
        <v>4500419396</v>
      </c>
      <c r="G1021" t="s">
        <v>12</v>
      </c>
      <c r="H1021" t="s">
        <v>1532</v>
      </c>
      <c r="I1021" t="s">
        <v>500</v>
      </c>
      <c r="J1021" s="1">
        <v>27587.96</v>
      </c>
      <c r="K1021" s="1">
        <v>27587.96</v>
      </c>
      <c r="L1021" t="str">
        <f>IFERROR(IF(VLOOKUP(LEFT(B1021,2),'Humanitarian codes'!$A$2:$A$10,1,FALSE)=LEFT(B1021,2),"Yes","Error"),"No")</f>
        <v>No</v>
      </c>
      <c r="AE1021" s="1"/>
      <c r="AF1021" s="1"/>
    </row>
    <row r="1022" spans="1:32" hidden="1" x14ac:dyDescent="0.25">
      <c r="A1022" t="s">
        <v>1658</v>
      </c>
      <c r="B1022" t="s">
        <v>1530</v>
      </c>
      <c r="C1022" t="s">
        <v>1531</v>
      </c>
      <c r="D1022" t="s">
        <v>543</v>
      </c>
      <c r="E1022" t="s">
        <v>500</v>
      </c>
      <c r="F1022">
        <v>4500419417</v>
      </c>
      <c r="G1022" t="s">
        <v>12</v>
      </c>
      <c r="H1022" t="s">
        <v>1533</v>
      </c>
      <c r="I1022" t="s">
        <v>500</v>
      </c>
      <c r="J1022" s="1">
        <v>31098.46</v>
      </c>
      <c r="K1022" s="1">
        <v>31098.46</v>
      </c>
      <c r="L1022" t="str">
        <f>IFERROR(IF(VLOOKUP(LEFT(B1022,2),'Humanitarian codes'!$A$2:$A$10,1,FALSE)=LEFT(B1022,2),"Yes","Error"),"No")</f>
        <v>No</v>
      </c>
      <c r="AE1022" s="1"/>
      <c r="AF1022" s="1"/>
    </row>
    <row r="1023" spans="1:32" hidden="1" x14ac:dyDescent="0.25">
      <c r="A1023" t="s">
        <v>1658</v>
      </c>
      <c r="B1023" t="s">
        <v>1009</v>
      </c>
      <c r="C1023" t="s">
        <v>1010</v>
      </c>
      <c r="D1023" t="s">
        <v>543</v>
      </c>
      <c r="E1023" t="s">
        <v>1534</v>
      </c>
      <c r="F1023">
        <v>4500414960</v>
      </c>
      <c r="G1023" t="s">
        <v>12</v>
      </c>
      <c r="H1023" t="s">
        <v>1535</v>
      </c>
      <c r="I1023" t="s">
        <v>1534</v>
      </c>
      <c r="J1023" s="1">
        <v>13314.36</v>
      </c>
      <c r="K1023" s="1">
        <v>13314.36</v>
      </c>
      <c r="L1023" t="str">
        <f>IFERROR(IF(VLOOKUP(LEFT(B1023,2),'Humanitarian codes'!$A$2:$A$10,1,FALSE)=LEFT(B1023,2),"Yes","Error"),"No")</f>
        <v>No</v>
      </c>
      <c r="AE1023" s="1"/>
      <c r="AF1023" s="1"/>
    </row>
    <row r="1024" spans="1:32" hidden="1" x14ac:dyDescent="0.25">
      <c r="A1024" t="s">
        <v>1658</v>
      </c>
      <c r="B1024" t="s">
        <v>1009</v>
      </c>
      <c r="C1024" t="s">
        <v>1010</v>
      </c>
      <c r="D1024" t="s">
        <v>543</v>
      </c>
      <c r="E1024" t="s">
        <v>1534</v>
      </c>
      <c r="F1024">
        <v>4500424827</v>
      </c>
      <c r="G1024" t="s">
        <v>12</v>
      </c>
      <c r="H1024" t="s">
        <v>1536</v>
      </c>
      <c r="I1024" t="s">
        <v>1534</v>
      </c>
      <c r="J1024" s="1">
        <v>10720.78</v>
      </c>
      <c r="K1024" s="1">
        <v>10720.78</v>
      </c>
      <c r="L1024" t="str">
        <f>IFERROR(IF(VLOOKUP(LEFT(B1024,2),'Humanitarian codes'!$A$2:$A$10,1,FALSE)=LEFT(B1024,2),"Yes","Error"),"No")</f>
        <v>No</v>
      </c>
      <c r="AE1024" s="1"/>
      <c r="AF1024" s="1"/>
    </row>
    <row r="1025" spans="1:32" hidden="1" x14ac:dyDescent="0.25">
      <c r="A1025" t="s">
        <v>1658</v>
      </c>
      <c r="B1025" t="s">
        <v>1009</v>
      </c>
      <c r="C1025" t="s">
        <v>1010</v>
      </c>
      <c r="D1025" t="s">
        <v>543</v>
      </c>
      <c r="E1025" t="s">
        <v>1534</v>
      </c>
      <c r="F1025">
        <v>4500424839</v>
      </c>
      <c r="G1025" t="s">
        <v>12</v>
      </c>
      <c r="H1025" t="s">
        <v>1537</v>
      </c>
      <c r="I1025" t="s">
        <v>1534</v>
      </c>
      <c r="J1025" s="1">
        <v>12670.29</v>
      </c>
      <c r="K1025" s="1">
        <v>12670.29</v>
      </c>
      <c r="L1025" t="str">
        <f>IFERROR(IF(VLOOKUP(LEFT(B1025,2),'Humanitarian codes'!$A$2:$A$10,1,FALSE)=LEFT(B1025,2),"Yes","Error"),"No")</f>
        <v>No</v>
      </c>
      <c r="AE1025" s="1"/>
      <c r="AF1025" s="1"/>
    </row>
    <row r="1026" spans="1:32" hidden="1" x14ac:dyDescent="0.25">
      <c r="A1026" t="s">
        <v>1658</v>
      </c>
      <c r="B1026" t="s">
        <v>1009</v>
      </c>
      <c r="C1026" t="s">
        <v>1010</v>
      </c>
      <c r="D1026" t="s">
        <v>543</v>
      </c>
      <c r="E1026" t="s">
        <v>1534</v>
      </c>
      <c r="F1026">
        <v>4500425596</v>
      </c>
      <c r="G1026" t="s">
        <v>12</v>
      </c>
      <c r="H1026" t="s">
        <v>1538</v>
      </c>
      <c r="I1026" t="s">
        <v>1534</v>
      </c>
      <c r="J1026" s="1">
        <v>10723.33</v>
      </c>
      <c r="K1026" s="1">
        <v>10723.33</v>
      </c>
      <c r="L1026" t="str">
        <f>IFERROR(IF(VLOOKUP(LEFT(B1026,2),'Humanitarian codes'!$A$2:$A$10,1,FALSE)=LEFT(B1026,2),"Yes","Error"),"No")</f>
        <v>No</v>
      </c>
      <c r="AE1026" s="1"/>
      <c r="AF1026" s="1"/>
    </row>
    <row r="1027" spans="1:32" hidden="1" x14ac:dyDescent="0.25">
      <c r="A1027" t="s">
        <v>1658</v>
      </c>
      <c r="B1027" t="s">
        <v>1539</v>
      </c>
      <c r="C1027" t="s">
        <v>1540</v>
      </c>
      <c r="D1027" t="s">
        <v>9</v>
      </c>
      <c r="E1027" t="s">
        <v>226</v>
      </c>
      <c r="F1027">
        <v>4500423029</v>
      </c>
      <c r="G1027" t="s">
        <v>12</v>
      </c>
      <c r="H1027" t="s">
        <v>227</v>
      </c>
      <c r="I1027" t="s">
        <v>226</v>
      </c>
      <c r="J1027" s="1">
        <v>92447.42</v>
      </c>
      <c r="K1027" s="1">
        <v>92447.42</v>
      </c>
      <c r="L1027" t="str">
        <f>IFERROR(IF(VLOOKUP(LEFT(B1027,2),'Humanitarian codes'!$A$2:$A$10,1,FALSE)=LEFT(B1027,2),"Yes","Error"),"No")</f>
        <v>No</v>
      </c>
      <c r="AE1027" s="1"/>
      <c r="AF1027" s="1"/>
    </row>
    <row r="1028" spans="1:32" hidden="1" x14ac:dyDescent="0.25">
      <c r="A1028" t="s">
        <v>1658</v>
      </c>
      <c r="B1028" t="s">
        <v>1541</v>
      </c>
      <c r="C1028" t="s">
        <v>1542</v>
      </c>
      <c r="D1028" t="s">
        <v>9</v>
      </c>
      <c r="E1028" t="s">
        <v>155</v>
      </c>
      <c r="F1028">
        <v>4500414034</v>
      </c>
      <c r="G1028" t="s">
        <v>12</v>
      </c>
      <c r="H1028" t="s">
        <v>1543</v>
      </c>
      <c r="I1028" t="s">
        <v>155</v>
      </c>
      <c r="J1028" s="1">
        <v>32500.16</v>
      </c>
      <c r="K1028" s="1">
        <v>154762.62</v>
      </c>
      <c r="L1028" t="str">
        <f>IFERROR(IF(VLOOKUP(LEFT(B1028,2),'Humanitarian codes'!$A$2:$A$10,1,FALSE)=LEFT(B1028,2),"Yes","Error"),"No")</f>
        <v>No</v>
      </c>
      <c r="AE1028" s="1"/>
      <c r="AF1028" s="1"/>
    </row>
    <row r="1029" spans="1:32" hidden="1" x14ac:dyDescent="0.25">
      <c r="A1029" t="s">
        <v>1658</v>
      </c>
      <c r="B1029" t="s">
        <v>1541</v>
      </c>
      <c r="C1029" t="s">
        <v>1542</v>
      </c>
      <c r="D1029" t="s">
        <v>9</v>
      </c>
      <c r="E1029" t="s">
        <v>155</v>
      </c>
      <c r="F1029">
        <v>4500414756</v>
      </c>
      <c r="G1029" t="s">
        <v>12</v>
      </c>
      <c r="H1029" t="s">
        <v>335</v>
      </c>
      <c r="I1029" t="s">
        <v>155</v>
      </c>
      <c r="J1029" s="1">
        <v>169022</v>
      </c>
      <c r="K1029" s="1">
        <v>169022</v>
      </c>
      <c r="L1029" t="str">
        <f>IFERROR(IF(VLOOKUP(LEFT(B1029,2),'Humanitarian codes'!$A$2:$A$10,1,FALSE)=LEFT(B1029,2),"Yes","Error"),"No")</f>
        <v>No</v>
      </c>
      <c r="AE1029" s="1"/>
      <c r="AF1029" s="1"/>
    </row>
    <row r="1030" spans="1:32" hidden="1" x14ac:dyDescent="0.25">
      <c r="A1030" t="s">
        <v>1658</v>
      </c>
      <c r="B1030" t="s">
        <v>1541</v>
      </c>
      <c r="C1030" t="s">
        <v>1542</v>
      </c>
      <c r="D1030" t="s">
        <v>9</v>
      </c>
      <c r="E1030" t="s">
        <v>155</v>
      </c>
      <c r="F1030">
        <v>4500415390</v>
      </c>
      <c r="G1030" t="s">
        <v>12</v>
      </c>
      <c r="H1030" t="s">
        <v>1033</v>
      </c>
      <c r="I1030" t="s">
        <v>155</v>
      </c>
      <c r="J1030" s="1">
        <v>499770.13</v>
      </c>
      <c r="K1030" s="1">
        <v>499770.13</v>
      </c>
      <c r="L1030" t="str">
        <f>IFERROR(IF(VLOOKUP(LEFT(B1030,2),'Humanitarian codes'!$A$2:$A$10,1,FALSE)=LEFT(B1030,2),"Yes","Error"),"No")</f>
        <v>No</v>
      </c>
      <c r="AE1030" s="1"/>
      <c r="AF1030" s="1"/>
    </row>
    <row r="1031" spans="1:32" hidden="1" x14ac:dyDescent="0.25">
      <c r="A1031" t="s">
        <v>1658</v>
      </c>
      <c r="B1031" t="s">
        <v>1541</v>
      </c>
      <c r="C1031" t="s">
        <v>1542</v>
      </c>
      <c r="D1031" t="s">
        <v>9</v>
      </c>
      <c r="E1031" t="s">
        <v>155</v>
      </c>
      <c r="F1031">
        <v>4500416150</v>
      </c>
      <c r="G1031" t="s">
        <v>12</v>
      </c>
      <c r="H1031" t="s">
        <v>1544</v>
      </c>
      <c r="I1031" t="s">
        <v>155</v>
      </c>
      <c r="J1031" s="1">
        <v>181035</v>
      </c>
      <c r="K1031" s="1">
        <v>181035</v>
      </c>
      <c r="L1031" t="str">
        <f>IFERROR(IF(VLOOKUP(LEFT(B1031,2),'Humanitarian codes'!$A$2:$A$10,1,FALSE)=LEFT(B1031,2),"Yes","Error"),"No")</f>
        <v>No</v>
      </c>
      <c r="AE1031" s="1"/>
      <c r="AF1031" s="1"/>
    </row>
    <row r="1032" spans="1:32" hidden="1" x14ac:dyDescent="0.25">
      <c r="A1032" t="s">
        <v>1658</v>
      </c>
      <c r="B1032" t="s">
        <v>1547</v>
      </c>
      <c r="C1032" t="s">
        <v>1548</v>
      </c>
      <c r="D1032" t="s">
        <v>30</v>
      </c>
      <c r="E1032" t="s">
        <v>663</v>
      </c>
      <c r="F1032">
        <v>4500412808</v>
      </c>
      <c r="G1032" t="s">
        <v>12</v>
      </c>
      <c r="H1032" t="s">
        <v>1549</v>
      </c>
      <c r="I1032" t="s">
        <v>663</v>
      </c>
      <c r="J1032" s="1">
        <v>145405.54</v>
      </c>
      <c r="K1032" s="1">
        <v>145405.54</v>
      </c>
      <c r="L1032" t="str">
        <f>IFERROR(IF(VLOOKUP(LEFT(B1032,2),'Humanitarian codes'!$A$2:$A$10,1,FALSE)=LEFT(B1032,2),"Yes","Error"),"No")</f>
        <v>No</v>
      </c>
      <c r="AE1032" s="1"/>
      <c r="AF1032" s="1"/>
    </row>
    <row r="1033" spans="1:32" hidden="1" x14ac:dyDescent="0.25">
      <c r="A1033" t="s">
        <v>1658</v>
      </c>
      <c r="B1033" t="s">
        <v>1164</v>
      </c>
      <c r="C1033" t="s">
        <v>1165</v>
      </c>
      <c r="D1033" t="s">
        <v>30</v>
      </c>
      <c r="E1033" t="s">
        <v>1166</v>
      </c>
      <c r="F1033">
        <v>4500417712</v>
      </c>
      <c r="G1033" t="s">
        <v>713</v>
      </c>
      <c r="H1033" t="s">
        <v>1550</v>
      </c>
      <c r="I1033" t="s">
        <v>1166</v>
      </c>
      <c r="J1033" s="1">
        <v>66150.899999999994</v>
      </c>
      <c r="K1033" s="1">
        <v>66150.899999999994</v>
      </c>
      <c r="L1033" t="str">
        <f>IFERROR(IF(VLOOKUP(LEFT(B1033,2),'Humanitarian codes'!$A$2:$A$10,1,FALSE)=LEFT(B1033,2),"Yes","Error"),"No")</f>
        <v>No</v>
      </c>
      <c r="AE1033" s="1"/>
      <c r="AF1033" s="1"/>
    </row>
    <row r="1034" spans="1:32" hidden="1" x14ac:dyDescent="0.25">
      <c r="A1034" t="s">
        <v>1658</v>
      </c>
      <c r="B1034" t="s">
        <v>586</v>
      </c>
      <c r="C1034" t="s">
        <v>587</v>
      </c>
      <c r="D1034" t="s">
        <v>30</v>
      </c>
      <c r="E1034" t="s">
        <v>1016</v>
      </c>
      <c r="F1034">
        <v>4500406768</v>
      </c>
      <c r="G1034" t="s">
        <v>12</v>
      </c>
      <c r="H1034" t="s">
        <v>589</v>
      </c>
      <c r="I1034" t="s">
        <v>1016</v>
      </c>
      <c r="J1034" s="1">
        <v>11349.31</v>
      </c>
      <c r="K1034" s="1">
        <v>11349.31</v>
      </c>
      <c r="L1034" t="str">
        <f>IFERROR(IF(VLOOKUP(LEFT(B1034,2),'Humanitarian codes'!$A$2:$A$10,1,FALSE)=LEFT(B1034,2),"Yes","Error"),"No")</f>
        <v>No</v>
      </c>
      <c r="AE1034" s="1"/>
      <c r="AF1034" s="1"/>
    </row>
    <row r="1035" spans="1:32" hidden="1" x14ac:dyDescent="0.25">
      <c r="A1035" t="s">
        <v>1658</v>
      </c>
      <c r="B1035" t="s">
        <v>586</v>
      </c>
      <c r="C1035" t="s">
        <v>587</v>
      </c>
      <c r="D1035" t="s">
        <v>30</v>
      </c>
      <c r="E1035" t="s">
        <v>1016</v>
      </c>
      <c r="F1035">
        <v>4500407468</v>
      </c>
      <c r="G1035" t="s">
        <v>12</v>
      </c>
      <c r="H1035" t="s">
        <v>588</v>
      </c>
      <c r="I1035" t="s">
        <v>1016</v>
      </c>
      <c r="J1035" s="1">
        <v>9979.83</v>
      </c>
      <c r="K1035" s="1">
        <v>9979.83</v>
      </c>
      <c r="L1035" t="str">
        <f>IFERROR(IF(VLOOKUP(LEFT(B1035,2),'Humanitarian codes'!$A$2:$A$10,1,FALSE)=LEFT(B1035,2),"Yes","Error"),"No")</f>
        <v>No</v>
      </c>
      <c r="AE1035" s="1"/>
      <c r="AF1035" s="1"/>
    </row>
    <row r="1036" spans="1:32" hidden="1" x14ac:dyDescent="0.25">
      <c r="A1036" t="s">
        <v>1658</v>
      </c>
      <c r="B1036" t="s">
        <v>586</v>
      </c>
      <c r="C1036" t="s">
        <v>587</v>
      </c>
      <c r="D1036" t="s">
        <v>30</v>
      </c>
      <c r="E1036" t="s">
        <v>1016</v>
      </c>
      <c r="F1036">
        <v>4500409542</v>
      </c>
      <c r="G1036" t="s">
        <v>12</v>
      </c>
      <c r="H1036" t="s">
        <v>1551</v>
      </c>
      <c r="I1036" t="s">
        <v>1016</v>
      </c>
      <c r="J1036" s="1">
        <v>44621.21</v>
      </c>
      <c r="K1036" s="1">
        <v>50887.44</v>
      </c>
      <c r="L1036" t="str">
        <f>IFERROR(IF(VLOOKUP(LEFT(B1036,2),'Humanitarian codes'!$A$2:$A$10,1,FALSE)=LEFT(B1036,2),"Yes","Error"),"No")</f>
        <v>No</v>
      </c>
      <c r="AE1036" s="1"/>
      <c r="AF1036" s="1"/>
    </row>
    <row r="1037" spans="1:32" hidden="1" x14ac:dyDescent="0.25">
      <c r="A1037" t="s">
        <v>1658</v>
      </c>
      <c r="B1037" t="s">
        <v>590</v>
      </c>
      <c r="C1037" t="s">
        <v>591</v>
      </c>
      <c r="D1037" t="s">
        <v>30</v>
      </c>
      <c r="E1037" t="s">
        <v>1016</v>
      </c>
      <c r="F1037">
        <v>4500409542</v>
      </c>
      <c r="G1037" t="s">
        <v>12</v>
      </c>
      <c r="H1037" t="s">
        <v>1551</v>
      </c>
      <c r="I1037" t="s">
        <v>1016</v>
      </c>
      <c r="J1037" s="1">
        <v>6266.23</v>
      </c>
      <c r="K1037" s="1">
        <v>50887.44</v>
      </c>
      <c r="L1037" t="str">
        <f>IFERROR(IF(VLOOKUP(LEFT(B1037,2),'Humanitarian codes'!$A$2:$A$10,1,FALSE)=LEFT(B1037,2),"Yes","Error"),"No")</f>
        <v>No</v>
      </c>
      <c r="AE1037" s="1"/>
      <c r="AF1037" s="1"/>
    </row>
    <row r="1038" spans="1:32" hidden="1" x14ac:dyDescent="0.25">
      <c r="A1038" t="s">
        <v>1658</v>
      </c>
      <c r="B1038" t="s">
        <v>590</v>
      </c>
      <c r="C1038" t="s">
        <v>591</v>
      </c>
      <c r="D1038" t="s">
        <v>30</v>
      </c>
      <c r="E1038" t="s">
        <v>1016</v>
      </c>
      <c r="F1038">
        <v>4500418627</v>
      </c>
      <c r="G1038" t="s">
        <v>12</v>
      </c>
      <c r="H1038" t="s">
        <v>482</v>
      </c>
      <c r="I1038" t="s">
        <v>1016</v>
      </c>
      <c r="J1038" s="1">
        <v>7271.58</v>
      </c>
      <c r="K1038" s="1">
        <v>7271.58</v>
      </c>
      <c r="L1038" t="str">
        <f>IFERROR(IF(VLOOKUP(LEFT(B1038,2),'Humanitarian codes'!$A$2:$A$10,1,FALSE)=LEFT(B1038,2),"Yes","Error"),"No")</f>
        <v>No</v>
      </c>
      <c r="AF1038" s="1"/>
    </row>
    <row r="1039" spans="1:32" hidden="1" x14ac:dyDescent="0.25">
      <c r="A1039" t="s">
        <v>1658</v>
      </c>
      <c r="B1039" t="s">
        <v>1046</v>
      </c>
      <c r="C1039" t="s">
        <v>1047</v>
      </c>
      <c r="D1039" t="s">
        <v>543</v>
      </c>
      <c r="E1039" t="s">
        <v>1048</v>
      </c>
      <c r="F1039">
        <v>4500427670</v>
      </c>
      <c r="G1039" t="s">
        <v>12</v>
      </c>
      <c r="H1039" t="s">
        <v>1557</v>
      </c>
      <c r="I1039" t="s">
        <v>1048</v>
      </c>
      <c r="J1039" s="1">
        <v>44484.36</v>
      </c>
      <c r="K1039" s="1">
        <v>44484.36</v>
      </c>
      <c r="L1039" t="str">
        <f>IFERROR(IF(VLOOKUP(LEFT(B1039,2),'Humanitarian codes'!$A$2:$A$10,1,FALSE)=LEFT(B1039,2),"Yes","Error"),"No")</f>
        <v>No</v>
      </c>
      <c r="AE1039" s="1"/>
      <c r="AF1039" s="1"/>
    </row>
    <row r="1040" spans="1:32" hidden="1" x14ac:dyDescent="0.25">
      <c r="A1040" t="s">
        <v>1658</v>
      </c>
      <c r="B1040" t="s">
        <v>1558</v>
      </c>
      <c r="C1040" t="s">
        <v>1559</v>
      </c>
      <c r="D1040" t="s">
        <v>543</v>
      </c>
      <c r="E1040" t="s">
        <v>1048</v>
      </c>
      <c r="F1040">
        <v>4500406180</v>
      </c>
      <c r="G1040" t="s">
        <v>12</v>
      </c>
      <c r="H1040" t="s">
        <v>220</v>
      </c>
      <c r="I1040" t="s">
        <v>1048</v>
      </c>
      <c r="J1040" s="1">
        <v>3682.53</v>
      </c>
      <c r="K1040" s="1">
        <v>14788.52</v>
      </c>
      <c r="L1040" t="str">
        <f>IFERROR(IF(VLOOKUP(LEFT(B1040,2),'Humanitarian codes'!$A$2:$A$10,1,FALSE)=LEFT(B1040,2),"Yes","Error"),"No")</f>
        <v>No</v>
      </c>
      <c r="AE1040" s="1"/>
      <c r="AF1040" s="1"/>
    </row>
    <row r="1041" spans="1:32" hidden="1" x14ac:dyDescent="0.25">
      <c r="A1041" t="s">
        <v>1658</v>
      </c>
      <c r="B1041" t="s">
        <v>607</v>
      </c>
      <c r="C1041" t="s">
        <v>608</v>
      </c>
      <c r="D1041" t="s">
        <v>543</v>
      </c>
      <c r="E1041" t="s">
        <v>474</v>
      </c>
      <c r="F1041">
        <v>4500407831</v>
      </c>
      <c r="G1041" t="s">
        <v>12</v>
      </c>
      <c r="H1041" t="s">
        <v>1560</v>
      </c>
      <c r="I1041" t="s">
        <v>474</v>
      </c>
      <c r="J1041" s="1">
        <v>20923.759999999998</v>
      </c>
      <c r="K1041" s="1">
        <v>20923.759999999998</v>
      </c>
      <c r="L1041" t="str">
        <f>IFERROR(IF(VLOOKUP(LEFT(B1041,2),'Humanitarian codes'!$A$2:$A$10,1,FALSE)=LEFT(B1041,2),"Yes","Error"),"No")</f>
        <v>No</v>
      </c>
      <c r="AE1041" s="1"/>
      <c r="AF1041" s="1"/>
    </row>
    <row r="1042" spans="1:32" hidden="1" x14ac:dyDescent="0.25">
      <c r="A1042" t="s">
        <v>1658</v>
      </c>
      <c r="B1042" t="s">
        <v>607</v>
      </c>
      <c r="C1042" t="s">
        <v>608</v>
      </c>
      <c r="D1042" t="s">
        <v>543</v>
      </c>
      <c r="E1042" t="s">
        <v>474</v>
      </c>
      <c r="F1042">
        <v>4500428071</v>
      </c>
      <c r="G1042" t="s">
        <v>12</v>
      </c>
      <c r="H1042" t="s">
        <v>1561</v>
      </c>
      <c r="I1042" t="s">
        <v>474</v>
      </c>
      <c r="J1042" s="1">
        <v>13474.06</v>
      </c>
      <c r="K1042" s="1">
        <v>13474.06</v>
      </c>
      <c r="L1042" t="str">
        <f>IFERROR(IF(VLOOKUP(LEFT(B1042,2),'Humanitarian codes'!$A$2:$A$10,1,FALSE)=LEFT(B1042,2),"Yes","Error"),"No")</f>
        <v>No</v>
      </c>
      <c r="AE1042" s="1"/>
      <c r="AF1042" s="1"/>
    </row>
    <row r="1043" spans="1:32" hidden="1" x14ac:dyDescent="0.25">
      <c r="A1043" t="s">
        <v>1658</v>
      </c>
      <c r="B1043" t="s">
        <v>607</v>
      </c>
      <c r="C1043" t="s">
        <v>608</v>
      </c>
      <c r="D1043" t="s">
        <v>543</v>
      </c>
      <c r="E1043" t="s">
        <v>474</v>
      </c>
      <c r="F1043">
        <v>4500428078</v>
      </c>
      <c r="G1043" t="s">
        <v>12</v>
      </c>
      <c r="H1043" t="s">
        <v>1560</v>
      </c>
      <c r="I1043" t="s">
        <v>474</v>
      </c>
      <c r="J1043" s="1">
        <v>16168.88</v>
      </c>
      <c r="K1043" s="1">
        <v>16168.88</v>
      </c>
      <c r="L1043" t="str">
        <f>IFERROR(IF(VLOOKUP(LEFT(B1043,2),'Humanitarian codes'!$A$2:$A$10,1,FALSE)=LEFT(B1043,2),"Yes","Error"),"No")</f>
        <v>No</v>
      </c>
      <c r="AE1043" s="1"/>
      <c r="AF1043" s="1"/>
    </row>
    <row r="1044" spans="1:32" hidden="1" x14ac:dyDescent="0.25">
      <c r="A1044" t="s">
        <v>1658</v>
      </c>
      <c r="B1044" t="s">
        <v>607</v>
      </c>
      <c r="C1044" t="s">
        <v>608</v>
      </c>
      <c r="D1044" t="s">
        <v>543</v>
      </c>
      <c r="E1044" t="s">
        <v>474</v>
      </c>
      <c r="F1044">
        <v>4500428084</v>
      </c>
      <c r="G1044" t="s">
        <v>12</v>
      </c>
      <c r="H1044" t="s">
        <v>475</v>
      </c>
      <c r="I1044" t="s">
        <v>474</v>
      </c>
      <c r="J1044" s="1">
        <v>16168.88</v>
      </c>
      <c r="K1044" s="1">
        <v>16168.88</v>
      </c>
      <c r="L1044" t="str">
        <f>IFERROR(IF(VLOOKUP(LEFT(B1044,2),'Humanitarian codes'!$A$2:$A$10,1,FALSE)=LEFT(B1044,2),"Yes","Error"),"No")</f>
        <v>No</v>
      </c>
      <c r="AE1044" s="1"/>
      <c r="AF1044" s="1"/>
    </row>
    <row r="1045" spans="1:32" hidden="1" x14ac:dyDescent="0.25">
      <c r="A1045" t="s">
        <v>1658</v>
      </c>
      <c r="B1045" t="s">
        <v>607</v>
      </c>
      <c r="C1045" t="s">
        <v>608</v>
      </c>
      <c r="D1045" t="s">
        <v>543</v>
      </c>
      <c r="E1045" t="s">
        <v>474</v>
      </c>
      <c r="F1045">
        <v>4500428368</v>
      </c>
      <c r="G1045" t="s">
        <v>12</v>
      </c>
      <c r="H1045" t="s">
        <v>1562</v>
      </c>
      <c r="I1045" t="s">
        <v>474</v>
      </c>
      <c r="J1045" s="1">
        <v>13474.06</v>
      </c>
      <c r="K1045" s="1">
        <v>13474.06</v>
      </c>
      <c r="L1045" t="str">
        <f>IFERROR(IF(VLOOKUP(LEFT(B1045,2),'Humanitarian codes'!$A$2:$A$10,1,FALSE)=LEFT(B1045,2),"Yes","Error"),"No")</f>
        <v>No</v>
      </c>
      <c r="AE1045" s="1"/>
      <c r="AF1045" s="1"/>
    </row>
    <row r="1046" spans="1:32" hidden="1" x14ac:dyDescent="0.25">
      <c r="A1046" t="s">
        <v>1658</v>
      </c>
      <c r="B1046" t="s">
        <v>607</v>
      </c>
      <c r="C1046" t="s">
        <v>608</v>
      </c>
      <c r="D1046" t="s">
        <v>543</v>
      </c>
      <c r="E1046" t="s">
        <v>504</v>
      </c>
      <c r="F1046">
        <v>4500409759</v>
      </c>
      <c r="G1046" t="s">
        <v>12</v>
      </c>
      <c r="H1046" t="s">
        <v>1563</v>
      </c>
      <c r="I1046" t="s">
        <v>504</v>
      </c>
      <c r="J1046" s="1">
        <v>4330.71</v>
      </c>
      <c r="K1046" s="1">
        <v>4330.71</v>
      </c>
      <c r="L1046" t="str">
        <f>IFERROR(IF(VLOOKUP(LEFT(B1046,2),'Humanitarian codes'!$A$2:$A$10,1,FALSE)=LEFT(B1046,2),"Yes","Error"),"No")</f>
        <v>No</v>
      </c>
      <c r="AE1046" s="1"/>
      <c r="AF1046" s="1"/>
    </row>
    <row r="1047" spans="1:32" hidden="1" x14ac:dyDescent="0.25">
      <c r="A1047" t="s">
        <v>1658</v>
      </c>
      <c r="B1047" t="s">
        <v>607</v>
      </c>
      <c r="C1047" t="s">
        <v>608</v>
      </c>
      <c r="D1047" t="s">
        <v>543</v>
      </c>
      <c r="E1047" t="s">
        <v>477</v>
      </c>
      <c r="F1047">
        <v>4500410706</v>
      </c>
      <c r="G1047" t="s">
        <v>12</v>
      </c>
      <c r="H1047" t="s">
        <v>1564</v>
      </c>
      <c r="I1047" t="s">
        <v>477</v>
      </c>
      <c r="J1047" s="1">
        <v>3913.99</v>
      </c>
      <c r="K1047" s="1">
        <v>3913.99</v>
      </c>
      <c r="L1047" t="str">
        <f>IFERROR(IF(VLOOKUP(LEFT(B1047,2),'Humanitarian codes'!$A$2:$A$10,1,FALSE)=LEFT(B1047,2),"Yes","Error"),"No")</f>
        <v>No</v>
      </c>
      <c r="AE1047" s="1"/>
      <c r="AF1047" s="1"/>
    </row>
    <row r="1048" spans="1:32" hidden="1" x14ac:dyDescent="0.25">
      <c r="A1048" t="s">
        <v>1658</v>
      </c>
      <c r="B1048" t="s">
        <v>607</v>
      </c>
      <c r="C1048" t="s">
        <v>608</v>
      </c>
      <c r="D1048" t="s">
        <v>543</v>
      </c>
      <c r="E1048" t="s">
        <v>477</v>
      </c>
      <c r="F1048">
        <v>4500411146</v>
      </c>
      <c r="G1048" t="s">
        <v>12</v>
      </c>
      <c r="H1048" t="s">
        <v>1565</v>
      </c>
      <c r="I1048" t="s">
        <v>477</v>
      </c>
      <c r="J1048" s="1">
        <v>5195.7</v>
      </c>
      <c r="K1048" s="1">
        <v>5195.7</v>
      </c>
      <c r="L1048" t="str">
        <f>IFERROR(IF(VLOOKUP(LEFT(B1048,2),'Humanitarian codes'!$A$2:$A$10,1,FALSE)=LEFT(B1048,2),"Yes","Error"),"No")</f>
        <v>No</v>
      </c>
      <c r="AE1048" s="1"/>
      <c r="AF1048" s="1"/>
    </row>
    <row r="1049" spans="1:32" hidden="1" x14ac:dyDescent="0.25">
      <c r="A1049" t="s">
        <v>1658</v>
      </c>
      <c r="B1049" t="s">
        <v>607</v>
      </c>
      <c r="C1049" t="s">
        <v>608</v>
      </c>
      <c r="D1049" t="s">
        <v>543</v>
      </c>
      <c r="E1049" t="s">
        <v>477</v>
      </c>
      <c r="F1049">
        <v>4500413404</v>
      </c>
      <c r="G1049" t="s">
        <v>12</v>
      </c>
      <c r="H1049" t="s">
        <v>744</v>
      </c>
      <c r="I1049" t="s">
        <v>477</v>
      </c>
      <c r="J1049" s="1">
        <v>5314.05</v>
      </c>
      <c r="K1049" s="1">
        <v>5314.05</v>
      </c>
      <c r="L1049" t="str">
        <f>IFERROR(IF(VLOOKUP(LEFT(B1049,2),'Humanitarian codes'!$A$2:$A$10,1,FALSE)=LEFT(B1049,2),"Yes","Error"),"No")</f>
        <v>No</v>
      </c>
      <c r="AE1049" s="1"/>
      <c r="AF1049" s="1"/>
    </row>
    <row r="1050" spans="1:32" hidden="1" x14ac:dyDescent="0.25">
      <c r="A1050" t="s">
        <v>1658</v>
      </c>
      <c r="B1050" t="s">
        <v>607</v>
      </c>
      <c r="C1050" t="s">
        <v>608</v>
      </c>
      <c r="D1050" t="s">
        <v>543</v>
      </c>
      <c r="E1050" t="s">
        <v>477</v>
      </c>
      <c r="F1050">
        <v>4500413410</v>
      </c>
      <c r="G1050" t="s">
        <v>12</v>
      </c>
      <c r="H1050" t="s">
        <v>611</v>
      </c>
      <c r="I1050" t="s">
        <v>477</v>
      </c>
      <c r="J1050" s="1">
        <v>3986.04</v>
      </c>
      <c r="K1050" s="1">
        <v>3986.04</v>
      </c>
      <c r="L1050" t="str">
        <f>IFERROR(IF(VLOOKUP(LEFT(B1050,2),'Humanitarian codes'!$A$2:$A$10,1,FALSE)=LEFT(B1050,2),"Yes","Error"),"No")</f>
        <v>No</v>
      </c>
      <c r="AE1050" s="1"/>
      <c r="AF1050" s="1"/>
    </row>
    <row r="1051" spans="1:32" hidden="1" x14ac:dyDescent="0.25">
      <c r="A1051" t="s">
        <v>1658</v>
      </c>
      <c r="B1051" t="s">
        <v>607</v>
      </c>
      <c r="C1051" t="s">
        <v>608</v>
      </c>
      <c r="D1051" t="s">
        <v>543</v>
      </c>
      <c r="E1051" t="s">
        <v>477</v>
      </c>
      <c r="F1051">
        <v>4500413455</v>
      </c>
      <c r="G1051" t="s">
        <v>12</v>
      </c>
      <c r="H1051" t="s">
        <v>1050</v>
      </c>
      <c r="I1051" t="s">
        <v>477</v>
      </c>
      <c r="J1051" s="1">
        <v>3986.1</v>
      </c>
      <c r="K1051" s="1">
        <v>3986.1</v>
      </c>
      <c r="L1051" t="str">
        <f>IFERROR(IF(VLOOKUP(LEFT(B1051,2),'Humanitarian codes'!$A$2:$A$10,1,FALSE)=LEFT(B1051,2),"Yes","Error"),"No")</f>
        <v>No</v>
      </c>
      <c r="AF1051" s="1"/>
    </row>
    <row r="1052" spans="1:32" hidden="1" x14ac:dyDescent="0.25">
      <c r="A1052" t="s">
        <v>1658</v>
      </c>
      <c r="B1052" t="s">
        <v>607</v>
      </c>
      <c r="C1052" t="s">
        <v>608</v>
      </c>
      <c r="D1052" t="s">
        <v>543</v>
      </c>
      <c r="E1052" t="s">
        <v>477</v>
      </c>
      <c r="F1052">
        <v>4500413460</v>
      </c>
      <c r="G1052" t="s">
        <v>12</v>
      </c>
      <c r="H1052" t="s">
        <v>1566</v>
      </c>
      <c r="I1052" t="s">
        <v>477</v>
      </c>
      <c r="J1052" s="1">
        <v>3986.04</v>
      </c>
      <c r="K1052" s="1">
        <v>3986.04</v>
      </c>
      <c r="L1052" t="str">
        <f>IFERROR(IF(VLOOKUP(LEFT(B1052,2),'Humanitarian codes'!$A$2:$A$10,1,FALSE)=LEFT(B1052,2),"Yes","Error"),"No")</f>
        <v>No</v>
      </c>
      <c r="AF1052" s="1"/>
    </row>
    <row r="1053" spans="1:32" hidden="1" x14ac:dyDescent="0.25">
      <c r="A1053" t="s">
        <v>1658</v>
      </c>
      <c r="B1053" t="s">
        <v>607</v>
      </c>
      <c r="C1053" t="s">
        <v>608</v>
      </c>
      <c r="D1053" t="s">
        <v>543</v>
      </c>
      <c r="E1053" t="s">
        <v>477</v>
      </c>
      <c r="F1053">
        <v>4500413536</v>
      </c>
      <c r="G1053" t="s">
        <v>12</v>
      </c>
      <c r="H1053" t="s">
        <v>745</v>
      </c>
      <c r="I1053" t="s">
        <v>477</v>
      </c>
      <c r="J1053" s="1">
        <v>5207.58</v>
      </c>
      <c r="K1053" s="1">
        <v>5207.58</v>
      </c>
      <c r="L1053" t="str">
        <f>IFERROR(IF(VLOOKUP(LEFT(B1053,2),'Humanitarian codes'!$A$2:$A$10,1,FALSE)=LEFT(B1053,2),"Yes","Error"),"No")</f>
        <v>No</v>
      </c>
      <c r="AE1053" s="1"/>
      <c r="AF1053" s="1"/>
    </row>
    <row r="1054" spans="1:32" hidden="1" x14ac:dyDescent="0.25">
      <c r="A1054" t="s">
        <v>1658</v>
      </c>
      <c r="B1054" t="s">
        <v>607</v>
      </c>
      <c r="C1054" t="s">
        <v>608</v>
      </c>
      <c r="D1054" t="s">
        <v>543</v>
      </c>
      <c r="E1054" t="s">
        <v>477</v>
      </c>
      <c r="F1054">
        <v>4500413539</v>
      </c>
      <c r="G1054" t="s">
        <v>12</v>
      </c>
      <c r="H1054" t="s">
        <v>506</v>
      </c>
      <c r="I1054" t="s">
        <v>477</v>
      </c>
      <c r="J1054" s="1">
        <v>4665.2</v>
      </c>
      <c r="K1054" s="1">
        <v>4665.2</v>
      </c>
      <c r="L1054" t="str">
        <f>IFERROR(IF(VLOOKUP(LEFT(B1054,2),'Humanitarian codes'!$A$2:$A$10,1,FALSE)=LEFT(B1054,2),"Yes","Error"),"No")</f>
        <v>No</v>
      </c>
      <c r="AE1054" s="1"/>
      <c r="AF1054" s="1"/>
    </row>
    <row r="1055" spans="1:32" hidden="1" x14ac:dyDescent="0.25">
      <c r="A1055" t="s">
        <v>1658</v>
      </c>
      <c r="B1055" t="s">
        <v>607</v>
      </c>
      <c r="C1055" t="s">
        <v>608</v>
      </c>
      <c r="D1055" t="s">
        <v>543</v>
      </c>
      <c r="E1055" t="s">
        <v>477</v>
      </c>
      <c r="F1055">
        <v>4500413543</v>
      </c>
      <c r="G1055" t="s">
        <v>12</v>
      </c>
      <c r="H1055" t="s">
        <v>1567</v>
      </c>
      <c r="I1055" t="s">
        <v>477</v>
      </c>
      <c r="J1055" s="1">
        <v>5314.05</v>
      </c>
      <c r="K1055" s="1">
        <v>5314.05</v>
      </c>
      <c r="L1055" t="str">
        <f>IFERROR(IF(VLOOKUP(LEFT(B1055,2),'Humanitarian codes'!$A$2:$A$10,1,FALSE)=LEFT(B1055,2),"Yes","Error"),"No")</f>
        <v>No</v>
      </c>
      <c r="AE1055" s="1"/>
      <c r="AF1055" s="1"/>
    </row>
    <row r="1056" spans="1:32" hidden="1" x14ac:dyDescent="0.25">
      <c r="A1056" t="s">
        <v>1658</v>
      </c>
      <c r="B1056" t="s">
        <v>607</v>
      </c>
      <c r="C1056" t="s">
        <v>608</v>
      </c>
      <c r="D1056" t="s">
        <v>543</v>
      </c>
      <c r="E1056" t="s">
        <v>477</v>
      </c>
      <c r="F1056">
        <v>4500413547</v>
      </c>
      <c r="G1056" t="s">
        <v>12</v>
      </c>
      <c r="H1056" t="s">
        <v>612</v>
      </c>
      <c r="I1056" t="s">
        <v>477</v>
      </c>
      <c r="J1056" s="1">
        <v>5207.58</v>
      </c>
      <c r="K1056" s="1">
        <v>5207.58</v>
      </c>
      <c r="L1056" t="str">
        <f>IFERROR(IF(VLOOKUP(LEFT(B1056,2),'Humanitarian codes'!$A$2:$A$10,1,FALSE)=LEFT(B1056,2),"Yes","Error"),"No")</f>
        <v>No</v>
      </c>
      <c r="AE1056" s="1"/>
      <c r="AF1056" s="1"/>
    </row>
    <row r="1057" spans="1:32" hidden="1" x14ac:dyDescent="0.25">
      <c r="A1057" t="s">
        <v>1658</v>
      </c>
      <c r="B1057" t="s">
        <v>607</v>
      </c>
      <c r="C1057" t="s">
        <v>608</v>
      </c>
      <c r="D1057" t="s">
        <v>543</v>
      </c>
      <c r="E1057" t="s">
        <v>477</v>
      </c>
      <c r="F1057">
        <v>4500419230</v>
      </c>
      <c r="G1057" t="s">
        <v>12</v>
      </c>
      <c r="H1057" t="s">
        <v>1567</v>
      </c>
      <c r="I1057" t="s">
        <v>477</v>
      </c>
      <c r="J1057" s="1">
        <v>14270.03</v>
      </c>
      <c r="K1057" s="1">
        <v>14270.03</v>
      </c>
      <c r="L1057" t="str">
        <f>IFERROR(IF(VLOOKUP(LEFT(B1057,2),'Humanitarian codes'!$A$2:$A$10,1,FALSE)=LEFT(B1057,2),"Yes","Error"),"No")</f>
        <v>No</v>
      </c>
      <c r="AE1057" s="1"/>
      <c r="AF1057" s="1"/>
    </row>
    <row r="1058" spans="1:32" hidden="1" x14ac:dyDescent="0.25">
      <c r="A1058" t="s">
        <v>1658</v>
      </c>
      <c r="B1058" t="s">
        <v>607</v>
      </c>
      <c r="C1058" t="s">
        <v>608</v>
      </c>
      <c r="D1058" t="s">
        <v>543</v>
      </c>
      <c r="E1058" t="s">
        <v>477</v>
      </c>
      <c r="F1058">
        <v>4500419231</v>
      </c>
      <c r="G1058" t="s">
        <v>12</v>
      </c>
      <c r="H1058" t="s">
        <v>1568</v>
      </c>
      <c r="I1058" t="s">
        <v>477</v>
      </c>
      <c r="J1058" s="1">
        <v>13049.31</v>
      </c>
      <c r="K1058" s="1">
        <v>13049.31</v>
      </c>
      <c r="L1058" t="str">
        <f>IFERROR(IF(VLOOKUP(LEFT(B1058,2),'Humanitarian codes'!$A$2:$A$10,1,FALSE)=LEFT(B1058,2),"Yes","Error"),"No")</f>
        <v>No</v>
      </c>
      <c r="AE1058" s="1"/>
      <c r="AF1058" s="1"/>
    </row>
    <row r="1059" spans="1:32" hidden="1" x14ac:dyDescent="0.25">
      <c r="A1059" t="s">
        <v>1658</v>
      </c>
      <c r="B1059" t="s">
        <v>1569</v>
      </c>
      <c r="C1059" t="s">
        <v>1570</v>
      </c>
      <c r="D1059" t="s">
        <v>543</v>
      </c>
      <c r="E1059" t="s">
        <v>159</v>
      </c>
      <c r="F1059">
        <v>4500381724</v>
      </c>
      <c r="G1059" t="s">
        <v>12</v>
      </c>
      <c r="H1059" t="s">
        <v>250</v>
      </c>
      <c r="I1059" t="s">
        <v>159</v>
      </c>
      <c r="J1059" s="1">
        <v>33296.339999999997</v>
      </c>
      <c r="K1059" s="1">
        <v>33296.339999999997</v>
      </c>
      <c r="L1059" t="str">
        <f>IFERROR(IF(VLOOKUP(LEFT(B1059,2),'Humanitarian codes'!$A$2:$A$10,1,FALSE)=LEFT(B1059,2),"Yes","Error"),"No")</f>
        <v>No</v>
      </c>
      <c r="AE1059" s="1"/>
      <c r="AF1059" s="1"/>
    </row>
    <row r="1060" spans="1:32" hidden="1" x14ac:dyDescent="0.25">
      <c r="A1060" t="s">
        <v>1658</v>
      </c>
      <c r="B1060" t="s">
        <v>1569</v>
      </c>
      <c r="C1060" t="s">
        <v>1570</v>
      </c>
      <c r="D1060" t="s">
        <v>543</v>
      </c>
      <c r="E1060" t="s">
        <v>159</v>
      </c>
      <c r="F1060">
        <v>4500426657</v>
      </c>
      <c r="G1060" t="s">
        <v>12</v>
      </c>
      <c r="H1060" t="s">
        <v>1358</v>
      </c>
      <c r="I1060" t="s">
        <v>159</v>
      </c>
      <c r="J1060" s="1">
        <v>46425</v>
      </c>
      <c r="K1060" s="1">
        <v>185700</v>
      </c>
      <c r="L1060" t="str">
        <f>IFERROR(IF(VLOOKUP(LEFT(B1060,2),'Humanitarian codes'!$A$2:$A$10,1,FALSE)=LEFT(B1060,2),"Yes","Error"),"No")</f>
        <v>No</v>
      </c>
      <c r="AE1060" s="1"/>
      <c r="AF1060" s="1"/>
    </row>
    <row r="1061" spans="1:32" hidden="1" x14ac:dyDescent="0.25">
      <c r="A1061" t="s">
        <v>1658</v>
      </c>
      <c r="B1061" t="s">
        <v>621</v>
      </c>
      <c r="C1061" t="s">
        <v>622</v>
      </c>
      <c r="D1061" t="s">
        <v>543</v>
      </c>
      <c r="E1061" t="s">
        <v>54</v>
      </c>
      <c r="F1061">
        <v>4500417403</v>
      </c>
      <c r="G1061" t="s">
        <v>12</v>
      </c>
      <c r="H1061" t="s">
        <v>1571</v>
      </c>
      <c r="I1061" t="s">
        <v>54</v>
      </c>
      <c r="J1061" s="1">
        <v>39938.620000000003</v>
      </c>
      <c r="K1061" s="1">
        <v>39938.620000000003</v>
      </c>
      <c r="L1061" t="str">
        <f>IFERROR(IF(VLOOKUP(LEFT(B1061,2),'Humanitarian codes'!$A$2:$A$10,1,FALSE)=LEFT(B1061,2),"Yes","Error"),"No")</f>
        <v>No</v>
      </c>
      <c r="AE1061" s="1"/>
      <c r="AF1061" s="1"/>
    </row>
    <row r="1062" spans="1:32" hidden="1" x14ac:dyDescent="0.25">
      <c r="A1062" t="s">
        <v>1658</v>
      </c>
      <c r="B1062" t="s">
        <v>621</v>
      </c>
      <c r="C1062" t="s">
        <v>622</v>
      </c>
      <c r="D1062" t="s">
        <v>543</v>
      </c>
      <c r="E1062" t="s">
        <v>54</v>
      </c>
      <c r="F1062">
        <v>4500417742</v>
      </c>
      <c r="G1062" t="s">
        <v>12</v>
      </c>
      <c r="H1062" t="s">
        <v>931</v>
      </c>
      <c r="I1062" t="s">
        <v>54</v>
      </c>
      <c r="J1062" s="1">
        <v>13304.35</v>
      </c>
      <c r="K1062" s="1">
        <v>13304.35</v>
      </c>
      <c r="L1062" t="str">
        <f>IFERROR(IF(VLOOKUP(LEFT(B1062,2),'Humanitarian codes'!$A$2:$A$10,1,FALSE)=LEFT(B1062,2),"Yes","Error"),"No")</f>
        <v>No</v>
      </c>
      <c r="AE1062" s="1"/>
      <c r="AF1062" s="1"/>
    </row>
    <row r="1063" spans="1:32" hidden="1" x14ac:dyDescent="0.25">
      <c r="A1063" t="s">
        <v>1658</v>
      </c>
      <c r="B1063" t="s">
        <v>625</v>
      </c>
      <c r="C1063" t="s">
        <v>626</v>
      </c>
      <c r="D1063" t="s">
        <v>543</v>
      </c>
      <c r="E1063" t="s">
        <v>210</v>
      </c>
      <c r="F1063">
        <v>4500410093</v>
      </c>
      <c r="G1063" t="s">
        <v>12</v>
      </c>
      <c r="H1063" t="s">
        <v>880</v>
      </c>
      <c r="I1063" t="s">
        <v>210</v>
      </c>
      <c r="J1063" s="1">
        <v>5197.74</v>
      </c>
      <c r="K1063" s="1">
        <v>5197.74</v>
      </c>
      <c r="L1063" t="str">
        <f>IFERROR(IF(VLOOKUP(LEFT(B1063,2),'Humanitarian codes'!$A$2:$A$10,1,FALSE)=LEFT(B1063,2),"Yes","Error"),"No")</f>
        <v>No</v>
      </c>
      <c r="AE1063" s="1"/>
      <c r="AF1063" s="1"/>
    </row>
    <row r="1064" spans="1:32" hidden="1" x14ac:dyDescent="0.25">
      <c r="A1064" t="s">
        <v>1658</v>
      </c>
      <c r="B1064" t="s">
        <v>625</v>
      </c>
      <c r="C1064" t="s">
        <v>626</v>
      </c>
      <c r="D1064" t="s">
        <v>543</v>
      </c>
      <c r="E1064" t="s">
        <v>210</v>
      </c>
      <c r="F1064">
        <v>4500418715</v>
      </c>
      <c r="G1064" t="s">
        <v>12</v>
      </c>
      <c r="H1064" t="s">
        <v>213</v>
      </c>
      <c r="I1064" t="s">
        <v>210</v>
      </c>
      <c r="J1064" s="1">
        <v>208981.56</v>
      </c>
      <c r="K1064" s="1">
        <v>208981.56</v>
      </c>
      <c r="L1064" t="str">
        <f>IFERROR(IF(VLOOKUP(LEFT(B1064,2),'Humanitarian codes'!$A$2:$A$10,1,FALSE)=LEFT(B1064,2),"Yes","Error"),"No")</f>
        <v>No</v>
      </c>
      <c r="AE1064" s="1"/>
      <c r="AF1064" s="1"/>
    </row>
    <row r="1065" spans="1:32" hidden="1" x14ac:dyDescent="0.25">
      <c r="A1065" t="s">
        <v>1658</v>
      </c>
      <c r="B1065" t="s">
        <v>625</v>
      </c>
      <c r="C1065" t="s">
        <v>626</v>
      </c>
      <c r="D1065" t="s">
        <v>543</v>
      </c>
      <c r="E1065" t="s">
        <v>210</v>
      </c>
      <c r="F1065">
        <v>4500422639</v>
      </c>
      <c r="G1065" t="s">
        <v>12</v>
      </c>
      <c r="H1065" t="s">
        <v>627</v>
      </c>
      <c r="I1065" t="s">
        <v>210</v>
      </c>
      <c r="J1065" s="1">
        <v>71404.710000000006</v>
      </c>
      <c r="K1065" s="1">
        <v>71404.710000000006</v>
      </c>
      <c r="L1065" t="str">
        <f>IFERROR(IF(VLOOKUP(LEFT(B1065,2),'Humanitarian codes'!$A$2:$A$10,1,FALSE)=LEFT(B1065,2),"Yes","Error"),"No")</f>
        <v>No</v>
      </c>
      <c r="AF1065" s="1"/>
    </row>
    <row r="1066" spans="1:32" hidden="1" x14ac:dyDescent="0.25">
      <c r="A1066" t="s">
        <v>1658</v>
      </c>
      <c r="B1066" t="s">
        <v>1070</v>
      </c>
      <c r="C1066" t="s">
        <v>1071</v>
      </c>
      <c r="D1066" t="s">
        <v>543</v>
      </c>
      <c r="E1066" t="s">
        <v>54</v>
      </c>
      <c r="F1066">
        <v>4500380647</v>
      </c>
      <c r="G1066" t="s">
        <v>12</v>
      </c>
      <c r="H1066" t="s">
        <v>789</v>
      </c>
      <c r="I1066" t="s">
        <v>54</v>
      </c>
      <c r="J1066" s="1">
        <v>2369.33</v>
      </c>
      <c r="K1066" s="1">
        <v>2369.33</v>
      </c>
      <c r="L1066" t="str">
        <f>IFERROR(IF(VLOOKUP(LEFT(B1066,2),'Humanitarian codes'!$A$2:$A$10,1,FALSE)=LEFT(B1066,2),"Yes","Error"),"No")</f>
        <v>No</v>
      </c>
      <c r="AF1066" s="1"/>
    </row>
    <row r="1067" spans="1:32" hidden="1" x14ac:dyDescent="0.25">
      <c r="A1067" t="s">
        <v>1658</v>
      </c>
      <c r="B1067" t="s">
        <v>1572</v>
      </c>
      <c r="C1067" t="s">
        <v>1573</v>
      </c>
      <c r="D1067" t="s">
        <v>543</v>
      </c>
      <c r="E1067" t="s">
        <v>356</v>
      </c>
      <c r="F1067">
        <v>4500417009</v>
      </c>
      <c r="G1067" t="s">
        <v>12</v>
      </c>
      <c r="H1067" t="s">
        <v>1574</v>
      </c>
      <c r="I1067" t="s">
        <v>356</v>
      </c>
      <c r="J1067" s="1">
        <v>7495</v>
      </c>
      <c r="K1067" s="1">
        <v>7495</v>
      </c>
      <c r="L1067" t="str">
        <f>IFERROR(IF(VLOOKUP(LEFT(B1067,2),'Humanitarian codes'!$A$2:$A$10,1,FALSE)=LEFT(B1067,2),"Yes","Error"),"No")</f>
        <v>No</v>
      </c>
      <c r="AF1067" s="1"/>
    </row>
    <row r="1068" spans="1:32" hidden="1" x14ac:dyDescent="0.25">
      <c r="A1068" t="s">
        <v>1658</v>
      </c>
      <c r="B1068" t="s">
        <v>1572</v>
      </c>
      <c r="C1068" t="s">
        <v>1573</v>
      </c>
      <c r="D1068" t="s">
        <v>543</v>
      </c>
      <c r="E1068" t="s">
        <v>356</v>
      </c>
      <c r="F1068">
        <v>4500417025</v>
      </c>
      <c r="G1068" t="s">
        <v>12</v>
      </c>
      <c r="H1068" t="s">
        <v>1575</v>
      </c>
      <c r="I1068" t="s">
        <v>356</v>
      </c>
      <c r="J1068" s="1">
        <v>9555</v>
      </c>
      <c r="K1068" s="1">
        <v>9555</v>
      </c>
      <c r="L1068" t="str">
        <f>IFERROR(IF(VLOOKUP(LEFT(B1068,2),'Humanitarian codes'!$A$2:$A$10,1,FALSE)=LEFT(B1068,2),"Yes","Error"),"No")</f>
        <v>No</v>
      </c>
      <c r="AE1068" s="1"/>
      <c r="AF1068" s="1"/>
    </row>
    <row r="1069" spans="1:32" hidden="1" x14ac:dyDescent="0.25">
      <c r="A1069" t="s">
        <v>1658</v>
      </c>
      <c r="B1069" t="s">
        <v>1576</v>
      </c>
      <c r="C1069" t="s">
        <v>1577</v>
      </c>
      <c r="D1069" t="s">
        <v>543</v>
      </c>
      <c r="E1069" t="s">
        <v>561</v>
      </c>
      <c r="F1069">
        <v>4500424151</v>
      </c>
      <c r="G1069" t="s">
        <v>713</v>
      </c>
      <c r="H1069" t="s">
        <v>1578</v>
      </c>
      <c r="I1069" t="s">
        <v>561</v>
      </c>
      <c r="J1069" s="1">
        <v>127422.17</v>
      </c>
      <c r="K1069" s="1">
        <v>127422.17</v>
      </c>
      <c r="L1069" t="str">
        <f>IFERROR(IF(VLOOKUP(LEFT(B1069,2),'Humanitarian codes'!$A$2:$A$10,1,FALSE)=LEFT(B1069,2),"Yes","Error"),"No")</f>
        <v>No</v>
      </c>
      <c r="AE1069" s="1"/>
      <c r="AF1069" s="1"/>
    </row>
    <row r="1070" spans="1:32" hidden="1" x14ac:dyDescent="0.25">
      <c r="A1070" t="s">
        <v>1658</v>
      </c>
      <c r="B1070" t="s">
        <v>637</v>
      </c>
      <c r="C1070" t="s">
        <v>638</v>
      </c>
      <c r="D1070" t="s">
        <v>543</v>
      </c>
      <c r="E1070" t="s">
        <v>303</v>
      </c>
      <c r="F1070">
        <v>4500384080</v>
      </c>
      <c r="G1070" t="s">
        <v>12</v>
      </c>
      <c r="H1070" t="s">
        <v>374</v>
      </c>
      <c r="I1070" t="s">
        <v>303</v>
      </c>
      <c r="J1070" s="1">
        <v>4351.1099999999997</v>
      </c>
      <c r="K1070" s="1">
        <v>24233.34</v>
      </c>
      <c r="L1070" t="str">
        <f>IFERROR(IF(VLOOKUP(LEFT(B1070,2),'Humanitarian codes'!$A$2:$A$10,1,FALSE)=LEFT(B1070,2),"Yes","Error"),"No")</f>
        <v>No</v>
      </c>
      <c r="AF1070" s="1"/>
    </row>
    <row r="1071" spans="1:32" hidden="1" x14ac:dyDescent="0.25">
      <c r="A1071" t="s">
        <v>1658</v>
      </c>
      <c r="B1071" t="s">
        <v>1582</v>
      </c>
      <c r="C1071" t="s">
        <v>1583</v>
      </c>
      <c r="D1071" t="s">
        <v>543</v>
      </c>
      <c r="E1071" t="s">
        <v>500</v>
      </c>
      <c r="F1071">
        <v>4500409540</v>
      </c>
      <c r="G1071" t="s">
        <v>12</v>
      </c>
      <c r="H1071" t="s">
        <v>1584</v>
      </c>
      <c r="I1071" t="s">
        <v>500</v>
      </c>
      <c r="J1071" s="1">
        <v>260272.02</v>
      </c>
      <c r="K1071" s="1">
        <v>260272.02</v>
      </c>
      <c r="L1071" t="str">
        <f>IFERROR(IF(VLOOKUP(LEFT(B1071,2),'Humanitarian codes'!$A$2:$A$10,1,FALSE)=LEFT(B1071,2),"Yes","Error"),"No")</f>
        <v>No</v>
      </c>
      <c r="AF1071" s="1"/>
    </row>
    <row r="1072" spans="1:32" hidden="1" x14ac:dyDescent="0.25">
      <c r="A1072" t="s">
        <v>1658</v>
      </c>
      <c r="B1072" t="s">
        <v>1081</v>
      </c>
      <c r="C1072" t="s">
        <v>1082</v>
      </c>
      <c r="D1072" t="s">
        <v>543</v>
      </c>
      <c r="E1072" t="s">
        <v>25</v>
      </c>
      <c r="F1072">
        <v>4500425719</v>
      </c>
      <c r="G1072" t="s">
        <v>12</v>
      </c>
      <c r="H1072" t="s">
        <v>1585</v>
      </c>
      <c r="I1072" t="s">
        <v>25</v>
      </c>
      <c r="J1072" s="1">
        <v>134598.01999999999</v>
      </c>
      <c r="K1072" s="1">
        <v>134598.01999999999</v>
      </c>
      <c r="L1072" t="str">
        <f>IFERROR(IF(VLOOKUP(LEFT(B1072,2),'Humanitarian codes'!$A$2:$A$10,1,FALSE)=LEFT(B1072,2),"Yes","Error"),"No")</f>
        <v>No</v>
      </c>
      <c r="AE1072" s="1"/>
      <c r="AF1072" s="1"/>
    </row>
    <row r="1073" spans="1:32" hidden="1" x14ac:dyDescent="0.25">
      <c r="A1073" t="s">
        <v>1658</v>
      </c>
      <c r="B1073" t="s">
        <v>1081</v>
      </c>
      <c r="C1073" t="s">
        <v>1082</v>
      </c>
      <c r="D1073" t="s">
        <v>543</v>
      </c>
      <c r="E1073" t="s">
        <v>25</v>
      </c>
      <c r="F1073">
        <v>4500425725</v>
      </c>
      <c r="G1073" t="s">
        <v>12</v>
      </c>
      <c r="H1073" t="s">
        <v>1586</v>
      </c>
      <c r="I1073" t="s">
        <v>25</v>
      </c>
      <c r="J1073" s="1">
        <v>133425.68</v>
      </c>
      <c r="K1073" s="1">
        <v>133425.68</v>
      </c>
      <c r="L1073" t="str">
        <f>IFERROR(IF(VLOOKUP(LEFT(B1073,2),'Humanitarian codes'!$A$2:$A$10,1,FALSE)=LEFT(B1073,2),"Yes","Error"),"No")</f>
        <v>No</v>
      </c>
      <c r="AE1073" s="1"/>
      <c r="AF1073" s="1"/>
    </row>
    <row r="1074" spans="1:32" hidden="1" x14ac:dyDescent="0.25">
      <c r="A1074" t="s">
        <v>1658</v>
      </c>
      <c r="B1074" t="s">
        <v>1081</v>
      </c>
      <c r="C1074" t="s">
        <v>1082</v>
      </c>
      <c r="D1074" t="s">
        <v>543</v>
      </c>
      <c r="E1074" t="s">
        <v>25</v>
      </c>
      <c r="F1074">
        <v>4500425727</v>
      </c>
      <c r="G1074" t="s">
        <v>12</v>
      </c>
      <c r="H1074" t="s">
        <v>1587</v>
      </c>
      <c r="I1074" t="s">
        <v>25</v>
      </c>
      <c r="J1074" s="1">
        <v>129268.3</v>
      </c>
      <c r="K1074" s="1">
        <v>129268.3</v>
      </c>
      <c r="L1074" t="str">
        <f>IFERROR(IF(VLOOKUP(LEFT(B1074,2),'Humanitarian codes'!$A$2:$A$10,1,FALSE)=LEFT(B1074,2),"Yes","Error"),"No")</f>
        <v>No</v>
      </c>
      <c r="AE1074" s="1"/>
      <c r="AF1074" s="1"/>
    </row>
    <row r="1075" spans="1:32" hidden="1" x14ac:dyDescent="0.25">
      <c r="A1075" t="s">
        <v>1658</v>
      </c>
      <c r="B1075" t="s">
        <v>1081</v>
      </c>
      <c r="C1075" t="s">
        <v>1082</v>
      </c>
      <c r="D1075" t="s">
        <v>543</v>
      </c>
      <c r="E1075" t="s">
        <v>25</v>
      </c>
      <c r="F1075">
        <v>4500425732</v>
      </c>
      <c r="G1075" t="s">
        <v>12</v>
      </c>
      <c r="H1075" t="s">
        <v>1588</v>
      </c>
      <c r="I1075" t="s">
        <v>25</v>
      </c>
      <c r="J1075" s="1">
        <v>132555.62</v>
      </c>
      <c r="K1075" s="1">
        <v>132555.62</v>
      </c>
      <c r="L1075" t="str">
        <f>IFERROR(IF(VLOOKUP(LEFT(B1075,2),'Humanitarian codes'!$A$2:$A$10,1,FALSE)=LEFT(B1075,2),"Yes","Error"),"No")</f>
        <v>No</v>
      </c>
      <c r="AE1075" s="1"/>
      <c r="AF1075" s="1"/>
    </row>
    <row r="1076" spans="1:32" hidden="1" x14ac:dyDescent="0.25">
      <c r="A1076" t="s">
        <v>1658</v>
      </c>
      <c r="B1076" t="s">
        <v>1590</v>
      </c>
      <c r="C1076" t="s">
        <v>1591</v>
      </c>
      <c r="D1076" t="s">
        <v>543</v>
      </c>
      <c r="E1076" t="s">
        <v>25</v>
      </c>
      <c r="F1076">
        <v>4500411970</v>
      </c>
      <c r="G1076" t="s">
        <v>12</v>
      </c>
      <c r="H1076" t="s">
        <v>1592</v>
      </c>
      <c r="I1076" t="s">
        <v>25</v>
      </c>
      <c r="J1076" s="1">
        <v>76702.66</v>
      </c>
      <c r="K1076" s="1">
        <v>76702.66</v>
      </c>
      <c r="L1076" t="str">
        <f>IFERROR(IF(VLOOKUP(LEFT(B1076,2),'Humanitarian codes'!$A$2:$A$10,1,FALSE)=LEFT(B1076,2),"Yes","Error"),"No")</f>
        <v>No</v>
      </c>
      <c r="AE1076" s="1"/>
      <c r="AF1076" s="1"/>
    </row>
    <row r="1077" spans="1:32" hidden="1" x14ac:dyDescent="0.25">
      <c r="A1077" t="s">
        <v>1658</v>
      </c>
      <c r="B1077" t="s">
        <v>639</v>
      </c>
      <c r="C1077" t="s">
        <v>640</v>
      </c>
      <c r="D1077" t="s">
        <v>543</v>
      </c>
      <c r="E1077" t="s">
        <v>25</v>
      </c>
      <c r="F1077">
        <v>4500422093</v>
      </c>
      <c r="G1077" t="s">
        <v>12</v>
      </c>
      <c r="H1077" t="s">
        <v>1593</v>
      </c>
      <c r="I1077" t="s">
        <v>25</v>
      </c>
      <c r="J1077" s="1">
        <v>100371.35</v>
      </c>
      <c r="K1077" s="1">
        <v>100371.35</v>
      </c>
      <c r="L1077" t="str">
        <f>IFERROR(IF(VLOOKUP(LEFT(B1077,2),'Humanitarian codes'!$A$2:$A$10,1,FALSE)=LEFT(B1077,2),"Yes","Error"),"No")</f>
        <v>No</v>
      </c>
      <c r="AE1077" s="1"/>
      <c r="AF1077" s="1"/>
    </row>
    <row r="1078" spans="1:32" hidden="1" x14ac:dyDescent="0.25">
      <c r="A1078" t="s">
        <v>1658</v>
      </c>
      <c r="B1078" t="s">
        <v>639</v>
      </c>
      <c r="C1078" t="s">
        <v>640</v>
      </c>
      <c r="D1078" t="s">
        <v>543</v>
      </c>
      <c r="E1078" t="s">
        <v>25</v>
      </c>
      <c r="F1078">
        <v>4500422505</v>
      </c>
      <c r="G1078" t="s">
        <v>12</v>
      </c>
      <c r="H1078" t="s">
        <v>1594</v>
      </c>
      <c r="I1078" t="s">
        <v>25</v>
      </c>
      <c r="J1078" s="1">
        <v>104013.78</v>
      </c>
      <c r="K1078" s="1">
        <v>104013.78</v>
      </c>
      <c r="L1078" t="str">
        <f>IFERROR(IF(VLOOKUP(LEFT(B1078,2),'Humanitarian codes'!$A$2:$A$10,1,FALSE)=LEFT(B1078,2),"Yes","Error"),"No")</f>
        <v>No</v>
      </c>
      <c r="AE1078" s="1"/>
      <c r="AF1078" s="1"/>
    </row>
    <row r="1079" spans="1:32" hidden="1" x14ac:dyDescent="0.25">
      <c r="A1079" t="s">
        <v>1658</v>
      </c>
      <c r="B1079" t="s">
        <v>1595</v>
      </c>
      <c r="C1079" t="s">
        <v>1596</v>
      </c>
      <c r="D1079" t="s">
        <v>543</v>
      </c>
      <c r="E1079" t="s">
        <v>649</v>
      </c>
      <c r="F1079">
        <v>4500419734</v>
      </c>
      <c r="G1079" t="s">
        <v>12</v>
      </c>
      <c r="H1079" t="s">
        <v>1095</v>
      </c>
      <c r="I1079" t="s">
        <v>649</v>
      </c>
      <c r="J1079" s="1">
        <v>20031.849999999999</v>
      </c>
      <c r="K1079" s="1">
        <v>20031.849999999999</v>
      </c>
      <c r="L1079" t="str">
        <f>IFERROR(IF(VLOOKUP(LEFT(B1079,2),'Humanitarian codes'!$A$2:$A$10,1,FALSE)=LEFT(B1079,2),"Yes","Error"),"No")</f>
        <v>No</v>
      </c>
      <c r="AE1079" s="1"/>
      <c r="AF1079" s="1"/>
    </row>
    <row r="1080" spans="1:32" hidden="1" x14ac:dyDescent="0.25">
      <c r="A1080" t="s">
        <v>1658</v>
      </c>
      <c r="B1080" t="s">
        <v>1595</v>
      </c>
      <c r="C1080" t="s">
        <v>1596</v>
      </c>
      <c r="D1080" t="s">
        <v>543</v>
      </c>
      <c r="E1080" t="s">
        <v>649</v>
      </c>
      <c r="F1080">
        <v>4500421666</v>
      </c>
      <c r="G1080" t="s">
        <v>12</v>
      </c>
      <c r="H1080" t="s">
        <v>1597</v>
      </c>
      <c r="I1080" t="s">
        <v>649</v>
      </c>
      <c r="J1080" s="1">
        <v>73303.19</v>
      </c>
      <c r="K1080" s="1">
        <v>73303.19</v>
      </c>
      <c r="L1080" t="str">
        <f>IFERROR(IF(VLOOKUP(LEFT(B1080,2),'Humanitarian codes'!$A$2:$A$10,1,FALSE)=LEFT(B1080,2),"Yes","Error"),"No")</f>
        <v>No</v>
      </c>
      <c r="AE1080" s="1"/>
      <c r="AF1080" s="1"/>
    </row>
    <row r="1081" spans="1:32" hidden="1" x14ac:dyDescent="0.25">
      <c r="A1081" t="s">
        <v>1658</v>
      </c>
      <c r="B1081" t="s">
        <v>1086</v>
      </c>
      <c r="C1081" t="s">
        <v>1087</v>
      </c>
      <c r="D1081" t="s">
        <v>543</v>
      </c>
      <c r="E1081" t="s">
        <v>890</v>
      </c>
      <c r="F1081">
        <v>4500407701</v>
      </c>
      <c r="G1081" t="s">
        <v>12</v>
      </c>
      <c r="H1081" t="s">
        <v>892</v>
      </c>
      <c r="I1081" t="s">
        <v>890</v>
      </c>
      <c r="J1081" s="1">
        <v>18415</v>
      </c>
      <c r="K1081" s="1">
        <v>18415</v>
      </c>
      <c r="L1081" t="str">
        <f>IFERROR(IF(VLOOKUP(LEFT(B1081,2),'Humanitarian codes'!$A$2:$A$10,1,FALSE)=LEFT(B1081,2),"Yes","Error"),"No")</f>
        <v>No</v>
      </c>
      <c r="AE1081" s="1"/>
      <c r="AF1081" s="1"/>
    </row>
    <row r="1082" spans="1:32" hidden="1" x14ac:dyDescent="0.25">
      <c r="A1082" t="s">
        <v>1658</v>
      </c>
      <c r="B1082" t="s">
        <v>1086</v>
      </c>
      <c r="C1082" t="s">
        <v>1087</v>
      </c>
      <c r="D1082" t="s">
        <v>543</v>
      </c>
      <c r="E1082" t="s">
        <v>890</v>
      </c>
      <c r="F1082">
        <v>4500407722</v>
      </c>
      <c r="G1082" t="s">
        <v>12</v>
      </c>
      <c r="H1082" t="s">
        <v>1419</v>
      </c>
      <c r="I1082" t="s">
        <v>890</v>
      </c>
      <c r="J1082" s="1">
        <v>17000</v>
      </c>
      <c r="K1082" s="1">
        <v>17000</v>
      </c>
      <c r="L1082" t="str">
        <f>IFERROR(IF(VLOOKUP(LEFT(B1082,2),'Humanitarian codes'!$A$2:$A$10,1,FALSE)=LEFT(B1082,2),"Yes","Error"),"No")</f>
        <v>No</v>
      </c>
      <c r="AE1082" s="1"/>
      <c r="AF1082" s="1"/>
    </row>
    <row r="1083" spans="1:32" hidden="1" x14ac:dyDescent="0.25">
      <c r="A1083" t="s">
        <v>1658</v>
      </c>
      <c r="B1083" t="s">
        <v>1086</v>
      </c>
      <c r="C1083" t="s">
        <v>1087</v>
      </c>
      <c r="D1083" t="s">
        <v>543</v>
      </c>
      <c r="E1083" t="s">
        <v>890</v>
      </c>
      <c r="F1083">
        <v>4500407999</v>
      </c>
      <c r="G1083" t="s">
        <v>12</v>
      </c>
      <c r="H1083" t="s">
        <v>247</v>
      </c>
      <c r="I1083" t="s">
        <v>890</v>
      </c>
      <c r="J1083" s="1">
        <v>128000</v>
      </c>
      <c r="K1083" s="1">
        <v>128000</v>
      </c>
      <c r="L1083" t="str">
        <f>IFERROR(IF(VLOOKUP(LEFT(B1083,2),'Humanitarian codes'!$A$2:$A$10,1,FALSE)=LEFT(B1083,2),"Yes","Error"),"No")</f>
        <v>No</v>
      </c>
      <c r="AE1083" s="1"/>
      <c r="AF1083" s="1"/>
    </row>
    <row r="1084" spans="1:32" hidden="1" x14ac:dyDescent="0.25">
      <c r="A1084" t="s">
        <v>1658</v>
      </c>
      <c r="B1084" t="s">
        <v>1086</v>
      </c>
      <c r="C1084" t="s">
        <v>1087</v>
      </c>
      <c r="D1084" t="s">
        <v>543</v>
      </c>
      <c r="E1084" t="s">
        <v>890</v>
      </c>
      <c r="F1084">
        <v>4500413705</v>
      </c>
      <c r="G1084" t="s">
        <v>12</v>
      </c>
      <c r="H1084" t="s">
        <v>1088</v>
      </c>
      <c r="I1084" t="s">
        <v>890</v>
      </c>
      <c r="J1084" s="1">
        <v>41760</v>
      </c>
      <c r="K1084" s="1">
        <v>41760</v>
      </c>
      <c r="L1084" t="str">
        <f>IFERROR(IF(VLOOKUP(LEFT(B1084,2),'Humanitarian codes'!$A$2:$A$10,1,FALSE)=LEFT(B1084,2),"Yes","Error"),"No")</f>
        <v>No</v>
      </c>
      <c r="AE1084" s="1"/>
      <c r="AF1084" s="1"/>
    </row>
    <row r="1085" spans="1:32" hidden="1" x14ac:dyDescent="0.25">
      <c r="A1085" t="s">
        <v>1658</v>
      </c>
      <c r="B1085" t="s">
        <v>1086</v>
      </c>
      <c r="C1085" t="s">
        <v>1087</v>
      </c>
      <c r="D1085" t="s">
        <v>543</v>
      </c>
      <c r="E1085" t="s">
        <v>890</v>
      </c>
      <c r="F1085">
        <v>4500414397</v>
      </c>
      <c r="G1085" t="s">
        <v>12</v>
      </c>
      <c r="H1085" t="s">
        <v>1420</v>
      </c>
      <c r="I1085" t="s">
        <v>890</v>
      </c>
      <c r="J1085" s="1">
        <v>61121</v>
      </c>
      <c r="K1085" s="1">
        <v>61121</v>
      </c>
      <c r="L1085" t="str">
        <f>IFERROR(IF(VLOOKUP(LEFT(B1085,2),'Humanitarian codes'!$A$2:$A$10,1,FALSE)=LEFT(B1085,2),"Yes","Error"),"No")</f>
        <v>No</v>
      </c>
      <c r="AE1085" s="1"/>
      <c r="AF1085" s="1"/>
    </row>
    <row r="1086" spans="1:32" hidden="1" x14ac:dyDescent="0.25">
      <c r="A1086" t="s">
        <v>1658</v>
      </c>
      <c r="B1086" t="s">
        <v>1086</v>
      </c>
      <c r="C1086" t="s">
        <v>1087</v>
      </c>
      <c r="D1086" t="s">
        <v>543</v>
      </c>
      <c r="E1086" t="s">
        <v>890</v>
      </c>
      <c r="F1086">
        <v>4500417478</v>
      </c>
      <c r="G1086" t="s">
        <v>12</v>
      </c>
      <c r="H1086" t="s">
        <v>894</v>
      </c>
      <c r="I1086" t="s">
        <v>890</v>
      </c>
      <c r="J1086" s="1">
        <v>272000</v>
      </c>
      <c r="K1086" s="1">
        <v>272000</v>
      </c>
      <c r="L1086" t="str">
        <f>IFERROR(IF(VLOOKUP(LEFT(B1086,2),'Humanitarian codes'!$A$2:$A$10,1,FALSE)=LEFT(B1086,2),"Yes","Error"),"No")</f>
        <v>No</v>
      </c>
      <c r="AE1086" s="1"/>
      <c r="AF1086" s="1"/>
    </row>
    <row r="1087" spans="1:32" hidden="1" x14ac:dyDescent="0.25">
      <c r="A1087" t="s">
        <v>1658</v>
      </c>
      <c r="B1087" t="s">
        <v>1086</v>
      </c>
      <c r="C1087" t="s">
        <v>1087</v>
      </c>
      <c r="D1087" t="s">
        <v>543</v>
      </c>
      <c r="E1087" t="s">
        <v>890</v>
      </c>
      <c r="F1087">
        <v>4500417949</v>
      </c>
      <c r="G1087" t="s">
        <v>12</v>
      </c>
      <c r="H1087" t="s">
        <v>1598</v>
      </c>
      <c r="I1087" t="s">
        <v>890</v>
      </c>
      <c r="J1087" s="1">
        <v>64756</v>
      </c>
      <c r="K1087" s="1">
        <v>64756</v>
      </c>
      <c r="L1087" t="str">
        <f>IFERROR(IF(VLOOKUP(LEFT(B1087,2),'Humanitarian codes'!$A$2:$A$10,1,FALSE)=LEFT(B1087,2),"Yes","Error"),"No")</f>
        <v>No</v>
      </c>
      <c r="AE1087" s="1"/>
      <c r="AF1087" s="1"/>
    </row>
    <row r="1088" spans="1:32" hidden="1" x14ac:dyDescent="0.25">
      <c r="A1088" t="s">
        <v>1658</v>
      </c>
      <c r="B1088" t="s">
        <v>1086</v>
      </c>
      <c r="C1088" t="s">
        <v>1087</v>
      </c>
      <c r="D1088" t="s">
        <v>543</v>
      </c>
      <c r="E1088" t="s">
        <v>890</v>
      </c>
      <c r="F1088">
        <v>4500419033</v>
      </c>
      <c r="G1088" t="s">
        <v>12</v>
      </c>
      <c r="H1088" t="s">
        <v>1088</v>
      </c>
      <c r="I1088" t="s">
        <v>890</v>
      </c>
      <c r="J1088" s="1">
        <v>23042</v>
      </c>
      <c r="K1088" s="1">
        <v>23042</v>
      </c>
      <c r="L1088" t="str">
        <f>IFERROR(IF(VLOOKUP(LEFT(B1088,2),'Humanitarian codes'!$A$2:$A$10,1,FALSE)=LEFT(B1088,2),"Yes","Error"),"No")</f>
        <v>No</v>
      </c>
      <c r="AF1088" s="1"/>
    </row>
    <row r="1089" spans="1:32" hidden="1" x14ac:dyDescent="0.25">
      <c r="A1089" t="s">
        <v>1658</v>
      </c>
      <c r="B1089" t="s">
        <v>644</v>
      </c>
      <c r="C1089" t="s">
        <v>645</v>
      </c>
      <c r="D1089" t="s">
        <v>543</v>
      </c>
      <c r="E1089" t="s">
        <v>534</v>
      </c>
      <c r="F1089">
        <v>4500418293</v>
      </c>
      <c r="G1089" t="s">
        <v>12</v>
      </c>
      <c r="H1089" t="s">
        <v>845</v>
      </c>
      <c r="I1089" t="s">
        <v>534</v>
      </c>
      <c r="J1089" s="1">
        <v>2662.69</v>
      </c>
      <c r="K1089" s="1">
        <v>26626.880000000001</v>
      </c>
      <c r="L1089" t="str">
        <f>IFERROR(IF(VLOOKUP(LEFT(B1089,2),'Humanitarian codes'!$A$2:$A$10,1,FALSE)=LEFT(B1089,2),"Yes","Error"),"No")</f>
        <v>No</v>
      </c>
      <c r="AE1089" s="1"/>
      <c r="AF1089" s="1"/>
    </row>
    <row r="1090" spans="1:32" hidden="1" x14ac:dyDescent="0.25">
      <c r="A1090" t="s">
        <v>1658</v>
      </c>
      <c r="B1090" t="s">
        <v>644</v>
      </c>
      <c r="C1090" t="s">
        <v>645</v>
      </c>
      <c r="D1090" t="s">
        <v>543</v>
      </c>
      <c r="E1090" t="s">
        <v>534</v>
      </c>
      <c r="F1090">
        <v>4500424227</v>
      </c>
      <c r="G1090" t="s">
        <v>12</v>
      </c>
      <c r="H1090" t="s">
        <v>1599</v>
      </c>
      <c r="I1090" t="s">
        <v>534</v>
      </c>
      <c r="J1090" s="1">
        <v>55687.98</v>
      </c>
      <c r="K1090" s="1">
        <v>55687.98</v>
      </c>
      <c r="L1090" t="str">
        <f>IFERROR(IF(VLOOKUP(LEFT(B1090,2),'Humanitarian codes'!$A$2:$A$10,1,FALSE)=LEFT(B1090,2),"Yes","Error"),"No")</f>
        <v>No</v>
      </c>
      <c r="AE1090" s="1"/>
      <c r="AF1090" s="1"/>
    </row>
    <row r="1091" spans="1:32" hidden="1" x14ac:dyDescent="0.25">
      <c r="A1091" t="s">
        <v>1658</v>
      </c>
      <c r="B1091" t="s">
        <v>1600</v>
      </c>
      <c r="C1091" t="s">
        <v>1601</v>
      </c>
      <c r="D1091" t="s">
        <v>543</v>
      </c>
      <c r="E1091" t="s">
        <v>890</v>
      </c>
      <c r="F1091">
        <v>4500407715</v>
      </c>
      <c r="G1091" t="s">
        <v>12</v>
      </c>
      <c r="H1091" t="s">
        <v>892</v>
      </c>
      <c r="I1091" t="s">
        <v>890</v>
      </c>
      <c r="J1091" s="1">
        <v>150004.5</v>
      </c>
      <c r="K1091" s="1">
        <v>150004.5</v>
      </c>
      <c r="L1091" t="str">
        <f>IFERROR(IF(VLOOKUP(LEFT(B1091,2),'Humanitarian codes'!$A$2:$A$10,1,FALSE)=LEFT(B1091,2),"Yes","Error"),"No")</f>
        <v>No</v>
      </c>
      <c r="AE1091" s="1"/>
      <c r="AF1091" s="1"/>
    </row>
    <row r="1092" spans="1:32" hidden="1" x14ac:dyDescent="0.25">
      <c r="A1092" t="s">
        <v>1658</v>
      </c>
      <c r="B1092" t="s">
        <v>1600</v>
      </c>
      <c r="C1092" t="s">
        <v>1601</v>
      </c>
      <c r="D1092" t="s">
        <v>543</v>
      </c>
      <c r="E1092" t="s">
        <v>890</v>
      </c>
      <c r="F1092">
        <v>4500407964</v>
      </c>
      <c r="G1092" t="s">
        <v>12</v>
      </c>
      <c r="H1092" t="s">
        <v>1419</v>
      </c>
      <c r="I1092" t="s">
        <v>890</v>
      </c>
      <c r="J1092" s="1">
        <v>170000</v>
      </c>
      <c r="K1092" s="1">
        <v>170000</v>
      </c>
      <c r="L1092" t="str">
        <f>IFERROR(IF(VLOOKUP(LEFT(B1092,2),'Humanitarian codes'!$A$2:$A$10,1,FALSE)=LEFT(B1092,2),"Yes","Error"),"No")</f>
        <v>No</v>
      </c>
      <c r="AF1092" s="1"/>
    </row>
    <row r="1093" spans="1:32" hidden="1" x14ac:dyDescent="0.25">
      <c r="A1093" t="s">
        <v>1658</v>
      </c>
      <c r="B1093" t="s">
        <v>1600</v>
      </c>
      <c r="C1093" t="s">
        <v>1601</v>
      </c>
      <c r="D1093" t="s">
        <v>543</v>
      </c>
      <c r="E1093" t="s">
        <v>890</v>
      </c>
      <c r="F1093">
        <v>4500415991</v>
      </c>
      <c r="G1093" t="s">
        <v>12</v>
      </c>
      <c r="H1093" t="s">
        <v>1088</v>
      </c>
      <c r="I1093" t="s">
        <v>890</v>
      </c>
      <c r="J1093" s="1">
        <v>30000</v>
      </c>
      <c r="K1093" s="1">
        <v>30000</v>
      </c>
      <c r="L1093" t="str">
        <f>IFERROR(IF(VLOOKUP(LEFT(B1093,2),'Humanitarian codes'!$A$2:$A$10,1,FALSE)=LEFT(B1093,2),"Yes","Error"),"No")</f>
        <v>No</v>
      </c>
      <c r="AE1093" s="1"/>
      <c r="AF1093" s="1"/>
    </row>
    <row r="1094" spans="1:32" hidden="1" x14ac:dyDescent="0.25">
      <c r="A1094" t="s">
        <v>1658</v>
      </c>
      <c r="B1094" t="s">
        <v>1600</v>
      </c>
      <c r="C1094" t="s">
        <v>1601</v>
      </c>
      <c r="D1094" t="s">
        <v>543</v>
      </c>
      <c r="E1094" t="s">
        <v>890</v>
      </c>
      <c r="F1094">
        <v>4500417884</v>
      </c>
      <c r="G1094" t="s">
        <v>12</v>
      </c>
      <c r="H1094" t="s">
        <v>1421</v>
      </c>
      <c r="I1094" t="s">
        <v>890</v>
      </c>
      <c r="J1094" s="1">
        <v>150099.5</v>
      </c>
      <c r="K1094" s="1">
        <v>150099.5</v>
      </c>
      <c r="L1094" t="str">
        <f>IFERROR(IF(VLOOKUP(LEFT(B1094,2),'Humanitarian codes'!$A$2:$A$10,1,FALSE)=LEFT(B1094,2),"Yes","Error"),"No")</f>
        <v>No</v>
      </c>
      <c r="AE1094" s="1"/>
      <c r="AF1094" s="1"/>
    </row>
    <row r="1095" spans="1:32" hidden="1" x14ac:dyDescent="0.25">
      <c r="A1095" t="s">
        <v>1658</v>
      </c>
      <c r="B1095" t="s">
        <v>1605</v>
      </c>
      <c r="C1095" t="s">
        <v>1606</v>
      </c>
      <c r="D1095" t="s">
        <v>30</v>
      </c>
      <c r="E1095" t="s">
        <v>717</v>
      </c>
      <c r="F1095">
        <v>4500418027</v>
      </c>
      <c r="G1095" t="s">
        <v>12</v>
      </c>
      <c r="H1095" t="s">
        <v>1608</v>
      </c>
      <c r="I1095" t="s">
        <v>717</v>
      </c>
      <c r="J1095" s="1">
        <v>6838.32</v>
      </c>
      <c r="K1095" s="1">
        <v>6838.32</v>
      </c>
      <c r="L1095" t="str">
        <f>IFERROR(IF(VLOOKUP(LEFT(B1095,2),'Humanitarian codes'!$A$2:$A$10,1,FALSE)=LEFT(B1095,2),"Yes","Error"),"No")</f>
        <v>No</v>
      </c>
      <c r="AE1095" s="1"/>
      <c r="AF1095" s="1"/>
    </row>
    <row r="1096" spans="1:32" hidden="1" x14ac:dyDescent="0.25">
      <c r="A1096" t="s">
        <v>1658</v>
      </c>
      <c r="B1096" t="s">
        <v>1605</v>
      </c>
      <c r="C1096" t="s">
        <v>1606</v>
      </c>
      <c r="D1096" t="s">
        <v>30</v>
      </c>
      <c r="E1096" t="s">
        <v>155</v>
      </c>
      <c r="F1096">
        <v>4500406849</v>
      </c>
      <c r="G1096" t="s">
        <v>12</v>
      </c>
      <c r="H1096" t="s">
        <v>1507</v>
      </c>
      <c r="I1096" t="s">
        <v>155</v>
      </c>
      <c r="J1096" s="1">
        <v>152795.5</v>
      </c>
      <c r="K1096" s="1">
        <v>305591</v>
      </c>
      <c r="L1096" t="str">
        <f>IFERROR(IF(VLOOKUP(LEFT(B1096,2),'Humanitarian codes'!$A$2:$A$10,1,FALSE)=LEFT(B1096,2),"Yes","Error"),"No")</f>
        <v>No</v>
      </c>
      <c r="AE1096" s="1"/>
      <c r="AF1096" s="1"/>
    </row>
    <row r="1097" spans="1:32" hidden="1" x14ac:dyDescent="0.25">
      <c r="A1097" t="s">
        <v>1658</v>
      </c>
      <c r="B1097" t="s">
        <v>1609</v>
      </c>
      <c r="C1097" t="s">
        <v>1610</v>
      </c>
      <c r="D1097" t="s">
        <v>30</v>
      </c>
      <c r="E1097" t="s">
        <v>534</v>
      </c>
      <c r="F1097">
        <v>4500418293</v>
      </c>
      <c r="G1097" t="s">
        <v>12</v>
      </c>
      <c r="H1097" t="s">
        <v>845</v>
      </c>
      <c r="I1097" t="s">
        <v>534</v>
      </c>
      <c r="J1097" s="1">
        <v>3994.03</v>
      </c>
      <c r="K1097" s="1">
        <v>26626.880000000001</v>
      </c>
      <c r="L1097" t="str">
        <f>IFERROR(IF(VLOOKUP(LEFT(B1097,2),'Humanitarian codes'!$A$2:$A$10,1,FALSE)=LEFT(B1097,2),"Yes","Error"),"No")</f>
        <v>No</v>
      </c>
      <c r="AE1097" s="1"/>
      <c r="AF1097" s="1"/>
    </row>
    <row r="1098" spans="1:32" hidden="1" x14ac:dyDescent="0.25">
      <c r="A1098" t="s">
        <v>1658</v>
      </c>
      <c r="B1098" t="s">
        <v>669</v>
      </c>
      <c r="C1098" t="s">
        <v>670</v>
      </c>
      <c r="D1098" t="s">
        <v>30</v>
      </c>
      <c r="E1098" t="s">
        <v>261</v>
      </c>
      <c r="F1098">
        <v>4500386548</v>
      </c>
      <c r="G1098" t="s">
        <v>12</v>
      </c>
      <c r="H1098" t="s">
        <v>1611</v>
      </c>
      <c r="I1098" t="s">
        <v>261</v>
      </c>
      <c r="J1098" s="1">
        <v>615849.96</v>
      </c>
      <c r="K1098" s="1">
        <v>615849.96</v>
      </c>
      <c r="L1098" t="str">
        <f>IFERROR(IF(VLOOKUP(LEFT(B1098,2),'Humanitarian codes'!$A$2:$A$10,1,FALSE)=LEFT(B1098,2),"Yes","Error"),"No")</f>
        <v>No</v>
      </c>
      <c r="AE1098" s="1"/>
      <c r="AF1098" s="1"/>
    </row>
    <row r="1099" spans="1:32" hidden="1" x14ac:dyDescent="0.25">
      <c r="A1099" t="s">
        <v>1658</v>
      </c>
      <c r="B1099" t="s">
        <v>1612</v>
      </c>
      <c r="C1099" t="s">
        <v>1613</v>
      </c>
      <c r="D1099" t="s">
        <v>30</v>
      </c>
      <c r="E1099" t="s">
        <v>534</v>
      </c>
      <c r="F1099">
        <v>4500418293</v>
      </c>
      <c r="G1099" t="s">
        <v>12</v>
      </c>
      <c r="H1099" t="s">
        <v>845</v>
      </c>
      <c r="I1099" t="s">
        <v>534</v>
      </c>
      <c r="J1099" s="1">
        <v>3994.03</v>
      </c>
      <c r="K1099" s="1">
        <v>26626.880000000001</v>
      </c>
      <c r="L1099" t="str">
        <f>IFERROR(IF(VLOOKUP(LEFT(B1099,2),'Humanitarian codes'!$A$2:$A$10,1,FALSE)=LEFT(B1099,2),"Yes","Error"),"No")</f>
        <v>No</v>
      </c>
      <c r="AE1099" s="1"/>
      <c r="AF1099" s="1"/>
    </row>
    <row r="1100" spans="1:32" hidden="1" x14ac:dyDescent="0.25">
      <c r="A1100" t="s">
        <v>1658</v>
      </c>
      <c r="B1100" t="s">
        <v>1614</v>
      </c>
      <c r="C1100" t="s">
        <v>1615</v>
      </c>
      <c r="D1100" t="s">
        <v>30</v>
      </c>
      <c r="E1100" t="s">
        <v>534</v>
      </c>
      <c r="F1100">
        <v>4500418293</v>
      </c>
      <c r="G1100" t="s">
        <v>12</v>
      </c>
      <c r="H1100" t="s">
        <v>845</v>
      </c>
      <c r="I1100" t="s">
        <v>534</v>
      </c>
      <c r="J1100" s="1">
        <v>3994.03</v>
      </c>
      <c r="K1100" s="1">
        <v>26626.880000000001</v>
      </c>
      <c r="L1100" t="str">
        <f>IFERROR(IF(VLOOKUP(LEFT(B1100,2),'Humanitarian codes'!$A$2:$A$10,1,FALSE)=LEFT(B1100,2),"Yes","Error"),"No")</f>
        <v>No</v>
      </c>
      <c r="AE1100" s="1"/>
      <c r="AF1100" s="1"/>
    </row>
    <row r="1101" spans="1:32" hidden="1" x14ac:dyDescent="0.25">
      <c r="A1101" t="s">
        <v>1658</v>
      </c>
      <c r="B1101" t="s">
        <v>1110</v>
      </c>
      <c r="C1101" t="s">
        <v>1111</v>
      </c>
      <c r="D1101" t="s">
        <v>1112</v>
      </c>
      <c r="E1101" t="s">
        <v>261</v>
      </c>
      <c r="F1101">
        <v>4500390076</v>
      </c>
      <c r="G1101" t="s">
        <v>12</v>
      </c>
      <c r="H1101" t="s">
        <v>1030</v>
      </c>
      <c r="I1101" t="s">
        <v>261</v>
      </c>
      <c r="J1101" s="1">
        <v>16841.03</v>
      </c>
      <c r="K1101" s="1">
        <v>16841.03</v>
      </c>
      <c r="L1101" t="str">
        <f>IFERROR(IF(VLOOKUP(LEFT(B1101,2),'Humanitarian codes'!$A$2:$A$10,1,FALSE)=LEFT(B1101,2),"Yes","Error"),"No")</f>
        <v>No</v>
      </c>
      <c r="AE1101" s="1"/>
      <c r="AF1101" s="1"/>
    </row>
    <row r="1102" spans="1:32" hidden="1" x14ac:dyDescent="0.25">
      <c r="A1102" t="s">
        <v>1658</v>
      </c>
      <c r="B1102" t="s">
        <v>1110</v>
      </c>
      <c r="C1102" t="s">
        <v>1111</v>
      </c>
      <c r="D1102" t="s">
        <v>1112</v>
      </c>
      <c r="E1102" t="s">
        <v>261</v>
      </c>
      <c r="F1102">
        <v>4500410843</v>
      </c>
      <c r="G1102" t="s">
        <v>12</v>
      </c>
      <c r="H1102" t="s">
        <v>784</v>
      </c>
      <c r="I1102" t="s">
        <v>261</v>
      </c>
      <c r="J1102" s="1">
        <v>54520.59</v>
      </c>
      <c r="K1102" s="1">
        <v>175872.86</v>
      </c>
      <c r="L1102" t="str">
        <f>IFERROR(IF(VLOOKUP(LEFT(B1102,2),'Humanitarian codes'!$A$2:$A$10,1,FALSE)=LEFT(B1102,2),"Yes","Error"),"No")</f>
        <v>No</v>
      </c>
      <c r="AE1102" s="1"/>
      <c r="AF1102" s="1"/>
    </row>
    <row r="1103" spans="1:32" hidden="1" x14ac:dyDescent="0.25">
      <c r="A1103" t="s">
        <v>1658</v>
      </c>
      <c r="B1103" t="s">
        <v>1110</v>
      </c>
      <c r="C1103" t="s">
        <v>1111</v>
      </c>
      <c r="D1103" t="s">
        <v>1112</v>
      </c>
      <c r="E1103" t="s">
        <v>261</v>
      </c>
      <c r="F1103">
        <v>4500416722</v>
      </c>
      <c r="G1103" t="s">
        <v>713</v>
      </c>
      <c r="H1103" t="s">
        <v>1616</v>
      </c>
      <c r="I1103" t="s">
        <v>261</v>
      </c>
      <c r="J1103" s="1">
        <v>68727.429999999993</v>
      </c>
      <c r="K1103" s="1">
        <v>68727.429999999993</v>
      </c>
      <c r="L1103" t="str">
        <f>IFERROR(IF(VLOOKUP(LEFT(B1103,2),'Humanitarian codes'!$A$2:$A$10,1,FALSE)=LEFT(B1103,2),"Yes","Error"),"No")</f>
        <v>No</v>
      </c>
      <c r="AE1103" s="1"/>
      <c r="AF1103" s="1"/>
    </row>
    <row r="1104" spans="1:32" hidden="1" x14ac:dyDescent="0.25">
      <c r="A1104" t="s">
        <v>1658</v>
      </c>
      <c r="B1104" t="s">
        <v>1110</v>
      </c>
      <c r="C1104" t="s">
        <v>1111</v>
      </c>
      <c r="D1104" t="s">
        <v>1112</v>
      </c>
      <c r="E1104" t="s">
        <v>261</v>
      </c>
      <c r="F1104">
        <v>4500417131</v>
      </c>
      <c r="G1104" t="s">
        <v>713</v>
      </c>
      <c r="H1104" t="s">
        <v>1617</v>
      </c>
      <c r="I1104" t="s">
        <v>261</v>
      </c>
      <c r="J1104" s="1">
        <v>60314.6</v>
      </c>
      <c r="K1104" s="1">
        <v>60314.6</v>
      </c>
      <c r="L1104" t="str">
        <f>IFERROR(IF(VLOOKUP(LEFT(B1104,2),'Humanitarian codes'!$A$2:$A$10,1,FALSE)=LEFT(B1104,2),"Yes","Error"),"No")</f>
        <v>No</v>
      </c>
      <c r="AE1104" s="1"/>
      <c r="AF1104" s="1"/>
    </row>
    <row r="1105" spans="1:32" hidden="1" x14ac:dyDescent="0.25">
      <c r="A1105" t="s">
        <v>1658</v>
      </c>
      <c r="B1105" t="s">
        <v>1110</v>
      </c>
      <c r="C1105" t="s">
        <v>1111</v>
      </c>
      <c r="D1105" t="s">
        <v>1112</v>
      </c>
      <c r="E1105" t="s">
        <v>261</v>
      </c>
      <c r="F1105">
        <v>4500417574</v>
      </c>
      <c r="G1105" t="s">
        <v>713</v>
      </c>
      <c r="H1105" t="s">
        <v>1618</v>
      </c>
      <c r="I1105" t="s">
        <v>261</v>
      </c>
      <c r="J1105" s="1">
        <v>52913.88</v>
      </c>
      <c r="K1105" s="1">
        <v>52913.88</v>
      </c>
      <c r="L1105" t="str">
        <f>IFERROR(IF(VLOOKUP(LEFT(B1105,2),'Humanitarian codes'!$A$2:$A$10,1,FALSE)=LEFT(B1105,2),"Yes","Error"),"No")</f>
        <v>No</v>
      </c>
      <c r="AE1105" s="1"/>
      <c r="AF1105" s="1"/>
    </row>
    <row r="1106" spans="1:32" hidden="1" x14ac:dyDescent="0.25">
      <c r="A1106" t="s">
        <v>1658</v>
      </c>
      <c r="B1106" t="s">
        <v>1110</v>
      </c>
      <c r="C1106" t="s">
        <v>1111</v>
      </c>
      <c r="D1106" t="s">
        <v>1112</v>
      </c>
      <c r="E1106" t="s">
        <v>261</v>
      </c>
      <c r="F1106">
        <v>4500420154</v>
      </c>
      <c r="G1106" t="s">
        <v>713</v>
      </c>
      <c r="H1106" t="s">
        <v>1619</v>
      </c>
      <c r="I1106" t="s">
        <v>261</v>
      </c>
      <c r="J1106" s="1">
        <v>61248.57</v>
      </c>
      <c r="K1106" s="1">
        <v>61248.57</v>
      </c>
      <c r="L1106" t="str">
        <f>IFERROR(IF(VLOOKUP(LEFT(B1106,2),'Humanitarian codes'!$A$2:$A$10,1,FALSE)=LEFT(B1106,2),"Yes","Error"),"No")</f>
        <v>No</v>
      </c>
      <c r="AE1106" s="1"/>
      <c r="AF1106" s="1"/>
    </row>
    <row r="1107" spans="1:32" hidden="1" x14ac:dyDescent="0.25">
      <c r="A1107" t="s">
        <v>1658</v>
      </c>
      <c r="B1107" t="s">
        <v>1110</v>
      </c>
      <c r="C1107" t="s">
        <v>1111</v>
      </c>
      <c r="D1107" t="s">
        <v>1112</v>
      </c>
      <c r="E1107" t="s">
        <v>261</v>
      </c>
      <c r="F1107">
        <v>4500423085</v>
      </c>
      <c r="G1107" t="s">
        <v>713</v>
      </c>
      <c r="H1107" t="s">
        <v>1620</v>
      </c>
      <c r="I1107" t="s">
        <v>261</v>
      </c>
      <c r="J1107" s="1">
        <v>64366.63</v>
      </c>
      <c r="K1107" s="1">
        <v>64366.63</v>
      </c>
      <c r="L1107" t="str">
        <f>IFERROR(IF(VLOOKUP(LEFT(B1107,2),'Humanitarian codes'!$A$2:$A$10,1,FALSE)=LEFT(B1107,2),"Yes","Error"),"No")</f>
        <v>No</v>
      </c>
      <c r="AE1107" s="1"/>
      <c r="AF1107" s="1"/>
    </row>
    <row r="1108" spans="1:32" hidden="1" x14ac:dyDescent="0.25">
      <c r="A1108" t="s">
        <v>1658</v>
      </c>
      <c r="B1108" t="s">
        <v>1110</v>
      </c>
      <c r="C1108" t="s">
        <v>1111</v>
      </c>
      <c r="D1108" t="s">
        <v>1112</v>
      </c>
      <c r="E1108" t="s">
        <v>261</v>
      </c>
      <c r="F1108">
        <v>4500427729</v>
      </c>
      <c r="G1108" t="s">
        <v>713</v>
      </c>
      <c r="H1108" t="s">
        <v>1621</v>
      </c>
      <c r="I1108" t="s">
        <v>261</v>
      </c>
      <c r="J1108" s="1">
        <v>51513.9</v>
      </c>
      <c r="K1108" s="1">
        <v>51513.9</v>
      </c>
      <c r="L1108" t="str">
        <f>IFERROR(IF(VLOOKUP(LEFT(B1108,2),'Humanitarian codes'!$A$2:$A$10,1,FALSE)=LEFT(B1108,2),"Yes","Error"),"No")</f>
        <v>No</v>
      </c>
      <c r="AE1108" s="1"/>
      <c r="AF1108" s="1"/>
    </row>
    <row r="1109" spans="1:32" hidden="1" x14ac:dyDescent="0.25">
      <c r="A1109" t="s">
        <v>1658</v>
      </c>
      <c r="B1109" t="s">
        <v>671</v>
      </c>
      <c r="C1109" t="s">
        <v>672</v>
      </c>
      <c r="D1109" t="s">
        <v>543</v>
      </c>
      <c r="E1109" t="s">
        <v>11</v>
      </c>
      <c r="F1109">
        <v>4500409302</v>
      </c>
      <c r="G1109" t="s">
        <v>12</v>
      </c>
      <c r="H1109" t="s">
        <v>1177</v>
      </c>
      <c r="I1109" t="s">
        <v>11</v>
      </c>
      <c r="J1109" s="1">
        <v>100000</v>
      </c>
      <c r="K1109" s="1">
        <v>100000</v>
      </c>
      <c r="L1109" t="str">
        <f>IFERROR(IF(VLOOKUP(LEFT(B1109,2),'Humanitarian codes'!$A$2:$A$10,1,FALSE)=LEFT(B1109,2),"Yes","Error"),"No")</f>
        <v>No</v>
      </c>
      <c r="AE1109" s="1"/>
      <c r="AF1109" s="1"/>
    </row>
    <row r="1110" spans="1:32" hidden="1" x14ac:dyDescent="0.25">
      <c r="A1110" t="s">
        <v>1658</v>
      </c>
      <c r="B1110" t="s">
        <v>671</v>
      </c>
      <c r="C1110" t="s">
        <v>672</v>
      </c>
      <c r="D1110" t="s">
        <v>543</v>
      </c>
      <c r="E1110" t="s">
        <v>11</v>
      </c>
      <c r="F1110">
        <v>4500409307</v>
      </c>
      <c r="G1110" t="s">
        <v>12</v>
      </c>
      <c r="H1110" t="s">
        <v>1622</v>
      </c>
      <c r="I1110" t="s">
        <v>11</v>
      </c>
      <c r="J1110" s="1">
        <v>125000</v>
      </c>
      <c r="K1110" s="1">
        <v>125000</v>
      </c>
      <c r="L1110" t="str">
        <f>IFERROR(IF(VLOOKUP(LEFT(B1110,2),'Humanitarian codes'!$A$2:$A$10,1,FALSE)=LEFT(B1110,2),"Yes","Error"),"No")</f>
        <v>No</v>
      </c>
      <c r="AE1110" s="1"/>
      <c r="AF1110" s="1"/>
    </row>
    <row r="1111" spans="1:32" hidden="1" x14ac:dyDescent="0.25">
      <c r="A1111" t="s">
        <v>1658</v>
      </c>
      <c r="B1111" t="s">
        <v>671</v>
      </c>
      <c r="C1111" t="s">
        <v>672</v>
      </c>
      <c r="D1111" t="s">
        <v>543</v>
      </c>
      <c r="E1111" t="s">
        <v>239</v>
      </c>
      <c r="F1111">
        <v>4500428636</v>
      </c>
      <c r="G1111" t="s">
        <v>12</v>
      </c>
      <c r="H1111" t="s">
        <v>1623</v>
      </c>
      <c r="I1111" t="s">
        <v>239</v>
      </c>
      <c r="J1111" s="1">
        <v>89838.86</v>
      </c>
      <c r="K1111" s="1">
        <v>89838.86</v>
      </c>
      <c r="L1111" t="str">
        <f>IFERROR(IF(VLOOKUP(LEFT(B1111,2),'Humanitarian codes'!$A$2:$A$10,1,FALSE)=LEFT(B1111,2),"Yes","Error"),"No")</f>
        <v>No</v>
      </c>
      <c r="AE1111" s="1"/>
      <c r="AF1111" s="1"/>
    </row>
    <row r="1112" spans="1:32" hidden="1" x14ac:dyDescent="0.25">
      <c r="A1112" t="s">
        <v>1658</v>
      </c>
      <c r="B1112" t="s">
        <v>671</v>
      </c>
      <c r="C1112" t="s">
        <v>672</v>
      </c>
      <c r="D1112" t="s">
        <v>543</v>
      </c>
      <c r="E1112" t="s">
        <v>239</v>
      </c>
      <c r="F1112">
        <v>4500428651</v>
      </c>
      <c r="G1112" t="s">
        <v>12</v>
      </c>
      <c r="H1112" t="s">
        <v>1624</v>
      </c>
      <c r="I1112" t="s">
        <v>239</v>
      </c>
      <c r="J1112" s="1">
        <v>135252.69</v>
      </c>
      <c r="K1112" s="1">
        <v>135252.69</v>
      </c>
      <c r="L1112" t="str">
        <f>IFERROR(IF(VLOOKUP(LEFT(B1112,2),'Humanitarian codes'!$A$2:$A$10,1,FALSE)=LEFT(B1112,2),"Yes","Error"),"No")</f>
        <v>No</v>
      </c>
      <c r="AE1112" s="1"/>
      <c r="AF1112" s="1"/>
    </row>
    <row r="1113" spans="1:32" hidden="1" x14ac:dyDescent="0.25">
      <c r="A1113" t="s">
        <v>1658</v>
      </c>
      <c r="B1113" t="s">
        <v>671</v>
      </c>
      <c r="C1113" t="s">
        <v>672</v>
      </c>
      <c r="D1113" t="s">
        <v>543</v>
      </c>
      <c r="E1113" t="s">
        <v>676</v>
      </c>
      <c r="F1113">
        <v>4500409612</v>
      </c>
      <c r="G1113" t="s">
        <v>12</v>
      </c>
      <c r="H1113" t="s">
        <v>1625</v>
      </c>
      <c r="I1113" t="s">
        <v>676</v>
      </c>
      <c r="J1113" s="1">
        <v>139237.20000000001</v>
      </c>
      <c r="K1113" s="1">
        <v>139237.20000000001</v>
      </c>
      <c r="L1113" t="str">
        <f>IFERROR(IF(VLOOKUP(LEFT(B1113,2),'Humanitarian codes'!$A$2:$A$10,1,FALSE)=LEFT(B1113,2),"Yes","Error"),"No")</f>
        <v>No</v>
      </c>
      <c r="AE1113" s="1"/>
      <c r="AF1113" s="1"/>
    </row>
    <row r="1114" spans="1:32" hidden="1" x14ac:dyDescent="0.25">
      <c r="A1114" t="s">
        <v>1658</v>
      </c>
      <c r="B1114" t="s">
        <v>1629</v>
      </c>
      <c r="C1114" t="s">
        <v>1630</v>
      </c>
      <c r="D1114" t="s">
        <v>543</v>
      </c>
      <c r="E1114" t="s">
        <v>239</v>
      </c>
      <c r="F1114">
        <v>4500407211</v>
      </c>
      <c r="G1114" t="s">
        <v>12</v>
      </c>
      <c r="H1114" t="s">
        <v>954</v>
      </c>
      <c r="I1114" t="s">
        <v>616</v>
      </c>
      <c r="J1114" s="1">
        <v>1255631</v>
      </c>
      <c r="K1114" s="1">
        <v>1255631</v>
      </c>
      <c r="L1114" t="str">
        <f>IFERROR(IF(VLOOKUP(LEFT(B1114,2),'Humanitarian codes'!$A$2:$A$10,1,FALSE)=LEFT(B1114,2),"Yes","Error"),"No")</f>
        <v>No</v>
      </c>
      <c r="AE1114" s="1"/>
      <c r="AF1114" s="1"/>
    </row>
    <row r="1115" spans="1:32" hidden="1" x14ac:dyDescent="0.25">
      <c r="A1115" t="s">
        <v>1658</v>
      </c>
      <c r="B1115" t="s">
        <v>1629</v>
      </c>
      <c r="C1115" t="s">
        <v>1630</v>
      </c>
      <c r="D1115" t="s">
        <v>543</v>
      </c>
      <c r="E1115" t="s">
        <v>239</v>
      </c>
      <c r="F1115">
        <v>4500408499</v>
      </c>
      <c r="G1115" t="s">
        <v>12</v>
      </c>
      <c r="H1115" t="s">
        <v>954</v>
      </c>
      <c r="I1115" t="s">
        <v>616</v>
      </c>
      <c r="J1115" s="1">
        <v>38853.519999999997</v>
      </c>
      <c r="K1115" s="1">
        <v>38853.519999999997</v>
      </c>
      <c r="L1115" t="str">
        <f>IFERROR(IF(VLOOKUP(LEFT(B1115,2),'Humanitarian codes'!$A$2:$A$10,1,FALSE)=LEFT(B1115,2),"Yes","Error"),"No")</f>
        <v>No</v>
      </c>
      <c r="AE1115" s="1"/>
      <c r="AF1115" s="1"/>
    </row>
    <row r="1116" spans="1:32" hidden="1" x14ac:dyDescent="0.25">
      <c r="A1116" t="s">
        <v>1658</v>
      </c>
      <c r="B1116" t="s">
        <v>686</v>
      </c>
      <c r="C1116" t="s">
        <v>687</v>
      </c>
      <c r="D1116" t="s">
        <v>543</v>
      </c>
      <c r="E1116" t="s">
        <v>20</v>
      </c>
      <c r="F1116">
        <v>4500411568</v>
      </c>
      <c r="G1116" t="s">
        <v>12</v>
      </c>
      <c r="H1116" t="s">
        <v>690</v>
      </c>
      <c r="I1116" t="s">
        <v>20</v>
      </c>
      <c r="J1116" s="1">
        <v>11875.29</v>
      </c>
      <c r="K1116" s="1">
        <v>11875.29</v>
      </c>
      <c r="L1116" t="str">
        <f>IFERROR(IF(VLOOKUP(LEFT(B1116,2),'Humanitarian codes'!$A$2:$A$10,1,FALSE)=LEFT(B1116,2),"Yes","Error"),"No")</f>
        <v>No</v>
      </c>
      <c r="AE1116" s="1"/>
      <c r="AF1116" s="1"/>
    </row>
    <row r="1117" spans="1:32" hidden="1" x14ac:dyDescent="0.25">
      <c r="A1117" t="s">
        <v>1658</v>
      </c>
      <c r="B1117" t="s">
        <v>686</v>
      </c>
      <c r="C1117" t="s">
        <v>687</v>
      </c>
      <c r="D1117" t="s">
        <v>543</v>
      </c>
      <c r="E1117" t="s">
        <v>132</v>
      </c>
      <c r="F1117">
        <v>4500417371</v>
      </c>
      <c r="G1117" t="s">
        <v>12</v>
      </c>
      <c r="H1117" t="s">
        <v>1632</v>
      </c>
      <c r="I1117" t="s">
        <v>132</v>
      </c>
      <c r="J1117" s="1">
        <v>107236.69</v>
      </c>
      <c r="K1117" s="1">
        <v>107236.69</v>
      </c>
      <c r="L1117" t="str">
        <f>IFERROR(IF(VLOOKUP(LEFT(B1117,2),'Humanitarian codes'!$A$2:$A$10,1,FALSE)=LEFT(B1117,2),"Yes","Error"),"No")</f>
        <v>No</v>
      </c>
      <c r="AE1117" s="1"/>
      <c r="AF1117" s="1"/>
    </row>
    <row r="1118" spans="1:32" hidden="1" x14ac:dyDescent="0.25">
      <c r="A1118" t="s">
        <v>1658</v>
      </c>
      <c r="B1118" t="s">
        <v>686</v>
      </c>
      <c r="C1118" t="s">
        <v>687</v>
      </c>
      <c r="D1118" t="s">
        <v>543</v>
      </c>
      <c r="E1118" t="s">
        <v>132</v>
      </c>
      <c r="F1118">
        <v>4500417391</v>
      </c>
      <c r="G1118" t="s">
        <v>12</v>
      </c>
      <c r="H1118" t="s">
        <v>1633</v>
      </c>
      <c r="I1118" t="s">
        <v>132</v>
      </c>
      <c r="J1118" s="1">
        <v>106220.68</v>
      </c>
      <c r="K1118" s="1">
        <v>106220.68</v>
      </c>
      <c r="L1118" t="str">
        <f>IFERROR(IF(VLOOKUP(LEFT(B1118,2),'Humanitarian codes'!$A$2:$A$10,1,FALSE)=LEFT(B1118,2),"Yes","Error"),"No")</f>
        <v>No</v>
      </c>
      <c r="AE1118" s="1"/>
      <c r="AF1118" s="1"/>
    </row>
    <row r="1119" spans="1:32" hidden="1" x14ac:dyDescent="0.25">
      <c r="A1119" t="s">
        <v>1658</v>
      </c>
      <c r="B1119" t="s">
        <v>686</v>
      </c>
      <c r="C1119" t="s">
        <v>687</v>
      </c>
      <c r="D1119" t="s">
        <v>543</v>
      </c>
      <c r="E1119" t="s">
        <v>132</v>
      </c>
      <c r="F1119">
        <v>4500417417</v>
      </c>
      <c r="G1119" t="s">
        <v>12</v>
      </c>
      <c r="H1119" t="s">
        <v>1634</v>
      </c>
      <c r="I1119" t="s">
        <v>132</v>
      </c>
      <c r="J1119" s="1">
        <v>105672.17</v>
      </c>
      <c r="K1119" s="1">
        <v>105672.17</v>
      </c>
      <c r="L1119" t="str">
        <f>IFERROR(IF(VLOOKUP(LEFT(B1119,2),'Humanitarian codes'!$A$2:$A$10,1,FALSE)=LEFT(B1119,2),"Yes","Error"),"No")</f>
        <v>No</v>
      </c>
      <c r="AE1119" s="1"/>
      <c r="AF1119" s="1"/>
    </row>
    <row r="1120" spans="1:32" hidden="1" x14ac:dyDescent="0.25">
      <c r="A1120" t="s">
        <v>1658</v>
      </c>
      <c r="B1120" t="s">
        <v>686</v>
      </c>
      <c r="C1120" t="s">
        <v>687</v>
      </c>
      <c r="D1120" t="s">
        <v>543</v>
      </c>
      <c r="E1120" t="s">
        <v>132</v>
      </c>
      <c r="F1120">
        <v>4500417460</v>
      </c>
      <c r="G1120" t="s">
        <v>12</v>
      </c>
      <c r="H1120" t="s">
        <v>1635</v>
      </c>
      <c r="I1120" t="s">
        <v>132</v>
      </c>
      <c r="J1120" s="1">
        <v>108303.15</v>
      </c>
      <c r="K1120" s="1">
        <v>108303.15</v>
      </c>
      <c r="L1120" t="str">
        <f>IFERROR(IF(VLOOKUP(LEFT(B1120,2),'Humanitarian codes'!$A$2:$A$10,1,FALSE)=LEFT(B1120,2),"Yes","Error"),"No")</f>
        <v>No</v>
      </c>
      <c r="AE1120" s="1"/>
      <c r="AF1120" s="1"/>
    </row>
    <row r="1121" spans="1:32" hidden="1" x14ac:dyDescent="0.25">
      <c r="A1121" t="s">
        <v>1658</v>
      </c>
      <c r="B1121" t="s">
        <v>686</v>
      </c>
      <c r="C1121" t="s">
        <v>687</v>
      </c>
      <c r="D1121" t="s">
        <v>543</v>
      </c>
      <c r="E1121" t="s">
        <v>132</v>
      </c>
      <c r="F1121">
        <v>4500417497</v>
      </c>
      <c r="G1121" t="s">
        <v>12</v>
      </c>
      <c r="H1121" t="s">
        <v>1636</v>
      </c>
      <c r="I1121" t="s">
        <v>132</v>
      </c>
      <c r="J1121" s="1">
        <v>105947.33</v>
      </c>
      <c r="K1121" s="1">
        <v>105947.33</v>
      </c>
      <c r="L1121" t="str">
        <f>IFERROR(IF(VLOOKUP(LEFT(B1121,2),'Humanitarian codes'!$A$2:$A$10,1,FALSE)=LEFT(B1121,2),"Yes","Error"),"No")</f>
        <v>No</v>
      </c>
      <c r="AE1121" s="1"/>
      <c r="AF1121" s="1"/>
    </row>
    <row r="1122" spans="1:32" hidden="1" x14ac:dyDescent="0.25">
      <c r="A1122" t="s">
        <v>1658</v>
      </c>
      <c r="B1122" t="s">
        <v>686</v>
      </c>
      <c r="C1122" t="s">
        <v>687</v>
      </c>
      <c r="D1122" t="s">
        <v>543</v>
      </c>
      <c r="E1122" t="s">
        <v>132</v>
      </c>
      <c r="F1122">
        <v>4500418980</v>
      </c>
      <c r="G1122" t="s">
        <v>12</v>
      </c>
      <c r="H1122" t="s">
        <v>1637</v>
      </c>
      <c r="I1122" t="s">
        <v>132</v>
      </c>
      <c r="J1122" s="1">
        <v>106674.05</v>
      </c>
      <c r="K1122" s="1">
        <v>106674.05</v>
      </c>
      <c r="L1122" t="str">
        <f>IFERROR(IF(VLOOKUP(LEFT(B1122,2),'Humanitarian codes'!$A$2:$A$10,1,FALSE)=LEFT(B1122,2),"Yes","Error"),"No")</f>
        <v>No</v>
      </c>
      <c r="AE1122" s="1"/>
      <c r="AF1122" s="1"/>
    </row>
    <row r="1123" spans="1:32" hidden="1" x14ac:dyDescent="0.25">
      <c r="A1123" t="s">
        <v>1658</v>
      </c>
      <c r="B1123" t="s">
        <v>686</v>
      </c>
      <c r="C1123" t="s">
        <v>687</v>
      </c>
      <c r="D1123" t="s">
        <v>543</v>
      </c>
      <c r="E1123" t="s">
        <v>132</v>
      </c>
      <c r="F1123">
        <v>4500428145</v>
      </c>
      <c r="G1123" t="s">
        <v>12</v>
      </c>
      <c r="H1123" t="s">
        <v>1638</v>
      </c>
      <c r="I1123" t="s">
        <v>132</v>
      </c>
      <c r="J1123" s="1">
        <v>108941.27</v>
      </c>
      <c r="K1123" s="1">
        <v>108941.27</v>
      </c>
      <c r="L1123" t="str">
        <f>IFERROR(IF(VLOOKUP(LEFT(B1123,2),'Humanitarian codes'!$A$2:$A$10,1,FALSE)=LEFT(B1123,2),"Yes","Error"),"No")</f>
        <v>No</v>
      </c>
      <c r="AE1123" s="1"/>
      <c r="AF1123" s="1"/>
    </row>
    <row r="1124" spans="1:32" x14ac:dyDescent="0.25">
      <c r="A1124" t="s">
        <v>1658</v>
      </c>
      <c r="B1124" t="s">
        <v>696</v>
      </c>
      <c r="C1124" t="s">
        <v>697</v>
      </c>
      <c r="D1124" t="s">
        <v>30</v>
      </c>
      <c r="E1124" t="s">
        <v>159</v>
      </c>
      <c r="F1124">
        <v>4500426657</v>
      </c>
      <c r="G1124" t="s">
        <v>12</v>
      </c>
      <c r="H1124" t="s">
        <v>1358</v>
      </c>
      <c r="I1124" t="s">
        <v>159</v>
      </c>
      <c r="J1124" s="1">
        <v>37140</v>
      </c>
      <c r="K1124" s="1">
        <v>185700</v>
      </c>
      <c r="L1124" t="str">
        <f>IFERROR(IF(VLOOKUP(LEFT(B1124,2),'Humanitarian codes'!$A$2:$A$10,1,FALSE)=LEFT(B1124,2),"Yes","Error"),"No")</f>
        <v>Yes</v>
      </c>
      <c r="AE1124" s="1"/>
      <c r="AF1124" s="1"/>
    </row>
    <row r="1125" spans="1:32" x14ac:dyDescent="0.25">
      <c r="A1125" t="s">
        <v>1658</v>
      </c>
      <c r="B1125" t="s">
        <v>1143</v>
      </c>
      <c r="C1125" t="s">
        <v>1144</v>
      </c>
      <c r="D1125" t="s">
        <v>30</v>
      </c>
      <c r="E1125" t="s">
        <v>54</v>
      </c>
      <c r="F1125">
        <v>4500421002</v>
      </c>
      <c r="G1125" t="s">
        <v>12</v>
      </c>
      <c r="H1125" t="s">
        <v>1254</v>
      </c>
      <c r="I1125" t="s">
        <v>54</v>
      </c>
      <c r="J1125" s="1">
        <v>47692</v>
      </c>
      <c r="K1125" s="1">
        <v>158975</v>
      </c>
      <c r="L1125" t="str">
        <f>IFERROR(IF(VLOOKUP(LEFT(B1125,2),'Humanitarian codes'!$A$2:$A$10,1,FALSE)=LEFT(B1125,2),"Yes","Error"),"No")</f>
        <v>Yes</v>
      </c>
      <c r="AE1125" s="1"/>
      <c r="AF1125" s="1"/>
    </row>
    <row r="1126" spans="1:32" x14ac:dyDescent="0.25">
      <c r="A1126" t="s">
        <v>1658</v>
      </c>
      <c r="B1126" t="s">
        <v>1644</v>
      </c>
      <c r="C1126" t="s">
        <v>1643</v>
      </c>
      <c r="D1126" t="s">
        <v>30</v>
      </c>
      <c r="E1126" t="s">
        <v>155</v>
      </c>
      <c r="F1126">
        <v>4500414034</v>
      </c>
      <c r="G1126" t="s">
        <v>12</v>
      </c>
      <c r="H1126" t="s">
        <v>1543</v>
      </c>
      <c r="I1126" t="s">
        <v>155</v>
      </c>
      <c r="J1126" s="1">
        <v>122262.46</v>
      </c>
      <c r="K1126" s="1">
        <v>154762.62</v>
      </c>
      <c r="L1126" t="str">
        <f>IFERROR(IF(VLOOKUP(LEFT(B1126,2),'Humanitarian codes'!$A$2:$A$10,1,FALSE)=LEFT(B1126,2),"Yes","Error"),"No")</f>
        <v>Yes</v>
      </c>
      <c r="AE1126" s="1"/>
      <c r="AF1126" s="1"/>
    </row>
    <row r="1127" spans="1:32" x14ac:dyDescent="0.25">
      <c r="A1127" t="s">
        <v>1658</v>
      </c>
      <c r="B1127" t="s">
        <v>1645</v>
      </c>
      <c r="C1127" t="s">
        <v>1646</v>
      </c>
      <c r="D1127" t="s">
        <v>30</v>
      </c>
      <c r="E1127" t="s">
        <v>1554</v>
      </c>
      <c r="F1127">
        <v>4500425419</v>
      </c>
      <c r="G1127" t="s">
        <v>12</v>
      </c>
      <c r="H1127" t="s">
        <v>1647</v>
      </c>
      <c r="I1127" t="s">
        <v>1554</v>
      </c>
      <c r="J1127" s="1">
        <v>51840.35</v>
      </c>
      <c r="K1127" s="1">
        <v>51840.35</v>
      </c>
      <c r="L1127" t="str">
        <f>IFERROR(IF(VLOOKUP(LEFT(B1127,2),'Humanitarian codes'!$A$2:$A$10,1,FALSE)=LEFT(B1127,2),"Yes","Error"),"No")</f>
        <v>Yes</v>
      </c>
      <c r="AE1127" s="1"/>
      <c r="AF1127" s="1"/>
    </row>
    <row r="1128" spans="1:32" x14ac:dyDescent="0.25">
      <c r="A1128" t="s">
        <v>1658</v>
      </c>
      <c r="B1128" t="s">
        <v>1648</v>
      </c>
      <c r="C1128" t="s">
        <v>1649</v>
      </c>
      <c r="D1128" t="s">
        <v>30</v>
      </c>
      <c r="E1128" t="s">
        <v>1650</v>
      </c>
      <c r="F1128">
        <v>4500424789</v>
      </c>
      <c r="G1128" t="s">
        <v>12</v>
      </c>
      <c r="H1128" t="s">
        <v>1651</v>
      </c>
      <c r="I1128" t="s">
        <v>1650</v>
      </c>
      <c r="J1128" s="1">
        <v>150000</v>
      </c>
      <c r="K1128" s="1">
        <v>150000</v>
      </c>
      <c r="L1128" t="str">
        <f>IFERROR(IF(VLOOKUP(LEFT(B1128,2),'Humanitarian codes'!$A$2:$A$10,1,FALSE)=LEFT(B1128,2),"Yes","Error"),"No")</f>
        <v>Yes</v>
      </c>
      <c r="AE1128" s="1"/>
      <c r="AF1128" s="1"/>
    </row>
    <row r="1129" spans="1:32" x14ac:dyDescent="0.25">
      <c r="A1129" t="s">
        <v>1658</v>
      </c>
      <c r="B1129" t="s">
        <v>1648</v>
      </c>
      <c r="C1129" t="s">
        <v>1649</v>
      </c>
      <c r="D1129" t="s">
        <v>30</v>
      </c>
      <c r="E1129" t="s">
        <v>1650</v>
      </c>
      <c r="F1129">
        <v>4500425210</v>
      </c>
      <c r="G1129" t="s">
        <v>12</v>
      </c>
      <c r="H1129" t="s">
        <v>1652</v>
      </c>
      <c r="I1129" t="s">
        <v>1650</v>
      </c>
      <c r="J1129" s="1">
        <v>549976</v>
      </c>
      <c r="K1129" s="1">
        <v>549976</v>
      </c>
      <c r="L1129" t="str">
        <f>IFERROR(IF(VLOOKUP(LEFT(B1129,2),'Humanitarian codes'!$A$2:$A$10,1,FALSE)=LEFT(B1129,2),"Yes","Error"),"No")</f>
        <v>Yes</v>
      </c>
      <c r="AE1129" s="1"/>
      <c r="AF1129" s="1"/>
    </row>
    <row r="1130" spans="1:32" x14ac:dyDescent="0.25">
      <c r="A1130" t="s">
        <v>1658</v>
      </c>
      <c r="B1130" t="s">
        <v>1648</v>
      </c>
      <c r="C1130" t="s">
        <v>1649</v>
      </c>
      <c r="D1130" t="s">
        <v>30</v>
      </c>
      <c r="E1130" t="s">
        <v>1650</v>
      </c>
      <c r="F1130">
        <v>4500425216</v>
      </c>
      <c r="G1130" t="s">
        <v>12</v>
      </c>
      <c r="H1130" t="s">
        <v>1653</v>
      </c>
      <c r="I1130" t="s">
        <v>1650</v>
      </c>
      <c r="J1130" s="1">
        <v>298556</v>
      </c>
      <c r="K1130" s="1">
        <v>298556</v>
      </c>
      <c r="L1130" t="str">
        <f>IFERROR(IF(VLOOKUP(LEFT(B1130,2),'Humanitarian codes'!$A$2:$A$10,1,FALSE)=LEFT(B1130,2),"Yes","Error"),"No")</f>
        <v>Yes</v>
      </c>
      <c r="AE1130" s="1"/>
      <c r="AF1130" s="1"/>
    </row>
    <row r="1131" spans="1:32" x14ac:dyDescent="0.25">
      <c r="A1131" t="s">
        <v>1658</v>
      </c>
      <c r="B1131" t="s">
        <v>1654</v>
      </c>
      <c r="C1131" t="s">
        <v>1655</v>
      </c>
      <c r="D1131" t="s">
        <v>30</v>
      </c>
      <c r="E1131" t="s">
        <v>155</v>
      </c>
      <c r="F1131">
        <v>4500429439</v>
      </c>
      <c r="G1131" t="s">
        <v>12</v>
      </c>
      <c r="H1131" t="s">
        <v>1656</v>
      </c>
      <c r="I1131" t="s">
        <v>155</v>
      </c>
      <c r="J1131" s="1">
        <v>86258.64</v>
      </c>
      <c r="K1131" s="1">
        <v>86258.64</v>
      </c>
      <c r="L1131" t="str">
        <f>IFERROR(IF(VLOOKUP(LEFT(B1131,2),'Humanitarian codes'!$A$2:$A$10,1,FALSE)=LEFT(B1131,2),"Yes","Error"),"No")</f>
        <v>Yes</v>
      </c>
      <c r="AE1131" s="1"/>
      <c r="AF1131" s="1"/>
    </row>
    <row r="1132" spans="1:32" hidden="1" x14ac:dyDescent="0.25">
      <c r="A1132" t="s">
        <v>1893</v>
      </c>
      <c r="B1132" t="s">
        <v>8</v>
      </c>
      <c r="C1132" t="s">
        <v>10</v>
      </c>
      <c r="D1132" t="s">
        <v>9</v>
      </c>
      <c r="E1132" t="s">
        <v>11</v>
      </c>
      <c r="F1132">
        <v>4500399523</v>
      </c>
      <c r="G1132" t="s">
        <v>12</v>
      </c>
      <c r="H1132" t="s">
        <v>1659</v>
      </c>
      <c r="I1132" t="s">
        <v>11</v>
      </c>
      <c r="J1132" s="1">
        <v>249919</v>
      </c>
      <c r="K1132" s="1">
        <v>249919</v>
      </c>
      <c r="L1132" t="str">
        <f>IFERROR(IF(VLOOKUP(LEFT(B1132,2),'Humanitarian codes'!$A$2:$A$10,1,FALSE)=LEFT(B1132,2),"Yes","Error"),"No")</f>
        <v>No</v>
      </c>
      <c r="AE1132" s="1"/>
      <c r="AF1132" s="1"/>
    </row>
    <row r="1133" spans="1:32" hidden="1" x14ac:dyDescent="0.25">
      <c r="A1133" t="s">
        <v>1893</v>
      </c>
      <c r="B1133" t="s">
        <v>8</v>
      </c>
      <c r="C1133" t="s">
        <v>10</v>
      </c>
      <c r="D1133" t="s">
        <v>9</v>
      </c>
      <c r="E1133" t="s">
        <v>11</v>
      </c>
      <c r="F1133">
        <v>4500399718</v>
      </c>
      <c r="G1133" t="s">
        <v>12</v>
      </c>
      <c r="H1133" t="s">
        <v>1659</v>
      </c>
      <c r="I1133" t="s">
        <v>11</v>
      </c>
      <c r="J1133" s="1">
        <v>1085870</v>
      </c>
      <c r="K1133" s="1">
        <v>1085870</v>
      </c>
      <c r="L1133" t="str">
        <f>IFERROR(IF(VLOOKUP(LEFT(B1133,2),'Humanitarian codes'!$A$2:$A$10,1,FALSE)=LEFT(B1133,2),"Yes","Error"),"No")</f>
        <v>No</v>
      </c>
      <c r="AE1133" s="1"/>
      <c r="AF1133" s="1"/>
    </row>
    <row r="1134" spans="1:32" hidden="1" x14ac:dyDescent="0.25">
      <c r="A1134" t="s">
        <v>1893</v>
      </c>
      <c r="B1134" t="s">
        <v>8</v>
      </c>
      <c r="C1134" t="s">
        <v>10</v>
      </c>
      <c r="D1134" t="s">
        <v>9</v>
      </c>
      <c r="E1134" t="s">
        <v>11</v>
      </c>
      <c r="F1134">
        <v>4500399778</v>
      </c>
      <c r="G1134" t="s">
        <v>12</v>
      </c>
      <c r="H1134" t="s">
        <v>1660</v>
      </c>
      <c r="I1134" t="s">
        <v>11</v>
      </c>
      <c r="J1134" s="1">
        <v>413970</v>
      </c>
      <c r="K1134" s="1">
        <v>413970</v>
      </c>
      <c r="L1134" t="str">
        <f>IFERROR(IF(VLOOKUP(LEFT(B1134,2),'Humanitarian codes'!$A$2:$A$10,1,FALSE)=LEFT(B1134,2),"Yes","Error"),"No")</f>
        <v>No</v>
      </c>
      <c r="AE1134" s="1"/>
      <c r="AF1134" s="1"/>
    </row>
    <row r="1135" spans="1:32" hidden="1" x14ac:dyDescent="0.25">
      <c r="A1135" t="s">
        <v>1893</v>
      </c>
      <c r="B1135" t="s">
        <v>8</v>
      </c>
      <c r="C1135" t="s">
        <v>10</v>
      </c>
      <c r="D1135" t="s">
        <v>9</v>
      </c>
      <c r="E1135" t="s">
        <v>11</v>
      </c>
      <c r="F1135">
        <v>4500399786</v>
      </c>
      <c r="G1135" t="s">
        <v>12</v>
      </c>
      <c r="H1135" t="s">
        <v>1661</v>
      </c>
      <c r="I1135" t="s">
        <v>11</v>
      </c>
      <c r="J1135" s="1">
        <v>353773</v>
      </c>
      <c r="K1135" s="1">
        <v>353773</v>
      </c>
      <c r="L1135" t="str">
        <f>IFERROR(IF(VLOOKUP(LEFT(B1135,2),'Humanitarian codes'!$A$2:$A$10,1,FALSE)=LEFT(B1135,2),"Yes","Error"),"No")</f>
        <v>No</v>
      </c>
      <c r="AE1135" s="1"/>
      <c r="AF1135" s="1"/>
    </row>
    <row r="1136" spans="1:32" hidden="1" x14ac:dyDescent="0.25">
      <c r="A1136" t="s">
        <v>1893</v>
      </c>
      <c r="B1136" t="s">
        <v>8</v>
      </c>
      <c r="C1136" t="s">
        <v>10</v>
      </c>
      <c r="D1136" t="s">
        <v>9</v>
      </c>
      <c r="E1136" t="s">
        <v>11</v>
      </c>
      <c r="F1136">
        <v>4500399788</v>
      </c>
      <c r="G1136" t="s">
        <v>12</v>
      </c>
      <c r="H1136" t="s">
        <v>1662</v>
      </c>
      <c r="I1136" t="s">
        <v>11</v>
      </c>
      <c r="J1136" s="1">
        <v>528140.5</v>
      </c>
      <c r="K1136" s="1">
        <v>528140.5</v>
      </c>
      <c r="L1136" t="str">
        <f>IFERROR(IF(VLOOKUP(LEFT(B1136,2),'Humanitarian codes'!$A$2:$A$10,1,FALSE)=LEFT(B1136,2),"Yes","Error"),"No")</f>
        <v>No</v>
      </c>
      <c r="AE1136" s="1"/>
      <c r="AF1136" s="1"/>
    </row>
    <row r="1137" spans="1:32" hidden="1" x14ac:dyDescent="0.25">
      <c r="A1137" t="s">
        <v>1893</v>
      </c>
      <c r="B1137" t="s">
        <v>14</v>
      </c>
      <c r="C1137" t="s">
        <v>15</v>
      </c>
      <c r="D1137" t="s">
        <v>9</v>
      </c>
      <c r="E1137" t="s">
        <v>16</v>
      </c>
      <c r="F1137">
        <v>4500398983</v>
      </c>
      <c r="G1137" t="s">
        <v>12</v>
      </c>
      <c r="H1137" t="s">
        <v>1663</v>
      </c>
      <c r="I1137" t="s">
        <v>16</v>
      </c>
      <c r="J1137" s="1">
        <v>113567.87</v>
      </c>
      <c r="K1137" s="1">
        <v>113567.87</v>
      </c>
      <c r="L1137" t="str">
        <f>IFERROR(IF(VLOOKUP(LEFT(B1137,2),'Humanitarian codes'!$A$2:$A$10,1,FALSE)=LEFT(B1137,2),"Yes","Error"),"No")</f>
        <v>No</v>
      </c>
      <c r="AE1137" s="1"/>
      <c r="AF1137" s="1"/>
    </row>
    <row r="1138" spans="1:32" hidden="1" x14ac:dyDescent="0.25">
      <c r="A1138" t="s">
        <v>1893</v>
      </c>
      <c r="B1138" t="s">
        <v>14</v>
      </c>
      <c r="C1138" t="s">
        <v>15</v>
      </c>
      <c r="D1138" t="s">
        <v>9</v>
      </c>
      <c r="E1138" t="s">
        <v>16</v>
      </c>
      <c r="F1138">
        <v>4500401285</v>
      </c>
      <c r="G1138" t="s">
        <v>12</v>
      </c>
      <c r="H1138" t="s">
        <v>1664</v>
      </c>
      <c r="I1138" t="s">
        <v>16</v>
      </c>
      <c r="J1138" s="1">
        <v>114337.33</v>
      </c>
      <c r="K1138" s="1">
        <v>114337.33</v>
      </c>
      <c r="L1138" t="str">
        <f>IFERROR(IF(VLOOKUP(LEFT(B1138,2),'Humanitarian codes'!$A$2:$A$10,1,FALSE)=LEFT(B1138,2),"Yes","Error"),"No")</f>
        <v>No</v>
      </c>
      <c r="AE1138" s="1"/>
      <c r="AF1138" s="1"/>
    </row>
    <row r="1139" spans="1:32" hidden="1" x14ac:dyDescent="0.25">
      <c r="A1139" t="s">
        <v>1893</v>
      </c>
      <c r="B1139" t="s">
        <v>1665</v>
      </c>
      <c r="C1139" t="s">
        <v>1666</v>
      </c>
      <c r="D1139" t="s">
        <v>30</v>
      </c>
      <c r="E1139" t="s">
        <v>32</v>
      </c>
      <c r="F1139">
        <v>4500385954</v>
      </c>
      <c r="G1139" t="s">
        <v>12</v>
      </c>
      <c r="H1139" t="s">
        <v>61</v>
      </c>
      <c r="I1139" t="s">
        <v>32</v>
      </c>
      <c r="J1139" s="1">
        <v>166061</v>
      </c>
      <c r="K1139" s="1">
        <v>166061</v>
      </c>
      <c r="L1139" t="str">
        <f>IFERROR(IF(VLOOKUP(LEFT(B1139,2),'Humanitarian codes'!$A$2:$A$10,1,FALSE)=LEFT(B1139,2),"Yes","Error"),"No")</f>
        <v>No</v>
      </c>
      <c r="AE1139" s="1"/>
      <c r="AF1139" s="1"/>
    </row>
    <row r="1140" spans="1:32" hidden="1" x14ac:dyDescent="0.25">
      <c r="A1140" t="s">
        <v>1893</v>
      </c>
      <c r="B1140" t="s">
        <v>1665</v>
      </c>
      <c r="C1140" t="s">
        <v>1666</v>
      </c>
      <c r="D1140" t="s">
        <v>30</v>
      </c>
      <c r="E1140" t="s">
        <v>32</v>
      </c>
      <c r="F1140">
        <v>4500390126</v>
      </c>
      <c r="G1140" t="s">
        <v>12</v>
      </c>
      <c r="H1140" t="s">
        <v>33</v>
      </c>
      <c r="I1140" t="s">
        <v>32</v>
      </c>
      <c r="J1140" s="1">
        <v>120000</v>
      </c>
      <c r="K1140" s="1">
        <v>120000</v>
      </c>
      <c r="L1140" t="str">
        <f>IFERROR(IF(VLOOKUP(LEFT(B1140,2),'Humanitarian codes'!$A$2:$A$10,1,FALSE)=LEFT(B1140,2),"Yes","Error"),"No")</f>
        <v>No</v>
      </c>
      <c r="AE1140" s="1"/>
      <c r="AF1140" s="1"/>
    </row>
    <row r="1141" spans="1:32" hidden="1" x14ac:dyDescent="0.25">
      <c r="A1141" t="s">
        <v>1893</v>
      </c>
      <c r="B1141" t="s">
        <v>1182</v>
      </c>
      <c r="C1141" t="s">
        <v>1183</v>
      </c>
      <c r="D1141" t="s">
        <v>30</v>
      </c>
      <c r="E1141" t="s">
        <v>1016</v>
      </c>
      <c r="F1141">
        <v>4500405279</v>
      </c>
      <c r="G1141" t="s">
        <v>12</v>
      </c>
      <c r="H1141" t="s">
        <v>1667</v>
      </c>
      <c r="I1141" t="s">
        <v>1016</v>
      </c>
      <c r="J1141" s="1">
        <v>4035.76</v>
      </c>
      <c r="K1141" s="1">
        <v>4035.76</v>
      </c>
      <c r="L1141" t="str">
        <f>IFERROR(IF(VLOOKUP(LEFT(B1141,2),'Humanitarian codes'!$A$2:$A$10,1,FALSE)=LEFT(B1141,2),"Yes","Error"),"No")</f>
        <v>No</v>
      </c>
      <c r="AE1141" s="1"/>
      <c r="AF1141" s="1"/>
    </row>
    <row r="1142" spans="1:32" hidden="1" x14ac:dyDescent="0.25">
      <c r="A1142" t="s">
        <v>1893</v>
      </c>
      <c r="B1142" t="s">
        <v>762</v>
      </c>
      <c r="C1142" t="s">
        <v>763</v>
      </c>
      <c r="D1142" t="s">
        <v>30</v>
      </c>
      <c r="E1142" t="s">
        <v>663</v>
      </c>
      <c r="F1142">
        <v>4500402664</v>
      </c>
      <c r="G1142" t="s">
        <v>12</v>
      </c>
      <c r="H1142" t="s">
        <v>764</v>
      </c>
      <c r="I1142" t="s">
        <v>751</v>
      </c>
      <c r="J1142" s="1">
        <v>979300</v>
      </c>
      <c r="K1142" s="1">
        <v>979300</v>
      </c>
      <c r="L1142" t="str">
        <f>IFERROR(IF(VLOOKUP(LEFT(B1142,2),'Humanitarian codes'!$A$2:$A$10,1,FALSE)=LEFT(B1142,2),"Yes","Error"),"No")</f>
        <v>No</v>
      </c>
      <c r="AE1142" s="1"/>
      <c r="AF1142" s="1"/>
    </row>
    <row r="1143" spans="1:32" hidden="1" x14ac:dyDescent="0.25">
      <c r="A1143" t="s">
        <v>1893</v>
      </c>
      <c r="B1143" t="s">
        <v>29</v>
      </c>
      <c r="C1143" t="s">
        <v>31</v>
      </c>
      <c r="D1143" t="s">
        <v>30</v>
      </c>
      <c r="E1143" t="s">
        <v>32</v>
      </c>
      <c r="F1143">
        <v>4500385950</v>
      </c>
      <c r="G1143" t="s">
        <v>12</v>
      </c>
      <c r="H1143" t="s">
        <v>61</v>
      </c>
      <c r="I1143" t="s">
        <v>32</v>
      </c>
      <c r="J1143" s="1">
        <v>133922</v>
      </c>
      <c r="K1143" s="1">
        <v>133922</v>
      </c>
      <c r="L1143" t="str">
        <f>IFERROR(IF(VLOOKUP(LEFT(B1143,2),'Humanitarian codes'!$A$2:$A$10,1,FALSE)=LEFT(B1143,2),"Yes","Error"),"No")</f>
        <v>No</v>
      </c>
      <c r="AE1143" s="1"/>
      <c r="AF1143" s="1"/>
    </row>
    <row r="1144" spans="1:32" hidden="1" x14ac:dyDescent="0.25">
      <c r="A1144" t="s">
        <v>1893</v>
      </c>
      <c r="B1144" t="s">
        <v>29</v>
      </c>
      <c r="C1144" t="s">
        <v>31</v>
      </c>
      <c r="D1144" t="s">
        <v>30</v>
      </c>
      <c r="E1144" t="s">
        <v>32</v>
      </c>
      <c r="F1144">
        <v>4500390111</v>
      </c>
      <c r="G1144" t="s">
        <v>12</v>
      </c>
      <c r="H1144" t="s">
        <v>33</v>
      </c>
      <c r="I1144" t="s">
        <v>32</v>
      </c>
      <c r="J1144" s="1">
        <v>132300</v>
      </c>
      <c r="K1144" s="1">
        <v>175000</v>
      </c>
      <c r="L1144" t="str">
        <f>IFERROR(IF(VLOOKUP(LEFT(B1144,2),'Humanitarian codes'!$A$2:$A$10,1,FALSE)=LEFT(B1144,2),"Yes","Error"),"No")</f>
        <v>No</v>
      </c>
      <c r="AE1144" s="1"/>
      <c r="AF1144" s="1"/>
    </row>
    <row r="1145" spans="1:32" hidden="1" x14ac:dyDescent="0.25">
      <c r="A1145" t="s">
        <v>1893</v>
      </c>
      <c r="B1145" t="s">
        <v>758</v>
      </c>
      <c r="C1145" t="s">
        <v>759</v>
      </c>
      <c r="D1145" t="s">
        <v>30</v>
      </c>
      <c r="E1145" t="s">
        <v>760</v>
      </c>
      <c r="F1145">
        <v>4500393745</v>
      </c>
      <c r="G1145" t="s">
        <v>12</v>
      </c>
      <c r="H1145" t="s">
        <v>1668</v>
      </c>
      <c r="I1145" t="s">
        <v>760</v>
      </c>
      <c r="J1145" s="1">
        <v>1153368.5</v>
      </c>
      <c r="K1145" s="1">
        <v>1153368.5</v>
      </c>
      <c r="L1145" t="str">
        <f>IFERROR(IF(VLOOKUP(LEFT(B1145,2),'Humanitarian codes'!$A$2:$A$10,1,FALSE)=LEFT(B1145,2),"Yes","Error"),"No")</f>
        <v>No</v>
      </c>
      <c r="AE1145" s="1"/>
      <c r="AF1145" s="1"/>
    </row>
    <row r="1146" spans="1:32" hidden="1" x14ac:dyDescent="0.25">
      <c r="A1146" t="s">
        <v>1893</v>
      </c>
      <c r="B1146" t="s">
        <v>1669</v>
      </c>
      <c r="C1146" t="s">
        <v>1670</v>
      </c>
      <c r="D1146" t="s">
        <v>30</v>
      </c>
      <c r="E1146" t="s">
        <v>257</v>
      </c>
      <c r="F1146">
        <v>4500382257</v>
      </c>
      <c r="G1146" t="s">
        <v>12</v>
      </c>
      <c r="H1146" t="s">
        <v>1671</v>
      </c>
      <c r="I1146" t="s">
        <v>257</v>
      </c>
      <c r="J1146" s="1">
        <v>81140.399999999994</v>
      </c>
      <c r="K1146" s="1">
        <v>81140.399999999994</v>
      </c>
      <c r="L1146" t="str">
        <f>IFERROR(IF(VLOOKUP(LEFT(B1146,2),'Humanitarian codes'!$A$2:$A$10,1,FALSE)=LEFT(B1146,2),"Yes","Error"),"No")</f>
        <v>No</v>
      </c>
      <c r="AE1146" s="1"/>
      <c r="AF1146" s="1"/>
    </row>
    <row r="1147" spans="1:32" hidden="1" x14ac:dyDescent="0.25">
      <c r="A1147" t="s">
        <v>1893</v>
      </c>
      <c r="B1147" t="s">
        <v>1669</v>
      </c>
      <c r="C1147" t="s">
        <v>1670</v>
      </c>
      <c r="D1147" t="s">
        <v>30</v>
      </c>
      <c r="E1147" t="s">
        <v>257</v>
      </c>
      <c r="F1147">
        <v>4500382269</v>
      </c>
      <c r="G1147" t="s">
        <v>12</v>
      </c>
      <c r="H1147" t="s">
        <v>1672</v>
      </c>
      <c r="I1147" t="s">
        <v>257</v>
      </c>
      <c r="J1147" s="1">
        <v>70997.850000000006</v>
      </c>
      <c r="K1147" s="1">
        <v>70997.850000000006</v>
      </c>
      <c r="L1147" t="str">
        <f>IFERROR(IF(VLOOKUP(LEFT(B1147,2),'Humanitarian codes'!$A$2:$A$10,1,FALSE)=LEFT(B1147,2),"Yes","Error"),"No")</f>
        <v>No</v>
      </c>
      <c r="AE1147" s="1"/>
      <c r="AF1147" s="1"/>
    </row>
    <row r="1148" spans="1:32" hidden="1" x14ac:dyDescent="0.25">
      <c r="A1148" t="s">
        <v>1893</v>
      </c>
      <c r="B1148" t="s">
        <v>1669</v>
      </c>
      <c r="C1148" t="s">
        <v>1670</v>
      </c>
      <c r="D1148" t="s">
        <v>30</v>
      </c>
      <c r="E1148" t="s">
        <v>257</v>
      </c>
      <c r="F1148">
        <v>4500396145</v>
      </c>
      <c r="G1148" t="s">
        <v>12</v>
      </c>
      <c r="H1148" t="s">
        <v>1673</v>
      </c>
      <c r="I1148" t="s">
        <v>257</v>
      </c>
      <c r="J1148" s="1">
        <v>45444.06</v>
      </c>
      <c r="K1148" s="1">
        <v>45444.06</v>
      </c>
      <c r="L1148" t="str">
        <f>IFERROR(IF(VLOOKUP(LEFT(B1148,2),'Humanitarian codes'!$A$2:$A$10,1,FALSE)=LEFT(B1148,2),"Yes","Error"),"No")</f>
        <v>No</v>
      </c>
      <c r="AE1148" s="1"/>
      <c r="AF1148" s="1"/>
    </row>
    <row r="1149" spans="1:32" hidden="1" x14ac:dyDescent="0.25">
      <c r="A1149" t="s">
        <v>1893</v>
      </c>
      <c r="B1149" t="s">
        <v>1217</v>
      </c>
      <c r="C1149" t="s">
        <v>1218</v>
      </c>
      <c r="D1149" t="s">
        <v>30</v>
      </c>
      <c r="E1149" t="s">
        <v>320</v>
      </c>
      <c r="F1149">
        <v>4500383279</v>
      </c>
      <c r="G1149" t="s">
        <v>12</v>
      </c>
      <c r="H1149" t="s">
        <v>1674</v>
      </c>
      <c r="I1149" t="s">
        <v>320</v>
      </c>
      <c r="J1149" s="1">
        <v>269855</v>
      </c>
      <c r="K1149" s="1">
        <v>269855</v>
      </c>
      <c r="L1149" t="str">
        <f>IFERROR(IF(VLOOKUP(LEFT(B1149,2),'Humanitarian codes'!$A$2:$A$10,1,FALSE)=LEFT(B1149,2),"Yes","Error"),"No")</f>
        <v>No</v>
      </c>
      <c r="AE1149" s="1"/>
      <c r="AF1149" s="1"/>
    </row>
    <row r="1150" spans="1:32" hidden="1" x14ac:dyDescent="0.25">
      <c r="A1150" t="s">
        <v>1893</v>
      </c>
      <c r="B1150" t="s">
        <v>1217</v>
      </c>
      <c r="C1150" t="s">
        <v>1218</v>
      </c>
      <c r="D1150" t="s">
        <v>30</v>
      </c>
      <c r="E1150" t="s">
        <v>320</v>
      </c>
      <c r="F1150">
        <v>4500383286</v>
      </c>
      <c r="G1150" t="s">
        <v>12</v>
      </c>
      <c r="H1150" t="s">
        <v>1675</v>
      </c>
      <c r="I1150" t="s">
        <v>320</v>
      </c>
      <c r="J1150" s="1">
        <v>58035</v>
      </c>
      <c r="K1150" s="1">
        <v>58035</v>
      </c>
      <c r="L1150" t="str">
        <f>IFERROR(IF(VLOOKUP(LEFT(B1150,2),'Humanitarian codes'!$A$2:$A$10,1,FALSE)=LEFT(B1150,2),"Yes","Error"),"No")</f>
        <v>No</v>
      </c>
      <c r="AE1150" s="1"/>
      <c r="AF1150" s="1"/>
    </row>
    <row r="1151" spans="1:32" hidden="1" x14ac:dyDescent="0.25">
      <c r="A1151" t="s">
        <v>1893</v>
      </c>
      <c r="B1151" t="s">
        <v>1219</v>
      </c>
      <c r="C1151" t="s">
        <v>1220</v>
      </c>
      <c r="D1151" t="s">
        <v>30</v>
      </c>
      <c r="E1151" t="s">
        <v>32</v>
      </c>
      <c r="F1151">
        <v>4500390111</v>
      </c>
      <c r="G1151" t="s">
        <v>12</v>
      </c>
      <c r="H1151" t="s">
        <v>33</v>
      </c>
      <c r="I1151" t="s">
        <v>32</v>
      </c>
      <c r="J1151" s="1">
        <v>25200</v>
      </c>
      <c r="K1151" s="1">
        <v>175000</v>
      </c>
      <c r="L1151" t="str">
        <f>IFERROR(IF(VLOOKUP(LEFT(B1151,2),'Humanitarian codes'!$A$2:$A$10,1,FALSE)=LEFT(B1151,2),"Yes","Error"),"No")</f>
        <v>No</v>
      </c>
      <c r="AE1151" s="1"/>
      <c r="AF1151" s="1"/>
    </row>
    <row r="1152" spans="1:32" hidden="1" x14ac:dyDescent="0.25">
      <c r="A1152" t="s">
        <v>1893</v>
      </c>
      <c r="B1152" t="s">
        <v>1224</v>
      </c>
      <c r="C1152" t="s">
        <v>1225</v>
      </c>
      <c r="D1152" t="s">
        <v>30</v>
      </c>
      <c r="E1152" t="s">
        <v>128</v>
      </c>
      <c r="F1152">
        <v>4500395957</v>
      </c>
      <c r="G1152" t="s">
        <v>12</v>
      </c>
      <c r="H1152" t="s">
        <v>1676</v>
      </c>
      <c r="I1152" t="s">
        <v>128</v>
      </c>
      <c r="J1152" s="1">
        <v>99684.73</v>
      </c>
      <c r="K1152" s="1">
        <v>99684.73</v>
      </c>
      <c r="L1152" t="str">
        <f>IFERROR(IF(VLOOKUP(LEFT(B1152,2),'Humanitarian codes'!$A$2:$A$10,1,FALSE)=LEFT(B1152,2),"Yes","Error"),"No")</f>
        <v>No</v>
      </c>
      <c r="AE1152" s="1"/>
      <c r="AF1152" s="1"/>
    </row>
    <row r="1153" spans="1:32" hidden="1" x14ac:dyDescent="0.25">
      <c r="A1153" t="s">
        <v>1893</v>
      </c>
      <c r="B1153" t="s">
        <v>1224</v>
      </c>
      <c r="C1153" t="s">
        <v>1225</v>
      </c>
      <c r="D1153" t="s">
        <v>30</v>
      </c>
      <c r="E1153" t="s">
        <v>128</v>
      </c>
      <c r="F1153">
        <v>4500396389</v>
      </c>
      <c r="G1153" t="s">
        <v>12</v>
      </c>
      <c r="H1153" t="s">
        <v>129</v>
      </c>
      <c r="I1153" t="s">
        <v>128</v>
      </c>
      <c r="J1153" s="1">
        <v>50000</v>
      </c>
      <c r="K1153" s="1">
        <v>50000</v>
      </c>
      <c r="L1153" t="str">
        <f>IFERROR(IF(VLOOKUP(LEFT(B1153,2),'Humanitarian codes'!$A$2:$A$10,1,FALSE)=LEFT(B1153,2),"Yes","Error"),"No")</f>
        <v>No</v>
      </c>
      <c r="AE1153" s="1"/>
      <c r="AF1153" s="1"/>
    </row>
    <row r="1154" spans="1:32" hidden="1" x14ac:dyDescent="0.25">
      <c r="A1154" t="s">
        <v>1893</v>
      </c>
      <c r="B1154" t="s">
        <v>1224</v>
      </c>
      <c r="C1154" t="s">
        <v>1225</v>
      </c>
      <c r="D1154" t="s">
        <v>30</v>
      </c>
      <c r="E1154" t="s">
        <v>128</v>
      </c>
      <c r="F1154">
        <v>4500397797</v>
      </c>
      <c r="G1154" t="s">
        <v>12</v>
      </c>
      <c r="H1154" t="s">
        <v>1677</v>
      </c>
      <c r="I1154" t="s">
        <v>128</v>
      </c>
      <c r="J1154" s="1">
        <v>50000</v>
      </c>
      <c r="K1154" s="1">
        <v>50000</v>
      </c>
      <c r="L1154" t="str">
        <f>IFERROR(IF(VLOOKUP(LEFT(B1154,2),'Humanitarian codes'!$A$2:$A$10,1,FALSE)=LEFT(B1154,2),"Yes","Error"),"No")</f>
        <v>No</v>
      </c>
      <c r="AE1154" s="1"/>
      <c r="AF1154" s="1"/>
    </row>
    <row r="1155" spans="1:32" hidden="1" x14ac:dyDescent="0.25">
      <c r="A1155" t="s">
        <v>1893</v>
      </c>
      <c r="B1155" t="s">
        <v>1678</v>
      </c>
      <c r="C1155" t="s">
        <v>1679</v>
      </c>
      <c r="D1155" t="s">
        <v>30</v>
      </c>
      <c r="E1155" t="s">
        <v>356</v>
      </c>
      <c r="F1155">
        <v>4500403227</v>
      </c>
      <c r="G1155" t="s">
        <v>12</v>
      </c>
      <c r="H1155" t="s">
        <v>1680</v>
      </c>
      <c r="I1155" t="s">
        <v>356</v>
      </c>
      <c r="J1155" s="1">
        <v>1690446</v>
      </c>
      <c r="K1155" s="1">
        <v>1690446</v>
      </c>
      <c r="L1155" t="str">
        <f>IFERROR(IF(VLOOKUP(LEFT(B1155,2),'Humanitarian codes'!$A$2:$A$10,1,FALSE)=LEFT(B1155,2),"Yes","Error"),"No")</f>
        <v>No</v>
      </c>
      <c r="AE1155" s="1"/>
      <c r="AF1155" s="1"/>
    </row>
    <row r="1156" spans="1:32" hidden="1" x14ac:dyDescent="0.25">
      <c r="A1156" t="s">
        <v>1893</v>
      </c>
      <c r="B1156" t="s">
        <v>1678</v>
      </c>
      <c r="C1156" t="s">
        <v>1679</v>
      </c>
      <c r="D1156" t="s">
        <v>30</v>
      </c>
      <c r="E1156" t="s">
        <v>356</v>
      </c>
      <c r="F1156">
        <v>4500403286</v>
      </c>
      <c r="G1156" t="s">
        <v>12</v>
      </c>
      <c r="H1156" t="s">
        <v>1681</v>
      </c>
      <c r="I1156" t="s">
        <v>356</v>
      </c>
      <c r="J1156" s="1">
        <v>1200145</v>
      </c>
      <c r="K1156" s="1">
        <v>1200145</v>
      </c>
      <c r="L1156" t="str">
        <f>IFERROR(IF(VLOOKUP(LEFT(B1156,2),'Humanitarian codes'!$A$2:$A$10,1,FALSE)=LEFT(B1156,2),"Yes","Error"),"No")</f>
        <v>No</v>
      </c>
      <c r="AE1156" s="1"/>
      <c r="AF1156" s="1"/>
    </row>
    <row r="1157" spans="1:32" hidden="1" x14ac:dyDescent="0.25">
      <c r="A1157" t="s">
        <v>1893</v>
      </c>
      <c r="B1157" t="s">
        <v>1678</v>
      </c>
      <c r="C1157" t="s">
        <v>1679</v>
      </c>
      <c r="D1157" t="s">
        <v>30</v>
      </c>
      <c r="E1157" t="s">
        <v>356</v>
      </c>
      <c r="F1157">
        <v>4500403311</v>
      </c>
      <c r="G1157" t="s">
        <v>12</v>
      </c>
      <c r="H1157" t="s">
        <v>1682</v>
      </c>
      <c r="I1157" t="s">
        <v>356</v>
      </c>
      <c r="J1157" s="1">
        <v>982171</v>
      </c>
      <c r="K1157" s="1">
        <v>982171</v>
      </c>
      <c r="L1157" t="str">
        <f>IFERROR(IF(VLOOKUP(LEFT(B1157,2),'Humanitarian codes'!$A$2:$A$10,1,FALSE)=LEFT(B1157,2),"Yes","Error"),"No")</f>
        <v>No</v>
      </c>
      <c r="AE1157" s="1"/>
      <c r="AF1157" s="1"/>
    </row>
    <row r="1158" spans="1:32" hidden="1" x14ac:dyDescent="0.25">
      <c r="A1158" t="s">
        <v>1893</v>
      </c>
      <c r="B1158" t="s">
        <v>1678</v>
      </c>
      <c r="C1158" t="s">
        <v>1679</v>
      </c>
      <c r="D1158" t="s">
        <v>30</v>
      </c>
      <c r="E1158" t="s">
        <v>356</v>
      </c>
      <c r="F1158">
        <v>4500403335</v>
      </c>
      <c r="G1158" t="s">
        <v>12</v>
      </c>
      <c r="H1158" t="s">
        <v>1574</v>
      </c>
      <c r="I1158" t="s">
        <v>356</v>
      </c>
      <c r="J1158" s="1">
        <v>998257</v>
      </c>
      <c r="K1158" s="1">
        <v>998257</v>
      </c>
      <c r="L1158" t="str">
        <f>IFERROR(IF(VLOOKUP(LEFT(B1158,2),'Humanitarian codes'!$A$2:$A$10,1,FALSE)=LEFT(B1158,2),"Yes","Error"),"No")</f>
        <v>No</v>
      </c>
      <c r="AE1158" s="1"/>
      <c r="AF1158" s="1"/>
    </row>
    <row r="1159" spans="1:32" x14ac:dyDescent="0.25">
      <c r="A1159" t="s">
        <v>1893</v>
      </c>
      <c r="B1159" t="s">
        <v>1238</v>
      </c>
      <c r="C1159" t="s">
        <v>1239</v>
      </c>
      <c r="D1159" t="s">
        <v>30</v>
      </c>
      <c r="E1159" t="s">
        <v>561</v>
      </c>
      <c r="F1159">
        <v>4500383875</v>
      </c>
      <c r="G1159" t="s">
        <v>12</v>
      </c>
      <c r="H1159" t="s">
        <v>1683</v>
      </c>
      <c r="I1159" t="s">
        <v>561</v>
      </c>
      <c r="J1159" s="1">
        <v>15665.59</v>
      </c>
      <c r="K1159" s="1">
        <v>38195.78</v>
      </c>
      <c r="L1159" t="str">
        <f>IFERROR(IF(VLOOKUP(LEFT(B1159,2),'Humanitarian codes'!$A$2:$A$10,1,FALSE)=LEFT(B1159,2),"Yes","Error"),"No")</f>
        <v>Yes</v>
      </c>
      <c r="AE1159" s="1"/>
      <c r="AF1159" s="1"/>
    </row>
    <row r="1160" spans="1:32" x14ac:dyDescent="0.25">
      <c r="A1160" t="s">
        <v>1893</v>
      </c>
      <c r="B1160" t="s">
        <v>66</v>
      </c>
      <c r="C1160" t="s">
        <v>67</v>
      </c>
      <c r="D1160" t="s">
        <v>30</v>
      </c>
      <c r="E1160" t="s">
        <v>1166</v>
      </c>
      <c r="F1160">
        <v>4500380995</v>
      </c>
      <c r="G1160" t="s">
        <v>12</v>
      </c>
      <c r="H1160" t="s">
        <v>1684</v>
      </c>
      <c r="I1160" t="s">
        <v>1166</v>
      </c>
      <c r="J1160" s="1">
        <v>45360.59</v>
      </c>
      <c r="K1160" s="1">
        <v>45360.59</v>
      </c>
      <c r="L1160" t="str">
        <f>IFERROR(IF(VLOOKUP(LEFT(B1160,2),'Humanitarian codes'!$A$2:$A$10,1,FALSE)=LEFT(B1160,2),"Yes","Error"),"No")</f>
        <v>Yes</v>
      </c>
      <c r="AE1160" s="1"/>
      <c r="AF1160" s="1"/>
    </row>
    <row r="1161" spans="1:32" x14ac:dyDescent="0.25">
      <c r="A1161" t="s">
        <v>1893</v>
      </c>
      <c r="B1161" t="s">
        <v>66</v>
      </c>
      <c r="C1161" t="s">
        <v>67</v>
      </c>
      <c r="D1161" t="s">
        <v>30</v>
      </c>
      <c r="E1161" t="s">
        <v>1166</v>
      </c>
      <c r="F1161">
        <v>4500381003</v>
      </c>
      <c r="G1161" t="s">
        <v>12</v>
      </c>
      <c r="H1161" t="s">
        <v>1685</v>
      </c>
      <c r="I1161" t="s">
        <v>1166</v>
      </c>
      <c r="J1161" s="1">
        <v>29880.75</v>
      </c>
      <c r="K1161" s="1">
        <v>29880.75</v>
      </c>
      <c r="L1161" t="str">
        <f>IFERROR(IF(VLOOKUP(LEFT(B1161,2),'Humanitarian codes'!$A$2:$A$10,1,FALSE)=LEFT(B1161,2),"Yes","Error"),"No")</f>
        <v>Yes</v>
      </c>
      <c r="AE1161" s="1"/>
      <c r="AF1161" s="1"/>
    </row>
    <row r="1162" spans="1:32" x14ac:dyDescent="0.25">
      <c r="A1162" t="s">
        <v>1893</v>
      </c>
      <c r="B1162" t="s">
        <v>66</v>
      </c>
      <c r="C1162" t="s">
        <v>67</v>
      </c>
      <c r="D1162" t="s">
        <v>30</v>
      </c>
      <c r="E1162" t="s">
        <v>1166</v>
      </c>
      <c r="F1162">
        <v>4500381009</v>
      </c>
      <c r="G1162" t="s">
        <v>12</v>
      </c>
      <c r="H1162" t="s">
        <v>1686</v>
      </c>
      <c r="I1162" t="s">
        <v>1166</v>
      </c>
      <c r="J1162" s="1">
        <v>28392.959999999999</v>
      </c>
      <c r="K1162" s="1">
        <v>28392.959999999999</v>
      </c>
      <c r="L1162" t="str">
        <f>IFERROR(IF(VLOOKUP(LEFT(B1162,2),'Humanitarian codes'!$A$2:$A$10,1,FALSE)=LEFT(B1162,2),"Yes","Error"),"No")</f>
        <v>Yes</v>
      </c>
      <c r="AE1162" s="1"/>
      <c r="AF1162" s="1"/>
    </row>
    <row r="1163" spans="1:32" x14ac:dyDescent="0.25">
      <c r="A1163" t="s">
        <v>1893</v>
      </c>
      <c r="B1163" t="s">
        <v>66</v>
      </c>
      <c r="C1163" t="s">
        <v>67</v>
      </c>
      <c r="D1163" t="s">
        <v>30</v>
      </c>
      <c r="E1163" t="s">
        <v>1166</v>
      </c>
      <c r="F1163">
        <v>4500381988</v>
      </c>
      <c r="G1163" t="s">
        <v>12</v>
      </c>
      <c r="H1163" t="s">
        <v>1687</v>
      </c>
      <c r="I1163" t="s">
        <v>1166</v>
      </c>
      <c r="J1163" s="1">
        <v>33739.06</v>
      </c>
      <c r="K1163" s="1">
        <v>33739.06</v>
      </c>
      <c r="L1163" t="str">
        <f>IFERROR(IF(VLOOKUP(LEFT(B1163,2),'Humanitarian codes'!$A$2:$A$10,1,FALSE)=LEFT(B1163,2),"Yes","Error"),"No")</f>
        <v>Yes</v>
      </c>
      <c r="AE1163" s="1"/>
      <c r="AF1163" s="1"/>
    </row>
    <row r="1164" spans="1:32" x14ac:dyDescent="0.25">
      <c r="A1164" t="s">
        <v>1893</v>
      </c>
      <c r="B1164" t="s">
        <v>66</v>
      </c>
      <c r="C1164" t="s">
        <v>67</v>
      </c>
      <c r="D1164" t="s">
        <v>30</v>
      </c>
      <c r="E1164" t="s">
        <v>1166</v>
      </c>
      <c r="F1164">
        <v>4500382015</v>
      </c>
      <c r="G1164" t="s">
        <v>12</v>
      </c>
      <c r="H1164" t="s">
        <v>1688</v>
      </c>
      <c r="I1164" t="s">
        <v>1166</v>
      </c>
      <c r="J1164" s="1">
        <v>32617.83</v>
      </c>
      <c r="K1164" s="1">
        <v>32617.83</v>
      </c>
      <c r="L1164" t="str">
        <f>IFERROR(IF(VLOOKUP(LEFT(B1164,2),'Humanitarian codes'!$A$2:$A$10,1,FALSE)=LEFT(B1164,2),"Yes","Error"),"No")</f>
        <v>Yes</v>
      </c>
      <c r="AE1164" s="1"/>
      <c r="AF1164" s="1"/>
    </row>
    <row r="1165" spans="1:32" x14ac:dyDescent="0.25">
      <c r="A1165" t="s">
        <v>1893</v>
      </c>
      <c r="B1165" t="s">
        <v>66</v>
      </c>
      <c r="C1165" t="s">
        <v>67</v>
      </c>
      <c r="D1165" t="s">
        <v>30</v>
      </c>
      <c r="E1165" t="s">
        <v>1166</v>
      </c>
      <c r="F1165">
        <v>4500382053</v>
      </c>
      <c r="G1165" t="s">
        <v>12</v>
      </c>
      <c r="H1165" t="s">
        <v>1689</v>
      </c>
      <c r="I1165" t="s">
        <v>1166</v>
      </c>
      <c r="J1165" s="1">
        <v>44747.3</v>
      </c>
      <c r="K1165" s="1">
        <v>44747.3</v>
      </c>
      <c r="L1165" t="str">
        <f>IFERROR(IF(VLOOKUP(LEFT(B1165,2),'Humanitarian codes'!$A$2:$A$10,1,FALSE)=LEFT(B1165,2),"Yes","Error"),"No")</f>
        <v>Yes</v>
      </c>
      <c r="AF1165" s="1"/>
    </row>
    <row r="1166" spans="1:32" x14ac:dyDescent="0.25">
      <c r="A1166" t="s">
        <v>1893</v>
      </c>
      <c r="B1166" t="s">
        <v>66</v>
      </c>
      <c r="C1166" t="s">
        <v>67</v>
      </c>
      <c r="D1166" t="s">
        <v>30</v>
      </c>
      <c r="E1166" t="s">
        <v>1166</v>
      </c>
      <c r="F1166">
        <v>4500388513</v>
      </c>
      <c r="G1166" t="s">
        <v>12</v>
      </c>
      <c r="H1166" t="s">
        <v>1690</v>
      </c>
      <c r="I1166" t="s">
        <v>1166</v>
      </c>
      <c r="J1166" s="1">
        <v>25845.81</v>
      </c>
      <c r="K1166" s="1">
        <v>25845.81</v>
      </c>
      <c r="L1166" t="str">
        <f>IFERROR(IF(VLOOKUP(LEFT(B1166,2),'Humanitarian codes'!$A$2:$A$10,1,FALSE)=LEFT(B1166,2),"Yes","Error"),"No")</f>
        <v>Yes</v>
      </c>
      <c r="AE1166" s="1"/>
      <c r="AF1166" s="1"/>
    </row>
    <row r="1167" spans="1:32" x14ac:dyDescent="0.25">
      <c r="A1167" t="s">
        <v>1893</v>
      </c>
      <c r="B1167" t="s">
        <v>1243</v>
      </c>
      <c r="C1167" t="s">
        <v>1244</v>
      </c>
      <c r="D1167" t="s">
        <v>30</v>
      </c>
      <c r="E1167" t="s">
        <v>32</v>
      </c>
      <c r="F1167">
        <v>4500382227</v>
      </c>
      <c r="G1167" t="s">
        <v>12</v>
      </c>
      <c r="H1167" t="s">
        <v>577</v>
      </c>
      <c r="I1167" t="s">
        <v>32</v>
      </c>
      <c r="J1167" s="1">
        <v>150040</v>
      </c>
      <c r="K1167" s="1">
        <v>150040</v>
      </c>
      <c r="L1167" t="str">
        <f>IFERROR(IF(VLOOKUP(LEFT(B1167,2),'Humanitarian codes'!$A$2:$A$10,1,FALSE)=LEFT(B1167,2),"Yes","Error"),"No")</f>
        <v>Yes</v>
      </c>
      <c r="AE1167" s="1"/>
      <c r="AF1167" s="1"/>
    </row>
    <row r="1168" spans="1:32" x14ac:dyDescent="0.25">
      <c r="A1168" t="s">
        <v>1893</v>
      </c>
      <c r="B1168" t="s">
        <v>1243</v>
      </c>
      <c r="C1168" t="s">
        <v>1244</v>
      </c>
      <c r="D1168" t="s">
        <v>30</v>
      </c>
      <c r="E1168" t="s">
        <v>32</v>
      </c>
      <c r="F1168">
        <v>4500382249</v>
      </c>
      <c r="G1168" t="s">
        <v>12</v>
      </c>
      <c r="H1168" t="s">
        <v>104</v>
      </c>
      <c r="I1168" t="s">
        <v>32</v>
      </c>
      <c r="J1168" s="1">
        <v>150000</v>
      </c>
      <c r="K1168" s="1">
        <v>150000</v>
      </c>
      <c r="L1168" t="str">
        <f>IFERROR(IF(VLOOKUP(LEFT(B1168,2),'Humanitarian codes'!$A$2:$A$10,1,FALSE)=LEFT(B1168,2),"Yes","Error"),"No")</f>
        <v>Yes</v>
      </c>
      <c r="AE1168" s="1"/>
      <c r="AF1168" s="1"/>
    </row>
    <row r="1169" spans="1:32" x14ac:dyDescent="0.25">
      <c r="A1169" t="s">
        <v>1893</v>
      </c>
      <c r="B1169" t="s">
        <v>1243</v>
      </c>
      <c r="C1169" t="s">
        <v>1244</v>
      </c>
      <c r="D1169" t="s">
        <v>30</v>
      </c>
      <c r="E1169" t="s">
        <v>32</v>
      </c>
      <c r="F1169">
        <v>4500396556</v>
      </c>
      <c r="G1169" t="s">
        <v>12</v>
      </c>
      <c r="H1169" t="s">
        <v>1691</v>
      </c>
      <c r="I1169" t="s">
        <v>32</v>
      </c>
      <c r="J1169" s="1">
        <v>19405</v>
      </c>
      <c r="K1169" s="1">
        <v>19405</v>
      </c>
      <c r="L1169" t="str">
        <f>IFERROR(IF(VLOOKUP(LEFT(B1169,2),'Humanitarian codes'!$A$2:$A$10,1,FALSE)=LEFT(B1169,2),"Yes","Error"),"No")</f>
        <v>Yes</v>
      </c>
      <c r="AE1169" s="1"/>
      <c r="AF1169" s="1"/>
    </row>
    <row r="1170" spans="1:32" x14ac:dyDescent="0.25">
      <c r="A1170" t="s">
        <v>1893</v>
      </c>
      <c r="B1170" t="s">
        <v>1243</v>
      </c>
      <c r="C1170" t="s">
        <v>1244</v>
      </c>
      <c r="D1170" t="s">
        <v>30</v>
      </c>
      <c r="E1170" t="s">
        <v>32</v>
      </c>
      <c r="F1170">
        <v>4500404085</v>
      </c>
      <c r="G1170" t="s">
        <v>12</v>
      </c>
      <c r="H1170" t="s">
        <v>1692</v>
      </c>
      <c r="I1170" t="s">
        <v>32</v>
      </c>
      <c r="J1170" s="1">
        <v>20089</v>
      </c>
      <c r="K1170" s="1">
        <v>20089</v>
      </c>
      <c r="L1170" t="str">
        <f>IFERROR(IF(VLOOKUP(LEFT(B1170,2),'Humanitarian codes'!$A$2:$A$10,1,FALSE)=LEFT(B1170,2),"Yes","Error"),"No")</f>
        <v>Yes</v>
      </c>
      <c r="AE1170" s="1"/>
      <c r="AF1170" s="1"/>
    </row>
    <row r="1171" spans="1:32" x14ac:dyDescent="0.25">
      <c r="A1171" t="s">
        <v>1893</v>
      </c>
      <c r="B1171" t="s">
        <v>74</v>
      </c>
      <c r="C1171" t="s">
        <v>75</v>
      </c>
      <c r="D1171" t="s">
        <v>30</v>
      </c>
      <c r="E1171" t="s">
        <v>903</v>
      </c>
      <c r="F1171">
        <v>4500398913</v>
      </c>
      <c r="G1171" t="s">
        <v>12</v>
      </c>
      <c r="H1171" t="s">
        <v>80</v>
      </c>
      <c r="I1171" t="s">
        <v>903</v>
      </c>
      <c r="J1171" s="1">
        <v>8457.85</v>
      </c>
      <c r="K1171" s="1">
        <v>29797.13</v>
      </c>
      <c r="L1171" t="str">
        <f>IFERROR(IF(VLOOKUP(LEFT(B1171,2),'Humanitarian codes'!$A$2:$A$10,1,FALSE)=LEFT(B1171,2),"Yes","Error"),"No")</f>
        <v>Yes</v>
      </c>
      <c r="AE1171" s="1"/>
      <c r="AF1171" s="1"/>
    </row>
    <row r="1172" spans="1:32" x14ac:dyDescent="0.25">
      <c r="A1172" t="s">
        <v>1893</v>
      </c>
      <c r="B1172" t="s">
        <v>74</v>
      </c>
      <c r="C1172" t="s">
        <v>75</v>
      </c>
      <c r="D1172" t="s">
        <v>30</v>
      </c>
      <c r="E1172" t="s">
        <v>903</v>
      </c>
      <c r="F1172">
        <v>4500403377</v>
      </c>
      <c r="G1172" t="s">
        <v>12</v>
      </c>
      <c r="H1172" t="s">
        <v>80</v>
      </c>
      <c r="I1172" t="s">
        <v>903</v>
      </c>
      <c r="J1172" s="1">
        <v>51419.34</v>
      </c>
      <c r="K1172" s="1">
        <v>73454.86</v>
      </c>
      <c r="L1172" t="str">
        <f>IFERROR(IF(VLOOKUP(LEFT(B1172,2),'Humanitarian codes'!$A$2:$A$10,1,FALSE)=LEFT(B1172,2),"Yes","Error"),"No")</f>
        <v>Yes</v>
      </c>
      <c r="AE1172" s="1"/>
      <c r="AF1172" s="1"/>
    </row>
    <row r="1173" spans="1:32" x14ac:dyDescent="0.25">
      <c r="A1173" t="s">
        <v>1893</v>
      </c>
      <c r="B1173" t="s">
        <v>74</v>
      </c>
      <c r="C1173" t="s">
        <v>75</v>
      </c>
      <c r="D1173" t="s">
        <v>30</v>
      </c>
      <c r="E1173" t="s">
        <v>54</v>
      </c>
      <c r="F1173">
        <v>4500385918</v>
      </c>
      <c r="G1173" t="s">
        <v>12</v>
      </c>
      <c r="H1173" t="s">
        <v>1693</v>
      </c>
      <c r="I1173" t="s">
        <v>54</v>
      </c>
      <c r="J1173" s="1">
        <v>100000</v>
      </c>
      <c r="K1173" s="1">
        <v>399974.54</v>
      </c>
      <c r="L1173" t="str">
        <f>IFERROR(IF(VLOOKUP(LEFT(B1173,2),'Humanitarian codes'!$A$2:$A$10,1,FALSE)=LEFT(B1173,2),"Yes","Error"),"No")</f>
        <v>Yes</v>
      </c>
      <c r="AE1173" s="1"/>
      <c r="AF1173" s="1"/>
    </row>
    <row r="1174" spans="1:32" x14ac:dyDescent="0.25">
      <c r="A1174" t="s">
        <v>1893</v>
      </c>
      <c r="B1174" t="s">
        <v>81</v>
      </c>
      <c r="C1174" t="s">
        <v>82</v>
      </c>
      <c r="D1174" t="s">
        <v>30</v>
      </c>
      <c r="E1174" t="s">
        <v>83</v>
      </c>
      <c r="F1174">
        <v>4500392535</v>
      </c>
      <c r="G1174" t="s">
        <v>12</v>
      </c>
      <c r="H1174" t="s">
        <v>85</v>
      </c>
      <c r="I1174" t="s">
        <v>83</v>
      </c>
      <c r="J1174" s="1">
        <v>123640</v>
      </c>
      <c r="K1174" s="1">
        <v>410000</v>
      </c>
      <c r="L1174" t="str">
        <f>IFERROR(IF(VLOOKUP(LEFT(B1174,2),'Humanitarian codes'!$A$2:$A$10,1,FALSE)=LEFT(B1174,2),"Yes","Error"),"No")</f>
        <v>Yes</v>
      </c>
      <c r="AE1174" s="1"/>
      <c r="AF1174" s="1"/>
    </row>
    <row r="1175" spans="1:32" x14ac:dyDescent="0.25">
      <c r="A1175" t="s">
        <v>1893</v>
      </c>
      <c r="B1175" t="s">
        <v>81</v>
      </c>
      <c r="C1175" t="s">
        <v>82</v>
      </c>
      <c r="D1175" t="s">
        <v>30</v>
      </c>
      <c r="E1175" t="s">
        <v>83</v>
      </c>
      <c r="F1175">
        <v>4500392880</v>
      </c>
      <c r="G1175" t="s">
        <v>12</v>
      </c>
      <c r="H1175" t="s">
        <v>86</v>
      </c>
      <c r="I1175" t="s">
        <v>83</v>
      </c>
      <c r="J1175" s="1">
        <v>16000</v>
      </c>
      <c r="K1175" s="1">
        <v>337662.22</v>
      </c>
      <c r="L1175" t="str">
        <f>IFERROR(IF(VLOOKUP(LEFT(B1175,2),'Humanitarian codes'!$A$2:$A$10,1,FALSE)=LEFT(B1175,2),"Yes","Error"),"No")</f>
        <v>Yes</v>
      </c>
      <c r="AE1175" s="1"/>
      <c r="AF1175" s="1"/>
    </row>
    <row r="1176" spans="1:32" x14ac:dyDescent="0.25">
      <c r="A1176" t="s">
        <v>1893</v>
      </c>
      <c r="B1176" t="s">
        <v>1694</v>
      </c>
      <c r="C1176" t="s">
        <v>1695</v>
      </c>
      <c r="D1176" t="s">
        <v>30</v>
      </c>
      <c r="E1176" t="s">
        <v>32</v>
      </c>
      <c r="F1176">
        <v>4500390111</v>
      </c>
      <c r="G1176" t="s">
        <v>12</v>
      </c>
      <c r="H1176" t="s">
        <v>33</v>
      </c>
      <c r="I1176" t="s">
        <v>32</v>
      </c>
      <c r="J1176" s="1">
        <v>17500</v>
      </c>
      <c r="K1176" s="1">
        <v>175000</v>
      </c>
      <c r="L1176" t="str">
        <f>IFERROR(IF(VLOOKUP(LEFT(B1176,2),'Humanitarian codes'!$A$2:$A$10,1,FALSE)=LEFT(B1176,2),"Yes","Error"),"No")</f>
        <v>Yes</v>
      </c>
      <c r="AE1176" s="1"/>
      <c r="AF1176" s="1"/>
    </row>
    <row r="1177" spans="1:32" x14ac:dyDescent="0.25">
      <c r="A1177" t="s">
        <v>1893</v>
      </c>
      <c r="B1177" t="s">
        <v>87</v>
      </c>
      <c r="C1177" t="s">
        <v>88</v>
      </c>
      <c r="D1177" t="s">
        <v>30</v>
      </c>
      <c r="E1177" t="s">
        <v>32</v>
      </c>
      <c r="F1177">
        <v>4500381521</v>
      </c>
      <c r="G1177" t="s">
        <v>12</v>
      </c>
      <c r="H1177" t="s">
        <v>1696</v>
      </c>
      <c r="I1177" t="s">
        <v>32</v>
      </c>
      <c r="J1177" s="1">
        <v>238075</v>
      </c>
      <c r="K1177" s="1">
        <v>238075</v>
      </c>
      <c r="L1177" t="str">
        <f>IFERROR(IF(VLOOKUP(LEFT(B1177,2),'Humanitarian codes'!$A$2:$A$10,1,FALSE)=LEFT(B1177,2),"Yes","Error"),"No")</f>
        <v>Yes</v>
      </c>
      <c r="AE1177" s="1"/>
      <c r="AF1177" s="1"/>
    </row>
    <row r="1178" spans="1:32" x14ac:dyDescent="0.25">
      <c r="A1178" t="s">
        <v>1893</v>
      </c>
      <c r="B1178" t="s">
        <v>87</v>
      </c>
      <c r="C1178" t="s">
        <v>88</v>
      </c>
      <c r="D1178" t="s">
        <v>30</v>
      </c>
      <c r="E1178" t="s">
        <v>32</v>
      </c>
      <c r="F1178">
        <v>4500384263</v>
      </c>
      <c r="G1178" t="s">
        <v>12</v>
      </c>
      <c r="H1178" t="s">
        <v>93</v>
      </c>
      <c r="I1178" t="s">
        <v>32</v>
      </c>
      <c r="J1178" s="1">
        <v>349988</v>
      </c>
      <c r="K1178" s="1">
        <v>349988</v>
      </c>
      <c r="L1178" t="str">
        <f>IFERROR(IF(VLOOKUP(LEFT(B1178,2),'Humanitarian codes'!$A$2:$A$10,1,FALSE)=LEFT(B1178,2),"Yes","Error"),"No")</f>
        <v>Yes</v>
      </c>
      <c r="AE1178" s="1"/>
      <c r="AF1178" s="1"/>
    </row>
    <row r="1179" spans="1:32" x14ac:dyDescent="0.25">
      <c r="A1179" t="s">
        <v>1893</v>
      </c>
      <c r="B1179" t="s">
        <v>87</v>
      </c>
      <c r="C1179" t="s">
        <v>88</v>
      </c>
      <c r="D1179" t="s">
        <v>30</v>
      </c>
      <c r="E1179" t="s">
        <v>32</v>
      </c>
      <c r="F1179">
        <v>4500385515</v>
      </c>
      <c r="G1179" t="s">
        <v>12</v>
      </c>
      <c r="H1179" t="s">
        <v>1697</v>
      </c>
      <c r="I1179" t="s">
        <v>751</v>
      </c>
      <c r="J1179" s="1">
        <v>250000</v>
      </c>
      <c r="K1179" s="1">
        <v>250000</v>
      </c>
      <c r="L1179" t="str">
        <f>IFERROR(IF(VLOOKUP(LEFT(B1179,2),'Humanitarian codes'!$A$2:$A$10,1,FALSE)=LEFT(B1179,2),"Yes","Error"),"No")</f>
        <v>Yes</v>
      </c>
      <c r="AE1179" s="1"/>
      <c r="AF1179" s="1"/>
    </row>
    <row r="1180" spans="1:32" x14ac:dyDescent="0.25">
      <c r="A1180" t="s">
        <v>1893</v>
      </c>
      <c r="B1180" t="s">
        <v>87</v>
      </c>
      <c r="C1180" t="s">
        <v>88</v>
      </c>
      <c r="D1180" t="s">
        <v>30</v>
      </c>
      <c r="E1180" t="s">
        <v>32</v>
      </c>
      <c r="F1180">
        <v>4500386001</v>
      </c>
      <c r="G1180" t="s">
        <v>12</v>
      </c>
      <c r="H1180" t="s">
        <v>1698</v>
      </c>
      <c r="I1180" t="s">
        <v>32</v>
      </c>
      <c r="J1180" s="1">
        <v>125298</v>
      </c>
      <c r="K1180" s="1">
        <v>125298</v>
      </c>
      <c r="L1180" t="str">
        <f>IFERROR(IF(VLOOKUP(LEFT(B1180,2),'Humanitarian codes'!$A$2:$A$10,1,FALSE)=LEFT(B1180,2),"Yes","Error"),"No")</f>
        <v>Yes</v>
      </c>
      <c r="AE1180" s="1"/>
      <c r="AF1180" s="1"/>
    </row>
    <row r="1181" spans="1:32" x14ac:dyDescent="0.25">
      <c r="A1181" t="s">
        <v>1893</v>
      </c>
      <c r="B1181" t="s">
        <v>87</v>
      </c>
      <c r="C1181" t="s">
        <v>88</v>
      </c>
      <c r="D1181" t="s">
        <v>30</v>
      </c>
      <c r="E1181" t="s">
        <v>32</v>
      </c>
      <c r="F1181">
        <v>4500388637</v>
      </c>
      <c r="G1181" t="s">
        <v>12</v>
      </c>
      <c r="H1181" t="s">
        <v>105</v>
      </c>
      <c r="I1181" t="s">
        <v>32</v>
      </c>
      <c r="J1181" s="1">
        <v>279455</v>
      </c>
      <c r="K1181" s="1">
        <v>279455</v>
      </c>
      <c r="L1181" t="str">
        <f>IFERROR(IF(VLOOKUP(LEFT(B1181,2),'Humanitarian codes'!$A$2:$A$10,1,FALSE)=LEFT(B1181,2),"Yes","Error"),"No")</f>
        <v>Yes</v>
      </c>
      <c r="AE1181" s="1"/>
      <c r="AF1181" s="1"/>
    </row>
    <row r="1182" spans="1:32" x14ac:dyDescent="0.25">
      <c r="A1182" t="s">
        <v>1893</v>
      </c>
      <c r="B1182" t="s">
        <v>87</v>
      </c>
      <c r="C1182" t="s">
        <v>88</v>
      </c>
      <c r="D1182" t="s">
        <v>30</v>
      </c>
      <c r="E1182" t="s">
        <v>32</v>
      </c>
      <c r="F1182">
        <v>4500388640</v>
      </c>
      <c r="G1182" t="s">
        <v>12</v>
      </c>
      <c r="H1182" t="s">
        <v>94</v>
      </c>
      <c r="I1182" t="s">
        <v>32</v>
      </c>
      <c r="J1182" s="1">
        <v>328460</v>
      </c>
      <c r="K1182" s="1">
        <v>328460</v>
      </c>
      <c r="L1182" t="str">
        <f>IFERROR(IF(VLOOKUP(LEFT(B1182,2),'Humanitarian codes'!$A$2:$A$10,1,FALSE)=LEFT(B1182,2),"Yes","Error"),"No")</f>
        <v>Yes</v>
      </c>
      <c r="AE1182" s="1"/>
      <c r="AF1182" s="1"/>
    </row>
    <row r="1183" spans="1:32" x14ac:dyDescent="0.25">
      <c r="A1183" t="s">
        <v>1893</v>
      </c>
      <c r="B1183" t="s">
        <v>87</v>
      </c>
      <c r="C1183" t="s">
        <v>88</v>
      </c>
      <c r="D1183" t="s">
        <v>30</v>
      </c>
      <c r="E1183" t="s">
        <v>32</v>
      </c>
      <c r="F1183">
        <v>4500390136</v>
      </c>
      <c r="G1183" t="s">
        <v>12</v>
      </c>
      <c r="H1183" t="s">
        <v>1261</v>
      </c>
      <c r="I1183" t="s">
        <v>32</v>
      </c>
      <c r="J1183" s="1">
        <v>19988</v>
      </c>
      <c r="K1183" s="1">
        <v>19988</v>
      </c>
      <c r="L1183" t="str">
        <f>IFERROR(IF(VLOOKUP(LEFT(B1183,2),'Humanitarian codes'!$A$2:$A$10,1,FALSE)=LEFT(B1183,2),"Yes","Error"),"No")</f>
        <v>Yes</v>
      </c>
      <c r="AE1183" s="1"/>
      <c r="AF1183" s="1"/>
    </row>
    <row r="1184" spans="1:32" x14ac:dyDescent="0.25">
      <c r="A1184" t="s">
        <v>1893</v>
      </c>
      <c r="B1184" t="s">
        <v>87</v>
      </c>
      <c r="C1184" t="s">
        <v>88</v>
      </c>
      <c r="D1184" t="s">
        <v>30</v>
      </c>
      <c r="E1184" t="s">
        <v>32</v>
      </c>
      <c r="F1184">
        <v>4500395213</v>
      </c>
      <c r="G1184" t="s">
        <v>12</v>
      </c>
      <c r="H1184" t="s">
        <v>90</v>
      </c>
      <c r="I1184" t="s">
        <v>1699</v>
      </c>
      <c r="J1184" s="1">
        <v>243688</v>
      </c>
      <c r="K1184" s="1">
        <v>243688</v>
      </c>
      <c r="L1184" t="str">
        <f>IFERROR(IF(VLOOKUP(LEFT(B1184,2),'Humanitarian codes'!$A$2:$A$10,1,FALSE)=LEFT(B1184,2),"Yes","Error"),"No")</f>
        <v>Yes</v>
      </c>
      <c r="AE1184" s="1"/>
      <c r="AF1184" s="1"/>
    </row>
    <row r="1185" spans="1:32" x14ac:dyDescent="0.25">
      <c r="A1185" t="s">
        <v>1893</v>
      </c>
      <c r="B1185" t="s">
        <v>87</v>
      </c>
      <c r="C1185" t="s">
        <v>88</v>
      </c>
      <c r="D1185" t="s">
        <v>30</v>
      </c>
      <c r="E1185" t="s">
        <v>32</v>
      </c>
      <c r="F1185">
        <v>4500401797</v>
      </c>
      <c r="G1185" t="s">
        <v>12</v>
      </c>
      <c r="H1185" t="s">
        <v>1700</v>
      </c>
      <c r="I1185" t="s">
        <v>32</v>
      </c>
      <c r="J1185" s="1">
        <v>20000</v>
      </c>
      <c r="K1185" s="1">
        <v>20000</v>
      </c>
      <c r="L1185" t="str">
        <f>IFERROR(IF(VLOOKUP(LEFT(B1185,2),'Humanitarian codes'!$A$2:$A$10,1,FALSE)=LEFT(B1185,2),"Yes","Error"),"No")</f>
        <v>Yes</v>
      </c>
      <c r="AE1185" s="1"/>
      <c r="AF1185" s="1"/>
    </row>
    <row r="1186" spans="1:32" x14ac:dyDescent="0.25">
      <c r="A1186" t="s">
        <v>1893</v>
      </c>
      <c r="B1186" t="s">
        <v>87</v>
      </c>
      <c r="C1186" t="s">
        <v>88</v>
      </c>
      <c r="D1186" t="s">
        <v>30</v>
      </c>
      <c r="E1186" t="s">
        <v>32</v>
      </c>
      <c r="F1186">
        <v>4500402940</v>
      </c>
      <c r="G1186" t="s">
        <v>12</v>
      </c>
      <c r="H1186" t="s">
        <v>1701</v>
      </c>
      <c r="I1186" t="s">
        <v>32</v>
      </c>
      <c r="J1186" s="1">
        <v>240647</v>
      </c>
      <c r="K1186" s="1">
        <v>240647</v>
      </c>
      <c r="L1186" t="str">
        <f>IFERROR(IF(VLOOKUP(LEFT(B1186,2),'Humanitarian codes'!$A$2:$A$10,1,FALSE)=LEFT(B1186,2),"Yes","Error"),"No")</f>
        <v>Yes</v>
      </c>
      <c r="AE1186" s="1"/>
      <c r="AF1186" s="1"/>
    </row>
    <row r="1187" spans="1:32" x14ac:dyDescent="0.25">
      <c r="A1187" t="s">
        <v>1893</v>
      </c>
      <c r="B1187" t="s">
        <v>1702</v>
      </c>
      <c r="C1187" t="s">
        <v>1703</v>
      </c>
      <c r="D1187" t="s">
        <v>30</v>
      </c>
      <c r="E1187" t="s">
        <v>257</v>
      </c>
      <c r="F1187">
        <v>4500383869</v>
      </c>
      <c r="G1187" t="s">
        <v>12</v>
      </c>
      <c r="H1187" t="s">
        <v>1704</v>
      </c>
      <c r="I1187" t="s">
        <v>257</v>
      </c>
      <c r="J1187" s="1">
        <v>4834.62</v>
      </c>
      <c r="K1187" s="1">
        <v>6771.18</v>
      </c>
      <c r="L1187" t="str">
        <f>IFERROR(IF(VLOOKUP(LEFT(B1187,2),'Humanitarian codes'!$A$2:$A$10,1,FALSE)=LEFT(B1187,2),"Yes","Error"),"No")</f>
        <v>Yes</v>
      </c>
      <c r="AE1187" s="1"/>
      <c r="AF1187" s="1"/>
    </row>
    <row r="1188" spans="1:32" x14ac:dyDescent="0.25">
      <c r="A1188" t="s">
        <v>1893</v>
      </c>
      <c r="B1188" t="s">
        <v>1702</v>
      </c>
      <c r="C1188" t="s">
        <v>1703</v>
      </c>
      <c r="D1188" t="s">
        <v>30</v>
      </c>
      <c r="E1188" t="s">
        <v>257</v>
      </c>
      <c r="F1188">
        <v>4500383870</v>
      </c>
      <c r="G1188" t="s">
        <v>12</v>
      </c>
      <c r="H1188" t="s">
        <v>1704</v>
      </c>
      <c r="I1188" t="s">
        <v>257</v>
      </c>
      <c r="J1188" s="1">
        <v>3385.59</v>
      </c>
      <c r="K1188" s="1">
        <v>3385.59</v>
      </c>
      <c r="L1188" t="str">
        <f>IFERROR(IF(VLOOKUP(LEFT(B1188,2),'Humanitarian codes'!$A$2:$A$10,1,FALSE)=LEFT(B1188,2),"Yes","Error"),"No")</f>
        <v>Yes</v>
      </c>
      <c r="AE1188" s="1"/>
      <c r="AF1188" s="1"/>
    </row>
    <row r="1189" spans="1:32" x14ac:dyDescent="0.25">
      <c r="A1189" t="s">
        <v>1893</v>
      </c>
      <c r="B1189" t="s">
        <v>1702</v>
      </c>
      <c r="C1189" t="s">
        <v>1703</v>
      </c>
      <c r="D1189" t="s">
        <v>30</v>
      </c>
      <c r="E1189" t="s">
        <v>257</v>
      </c>
      <c r="F1189">
        <v>4500388112</v>
      </c>
      <c r="G1189" t="s">
        <v>12</v>
      </c>
      <c r="H1189" t="s">
        <v>423</v>
      </c>
      <c r="I1189" t="s">
        <v>257</v>
      </c>
      <c r="J1189" s="1">
        <v>30416.94</v>
      </c>
      <c r="K1189" s="1">
        <v>30416.94</v>
      </c>
      <c r="L1189" t="str">
        <f>IFERROR(IF(VLOOKUP(LEFT(B1189,2),'Humanitarian codes'!$A$2:$A$10,1,FALSE)=LEFT(B1189,2),"Yes","Error"),"No")</f>
        <v>Yes</v>
      </c>
      <c r="AE1189" s="1"/>
      <c r="AF1189" s="1"/>
    </row>
    <row r="1190" spans="1:32" x14ac:dyDescent="0.25">
      <c r="A1190" t="s">
        <v>1893</v>
      </c>
      <c r="B1190" t="s">
        <v>1702</v>
      </c>
      <c r="C1190" t="s">
        <v>1703</v>
      </c>
      <c r="D1190" t="s">
        <v>30</v>
      </c>
      <c r="E1190" t="s">
        <v>257</v>
      </c>
      <c r="F1190">
        <v>4500388114</v>
      </c>
      <c r="G1190" t="s">
        <v>12</v>
      </c>
      <c r="H1190" t="s">
        <v>424</v>
      </c>
      <c r="I1190" t="s">
        <v>257</v>
      </c>
      <c r="J1190" s="1">
        <v>30416.91</v>
      </c>
      <c r="K1190" s="1">
        <v>30416.91</v>
      </c>
      <c r="L1190" t="str">
        <f>IFERROR(IF(VLOOKUP(LEFT(B1190,2),'Humanitarian codes'!$A$2:$A$10,1,FALSE)=LEFT(B1190,2),"Yes","Error"),"No")</f>
        <v>Yes</v>
      </c>
      <c r="AE1190" s="1"/>
      <c r="AF1190" s="1"/>
    </row>
    <row r="1191" spans="1:32" x14ac:dyDescent="0.25">
      <c r="A1191" t="s">
        <v>1893</v>
      </c>
      <c r="B1191" t="s">
        <v>1705</v>
      </c>
      <c r="C1191" t="s">
        <v>1706</v>
      </c>
      <c r="D1191" t="s">
        <v>30</v>
      </c>
      <c r="E1191" t="s">
        <v>54</v>
      </c>
      <c r="F1191">
        <v>4500389252</v>
      </c>
      <c r="G1191" t="s">
        <v>12</v>
      </c>
      <c r="H1191" t="s">
        <v>1707</v>
      </c>
      <c r="I1191" t="s">
        <v>54</v>
      </c>
      <c r="J1191" s="1">
        <v>5789.47</v>
      </c>
      <c r="K1191" s="1">
        <v>94569.21</v>
      </c>
      <c r="L1191" t="str">
        <f>IFERROR(IF(VLOOKUP(LEFT(B1191,2),'Humanitarian codes'!$A$2:$A$10,1,FALSE)=LEFT(B1191,2),"Yes","Error"),"No")</f>
        <v>Yes</v>
      </c>
      <c r="AE1191" s="1"/>
      <c r="AF1191" s="1"/>
    </row>
    <row r="1192" spans="1:32" x14ac:dyDescent="0.25">
      <c r="A1192" t="s">
        <v>1893</v>
      </c>
      <c r="B1192" t="s">
        <v>1708</v>
      </c>
      <c r="C1192" t="s">
        <v>1709</v>
      </c>
      <c r="D1192" t="s">
        <v>30</v>
      </c>
      <c r="E1192" t="s">
        <v>289</v>
      </c>
      <c r="F1192">
        <v>4500383013</v>
      </c>
      <c r="G1192" t="s">
        <v>12</v>
      </c>
      <c r="H1192" t="s">
        <v>1710</v>
      </c>
      <c r="I1192" t="s">
        <v>289</v>
      </c>
      <c r="J1192" s="1">
        <v>24840</v>
      </c>
      <c r="K1192" s="1">
        <v>24840</v>
      </c>
      <c r="L1192" t="str">
        <f>IFERROR(IF(VLOOKUP(LEFT(B1192,2),'Humanitarian codes'!$A$2:$A$10,1,FALSE)=LEFT(B1192,2),"Yes","Error"),"No")</f>
        <v>Yes</v>
      </c>
      <c r="AE1192" s="1"/>
      <c r="AF1192" s="1"/>
    </row>
    <row r="1193" spans="1:32" x14ac:dyDescent="0.25">
      <c r="A1193" t="s">
        <v>1893</v>
      </c>
      <c r="B1193" t="s">
        <v>1270</v>
      </c>
      <c r="C1193" t="s">
        <v>1271</v>
      </c>
      <c r="D1193" t="s">
        <v>30</v>
      </c>
      <c r="E1193" t="s">
        <v>751</v>
      </c>
      <c r="F1193">
        <v>4500383061</v>
      </c>
      <c r="G1193" t="s">
        <v>12</v>
      </c>
      <c r="H1193" t="s">
        <v>347</v>
      </c>
      <c r="I1193" t="s">
        <v>751</v>
      </c>
      <c r="J1193" s="1">
        <v>19750</v>
      </c>
      <c r="K1193" s="1">
        <v>19750</v>
      </c>
      <c r="L1193" t="str">
        <f>IFERROR(IF(VLOOKUP(LEFT(B1193,2),'Humanitarian codes'!$A$2:$A$10,1,FALSE)=LEFT(B1193,2),"Yes","Error"),"No")</f>
        <v>Yes</v>
      </c>
      <c r="AE1193" s="1"/>
      <c r="AF1193" s="1"/>
    </row>
    <row r="1194" spans="1:32" x14ac:dyDescent="0.25">
      <c r="A1194" t="s">
        <v>1893</v>
      </c>
      <c r="B1194" t="s">
        <v>1273</v>
      </c>
      <c r="C1194" t="s">
        <v>1274</v>
      </c>
      <c r="D1194" t="s">
        <v>30</v>
      </c>
      <c r="E1194" t="s">
        <v>261</v>
      </c>
      <c r="F1194">
        <v>4500381729</v>
      </c>
      <c r="G1194" t="s">
        <v>12</v>
      </c>
      <c r="H1194" t="s">
        <v>897</v>
      </c>
      <c r="I1194" t="s">
        <v>261</v>
      </c>
      <c r="J1194" s="1">
        <v>58993.18</v>
      </c>
      <c r="K1194" s="1">
        <v>58993.18</v>
      </c>
      <c r="L1194" t="str">
        <f>IFERROR(IF(VLOOKUP(LEFT(B1194,2),'Humanitarian codes'!$A$2:$A$10,1,FALSE)=LEFT(B1194,2),"Yes","Error"),"No")</f>
        <v>Yes</v>
      </c>
      <c r="AE1194" s="1"/>
      <c r="AF1194" s="1"/>
    </row>
    <row r="1195" spans="1:32" x14ac:dyDescent="0.25">
      <c r="A1195" t="s">
        <v>1893</v>
      </c>
      <c r="B1195" t="s">
        <v>1275</v>
      </c>
      <c r="C1195" t="s">
        <v>1276</v>
      </c>
      <c r="D1195" t="s">
        <v>30</v>
      </c>
      <c r="E1195" t="s">
        <v>197</v>
      </c>
      <c r="F1195">
        <v>4500381405</v>
      </c>
      <c r="G1195" t="s">
        <v>12</v>
      </c>
      <c r="H1195" t="s">
        <v>1277</v>
      </c>
      <c r="I1195" t="s">
        <v>197</v>
      </c>
      <c r="J1195" s="1">
        <v>16213.67</v>
      </c>
      <c r="K1195" s="1">
        <v>16213.67</v>
      </c>
      <c r="L1195" t="str">
        <f>IFERROR(IF(VLOOKUP(LEFT(B1195,2),'Humanitarian codes'!$A$2:$A$10,1,FALSE)=LEFT(B1195,2),"Yes","Error"),"No")</f>
        <v>Yes</v>
      </c>
      <c r="AE1195" s="1"/>
      <c r="AF1195" s="1"/>
    </row>
    <row r="1196" spans="1:32" x14ac:dyDescent="0.25">
      <c r="A1196" t="s">
        <v>1893</v>
      </c>
      <c r="B1196" t="s">
        <v>1275</v>
      </c>
      <c r="C1196" t="s">
        <v>1276</v>
      </c>
      <c r="D1196" t="s">
        <v>30</v>
      </c>
      <c r="E1196" t="s">
        <v>197</v>
      </c>
      <c r="F1196">
        <v>4500392827</v>
      </c>
      <c r="G1196" t="s">
        <v>12</v>
      </c>
      <c r="H1196" t="s">
        <v>860</v>
      </c>
      <c r="I1196" t="s">
        <v>197</v>
      </c>
      <c r="J1196" s="1">
        <v>27902.87</v>
      </c>
      <c r="K1196" s="1">
        <v>27902.87</v>
      </c>
      <c r="L1196" t="str">
        <f>IFERROR(IF(VLOOKUP(LEFT(B1196,2),'Humanitarian codes'!$A$2:$A$10,1,FALSE)=LEFT(B1196,2),"Yes","Error"),"No")</f>
        <v>Yes</v>
      </c>
      <c r="AE1196" s="1"/>
      <c r="AF1196" s="1"/>
    </row>
    <row r="1197" spans="1:32" x14ac:dyDescent="0.25">
      <c r="A1197" t="s">
        <v>1893</v>
      </c>
      <c r="B1197" t="s">
        <v>1275</v>
      </c>
      <c r="C1197" t="s">
        <v>1276</v>
      </c>
      <c r="D1197" t="s">
        <v>30</v>
      </c>
      <c r="E1197" t="s">
        <v>197</v>
      </c>
      <c r="F1197">
        <v>4500394449</v>
      </c>
      <c r="G1197" t="s">
        <v>12</v>
      </c>
      <c r="H1197" t="s">
        <v>1711</v>
      </c>
      <c r="I1197" t="s">
        <v>197</v>
      </c>
      <c r="J1197" s="1">
        <v>4391.96</v>
      </c>
      <c r="K1197" s="1">
        <v>4391.96</v>
      </c>
      <c r="L1197" t="str">
        <f>IFERROR(IF(VLOOKUP(LEFT(B1197,2),'Humanitarian codes'!$A$2:$A$10,1,FALSE)=LEFT(B1197,2),"Yes","Error"),"No")</f>
        <v>Yes</v>
      </c>
      <c r="AE1197" s="1"/>
      <c r="AF1197" s="1"/>
    </row>
    <row r="1198" spans="1:32" x14ac:dyDescent="0.25">
      <c r="A1198" t="s">
        <v>1893</v>
      </c>
      <c r="B1198" t="s">
        <v>1275</v>
      </c>
      <c r="C1198" t="s">
        <v>1276</v>
      </c>
      <c r="D1198" t="s">
        <v>30</v>
      </c>
      <c r="E1198" t="s">
        <v>197</v>
      </c>
      <c r="F1198">
        <v>4500396604</v>
      </c>
      <c r="G1198" t="s">
        <v>12</v>
      </c>
      <c r="H1198" t="s">
        <v>1712</v>
      </c>
      <c r="I1198" t="s">
        <v>197</v>
      </c>
      <c r="J1198" s="1">
        <v>5343.97</v>
      </c>
      <c r="K1198" s="1">
        <v>5343.97</v>
      </c>
      <c r="L1198" t="str">
        <f>IFERROR(IF(VLOOKUP(LEFT(B1198,2),'Humanitarian codes'!$A$2:$A$10,1,FALSE)=LEFT(B1198,2),"Yes","Error"),"No")</f>
        <v>Yes</v>
      </c>
      <c r="AE1198" s="1"/>
      <c r="AF1198" s="1"/>
    </row>
    <row r="1199" spans="1:32" x14ac:dyDescent="0.25">
      <c r="A1199" t="s">
        <v>1893</v>
      </c>
      <c r="B1199" t="s">
        <v>1275</v>
      </c>
      <c r="C1199" t="s">
        <v>1276</v>
      </c>
      <c r="D1199" t="s">
        <v>30</v>
      </c>
      <c r="E1199" t="s">
        <v>197</v>
      </c>
      <c r="F1199">
        <v>4500402036</v>
      </c>
      <c r="G1199" t="s">
        <v>12</v>
      </c>
      <c r="H1199" t="s">
        <v>1713</v>
      </c>
      <c r="I1199" t="s">
        <v>197</v>
      </c>
      <c r="J1199" s="1">
        <v>12481.72</v>
      </c>
      <c r="K1199" s="1">
        <v>12481.72</v>
      </c>
      <c r="L1199" t="str">
        <f>IFERROR(IF(VLOOKUP(LEFT(B1199,2),'Humanitarian codes'!$A$2:$A$10,1,FALSE)=LEFT(B1199,2),"Yes","Error"),"No")</f>
        <v>Yes</v>
      </c>
      <c r="AE1199" s="1"/>
      <c r="AF1199" s="1"/>
    </row>
    <row r="1200" spans="1:32" x14ac:dyDescent="0.25">
      <c r="A1200" t="s">
        <v>1893</v>
      </c>
      <c r="B1200" t="s">
        <v>1275</v>
      </c>
      <c r="C1200" t="s">
        <v>1276</v>
      </c>
      <c r="D1200" t="s">
        <v>30</v>
      </c>
      <c r="E1200" t="s">
        <v>201</v>
      </c>
      <c r="F1200">
        <v>4500383526</v>
      </c>
      <c r="G1200" t="s">
        <v>12</v>
      </c>
      <c r="H1200" t="s">
        <v>203</v>
      </c>
      <c r="I1200" t="s">
        <v>201</v>
      </c>
      <c r="J1200" s="1">
        <v>142734.47</v>
      </c>
      <c r="K1200" s="1">
        <v>142734.47</v>
      </c>
      <c r="L1200" t="str">
        <f>IFERROR(IF(VLOOKUP(LEFT(B1200,2),'Humanitarian codes'!$A$2:$A$10,1,FALSE)=LEFT(B1200,2),"Yes","Error"),"No")</f>
        <v>Yes</v>
      </c>
      <c r="AE1200" s="1"/>
      <c r="AF1200" s="1"/>
    </row>
    <row r="1201" spans="1:32" x14ac:dyDescent="0.25">
      <c r="A1201" t="s">
        <v>1893</v>
      </c>
      <c r="B1201" t="s">
        <v>1275</v>
      </c>
      <c r="C1201" t="s">
        <v>1276</v>
      </c>
      <c r="D1201" t="s">
        <v>30</v>
      </c>
      <c r="E1201" t="s">
        <v>201</v>
      </c>
      <c r="F1201">
        <v>4500383773</v>
      </c>
      <c r="G1201" t="s">
        <v>12</v>
      </c>
      <c r="H1201" t="s">
        <v>203</v>
      </c>
      <c r="I1201" t="s">
        <v>201</v>
      </c>
      <c r="J1201" s="1">
        <v>61960.46</v>
      </c>
      <c r="K1201" s="1">
        <v>61960.46</v>
      </c>
      <c r="L1201" t="str">
        <f>IFERROR(IF(VLOOKUP(LEFT(B1201,2),'Humanitarian codes'!$A$2:$A$10,1,FALSE)=LEFT(B1201,2),"Yes","Error"),"No")</f>
        <v>Yes</v>
      </c>
      <c r="AE1201" s="1"/>
      <c r="AF1201" s="1"/>
    </row>
    <row r="1202" spans="1:32" x14ac:dyDescent="0.25">
      <c r="A1202" t="s">
        <v>1893</v>
      </c>
      <c r="B1202" t="s">
        <v>1275</v>
      </c>
      <c r="C1202" t="s">
        <v>1276</v>
      </c>
      <c r="D1202" t="s">
        <v>30</v>
      </c>
      <c r="E1202" t="s">
        <v>201</v>
      </c>
      <c r="F1202">
        <v>4500391366</v>
      </c>
      <c r="G1202" t="s">
        <v>12</v>
      </c>
      <c r="H1202" t="s">
        <v>1714</v>
      </c>
      <c r="I1202" t="s">
        <v>201</v>
      </c>
      <c r="J1202" s="1">
        <v>25306.04</v>
      </c>
      <c r="K1202" s="1">
        <v>25306.04</v>
      </c>
      <c r="L1202" t="str">
        <f>IFERROR(IF(VLOOKUP(LEFT(B1202,2),'Humanitarian codes'!$A$2:$A$10,1,FALSE)=LEFT(B1202,2),"Yes","Error"),"No")</f>
        <v>Yes</v>
      </c>
      <c r="AE1202" s="1"/>
      <c r="AF1202" s="1"/>
    </row>
    <row r="1203" spans="1:32" x14ac:dyDescent="0.25">
      <c r="A1203" t="s">
        <v>1893</v>
      </c>
      <c r="B1203" t="s">
        <v>1275</v>
      </c>
      <c r="C1203" t="s">
        <v>1276</v>
      </c>
      <c r="D1203" t="s">
        <v>30</v>
      </c>
      <c r="E1203" t="s">
        <v>201</v>
      </c>
      <c r="F1203">
        <v>4500395343</v>
      </c>
      <c r="G1203" t="s">
        <v>12</v>
      </c>
      <c r="H1203" t="s">
        <v>202</v>
      </c>
      <c r="I1203" t="s">
        <v>201</v>
      </c>
      <c r="J1203" s="1">
        <v>68925.64</v>
      </c>
      <c r="K1203" s="1">
        <v>68925.64</v>
      </c>
      <c r="L1203" t="str">
        <f>IFERROR(IF(VLOOKUP(LEFT(B1203,2),'Humanitarian codes'!$A$2:$A$10,1,FALSE)=LEFT(B1203,2),"Yes","Error"),"No")</f>
        <v>Yes</v>
      </c>
      <c r="AE1203" s="1"/>
      <c r="AF1203" s="1"/>
    </row>
    <row r="1204" spans="1:32" x14ac:dyDescent="0.25">
      <c r="A1204" t="s">
        <v>1893</v>
      </c>
      <c r="B1204" t="s">
        <v>1275</v>
      </c>
      <c r="C1204" t="s">
        <v>1276</v>
      </c>
      <c r="D1204" t="s">
        <v>30</v>
      </c>
      <c r="E1204" t="s">
        <v>201</v>
      </c>
      <c r="F1204">
        <v>4500398319</v>
      </c>
      <c r="G1204" t="s">
        <v>12</v>
      </c>
      <c r="H1204" t="s">
        <v>1036</v>
      </c>
      <c r="I1204" t="s">
        <v>616</v>
      </c>
      <c r="J1204" s="1">
        <v>50000</v>
      </c>
      <c r="K1204" s="1">
        <v>50000</v>
      </c>
      <c r="L1204" t="str">
        <f>IFERROR(IF(VLOOKUP(LEFT(B1204,2),'Humanitarian codes'!$A$2:$A$10,1,FALSE)=LEFT(B1204,2),"Yes","Error"),"No")</f>
        <v>Yes</v>
      </c>
      <c r="AE1204" s="1"/>
      <c r="AF1204" s="1"/>
    </row>
    <row r="1205" spans="1:32" x14ac:dyDescent="0.25">
      <c r="A1205" t="s">
        <v>1893</v>
      </c>
      <c r="B1205" t="s">
        <v>1275</v>
      </c>
      <c r="C1205" t="s">
        <v>1276</v>
      </c>
      <c r="D1205" t="s">
        <v>30</v>
      </c>
      <c r="E1205" t="s">
        <v>831</v>
      </c>
      <c r="F1205">
        <v>4500400651</v>
      </c>
      <c r="G1205" t="s">
        <v>12</v>
      </c>
      <c r="H1205" t="s">
        <v>1715</v>
      </c>
      <c r="I1205" t="s">
        <v>831</v>
      </c>
      <c r="J1205" s="1">
        <v>86237.24</v>
      </c>
      <c r="K1205" s="1">
        <v>86237.24</v>
      </c>
      <c r="L1205" t="str">
        <f>IFERROR(IF(VLOOKUP(LEFT(B1205,2),'Humanitarian codes'!$A$2:$A$10,1,FALSE)=LEFT(B1205,2),"Yes","Error"),"No")</f>
        <v>Yes</v>
      </c>
      <c r="AE1205" s="1"/>
      <c r="AF1205" s="1"/>
    </row>
    <row r="1206" spans="1:32" x14ac:dyDescent="0.25">
      <c r="A1206" t="s">
        <v>1893</v>
      </c>
      <c r="B1206" t="s">
        <v>1275</v>
      </c>
      <c r="C1206" t="s">
        <v>1276</v>
      </c>
      <c r="D1206" t="s">
        <v>30</v>
      </c>
      <c r="E1206" t="s">
        <v>831</v>
      </c>
      <c r="F1206">
        <v>4500402694</v>
      </c>
      <c r="G1206" t="s">
        <v>12</v>
      </c>
      <c r="H1206" t="s">
        <v>1716</v>
      </c>
      <c r="I1206" t="s">
        <v>831</v>
      </c>
      <c r="J1206" s="1">
        <v>4956.16</v>
      </c>
      <c r="K1206" s="1">
        <v>4956.16</v>
      </c>
      <c r="L1206" t="str">
        <f>IFERROR(IF(VLOOKUP(LEFT(B1206,2),'Humanitarian codes'!$A$2:$A$10,1,FALSE)=LEFT(B1206,2),"Yes","Error"),"No")</f>
        <v>Yes</v>
      </c>
      <c r="AE1206" s="1"/>
      <c r="AF1206" s="1"/>
    </row>
    <row r="1207" spans="1:32" x14ac:dyDescent="0.25">
      <c r="A1207" t="s">
        <v>1893</v>
      </c>
      <c r="B1207" t="s">
        <v>1275</v>
      </c>
      <c r="C1207" t="s">
        <v>1276</v>
      </c>
      <c r="D1207" t="s">
        <v>30</v>
      </c>
      <c r="E1207" t="s">
        <v>831</v>
      </c>
      <c r="F1207">
        <v>4500403090</v>
      </c>
      <c r="G1207" t="s">
        <v>12</v>
      </c>
      <c r="H1207" t="s">
        <v>868</v>
      </c>
      <c r="I1207" t="s">
        <v>831</v>
      </c>
      <c r="J1207" s="1">
        <v>6008.92</v>
      </c>
      <c r="K1207" s="1">
        <v>6008.92</v>
      </c>
      <c r="L1207" t="str">
        <f>IFERROR(IF(VLOOKUP(LEFT(B1207,2),'Humanitarian codes'!$A$2:$A$10,1,FALSE)=LEFT(B1207,2),"Yes","Error"),"No")</f>
        <v>Yes</v>
      </c>
      <c r="AE1207" s="1"/>
      <c r="AF1207" s="1"/>
    </row>
    <row r="1208" spans="1:32" x14ac:dyDescent="0.25">
      <c r="A1208" t="s">
        <v>1893</v>
      </c>
      <c r="B1208" t="s">
        <v>1275</v>
      </c>
      <c r="C1208" t="s">
        <v>1276</v>
      </c>
      <c r="D1208" t="s">
        <v>30</v>
      </c>
      <c r="E1208" t="s">
        <v>831</v>
      </c>
      <c r="F1208">
        <v>4500403098</v>
      </c>
      <c r="G1208" t="s">
        <v>12</v>
      </c>
      <c r="H1208" t="s">
        <v>870</v>
      </c>
      <c r="I1208" t="s">
        <v>831</v>
      </c>
      <c r="J1208" s="1">
        <v>20029.740000000002</v>
      </c>
      <c r="K1208" s="1">
        <v>20029.740000000002</v>
      </c>
      <c r="L1208" t="str">
        <f>IFERROR(IF(VLOOKUP(LEFT(B1208,2),'Humanitarian codes'!$A$2:$A$10,1,FALSE)=LEFT(B1208,2),"Yes","Error"),"No")</f>
        <v>Yes</v>
      </c>
      <c r="AE1208" s="1"/>
      <c r="AF1208" s="1"/>
    </row>
    <row r="1209" spans="1:32" x14ac:dyDescent="0.25">
      <c r="A1209" t="s">
        <v>1893</v>
      </c>
      <c r="B1209" t="s">
        <v>1275</v>
      </c>
      <c r="C1209" t="s">
        <v>1276</v>
      </c>
      <c r="D1209" t="s">
        <v>30</v>
      </c>
      <c r="E1209" t="s">
        <v>210</v>
      </c>
      <c r="F1209">
        <v>4500383485</v>
      </c>
      <c r="G1209" t="s">
        <v>12</v>
      </c>
      <c r="H1209" t="s">
        <v>215</v>
      </c>
      <c r="I1209" t="s">
        <v>210</v>
      </c>
      <c r="J1209" s="1">
        <v>28984.33</v>
      </c>
      <c r="K1209" s="1">
        <v>28984.33</v>
      </c>
      <c r="L1209" t="str">
        <f>IFERROR(IF(VLOOKUP(LEFT(B1209,2),'Humanitarian codes'!$A$2:$A$10,1,FALSE)=LEFT(B1209,2),"Yes","Error"),"No")</f>
        <v>Yes</v>
      </c>
      <c r="AE1209" s="1"/>
      <c r="AF1209" s="1"/>
    </row>
    <row r="1210" spans="1:32" x14ac:dyDescent="0.25">
      <c r="A1210" t="s">
        <v>1893</v>
      </c>
      <c r="B1210" t="s">
        <v>1275</v>
      </c>
      <c r="C1210" t="s">
        <v>1276</v>
      </c>
      <c r="D1210" t="s">
        <v>30</v>
      </c>
      <c r="E1210" t="s">
        <v>210</v>
      </c>
      <c r="F1210">
        <v>4500384354</v>
      </c>
      <c r="G1210" t="s">
        <v>12</v>
      </c>
      <c r="H1210" t="s">
        <v>213</v>
      </c>
      <c r="I1210" t="s">
        <v>210</v>
      </c>
      <c r="J1210" s="1">
        <v>230037.82</v>
      </c>
      <c r="K1210" s="1">
        <v>230037.82</v>
      </c>
      <c r="L1210" t="str">
        <f>IFERROR(IF(VLOOKUP(LEFT(B1210,2),'Humanitarian codes'!$A$2:$A$10,1,FALSE)=LEFT(B1210,2),"Yes","Error"),"No")</f>
        <v>Yes</v>
      </c>
      <c r="AE1210" s="1"/>
      <c r="AF1210" s="1"/>
    </row>
    <row r="1211" spans="1:32" x14ac:dyDescent="0.25">
      <c r="A1211" t="s">
        <v>1893</v>
      </c>
      <c r="B1211" t="s">
        <v>1275</v>
      </c>
      <c r="C1211" t="s">
        <v>1276</v>
      </c>
      <c r="D1211" t="s">
        <v>30</v>
      </c>
      <c r="E1211" t="s">
        <v>210</v>
      </c>
      <c r="F1211">
        <v>4500385683</v>
      </c>
      <c r="G1211" t="s">
        <v>12</v>
      </c>
      <c r="H1211" t="s">
        <v>468</v>
      </c>
      <c r="I1211" t="s">
        <v>210</v>
      </c>
      <c r="J1211" s="1">
        <v>19989.2</v>
      </c>
      <c r="K1211" s="1">
        <v>19989.2</v>
      </c>
      <c r="L1211" t="str">
        <f>IFERROR(IF(VLOOKUP(LEFT(B1211,2),'Humanitarian codes'!$A$2:$A$10,1,FALSE)=LEFT(B1211,2),"Yes","Error"),"No")</f>
        <v>Yes</v>
      </c>
      <c r="AE1211" s="1"/>
      <c r="AF1211" s="1"/>
    </row>
    <row r="1212" spans="1:32" x14ac:dyDescent="0.25">
      <c r="A1212" t="s">
        <v>1893</v>
      </c>
      <c r="B1212" t="s">
        <v>1275</v>
      </c>
      <c r="C1212" t="s">
        <v>1276</v>
      </c>
      <c r="D1212" t="s">
        <v>30</v>
      </c>
      <c r="E1212" t="s">
        <v>210</v>
      </c>
      <c r="F1212">
        <v>4500386067</v>
      </c>
      <c r="G1212" t="s">
        <v>12</v>
      </c>
      <c r="H1212" t="s">
        <v>883</v>
      </c>
      <c r="I1212" t="s">
        <v>210</v>
      </c>
      <c r="J1212" s="1">
        <v>49432.31</v>
      </c>
      <c r="K1212" s="1">
        <v>49432.31</v>
      </c>
      <c r="L1212" t="str">
        <f>IFERROR(IF(VLOOKUP(LEFT(B1212,2),'Humanitarian codes'!$A$2:$A$10,1,FALSE)=LEFT(B1212,2),"Yes","Error"),"No")</f>
        <v>Yes</v>
      </c>
      <c r="AE1212" s="1"/>
      <c r="AF1212" s="1"/>
    </row>
    <row r="1213" spans="1:32" x14ac:dyDescent="0.25">
      <c r="A1213" t="s">
        <v>1893</v>
      </c>
      <c r="B1213" t="s">
        <v>1275</v>
      </c>
      <c r="C1213" t="s">
        <v>1276</v>
      </c>
      <c r="D1213" t="s">
        <v>30</v>
      </c>
      <c r="E1213" t="s">
        <v>210</v>
      </c>
      <c r="F1213">
        <v>4500396597</v>
      </c>
      <c r="G1213" t="s">
        <v>12</v>
      </c>
      <c r="H1213" t="s">
        <v>213</v>
      </c>
      <c r="I1213" t="s">
        <v>210</v>
      </c>
      <c r="J1213" s="1">
        <v>62168.55</v>
      </c>
      <c r="K1213" s="1">
        <v>62168.55</v>
      </c>
      <c r="L1213" t="str">
        <f>IFERROR(IF(VLOOKUP(LEFT(B1213,2),'Humanitarian codes'!$A$2:$A$10,1,FALSE)=LEFT(B1213,2),"Yes","Error"),"No")</f>
        <v>Yes</v>
      </c>
      <c r="AE1213" s="1"/>
      <c r="AF1213" s="1"/>
    </row>
    <row r="1214" spans="1:32" x14ac:dyDescent="0.25">
      <c r="A1214" t="s">
        <v>1893</v>
      </c>
      <c r="B1214" t="s">
        <v>1275</v>
      </c>
      <c r="C1214" t="s">
        <v>1276</v>
      </c>
      <c r="D1214" t="s">
        <v>30</v>
      </c>
      <c r="E1214" t="s">
        <v>210</v>
      </c>
      <c r="F1214">
        <v>4500397720</v>
      </c>
      <c r="G1214" t="s">
        <v>12</v>
      </c>
      <c r="H1214" t="s">
        <v>216</v>
      </c>
      <c r="I1214" t="s">
        <v>210</v>
      </c>
      <c r="J1214" s="1">
        <v>25105.46</v>
      </c>
      <c r="K1214" s="1">
        <v>25105.46</v>
      </c>
      <c r="L1214" t="str">
        <f>IFERROR(IF(VLOOKUP(LEFT(B1214,2),'Humanitarian codes'!$A$2:$A$10,1,FALSE)=LEFT(B1214,2),"Yes","Error"),"No")</f>
        <v>Yes</v>
      </c>
      <c r="AE1214" s="1"/>
      <c r="AF1214" s="1"/>
    </row>
    <row r="1215" spans="1:32" x14ac:dyDescent="0.25">
      <c r="A1215" t="s">
        <v>1893</v>
      </c>
      <c r="B1215" t="s">
        <v>1275</v>
      </c>
      <c r="C1215" t="s">
        <v>1276</v>
      </c>
      <c r="D1215" t="s">
        <v>30</v>
      </c>
      <c r="E1215" t="s">
        <v>1048</v>
      </c>
      <c r="F1215">
        <v>4500393030</v>
      </c>
      <c r="G1215" t="s">
        <v>12</v>
      </c>
      <c r="H1215" t="s">
        <v>1717</v>
      </c>
      <c r="I1215" t="s">
        <v>1048</v>
      </c>
      <c r="J1215" s="1">
        <v>40000</v>
      </c>
      <c r="K1215" s="1">
        <v>40000</v>
      </c>
      <c r="L1215" t="str">
        <f>IFERROR(IF(VLOOKUP(LEFT(B1215,2),'Humanitarian codes'!$A$2:$A$10,1,FALSE)=LEFT(B1215,2),"Yes","Error"),"No")</f>
        <v>Yes</v>
      </c>
      <c r="AE1215" s="1"/>
      <c r="AF1215" s="1"/>
    </row>
    <row r="1216" spans="1:32" x14ac:dyDescent="0.25">
      <c r="A1216" t="s">
        <v>1893</v>
      </c>
      <c r="B1216" t="s">
        <v>1275</v>
      </c>
      <c r="C1216" t="s">
        <v>1276</v>
      </c>
      <c r="D1216" t="s">
        <v>30</v>
      </c>
      <c r="E1216" t="s">
        <v>1048</v>
      </c>
      <c r="F1216">
        <v>4500393415</v>
      </c>
      <c r="G1216" t="s">
        <v>12</v>
      </c>
      <c r="H1216" t="s">
        <v>220</v>
      </c>
      <c r="I1216" t="s">
        <v>1048</v>
      </c>
      <c r="J1216" s="1">
        <v>25063.119999999999</v>
      </c>
      <c r="K1216" s="1">
        <v>25063.119999999999</v>
      </c>
      <c r="L1216" t="str">
        <f>IFERROR(IF(VLOOKUP(LEFT(B1216,2),'Humanitarian codes'!$A$2:$A$10,1,FALSE)=LEFT(B1216,2),"Yes","Error"),"No")</f>
        <v>Yes</v>
      </c>
      <c r="AE1216" s="1"/>
      <c r="AF1216" s="1"/>
    </row>
    <row r="1217" spans="1:32" x14ac:dyDescent="0.25">
      <c r="A1217" t="s">
        <v>1893</v>
      </c>
      <c r="B1217" t="s">
        <v>1275</v>
      </c>
      <c r="C1217" t="s">
        <v>1276</v>
      </c>
      <c r="D1217" t="s">
        <v>30</v>
      </c>
      <c r="E1217" t="s">
        <v>1048</v>
      </c>
      <c r="F1217">
        <v>4500394422</v>
      </c>
      <c r="G1217" t="s">
        <v>12</v>
      </c>
      <c r="H1217" t="s">
        <v>1049</v>
      </c>
      <c r="I1217" t="s">
        <v>1048</v>
      </c>
      <c r="J1217" s="1">
        <v>75189.37</v>
      </c>
      <c r="K1217" s="1">
        <v>75189.37</v>
      </c>
      <c r="L1217" t="str">
        <f>IFERROR(IF(VLOOKUP(LEFT(B1217,2),'Humanitarian codes'!$A$2:$A$10,1,FALSE)=LEFT(B1217,2),"Yes","Error"),"No")</f>
        <v>Yes</v>
      </c>
      <c r="AE1217" s="1"/>
      <c r="AF1217" s="1"/>
    </row>
    <row r="1218" spans="1:32" x14ac:dyDescent="0.25">
      <c r="A1218" t="s">
        <v>1893</v>
      </c>
      <c r="B1218" t="s">
        <v>1275</v>
      </c>
      <c r="C1218" t="s">
        <v>1276</v>
      </c>
      <c r="D1218" t="s">
        <v>30</v>
      </c>
      <c r="E1218" t="s">
        <v>1048</v>
      </c>
      <c r="F1218">
        <v>4500398294</v>
      </c>
      <c r="G1218" t="s">
        <v>12</v>
      </c>
      <c r="H1218" t="s">
        <v>221</v>
      </c>
      <c r="I1218" t="s">
        <v>1048</v>
      </c>
      <c r="J1218" s="1">
        <v>4988.16</v>
      </c>
      <c r="K1218" s="1">
        <v>4988.16</v>
      </c>
      <c r="L1218" t="str">
        <f>IFERROR(IF(VLOOKUP(LEFT(B1218,2),'Humanitarian codes'!$A$2:$A$10,1,FALSE)=LEFT(B1218,2),"Yes","Error"),"No")</f>
        <v>Yes</v>
      </c>
      <c r="AE1218" s="1"/>
      <c r="AF1218" s="1"/>
    </row>
    <row r="1219" spans="1:32" x14ac:dyDescent="0.25">
      <c r="A1219" t="s">
        <v>1893</v>
      </c>
      <c r="B1219" t="s">
        <v>1275</v>
      </c>
      <c r="C1219" t="s">
        <v>1276</v>
      </c>
      <c r="D1219" t="s">
        <v>30</v>
      </c>
      <c r="E1219" t="s">
        <v>1048</v>
      </c>
      <c r="F1219">
        <v>4500400115</v>
      </c>
      <c r="G1219" t="s">
        <v>12</v>
      </c>
      <c r="H1219" t="s">
        <v>1718</v>
      </c>
      <c r="I1219" t="s">
        <v>1048</v>
      </c>
      <c r="J1219" s="1">
        <v>9137.8799999999992</v>
      </c>
      <c r="K1219" s="1">
        <v>9137.8799999999992</v>
      </c>
      <c r="L1219" t="str">
        <f>IFERROR(IF(VLOOKUP(LEFT(B1219,2),'Humanitarian codes'!$A$2:$A$10,1,FALSE)=LEFT(B1219,2),"Yes","Error"),"No")</f>
        <v>Yes</v>
      </c>
      <c r="AE1219" s="1"/>
      <c r="AF1219" s="1"/>
    </row>
    <row r="1220" spans="1:32" x14ac:dyDescent="0.25">
      <c r="A1220" t="s">
        <v>1893</v>
      </c>
      <c r="B1220" t="s">
        <v>1275</v>
      </c>
      <c r="C1220" t="s">
        <v>1276</v>
      </c>
      <c r="D1220" t="s">
        <v>30</v>
      </c>
      <c r="E1220" t="s">
        <v>1048</v>
      </c>
      <c r="F1220">
        <v>4500404598</v>
      </c>
      <c r="G1220" t="s">
        <v>12</v>
      </c>
      <c r="H1220" t="s">
        <v>1719</v>
      </c>
      <c r="I1220" t="s">
        <v>1048</v>
      </c>
      <c r="J1220" s="1">
        <v>24996.3</v>
      </c>
      <c r="K1220" s="1">
        <v>24996.3</v>
      </c>
      <c r="L1220" t="str">
        <f>IFERROR(IF(VLOOKUP(LEFT(B1220,2),'Humanitarian codes'!$A$2:$A$10,1,FALSE)=LEFT(B1220,2),"Yes","Error"),"No")</f>
        <v>Yes</v>
      </c>
      <c r="AE1220" s="1"/>
      <c r="AF1220" s="1"/>
    </row>
    <row r="1221" spans="1:32" x14ac:dyDescent="0.25">
      <c r="A1221" t="s">
        <v>1893</v>
      </c>
      <c r="B1221" t="s">
        <v>1275</v>
      </c>
      <c r="C1221" t="s">
        <v>1276</v>
      </c>
      <c r="D1221" t="s">
        <v>30</v>
      </c>
      <c r="E1221" t="s">
        <v>1048</v>
      </c>
      <c r="F1221">
        <v>4500405012</v>
      </c>
      <c r="G1221" t="s">
        <v>12</v>
      </c>
      <c r="H1221" t="s">
        <v>1720</v>
      </c>
      <c r="I1221" t="s">
        <v>1048</v>
      </c>
      <c r="J1221" s="1">
        <v>24996.3</v>
      </c>
      <c r="K1221" s="1">
        <v>24996.3</v>
      </c>
      <c r="L1221" t="str">
        <f>IFERROR(IF(VLOOKUP(LEFT(B1221,2),'Humanitarian codes'!$A$2:$A$10,1,FALSE)=LEFT(B1221,2),"Yes","Error"),"No")</f>
        <v>Yes</v>
      </c>
      <c r="AE1221" s="1"/>
      <c r="AF1221" s="1"/>
    </row>
    <row r="1222" spans="1:32" x14ac:dyDescent="0.25">
      <c r="A1222" t="s">
        <v>1893</v>
      </c>
      <c r="B1222" t="s">
        <v>1275</v>
      </c>
      <c r="C1222" t="s">
        <v>1276</v>
      </c>
      <c r="D1222" t="s">
        <v>30</v>
      </c>
      <c r="E1222" t="s">
        <v>885</v>
      </c>
      <c r="F1222">
        <v>4500394368</v>
      </c>
      <c r="G1222" t="s">
        <v>12</v>
      </c>
      <c r="H1222" t="s">
        <v>886</v>
      </c>
      <c r="I1222" t="s">
        <v>885</v>
      </c>
      <c r="J1222" s="1">
        <v>71079</v>
      </c>
      <c r="K1222" s="1">
        <v>71079</v>
      </c>
      <c r="L1222" t="str">
        <f>IFERROR(IF(VLOOKUP(LEFT(B1222,2),'Humanitarian codes'!$A$2:$A$10,1,FALSE)=LEFT(B1222,2),"Yes","Error"),"No")</f>
        <v>Yes</v>
      </c>
      <c r="AE1222" s="1"/>
      <c r="AF1222" s="1"/>
    </row>
    <row r="1223" spans="1:32" x14ac:dyDescent="0.25">
      <c r="A1223" t="s">
        <v>1893</v>
      </c>
      <c r="B1223" t="s">
        <v>107</v>
      </c>
      <c r="C1223" t="s">
        <v>1279</v>
      </c>
      <c r="D1223" t="s">
        <v>30</v>
      </c>
      <c r="E1223" t="s">
        <v>814</v>
      </c>
      <c r="F1223">
        <v>4500405065</v>
      </c>
      <c r="G1223" t="s">
        <v>12</v>
      </c>
      <c r="H1223" t="s">
        <v>112</v>
      </c>
      <c r="I1223" t="s">
        <v>814</v>
      </c>
      <c r="J1223" s="1">
        <v>35687.129999999997</v>
      </c>
      <c r="K1223" s="1">
        <v>35687.129999999997</v>
      </c>
      <c r="L1223" t="str">
        <f>IFERROR(IF(VLOOKUP(LEFT(B1223,2),'Humanitarian codes'!$A$2:$A$10,1,FALSE)=LEFT(B1223,2),"Yes","Error"),"No")</f>
        <v>Yes</v>
      </c>
      <c r="AE1223" s="1"/>
      <c r="AF1223" s="1"/>
    </row>
    <row r="1224" spans="1:32" x14ac:dyDescent="0.25">
      <c r="A1224" t="s">
        <v>1893</v>
      </c>
      <c r="B1224" t="s">
        <v>107</v>
      </c>
      <c r="C1224" t="s">
        <v>1279</v>
      </c>
      <c r="D1224" t="s">
        <v>30</v>
      </c>
      <c r="E1224" t="s">
        <v>814</v>
      </c>
      <c r="F1224">
        <v>4500405076</v>
      </c>
      <c r="G1224" t="s">
        <v>12</v>
      </c>
      <c r="H1224" t="s">
        <v>112</v>
      </c>
      <c r="I1224" t="s">
        <v>814</v>
      </c>
      <c r="J1224" s="1">
        <v>24255.41</v>
      </c>
      <c r="K1224" s="1">
        <v>34650.589999999997</v>
      </c>
      <c r="L1224" t="str">
        <f>IFERROR(IF(VLOOKUP(LEFT(B1224,2),'Humanitarian codes'!$A$2:$A$10,1,FALSE)=LEFT(B1224,2),"Yes","Error"),"No")</f>
        <v>Yes</v>
      </c>
      <c r="AE1224" s="1"/>
      <c r="AF1224" s="1"/>
    </row>
    <row r="1225" spans="1:32" x14ac:dyDescent="0.25">
      <c r="A1225" t="s">
        <v>1893</v>
      </c>
      <c r="B1225" t="s">
        <v>107</v>
      </c>
      <c r="C1225" t="s">
        <v>1279</v>
      </c>
      <c r="D1225" t="s">
        <v>30</v>
      </c>
      <c r="E1225" t="s">
        <v>814</v>
      </c>
      <c r="F1225">
        <v>4500405208</v>
      </c>
      <c r="G1225" t="s">
        <v>12</v>
      </c>
      <c r="H1225" t="s">
        <v>115</v>
      </c>
      <c r="I1225" t="s">
        <v>814</v>
      </c>
      <c r="J1225" s="1">
        <v>20919.240000000002</v>
      </c>
      <c r="K1225" s="1">
        <v>29884.63</v>
      </c>
      <c r="L1225" t="str">
        <f>IFERROR(IF(VLOOKUP(LEFT(B1225,2),'Humanitarian codes'!$A$2:$A$10,1,FALSE)=LEFT(B1225,2),"Yes","Error"),"No")</f>
        <v>Yes</v>
      </c>
      <c r="AE1225" s="1"/>
      <c r="AF1225" s="1"/>
    </row>
    <row r="1226" spans="1:32" x14ac:dyDescent="0.25">
      <c r="A1226" t="s">
        <v>1893</v>
      </c>
      <c r="B1226" t="s">
        <v>107</v>
      </c>
      <c r="C1226" t="s">
        <v>1279</v>
      </c>
      <c r="D1226" t="s">
        <v>30</v>
      </c>
      <c r="E1226" t="s">
        <v>814</v>
      </c>
      <c r="F1226">
        <v>4500405213</v>
      </c>
      <c r="G1226" t="s">
        <v>12</v>
      </c>
      <c r="H1226" t="s">
        <v>119</v>
      </c>
      <c r="I1226" t="s">
        <v>814</v>
      </c>
      <c r="J1226" s="1">
        <v>8896.7199999999993</v>
      </c>
      <c r="K1226" s="1">
        <v>12709.6</v>
      </c>
      <c r="L1226" t="str">
        <f>IFERROR(IF(VLOOKUP(LEFT(B1226,2),'Humanitarian codes'!$A$2:$A$10,1,FALSE)=LEFT(B1226,2),"Yes","Error"),"No")</f>
        <v>Yes</v>
      </c>
      <c r="AE1226" s="1"/>
      <c r="AF1226" s="1"/>
    </row>
    <row r="1227" spans="1:32" x14ac:dyDescent="0.25">
      <c r="A1227" t="s">
        <v>1893</v>
      </c>
      <c r="B1227" t="s">
        <v>107</v>
      </c>
      <c r="C1227" t="s">
        <v>1279</v>
      </c>
      <c r="D1227" t="s">
        <v>30</v>
      </c>
      <c r="E1227" t="s">
        <v>814</v>
      </c>
      <c r="F1227">
        <v>4500405228</v>
      </c>
      <c r="G1227" t="s">
        <v>12</v>
      </c>
      <c r="H1227" t="s">
        <v>115</v>
      </c>
      <c r="I1227" t="s">
        <v>814</v>
      </c>
      <c r="J1227" s="1">
        <v>33404.35</v>
      </c>
      <c r="K1227" s="1">
        <v>47720.5</v>
      </c>
      <c r="L1227" t="str">
        <f>IFERROR(IF(VLOOKUP(LEFT(B1227,2),'Humanitarian codes'!$A$2:$A$10,1,FALSE)=LEFT(B1227,2),"Yes","Error"),"No")</f>
        <v>Yes</v>
      </c>
      <c r="AE1227" s="1"/>
      <c r="AF1227" s="1"/>
    </row>
    <row r="1228" spans="1:32" x14ac:dyDescent="0.25">
      <c r="A1228" t="s">
        <v>1893</v>
      </c>
      <c r="B1228" t="s">
        <v>107</v>
      </c>
      <c r="C1228" t="s">
        <v>1279</v>
      </c>
      <c r="D1228" t="s">
        <v>30</v>
      </c>
      <c r="E1228" t="s">
        <v>814</v>
      </c>
      <c r="F1228">
        <v>4500405236</v>
      </c>
      <c r="G1228" t="s">
        <v>12</v>
      </c>
      <c r="H1228" t="s">
        <v>114</v>
      </c>
      <c r="I1228" t="s">
        <v>814</v>
      </c>
      <c r="J1228" s="1">
        <v>21858.27</v>
      </c>
      <c r="K1228" s="1">
        <v>21858.27</v>
      </c>
      <c r="L1228" t="str">
        <f>IFERROR(IF(VLOOKUP(LEFT(B1228,2),'Humanitarian codes'!$A$2:$A$10,1,FALSE)=LEFT(B1228,2),"Yes","Error"),"No")</f>
        <v>Yes</v>
      </c>
      <c r="AE1228" s="1"/>
      <c r="AF1228" s="1"/>
    </row>
    <row r="1229" spans="1:32" x14ac:dyDescent="0.25">
      <c r="A1229" t="s">
        <v>1893</v>
      </c>
      <c r="B1229" t="s">
        <v>107</v>
      </c>
      <c r="C1229" t="s">
        <v>1279</v>
      </c>
      <c r="D1229" t="s">
        <v>30</v>
      </c>
      <c r="E1229" t="s">
        <v>814</v>
      </c>
      <c r="F1229">
        <v>4500405297</v>
      </c>
      <c r="G1229" t="s">
        <v>12</v>
      </c>
      <c r="H1229" t="s">
        <v>118</v>
      </c>
      <c r="I1229" t="s">
        <v>814</v>
      </c>
      <c r="J1229" s="1">
        <v>20586.259999999998</v>
      </c>
      <c r="K1229" s="1">
        <v>29408.94</v>
      </c>
      <c r="L1229" t="str">
        <f>IFERROR(IF(VLOOKUP(LEFT(B1229,2),'Humanitarian codes'!$A$2:$A$10,1,FALSE)=LEFT(B1229,2),"Yes","Error"),"No")</f>
        <v>Yes</v>
      </c>
      <c r="AE1229" s="1"/>
      <c r="AF1229" s="1"/>
    </row>
    <row r="1230" spans="1:32" x14ac:dyDescent="0.25">
      <c r="A1230" t="s">
        <v>1893</v>
      </c>
      <c r="B1230" t="s">
        <v>107</v>
      </c>
      <c r="C1230" t="s">
        <v>1279</v>
      </c>
      <c r="D1230" t="s">
        <v>30</v>
      </c>
      <c r="E1230" t="s">
        <v>814</v>
      </c>
      <c r="F1230">
        <v>4500405305</v>
      </c>
      <c r="G1230" t="s">
        <v>12</v>
      </c>
      <c r="H1230" t="s">
        <v>1721</v>
      </c>
      <c r="I1230" t="s">
        <v>814</v>
      </c>
      <c r="J1230" s="1">
        <v>8563.59</v>
      </c>
      <c r="K1230" s="1">
        <v>8563.59</v>
      </c>
      <c r="L1230" t="str">
        <f>IFERROR(IF(VLOOKUP(LEFT(B1230,2),'Humanitarian codes'!$A$2:$A$10,1,FALSE)=LEFT(B1230,2),"Yes","Error"),"No")</f>
        <v>Yes</v>
      </c>
      <c r="AE1230" s="1"/>
      <c r="AF1230" s="1"/>
    </row>
    <row r="1231" spans="1:32" x14ac:dyDescent="0.25">
      <c r="A1231" t="s">
        <v>1893</v>
      </c>
      <c r="B1231" t="s">
        <v>1281</v>
      </c>
      <c r="C1231" t="s">
        <v>1282</v>
      </c>
      <c r="D1231" t="s">
        <v>30</v>
      </c>
      <c r="E1231" t="s">
        <v>330</v>
      </c>
      <c r="F1231">
        <v>4500398574</v>
      </c>
      <c r="G1231" t="s">
        <v>12</v>
      </c>
      <c r="H1231" t="s">
        <v>1722</v>
      </c>
      <c r="I1231" t="s">
        <v>330</v>
      </c>
      <c r="J1231" s="1">
        <v>165845.38</v>
      </c>
      <c r="K1231" s="1">
        <v>202250.45</v>
      </c>
      <c r="L1231" t="str">
        <f>IFERROR(IF(VLOOKUP(LEFT(B1231,2),'Humanitarian codes'!$A$2:$A$10,1,FALSE)=LEFT(B1231,2),"Yes","Error"),"No")</f>
        <v>Yes</v>
      </c>
      <c r="AE1231" s="1"/>
      <c r="AF1231" s="1"/>
    </row>
    <row r="1232" spans="1:32" x14ac:dyDescent="0.25">
      <c r="A1232" t="s">
        <v>1893</v>
      </c>
      <c r="B1232" t="s">
        <v>1281</v>
      </c>
      <c r="C1232" t="s">
        <v>1282</v>
      </c>
      <c r="D1232" t="s">
        <v>30</v>
      </c>
      <c r="E1232" t="s">
        <v>330</v>
      </c>
      <c r="F1232">
        <v>4500405110</v>
      </c>
      <c r="G1232" t="s">
        <v>12</v>
      </c>
      <c r="H1232" t="s">
        <v>1723</v>
      </c>
      <c r="I1232" t="s">
        <v>330</v>
      </c>
      <c r="J1232" s="1">
        <v>58038.83</v>
      </c>
      <c r="K1232" s="1">
        <v>58038.83</v>
      </c>
      <c r="L1232" t="str">
        <f>IFERROR(IF(VLOOKUP(LEFT(B1232,2),'Humanitarian codes'!$A$2:$A$10,1,FALSE)=LEFT(B1232,2),"Yes","Error"),"No")</f>
        <v>Yes</v>
      </c>
      <c r="AE1232" s="1"/>
      <c r="AF1232" s="1"/>
    </row>
    <row r="1233" spans="1:32" x14ac:dyDescent="0.25">
      <c r="A1233" t="s">
        <v>1893</v>
      </c>
      <c r="B1233" t="s">
        <v>1724</v>
      </c>
      <c r="C1233" t="s">
        <v>1725</v>
      </c>
      <c r="D1233" t="s">
        <v>30</v>
      </c>
      <c r="E1233" t="s">
        <v>175</v>
      </c>
      <c r="F1233">
        <v>4500384412</v>
      </c>
      <c r="G1233" t="s">
        <v>12</v>
      </c>
      <c r="H1233" t="s">
        <v>183</v>
      </c>
      <c r="I1233" t="s">
        <v>184</v>
      </c>
      <c r="J1233" s="1">
        <v>281254.06</v>
      </c>
      <c r="K1233" s="1">
        <v>281254.06</v>
      </c>
      <c r="L1233" t="str">
        <f>IFERROR(IF(VLOOKUP(LEFT(B1233,2),'Humanitarian codes'!$A$2:$A$10,1,FALSE)=LEFT(B1233,2),"Yes","Error"),"No")</f>
        <v>Yes</v>
      </c>
      <c r="AE1233" s="1"/>
      <c r="AF1233" s="1"/>
    </row>
    <row r="1234" spans="1:32" x14ac:dyDescent="0.25">
      <c r="A1234" t="s">
        <v>1893</v>
      </c>
      <c r="B1234" t="s">
        <v>1724</v>
      </c>
      <c r="C1234" t="s">
        <v>1725</v>
      </c>
      <c r="D1234" t="s">
        <v>30</v>
      </c>
      <c r="E1234" t="s">
        <v>175</v>
      </c>
      <c r="F1234">
        <v>4500384416</v>
      </c>
      <c r="G1234" t="s">
        <v>12</v>
      </c>
      <c r="H1234" t="s">
        <v>176</v>
      </c>
      <c r="I1234" t="s">
        <v>175</v>
      </c>
      <c r="J1234" s="1">
        <v>109427.95</v>
      </c>
      <c r="K1234" s="1">
        <v>109427.95</v>
      </c>
      <c r="L1234" t="str">
        <f>IFERROR(IF(VLOOKUP(LEFT(B1234,2),'Humanitarian codes'!$A$2:$A$10,1,FALSE)=LEFT(B1234,2),"Yes","Error"),"No")</f>
        <v>Yes</v>
      </c>
      <c r="AE1234" s="1"/>
      <c r="AF1234" s="1"/>
    </row>
    <row r="1235" spans="1:32" x14ac:dyDescent="0.25">
      <c r="A1235" t="s">
        <v>1893</v>
      </c>
      <c r="B1235" t="s">
        <v>1724</v>
      </c>
      <c r="C1235" t="s">
        <v>1725</v>
      </c>
      <c r="D1235" t="s">
        <v>30</v>
      </c>
      <c r="E1235" t="s">
        <v>175</v>
      </c>
      <c r="F1235">
        <v>4500384427</v>
      </c>
      <c r="G1235" t="s">
        <v>12</v>
      </c>
      <c r="H1235" t="s">
        <v>176</v>
      </c>
      <c r="I1235" t="s">
        <v>175</v>
      </c>
      <c r="J1235" s="1">
        <v>124480.5</v>
      </c>
      <c r="K1235" s="1">
        <v>124480.5</v>
      </c>
      <c r="L1235" t="str">
        <f>IFERROR(IF(VLOOKUP(LEFT(B1235,2),'Humanitarian codes'!$A$2:$A$10,1,FALSE)=LEFT(B1235,2),"Yes","Error"),"No")</f>
        <v>Yes</v>
      </c>
      <c r="AE1235" s="1"/>
      <c r="AF1235" s="1"/>
    </row>
    <row r="1236" spans="1:32" x14ac:dyDescent="0.25">
      <c r="A1236" t="s">
        <v>1893</v>
      </c>
      <c r="B1236" t="s">
        <v>1724</v>
      </c>
      <c r="C1236" t="s">
        <v>1725</v>
      </c>
      <c r="D1236" t="s">
        <v>30</v>
      </c>
      <c r="E1236" t="s">
        <v>175</v>
      </c>
      <c r="F1236">
        <v>4500386613</v>
      </c>
      <c r="G1236" t="s">
        <v>12</v>
      </c>
      <c r="H1236" t="s">
        <v>887</v>
      </c>
      <c r="I1236" t="s">
        <v>175</v>
      </c>
      <c r="J1236" s="1">
        <v>272991.5</v>
      </c>
      <c r="K1236" s="1">
        <v>272991.5</v>
      </c>
      <c r="L1236" t="str">
        <f>IFERROR(IF(VLOOKUP(LEFT(B1236,2),'Humanitarian codes'!$A$2:$A$10,1,FALSE)=LEFT(B1236,2),"Yes","Error"),"No")</f>
        <v>Yes</v>
      </c>
      <c r="AE1236" s="1"/>
      <c r="AF1236" s="1"/>
    </row>
    <row r="1237" spans="1:32" x14ac:dyDescent="0.25">
      <c r="A1237" t="s">
        <v>1893</v>
      </c>
      <c r="B1237" t="s">
        <v>1724</v>
      </c>
      <c r="C1237" t="s">
        <v>1725</v>
      </c>
      <c r="D1237" t="s">
        <v>30</v>
      </c>
      <c r="E1237" t="s">
        <v>175</v>
      </c>
      <c r="F1237">
        <v>4500386619</v>
      </c>
      <c r="G1237" t="s">
        <v>12</v>
      </c>
      <c r="H1237" t="s">
        <v>685</v>
      </c>
      <c r="I1237" t="s">
        <v>175</v>
      </c>
      <c r="J1237" s="1">
        <v>71470.44</v>
      </c>
      <c r="K1237" s="1">
        <v>71470.44</v>
      </c>
      <c r="L1237" t="str">
        <f>IFERROR(IF(VLOOKUP(LEFT(B1237,2),'Humanitarian codes'!$A$2:$A$10,1,FALSE)=LEFT(B1237,2),"Yes","Error"),"No")</f>
        <v>Yes</v>
      </c>
      <c r="AE1237" s="1"/>
      <c r="AF1237" s="1"/>
    </row>
    <row r="1238" spans="1:32" x14ac:dyDescent="0.25">
      <c r="A1238" t="s">
        <v>1893</v>
      </c>
      <c r="B1238" t="s">
        <v>1724</v>
      </c>
      <c r="C1238" t="s">
        <v>1725</v>
      </c>
      <c r="D1238" t="s">
        <v>30</v>
      </c>
      <c r="E1238" t="s">
        <v>175</v>
      </c>
      <c r="F1238">
        <v>4500387391</v>
      </c>
      <c r="G1238" t="s">
        <v>12</v>
      </c>
      <c r="H1238" t="s">
        <v>187</v>
      </c>
      <c r="I1238" t="s">
        <v>175</v>
      </c>
      <c r="J1238" s="1">
        <v>56203.98</v>
      </c>
      <c r="K1238" s="1">
        <v>56203.98</v>
      </c>
      <c r="L1238" t="str">
        <f>IFERROR(IF(VLOOKUP(LEFT(B1238,2),'Humanitarian codes'!$A$2:$A$10,1,FALSE)=LEFT(B1238,2),"Yes","Error"),"No")</f>
        <v>Yes</v>
      </c>
      <c r="AE1238" s="1"/>
      <c r="AF1238" s="1"/>
    </row>
    <row r="1239" spans="1:32" x14ac:dyDescent="0.25">
      <c r="A1239" t="s">
        <v>1893</v>
      </c>
      <c r="B1239" t="s">
        <v>1724</v>
      </c>
      <c r="C1239" t="s">
        <v>1725</v>
      </c>
      <c r="D1239" t="s">
        <v>30</v>
      </c>
      <c r="E1239" t="s">
        <v>175</v>
      </c>
      <c r="F1239">
        <v>4500388042</v>
      </c>
      <c r="G1239" t="s">
        <v>12</v>
      </c>
      <c r="H1239" t="s">
        <v>232</v>
      </c>
      <c r="I1239" t="s">
        <v>175</v>
      </c>
      <c r="J1239" s="1">
        <v>109155.83</v>
      </c>
      <c r="K1239" s="1">
        <v>109155.83</v>
      </c>
      <c r="L1239" t="str">
        <f>IFERROR(IF(VLOOKUP(LEFT(B1239,2),'Humanitarian codes'!$A$2:$A$10,1,FALSE)=LEFT(B1239,2),"Yes","Error"),"No")</f>
        <v>Yes</v>
      </c>
      <c r="AE1239" s="1"/>
      <c r="AF1239" s="1"/>
    </row>
    <row r="1240" spans="1:32" x14ac:dyDescent="0.25">
      <c r="A1240" t="s">
        <v>1893</v>
      </c>
      <c r="B1240" t="s">
        <v>1724</v>
      </c>
      <c r="C1240" t="s">
        <v>1725</v>
      </c>
      <c r="D1240" t="s">
        <v>30</v>
      </c>
      <c r="E1240" t="s">
        <v>175</v>
      </c>
      <c r="F1240">
        <v>4500389426</v>
      </c>
      <c r="G1240" t="s">
        <v>12</v>
      </c>
      <c r="H1240" t="s">
        <v>186</v>
      </c>
      <c r="I1240" t="s">
        <v>175</v>
      </c>
      <c r="J1240" s="1">
        <v>104140.29</v>
      </c>
      <c r="K1240" s="1">
        <v>104140.29</v>
      </c>
      <c r="L1240" t="str">
        <f>IFERROR(IF(VLOOKUP(LEFT(B1240,2),'Humanitarian codes'!$A$2:$A$10,1,FALSE)=LEFT(B1240,2),"Yes","Error"),"No")</f>
        <v>Yes</v>
      </c>
      <c r="AE1240" s="1"/>
      <c r="AF1240" s="1"/>
    </row>
    <row r="1241" spans="1:32" x14ac:dyDescent="0.25">
      <c r="A1241" t="s">
        <v>1893</v>
      </c>
      <c r="B1241" t="s">
        <v>1724</v>
      </c>
      <c r="C1241" t="s">
        <v>1725</v>
      </c>
      <c r="D1241" t="s">
        <v>30</v>
      </c>
      <c r="E1241" t="s">
        <v>175</v>
      </c>
      <c r="F1241">
        <v>4500398170</v>
      </c>
      <c r="G1241" t="s">
        <v>12</v>
      </c>
      <c r="H1241" t="s">
        <v>395</v>
      </c>
      <c r="I1241" t="s">
        <v>175</v>
      </c>
      <c r="J1241" s="1">
        <v>30068.5</v>
      </c>
      <c r="K1241" s="1">
        <v>30068.5</v>
      </c>
      <c r="L1241" t="str">
        <f>IFERROR(IF(VLOOKUP(LEFT(B1241,2),'Humanitarian codes'!$A$2:$A$10,1,FALSE)=LEFT(B1241,2),"Yes","Error"),"No")</f>
        <v>Yes</v>
      </c>
      <c r="AE1241" s="1"/>
      <c r="AF1241" s="1"/>
    </row>
    <row r="1242" spans="1:32" x14ac:dyDescent="0.25">
      <c r="A1242" t="s">
        <v>1893</v>
      </c>
      <c r="B1242" t="s">
        <v>1726</v>
      </c>
      <c r="C1242" t="s">
        <v>1727</v>
      </c>
      <c r="D1242" t="s">
        <v>30</v>
      </c>
      <c r="E1242" t="s">
        <v>330</v>
      </c>
      <c r="F1242">
        <v>4500398574</v>
      </c>
      <c r="G1242" t="s">
        <v>12</v>
      </c>
      <c r="H1242" t="s">
        <v>1722</v>
      </c>
      <c r="I1242" t="s">
        <v>330</v>
      </c>
      <c r="J1242" s="1">
        <v>36405.07</v>
      </c>
      <c r="K1242" s="1">
        <v>202250.45</v>
      </c>
      <c r="L1242" t="str">
        <f>IFERROR(IF(VLOOKUP(LEFT(B1242,2),'Humanitarian codes'!$A$2:$A$10,1,FALSE)=LEFT(B1242,2),"Yes","Error"),"No")</f>
        <v>Yes</v>
      </c>
      <c r="AE1242" s="1"/>
      <c r="AF1242" s="1"/>
    </row>
    <row r="1243" spans="1:32" x14ac:dyDescent="0.25">
      <c r="A1243" t="s">
        <v>1893</v>
      </c>
      <c r="B1243" t="s">
        <v>815</v>
      </c>
      <c r="C1243" t="s">
        <v>816</v>
      </c>
      <c r="D1243" t="s">
        <v>30</v>
      </c>
      <c r="E1243" t="s">
        <v>123</v>
      </c>
      <c r="F1243">
        <v>4500384024</v>
      </c>
      <c r="G1243" t="s">
        <v>12</v>
      </c>
      <c r="H1243" t="s">
        <v>125</v>
      </c>
      <c r="I1243" t="s">
        <v>123</v>
      </c>
      <c r="J1243" s="1">
        <v>2707559.12</v>
      </c>
      <c r="K1243" s="1">
        <v>2707559.12</v>
      </c>
      <c r="L1243" t="str">
        <f>IFERROR(IF(VLOOKUP(LEFT(B1243,2),'Humanitarian codes'!$A$2:$A$10,1,FALSE)=LEFT(B1243,2),"Yes","Error"),"No")</f>
        <v>Yes</v>
      </c>
      <c r="AE1243" s="1"/>
      <c r="AF1243" s="1"/>
    </row>
    <row r="1244" spans="1:32" x14ac:dyDescent="0.25">
      <c r="A1244" t="s">
        <v>1893</v>
      </c>
      <c r="B1244" t="s">
        <v>815</v>
      </c>
      <c r="C1244" t="s">
        <v>816</v>
      </c>
      <c r="D1244" t="s">
        <v>30</v>
      </c>
      <c r="E1244" t="s">
        <v>123</v>
      </c>
      <c r="F1244">
        <v>4500388327</v>
      </c>
      <c r="G1244" t="s">
        <v>12</v>
      </c>
      <c r="H1244" t="s">
        <v>125</v>
      </c>
      <c r="I1244" t="s">
        <v>123</v>
      </c>
      <c r="J1244" s="1">
        <v>1341180.01</v>
      </c>
      <c r="K1244" s="1">
        <v>1341180.01</v>
      </c>
      <c r="L1244" t="str">
        <f>IFERROR(IF(VLOOKUP(LEFT(B1244,2),'Humanitarian codes'!$A$2:$A$10,1,FALSE)=LEFT(B1244,2),"Yes","Error"),"No")</f>
        <v>Yes</v>
      </c>
      <c r="AE1244" s="1"/>
      <c r="AF1244" s="1"/>
    </row>
    <row r="1245" spans="1:32" x14ac:dyDescent="0.25">
      <c r="A1245" t="s">
        <v>1893</v>
      </c>
      <c r="B1245" t="s">
        <v>1288</v>
      </c>
      <c r="C1245" t="s">
        <v>1289</v>
      </c>
      <c r="D1245" t="s">
        <v>30</v>
      </c>
      <c r="E1245" t="s">
        <v>54</v>
      </c>
      <c r="F1245">
        <v>4500380871</v>
      </c>
      <c r="G1245" t="s">
        <v>12</v>
      </c>
      <c r="H1245" t="s">
        <v>277</v>
      </c>
      <c r="I1245" t="s">
        <v>54</v>
      </c>
      <c r="J1245" s="1">
        <v>118690.59</v>
      </c>
      <c r="K1245" s="1">
        <v>177150.13</v>
      </c>
      <c r="L1245" t="str">
        <f>IFERROR(IF(VLOOKUP(LEFT(B1245,2),'Humanitarian codes'!$A$2:$A$10,1,FALSE)=LEFT(B1245,2),"Yes","Error"),"No")</f>
        <v>Yes</v>
      </c>
      <c r="AE1245" s="1"/>
      <c r="AF1245" s="1"/>
    </row>
    <row r="1246" spans="1:32" x14ac:dyDescent="0.25">
      <c r="A1246" t="s">
        <v>1893</v>
      </c>
      <c r="B1246" t="s">
        <v>1288</v>
      </c>
      <c r="C1246" t="s">
        <v>1289</v>
      </c>
      <c r="D1246" t="s">
        <v>30</v>
      </c>
      <c r="E1246" t="s">
        <v>54</v>
      </c>
      <c r="F1246">
        <v>4500382064</v>
      </c>
      <c r="G1246" t="s">
        <v>12</v>
      </c>
      <c r="H1246" t="s">
        <v>1728</v>
      </c>
      <c r="I1246" t="s">
        <v>54</v>
      </c>
      <c r="J1246" s="1">
        <v>32292.48</v>
      </c>
      <c r="K1246" s="1">
        <v>107641.60000000001</v>
      </c>
      <c r="L1246" t="str">
        <f>IFERROR(IF(VLOOKUP(LEFT(B1246,2),'Humanitarian codes'!$A$2:$A$10,1,FALSE)=LEFT(B1246,2),"Yes","Error"),"No")</f>
        <v>Yes</v>
      </c>
      <c r="AE1246" s="1"/>
      <c r="AF1246" s="1"/>
    </row>
    <row r="1247" spans="1:32" x14ac:dyDescent="0.25">
      <c r="A1247" t="s">
        <v>1893</v>
      </c>
      <c r="B1247" t="s">
        <v>1288</v>
      </c>
      <c r="C1247" t="s">
        <v>1289</v>
      </c>
      <c r="D1247" t="s">
        <v>30</v>
      </c>
      <c r="E1247" t="s">
        <v>54</v>
      </c>
      <c r="F1247">
        <v>4500389252</v>
      </c>
      <c r="G1247" t="s">
        <v>12</v>
      </c>
      <c r="H1247" t="s">
        <v>1707</v>
      </c>
      <c r="I1247" t="s">
        <v>54</v>
      </c>
      <c r="J1247" s="1">
        <v>25052.37</v>
      </c>
      <c r="K1247" s="1">
        <v>94569.21</v>
      </c>
      <c r="L1247" t="str">
        <f>IFERROR(IF(VLOOKUP(LEFT(B1247,2),'Humanitarian codes'!$A$2:$A$10,1,FALSE)=LEFT(B1247,2),"Yes","Error"),"No")</f>
        <v>Yes</v>
      </c>
      <c r="AE1247" s="1"/>
      <c r="AF1247" s="1"/>
    </row>
    <row r="1248" spans="1:32" x14ac:dyDescent="0.25">
      <c r="A1248" t="s">
        <v>1893</v>
      </c>
      <c r="B1248" t="s">
        <v>1288</v>
      </c>
      <c r="C1248" t="s">
        <v>1289</v>
      </c>
      <c r="D1248" t="s">
        <v>30</v>
      </c>
      <c r="E1248" t="s">
        <v>54</v>
      </c>
      <c r="F1248">
        <v>4500390017</v>
      </c>
      <c r="G1248" t="s">
        <v>12</v>
      </c>
      <c r="H1248" t="s">
        <v>1729</v>
      </c>
      <c r="I1248" t="s">
        <v>54</v>
      </c>
      <c r="J1248" s="1">
        <v>5729.05</v>
      </c>
      <c r="K1248" s="1">
        <v>57290.6</v>
      </c>
      <c r="L1248" t="str">
        <f>IFERROR(IF(VLOOKUP(LEFT(B1248,2),'Humanitarian codes'!$A$2:$A$10,1,FALSE)=LEFT(B1248,2),"Yes","Error"),"No")</f>
        <v>Yes</v>
      </c>
      <c r="AE1248" s="1"/>
      <c r="AF1248" s="1"/>
    </row>
    <row r="1249" spans="1:32" x14ac:dyDescent="0.25">
      <c r="A1249" t="s">
        <v>1893</v>
      </c>
      <c r="B1249" t="s">
        <v>1293</v>
      </c>
      <c r="C1249" t="s">
        <v>1294</v>
      </c>
      <c r="D1249" t="s">
        <v>30</v>
      </c>
      <c r="E1249" t="s">
        <v>123</v>
      </c>
      <c r="F1249">
        <v>4500396834</v>
      </c>
      <c r="G1249" t="s">
        <v>12</v>
      </c>
      <c r="H1249" t="s">
        <v>73</v>
      </c>
      <c r="I1249" t="s">
        <v>123</v>
      </c>
      <c r="J1249" s="1">
        <v>150000</v>
      </c>
      <c r="K1249" s="1">
        <v>150000</v>
      </c>
      <c r="L1249" t="str">
        <f>IFERROR(IF(VLOOKUP(LEFT(B1249,2),'Humanitarian codes'!$A$2:$A$10,1,FALSE)=LEFT(B1249,2),"Yes","Error"),"No")</f>
        <v>Yes</v>
      </c>
      <c r="AE1249" s="1"/>
      <c r="AF1249" s="1"/>
    </row>
    <row r="1250" spans="1:32" x14ac:dyDescent="0.25">
      <c r="A1250" t="s">
        <v>1893</v>
      </c>
      <c r="B1250" t="s">
        <v>1293</v>
      </c>
      <c r="C1250" t="s">
        <v>1294</v>
      </c>
      <c r="D1250" t="s">
        <v>30</v>
      </c>
      <c r="E1250" t="s">
        <v>123</v>
      </c>
      <c r="F1250">
        <v>4500396842</v>
      </c>
      <c r="G1250" t="s">
        <v>12</v>
      </c>
      <c r="H1250" t="s">
        <v>1295</v>
      </c>
      <c r="I1250" t="s">
        <v>123</v>
      </c>
      <c r="J1250" s="1">
        <v>150000</v>
      </c>
      <c r="K1250" s="1">
        <v>150000</v>
      </c>
      <c r="L1250" t="str">
        <f>IFERROR(IF(VLOOKUP(LEFT(B1250,2),'Humanitarian codes'!$A$2:$A$10,1,FALSE)=LEFT(B1250,2),"Yes","Error"),"No")</f>
        <v>Yes</v>
      </c>
      <c r="AE1250" s="1"/>
      <c r="AF1250" s="1"/>
    </row>
    <row r="1251" spans="1:32" x14ac:dyDescent="0.25">
      <c r="A1251" t="s">
        <v>1893</v>
      </c>
      <c r="B1251" t="s">
        <v>1293</v>
      </c>
      <c r="C1251" t="s">
        <v>1294</v>
      </c>
      <c r="D1251" t="s">
        <v>30</v>
      </c>
      <c r="E1251" t="s">
        <v>123</v>
      </c>
      <c r="F1251">
        <v>4500396847</v>
      </c>
      <c r="G1251" t="s">
        <v>12</v>
      </c>
      <c r="H1251" t="s">
        <v>1296</v>
      </c>
      <c r="I1251" t="s">
        <v>123</v>
      </c>
      <c r="J1251" s="1">
        <v>150000</v>
      </c>
      <c r="K1251" s="1">
        <v>150000</v>
      </c>
      <c r="L1251" t="str">
        <f>IFERROR(IF(VLOOKUP(LEFT(B1251,2),'Humanitarian codes'!$A$2:$A$10,1,FALSE)=LEFT(B1251,2),"Yes","Error"),"No")</f>
        <v>Yes</v>
      </c>
      <c r="AE1251" s="1"/>
      <c r="AF1251" s="1"/>
    </row>
    <row r="1252" spans="1:32" x14ac:dyDescent="0.25">
      <c r="A1252" t="s">
        <v>1893</v>
      </c>
      <c r="B1252" t="s">
        <v>1293</v>
      </c>
      <c r="C1252" t="s">
        <v>1294</v>
      </c>
      <c r="D1252" t="s">
        <v>30</v>
      </c>
      <c r="E1252" t="s">
        <v>123</v>
      </c>
      <c r="F1252">
        <v>4500400098</v>
      </c>
      <c r="G1252" t="s">
        <v>12</v>
      </c>
      <c r="H1252" t="s">
        <v>1730</v>
      </c>
      <c r="I1252" t="s">
        <v>123</v>
      </c>
      <c r="J1252" s="1">
        <v>131216.20000000001</v>
      </c>
      <c r="K1252" s="1">
        <v>131216.20000000001</v>
      </c>
      <c r="L1252" t="str">
        <f>IFERROR(IF(VLOOKUP(LEFT(B1252,2),'Humanitarian codes'!$A$2:$A$10,1,FALSE)=LEFT(B1252,2),"Yes","Error"),"No")</f>
        <v>Yes</v>
      </c>
      <c r="AE1252" s="1"/>
      <c r="AF1252" s="1"/>
    </row>
    <row r="1253" spans="1:32" x14ac:dyDescent="0.25">
      <c r="A1253" t="s">
        <v>1893</v>
      </c>
      <c r="B1253" t="s">
        <v>1297</v>
      </c>
      <c r="C1253" t="s">
        <v>1298</v>
      </c>
      <c r="D1253" t="s">
        <v>30</v>
      </c>
      <c r="E1253" t="s">
        <v>239</v>
      </c>
      <c r="F1253">
        <v>4500402257</v>
      </c>
      <c r="G1253" t="s">
        <v>12</v>
      </c>
      <c r="H1253" t="s">
        <v>889</v>
      </c>
      <c r="I1253" t="s">
        <v>239</v>
      </c>
      <c r="J1253" s="1">
        <v>99963.33</v>
      </c>
      <c r="K1253" s="1">
        <v>99963.33</v>
      </c>
      <c r="L1253" t="str">
        <f>IFERROR(IF(VLOOKUP(LEFT(B1253,2),'Humanitarian codes'!$A$2:$A$10,1,FALSE)=LEFT(B1253,2),"Yes","Error"),"No")</f>
        <v>Yes</v>
      </c>
      <c r="AE1253" s="1"/>
      <c r="AF1253" s="1"/>
    </row>
    <row r="1254" spans="1:32" x14ac:dyDescent="0.25">
      <c r="A1254" t="s">
        <v>1893</v>
      </c>
      <c r="B1254" t="s">
        <v>130</v>
      </c>
      <c r="C1254" t="s">
        <v>131</v>
      </c>
      <c r="D1254" t="s">
        <v>30</v>
      </c>
      <c r="E1254" t="s">
        <v>132</v>
      </c>
      <c r="F1254">
        <v>4500380771</v>
      </c>
      <c r="G1254" t="s">
        <v>12</v>
      </c>
      <c r="H1254" t="s">
        <v>1731</v>
      </c>
      <c r="I1254" t="s">
        <v>132</v>
      </c>
      <c r="J1254" s="1">
        <v>141237.76000000001</v>
      </c>
      <c r="K1254" s="1">
        <v>141237.76000000001</v>
      </c>
      <c r="L1254" t="str">
        <f>IFERROR(IF(VLOOKUP(LEFT(B1254,2),'Humanitarian codes'!$A$2:$A$10,1,FALSE)=LEFT(B1254,2),"Yes","Error"),"No")</f>
        <v>Yes</v>
      </c>
      <c r="AE1254" s="1"/>
      <c r="AF1254" s="1"/>
    </row>
    <row r="1255" spans="1:32" x14ac:dyDescent="0.25">
      <c r="A1255" t="s">
        <v>1893</v>
      </c>
      <c r="B1255" t="s">
        <v>130</v>
      </c>
      <c r="C1255" t="s">
        <v>131</v>
      </c>
      <c r="D1255" t="s">
        <v>30</v>
      </c>
      <c r="E1255" t="s">
        <v>132</v>
      </c>
      <c r="F1255">
        <v>4500381637</v>
      </c>
      <c r="G1255" t="s">
        <v>12</v>
      </c>
      <c r="H1255" t="s">
        <v>1732</v>
      </c>
      <c r="I1255" t="s">
        <v>132</v>
      </c>
      <c r="J1255" s="1">
        <v>145337.04</v>
      </c>
      <c r="K1255" s="1">
        <v>145337.04</v>
      </c>
      <c r="L1255" t="str">
        <f>IFERROR(IF(VLOOKUP(LEFT(B1255,2),'Humanitarian codes'!$A$2:$A$10,1,FALSE)=LEFT(B1255,2),"Yes","Error"),"No")</f>
        <v>Yes</v>
      </c>
      <c r="AE1255" s="1"/>
      <c r="AF1255" s="1"/>
    </row>
    <row r="1256" spans="1:32" x14ac:dyDescent="0.25">
      <c r="A1256" t="s">
        <v>1893</v>
      </c>
      <c r="B1256" t="s">
        <v>130</v>
      </c>
      <c r="C1256" t="s">
        <v>131</v>
      </c>
      <c r="D1256" t="s">
        <v>30</v>
      </c>
      <c r="E1256" t="s">
        <v>132</v>
      </c>
      <c r="F1256">
        <v>4500394335</v>
      </c>
      <c r="G1256" t="s">
        <v>12</v>
      </c>
      <c r="H1256" t="s">
        <v>1733</v>
      </c>
      <c r="I1256" t="s">
        <v>132</v>
      </c>
      <c r="J1256" s="1">
        <v>207676.91</v>
      </c>
      <c r="K1256" s="1">
        <v>207676.91</v>
      </c>
      <c r="L1256" t="str">
        <f>IFERROR(IF(VLOOKUP(LEFT(B1256,2),'Humanitarian codes'!$A$2:$A$10,1,FALSE)=LEFT(B1256,2),"Yes","Error"),"No")</f>
        <v>Yes</v>
      </c>
      <c r="AE1256" s="1"/>
      <c r="AF1256" s="1"/>
    </row>
    <row r="1257" spans="1:32" x14ac:dyDescent="0.25">
      <c r="A1257" t="s">
        <v>1893</v>
      </c>
      <c r="B1257" t="s">
        <v>130</v>
      </c>
      <c r="C1257" t="s">
        <v>131</v>
      </c>
      <c r="D1257" t="s">
        <v>30</v>
      </c>
      <c r="E1257" t="s">
        <v>132</v>
      </c>
      <c r="F1257">
        <v>4500403675</v>
      </c>
      <c r="G1257" t="s">
        <v>12</v>
      </c>
      <c r="H1257" t="s">
        <v>1734</v>
      </c>
      <c r="I1257" t="s">
        <v>132</v>
      </c>
      <c r="J1257" s="1">
        <v>50111.89</v>
      </c>
      <c r="K1257" s="1">
        <v>50111.89</v>
      </c>
      <c r="L1257" t="str">
        <f>IFERROR(IF(VLOOKUP(LEFT(B1257,2),'Humanitarian codes'!$A$2:$A$10,1,FALSE)=LEFT(B1257,2),"Yes","Error"),"No")</f>
        <v>Yes</v>
      </c>
      <c r="AE1257" s="1"/>
      <c r="AF1257" s="1"/>
    </row>
    <row r="1258" spans="1:32" x14ac:dyDescent="0.25">
      <c r="A1258" t="s">
        <v>1893</v>
      </c>
      <c r="B1258" t="s">
        <v>130</v>
      </c>
      <c r="C1258" t="s">
        <v>131</v>
      </c>
      <c r="D1258" t="s">
        <v>30</v>
      </c>
      <c r="E1258" t="s">
        <v>132</v>
      </c>
      <c r="F1258">
        <v>4500404153</v>
      </c>
      <c r="G1258" t="s">
        <v>12</v>
      </c>
      <c r="H1258" t="s">
        <v>1735</v>
      </c>
      <c r="I1258" t="s">
        <v>132</v>
      </c>
      <c r="J1258" s="1">
        <v>36929.39</v>
      </c>
      <c r="K1258" s="1">
        <v>36929.39</v>
      </c>
      <c r="L1258" t="str">
        <f>IFERROR(IF(VLOOKUP(LEFT(B1258,2),'Humanitarian codes'!$A$2:$A$10,1,FALSE)=LEFT(B1258,2),"Yes","Error"),"No")</f>
        <v>Yes</v>
      </c>
      <c r="AE1258" s="1"/>
      <c r="AF1258" s="1"/>
    </row>
    <row r="1259" spans="1:32" x14ac:dyDescent="0.25">
      <c r="A1259" t="s">
        <v>1893</v>
      </c>
      <c r="B1259" t="s">
        <v>1736</v>
      </c>
      <c r="C1259" t="s">
        <v>1737</v>
      </c>
      <c r="D1259" t="s">
        <v>30</v>
      </c>
      <c r="E1259" t="s">
        <v>83</v>
      </c>
      <c r="F1259">
        <v>4500392535</v>
      </c>
      <c r="G1259" t="s">
        <v>12</v>
      </c>
      <c r="H1259" t="s">
        <v>85</v>
      </c>
      <c r="I1259" t="s">
        <v>83</v>
      </c>
      <c r="J1259" s="1">
        <v>19880</v>
      </c>
      <c r="K1259" s="1">
        <v>410000</v>
      </c>
      <c r="L1259" t="str">
        <f>IFERROR(IF(VLOOKUP(LEFT(B1259,2),'Humanitarian codes'!$A$2:$A$10,1,FALSE)=LEFT(B1259,2),"Yes","Error"),"No")</f>
        <v>Yes</v>
      </c>
      <c r="AE1259" s="1"/>
      <c r="AF1259" s="1"/>
    </row>
    <row r="1260" spans="1:32" x14ac:dyDescent="0.25">
      <c r="A1260" t="s">
        <v>1893</v>
      </c>
      <c r="B1260" t="s">
        <v>1302</v>
      </c>
      <c r="C1260" t="s">
        <v>1303</v>
      </c>
      <c r="D1260" t="s">
        <v>30</v>
      </c>
      <c r="E1260" t="s">
        <v>814</v>
      </c>
      <c r="F1260">
        <v>4500392462</v>
      </c>
      <c r="G1260" t="s">
        <v>12</v>
      </c>
      <c r="H1260" t="s">
        <v>1721</v>
      </c>
      <c r="I1260" t="s">
        <v>814</v>
      </c>
      <c r="J1260" s="1">
        <v>8911.4500000000007</v>
      </c>
      <c r="K1260" s="1">
        <v>8911.4500000000007</v>
      </c>
      <c r="L1260" t="str">
        <f>IFERROR(IF(VLOOKUP(LEFT(B1260,2),'Humanitarian codes'!$A$2:$A$10,1,FALSE)=LEFT(B1260,2),"Yes","Error"),"No")</f>
        <v>Yes</v>
      </c>
      <c r="AE1260" s="1"/>
      <c r="AF1260" s="1"/>
    </row>
    <row r="1261" spans="1:32" x14ac:dyDescent="0.25">
      <c r="A1261" t="s">
        <v>1893</v>
      </c>
      <c r="B1261" t="s">
        <v>822</v>
      </c>
      <c r="C1261" t="s">
        <v>823</v>
      </c>
      <c r="D1261" t="s">
        <v>30</v>
      </c>
      <c r="E1261" t="s">
        <v>356</v>
      </c>
      <c r="F1261">
        <v>4500384565</v>
      </c>
      <c r="G1261" t="s">
        <v>12</v>
      </c>
      <c r="H1261" t="s">
        <v>1738</v>
      </c>
      <c r="I1261" t="s">
        <v>356</v>
      </c>
      <c r="J1261" s="1">
        <v>102397</v>
      </c>
      <c r="K1261" s="1">
        <v>102397</v>
      </c>
      <c r="L1261" t="str">
        <f>IFERROR(IF(VLOOKUP(LEFT(B1261,2),'Humanitarian codes'!$A$2:$A$10,1,FALSE)=LEFT(B1261,2),"Yes","Error"),"No")</f>
        <v>Yes</v>
      </c>
      <c r="AE1261" s="1"/>
      <c r="AF1261" s="1"/>
    </row>
    <row r="1262" spans="1:32" x14ac:dyDescent="0.25">
      <c r="A1262" t="s">
        <v>1893</v>
      </c>
      <c r="B1262" t="s">
        <v>822</v>
      </c>
      <c r="C1262" t="s">
        <v>823</v>
      </c>
      <c r="D1262" t="s">
        <v>30</v>
      </c>
      <c r="E1262" t="s">
        <v>356</v>
      </c>
      <c r="F1262">
        <v>4500385787</v>
      </c>
      <c r="G1262" t="s">
        <v>12</v>
      </c>
      <c r="H1262" t="s">
        <v>1739</v>
      </c>
      <c r="I1262" t="s">
        <v>356</v>
      </c>
      <c r="J1262" s="1">
        <v>170237</v>
      </c>
      <c r="K1262" s="1">
        <v>170237</v>
      </c>
      <c r="L1262" t="str">
        <f>IFERROR(IF(VLOOKUP(LEFT(B1262,2),'Humanitarian codes'!$A$2:$A$10,1,FALSE)=LEFT(B1262,2),"Yes","Error"),"No")</f>
        <v>Yes</v>
      </c>
      <c r="AE1262" s="1"/>
      <c r="AF1262" s="1"/>
    </row>
    <row r="1263" spans="1:32" x14ac:dyDescent="0.25">
      <c r="A1263" t="s">
        <v>1893</v>
      </c>
      <c r="B1263" t="s">
        <v>822</v>
      </c>
      <c r="C1263" t="s">
        <v>823</v>
      </c>
      <c r="D1263" t="s">
        <v>30</v>
      </c>
      <c r="E1263" t="s">
        <v>356</v>
      </c>
      <c r="F1263">
        <v>4500386355</v>
      </c>
      <c r="G1263" t="s">
        <v>12</v>
      </c>
      <c r="H1263" t="s">
        <v>1740</v>
      </c>
      <c r="I1263" t="s">
        <v>356</v>
      </c>
      <c r="J1263" s="1">
        <v>95762</v>
      </c>
      <c r="K1263" s="1">
        <v>95762</v>
      </c>
      <c r="L1263" t="str">
        <f>IFERROR(IF(VLOOKUP(LEFT(B1263,2),'Humanitarian codes'!$A$2:$A$10,1,FALSE)=LEFT(B1263,2),"Yes","Error"),"No")</f>
        <v>Yes</v>
      </c>
      <c r="AE1263" s="1"/>
      <c r="AF1263" s="1"/>
    </row>
    <row r="1264" spans="1:32" x14ac:dyDescent="0.25">
      <c r="A1264" t="s">
        <v>1893</v>
      </c>
      <c r="B1264" t="s">
        <v>822</v>
      </c>
      <c r="C1264" t="s">
        <v>823</v>
      </c>
      <c r="D1264" t="s">
        <v>30</v>
      </c>
      <c r="E1264" t="s">
        <v>356</v>
      </c>
      <c r="F1264">
        <v>4500386363</v>
      </c>
      <c r="G1264" t="s">
        <v>12</v>
      </c>
      <c r="H1264" t="s">
        <v>1315</v>
      </c>
      <c r="I1264" t="s">
        <v>356</v>
      </c>
      <c r="J1264" s="1">
        <v>132228</v>
      </c>
      <c r="K1264" s="1">
        <v>132228</v>
      </c>
      <c r="L1264" t="str">
        <f>IFERROR(IF(VLOOKUP(LEFT(B1264,2),'Humanitarian codes'!$A$2:$A$10,1,FALSE)=LEFT(B1264,2),"Yes","Error"),"No")</f>
        <v>Yes</v>
      </c>
      <c r="AE1264" s="1"/>
      <c r="AF1264" s="1"/>
    </row>
    <row r="1265" spans="1:32" x14ac:dyDescent="0.25">
      <c r="A1265" t="s">
        <v>1893</v>
      </c>
      <c r="B1265" t="s">
        <v>822</v>
      </c>
      <c r="C1265" t="s">
        <v>823</v>
      </c>
      <c r="D1265" t="s">
        <v>30</v>
      </c>
      <c r="E1265" t="s">
        <v>356</v>
      </c>
      <c r="F1265">
        <v>4500388302</v>
      </c>
      <c r="G1265" t="s">
        <v>12</v>
      </c>
      <c r="H1265" t="s">
        <v>1741</v>
      </c>
      <c r="I1265" t="s">
        <v>356</v>
      </c>
      <c r="J1265" s="1">
        <v>89194</v>
      </c>
      <c r="K1265" s="1">
        <v>89194</v>
      </c>
      <c r="L1265" t="str">
        <f>IFERROR(IF(VLOOKUP(LEFT(B1265,2),'Humanitarian codes'!$A$2:$A$10,1,FALSE)=LEFT(B1265,2),"Yes","Error"),"No")</f>
        <v>Yes</v>
      </c>
      <c r="AE1265" s="1"/>
      <c r="AF1265" s="1"/>
    </row>
    <row r="1266" spans="1:32" x14ac:dyDescent="0.25">
      <c r="A1266" t="s">
        <v>1893</v>
      </c>
      <c r="B1266" t="s">
        <v>822</v>
      </c>
      <c r="C1266" t="s">
        <v>823</v>
      </c>
      <c r="D1266" t="s">
        <v>30</v>
      </c>
      <c r="E1266" t="s">
        <v>356</v>
      </c>
      <c r="F1266">
        <v>4500393814</v>
      </c>
      <c r="G1266" t="s">
        <v>12</v>
      </c>
      <c r="H1266" t="s">
        <v>1306</v>
      </c>
      <c r="I1266" t="s">
        <v>356</v>
      </c>
      <c r="J1266" s="1">
        <v>148265</v>
      </c>
      <c r="K1266" s="1">
        <v>148265</v>
      </c>
      <c r="L1266" t="str">
        <f>IFERROR(IF(VLOOKUP(LEFT(B1266,2),'Humanitarian codes'!$A$2:$A$10,1,FALSE)=LEFT(B1266,2),"Yes","Error"),"No")</f>
        <v>Yes</v>
      </c>
      <c r="AE1266" s="1"/>
      <c r="AF1266" s="1"/>
    </row>
    <row r="1267" spans="1:32" x14ac:dyDescent="0.25">
      <c r="A1267" t="s">
        <v>1893</v>
      </c>
      <c r="B1267" t="s">
        <v>822</v>
      </c>
      <c r="C1267" t="s">
        <v>823</v>
      </c>
      <c r="D1267" t="s">
        <v>30</v>
      </c>
      <c r="E1267" t="s">
        <v>356</v>
      </c>
      <c r="F1267">
        <v>4500394097</v>
      </c>
      <c r="G1267" t="s">
        <v>12</v>
      </c>
      <c r="H1267" t="s">
        <v>1742</v>
      </c>
      <c r="I1267" t="s">
        <v>356</v>
      </c>
      <c r="J1267" s="1">
        <v>148627</v>
      </c>
      <c r="K1267" s="1">
        <v>148627</v>
      </c>
      <c r="L1267" t="str">
        <f>IFERROR(IF(VLOOKUP(LEFT(B1267,2),'Humanitarian codes'!$A$2:$A$10,1,FALSE)=LEFT(B1267,2),"Yes","Error"),"No")</f>
        <v>Yes</v>
      </c>
      <c r="AE1267" s="1"/>
      <c r="AF1267" s="1"/>
    </row>
    <row r="1268" spans="1:32" x14ac:dyDescent="0.25">
      <c r="A1268" t="s">
        <v>1893</v>
      </c>
      <c r="B1268" t="s">
        <v>822</v>
      </c>
      <c r="C1268" t="s">
        <v>823</v>
      </c>
      <c r="D1268" t="s">
        <v>30</v>
      </c>
      <c r="E1268" t="s">
        <v>356</v>
      </c>
      <c r="F1268">
        <v>4500394098</v>
      </c>
      <c r="G1268" t="s">
        <v>12</v>
      </c>
      <c r="H1268" t="s">
        <v>1743</v>
      </c>
      <c r="I1268" t="s">
        <v>356</v>
      </c>
      <c r="J1268" s="1">
        <v>166988</v>
      </c>
      <c r="K1268" s="1">
        <v>166988</v>
      </c>
      <c r="L1268" t="str">
        <f>IFERROR(IF(VLOOKUP(LEFT(B1268,2),'Humanitarian codes'!$A$2:$A$10,1,FALSE)=LEFT(B1268,2),"Yes","Error"),"No")</f>
        <v>Yes</v>
      </c>
      <c r="AE1268" s="1"/>
      <c r="AF1268" s="1"/>
    </row>
    <row r="1269" spans="1:32" x14ac:dyDescent="0.25">
      <c r="A1269" t="s">
        <v>1893</v>
      </c>
      <c r="B1269" t="s">
        <v>822</v>
      </c>
      <c r="C1269" t="s">
        <v>823</v>
      </c>
      <c r="D1269" t="s">
        <v>30</v>
      </c>
      <c r="E1269" t="s">
        <v>356</v>
      </c>
      <c r="F1269">
        <v>4500394100</v>
      </c>
      <c r="G1269" t="s">
        <v>12</v>
      </c>
      <c r="H1269" t="s">
        <v>1744</v>
      </c>
      <c r="I1269" t="s">
        <v>356</v>
      </c>
      <c r="J1269" s="1">
        <v>100000</v>
      </c>
      <c r="K1269" s="1">
        <v>100000</v>
      </c>
      <c r="L1269" t="str">
        <f>IFERROR(IF(VLOOKUP(LEFT(B1269,2),'Humanitarian codes'!$A$2:$A$10,1,FALSE)=LEFT(B1269,2),"Yes","Error"),"No")</f>
        <v>Yes</v>
      </c>
      <c r="AE1269" s="1"/>
      <c r="AF1269" s="1"/>
    </row>
    <row r="1270" spans="1:32" x14ac:dyDescent="0.25">
      <c r="A1270" t="s">
        <v>1893</v>
      </c>
      <c r="B1270" t="s">
        <v>822</v>
      </c>
      <c r="C1270" t="s">
        <v>823</v>
      </c>
      <c r="D1270" t="s">
        <v>30</v>
      </c>
      <c r="E1270" t="s">
        <v>356</v>
      </c>
      <c r="F1270">
        <v>4500400347</v>
      </c>
      <c r="G1270" t="s">
        <v>12</v>
      </c>
      <c r="H1270" t="s">
        <v>1745</v>
      </c>
      <c r="I1270" t="s">
        <v>356</v>
      </c>
      <c r="J1270" s="1">
        <v>100000</v>
      </c>
      <c r="K1270" s="1">
        <v>100000</v>
      </c>
      <c r="L1270" t="str">
        <f>IFERROR(IF(VLOOKUP(LEFT(B1270,2),'Humanitarian codes'!$A$2:$A$10,1,FALSE)=LEFT(B1270,2),"Yes","Error"),"No")</f>
        <v>Yes</v>
      </c>
      <c r="AE1270" s="1"/>
      <c r="AF1270" s="1"/>
    </row>
    <row r="1271" spans="1:32" x14ac:dyDescent="0.25">
      <c r="A1271" t="s">
        <v>1893</v>
      </c>
      <c r="B1271" t="s">
        <v>822</v>
      </c>
      <c r="C1271" t="s">
        <v>823</v>
      </c>
      <c r="D1271" t="s">
        <v>30</v>
      </c>
      <c r="E1271" t="s">
        <v>356</v>
      </c>
      <c r="F1271">
        <v>4500400356</v>
      </c>
      <c r="G1271" t="s">
        <v>12</v>
      </c>
      <c r="H1271" t="s">
        <v>1746</v>
      </c>
      <c r="I1271" t="s">
        <v>356</v>
      </c>
      <c r="J1271" s="1">
        <v>98681</v>
      </c>
      <c r="K1271" s="1">
        <v>98681</v>
      </c>
      <c r="L1271" t="str">
        <f>IFERROR(IF(VLOOKUP(LEFT(B1271,2),'Humanitarian codes'!$A$2:$A$10,1,FALSE)=LEFT(B1271,2),"Yes","Error"),"No")</f>
        <v>Yes</v>
      </c>
      <c r="AE1271" s="1"/>
      <c r="AF1271" s="1"/>
    </row>
    <row r="1272" spans="1:32" x14ac:dyDescent="0.25">
      <c r="A1272" t="s">
        <v>1893</v>
      </c>
      <c r="B1272" t="s">
        <v>822</v>
      </c>
      <c r="C1272" t="s">
        <v>823</v>
      </c>
      <c r="D1272" t="s">
        <v>30</v>
      </c>
      <c r="E1272" t="s">
        <v>356</v>
      </c>
      <c r="F1272">
        <v>4500400360</v>
      </c>
      <c r="G1272" t="s">
        <v>12</v>
      </c>
      <c r="H1272" t="s">
        <v>826</v>
      </c>
      <c r="I1272" t="s">
        <v>356</v>
      </c>
      <c r="J1272" s="1">
        <v>253171</v>
      </c>
      <c r="K1272" s="1">
        <v>253171</v>
      </c>
      <c r="L1272" t="str">
        <f>IFERROR(IF(VLOOKUP(LEFT(B1272,2),'Humanitarian codes'!$A$2:$A$10,1,FALSE)=LEFT(B1272,2),"Yes","Error"),"No")</f>
        <v>Yes</v>
      </c>
      <c r="AE1272" s="1"/>
      <c r="AF1272" s="1"/>
    </row>
    <row r="1273" spans="1:32" x14ac:dyDescent="0.25">
      <c r="A1273" t="s">
        <v>1893</v>
      </c>
      <c r="B1273" t="s">
        <v>822</v>
      </c>
      <c r="C1273" t="s">
        <v>823</v>
      </c>
      <c r="D1273" t="s">
        <v>30</v>
      </c>
      <c r="E1273" t="s">
        <v>356</v>
      </c>
      <c r="F1273">
        <v>4500405573</v>
      </c>
      <c r="G1273" t="s">
        <v>12</v>
      </c>
      <c r="H1273" t="s">
        <v>1747</v>
      </c>
      <c r="I1273" t="s">
        <v>356</v>
      </c>
      <c r="J1273" s="1">
        <v>175373</v>
      </c>
      <c r="K1273" s="1">
        <v>175373</v>
      </c>
      <c r="L1273" t="str">
        <f>IFERROR(IF(VLOOKUP(LEFT(B1273,2),'Humanitarian codes'!$A$2:$A$10,1,FALSE)=LEFT(B1273,2),"Yes","Error"),"No")</f>
        <v>Yes</v>
      </c>
      <c r="AE1273" s="1"/>
      <c r="AF1273" s="1"/>
    </row>
    <row r="1274" spans="1:32" x14ac:dyDescent="0.25">
      <c r="A1274" t="s">
        <v>1893</v>
      </c>
      <c r="B1274" t="s">
        <v>1316</v>
      </c>
      <c r="C1274" t="s">
        <v>1317</v>
      </c>
      <c r="D1274" t="s">
        <v>30</v>
      </c>
      <c r="E1274" t="s">
        <v>320</v>
      </c>
      <c r="F1274">
        <v>4500387302</v>
      </c>
      <c r="G1274" t="s">
        <v>12</v>
      </c>
      <c r="H1274" t="s">
        <v>851</v>
      </c>
      <c r="I1274" t="s">
        <v>320</v>
      </c>
      <c r="J1274" s="1">
        <v>6480</v>
      </c>
      <c r="K1274" s="1">
        <v>6480</v>
      </c>
      <c r="L1274" t="str">
        <f>IFERROR(IF(VLOOKUP(LEFT(B1274,2),'Humanitarian codes'!$A$2:$A$10,1,FALSE)=LEFT(B1274,2),"Yes","Error"),"No")</f>
        <v>Yes</v>
      </c>
      <c r="AE1274" s="1"/>
      <c r="AF1274" s="1"/>
    </row>
    <row r="1275" spans="1:32" x14ac:dyDescent="0.25">
      <c r="A1275" t="s">
        <v>1893</v>
      </c>
      <c r="B1275" t="s">
        <v>1318</v>
      </c>
      <c r="C1275" t="s">
        <v>1319</v>
      </c>
      <c r="D1275" t="s">
        <v>30</v>
      </c>
      <c r="E1275" t="s">
        <v>289</v>
      </c>
      <c r="F1275">
        <v>4500382678</v>
      </c>
      <c r="G1275" t="s">
        <v>12</v>
      </c>
      <c r="H1275" t="s">
        <v>300</v>
      </c>
      <c r="I1275" t="s">
        <v>289</v>
      </c>
      <c r="J1275" s="1">
        <v>25000</v>
      </c>
      <c r="K1275" s="1">
        <v>25000</v>
      </c>
      <c r="L1275" t="str">
        <f>IFERROR(IF(VLOOKUP(LEFT(B1275,2),'Humanitarian codes'!$A$2:$A$10,1,FALSE)=LEFT(B1275,2),"Yes","Error"),"No")</f>
        <v>Yes</v>
      </c>
      <c r="AE1275" s="1"/>
      <c r="AF1275" s="1"/>
    </row>
    <row r="1276" spans="1:32" x14ac:dyDescent="0.25">
      <c r="A1276" t="s">
        <v>1893</v>
      </c>
      <c r="B1276" t="s">
        <v>1318</v>
      </c>
      <c r="C1276" t="s">
        <v>1319</v>
      </c>
      <c r="D1276" t="s">
        <v>30</v>
      </c>
      <c r="E1276" t="s">
        <v>289</v>
      </c>
      <c r="F1276">
        <v>4500382681</v>
      </c>
      <c r="G1276" t="s">
        <v>12</v>
      </c>
      <c r="H1276" t="s">
        <v>1748</v>
      </c>
      <c r="I1276" t="s">
        <v>289</v>
      </c>
      <c r="J1276" s="1">
        <v>38900</v>
      </c>
      <c r="K1276" s="1">
        <v>38900</v>
      </c>
      <c r="L1276" t="str">
        <f>IFERROR(IF(VLOOKUP(LEFT(B1276,2),'Humanitarian codes'!$A$2:$A$10,1,FALSE)=LEFT(B1276,2),"Yes","Error"),"No")</f>
        <v>Yes</v>
      </c>
      <c r="AE1276" s="1"/>
      <c r="AF1276" s="1"/>
    </row>
    <row r="1277" spans="1:32" x14ac:dyDescent="0.25">
      <c r="A1277" t="s">
        <v>1893</v>
      </c>
      <c r="B1277" t="s">
        <v>1318</v>
      </c>
      <c r="C1277" t="s">
        <v>1319</v>
      </c>
      <c r="D1277" t="s">
        <v>30</v>
      </c>
      <c r="E1277" t="s">
        <v>289</v>
      </c>
      <c r="F1277">
        <v>4500384070</v>
      </c>
      <c r="G1277" t="s">
        <v>12</v>
      </c>
      <c r="H1277" t="s">
        <v>297</v>
      </c>
      <c r="I1277" t="s">
        <v>289</v>
      </c>
      <c r="J1277" s="1">
        <v>45000</v>
      </c>
      <c r="K1277" s="1">
        <v>45000</v>
      </c>
      <c r="L1277" t="str">
        <f>IFERROR(IF(VLOOKUP(LEFT(B1277,2),'Humanitarian codes'!$A$2:$A$10,1,FALSE)=LEFT(B1277,2),"Yes","Error"),"No")</f>
        <v>Yes</v>
      </c>
      <c r="AE1277" s="1"/>
      <c r="AF1277" s="1"/>
    </row>
    <row r="1278" spans="1:32" x14ac:dyDescent="0.25">
      <c r="A1278" t="s">
        <v>1893</v>
      </c>
      <c r="B1278" t="s">
        <v>1318</v>
      </c>
      <c r="C1278" t="s">
        <v>1319</v>
      </c>
      <c r="D1278" t="s">
        <v>30</v>
      </c>
      <c r="E1278" t="s">
        <v>289</v>
      </c>
      <c r="F1278">
        <v>4500386470</v>
      </c>
      <c r="G1278" t="s">
        <v>12</v>
      </c>
      <c r="H1278" t="s">
        <v>302</v>
      </c>
      <c r="I1278" t="s">
        <v>289</v>
      </c>
      <c r="J1278" s="1">
        <v>30000</v>
      </c>
      <c r="K1278" s="1">
        <v>30000</v>
      </c>
      <c r="L1278" t="str">
        <f>IFERROR(IF(VLOOKUP(LEFT(B1278,2),'Humanitarian codes'!$A$2:$A$10,1,FALSE)=LEFT(B1278,2),"Yes","Error"),"No")</f>
        <v>Yes</v>
      </c>
      <c r="AF1278" s="1"/>
    </row>
    <row r="1279" spans="1:32" x14ac:dyDescent="0.25">
      <c r="A1279" t="s">
        <v>1893</v>
      </c>
      <c r="B1279" t="s">
        <v>1318</v>
      </c>
      <c r="C1279" t="s">
        <v>1319</v>
      </c>
      <c r="D1279" t="s">
        <v>30</v>
      </c>
      <c r="E1279" t="s">
        <v>289</v>
      </c>
      <c r="F1279">
        <v>4500386481</v>
      </c>
      <c r="G1279" t="s">
        <v>12</v>
      </c>
      <c r="H1279" t="s">
        <v>1749</v>
      </c>
      <c r="I1279" t="s">
        <v>289</v>
      </c>
      <c r="J1279" s="1">
        <v>30000</v>
      </c>
      <c r="K1279" s="1">
        <v>30000</v>
      </c>
      <c r="L1279" t="str">
        <f>IFERROR(IF(VLOOKUP(LEFT(B1279,2),'Humanitarian codes'!$A$2:$A$10,1,FALSE)=LEFT(B1279,2),"Yes","Error"),"No")</f>
        <v>Yes</v>
      </c>
      <c r="AE1279" s="1"/>
      <c r="AF1279" s="1"/>
    </row>
    <row r="1280" spans="1:32" x14ac:dyDescent="0.25">
      <c r="A1280" t="s">
        <v>1893</v>
      </c>
      <c r="B1280" t="s">
        <v>1318</v>
      </c>
      <c r="C1280" t="s">
        <v>1319</v>
      </c>
      <c r="D1280" t="s">
        <v>30</v>
      </c>
      <c r="E1280" t="s">
        <v>289</v>
      </c>
      <c r="F1280">
        <v>4500387545</v>
      </c>
      <c r="G1280" t="s">
        <v>12</v>
      </c>
      <c r="H1280" t="s">
        <v>1750</v>
      </c>
      <c r="I1280" t="s">
        <v>289</v>
      </c>
      <c r="J1280" s="1">
        <v>40000</v>
      </c>
      <c r="K1280" s="1">
        <v>40000</v>
      </c>
      <c r="L1280" t="str">
        <f>IFERROR(IF(VLOOKUP(LEFT(B1280,2),'Humanitarian codes'!$A$2:$A$10,1,FALSE)=LEFT(B1280,2),"Yes","Error"),"No")</f>
        <v>Yes</v>
      </c>
      <c r="AE1280" s="1"/>
      <c r="AF1280" s="1"/>
    </row>
    <row r="1281" spans="1:32" x14ac:dyDescent="0.25">
      <c r="A1281" t="s">
        <v>1893</v>
      </c>
      <c r="B1281" t="s">
        <v>1318</v>
      </c>
      <c r="C1281" t="s">
        <v>1319</v>
      </c>
      <c r="D1281" t="s">
        <v>30</v>
      </c>
      <c r="E1281" t="s">
        <v>289</v>
      </c>
      <c r="F1281">
        <v>4500388432</v>
      </c>
      <c r="G1281" t="s">
        <v>12</v>
      </c>
      <c r="H1281" t="s">
        <v>1751</v>
      </c>
      <c r="I1281" t="s">
        <v>289</v>
      </c>
      <c r="J1281" s="1">
        <v>22000</v>
      </c>
      <c r="K1281" s="1">
        <v>22000</v>
      </c>
      <c r="L1281" t="str">
        <f>IFERROR(IF(VLOOKUP(LEFT(B1281,2),'Humanitarian codes'!$A$2:$A$10,1,FALSE)=LEFT(B1281,2),"Yes","Error"),"No")</f>
        <v>Yes</v>
      </c>
      <c r="AE1281" s="1"/>
      <c r="AF1281" s="1"/>
    </row>
    <row r="1282" spans="1:32" x14ac:dyDescent="0.25">
      <c r="A1282" t="s">
        <v>1893</v>
      </c>
      <c r="B1282" t="s">
        <v>1318</v>
      </c>
      <c r="C1282" t="s">
        <v>1319</v>
      </c>
      <c r="D1282" t="s">
        <v>30</v>
      </c>
      <c r="E1282" t="s">
        <v>289</v>
      </c>
      <c r="F1282">
        <v>4500389641</v>
      </c>
      <c r="G1282" t="s">
        <v>12</v>
      </c>
      <c r="H1282" t="s">
        <v>372</v>
      </c>
      <c r="I1282" t="s">
        <v>289</v>
      </c>
      <c r="J1282" s="1">
        <v>100000</v>
      </c>
      <c r="K1282" s="1">
        <v>100000</v>
      </c>
      <c r="L1282" t="str">
        <f>IFERROR(IF(VLOOKUP(LEFT(B1282,2),'Humanitarian codes'!$A$2:$A$10,1,FALSE)=LEFT(B1282,2),"Yes","Error"),"No")</f>
        <v>Yes</v>
      </c>
      <c r="AE1282" s="1"/>
      <c r="AF1282" s="1"/>
    </row>
    <row r="1283" spans="1:32" x14ac:dyDescent="0.25">
      <c r="A1283" t="s">
        <v>1893</v>
      </c>
      <c r="B1283" t="s">
        <v>1318</v>
      </c>
      <c r="C1283" t="s">
        <v>1319</v>
      </c>
      <c r="D1283" t="s">
        <v>30</v>
      </c>
      <c r="E1283" t="s">
        <v>289</v>
      </c>
      <c r="F1283">
        <v>4500389663</v>
      </c>
      <c r="G1283" t="s">
        <v>12</v>
      </c>
      <c r="H1283" t="s">
        <v>290</v>
      </c>
      <c r="I1283" t="s">
        <v>289</v>
      </c>
      <c r="J1283" s="1">
        <v>30000</v>
      </c>
      <c r="K1283" s="1">
        <v>30000</v>
      </c>
      <c r="L1283" t="str">
        <f>IFERROR(IF(VLOOKUP(LEFT(B1283,2),'Humanitarian codes'!$A$2:$A$10,1,FALSE)=LEFT(B1283,2),"Yes","Error"),"No")</f>
        <v>Yes</v>
      </c>
      <c r="AE1283" s="1"/>
      <c r="AF1283" s="1"/>
    </row>
    <row r="1284" spans="1:32" x14ac:dyDescent="0.25">
      <c r="A1284" t="s">
        <v>1893</v>
      </c>
      <c r="B1284" t="s">
        <v>1318</v>
      </c>
      <c r="C1284" t="s">
        <v>1319</v>
      </c>
      <c r="D1284" t="s">
        <v>30</v>
      </c>
      <c r="E1284" t="s">
        <v>289</v>
      </c>
      <c r="F1284">
        <v>4500389670</v>
      </c>
      <c r="G1284" t="s">
        <v>12</v>
      </c>
      <c r="H1284" t="s">
        <v>290</v>
      </c>
      <c r="I1284" t="s">
        <v>289</v>
      </c>
      <c r="J1284" s="1">
        <v>25000</v>
      </c>
      <c r="K1284" s="1">
        <v>25000</v>
      </c>
      <c r="L1284" t="str">
        <f>IFERROR(IF(VLOOKUP(LEFT(B1284,2),'Humanitarian codes'!$A$2:$A$10,1,FALSE)=LEFT(B1284,2),"Yes","Error"),"No")</f>
        <v>Yes</v>
      </c>
      <c r="AE1284" s="1"/>
      <c r="AF1284" s="1"/>
    </row>
    <row r="1285" spans="1:32" x14ac:dyDescent="0.25">
      <c r="A1285" t="s">
        <v>1893</v>
      </c>
      <c r="B1285" t="s">
        <v>1318</v>
      </c>
      <c r="C1285" t="s">
        <v>1319</v>
      </c>
      <c r="D1285" t="s">
        <v>30</v>
      </c>
      <c r="E1285" t="s">
        <v>289</v>
      </c>
      <c r="F1285">
        <v>4500390672</v>
      </c>
      <c r="G1285" t="s">
        <v>12</v>
      </c>
      <c r="H1285" t="s">
        <v>1752</v>
      </c>
      <c r="I1285" t="s">
        <v>289</v>
      </c>
      <c r="J1285" s="1">
        <v>14338</v>
      </c>
      <c r="K1285" s="1">
        <v>14338</v>
      </c>
      <c r="L1285" t="str">
        <f>IFERROR(IF(VLOOKUP(LEFT(B1285,2),'Humanitarian codes'!$A$2:$A$10,1,FALSE)=LEFT(B1285,2),"Yes","Error"),"No")</f>
        <v>Yes</v>
      </c>
      <c r="AE1285" s="1"/>
      <c r="AF1285" s="1"/>
    </row>
    <row r="1286" spans="1:32" x14ac:dyDescent="0.25">
      <c r="A1286" t="s">
        <v>1893</v>
      </c>
      <c r="B1286" t="s">
        <v>1318</v>
      </c>
      <c r="C1286" t="s">
        <v>1319</v>
      </c>
      <c r="D1286" t="s">
        <v>30</v>
      </c>
      <c r="E1286" t="s">
        <v>289</v>
      </c>
      <c r="F1286">
        <v>4500391155</v>
      </c>
      <c r="G1286" t="s">
        <v>12</v>
      </c>
      <c r="H1286" t="s">
        <v>1753</v>
      </c>
      <c r="I1286" t="s">
        <v>289</v>
      </c>
      <c r="J1286" s="1">
        <v>32000</v>
      </c>
      <c r="K1286" s="1">
        <v>32000</v>
      </c>
      <c r="L1286" t="str">
        <f>IFERROR(IF(VLOOKUP(LEFT(B1286,2),'Humanitarian codes'!$A$2:$A$10,1,FALSE)=LEFT(B1286,2),"Yes","Error"),"No")</f>
        <v>Yes</v>
      </c>
      <c r="AE1286" s="1"/>
      <c r="AF1286" s="1"/>
    </row>
    <row r="1287" spans="1:32" x14ac:dyDescent="0.25">
      <c r="A1287" t="s">
        <v>1893</v>
      </c>
      <c r="B1287" t="s">
        <v>1318</v>
      </c>
      <c r="C1287" t="s">
        <v>1319</v>
      </c>
      <c r="D1287" t="s">
        <v>30</v>
      </c>
      <c r="E1287" t="s">
        <v>289</v>
      </c>
      <c r="F1287">
        <v>4500393730</v>
      </c>
      <c r="G1287" t="s">
        <v>12</v>
      </c>
      <c r="H1287" t="s">
        <v>1754</v>
      </c>
      <c r="I1287" t="s">
        <v>289</v>
      </c>
      <c r="J1287" s="1">
        <v>11529</v>
      </c>
      <c r="K1287" s="1">
        <v>11529</v>
      </c>
      <c r="L1287" t="str">
        <f>IFERROR(IF(VLOOKUP(LEFT(B1287,2),'Humanitarian codes'!$A$2:$A$10,1,FALSE)=LEFT(B1287,2),"Yes","Error"),"No")</f>
        <v>Yes</v>
      </c>
    </row>
    <row r="1288" spans="1:32" x14ac:dyDescent="0.25">
      <c r="A1288" t="s">
        <v>1893</v>
      </c>
      <c r="B1288" t="s">
        <v>1318</v>
      </c>
      <c r="C1288" t="s">
        <v>1319</v>
      </c>
      <c r="D1288" t="s">
        <v>30</v>
      </c>
      <c r="E1288" t="s">
        <v>289</v>
      </c>
      <c r="F1288">
        <v>4500396012</v>
      </c>
      <c r="G1288" t="s">
        <v>12</v>
      </c>
      <c r="H1288" t="s">
        <v>1755</v>
      </c>
      <c r="I1288" t="s">
        <v>289</v>
      </c>
      <c r="J1288" s="1">
        <v>3716.67</v>
      </c>
      <c r="K1288" s="1">
        <v>3716.67</v>
      </c>
      <c r="L1288" t="str">
        <f>IFERROR(IF(VLOOKUP(LEFT(B1288,2),'Humanitarian codes'!$A$2:$A$10,1,FALSE)=LEFT(B1288,2),"Yes","Error"),"No")</f>
        <v>Yes</v>
      </c>
      <c r="AE1288" s="1"/>
      <c r="AF1288" s="1"/>
    </row>
    <row r="1289" spans="1:32" x14ac:dyDescent="0.25">
      <c r="A1289" t="s">
        <v>1893</v>
      </c>
      <c r="B1289" t="s">
        <v>1318</v>
      </c>
      <c r="C1289" t="s">
        <v>1319</v>
      </c>
      <c r="D1289" t="s">
        <v>30</v>
      </c>
      <c r="E1289" t="s">
        <v>289</v>
      </c>
      <c r="F1289">
        <v>4500396018</v>
      </c>
      <c r="G1289" t="s">
        <v>12</v>
      </c>
      <c r="H1289" t="s">
        <v>1756</v>
      </c>
      <c r="I1289" t="s">
        <v>289</v>
      </c>
      <c r="J1289" s="1">
        <v>5728.03</v>
      </c>
      <c r="K1289" s="1">
        <v>5728.03</v>
      </c>
      <c r="L1289" t="str">
        <f>IFERROR(IF(VLOOKUP(LEFT(B1289,2),'Humanitarian codes'!$A$2:$A$10,1,FALSE)=LEFT(B1289,2),"Yes","Error"),"No")</f>
        <v>Yes</v>
      </c>
      <c r="AE1289" s="1"/>
      <c r="AF1289" s="1"/>
    </row>
    <row r="1290" spans="1:32" x14ac:dyDescent="0.25">
      <c r="A1290" t="s">
        <v>1893</v>
      </c>
      <c r="B1290" t="s">
        <v>1318</v>
      </c>
      <c r="C1290" t="s">
        <v>1319</v>
      </c>
      <c r="D1290" t="s">
        <v>30</v>
      </c>
      <c r="E1290" t="s">
        <v>289</v>
      </c>
      <c r="F1290">
        <v>4500396030</v>
      </c>
      <c r="G1290" t="s">
        <v>12</v>
      </c>
      <c r="H1290" t="s">
        <v>1757</v>
      </c>
      <c r="I1290" t="s">
        <v>289</v>
      </c>
      <c r="J1290" s="1">
        <v>3716.67</v>
      </c>
      <c r="K1290" s="1">
        <v>3716.67</v>
      </c>
      <c r="L1290" t="str">
        <f>IFERROR(IF(VLOOKUP(LEFT(B1290,2),'Humanitarian codes'!$A$2:$A$10,1,FALSE)=LEFT(B1290,2),"Yes","Error"),"No")</f>
        <v>Yes</v>
      </c>
      <c r="AE1290" s="1"/>
      <c r="AF1290" s="1"/>
    </row>
    <row r="1291" spans="1:32" x14ac:dyDescent="0.25">
      <c r="A1291" t="s">
        <v>1893</v>
      </c>
      <c r="B1291" t="s">
        <v>1318</v>
      </c>
      <c r="C1291" t="s">
        <v>1319</v>
      </c>
      <c r="D1291" t="s">
        <v>30</v>
      </c>
      <c r="E1291" t="s">
        <v>289</v>
      </c>
      <c r="F1291">
        <v>4500396784</v>
      </c>
      <c r="G1291" t="s">
        <v>12</v>
      </c>
      <c r="H1291" t="s">
        <v>301</v>
      </c>
      <c r="I1291" t="s">
        <v>289</v>
      </c>
      <c r="J1291" s="1">
        <v>110000</v>
      </c>
      <c r="K1291" s="1">
        <v>110000</v>
      </c>
      <c r="L1291" t="str">
        <f>IFERROR(IF(VLOOKUP(LEFT(B1291,2),'Humanitarian codes'!$A$2:$A$10,1,FALSE)=LEFT(B1291,2),"Yes","Error"),"No")</f>
        <v>Yes</v>
      </c>
      <c r="AE1291" s="1"/>
      <c r="AF1291" s="1"/>
    </row>
    <row r="1292" spans="1:32" x14ac:dyDescent="0.25">
      <c r="A1292" t="s">
        <v>1893</v>
      </c>
      <c r="B1292" t="s">
        <v>1318</v>
      </c>
      <c r="C1292" t="s">
        <v>1319</v>
      </c>
      <c r="D1292" t="s">
        <v>30</v>
      </c>
      <c r="E1292" t="s">
        <v>289</v>
      </c>
      <c r="F1292">
        <v>4500397282</v>
      </c>
      <c r="G1292" t="s">
        <v>12</v>
      </c>
      <c r="H1292" t="s">
        <v>1321</v>
      </c>
      <c r="I1292" t="s">
        <v>289</v>
      </c>
      <c r="J1292" s="1">
        <v>3627.83</v>
      </c>
      <c r="K1292" s="1">
        <v>3627.83</v>
      </c>
      <c r="L1292" t="str">
        <f>IFERROR(IF(VLOOKUP(LEFT(B1292,2),'Humanitarian codes'!$A$2:$A$10,1,FALSE)=LEFT(B1292,2),"Yes","Error"),"No")</f>
        <v>Yes</v>
      </c>
      <c r="AE1292" s="1"/>
      <c r="AF1292" s="1"/>
    </row>
    <row r="1293" spans="1:32" x14ac:dyDescent="0.25">
      <c r="A1293" t="s">
        <v>1893</v>
      </c>
      <c r="B1293" t="s">
        <v>1318</v>
      </c>
      <c r="C1293" t="s">
        <v>1319</v>
      </c>
      <c r="D1293" t="s">
        <v>30</v>
      </c>
      <c r="E1293" t="s">
        <v>289</v>
      </c>
      <c r="F1293">
        <v>4500398491</v>
      </c>
      <c r="G1293" t="s">
        <v>12</v>
      </c>
      <c r="H1293" t="s">
        <v>1758</v>
      </c>
      <c r="I1293" t="s">
        <v>289</v>
      </c>
      <c r="J1293" s="1">
        <v>15665</v>
      </c>
      <c r="K1293" s="1">
        <v>15665</v>
      </c>
      <c r="L1293" t="str">
        <f>IFERROR(IF(VLOOKUP(LEFT(B1293,2),'Humanitarian codes'!$A$2:$A$10,1,FALSE)=LEFT(B1293,2),"Yes","Error"),"No")</f>
        <v>Yes</v>
      </c>
      <c r="AE1293" s="1"/>
      <c r="AF1293" s="1"/>
    </row>
    <row r="1294" spans="1:32" x14ac:dyDescent="0.25">
      <c r="A1294" t="s">
        <v>1893</v>
      </c>
      <c r="B1294" t="s">
        <v>1318</v>
      </c>
      <c r="C1294" t="s">
        <v>1319</v>
      </c>
      <c r="D1294" t="s">
        <v>30</v>
      </c>
      <c r="E1294" t="s">
        <v>289</v>
      </c>
      <c r="F1294">
        <v>4500403749</v>
      </c>
      <c r="G1294" t="s">
        <v>12</v>
      </c>
      <c r="H1294" t="s">
        <v>1710</v>
      </c>
      <c r="I1294" t="s">
        <v>289</v>
      </c>
      <c r="J1294" s="1">
        <v>100000</v>
      </c>
      <c r="K1294" s="1">
        <v>100000</v>
      </c>
      <c r="L1294" t="str">
        <f>IFERROR(IF(VLOOKUP(LEFT(B1294,2),'Humanitarian codes'!$A$2:$A$10,1,FALSE)=LEFT(B1294,2),"Yes","Error"),"No")</f>
        <v>Yes</v>
      </c>
      <c r="AE1294" s="1"/>
      <c r="AF1294" s="1"/>
    </row>
    <row r="1295" spans="1:32" x14ac:dyDescent="0.25">
      <c r="A1295" t="s">
        <v>1893</v>
      </c>
      <c r="B1295" t="s">
        <v>1318</v>
      </c>
      <c r="C1295" t="s">
        <v>1319</v>
      </c>
      <c r="D1295" t="s">
        <v>30</v>
      </c>
      <c r="E1295" t="s">
        <v>903</v>
      </c>
      <c r="F1295">
        <v>4500388371</v>
      </c>
      <c r="G1295" t="s">
        <v>12</v>
      </c>
      <c r="H1295" t="s">
        <v>236</v>
      </c>
      <c r="I1295" t="s">
        <v>903</v>
      </c>
      <c r="J1295" s="1">
        <v>157851.14000000001</v>
      </c>
      <c r="K1295" s="1">
        <v>157851.14000000001</v>
      </c>
      <c r="L1295" t="str">
        <f>IFERROR(IF(VLOOKUP(LEFT(B1295,2),'Humanitarian codes'!$A$2:$A$10,1,FALSE)=LEFT(B1295,2),"Yes","Error"),"No")</f>
        <v>Yes</v>
      </c>
      <c r="AE1295" s="1"/>
      <c r="AF1295" s="1"/>
    </row>
    <row r="1296" spans="1:32" x14ac:dyDescent="0.25">
      <c r="A1296" t="s">
        <v>1893</v>
      </c>
      <c r="B1296" t="s">
        <v>1318</v>
      </c>
      <c r="C1296" t="s">
        <v>1319</v>
      </c>
      <c r="D1296" t="s">
        <v>30</v>
      </c>
      <c r="E1296" t="s">
        <v>903</v>
      </c>
      <c r="F1296">
        <v>4500398878</v>
      </c>
      <c r="G1296" t="s">
        <v>12</v>
      </c>
      <c r="H1296" t="s">
        <v>1759</v>
      </c>
      <c r="I1296" t="s">
        <v>903</v>
      </c>
      <c r="J1296" s="1">
        <v>50155.06</v>
      </c>
      <c r="K1296" s="1">
        <v>50155.06</v>
      </c>
      <c r="L1296" t="str">
        <f>IFERROR(IF(VLOOKUP(LEFT(B1296,2),'Humanitarian codes'!$A$2:$A$10,1,FALSE)=LEFT(B1296,2),"Yes","Error"),"No")</f>
        <v>Yes</v>
      </c>
      <c r="AE1296" s="1"/>
      <c r="AF1296" s="1"/>
    </row>
    <row r="1297" spans="1:32" x14ac:dyDescent="0.25">
      <c r="A1297" t="s">
        <v>1893</v>
      </c>
      <c r="B1297" t="s">
        <v>1318</v>
      </c>
      <c r="C1297" t="s">
        <v>1319</v>
      </c>
      <c r="D1297" t="s">
        <v>30</v>
      </c>
      <c r="E1297" t="s">
        <v>903</v>
      </c>
      <c r="F1297">
        <v>4500398880</v>
      </c>
      <c r="G1297" t="s">
        <v>12</v>
      </c>
      <c r="H1297" t="s">
        <v>1760</v>
      </c>
      <c r="I1297" t="s">
        <v>903</v>
      </c>
      <c r="J1297" s="1">
        <v>49337.47</v>
      </c>
      <c r="K1297" s="1">
        <v>49337.47</v>
      </c>
      <c r="L1297" t="str">
        <f>IFERROR(IF(VLOOKUP(LEFT(B1297,2),'Humanitarian codes'!$A$2:$A$10,1,FALSE)=LEFT(B1297,2),"Yes","Error"),"No")</f>
        <v>Yes</v>
      </c>
      <c r="AE1297" s="1"/>
      <c r="AF1297" s="1"/>
    </row>
    <row r="1298" spans="1:32" x14ac:dyDescent="0.25">
      <c r="A1298" t="s">
        <v>1893</v>
      </c>
      <c r="B1298" t="s">
        <v>1318</v>
      </c>
      <c r="C1298" t="s">
        <v>1319</v>
      </c>
      <c r="D1298" t="s">
        <v>30</v>
      </c>
      <c r="E1298" t="s">
        <v>903</v>
      </c>
      <c r="F1298">
        <v>4500402139</v>
      </c>
      <c r="G1298" t="s">
        <v>12</v>
      </c>
      <c r="H1298" t="s">
        <v>79</v>
      </c>
      <c r="I1298" t="s">
        <v>903</v>
      </c>
      <c r="J1298" s="1">
        <v>59457.29</v>
      </c>
      <c r="K1298" s="1">
        <v>59457.29</v>
      </c>
      <c r="L1298" t="str">
        <f>IFERROR(IF(VLOOKUP(LEFT(B1298,2),'Humanitarian codes'!$A$2:$A$10,1,FALSE)=LEFT(B1298,2),"Yes","Error"),"No")</f>
        <v>Yes</v>
      </c>
      <c r="AE1298" s="1"/>
      <c r="AF1298" s="1"/>
    </row>
    <row r="1299" spans="1:32" x14ac:dyDescent="0.25">
      <c r="A1299" t="s">
        <v>1893</v>
      </c>
      <c r="B1299" t="s">
        <v>1318</v>
      </c>
      <c r="C1299" t="s">
        <v>1319</v>
      </c>
      <c r="D1299" t="s">
        <v>30</v>
      </c>
      <c r="E1299" t="s">
        <v>903</v>
      </c>
      <c r="F1299">
        <v>4500402418</v>
      </c>
      <c r="G1299" t="s">
        <v>12</v>
      </c>
      <c r="H1299" t="s">
        <v>1761</v>
      </c>
      <c r="I1299" t="s">
        <v>903</v>
      </c>
      <c r="J1299" s="1">
        <v>50641.11</v>
      </c>
      <c r="K1299" s="1">
        <v>50641.11</v>
      </c>
      <c r="L1299" t="str">
        <f>IFERROR(IF(VLOOKUP(LEFT(B1299,2),'Humanitarian codes'!$A$2:$A$10,1,FALSE)=LEFT(B1299,2),"Yes","Error"),"No")</f>
        <v>Yes</v>
      </c>
      <c r="AE1299" s="1"/>
      <c r="AF1299" s="1"/>
    </row>
    <row r="1300" spans="1:32" x14ac:dyDescent="0.25">
      <c r="A1300" t="s">
        <v>1893</v>
      </c>
      <c r="B1300" t="s">
        <v>1318</v>
      </c>
      <c r="C1300" t="s">
        <v>1319</v>
      </c>
      <c r="D1300" t="s">
        <v>30</v>
      </c>
      <c r="E1300" t="s">
        <v>903</v>
      </c>
      <c r="F1300">
        <v>4500402967</v>
      </c>
      <c r="G1300" t="s">
        <v>12</v>
      </c>
      <c r="H1300" t="s">
        <v>80</v>
      </c>
      <c r="I1300" t="s">
        <v>903</v>
      </c>
      <c r="J1300" s="1">
        <v>54667.61</v>
      </c>
      <c r="K1300" s="1">
        <v>54667.61</v>
      </c>
      <c r="L1300" t="str">
        <f>IFERROR(IF(VLOOKUP(LEFT(B1300,2),'Humanitarian codes'!$A$2:$A$10,1,FALSE)=LEFT(B1300,2),"Yes","Error"),"No")</f>
        <v>Yes</v>
      </c>
      <c r="AE1300" s="1"/>
      <c r="AF1300" s="1"/>
    </row>
    <row r="1301" spans="1:32" x14ac:dyDescent="0.25">
      <c r="A1301" t="s">
        <v>1893</v>
      </c>
      <c r="B1301" t="s">
        <v>1318</v>
      </c>
      <c r="C1301" t="s">
        <v>1319</v>
      </c>
      <c r="D1301" t="s">
        <v>30</v>
      </c>
      <c r="E1301" t="s">
        <v>305</v>
      </c>
      <c r="F1301">
        <v>4500382894</v>
      </c>
      <c r="G1301" t="s">
        <v>12</v>
      </c>
      <c r="H1301" t="s">
        <v>904</v>
      </c>
      <c r="I1301" t="s">
        <v>305</v>
      </c>
      <c r="J1301" s="1">
        <v>133341.88</v>
      </c>
      <c r="K1301" s="1">
        <v>133341.88</v>
      </c>
      <c r="L1301" t="str">
        <f>IFERROR(IF(VLOOKUP(LEFT(B1301,2),'Humanitarian codes'!$A$2:$A$10,1,FALSE)=LEFT(B1301,2),"Yes","Error"),"No")</f>
        <v>Yes</v>
      </c>
      <c r="AE1301" s="1"/>
      <c r="AF1301" s="1"/>
    </row>
    <row r="1302" spans="1:32" x14ac:dyDescent="0.25">
      <c r="A1302" t="s">
        <v>1893</v>
      </c>
      <c r="B1302" t="s">
        <v>1318</v>
      </c>
      <c r="C1302" t="s">
        <v>1319</v>
      </c>
      <c r="D1302" t="s">
        <v>30</v>
      </c>
      <c r="E1302" t="s">
        <v>305</v>
      </c>
      <c r="F1302">
        <v>4500391273</v>
      </c>
      <c r="G1302" t="s">
        <v>12</v>
      </c>
      <c r="H1302" t="s">
        <v>310</v>
      </c>
      <c r="I1302" t="s">
        <v>305</v>
      </c>
      <c r="J1302" s="1">
        <v>76059.27</v>
      </c>
      <c r="K1302" s="1">
        <v>76059.27</v>
      </c>
      <c r="L1302" t="str">
        <f>IFERROR(IF(VLOOKUP(LEFT(B1302,2),'Humanitarian codes'!$A$2:$A$10,1,FALSE)=LEFT(B1302,2),"Yes","Error"),"No")</f>
        <v>Yes</v>
      </c>
      <c r="AE1302" s="1"/>
      <c r="AF1302" s="1"/>
    </row>
    <row r="1303" spans="1:32" x14ac:dyDescent="0.25">
      <c r="A1303" t="s">
        <v>1893</v>
      </c>
      <c r="B1303" t="s">
        <v>1318</v>
      </c>
      <c r="C1303" t="s">
        <v>1319</v>
      </c>
      <c r="D1303" t="s">
        <v>30</v>
      </c>
      <c r="E1303" t="s">
        <v>305</v>
      </c>
      <c r="F1303">
        <v>4500393088</v>
      </c>
      <c r="G1303" t="s">
        <v>12</v>
      </c>
      <c r="H1303" t="s">
        <v>1326</v>
      </c>
      <c r="I1303" t="s">
        <v>305</v>
      </c>
      <c r="J1303" s="1">
        <v>49800.800000000003</v>
      </c>
      <c r="K1303" s="1">
        <v>49800.800000000003</v>
      </c>
      <c r="L1303" t="str">
        <f>IFERROR(IF(VLOOKUP(LEFT(B1303,2),'Humanitarian codes'!$A$2:$A$10,1,FALSE)=LEFT(B1303,2),"Yes","Error"),"No")</f>
        <v>Yes</v>
      </c>
      <c r="AE1303" s="1"/>
      <c r="AF1303" s="1"/>
    </row>
    <row r="1304" spans="1:32" x14ac:dyDescent="0.25">
      <c r="A1304" t="s">
        <v>1893</v>
      </c>
      <c r="B1304" t="s">
        <v>1318</v>
      </c>
      <c r="C1304" t="s">
        <v>1319</v>
      </c>
      <c r="D1304" t="s">
        <v>30</v>
      </c>
      <c r="E1304" t="s">
        <v>305</v>
      </c>
      <c r="F1304">
        <v>4500399404</v>
      </c>
      <c r="G1304" t="s">
        <v>12</v>
      </c>
      <c r="H1304" t="s">
        <v>904</v>
      </c>
      <c r="I1304" t="s">
        <v>305</v>
      </c>
      <c r="J1304" s="1">
        <v>5271.08</v>
      </c>
      <c r="K1304" s="1">
        <v>5271.08</v>
      </c>
      <c r="L1304" t="str">
        <f>IFERROR(IF(VLOOKUP(LEFT(B1304,2),'Humanitarian codes'!$A$2:$A$10,1,FALSE)=LEFT(B1304,2),"Yes","Error"),"No")</f>
        <v>Yes</v>
      </c>
      <c r="AE1304" s="1"/>
      <c r="AF1304" s="1"/>
    </row>
    <row r="1305" spans="1:32" x14ac:dyDescent="0.25">
      <c r="A1305" t="s">
        <v>1893</v>
      </c>
      <c r="B1305" t="s">
        <v>1318</v>
      </c>
      <c r="C1305" t="s">
        <v>1319</v>
      </c>
      <c r="D1305" t="s">
        <v>30</v>
      </c>
      <c r="E1305" t="s">
        <v>305</v>
      </c>
      <c r="F1305">
        <v>4500400060</v>
      </c>
      <c r="G1305" t="s">
        <v>12</v>
      </c>
      <c r="H1305" t="s">
        <v>310</v>
      </c>
      <c r="I1305" t="s">
        <v>305</v>
      </c>
      <c r="J1305" s="1">
        <v>85912.9</v>
      </c>
      <c r="K1305" s="1">
        <v>85912.9</v>
      </c>
      <c r="L1305" t="str">
        <f>IFERROR(IF(VLOOKUP(LEFT(B1305,2),'Humanitarian codes'!$A$2:$A$10,1,FALSE)=LEFT(B1305,2),"Yes","Error"),"No")</f>
        <v>Yes</v>
      </c>
      <c r="AE1305" s="1"/>
      <c r="AF1305" s="1"/>
    </row>
    <row r="1306" spans="1:32" x14ac:dyDescent="0.25">
      <c r="A1306" t="s">
        <v>1893</v>
      </c>
      <c r="B1306" t="s">
        <v>1318</v>
      </c>
      <c r="C1306" t="s">
        <v>1319</v>
      </c>
      <c r="D1306" t="s">
        <v>30</v>
      </c>
      <c r="E1306" t="s">
        <v>909</v>
      </c>
      <c r="F1306">
        <v>4500390253</v>
      </c>
      <c r="G1306" t="s">
        <v>12</v>
      </c>
      <c r="H1306" t="s">
        <v>1762</v>
      </c>
      <c r="I1306" t="s">
        <v>909</v>
      </c>
      <c r="J1306" s="1">
        <v>40196.519999999997</v>
      </c>
      <c r="K1306" s="1">
        <v>40196.519999999997</v>
      </c>
      <c r="L1306" t="str">
        <f>IFERROR(IF(VLOOKUP(LEFT(B1306,2),'Humanitarian codes'!$A$2:$A$10,1,FALSE)=LEFT(B1306,2),"Yes","Error"),"No")</f>
        <v>Yes</v>
      </c>
      <c r="AE1306" s="1"/>
      <c r="AF1306" s="1"/>
    </row>
    <row r="1307" spans="1:32" x14ac:dyDescent="0.25">
      <c r="A1307" t="s">
        <v>1893</v>
      </c>
      <c r="B1307" t="s">
        <v>1763</v>
      </c>
      <c r="C1307" t="s">
        <v>1764</v>
      </c>
      <c r="D1307" t="s">
        <v>30</v>
      </c>
      <c r="E1307" t="s">
        <v>175</v>
      </c>
      <c r="F1307">
        <v>4500402625</v>
      </c>
      <c r="G1307" t="s">
        <v>12</v>
      </c>
      <c r="H1307" t="s">
        <v>185</v>
      </c>
      <c r="I1307" t="s">
        <v>175</v>
      </c>
      <c r="J1307" s="1">
        <v>15086.51</v>
      </c>
      <c r="K1307" s="1">
        <v>15086.51</v>
      </c>
      <c r="L1307" t="str">
        <f>IFERROR(IF(VLOOKUP(LEFT(B1307,2),'Humanitarian codes'!$A$2:$A$10,1,FALSE)=LEFT(B1307,2),"Yes","Error"),"No")</f>
        <v>Yes</v>
      </c>
      <c r="AE1307" s="1"/>
      <c r="AF1307" s="1"/>
    </row>
    <row r="1308" spans="1:32" x14ac:dyDescent="0.25">
      <c r="A1308" t="s">
        <v>1893</v>
      </c>
      <c r="B1308" t="s">
        <v>1335</v>
      </c>
      <c r="C1308" t="s">
        <v>1336</v>
      </c>
      <c r="D1308" t="s">
        <v>30</v>
      </c>
      <c r="E1308" t="s">
        <v>83</v>
      </c>
      <c r="F1308">
        <v>4500392535</v>
      </c>
      <c r="G1308" t="s">
        <v>12</v>
      </c>
      <c r="H1308" t="s">
        <v>85</v>
      </c>
      <c r="I1308" t="s">
        <v>83</v>
      </c>
      <c r="J1308" s="1">
        <v>208080</v>
      </c>
      <c r="K1308" s="1">
        <v>410000</v>
      </c>
      <c r="L1308" t="str">
        <f>IFERROR(IF(VLOOKUP(LEFT(B1308,2),'Humanitarian codes'!$A$2:$A$10,1,FALSE)=LEFT(B1308,2),"Yes","Error"),"No")</f>
        <v>Yes</v>
      </c>
      <c r="AE1308" s="1"/>
      <c r="AF1308" s="1"/>
    </row>
    <row r="1309" spans="1:32" x14ac:dyDescent="0.25">
      <c r="A1309" t="s">
        <v>1893</v>
      </c>
      <c r="B1309" t="s">
        <v>1335</v>
      </c>
      <c r="C1309" t="s">
        <v>1336</v>
      </c>
      <c r="D1309" t="s">
        <v>30</v>
      </c>
      <c r="E1309" t="s">
        <v>83</v>
      </c>
      <c r="F1309">
        <v>4500392880</v>
      </c>
      <c r="G1309" t="s">
        <v>12</v>
      </c>
      <c r="H1309" t="s">
        <v>86</v>
      </c>
      <c r="I1309" t="s">
        <v>83</v>
      </c>
      <c r="J1309" s="1">
        <v>321662.21999999997</v>
      </c>
      <c r="K1309" s="1">
        <v>337662.22</v>
      </c>
      <c r="L1309" t="str">
        <f>IFERROR(IF(VLOOKUP(LEFT(B1309,2),'Humanitarian codes'!$A$2:$A$10,1,FALSE)=LEFT(B1309,2),"Yes","Error"),"No")</f>
        <v>Yes</v>
      </c>
      <c r="AE1309" s="1"/>
      <c r="AF1309" s="1"/>
    </row>
    <row r="1310" spans="1:32" x14ac:dyDescent="0.25">
      <c r="A1310" t="s">
        <v>1893</v>
      </c>
      <c r="B1310" t="s">
        <v>1765</v>
      </c>
      <c r="C1310" t="s">
        <v>1766</v>
      </c>
      <c r="D1310" t="s">
        <v>30</v>
      </c>
      <c r="E1310" t="s">
        <v>717</v>
      </c>
      <c r="F1310">
        <v>4500383379</v>
      </c>
      <c r="G1310" t="s">
        <v>12</v>
      </c>
      <c r="H1310" t="s">
        <v>1767</v>
      </c>
      <c r="I1310" t="s">
        <v>717</v>
      </c>
      <c r="J1310" s="1">
        <v>80188.05</v>
      </c>
      <c r="K1310" s="1">
        <v>80188.05</v>
      </c>
      <c r="L1310" t="str">
        <f>IFERROR(IF(VLOOKUP(LEFT(B1310,2),'Humanitarian codes'!$A$2:$A$10,1,FALSE)=LEFT(B1310,2),"Yes","Error"),"No")</f>
        <v>Yes</v>
      </c>
      <c r="AE1310" s="1"/>
      <c r="AF1310" s="1"/>
    </row>
    <row r="1311" spans="1:32" x14ac:dyDescent="0.25">
      <c r="A1311" t="s">
        <v>1893</v>
      </c>
      <c r="B1311" t="s">
        <v>1340</v>
      </c>
      <c r="C1311" t="s">
        <v>1341</v>
      </c>
      <c r="D1311" t="s">
        <v>30</v>
      </c>
      <c r="E1311" t="s">
        <v>54</v>
      </c>
      <c r="F1311">
        <v>4500380871</v>
      </c>
      <c r="G1311" t="s">
        <v>12</v>
      </c>
      <c r="H1311" t="s">
        <v>277</v>
      </c>
      <c r="I1311" t="s">
        <v>54</v>
      </c>
      <c r="J1311" s="1">
        <v>19486.509999999998</v>
      </c>
      <c r="K1311" s="1">
        <v>177150.13</v>
      </c>
      <c r="L1311" t="str">
        <f>IFERROR(IF(VLOOKUP(LEFT(B1311,2),'Humanitarian codes'!$A$2:$A$10,1,FALSE)=LEFT(B1311,2),"Yes","Error"),"No")</f>
        <v>Yes</v>
      </c>
      <c r="AE1311" s="1"/>
      <c r="AF1311" s="1"/>
    </row>
    <row r="1312" spans="1:32" x14ac:dyDescent="0.25">
      <c r="A1312" t="s">
        <v>1893</v>
      </c>
      <c r="B1312" t="s">
        <v>1340</v>
      </c>
      <c r="C1312" t="s">
        <v>1341</v>
      </c>
      <c r="D1312" t="s">
        <v>30</v>
      </c>
      <c r="E1312" t="s">
        <v>54</v>
      </c>
      <c r="F1312">
        <v>4500382064</v>
      </c>
      <c r="G1312" t="s">
        <v>12</v>
      </c>
      <c r="H1312" t="s">
        <v>1728</v>
      </c>
      <c r="I1312" t="s">
        <v>54</v>
      </c>
      <c r="J1312" s="1">
        <v>21528.32</v>
      </c>
      <c r="K1312" s="1">
        <v>107641.60000000001</v>
      </c>
      <c r="L1312" t="str">
        <f>IFERROR(IF(VLOOKUP(LEFT(B1312,2),'Humanitarian codes'!$A$2:$A$10,1,FALSE)=LEFT(B1312,2),"Yes","Error"),"No")</f>
        <v>Yes</v>
      </c>
      <c r="AE1312" s="1"/>
      <c r="AF1312" s="1"/>
    </row>
    <row r="1313" spans="1:32" x14ac:dyDescent="0.25">
      <c r="A1313" t="s">
        <v>1893</v>
      </c>
      <c r="B1313" t="s">
        <v>1342</v>
      </c>
      <c r="C1313" t="s">
        <v>1343</v>
      </c>
      <c r="D1313" t="s">
        <v>30</v>
      </c>
      <c r="E1313" t="s">
        <v>128</v>
      </c>
      <c r="F1313">
        <v>4500397007</v>
      </c>
      <c r="G1313" t="s">
        <v>12</v>
      </c>
      <c r="H1313" t="s">
        <v>1768</v>
      </c>
      <c r="I1313" t="s">
        <v>128</v>
      </c>
      <c r="J1313" s="1">
        <v>30000</v>
      </c>
      <c r="K1313" s="1">
        <v>30000</v>
      </c>
      <c r="L1313" t="str">
        <f>IFERROR(IF(VLOOKUP(LEFT(B1313,2),'Humanitarian codes'!$A$2:$A$10,1,FALSE)=LEFT(B1313,2),"Yes","Error"),"No")</f>
        <v>Yes</v>
      </c>
      <c r="AE1313" s="1"/>
      <c r="AF1313" s="1"/>
    </row>
    <row r="1314" spans="1:32" x14ac:dyDescent="0.25">
      <c r="A1314" t="s">
        <v>1893</v>
      </c>
      <c r="B1314" t="s">
        <v>1769</v>
      </c>
      <c r="C1314" t="s">
        <v>1770</v>
      </c>
      <c r="D1314" t="s">
        <v>30</v>
      </c>
      <c r="E1314" t="s">
        <v>54</v>
      </c>
      <c r="F1314">
        <v>4500384045</v>
      </c>
      <c r="G1314" t="s">
        <v>12</v>
      </c>
      <c r="H1314" t="s">
        <v>1290</v>
      </c>
      <c r="I1314" t="s">
        <v>54</v>
      </c>
      <c r="J1314" s="1">
        <v>132375.20000000001</v>
      </c>
      <c r="K1314" s="1">
        <v>132375.20000000001</v>
      </c>
      <c r="L1314" t="str">
        <f>IFERROR(IF(VLOOKUP(LEFT(B1314,2),'Humanitarian codes'!$A$2:$A$10,1,FALSE)=LEFT(B1314,2),"Yes","Error"),"No")</f>
        <v>Yes</v>
      </c>
      <c r="AE1314" s="1"/>
      <c r="AF1314" s="1"/>
    </row>
    <row r="1315" spans="1:32" x14ac:dyDescent="0.25">
      <c r="A1315" t="s">
        <v>1893</v>
      </c>
      <c r="B1315" t="s">
        <v>1769</v>
      </c>
      <c r="C1315" t="s">
        <v>1770</v>
      </c>
      <c r="D1315" t="s">
        <v>30</v>
      </c>
      <c r="E1315" t="s">
        <v>54</v>
      </c>
      <c r="F1315">
        <v>4500385918</v>
      </c>
      <c r="G1315" t="s">
        <v>12</v>
      </c>
      <c r="H1315" t="s">
        <v>1693</v>
      </c>
      <c r="I1315" t="s">
        <v>54</v>
      </c>
      <c r="J1315" s="1">
        <v>299974.53999999998</v>
      </c>
      <c r="K1315" s="1">
        <v>399974.54</v>
      </c>
      <c r="L1315" t="str">
        <f>IFERROR(IF(VLOOKUP(LEFT(B1315,2),'Humanitarian codes'!$A$2:$A$10,1,FALSE)=LEFT(B1315,2),"Yes","Error"),"No")</f>
        <v>Yes</v>
      </c>
      <c r="AE1315" s="1"/>
      <c r="AF1315" s="1"/>
    </row>
    <row r="1316" spans="1:32" x14ac:dyDescent="0.25">
      <c r="A1316" t="s">
        <v>1893</v>
      </c>
      <c r="B1316" t="s">
        <v>1769</v>
      </c>
      <c r="C1316" t="s">
        <v>1770</v>
      </c>
      <c r="D1316" t="s">
        <v>30</v>
      </c>
      <c r="E1316" t="s">
        <v>54</v>
      </c>
      <c r="F1316">
        <v>4500387921</v>
      </c>
      <c r="G1316" t="s">
        <v>12</v>
      </c>
      <c r="H1316" t="s">
        <v>1771</v>
      </c>
      <c r="I1316" t="s">
        <v>54</v>
      </c>
      <c r="J1316" s="1">
        <v>87035.96</v>
      </c>
      <c r="K1316" s="1">
        <v>87035.96</v>
      </c>
      <c r="L1316" t="str">
        <f>IFERROR(IF(VLOOKUP(LEFT(B1316,2),'Humanitarian codes'!$A$2:$A$10,1,FALSE)=LEFT(B1316,2),"Yes","Error"),"No")</f>
        <v>Yes</v>
      </c>
      <c r="AE1316" s="1"/>
      <c r="AF1316" s="1"/>
    </row>
    <row r="1317" spans="1:32" x14ac:dyDescent="0.25">
      <c r="A1317" t="s">
        <v>1893</v>
      </c>
      <c r="B1317" t="s">
        <v>1769</v>
      </c>
      <c r="C1317" t="s">
        <v>1770</v>
      </c>
      <c r="D1317" t="s">
        <v>30</v>
      </c>
      <c r="E1317" t="s">
        <v>54</v>
      </c>
      <c r="F1317">
        <v>4500387996</v>
      </c>
      <c r="G1317" t="s">
        <v>12</v>
      </c>
      <c r="H1317" t="s">
        <v>1248</v>
      </c>
      <c r="I1317" t="s">
        <v>54</v>
      </c>
      <c r="J1317" s="1">
        <v>69121.33</v>
      </c>
      <c r="K1317" s="1">
        <v>76801.490000000005</v>
      </c>
      <c r="L1317" t="str">
        <f>IFERROR(IF(VLOOKUP(LEFT(B1317,2),'Humanitarian codes'!$A$2:$A$10,1,FALSE)=LEFT(B1317,2),"Yes","Error"),"No")</f>
        <v>Yes</v>
      </c>
      <c r="AE1317" s="1"/>
      <c r="AF1317" s="1"/>
    </row>
    <row r="1318" spans="1:32" x14ac:dyDescent="0.25">
      <c r="A1318" t="s">
        <v>1893</v>
      </c>
      <c r="B1318" t="s">
        <v>1769</v>
      </c>
      <c r="C1318" t="s">
        <v>1770</v>
      </c>
      <c r="D1318" t="s">
        <v>30</v>
      </c>
      <c r="E1318" t="s">
        <v>54</v>
      </c>
      <c r="F1318">
        <v>4500389252</v>
      </c>
      <c r="G1318" t="s">
        <v>12</v>
      </c>
      <c r="H1318" t="s">
        <v>1707</v>
      </c>
      <c r="I1318" t="s">
        <v>54</v>
      </c>
      <c r="J1318" s="1">
        <v>63727.37</v>
      </c>
      <c r="K1318" s="1">
        <v>94569.21</v>
      </c>
      <c r="L1318" t="str">
        <f>IFERROR(IF(VLOOKUP(LEFT(B1318,2),'Humanitarian codes'!$A$2:$A$10,1,FALSE)=LEFT(B1318,2),"Yes","Error"),"No")</f>
        <v>Yes</v>
      </c>
      <c r="AE1318" s="1"/>
      <c r="AF1318" s="1"/>
    </row>
    <row r="1319" spans="1:32" x14ac:dyDescent="0.25">
      <c r="A1319" t="s">
        <v>1893</v>
      </c>
      <c r="B1319" t="s">
        <v>1769</v>
      </c>
      <c r="C1319" t="s">
        <v>1770</v>
      </c>
      <c r="D1319" t="s">
        <v>30</v>
      </c>
      <c r="E1319" t="s">
        <v>54</v>
      </c>
      <c r="F1319">
        <v>4500390017</v>
      </c>
      <c r="G1319" t="s">
        <v>12</v>
      </c>
      <c r="H1319" t="s">
        <v>1729</v>
      </c>
      <c r="I1319" t="s">
        <v>54</v>
      </c>
      <c r="J1319" s="1">
        <v>51561.55</v>
      </c>
      <c r="K1319" s="1">
        <v>57290.6</v>
      </c>
      <c r="L1319" t="str">
        <f>IFERROR(IF(VLOOKUP(LEFT(B1319,2),'Humanitarian codes'!$A$2:$A$10,1,FALSE)=LEFT(B1319,2),"Yes","Error"),"No")</f>
        <v>Yes</v>
      </c>
      <c r="AE1319" s="1"/>
      <c r="AF1319" s="1"/>
    </row>
    <row r="1320" spans="1:32" x14ac:dyDescent="0.25">
      <c r="A1320" t="s">
        <v>1893</v>
      </c>
      <c r="B1320" t="s">
        <v>1347</v>
      </c>
      <c r="C1320" t="s">
        <v>1348</v>
      </c>
      <c r="D1320" t="s">
        <v>30</v>
      </c>
      <c r="E1320" t="s">
        <v>155</v>
      </c>
      <c r="F1320">
        <v>4500398460</v>
      </c>
      <c r="G1320" t="s">
        <v>12</v>
      </c>
      <c r="H1320" t="s">
        <v>1772</v>
      </c>
      <c r="I1320" t="s">
        <v>155</v>
      </c>
      <c r="J1320" s="1">
        <v>131999.99</v>
      </c>
      <c r="K1320" s="1">
        <v>131999.99</v>
      </c>
      <c r="L1320" t="str">
        <f>IFERROR(IF(VLOOKUP(LEFT(B1320,2),'Humanitarian codes'!$A$2:$A$10,1,FALSE)=LEFT(B1320,2),"Yes","Error"),"No")</f>
        <v>Yes</v>
      </c>
      <c r="AE1320" s="1"/>
      <c r="AF1320" s="1"/>
    </row>
    <row r="1321" spans="1:32" x14ac:dyDescent="0.25">
      <c r="A1321" t="s">
        <v>1893</v>
      </c>
      <c r="B1321" t="s">
        <v>1773</v>
      </c>
      <c r="C1321" t="s">
        <v>1774</v>
      </c>
      <c r="D1321" t="s">
        <v>30</v>
      </c>
      <c r="E1321" t="s">
        <v>493</v>
      </c>
      <c r="F1321">
        <v>4500386845</v>
      </c>
      <c r="G1321" t="s">
        <v>12</v>
      </c>
      <c r="H1321" t="s">
        <v>1234</v>
      </c>
      <c r="I1321" t="s">
        <v>493</v>
      </c>
      <c r="J1321" s="1">
        <v>102000</v>
      </c>
      <c r="K1321" s="1">
        <v>102000</v>
      </c>
      <c r="L1321" t="str">
        <f>IFERROR(IF(VLOOKUP(LEFT(B1321,2),'Humanitarian codes'!$A$2:$A$10,1,FALSE)=LEFT(B1321,2),"Yes","Error"),"No")</f>
        <v>Yes</v>
      </c>
      <c r="AE1321" s="1"/>
      <c r="AF1321" s="1"/>
    </row>
    <row r="1322" spans="1:32" x14ac:dyDescent="0.25">
      <c r="A1322" t="s">
        <v>1893</v>
      </c>
      <c r="B1322" t="s">
        <v>1773</v>
      </c>
      <c r="C1322" t="s">
        <v>1774</v>
      </c>
      <c r="D1322" t="s">
        <v>30</v>
      </c>
      <c r="E1322" t="s">
        <v>493</v>
      </c>
      <c r="F1322">
        <v>4500386850</v>
      </c>
      <c r="G1322" t="s">
        <v>12</v>
      </c>
      <c r="H1322" t="s">
        <v>1775</v>
      </c>
      <c r="I1322" t="s">
        <v>493</v>
      </c>
      <c r="J1322" s="1">
        <v>100000</v>
      </c>
      <c r="K1322" s="1">
        <v>100000</v>
      </c>
      <c r="L1322" t="str">
        <f>IFERROR(IF(VLOOKUP(LEFT(B1322,2),'Humanitarian codes'!$A$2:$A$10,1,FALSE)=LEFT(B1322,2),"Yes","Error"),"No")</f>
        <v>Yes</v>
      </c>
      <c r="AE1322" s="1"/>
      <c r="AF1322" s="1"/>
    </row>
    <row r="1323" spans="1:32" x14ac:dyDescent="0.25">
      <c r="A1323" t="s">
        <v>1893</v>
      </c>
      <c r="B1323" t="s">
        <v>1359</v>
      </c>
      <c r="C1323" t="s">
        <v>1360</v>
      </c>
      <c r="D1323" t="s">
        <v>30</v>
      </c>
      <c r="E1323" t="s">
        <v>253</v>
      </c>
      <c r="F1323">
        <v>4500398162</v>
      </c>
      <c r="G1323" t="s">
        <v>12</v>
      </c>
      <c r="H1323" t="s">
        <v>1362</v>
      </c>
      <c r="I1323" t="s">
        <v>253</v>
      </c>
      <c r="J1323" s="1">
        <v>28716.28</v>
      </c>
      <c r="K1323" s="1">
        <v>35895.339999999997</v>
      </c>
      <c r="L1323" t="str">
        <f>IFERROR(IF(VLOOKUP(LEFT(B1323,2),'Humanitarian codes'!$A$2:$A$10,1,FALSE)=LEFT(B1323,2),"Yes","Error"),"No")</f>
        <v>Yes</v>
      </c>
      <c r="AE1323" s="1"/>
      <c r="AF1323" s="1"/>
    </row>
    <row r="1324" spans="1:32" x14ac:dyDescent="0.25">
      <c r="A1324" t="s">
        <v>1893</v>
      </c>
      <c r="B1324" t="s">
        <v>1363</v>
      </c>
      <c r="C1324" t="s">
        <v>1364</v>
      </c>
      <c r="D1324" t="s">
        <v>30</v>
      </c>
      <c r="E1324" t="s">
        <v>253</v>
      </c>
      <c r="F1324">
        <v>4500398162</v>
      </c>
      <c r="G1324" t="s">
        <v>12</v>
      </c>
      <c r="H1324" t="s">
        <v>1362</v>
      </c>
      <c r="I1324" t="s">
        <v>253</v>
      </c>
      <c r="J1324" s="1">
        <v>7179.06</v>
      </c>
      <c r="K1324" s="1">
        <v>35895.339999999997</v>
      </c>
      <c r="L1324" t="str">
        <f>IFERROR(IF(VLOOKUP(LEFT(B1324,2),'Humanitarian codes'!$A$2:$A$10,1,FALSE)=LEFT(B1324,2),"Yes","Error"),"No")</f>
        <v>Yes</v>
      </c>
      <c r="AE1324" s="1"/>
      <c r="AF1324" s="1"/>
    </row>
    <row r="1325" spans="1:32" x14ac:dyDescent="0.25">
      <c r="A1325" t="s">
        <v>1893</v>
      </c>
      <c r="B1325" t="s">
        <v>1369</v>
      </c>
      <c r="D1325" t="s">
        <v>30</v>
      </c>
      <c r="E1325" t="s">
        <v>903</v>
      </c>
      <c r="F1325">
        <v>4500398913</v>
      </c>
      <c r="G1325" t="s">
        <v>12</v>
      </c>
      <c r="H1325" t="s">
        <v>80</v>
      </c>
      <c r="I1325" t="s">
        <v>903</v>
      </c>
      <c r="J1325" s="1">
        <v>21339.279999999999</v>
      </c>
      <c r="K1325" s="1">
        <v>29797.13</v>
      </c>
      <c r="L1325" t="str">
        <f>IFERROR(IF(VLOOKUP(LEFT(B1325,2),'Humanitarian codes'!$A$2:$A$10,1,FALSE)=LEFT(B1325,2),"Yes","Error"),"No")</f>
        <v>Yes</v>
      </c>
      <c r="AE1325" s="1"/>
      <c r="AF1325" s="1"/>
    </row>
    <row r="1326" spans="1:32" x14ac:dyDescent="0.25">
      <c r="A1326" t="s">
        <v>1893</v>
      </c>
      <c r="B1326" t="s">
        <v>385</v>
      </c>
      <c r="C1326" t="s">
        <v>386</v>
      </c>
      <c r="D1326" t="s">
        <v>9</v>
      </c>
      <c r="E1326" t="s">
        <v>356</v>
      </c>
      <c r="F1326">
        <v>4500404921</v>
      </c>
      <c r="G1326" t="s">
        <v>12</v>
      </c>
      <c r="H1326" t="s">
        <v>1776</v>
      </c>
      <c r="I1326" t="s">
        <v>356</v>
      </c>
      <c r="J1326" s="1">
        <v>225000</v>
      </c>
      <c r="K1326" s="1">
        <v>225000</v>
      </c>
      <c r="L1326" t="str">
        <f>IFERROR(IF(VLOOKUP(LEFT(B1326,2),'Humanitarian codes'!$A$2:$A$10,1,FALSE)=LEFT(B1326,2),"Yes","Error"),"No")</f>
        <v>Yes</v>
      </c>
      <c r="AE1326" s="1"/>
      <c r="AF1326" s="1"/>
    </row>
    <row r="1327" spans="1:32" x14ac:dyDescent="0.25">
      <c r="A1327" t="s">
        <v>1893</v>
      </c>
      <c r="B1327" t="s">
        <v>1378</v>
      </c>
      <c r="C1327" t="s">
        <v>1379</v>
      </c>
      <c r="D1327" t="s">
        <v>9</v>
      </c>
      <c r="E1327" t="s">
        <v>500</v>
      </c>
      <c r="F1327">
        <v>4500397599</v>
      </c>
      <c r="G1327" t="s">
        <v>12</v>
      </c>
      <c r="H1327" t="s">
        <v>1777</v>
      </c>
      <c r="I1327" t="s">
        <v>500</v>
      </c>
      <c r="J1327" s="1">
        <v>38934.949999999997</v>
      </c>
      <c r="K1327" s="1">
        <v>38934.949999999997</v>
      </c>
      <c r="L1327" t="str">
        <f>IFERROR(IF(VLOOKUP(LEFT(B1327,2),'Humanitarian codes'!$A$2:$A$10,1,FALSE)=LEFT(B1327,2),"Yes","Error"),"No")</f>
        <v>Yes</v>
      </c>
      <c r="AE1327" s="1"/>
      <c r="AF1327" s="1"/>
    </row>
    <row r="1328" spans="1:32" x14ac:dyDescent="0.25">
      <c r="A1328" t="s">
        <v>1893</v>
      </c>
      <c r="B1328" t="s">
        <v>1378</v>
      </c>
      <c r="C1328" t="s">
        <v>1379</v>
      </c>
      <c r="D1328" t="s">
        <v>9</v>
      </c>
      <c r="E1328" t="s">
        <v>500</v>
      </c>
      <c r="F1328">
        <v>4500400581</v>
      </c>
      <c r="G1328" t="s">
        <v>12</v>
      </c>
      <c r="H1328" t="s">
        <v>779</v>
      </c>
      <c r="I1328" t="s">
        <v>500</v>
      </c>
      <c r="J1328" s="1">
        <v>90477.26</v>
      </c>
      <c r="K1328" s="1">
        <v>90477.26</v>
      </c>
      <c r="L1328" t="str">
        <f>IFERROR(IF(VLOOKUP(LEFT(B1328,2),'Humanitarian codes'!$A$2:$A$10,1,FALSE)=LEFT(B1328,2),"Yes","Error"),"No")</f>
        <v>Yes</v>
      </c>
      <c r="AE1328" s="1"/>
      <c r="AF1328" s="1"/>
    </row>
    <row r="1329" spans="1:32" x14ac:dyDescent="0.25">
      <c r="A1329" t="s">
        <v>1893</v>
      </c>
      <c r="B1329" t="s">
        <v>388</v>
      </c>
      <c r="C1329" t="s">
        <v>389</v>
      </c>
      <c r="D1329" t="s">
        <v>9</v>
      </c>
      <c r="E1329" t="s">
        <v>175</v>
      </c>
      <c r="F1329">
        <v>4500387255</v>
      </c>
      <c r="G1329" t="s">
        <v>12</v>
      </c>
      <c r="H1329" t="s">
        <v>390</v>
      </c>
      <c r="I1329" t="s">
        <v>175</v>
      </c>
      <c r="J1329" s="1">
        <v>200402.38</v>
      </c>
      <c r="K1329" s="1">
        <v>200402.38</v>
      </c>
      <c r="L1329" t="str">
        <f>IFERROR(IF(VLOOKUP(LEFT(B1329,2),'Humanitarian codes'!$A$2:$A$10,1,FALSE)=LEFT(B1329,2),"Yes","Error"),"No")</f>
        <v>Yes</v>
      </c>
      <c r="AE1329" s="1"/>
      <c r="AF1329" s="1"/>
    </row>
    <row r="1330" spans="1:32" x14ac:dyDescent="0.25">
      <c r="A1330" t="s">
        <v>1893</v>
      </c>
      <c r="B1330" t="s">
        <v>388</v>
      </c>
      <c r="C1330" t="s">
        <v>389</v>
      </c>
      <c r="D1330" t="s">
        <v>9</v>
      </c>
      <c r="E1330" t="s">
        <v>175</v>
      </c>
      <c r="F1330">
        <v>4500387258</v>
      </c>
      <c r="G1330" t="s">
        <v>12</v>
      </c>
      <c r="H1330" t="s">
        <v>187</v>
      </c>
      <c r="I1330" t="s">
        <v>175</v>
      </c>
      <c r="J1330" s="1">
        <v>174772.27</v>
      </c>
      <c r="K1330" s="1">
        <v>174772.27</v>
      </c>
      <c r="L1330" t="str">
        <f>IFERROR(IF(VLOOKUP(LEFT(B1330,2),'Humanitarian codes'!$A$2:$A$10,1,FALSE)=LEFT(B1330,2),"Yes","Error"),"No")</f>
        <v>Yes</v>
      </c>
      <c r="AE1330" s="1"/>
      <c r="AF1330" s="1"/>
    </row>
    <row r="1331" spans="1:32" x14ac:dyDescent="0.25">
      <c r="A1331" t="s">
        <v>1893</v>
      </c>
      <c r="B1331" t="s">
        <v>1381</v>
      </c>
      <c r="C1331" t="s">
        <v>1382</v>
      </c>
      <c r="D1331" t="s">
        <v>9</v>
      </c>
      <c r="E1331" t="s">
        <v>175</v>
      </c>
      <c r="F1331">
        <v>4500381097</v>
      </c>
      <c r="G1331" t="s">
        <v>12</v>
      </c>
      <c r="H1331" t="s">
        <v>682</v>
      </c>
      <c r="I1331" t="s">
        <v>175</v>
      </c>
      <c r="J1331" s="1">
        <v>75684.92</v>
      </c>
      <c r="K1331" s="1">
        <v>75684.92</v>
      </c>
      <c r="L1331" t="str">
        <f>IFERROR(IF(VLOOKUP(LEFT(B1331,2),'Humanitarian codes'!$A$2:$A$10,1,FALSE)=LEFT(B1331,2),"Yes","Error"),"No")</f>
        <v>Yes</v>
      </c>
      <c r="AE1331" s="1"/>
      <c r="AF1331" s="1"/>
    </row>
    <row r="1332" spans="1:32" hidden="1" x14ac:dyDescent="0.25">
      <c r="A1332" t="s">
        <v>1893</v>
      </c>
      <c r="B1332" t="s">
        <v>1386</v>
      </c>
      <c r="C1332" t="s">
        <v>1387</v>
      </c>
      <c r="D1332" t="s">
        <v>30</v>
      </c>
      <c r="E1332" t="s">
        <v>940</v>
      </c>
      <c r="F1332">
        <v>4500388761</v>
      </c>
      <c r="G1332" t="s">
        <v>12</v>
      </c>
      <c r="H1332" t="s">
        <v>1388</v>
      </c>
      <c r="I1332" t="s">
        <v>940</v>
      </c>
      <c r="J1332" s="1">
        <v>296295</v>
      </c>
      <c r="K1332" s="1">
        <v>296295</v>
      </c>
      <c r="L1332" t="str">
        <f>IFERROR(IF(VLOOKUP(LEFT(B1332,2),'Humanitarian codes'!$A$2:$A$10,1,FALSE)=LEFT(B1332,2),"Yes","Error"),"No")</f>
        <v>No</v>
      </c>
      <c r="AE1332" s="1"/>
      <c r="AF1332" s="1"/>
    </row>
    <row r="1333" spans="1:32" hidden="1" x14ac:dyDescent="0.25">
      <c r="A1333" t="s">
        <v>1893</v>
      </c>
      <c r="B1333" t="s">
        <v>1386</v>
      </c>
      <c r="C1333" t="s">
        <v>1387</v>
      </c>
      <c r="D1333" t="s">
        <v>30</v>
      </c>
      <c r="E1333" t="s">
        <v>940</v>
      </c>
      <c r="F1333">
        <v>4500388794</v>
      </c>
      <c r="G1333" t="s">
        <v>12</v>
      </c>
      <c r="H1333" t="s">
        <v>1259</v>
      </c>
      <c r="I1333" t="s">
        <v>940</v>
      </c>
      <c r="J1333" s="1">
        <v>241833</v>
      </c>
      <c r="K1333" s="1">
        <v>241833</v>
      </c>
      <c r="L1333" t="str">
        <f>IFERROR(IF(VLOOKUP(LEFT(B1333,2),'Humanitarian codes'!$A$2:$A$10,1,FALSE)=LEFT(B1333,2),"Yes","Error"),"No")</f>
        <v>No</v>
      </c>
      <c r="AE1333" s="1"/>
      <c r="AF1333" s="1"/>
    </row>
    <row r="1334" spans="1:32" hidden="1" x14ac:dyDescent="0.25">
      <c r="A1334" t="s">
        <v>1893</v>
      </c>
      <c r="B1334" t="s">
        <v>1389</v>
      </c>
      <c r="C1334" t="s">
        <v>1390</v>
      </c>
      <c r="D1334" t="s">
        <v>30</v>
      </c>
      <c r="E1334" t="s">
        <v>175</v>
      </c>
      <c r="F1334">
        <v>4500381873</v>
      </c>
      <c r="G1334" t="s">
        <v>12</v>
      </c>
      <c r="H1334" t="s">
        <v>233</v>
      </c>
      <c r="I1334" t="s">
        <v>175</v>
      </c>
      <c r="J1334" s="1">
        <v>372553.43</v>
      </c>
      <c r="K1334" s="1">
        <v>372553.43</v>
      </c>
      <c r="L1334" t="str">
        <f>IFERROR(IF(VLOOKUP(LEFT(B1334,2),'Humanitarian codes'!$A$2:$A$10,1,FALSE)=LEFT(B1334,2),"Yes","Error"),"No")</f>
        <v>No</v>
      </c>
      <c r="AE1334" s="1"/>
      <c r="AF1334" s="1"/>
    </row>
    <row r="1335" spans="1:32" hidden="1" x14ac:dyDescent="0.25">
      <c r="A1335" t="s">
        <v>1893</v>
      </c>
      <c r="B1335" t="s">
        <v>1778</v>
      </c>
      <c r="C1335" t="s">
        <v>1779</v>
      </c>
      <c r="D1335" t="s">
        <v>30</v>
      </c>
      <c r="E1335" t="s">
        <v>128</v>
      </c>
      <c r="F1335">
        <v>4500399864</v>
      </c>
      <c r="G1335" t="s">
        <v>12</v>
      </c>
      <c r="H1335" t="s">
        <v>1780</v>
      </c>
      <c r="I1335" t="s">
        <v>128</v>
      </c>
      <c r="J1335" s="1">
        <v>537975.6</v>
      </c>
      <c r="K1335" s="1">
        <v>537975.6</v>
      </c>
      <c r="L1335" t="str">
        <f>IFERROR(IF(VLOOKUP(LEFT(B1335,2),'Humanitarian codes'!$A$2:$A$10,1,FALSE)=LEFT(B1335,2),"Yes","Error"),"No")</f>
        <v>No</v>
      </c>
      <c r="AE1335" s="1"/>
      <c r="AF1335" s="1"/>
    </row>
    <row r="1336" spans="1:32" hidden="1" x14ac:dyDescent="0.25">
      <c r="A1336" t="s">
        <v>1893</v>
      </c>
      <c r="B1336" t="s">
        <v>1391</v>
      </c>
      <c r="C1336" t="s">
        <v>1392</v>
      </c>
      <c r="D1336" t="s">
        <v>30</v>
      </c>
      <c r="E1336" t="s">
        <v>83</v>
      </c>
      <c r="F1336">
        <v>4500392535</v>
      </c>
      <c r="G1336" t="s">
        <v>12</v>
      </c>
      <c r="H1336" t="s">
        <v>85</v>
      </c>
      <c r="I1336" t="s">
        <v>83</v>
      </c>
      <c r="J1336" s="1">
        <v>58400</v>
      </c>
      <c r="K1336" s="1">
        <v>410000</v>
      </c>
      <c r="L1336" t="str">
        <f>IFERROR(IF(VLOOKUP(LEFT(B1336,2),'Humanitarian codes'!$A$2:$A$10,1,FALSE)=LEFT(B1336,2),"Yes","Error"),"No")</f>
        <v>No</v>
      </c>
      <c r="AE1336" s="1"/>
      <c r="AF1336" s="1"/>
    </row>
    <row r="1337" spans="1:32" hidden="1" x14ac:dyDescent="0.25">
      <c r="A1337" t="s">
        <v>1893</v>
      </c>
      <c r="B1337" t="s">
        <v>1393</v>
      </c>
      <c r="C1337" t="s">
        <v>1394</v>
      </c>
      <c r="D1337" t="s">
        <v>30</v>
      </c>
      <c r="E1337" t="s">
        <v>54</v>
      </c>
      <c r="F1337">
        <v>4500387996</v>
      </c>
      <c r="G1337" t="s">
        <v>12</v>
      </c>
      <c r="H1337" t="s">
        <v>1248</v>
      </c>
      <c r="I1337" t="s">
        <v>54</v>
      </c>
      <c r="J1337" s="1">
        <v>7680.16</v>
      </c>
      <c r="K1337" s="1">
        <v>76801.490000000005</v>
      </c>
      <c r="L1337" t="str">
        <f>IFERROR(IF(VLOOKUP(LEFT(B1337,2),'Humanitarian codes'!$A$2:$A$10,1,FALSE)=LEFT(B1337,2),"Yes","Error"),"No")</f>
        <v>No</v>
      </c>
      <c r="AE1337" s="1"/>
      <c r="AF1337" s="1"/>
    </row>
    <row r="1338" spans="1:32" x14ac:dyDescent="0.25">
      <c r="A1338" t="s">
        <v>1893</v>
      </c>
      <c r="B1338" t="s">
        <v>1415</v>
      </c>
      <c r="C1338" t="s">
        <v>1416</v>
      </c>
      <c r="D1338" t="s">
        <v>30</v>
      </c>
      <c r="E1338" t="s">
        <v>814</v>
      </c>
      <c r="F1338">
        <v>4500394108</v>
      </c>
      <c r="G1338" t="s">
        <v>12</v>
      </c>
      <c r="H1338" t="s">
        <v>115</v>
      </c>
      <c r="I1338" t="s">
        <v>814</v>
      </c>
      <c r="J1338">
        <v>694.58</v>
      </c>
      <c r="K1338">
        <v>694.58</v>
      </c>
      <c r="L1338" t="str">
        <f>IFERROR(IF(VLOOKUP(LEFT(B1338,2),'Humanitarian codes'!$A$2:$A$10,1,FALSE)=LEFT(B1338,2),"Yes","Error"),"No")</f>
        <v>Yes</v>
      </c>
      <c r="AE1338" s="1"/>
      <c r="AF1338" s="1"/>
    </row>
    <row r="1339" spans="1:32" x14ac:dyDescent="0.25">
      <c r="A1339" t="s">
        <v>1893</v>
      </c>
      <c r="B1339" t="s">
        <v>1415</v>
      </c>
      <c r="C1339" t="s">
        <v>1416</v>
      </c>
      <c r="D1339" t="s">
        <v>30</v>
      </c>
      <c r="E1339" t="s">
        <v>814</v>
      </c>
      <c r="F1339">
        <v>4500398142</v>
      </c>
      <c r="G1339" t="s">
        <v>12</v>
      </c>
      <c r="H1339" t="s">
        <v>112</v>
      </c>
      <c r="I1339" t="s">
        <v>814</v>
      </c>
      <c r="J1339" s="1">
        <v>4636.09</v>
      </c>
      <c r="K1339" s="1">
        <v>4636.09</v>
      </c>
      <c r="L1339" t="str">
        <f>IFERROR(IF(VLOOKUP(LEFT(B1339,2),'Humanitarian codes'!$A$2:$A$10,1,FALSE)=LEFT(B1339,2),"Yes","Error"),"No")</f>
        <v>Yes</v>
      </c>
      <c r="AE1339" s="1"/>
      <c r="AF1339" s="1"/>
    </row>
    <row r="1340" spans="1:32" x14ac:dyDescent="0.25">
      <c r="A1340" t="s">
        <v>1893</v>
      </c>
      <c r="B1340" t="s">
        <v>1415</v>
      </c>
      <c r="C1340" t="s">
        <v>1416</v>
      </c>
      <c r="D1340" t="s">
        <v>30</v>
      </c>
      <c r="E1340" t="s">
        <v>814</v>
      </c>
      <c r="F1340">
        <v>4500405076</v>
      </c>
      <c r="G1340" t="s">
        <v>12</v>
      </c>
      <c r="H1340" t="s">
        <v>112</v>
      </c>
      <c r="I1340" t="s">
        <v>814</v>
      </c>
      <c r="J1340" s="1">
        <v>10395.18</v>
      </c>
      <c r="K1340" s="1">
        <v>34650.589999999997</v>
      </c>
      <c r="L1340" t="str">
        <f>IFERROR(IF(VLOOKUP(LEFT(B1340,2),'Humanitarian codes'!$A$2:$A$10,1,FALSE)=LEFT(B1340,2),"Yes","Error"),"No")</f>
        <v>Yes</v>
      </c>
      <c r="AE1340" s="1"/>
      <c r="AF1340" s="1"/>
    </row>
    <row r="1341" spans="1:32" x14ac:dyDescent="0.25">
      <c r="A1341" t="s">
        <v>1893</v>
      </c>
      <c r="B1341" t="s">
        <v>1415</v>
      </c>
      <c r="C1341" t="s">
        <v>1416</v>
      </c>
      <c r="D1341" t="s">
        <v>30</v>
      </c>
      <c r="E1341" t="s">
        <v>814</v>
      </c>
      <c r="F1341">
        <v>4500405208</v>
      </c>
      <c r="G1341" t="s">
        <v>12</v>
      </c>
      <c r="H1341" t="s">
        <v>115</v>
      </c>
      <c r="I1341" t="s">
        <v>814</v>
      </c>
      <c r="J1341" s="1">
        <v>8965.39</v>
      </c>
      <c r="K1341" s="1">
        <v>29884.63</v>
      </c>
      <c r="L1341" t="str">
        <f>IFERROR(IF(VLOOKUP(LEFT(B1341,2),'Humanitarian codes'!$A$2:$A$10,1,FALSE)=LEFT(B1341,2),"Yes","Error"),"No")</f>
        <v>Yes</v>
      </c>
      <c r="AE1341" s="1"/>
      <c r="AF1341" s="1"/>
    </row>
    <row r="1342" spans="1:32" x14ac:dyDescent="0.25">
      <c r="A1342" t="s">
        <v>1893</v>
      </c>
      <c r="B1342" t="s">
        <v>1415</v>
      </c>
      <c r="C1342" t="s">
        <v>1416</v>
      </c>
      <c r="D1342" t="s">
        <v>30</v>
      </c>
      <c r="E1342" t="s">
        <v>814</v>
      </c>
      <c r="F1342">
        <v>4500405213</v>
      </c>
      <c r="G1342" t="s">
        <v>12</v>
      </c>
      <c r="H1342" t="s">
        <v>119</v>
      </c>
      <c r="I1342" t="s">
        <v>814</v>
      </c>
      <c r="J1342" s="1">
        <v>3812.88</v>
      </c>
      <c r="K1342" s="1">
        <v>12709.6</v>
      </c>
      <c r="L1342" t="str">
        <f>IFERROR(IF(VLOOKUP(LEFT(B1342,2),'Humanitarian codes'!$A$2:$A$10,1,FALSE)=LEFT(B1342,2),"Yes","Error"),"No")</f>
        <v>Yes</v>
      </c>
      <c r="AE1342" s="1"/>
      <c r="AF1342" s="1"/>
    </row>
    <row r="1343" spans="1:32" x14ac:dyDescent="0.25">
      <c r="A1343" t="s">
        <v>1893</v>
      </c>
      <c r="B1343" t="s">
        <v>1415</v>
      </c>
      <c r="C1343" t="s">
        <v>1416</v>
      </c>
      <c r="D1343" t="s">
        <v>30</v>
      </c>
      <c r="E1343" t="s">
        <v>814</v>
      </c>
      <c r="F1343">
        <v>4500405228</v>
      </c>
      <c r="G1343" t="s">
        <v>12</v>
      </c>
      <c r="H1343" t="s">
        <v>115</v>
      </c>
      <c r="I1343" t="s">
        <v>814</v>
      </c>
      <c r="J1343" s="1">
        <v>14316.15</v>
      </c>
      <c r="K1343" s="1">
        <v>47720.5</v>
      </c>
      <c r="L1343" t="str">
        <f>IFERROR(IF(VLOOKUP(LEFT(B1343,2),'Humanitarian codes'!$A$2:$A$10,1,FALSE)=LEFT(B1343,2),"Yes","Error"),"No")</f>
        <v>Yes</v>
      </c>
      <c r="AE1343" s="1"/>
      <c r="AF1343" s="1"/>
    </row>
    <row r="1344" spans="1:32" x14ac:dyDescent="0.25">
      <c r="A1344" t="s">
        <v>1893</v>
      </c>
      <c r="B1344" t="s">
        <v>1415</v>
      </c>
      <c r="C1344" t="s">
        <v>1416</v>
      </c>
      <c r="D1344" t="s">
        <v>30</v>
      </c>
      <c r="E1344" t="s">
        <v>814</v>
      </c>
      <c r="F1344">
        <v>4500405297</v>
      </c>
      <c r="G1344" t="s">
        <v>12</v>
      </c>
      <c r="H1344" t="s">
        <v>118</v>
      </c>
      <c r="I1344" t="s">
        <v>814</v>
      </c>
      <c r="J1344" s="1">
        <v>8822.68</v>
      </c>
      <c r="K1344" s="1">
        <v>29408.94</v>
      </c>
      <c r="L1344" t="str">
        <f>IFERROR(IF(VLOOKUP(LEFT(B1344,2),'Humanitarian codes'!$A$2:$A$10,1,FALSE)=LEFT(B1344,2),"Yes","Error"),"No")</f>
        <v>Yes</v>
      </c>
      <c r="AE1344" s="1"/>
      <c r="AF1344" s="1"/>
    </row>
    <row r="1345" spans="1:32" x14ac:dyDescent="0.25">
      <c r="A1345" t="s">
        <v>1893</v>
      </c>
      <c r="B1345" t="s">
        <v>1781</v>
      </c>
      <c r="C1345" t="s">
        <v>1782</v>
      </c>
      <c r="D1345" t="s">
        <v>30</v>
      </c>
      <c r="E1345" t="s">
        <v>128</v>
      </c>
      <c r="F1345">
        <v>4500383605</v>
      </c>
      <c r="G1345" t="s">
        <v>12</v>
      </c>
      <c r="H1345" t="s">
        <v>1783</v>
      </c>
      <c r="I1345" t="s">
        <v>128</v>
      </c>
      <c r="J1345" s="1">
        <v>29993.01</v>
      </c>
      <c r="K1345" s="1">
        <v>29993.01</v>
      </c>
      <c r="L1345" t="str">
        <f>IFERROR(IF(VLOOKUP(LEFT(B1345,2),'Humanitarian codes'!$A$2:$A$10,1,FALSE)=LEFT(B1345,2),"Yes","Error"),"No")</f>
        <v>Yes</v>
      </c>
      <c r="AE1345" s="1"/>
      <c r="AF1345" s="1"/>
    </row>
    <row r="1346" spans="1:32" x14ac:dyDescent="0.25">
      <c r="A1346" t="s">
        <v>1893</v>
      </c>
      <c r="B1346" t="s">
        <v>1424</v>
      </c>
      <c r="C1346" t="s">
        <v>1425</v>
      </c>
      <c r="D1346" t="s">
        <v>30</v>
      </c>
      <c r="E1346" t="s">
        <v>793</v>
      </c>
      <c r="F1346">
        <v>4500392894</v>
      </c>
      <c r="G1346" t="s">
        <v>12</v>
      </c>
      <c r="H1346" t="s">
        <v>1784</v>
      </c>
      <c r="I1346" t="s">
        <v>798</v>
      </c>
      <c r="J1346" s="1">
        <v>150000</v>
      </c>
      <c r="K1346" s="1">
        <v>150000</v>
      </c>
      <c r="L1346" t="str">
        <f>IFERROR(IF(VLOOKUP(LEFT(B1346,2),'Humanitarian codes'!$A$2:$A$10,1,FALSE)=LEFT(B1346,2),"Yes","Error"),"No")</f>
        <v>Yes</v>
      </c>
      <c r="AE1346" s="1"/>
      <c r="AF1346" s="1"/>
    </row>
    <row r="1347" spans="1:32" hidden="1" x14ac:dyDescent="0.25">
      <c r="A1347" t="s">
        <v>1893</v>
      </c>
      <c r="B1347" t="s">
        <v>1785</v>
      </c>
      <c r="C1347" t="s">
        <v>1786</v>
      </c>
      <c r="D1347" t="s">
        <v>30</v>
      </c>
      <c r="E1347" t="s">
        <v>257</v>
      </c>
      <c r="F1347">
        <v>4500383869</v>
      </c>
      <c r="G1347" t="s">
        <v>12</v>
      </c>
      <c r="H1347" t="s">
        <v>1704</v>
      </c>
      <c r="I1347" t="s">
        <v>257</v>
      </c>
      <c r="J1347" s="1">
        <v>1936.56</v>
      </c>
      <c r="K1347" s="1">
        <v>6771.18</v>
      </c>
      <c r="L1347" t="str">
        <f>IFERROR(IF(VLOOKUP(LEFT(B1347,2),'Humanitarian codes'!$A$2:$A$10,1,FALSE)=LEFT(B1347,2),"Yes","Error"),"No")</f>
        <v>No</v>
      </c>
      <c r="AE1347" s="1"/>
      <c r="AF1347" s="1"/>
    </row>
    <row r="1348" spans="1:32" hidden="1" x14ac:dyDescent="0.25">
      <c r="A1348" t="s">
        <v>1893</v>
      </c>
      <c r="B1348" t="s">
        <v>1785</v>
      </c>
      <c r="C1348" t="s">
        <v>1786</v>
      </c>
      <c r="D1348" t="s">
        <v>30</v>
      </c>
      <c r="E1348" t="s">
        <v>257</v>
      </c>
      <c r="F1348">
        <v>4500391954</v>
      </c>
      <c r="G1348" t="s">
        <v>12</v>
      </c>
      <c r="H1348" t="s">
        <v>1787</v>
      </c>
      <c r="I1348" t="s">
        <v>257</v>
      </c>
      <c r="J1348" s="1">
        <v>8268.84</v>
      </c>
      <c r="K1348" s="1">
        <v>8268.84</v>
      </c>
      <c r="L1348" t="str">
        <f>IFERROR(IF(VLOOKUP(LEFT(B1348,2),'Humanitarian codes'!$A$2:$A$10,1,FALSE)=LEFT(B1348,2),"Yes","Error"),"No")</f>
        <v>No</v>
      </c>
      <c r="AE1348" s="1"/>
      <c r="AF1348" s="1"/>
    </row>
    <row r="1349" spans="1:32" hidden="1" x14ac:dyDescent="0.25">
      <c r="A1349" t="s">
        <v>1893</v>
      </c>
      <c r="B1349" t="s">
        <v>1785</v>
      </c>
      <c r="C1349" t="s">
        <v>1786</v>
      </c>
      <c r="D1349" t="s">
        <v>30</v>
      </c>
      <c r="E1349" t="s">
        <v>257</v>
      </c>
      <c r="F1349">
        <v>4500391962</v>
      </c>
      <c r="G1349" t="s">
        <v>12</v>
      </c>
      <c r="H1349" t="s">
        <v>1788</v>
      </c>
      <c r="I1349" t="s">
        <v>257</v>
      </c>
      <c r="J1349" s="1">
        <v>8268.84</v>
      </c>
      <c r="K1349" s="1">
        <v>8268.84</v>
      </c>
      <c r="L1349" t="str">
        <f>IFERROR(IF(VLOOKUP(LEFT(B1349,2),'Humanitarian codes'!$A$2:$A$10,1,FALSE)=LEFT(B1349,2),"Yes","Error"),"No")</f>
        <v>No</v>
      </c>
      <c r="AE1349" s="1"/>
      <c r="AF1349" s="1"/>
    </row>
    <row r="1350" spans="1:32" hidden="1" x14ac:dyDescent="0.25">
      <c r="A1350" t="s">
        <v>1893</v>
      </c>
      <c r="B1350" t="s">
        <v>1785</v>
      </c>
      <c r="C1350" t="s">
        <v>1786</v>
      </c>
      <c r="D1350" t="s">
        <v>30</v>
      </c>
      <c r="E1350" t="s">
        <v>257</v>
      </c>
      <c r="F1350">
        <v>4500391967</v>
      </c>
      <c r="G1350" t="s">
        <v>12</v>
      </c>
      <c r="H1350" t="s">
        <v>1789</v>
      </c>
      <c r="I1350" t="s">
        <v>257</v>
      </c>
      <c r="J1350" s="1">
        <v>8268.84</v>
      </c>
      <c r="K1350" s="1">
        <v>8268.84</v>
      </c>
      <c r="L1350" t="str">
        <f>IFERROR(IF(VLOOKUP(LEFT(B1350,2),'Humanitarian codes'!$A$2:$A$10,1,FALSE)=LEFT(B1350,2),"Yes","Error"),"No")</f>
        <v>No</v>
      </c>
      <c r="AE1350" s="1"/>
      <c r="AF1350" s="1"/>
    </row>
    <row r="1351" spans="1:32" hidden="1" x14ac:dyDescent="0.25">
      <c r="A1351" t="s">
        <v>1893</v>
      </c>
      <c r="B1351" t="s">
        <v>1785</v>
      </c>
      <c r="C1351" t="s">
        <v>1786</v>
      </c>
      <c r="D1351" t="s">
        <v>30</v>
      </c>
      <c r="E1351" t="s">
        <v>257</v>
      </c>
      <c r="F1351">
        <v>4500391970</v>
      </c>
      <c r="G1351" t="s">
        <v>12</v>
      </c>
      <c r="H1351" t="s">
        <v>1790</v>
      </c>
      <c r="I1351" t="s">
        <v>257</v>
      </c>
      <c r="J1351" s="1">
        <v>8268.84</v>
      </c>
      <c r="K1351" s="1">
        <v>8268.84</v>
      </c>
      <c r="L1351" t="str">
        <f>IFERROR(IF(VLOOKUP(LEFT(B1351,2),'Humanitarian codes'!$A$2:$A$10,1,FALSE)=LEFT(B1351,2),"Yes","Error"),"No")</f>
        <v>No</v>
      </c>
      <c r="AE1351" s="1"/>
      <c r="AF1351" s="1"/>
    </row>
    <row r="1352" spans="1:32" hidden="1" x14ac:dyDescent="0.25">
      <c r="A1352" t="s">
        <v>1893</v>
      </c>
      <c r="B1352" t="s">
        <v>1785</v>
      </c>
      <c r="C1352" t="s">
        <v>1786</v>
      </c>
      <c r="D1352" t="s">
        <v>30</v>
      </c>
      <c r="E1352" t="s">
        <v>257</v>
      </c>
      <c r="F1352">
        <v>4500391975</v>
      </c>
      <c r="G1352" t="s">
        <v>12</v>
      </c>
      <c r="H1352" t="s">
        <v>1791</v>
      </c>
      <c r="I1352" t="s">
        <v>257</v>
      </c>
      <c r="J1352" s="1">
        <v>8268.84</v>
      </c>
      <c r="K1352" s="1">
        <v>8268.84</v>
      </c>
      <c r="L1352" t="str">
        <f>IFERROR(IF(VLOOKUP(LEFT(B1352,2),'Humanitarian codes'!$A$2:$A$10,1,FALSE)=LEFT(B1352,2),"Yes","Error"),"No")</f>
        <v>No</v>
      </c>
      <c r="AE1352" s="1"/>
      <c r="AF1352" s="1"/>
    </row>
    <row r="1353" spans="1:32" hidden="1" x14ac:dyDescent="0.25">
      <c r="A1353" t="s">
        <v>1893</v>
      </c>
      <c r="B1353" t="s">
        <v>1785</v>
      </c>
      <c r="C1353" t="s">
        <v>1786</v>
      </c>
      <c r="D1353" t="s">
        <v>30</v>
      </c>
      <c r="E1353" t="s">
        <v>257</v>
      </c>
      <c r="F1353">
        <v>4500391977</v>
      </c>
      <c r="G1353" t="s">
        <v>12</v>
      </c>
      <c r="H1353" t="s">
        <v>1792</v>
      </c>
      <c r="I1353" t="s">
        <v>257</v>
      </c>
      <c r="J1353" s="1">
        <v>8268.84</v>
      </c>
      <c r="K1353" s="1">
        <v>8268.84</v>
      </c>
      <c r="L1353" t="str">
        <f>IFERROR(IF(VLOOKUP(LEFT(B1353,2),'Humanitarian codes'!$A$2:$A$10,1,FALSE)=LEFT(B1353,2),"Yes","Error"),"No")</f>
        <v>No</v>
      </c>
      <c r="AE1353" s="1"/>
      <c r="AF1353" s="1"/>
    </row>
    <row r="1354" spans="1:32" hidden="1" x14ac:dyDescent="0.25">
      <c r="A1354" t="s">
        <v>1893</v>
      </c>
      <c r="B1354" t="s">
        <v>1785</v>
      </c>
      <c r="C1354" t="s">
        <v>1786</v>
      </c>
      <c r="D1354" t="s">
        <v>30</v>
      </c>
      <c r="E1354" t="s">
        <v>257</v>
      </c>
      <c r="F1354">
        <v>4500391980</v>
      </c>
      <c r="G1354" t="s">
        <v>12</v>
      </c>
      <c r="H1354" t="s">
        <v>1793</v>
      </c>
      <c r="I1354" t="s">
        <v>257</v>
      </c>
      <c r="J1354" s="1">
        <v>8268.84</v>
      </c>
      <c r="K1354" s="1">
        <v>8268.84</v>
      </c>
      <c r="L1354" t="str">
        <f>IFERROR(IF(VLOOKUP(LEFT(B1354,2),'Humanitarian codes'!$A$2:$A$10,1,FALSE)=LEFT(B1354,2),"Yes","Error"),"No")</f>
        <v>No</v>
      </c>
      <c r="AE1354" s="1"/>
      <c r="AF1354" s="1"/>
    </row>
    <row r="1355" spans="1:32" hidden="1" x14ac:dyDescent="0.25">
      <c r="A1355" t="s">
        <v>1893</v>
      </c>
      <c r="B1355" t="s">
        <v>1785</v>
      </c>
      <c r="C1355" t="s">
        <v>1786</v>
      </c>
      <c r="D1355" t="s">
        <v>30</v>
      </c>
      <c r="E1355" t="s">
        <v>257</v>
      </c>
      <c r="F1355">
        <v>4500391982</v>
      </c>
      <c r="G1355" t="s">
        <v>12</v>
      </c>
      <c r="H1355" t="s">
        <v>1794</v>
      </c>
      <c r="I1355" t="s">
        <v>257</v>
      </c>
      <c r="J1355" s="1">
        <v>8268.84</v>
      </c>
      <c r="K1355" s="1">
        <v>8268.84</v>
      </c>
      <c r="L1355" t="str">
        <f>IFERROR(IF(VLOOKUP(LEFT(B1355,2),'Humanitarian codes'!$A$2:$A$10,1,FALSE)=LEFT(B1355,2),"Yes","Error"),"No")</f>
        <v>No</v>
      </c>
      <c r="AE1355" s="1"/>
      <c r="AF1355" s="1"/>
    </row>
    <row r="1356" spans="1:32" hidden="1" x14ac:dyDescent="0.25">
      <c r="A1356" t="s">
        <v>1893</v>
      </c>
      <c r="B1356" t="s">
        <v>1785</v>
      </c>
      <c r="C1356" t="s">
        <v>1786</v>
      </c>
      <c r="D1356" t="s">
        <v>30</v>
      </c>
      <c r="E1356" t="s">
        <v>257</v>
      </c>
      <c r="F1356">
        <v>4500391983</v>
      </c>
      <c r="G1356" t="s">
        <v>12</v>
      </c>
      <c r="H1356" t="s">
        <v>1795</v>
      </c>
      <c r="I1356" t="s">
        <v>257</v>
      </c>
      <c r="J1356" s="1">
        <v>8268.84</v>
      </c>
      <c r="K1356" s="1">
        <v>8268.84</v>
      </c>
      <c r="L1356" t="str">
        <f>IFERROR(IF(VLOOKUP(LEFT(B1356,2),'Humanitarian codes'!$A$2:$A$10,1,FALSE)=LEFT(B1356,2),"Yes","Error"),"No")</f>
        <v>No</v>
      </c>
      <c r="AE1356" s="1"/>
      <c r="AF1356" s="1"/>
    </row>
    <row r="1357" spans="1:32" hidden="1" x14ac:dyDescent="0.25">
      <c r="A1357" t="s">
        <v>1893</v>
      </c>
      <c r="B1357" t="s">
        <v>1785</v>
      </c>
      <c r="C1357" t="s">
        <v>1786</v>
      </c>
      <c r="D1357" t="s">
        <v>30</v>
      </c>
      <c r="E1357" t="s">
        <v>257</v>
      </c>
      <c r="F1357">
        <v>4500391985</v>
      </c>
      <c r="G1357" t="s">
        <v>12</v>
      </c>
      <c r="H1357" t="s">
        <v>1796</v>
      </c>
      <c r="I1357" t="s">
        <v>257</v>
      </c>
      <c r="J1357" s="1">
        <v>8268.84</v>
      </c>
      <c r="K1357" s="1">
        <v>8268.84</v>
      </c>
      <c r="L1357" t="str">
        <f>IFERROR(IF(VLOOKUP(LEFT(B1357,2),'Humanitarian codes'!$A$2:$A$10,1,FALSE)=LEFT(B1357,2),"Yes","Error"),"No")</f>
        <v>No</v>
      </c>
      <c r="AE1357" s="1"/>
      <c r="AF1357" s="1"/>
    </row>
    <row r="1358" spans="1:32" hidden="1" x14ac:dyDescent="0.25">
      <c r="A1358" t="s">
        <v>1893</v>
      </c>
      <c r="B1358" t="s">
        <v>1785</v>
      </c>
      <c r="C1358" t="s">
        <v>1786</v>
      </c>
      <c r="D1358" t="s">
        <v>30</v>
      </c>
      <c r="E1358" t="s">
        <v>257</v>
      </c>
      <c r="F1358">
        <v>4500391987</v>
      </c>
      <c r="G1358" t="s">
        <v>12</v>
      </c>
      <c r="H1358" t="s">
        <v>1797</v>
      </c>
      <c r="I1358" t="s">
        <v>257</v>
      </c>
      <c r="J1358" s="1">
        <v>8268.84</v>
      </c>
      <c r="K1358" s="1">
        <v>8268.84</v>
      </c>
      <c r="L1358" t="str">
        <f>IFERROR(IF(VLOOKUP(LEFT(B1358,2),'Humanitarian codes'!$A$2:$A$10,1,FALSE)=LEFT(B1358,2),"Yes","Error"),"No")</f>
        <v>No</v>
      </c>
      <c r="AE1358" s="1"/>
      <c r="AF1358" s="1"/>
    </row>
    <row r="1359" spans="1:32" hidden="1" x14ac:dyDescent="0.25">
      <c r="A1359" t="s">
        <v>1893</v>
      </c>
      <c r="B1359" t="s">
        <v>1785</v>
      </c>
      <c r="C1359" t="s">
        <v>1786</v>
      </c>
      <c r="D1359" t="s">
        <v>30</v>
      </c>
      <c r="E1359" t="s">
        <v>257</v>
      </c>
      <c r="F1359">
        <v>4500393330</v>
      </c>
      <c r="G1359" t="s">
        <v>12</v>
      </c>
      <c r="H1359" t="s">
        <v>1798</v>
      </c>
      <c r="I1359" t="s">
        <v>257</v>
      </c>
      <c r="J1359" s="1">
        <v>8268.84</v>
      </c>
      <c r="K1359" s="1">
        <v>8268.84</v>
      </c>
      <c r="L1359" t="str">
        <f>IFERROR(IF(VLOOKUP(LEFT(B1359,2),'Humanitarian codes'!$A$2:$A$10,1,FALSE)=LEFT(B1359,2),"Yes","Error"),"No")</f>
        <v>No</v>
      </c>
      <c r="AE1359" s="1"/>
      <c r="AF1359" s="1"/>
    </row>
    <row r="1360" spans="1:32" hidden="1" x14ac:dyDescent="0.25">
      <c r="A1360" t="s">
        <v>1893</v>
      </c>
      <c r="B1360" t="s">
        <v>1785</v>
      </c>
      <c r="C1360" t="s">
        <v>1786</v>
      </c>
      <c r="D1360" t="s">
        <v>30</v>
      </c>
      <c r="E1360" t="s">
        <v>257</v>
      </c>
      <c r="F1360">
        <v>4500394731</v>
      </c>
      <c r="G1360" t="s">
        <v>12</v>
      </c>
      <c r="H1360" t="s">
        <v>1799</v>
      </c>
      <c r="I1360" t="s">
        <v>751</v>
      </c>
      <c r="J1360" s="1">
        <v>30000</v>
      </c>
      <c r="K1360" s="1">
        <v>30000</v>
      </c>
      <c r="L1360" t="str">
        <f>IFERROR(IF(VLOOKUP(LEFT(B1360,2),'Humanitarian codes'!$A$2:$A$10,1,FALSE)=LEFT(B1360,2),"Yes","Error"),"No")</f>
        <v>No</v>
      </c>
      <c r="AE1360" s="1"/>
      <c r="AF1360" s="1"/>
    </row>
    <row r="1361" spans="1:32" hidden="1" x14ac:dyDescent="0.25">
      <c r="A1361" t="s">
        <v>1893</v>
      </c>
      <c r="B1361" t="s">
        <v>1800</v>
      </c>
      <c r="C1361" t="s">
        <v>1801</v>
      </c>
      <c r="D1361" t="s">
        <v>543</v>
      </c>
      <c r="E1361" t="s">
        <v>20</v>
      </c>
      <c r="F1361">
        <v>4500385658</v>
      </c>
      <c r="G1361" t="s">
        <v>12</v>
      </c>
      <c r="H1361" t="s">
        <v>1802</v>
      </c>
      <c r="I1361" t="s">
        <v>20</v>
      </c>
      <c r="J1361" s="1">
        <v>19976.5</v>
      </c>
      <c r="K1361" s="1">
        <v>19976.5</v>
      </c>
      <c r="L1361" t="str">
        <f>IFERROR(IF(VLOOKUP(LEFT(B1361,2),'Humanitarian codes'!$A$2:$A$10,1,FALSE)=LEFT(B1361,2),"Yes","Error"),"No")</f>
        <v>No</v>
      </c>
      <c r="AE1361" s="1"/>
      <c r="AF1361" s="1"/>
    </row>
    <row r="1362" spans="1:32" hidden="1" x14ac:dyDescent="0.25">
      <c r="A1362" t="s">
        <v>1893</v>
      </c>
      <c r="B1362" t="s">
        <v>1447</v>
      </c>
      <c r="C1362" t="s">
        <v>1448</v>
      </c>
      <c r="D1362" t="s">
        <v>543</v>
      </c>
      <c r="E1362" t="s">
        <v>523</v>
      </c>
      <c r="F1362">
        <v>4500393589</v>
      </c>
      <c r="G1362" t="s">
        <v>12</v>
      </c>
      <c r="H1362" t="s">
        <v>1803</v>
      </c>
      <c r="I1362" t="s">
        <v>523</v>
      </c>
      <c r="J1362" s="1">
        <v>20185.88</v>
      </c>
      <c r="K1362" s="1">
        <v>20185.88</v>
      </c>
      <c r="L1362" t="str">
        <f>IFERROR(IF(VLOOKUP(LEFT(B1362,2),'Humanitarian codes'!$A$2:$A$10,1,FALSE)=LEFT(B1362,2),"Yes","Error"),"No")</f>
        <v>No</v>
      </c>
      <c r="AE1362" s="1"/>
      <c r="AF1362" s="1"/>
    </row>
    <row r="1363" spans="1:32" hidden="1" x14ac:dyDescent="0.25">
      <c r="A1363" t="s">
        <v>1893</v>
      </c>
      <c r="B1363" t="s">
        <v>1447</v>
      </c>
      <c r="C1363" t="s">
        <v>1448</v>
      </c>
      <c r="D1363" t="s">
        <v>543</v>
      </c>
      <c r="E1363" t="s">
        <v>523</v>
      </c>
      <c r="F1363">
        <v>4500393620</v>
      </c>
      <c r="G1363" t="s">
        <v>12</v>
      </c>
      <c r="H1363" t="s">
        <v>1449</v>
      </c>
      <c r="I1363" t="s">
        <v>523</v>
      </c>
      <c r="J1363" s="1">
        <v>24485.119999999999</v>
      </c>
      <c r="K1363" s="1">
        <v>24485.119999999999</v>
      </c>
      <c r="L1363" t="str">
        <f>IFERROR(IF(VLOOKUP(LEFT(B1363,2),'Humanitarian codes'!$A$2:$A$10,1,FALSE)=LEFT(B1363,2),"Yes","Error"),"No")</f>
        <v>No</v>
      </c>
      <c r="AE1363" s="1"/>
      <c r="AF1363" s="1"/>
    </row>
    <row r="1364" spans="1:32" hidden="1" x14ac:dyDescent="0.25">
      <c r="A1364" t="s">
        <v>1893</v>
      </c>
      <c r="B1364" t="s">
        <v>1447</v>
      </c>
      <c r="C1364" t="s">
        <v>1448</v>
      </c>
      <c r="D1364" t="s">
        <v>543</v>
      </c>
      <c r="E1364" t="s">
        <v>523</v>
      </c>
      <c r="F1364">
        <v>4500393625</v>
      </c>
      <c r="G1364" t="s">
        <v>12</v>
      </c>
      <c r="H1364" t="s">
        <v>1804</v>
      </c>
      <c r="I1364" t="s">
        <v>523</v>
      </c>
      <c r="J1364" s="1">
        <v>24526.06</v>
      </c>
      <c r="K1364" s="1">
        <v>24526.06</v>
      </c>
      <c r="L1364" t="str">
        <f>IFERROR(IF(VLOOKUP(LEFT(B1364,2),'Humanitarian codes'!$A$2:$A$10,1,FALSE)=LEFT(B1364,2),"Yes","Error"),"No")</f>
        <v>No</v>
      </c>
      <c r="AE1364" s="1"/>
      <c r="AF1364" s="1"/>
    </row>
    <row r="1365" spans="1:32" hidden="1" x14ac:dyDescent="0.25">
      <c r="A1365" t="s">
        <v>1893</v>
      </c>
      <c r="B1365" t="s">
        <v>1447</v>
      </c>
      <c r="C1365" t="s">
        <v>1448</v>
      </c>
      <c r="D1365" t="s">
        <v>543</v>
      </c>
      <c r="E1365" t="s">
        <v>523</v>
      </c>
      <c r="F1365">
        <v>4500393639</v>
      </c>
      <c r="G1365" t="s">
        <v>12</v>
      </c>
      <c r="H1365" t="s">
        <v>1450</v>
      </c>
      <c r="I1365" t="s">
        <v>523</v>
      </c>
      <c r="J1365" s="1">
        <v>24517.88</v>
      </c>
      <c r="K1365" s="1">
        <v>24517.88</v>
      </c>
      <c r="L1365" t="str">
        <f>IFERROR(IF(VLOOKUP(LEFT(B1365,2),'Humanitarian codes'!$A$2:$A$10,1,FALSE)=LEFT(B1365,2),"Yes","Error"),"No")</f>
        <v>No</v>
      </c>
      <c r="AE1365" s="1"/>
      <c r="AF1365" s="1"/>
    </row>
    <row r="1366" spans="1:32" hidden="1" x14ac:dyDescent="0.25">
      <c r="A1366" t="s">
        <v>1893</v>
      </c>
      <c r="B1366" t="s">
        <v>1805</v>
      </c>
      <c r="C1366" t="s">
        <v>1806</v>
      </c>
      <c r="D1366" t="s">
        <v>543</v>
      </c>
      <c r="E1366" t="s">
        <v>257</v>
      </c>
      <c r="F1366">
        <v>4500382314</v>
      </c>
      <c r="G1366" t="s">
        <v>12</v>
      </c>
      <c r="H1366" t="s">
        <v>1807</v>
      </c>
      <c r="I1366" t="s">
        <v>257</v>
      </c>
      <c r="J1366" s="1">
        <v>9540.25</v>
      </c>
      <c r="K1366" s="1">
        <v>9540.25</v>
      </c>
      <c r="L1366" t="str">
        <f>IFERROR(IF(VLOOKUP(LEFT(B1366,2),'Humanitarian codes'!$A$2:$A$10,1,FALSE)=LEFT(B1366,2),"Yes","Error"),"No")</f>
        <v>No</v>
      </c>
      <c r="AE1366" s="1"/>
      <c r="AF1366" s="1"/>
    </row>
    <row r="1367" spans="1:32" hidden="1" x14ac:dyDescent="0.25">
      <c r="A1367" t="s">
        <v>1893</v>
      </c>
      <c r="B1367" t="s">
        <v>1805</v>
      </c>
      <c r="C1367" t="s">
        <v>1806</v>
      </c>
      <c r="D1367" t="s">
        <v>543</v>
      </c>
      <c r="E1367" t="s">
        <v>257</v>
      </c>
      <c r="F1367">
        <v>4500396595</v>
      </c>
      <c r="G1367" t="s">
        <v>12</v>
      </c>
      <c r="H1367" t="s">
        <v>1808</v>
      </c>
      <c r="I1367" t="s">
        <v>257</v>
      </c>
      <c r="J1367" s="1">
        <v>10790.28</v>
      </c>
      <c r="K1367" s="1">
        <v>10790.28</v>
      </c>
      <c r="L1367" t="str">
        <f>IFERROR(IF(VLOOKUP(LEFT(B1367,2),'Humanitarian codes'!$A$2:$A$10,1,FALSE)=LEFT(B1367,2),"Yes","Error"),"No")</f>
        <v>No</v>
      </c>
      <c r="AE1367" s="1"/>
      <c r="AF1367" s="1"/>
    </row>
    <row r="1368" spans="1:32" hidden="1" x14ac:dyDescent="0.25">
      <c r="A1368" t="s">
        <v>1893</v>
      </c>
      <c r="B1368" t="s">
        <v>1809</v>
      </c>
      <c r="C1368" t="s">
        <v>1810</v>
      </c>
      <c r="D1368" t="s">
        <v>543</v>
      </c>
      <c r="E1368" t="s">
        <v>500</v>
      </c>
      <c r="F1368">
        <v>4500396779</v>
      </c>
      <c r="G1368" t="s">
        <v>12</v>
      </c>
      <c r="H1368" t="s">
        <v>73</v>
      </c>
      <c r="I1368" t="s">
        <v>500</v>
      </c>
      <c r="J1368" s="1">
        <v>39490.15</v>
      </c>
      <c r="K1368" s="1">
        <v>39490.15</v>
      </c>
      <c r="L1368" t="str">
        <f>IFERROR(IF(VLOOKUP(LEFT(B1368,2),'Humanitarian codes'!$A$2:$A$10,1,FALSE)=LEFT(B1368,2),"Yes","Error"),"No")</f>
        <v>No</v>
      </c>
      <c r="AE1368" s="1"/>
      <c r="AF1368" s="1"/>
    </row>
    <row r="1369" spans="1:32" hidden="1" x14ac:dyDescent="0.25">
      <c r="A1369" t="s">
        <v>1893</v>
      </c>
      <c r="B1369" t="s">
        <v>1811</v>
      </c>
      <c r="C1369" t="s">
        <v>1812</v>
      </c>
      <c r="D1369" t="s">
        <v>543</v>
      </c>
      <c r="E1369" t="s">
        <v>1534</v>
      </c>
      <c r="F1369">
        <v>4500400311</v>
      </c>
      <c r="G1369" t="s">
        <v>12</v>
      </c>
      <c r="H1369" t="s">
        <v>1813</v>
      </c>
      <c r="I1369" t="s">
        <v>972</v>
      </c>
      <c r="J1369" s="1">
        <v>89469.62</v>
      </c>
      <c r="K1369" s="1">
        <v>89469.62</v>
      </c>
      <c r="L1369" t="str">
        <f>IFERROR(IF(VLOOKUP(LEFT(B1369,2),'Humanitarian codes'!$A$2:$A$10,1,FALSE)=LEFT(B1369,2),"Yes","Error"),"No")</f>
        <v>No</v>
      </c>
      <c r="AE1369" s="1"/>
      <c r="AF1369" s="1"/>
    </row>
    <row r="1370" spans="1:32" hidden="1" x14ac:dyDescent="0.25">
      <c r="A1370" t="s">
        <v>1893</v>
      </c>
      <c r="B1370" t="s">
        <v>1459</v>
      </c>
      <c r="C1370" t="s">
        <v>1460</v>
      </c>
      <c r="D1370" t="s">
        <v>466</v>
      </c>
      <c r="E1370" t="s">
        <v>1278</v>
      </c>
      <c r="F1370">
        <v>4500390192</v>
      </c>
      <c r="G1370" t="s">
        <v>12</v>
      </c>
      <c r="H1370" t="s">
        <v>1461</v>
      </c>
      <c r="I1370" t="s">
        <v>1278</v>
      </c>
      <c r="J1370" s="1">
        <v>66854.83</v>
      </c>
      <c r="K1370" s="1">
        <v>66854.83</v>
      </c>
      <c r="L1370" t="str">
        <f>IFERROR(IF(VLOOKUP(LEFT(B1370,2),'Humanitarian codes'!$A$2:$A$10,1,FALSE)=LEFT(B1370,2),"Yes","Error"),"No")</f>
        <v>No</v>
      </c>
      <c r="AE1370" s="1"/>
      <c r="AF1370" s="1"/>
    </row>
    <row r="1371" spans="1:32" hidden="1" x14ac:dyDescent="0.25">
      <c r="A1371" t="s">
        <v>1893</v>
      </c>
      <c r="B1371" t="s">
        <v>1459</v>
      </c>
      <c r="C1371" t="s">
        <v>1460</v>
      </c>
      <c r="D1371" t="s">
        <v>466</v>
      </c>
      <c r="E1371" t="s">
        <v>1278</v>
      </c>
      <c r="F1371">
        <v>4500390193</v>
      </c>
      <c r="G1371" t="s">
        <v>12</v>
      </c>
      <c r="H1371" t="s">
        <v>1461</v>
      </c>
      <c r="I1371" t="s">
        <v>1278</v>
      </c>
      <c r="J1371" s="1">
        <v>74112.899999999994</v>
      </c>
      <c r="K1371" s="1">
        <v>74112.899999999994</v>
      </c>
      <c r="L1371" t="str">
        <f>IFERROR(IF(VLOOKUP(LEFT(B1371,2),'Humanitarian codes'!$A$2:$A$10,1,FALSE)=LEFT(B1371,2),"Yes","Error"),"No")</f>
        <v>No</v>
      </c>
      <c r="AE1371" s="1"/>
      <c r="AF1371" s="1"/>
    </row>
    <row r="1372" spans="1:32" hidden="1" x14ac:dyDescent="0.25">
      <c r="A1372" t="s">
        <v>1893</v>
      </c>
      <c r="B1372" t="s">
        <v>1814</v>
      </c>
      <c r="C1372" t="s">
        <v>1478</v>
      </c>
      <c r="D1372" t="s">
        <v>466</v>
      </c>
      <c r="E1372" t="s">
        <v>1174</v>
      </c>
      <c r="F1372">
        <v>4500388558</v>
      </c>
      <c r="G1372" t="s">
        <v>12</v>
      </c>
      <c r="H1372" t="s">
        <v>1815</v>
      </c>
      <c r="I1372" t="s">
        <v>751</v>
      </c>
      <c r="J1372" s="1">
        <v>62380.3</v>
      </c>
      <c r="K1372" s="1">
        <v>62380.3</v>
      </c>
      <c r="L1372" t="str">
        <f>IFERROR(IF(VLOOKUP(LEFT(B1372,2),'Humanitarian codes'!$A$2:$A$10,1,FALSE)=LEFT(B1372,2),"Yes","Error"),"No")</f>
        <v>No</v>
      </c>
      <c r="AE1372" s="1"/>
      <c r="AF1372" s="1"/>
    </row>
    <row r="1373" spans="1:32" hidden="1" x14ac:dyDescent="0.25">
      <c r="A1373" t="s">
        <v>1893</v>
      </c>
      <c r="B1373" t="s">
        <v>465</v>
      </c>
      <c r="C1373" t="s">
        <v>467</v>
      </c>
      <c r="D1373" t="s">
        <v>466</v>
      </c>
      <c r="E1373" t="s">
        <v>210</v>
      </c>
      <c r="F1373">
        <v>4500387191</v>
      </c>
      <c r="G1373" t="s">
        <v>12</v>
      </c>
      <c r="H1373" t="s">
        <v>955</v>
      </c>
      <c r="I1373" t="s">
        <v>210</v>
      </c>
      <c r="J1373" s="1">
        <v>1046067.6</v>
      </c>
      <c r="K1373" s="1">
        <v>1046067.6</v>
      </c>
      <c r="L1373" t="str">
        <f>IFERROR(IF(VLOOKUP(LEFT(B1373,2),'Humanitarian codes'!$A$2:$A$10,1,FALSE)=LEFT(B1373,2),"Yes","Error"),"No")</f>
        <v>No</v>
      </c>
      <c r="AE1373" s="1"/>
      <c r="AF1373" s="1"/>
    </row>
    <row r="1374" spans="1:32" hidden="1" x14ac:dyDescent="0.25">
      <c r="A1374" t="s">
        <v>1893</v>
      </c>
      <c r="B1374" t="s">
        <v>1471</v>
      </c>
      <c r="C1374" t="s">
        <v>1472</v>
      </c>
      <c r="D1374" t="s">
        <v>466</v>
      </c>
      <c r="E1374" t="s">
        <v>1016</v>
      </c>
      <c r="F1374">
        <v>4500391031</v>
      </c>
      <c r="G1374" t="s">
        <v>12</v>
      </c>
      <c r="H1374" t="s">
        <v>482</v>
      </c>
      <c r="I1374" t="s">
        <v>1016</v>
      </c>
      <c r="J1374" s="1">
        <v>6587</v>
      </c>
      <c r="K1374" s="1">
        <v>6587</v>
      </c>
      <c r="L1374" t="str">
        <f>IFERROR(IF(VLOOKUP(LEFT(B1374,2),'Humanitarian codes'!$A$2:$A$10,1,FALSE)=LEFT(B1374,2),"Yes","Error"),"No")</f>
        <v>No</v>
      </c>
      <c r="AE1374" s="1"/>
      <c r="AF1374" s="1"/>
    </row>
    <row r="1375" spans="1:32" hidden="1" x14ac:dyDescent="0.25">
      <c r="A1375" t="s">
        <v>1893</v>
      </c>
      <c r="B1375" t="s">
        <v>1816</v>
      </c>
      <c r="C1375" t="s">
        <v>1817</v>
      </c>
      <c r="D1375" t="s">
        <v>466</v>
      </c>
      <c r="E1375" t="s">
        <v>518</v>
      </c>
      <c r="F1375">
        <v>4500388284</v>
      </c>
      <c r="G1375" t="s">
        <v>12</v>
      </c>
      <c r="H1375" t="s">
        <v>1818</v>
      </c>
      <c r="I1375" t="s">
        <v>518</v>
      </c>
      <c r="J1375" s="1">
        <v>41885</v>
      </c>
      <c r="K1375" s="1">
        <v>41885</v>
      </c>
      <c r="L1375" t="str">
        <f>IFERROR(IF(VLOOKUP(LEFT(B1375,2),'Humanitarian codes'!$A$2:$A$10,1,FALSE)=LEFT(B1375,2),"Yes","Error"),"No")</f>
        <v>No</v>
      </c>
      <c r="AE1375" s="1"/>
      <c r="AF1375" s="1"/>
    </row>
    <row r="1376" spans="1:32" hidden="1" x14ac:dyDescent="0.25">
      <c r="A1376" t="s">
        <v>1893</v>
      </c>
      <c r="B1376" t="s">
        <v>495</v>
      </c>
      <c r="C1376" t="s">
        <v>496</v>
      </c>
      <c r="D1376" t="s">
        <v>466</v>
      </c>
      <c r="E1376" t="s">
        <v>155</v>
      </c>
      <c r="F1376">
        <v>4500383240</v>
      </c>
      <c r="G1376" t="s">
        <v>12</v>
      </c>
      <c r="H1376" t="s">
        <v>1819</v>
      </c>
      <c r="I1376" t="s">
        <v>155</v>
      </c>
      <c r="J1376" s="1">
        <v>9802.49</v>
      </c>
      <c r="K1376" s="1">
        <v>16670.900000000001</v>
      </c>
      <c r="L1376" t="str">
        <f>IFERROR(IF(VLOOKUP(LEFT(B1376,2),'Humanitarian codes'!$A$2:$A$10,1,FALSE)=LEFT(B1376,2),"Yes","Error"),"No")</f>
        <v>No</v>
      </c>
      <c r="AE1376" s="1"/>
      <c r="AF1376" s="1"/>
    </row>
    <row r="1377" spans="1:32" hidden="1" x14ac:dyDescent="0.25">
      <c r="A1377" t="s">
        <v>1893</v>
      </c>
      <c r="B1377" t="s">
        <v>1489</v>
      </c>
      <c r="C1377" t="s">
        <v>1490</v>
      </c>
      <c r="D1377" t="s">
        <v>466</v>
      </c>
      <c r="E1377" t="s">
        <v>1650</v>
      </c>
      <c r="F1377">
        <v>4500389515</v>
      </c>
      <c r="G1377" t="s">
        <v>12</v>
      </c>
      <c r="H1377" t="s">
        <v>1820</v>
      </c>
      <c r="I1377" t="s">
        <v>1650</v>
      </c>
      <c r="J1377" s="1">
        <v>6023.46</v>
      </c>
      <c r="K1377" s="1">
        <v>6023.46</v>
      </c>
      <c r="L1377" t="str">
        <f>IFERROR(IF(VLOOKUP(LEFT(B1377,2),'Humanitarian codes'!$A$2:$A$10,1,FALSE)=LEFT(B1377,2),"Yes","Error"),"No")</f>
        <v>No</v>
      </c>
      <c r="AE1377" s="1"/>
      <c r="AF1377" s="1"/>
    </row>
    <row r="1378" spans="1:32" hidden="1" x14ac:dyDescent="0.25">
      <c r="A1378" t="s">
        <v>1893</v>
      </c>
      <c r="B1378" t="s">
        <v>1821</v>
      </c>
      <c r="C1378" t="s">
        <v>1822</v>
      </c>
      <c r="D1378" t="s">
        <v>466</v>
      </c>
      <c r="E1378" t="s">
        <v>523</v>
      </c>
      <c r="F1378">
        <v>4500397055</v>
      </c>
      <c r="G1378" t="s">
        <v>12</v>
      </c>
      <c r="H1378" t="s">
        <v>1823</v>
      </c>
      <c r="I1378" t="s">
        <v>523</v>
      </c>
      <c r="J1378" s="1">
        <v>50379.64</v>
      </c>
      <c r="K1378" s="1">
        <v>50379.64</v>
      </c>
      <c r="L1378" t="str">
        <f>IFERROR(IF(VLOOKUP(LEFT(B1378,2),'Humanitarian codes'!$A$2:$A$10,1,FALSE)=LEFT(B1378,2),"Yes","Error"),"No")</f>
        <v>No</v>
      </c>
      <c r="AE1378" s="1"/>
      <c r="AF1378" s="1"/>
    </row>
    <row r="1379" spans="1:32" hidden="1" x14ac:dyDescent="0.25">
      <c r="A1379" t="s">
        <v>1893</v>
      </c>
      <c r="B1379" t="s">
        <v>1491</v>
      </c>
      <c r="C1379" t="s">
        <v>1492</v>
      </c>
      <c r="D1379" t="s">
        <v>466</v>
      </c>
      <c r="E1379" t="s">
        <v>16</v>
      </c>
      <c r="F1379">
        <v>4500404581</v>
      </c>
      <c r="G1379" t="s">
        <v>12</v>
      </c>
      <c r="H1379" t="s">
        <v>1824</v>
      </c>
      <c r="I1379" t="s">
        <v>16</v>
      </c>
      <c r="J1379" s="1">
        <v>108328.9</v>
      </c>
      <c r="K1379" s="1">
        <v>108328.9</v>
      </c>
      <c r="L1379" t="str">
        <f>IFERROR(IF(VLOOKUP(LEFT(B1379,2),'Humanitarian codes'!$A$2:$A$10,1,FALSE)=LEFT(B1379,2),"Yes","Error"),"No")</f>
        <v>No</v>
      </c>
      <c r="AE1379" s="1"/>
      <c r="AF1379" s="1"/>
    </row>
    <row r="1380" spans="1:32" hidden="1" x14ac:dyDescent="0.25">
      <c r="A1380" t="s">
        <v>1893</v>
      </c>
      <c r="B1380" t="s">
        <v>1491</v>
      </c>
      <c r="C1380" t="s">
        <v>1492</v>
      </c>
      <c r="D1380" t="s">
        <v>466</v>
      </c>
      <c r="E1380" t="s">
        <v>16</v>
      </c>
      <c r="F1380">
        <v>4500405048</v>
      </c>
      <c r="G1380" t="s">
        <v>12</v>
      </c>
      <c r="H1380" t="s">
        <v>1825</v>
      </c>
      <c r="I1380" t="s">
        <v>16</v>
      </c>
      <c r="J1380" s="1">
        <v>218391.07</v>
      </c>
      <c r="K1380" s="1">
        <v>218391.07</v>
      </c>
      <c r="L1380" t="str">
        <f>IFERROR(IF(VLOOKUP(LEFT(B1380,2),'Humanitarian codes'!$A$2:$A$10,1,FALSE)=LEFT(B1380,2),"Yes","Error"),"No")</f>
        <v>No</v>
      </c>
      <c r="AE1380" s="1"/>
      <c r="AF1380" s="1"/>
    </row>
    <row r="1381" spans="1:32" hidden="1" x14ac:dyDescent="0.25">
      <c r="A1381" t="s">
        <v>1893</v>
      </c>
      <c r="B1381" t="s">
        <v>1826</v>
      </c>
      <c r="C1381" t="s">
        <v>1827</v>
      </c>
      <c r="D1381" t="s">
        <v>466</v>
      </c>
      <c r="E1381" t="s">
        <v>477</v>
      </c>
      <c r="F1381">
        <v>4500396280</v>
      </c>
      <c r="G1381" t="s">
        <v>12</v>
      </c>
      <c r="H1381" t="s">
        <v>506</v>
      </c>
      <c r="I1381" t="s">
        <v>477</v>
      </c>
      <c r="J1381" s="1">
        <v>42661.87</v>
      </c>
      <c r="K1381" s="1">
        <v>42661.87</v>
      </c>
      <c r="L1381" t="str">
        <f>IFERROR(IF(VLOOKUP(LEFT(B1381,2),'Humanitarian codes'!$A$2:$A$10,1,FALSE)=LEFT(B1381,2),"Yes","Error"),"No")</f>
        <v>No</v>
      </c>
      <c r="AE1381" s="1"/>
      <c r="AF1381" s="1"/>
    </row>
    <row r="1382" spans="1:32" hidden="1" x14ac:dyDescent="0.25">
      <c r="A1382" t="s">
        <v>1893</v>
      </c>
      <c r="B1382" t="s">
        <v>1826</v>
      </c>
      <c r="C1382" t="s">
        <v>1827</v>
      </c>
      <c r="D1382" t="s">
        <v>466</v>
      </c>
      <c r="E1382" t="s">
        <v>477</v>
      </c>
      <c r="F1382">
        <v>4500397078</v>
      </c>
      <c r="G1382" t="s">
        <v>12</v>
      </c>
      <c r="H1382" t="s">
        <v>745</v>
      </c>
      <c r="I1382" t="s">
        <v>477</v>
      </c>
      <c r="J1382" s="1">
        <v>4016.06</v>
      </c>
      <c r="K1382" s="1">
        <v>4016.06</v>
      </c>
      <c r="L1382" t="str">
        <f>IFERROR(IF(VLOOKUP(LEFT(B1382,2),'Humanitarian codes'!$A$2:$A$10,1,FALSE)=LEFT(B1382,2),"Yes","Error"),"No")</f>
        <v>No</v>
      </c>
      <c r="AE1382" s="1"/>
      <c r="AF1382" s="1"/>
    </row>
    <row r="1383" spans="1:32" hidden="1" x14ac:dyDescent="0.25">
      <c r="A1383" t="s">
        <v>1893</v>
      </c>
      <c r="B1383" t="s">
        <v>1826</v>
      </c>
      <c r="C1383" t="s">
        <v>1827</v>
      </c>
      <c r="D1383" t="s">
        <v>466</v>
      </c>
      <c r="E1383" t="s">
        <v>477</v>
      </c>
      <c r="F1383">
        <v>4500397263</v>
      </c>
      <c r="G1383" t="s">
        <v>12</v>
      </c>
      <c r="H1383" t="s">
        <v>611</v>
      </c>
      <c r="I1383" t="s">
        <v>477</v>
      </c>
      <c r="J1383" s="1">
        <v>2760.32</v>
      </c>
      <c r="K1383" s="1">
        <v>2760.32</v>
      </c>
      <c r="L1383" t="str">
        <f>IFERROR(IF(VLOOKUP(LEFT(B1383,2),'Humanitarian codes'!$A$2:$A$10,1,FALSE)=LEFT(B1383,2),"Yes","Error"),"No")</f>
        <v>No</v>
      </c>
      <c r="AE1383" s="1"/>
      <c r="AF1383" s="1"/>
    </row>
    <row r="1384" spans="1:32" hidden="1" x14ac:dyDescent="0.25">
      <c r="A1384" t="s">
        <v>1893</v>
      </c>
      <c r="B1384" t="s">
        <v>524</v>
      </c>
      <c r="C1384" t="s">
        <v>525</v>
      </c>
      <c r="D1384" t="s">
        <v>512</v>
      </c>
      <c r="E1384" t="s">
        <v>25</v>
      </c>
      <c r="F1384">
        <v>4500387959</v>
      </c>
      <c r="G1384" t="s">
        <v>12</v>
      </c>
      <c r="H1384" t="s">
        <v>1828</v>
      </c>
      <c r="I1384" t="s">
        <v>25</v>
      </c>
      <c r="J1384" s="1">
        <v>7597.24</v>
      </c>
      <c r="K1384" s="1">
        <v>7597.24</v>
      </c>
      <c r="L1384" t="str">
        <f>IFERROR(IF(VLOOKUP(LEFT(B1384,2),'Humanitarian codes'!$A$2:$A$10,1,FALSE)=LEFT(B1384,2),"Yes","Error"),"No")</f>
        <v>No</v>
      </c>
      <c r="AE1384" s="1"/>
      <c r="AF1384" s="1"/>
    </row>
    <row r="1385" spans="1:32" hidden="1" x14ac:dyDescent="0.25">
      <c r="A1385" t="s">
        <v>1893</v>
      </c>
      <c r="B1385" t="s">
        <v>524</v>
      </c>
      <c r="C1385" t="s">
        <v>525</v>
      </c>
      <c r="D1385" t="s">
        <v>512</v>
      </c>
      <c r="E1385" t="s">
        <v>25</v>
      </c>
      <c r="F1385">
        <v>4500396811</v>
      </c>
      <c r="G1385" t="s">
        <v>12</v>
      </c>
      <c r="H1385" t="s">
        <v>1829</v>
      </c>
      <c r="I1385" t="s">
        <v>25</v>
      </c>
      <c r="J1385" s="1">
        <v>30267.89</v>
      </c>
      <c r="K1385" s="1">
        <v>30267.89</v>
      </c>
      <c r="L1385" t="str">
        <f>IFERROR(IF(VLOOKUP(LEFT(B1385,2),'Humanitarian codes'!$A$2:$A$10,1,FALSE)=LEFT(B1385,2),"Yes","Error"),"No")</f>
        <v>No</v>
      </c>
      <c r="AE1385" s="1"/>
      <c r="AF1385" s="1"/>
    </row>
    <row r="1386" spans="1:32" hidden="1" x14ac:dyDescent="0.25">
      <c r="A1386" t="s">
        <v>1893</v>
      </c>
      <c r="B1386" t="s">
        <v>988</v>
      </c>
      <c r="C1386" t="s">
        <v>989</v>
      </c>
      <c r="D1386" t="s">
        <v>512</v>
      </c>
      <c r="E1386" t="s">
        <v>1423</v>
      </c>
      <c r="F1386">
        <v>4500384058</v>
      </c>
      <c r="G1386" t="s">
        <v>12</v>
      </c>
      <c r="H1386" t="s">
        <v>1830</v>
      </c>
      <c r="I1386" t="s">
        <v>1423</v>
      </c>
      <c r="J1386" s="1">
        <v>160643.70000000001</v>
      </c>
      <c r="K1386" s="1">
        <v>160643.70000000001</v>
      </c>
      <c r="L1386" t="str">
        <f>IFERROR(IF(VLOOKUP(LEFT(B1386,2),'Humanitarian codes'!$A$2:$A$10,1,FALSE)=LEFT(B1386,2),"Yes","Error"),"No")</f>
        <v>No</v>
      </c>
      <c r="AE1386" s="1"/>
      <c r="AF1386" s="1"/>
    </row>
    <row r="1387" spans="1:32" x14ac:dyDescent="0.25">
      <c r="A1387" t="s">
        <v>1893</v>
      </c>
      <c r="B1387" t="s">
        <v>1515</v>
      </c>
      <c r="C1387" t="s">
        <v>1516</v>
      </c>
      <c r="D1387" t="s">
        <v>512</v>
      </c>
      <c r="E1387" t="s">
        <v>175</v>
      </c>
      <c r="F1387">
        <v>4500385299</v>
      </c>
      <c r="G1387" t="s">
        <v>12</v>
      </c>
      <c r="H1387" t="s">
        <v>1831</v>
      </c>
      <c r="I1387" t="s">
        <v>175</v>
      </c>
      <c r="J1387" s="1">
        <v>132438.35</v>
      </c>
      <c r="K1387" s="1">
        <v>132438.35</v>
      </c>
      <c r="L1387" t="str">
        <f>IFERROR(IF(VLOOKUP(LEFT(B1387,2),'Humanitarian codes'!$A$2:$A$10,1,FALSE)=LEFT(B1387,2),"Yes","Error"),"No")</f>
        <v>Yes</v>
      </c>
      <c r="AE1387" s="1"/>
      <c r="AF1387" s="1"/>
    </row>
    <row r="1388" spans="1:32" x14ac:dyDescent="0.25">
      <c r="A1388" t="s">
        <v>1893</v>
      </c>
      <c r="B1388" t="s">
        <v>1515</v>
      </c>
      <c r="C1388" t="s">
        <v>1516</v>
      </c>
      <c r="D1388" t="s">
        <v>512</v>
      </c>
      <c r="E1388" t="s">
        <v>175</v>
      </c>
      <c r="F1388">
        <v>4500386611</v>
      </c>
      <c r="G1388" t="s">
        <v>12</v>
      </c>
      <c r="H1388" t="s">
        <v>1832</v>
      </c>
      <c r="I1388" t="s">
        <v>175</v>
      </c>
      <c r="J1388" s="1">
        <v>182298.42</v>
      </c>
      <c r="K1388" s="1">
        <v>182298.42</v>
      </c>
      <c r="L1388" t="str">
        <f>IFERROR(IF(VLOOKUP(LEFT(B1388,2),'Humanitarian codes'!$A$2:$A$10,1,FALSE)=LEFT(B1388,2),"Yes","Error"),"No")</f>
        <v>Yes</v>
      </c>
      <c r="AE1388" s="1"/>
      <c r="AF1388" s="1"/>
    </row>
    <row r="1389" spans="1:32" x14ac:dyDescent="0.25">
      <c r="A1389" t="s">
        <v>1893</v>
      </c>
      <c r="B1389" t="s">
        <v>1515</v>
      </c>
      <c r="C1389" t="s">
        <v>1516</v>
      </c>
      <c r="D1389" t="s">
        <v>512</v>
      </c>
      <c r="E1389" t="s">
        <v>175</v>
      </c>
      <c r="F1389">
        <v>4500390090</v>
      </c>
      <c r="G1389" t="s">
        <v>12</v>
      </c>
      <c r="H1389" t="s">
        <v>1833</v>
      </c>
      <c r="I1389" t="s">
        <v>175</v>
      </c>
      <c r="J1389" s="1">
        <v>215069.19</v>
      </c>
      <c r="K1389" s="1">
        <v>215069.19</v>
      </c>
      <c r="L1389" t="str">
        <f>IFERROR(IF(VLOOKUP(LEFT(B1389,2),'Humanitarian codes'!$A$2:$A$10,1,FALSE)=LEFT(B1389,2),"Yes","Error"),"No")</f>
        <v>Yes</v>
      </c>
      <c r="AE1389" s="1"/>
      <c r="AF1389" s="1"/>
    </row>
    <row r="1390" spans="1:32" x14ac:dyDescent="0.25">
      <c r="A1390" t="s">
        <v>1893</v>
      </c>
      <c r="B1390" t="s">
        <v>1517</v>
      </c>
      <c r="C1390" t="s">
        <v>1518</v>
      </c>
      <c r="D1390" t="s">
        <v>512</v>
      </c>
      <c r="E1390" t="s">
        <v>205</v>
      </c>
      <c r="F1390">
        <v>4500399703</v>
      </c>
      <c r="G1390" t="s">
        <v>12</v>
      </c>
      <c r="H1390" t="s">
        <v>209</v>
      </c>
      <c r="I1390" t="s">
        <v>205</v>
      </c>
      <c r="J1390" s="1">
        <v>113893.9</v>
      </c>
      <c r="K1390" s="1">
        <v>113893.9</v>
      </c>
      <c r="L1390" t="str">
        <f>IFERROR(IF(VLOOKUP(LEFT(B1390,2),'Humanitarian codes'!$A$2:$A$10,1,FALSE)=LEFT(B1390,2),"Yes","Error"),"No")</f>
        <v>Yes</v>
      </c>
      <c r="AE1390" s="1"/>
      <c r="AF1390" s="1"/>
    </row>
    <row r="1391" spans="1:32" x14ac:dyDescent="0.25">
      <c r="A1391" t="s">
        <v>1893</v>
      </c>
      <c r="B1391" t="s">
        <v>1517</v>
      </c>
      <c r="C1391" t="s">
        <v>1518</v>
      </c>
      <c r="D1391" t="s">
        <v>512</v>
      </c>
      <c r="E1391" t="s">
        <v>676</v>
      </c>
      <c r="F1391">
        <v>4500401028</v>
      </c>
      <c r="G1391" t="s">
        <v>12</v>
      </c>
      <c r="H1391" t="s">
        <v>1834</v>
      </c>
      <c r="I1391" t="s">
        <v>751</v>
      </c>
      <c r="J1391" s="1">
        <v>11000</v>
      </c>
      <c r="K1391" s="1">
        <v>11000</v>
      </c>
      <c r="L1391" t="str">
        <f>IFERROR(IF(VLOOKUP(LEFT(B1391,2),'Humanitarian codes'!$A$2:$A$10,1,FALSE)=LEFT(B1391,2),"Yes","Error"),"No")</f>
        <v>Yes</v>
      </c>
      <c r="AE1391" s="1"/>
      <c r="AF1391" s="1"/>
    </row>
    <row r="1392" spans="1:32" hidden="1" x14ac:dyDescent="0.25">
      <c r="A1392" t="s">
        <v>1893</v>
      </c>
      <c r="B1392" t="s">
        <v>1526</v>
      </c>
      <c r="C1392" t="s">
        <v>1527</v>
      </c>
      <c r="D1392" t="s">
        <v>543</v>
      </c>
      <c r="E1392" t="s">
        <v>486</v>
      </c>
      <c r="F1392">
        <v>4500404482</v>
      </c>
      <c r="G1392" t="s">
        <v>12</v>
      </c>
      <c r="H1392" t="s">
        <v>1529</v>
      </c>
      <c r="I1392" t="s">
        <v>486</v>
      </c>
      <c r="J1392" s="1">
        <v>221044.42</v>
      </c>
      <c r="K1392" s="1">
        <v>221044.42</v>
      </c>
      <c r="L1392" t="str">
        <f>IFERROR(IF(VLOOKUP(LEFT(B1392,2),'Humanitarian codes'!$A$2:$A$10,1,FALSE)=LEFT(B1392,2),"Yes","Error"),"No")</f>
        <v>No</v>
      </c>
      <c r="AE1392" s="1"/>
      <c r="AF1392" s="1"/>
    </row>
    <row r="1393" spans="1:32" hidden="1" x14ac:dyDescent="0.25">
      <c r="A1393" t="s">
        <v>1893</v>
      </c>
      <c r="B1393" t="s">
        <v>1530</v>
      </c>
      <c r="C1393" t="s">
        <v>1531</v>
      </c>
      <c r="D1393" t="s">
        <v>543</v>
      </c>
      <c r="E1393" t="s">
        <v>155</v>
      </c>
      <c r="F1393">
        <v>4500383240</v>
      </c>
      <c r="G1393" t="s">
        <v>12</v>
      </c>
      <c r="H1393" t="s">
        <v>1819</v>
      </c>
      <c r="I1393" t="s">
        <v>155</v>
      </c>
      <c r="J1393" s="1">
        <v>6868.41</v>
      </c>
      <c r="K1393" s="1">
        <v>16670.900000000001</v>
      </c>
      <c r="L1393" t="str">
        <f>IFERROR(IF(VLOOKUP(LEFT(B1393,2),'Humanitarian codes'!$A$2:$A$10,1,FALSE)=LEFT(B1393,2),"Yes","Error"),"No")</f>
        <v>No</v>
      </c>
      <c r="AE1393" s="1"/>
      <c r="AF1393" s="1"/>
    </row>
    <row r="1394" spans="1:32" hidden="1" x14ac:dyDescent="0.25">
      <c r="A1394" t="s">
        <v>1893</v>
      </c>
      <c r="B1394" t="s">
        <v>1835</v>
      </c>
      <c r="C1394" t="s">
        <v>1836</v>
      </c>
      <c r="D1394" t="s">
        <v>543</v>
      </c>
      <c r="E1394" t="s">
        <v>1395</v>
      </c>
      <c r="F1394">
        <v>4500392869</v>
      </c>
      <c r="G1394" t="s">
        <v>12</v>
      </c>
      <c r="H1394" t="s">
        <v>1837</v>
      </c>
      <c r="I1394" t="s">
        <v>1395</v>
      </c>
      <c r="J1394" s="1">
        <v>650759.19999999995</v>
      </c>
      <c r="K1394" s="1">
        <v>650759.19999999995</v>
      </c>
      <c r="L1394" t="str">
        <f>IFERROR(IF(VLOOKUP(LEFT(B1394,2),'Humanitarian codes'!$A$2:$A$10,1,FALSE)=LEFT(B1394,2),"Yes","Error"),"No")</f>
        <v>No</v>
      </c>
      <c r="AE1394" s="1"/>
      <c r="AF1394" s="1"/>
    </row>
    <row r="1395" spans="1:32" hidden="1" x14ac:dyDescent="0.25">
      <c r="A1395" t="s">
        <v>1893</v>
      </c>
      <c r="B1395" t="s">
        <v>1838</v>
      </c>
      <c r="C1395" t="s">
        <v>1839</v>
      </c>
      <c r="D1395" t="s">
        <v>9</v>
      </c>
      <c r="E1395" t="s">
        <v>561</v>
      </c>
      <c r="F1395">
        <v>4500383875</v>
      </c>
      <c r="G1395" t="s">
        <v>12</v>
      </c>
      <c r="H1395" t="s">
        <v>1683</v>
      </c>
      <c r="I1395" t="s">
        <v>561</v>
      </c>
      <c r="J1395" s="1">
        <v>22530.19</v>
      </c>
      <c r="K1395" s="1">
        <v>38195.78</v>
      </c>
      <c r="L1395" t="str">
        <f>IFERROR(IF(VLOOKUP(LEFT(B1395,2),'Humanitarian codes'!$A$2:$A$10,1,FALSE)=LEFT(B1395,2),"Yes","Error"),"No")</f>
        <v>No</v>
      </c>
      <c r="AE1395" s="1"/>
      <c r="AF1395" s="1"/>
    </row>
    <row r="1396" spans="1:32" hidden="1" x14ac:dyDescent="0.25">
      <c r="A1396" t="s">
        <v>1893</v>
      </c>
      <c r="B1396" t="s">
        <v>1539</v>
      </c>
      <c r="C1396" t="s">
        <v>1540</v>
      </c>
      <c r="D1396" t="s">
        <v>9</v>
      </c>
      <c r="E1396" t="s">
        <v>226</v>
      </c>
      <c r="F1396">
        <v>4500390847</v>
      </c>
      <c r="G1396" t="s">
        <v>12</v>
      </c>
      <c r="H1396" t="s">
        <v>1840</v>
      </c>
      <c r="I1396" t="s">
        <v>226</v>
      </c>
      <c r="J1396" s="1">
        <v>69195.92</v>
      </c>
      <c r="K1396" s="1">
        <v>69195.92</v>
      </c>
      <c r="L1396" t="str">
        <f>IFERROR(IF(VLOOKUP(LEFT(B1396,2),'Humanitarian codes'!$A$2:$A$10,1,FALSE)=LEFT(B1396,2),"Yes","Error"),"No")</f>
        <v>No</v>
      </c>
      <c r="AE1396" s="1"/>
      <c r="AF1396" s="1"/>
    </row>
    <row r="1397" spans="1:32" hidden="1" x14ac:dyDescent="0.25">
      <c r="A1397" t="s">
        <v>1893</v>
      </c>
      <c r="B1397" t="s">
        <v>1541</v>
      </c>
      <c r="C1397" t="s">
        <v>1542</v>
      </c>
      <c r="D1397" t="s">
        <v>9</v>
      </c>
      <c r="E1397" t="s">
        <v>155</v>
      </c>
      <c r="F1397">
        <v>4500391581</v>
      </c>
      <c r="G1397" t="s">
        <v>12</v>
      </c>
      <c r="H1397" t="s">
        <v>1656</v>
      </c>
      <c r="I1397" t="s">
        <v>155</v>
      </c>
      <c r="J1397" s="1">
        <v>460758</v>
      </c>
      <c r="K1397" s="1">
        <v>460758</v>
      </c>
      <c r="L1397" t="str">
        <f>IFERROR(IF(VLOOKUP(LEFT(B1397,2),'Humanitarian codes'!$A$2:$A$10,1,FALSE)=LEFT(B1397,2),"Yes","Error"),"No")</f>
        <v>No</v>
      </c>
      <c r="AE1397" s="1"/>
      <c r="AF1397" s="1"/>
    </row>
    <row r="1398" spans="1:32" hidden="1" x14ac:dyDescent="0.25">
      <c r="A1398" t="s">
        <v>1893</v>
      </c>
      <c r="B1398" t="s">
        <v>1541</v>
      </c>
      <c r="C1398" t="s">
        <v>1542</v>
      </c>
      <c r="D1398" t="s">
        <v>9</v>
      </c>
      <c r="E1398" t="s">
        <v>155</v>
      </c>
      <c r="F1398">
        <v>4500391588</v>
      </c>
      <c r="G1398" t="s">
        <v>12</v>
      </c>
      <c r="H1398" t="s">
        <v>1656</v>
      </c>
      <c r="I1398" t="s">
        <v>155</v>
      </c>
      <c r="J1398" s="1">
        <v>417710</v>
      </c>
      <c r="K1398" s="1">
        <v>417710</v>
      </c>
      <c r="L1398" t="str">
        <f>IFERROR(IF(VLOOKUP(LEFT(B1398,2),'Humanitarian codes'!$A$2:$A$10,1,FALSE)=LEFT(B1398,2),"Yes","Error"),"No")</f>
        <v>No</v>
      </c>
      <c r="AE1398" s="1"/>
      <c r="AF1398" s="1"/>
    </row>
    <row r="1399" spans="1:32" hidden="1" x14ac:dyDescent="0.25">
      <c r="A1399" t="s">
        <v>1893</v>
      </c>
      <c r="B1399" t="s">
        <v>1841</v>
      </c>
      <c r="C1399" t="s">
        <v>1842</v>
      </c>
      <c r="D1399" t="s">
        <v>30</v>
      </c>
      <c r="E1399" t="s">
        <v>1166</v>
      </c>
      <c r="F1399">
        <v>4500400518</v>
      </c>
      <c r="G1399" t="s">
        <v>12</v>
      </c>
      <c r="H1399" t="s">
        <v>1843</v>
      </c>
      <c r="I1399" t="s">
        <v>1166</v>
      </c>
      <c r="J1399" s="1">
        <v>13604.75</v>
      </c>
      <c r="K1399" s="1">
        <v>13604.75</v>
      </c>
      <c r="L1399" t="str">
        <f>IFERROR(IF(VLOOKUP(LEFT(B1399,2),'Humanitarian codes'!$A$2:$A$10,1,FALSE)=LEFT(B1399,2),"Yes","Error"),"No")</f>
        <v>No</v>
      </c>
      <c r="AE1399" s="1"/>
      <c r="AF1399" s="1"/>
    </row>
    <row r="1400" spans="1:32" hidden="1" x14ac:dyDescent="0.25">
      <c r="A1400" t="s">
        <v>1893</v>
      </c>
      <c r="B1400" t="s">
        <v>586</v>
      </c>
      <c r="C1400" t="s">
        <v>587</v>
      </c>
      <c r="D1400" t="s">
        <v>30</v>
      </c>
      <c r="E1400" t="s">
        <v>1016</v>
      </c>
      <c r="F1400">
        <v>4500392231</v>
      </c>
      <c r="G1400" t="s">
        <v>12</v>
      </c>
      <c r="H1400" t="s">
        <v>588</v>
      </c>
      <c r="I1400" t="s">
        <v>1016</v>
      </c>
      <c r="J1400" s="1">
        <v>10030.450000000001</v>
      </c>
      <c r="K1400" s="1">
        <v>10030.450000000001</v>
      </c>
      <c r="L1400" t="str">
        <f>IFERROR(IF(VLOOKUP(LEFT(B1400,2),'Humanitarian codes'!$A$2:$A$10,1,FALSE)=LEFT(B1400,2),"Yes","Error"),"No")</f>
        <v>No</v>
      </c>
      <c r="AE1400" s="1"/>
      <c r="AF1400" s="1"/>
    </row>
    <row r="1401" spans="1:32" hidden="1" x14ac:dyDescent="0.25">
      <c r="A1401" t="s">
        <v>1893</v>
      </c>
      <c r="B1401" t="s">
        <v>590</v>
      </c>
      <c r="C1401" t="s">
        <v>591</v>
      </c>
      <c r="D1401" t="s">
        <v>30</v>
      </c>
      <c r="E1401" t="s">
        <v>1016</v>
      </c>
      <c r="F1401">
        <v>4500391028</v>
      </c>
      <c r="G1401" t="s">
        <v>12</v>
      </c>
      <c r="H1401" t="s">
        <v>482</v>
      </c>
      <c r="I1401" t="s">
        <v>1016</v>
      </c>
      <c r="J1401" s="1">
        <v>10025.34</v>
      </c>
      <c r="K1401" s="1">
        <v>10025.34</v>
      </c>
      <c r="L1401" t="str">
        <f>IFERROR(IF(VLOOKUP(LEFT(B1401,2),'Humanitarian codes'!$A$2:$A$10,1,FALSE)=LEFT(B1401,2),"Yes","Error"),"No")</f>
        <v>No</v>
      </c>
      <c r="AE1401" s="1"/>
      <c r="AF1401" s="1"/>
    </row>
    <row r="1402" spans="1:32" hidden="1" x14ac:dyDescent="0.25">
      <c r="A1402" t="s">
        <v>1893</v>
      </c>
      <c r="B1402" t="s">
        <v>1552</v>
      </c>
      <c r="C1402" t="s">
        <v>1553</v>
      </c>
      <c r="D1402" t="s">
        <v>30</v>
      </c>
      <c r="E1402" t="s">
        <v>594</v>
      </c>
      <c r="F1402">
        <v>4500397873</v>
      </c>
      <c r="G1402" t="s">
        <v>12</v>
      </c>
      <c r="H1402" t="s">
        <v>1844</v>
      </c>
      <c r="I1402" t="s">
        <v>594</v>
      </c>
      <c r="J1402" s="1">
        <v>189141.74</v>
      </c>
      <c r="K1402" s="1">
        <v>189141.74</v>
      </c>
      <c r="L1402" t="str">
        <f>IFERROR(IF(VLOOKUP(LEFT(B1402,2),'Humanitarian codes'!$A$2:$A$10,1,FALSE)=LEFT(B1402,2),"Yes","Error"),"No")</f>
        <v>No</v>
      </c>
      <c r="AE1402" s="1"/>
      <c r="AF1402" s="1"/>
    </row>
    <row r="1403" spans="1:32" hidden="1" x14ac:dyDescent="0.25">
      <c r="A1403" t="s">
        <v>1893</v>
      </c>
      <c r="B1403" t="s">
        <v>1555</v>
      </c>
      <c r="C1403" t="s">
        <v>1556</v>
      </c>
      <c r="D1403" t="s">
        <v>30</v>
      </c>
      <c r="E1403" t="s">
        <v>83</v>
      </c>
      <c r="F1403">
        <v>4500395020</v>
      </c>
      <c r="G1403" t="s">
        <v>12</v>
      </c>
      <c r="H1403" t="s">
        <v>1845</v>
      </c>
      <c r="I1403" t="s">
        <v>49</v>
      </c>
      <c r="J1403" s="1">
        <v>36980</v>
      </c>
      <c r="K1403" s="1">
        <v>36980</v>
      </c>
      <c r="L1403" t="str">
        <f>IFERROR(IF(VLOOKUP(LEFT(B1403,2),'Humanitarian codes'!$A$2:$A$10,1,FALSE)=LEFT(B1403,2),"Yes","Error"),"No")</f>
        <v>No</v>
      </c>
      <c r="AE1403" s="1"/>
      <c r="AF1403" s="1"/>
    </row>
    <row r="1404" spans="1:32" hidden="1" x14ac:dyDescent="0.25">
      <c r="A1404" t="s">
        <v>1893</v>
      </c>
      <c r="B1404" t="s">
        <v>1555</v>
      </c>
      <c r="C1404" t="s">
        <v>1556</v>
      </c>
      <c r="D1404" t="s">
        <v>30</v>
      </c>
      <c r="E1404" t="s">
        <v>83</v>
      </c>
      <c r="F1404">
        <v>4500398425</v>
      </c>
      <c r="G1404" t="s">
        <v>12</v>
      </c>
      <c r="H1404" t="s">
        <v>85</v>
      </c>
      <c r="I1404" t="s">
        <v>83</v>
      </c>
      <c r="J1404" s="1">
        <v>90788</v>
      </c>
      <c r="K1404" s="1">
        <v>90788</v>
      </c>
      <c r="L1404" t="str">
        <f>IFERROR(IF(VLOOKUP(LEFT(B1404,2),'Humanitarian codes'!$A$2:$A$10,1,FALSE)=LEFT(B1404,2),"Yes","Error"),"No")</f>
        <v>No</v>
      </c>
      <c r="AE1404" s="1"/>
      <c r="AF1404" s="1"/>
    </row>
    <row r="1405" spans="1:32" hidden="1" x14ac:dyDescent="0.25">
      <c r="A1405" t="s">
        <v>1893</v>
      </c>
      <c r="B1405" t="s">
        <v>596</v>
      </c>
      <c r="C1405" t="s">
        <v>597</v>
      </c>
      <c r="D1405" t="s">
        <v>30</v>
      </c>
      <c r="E1405" t="s">
        <v>128</v>
      </c>
      <c r="F1405">
        <v>4500402309</v>
      </c>
      <c r="G1405" t="s">
        <v>12</v>
      </c>
      <c r="H1405" t="s">
        <v>1846</v>
      </c>
      <c r="I1405" t="s">
        <v>972</v>
      </c>
      <c r="J1405" s="1">
        <v>109529</v>
      </c>
      <c r="K1405" s="1">
        <v>109529</v>
      </c>
      <c r="L1405" t="str">
        <f>IFERROR(IF(VLOOKUP(LEFT(B1405,2),'Humanitarian codes'!$A$2:$A$10,1,FALSE)=LEFT(B1405,2),"Yes","Error"),"No")</f>
        <v>No</v>
      </c>
      <c r="AE1405" s="1"/>
      <c r="AF1405" s="1"/>
    </row>
    <row r="1406" spans="1:32" hidden="1" x14ac:dyDescent="0.25">
      <c r="A1406" t="s">
        <v>1893</v>
      </c>
      <c r="B1406" t="s">
        <v>1847</v>
      </c>
      <c r="C1406" t="s">
        <v>1848</v>
      </c>
      <c r="D1406" t="s">
        <v>484</v>
      </c>
      <c r="E1406" t="s">
        <v>1534</v>
      </c>
      <c r="F1406">
        <v>4500389955</v>
      </c>
      <c r="G1406" t="s">
        <v>12</v>
      </c>
      <c r="H1406" t="s">
        <v>1849</v>
      </c>
      <c r="I1406" t="s">
        <v>1534</v>
      </c>
      <c r="J1406" s="1">
        <v>33184.75</v>
      </c>
      <c r="K1406" s="1">
        <v>33184.75</v>
      </c>
      <c r="L1406" t="str">
        <f>IFERROR(IF(VLOOKUP(LEFT(B1406,2),'Humanitarian codes'!$A$2:$A$10,1,FALSE)=LEFT(B1406,2),"Yes","Error"),"No")</f>
        <v>No</v>
      </c>
      <c r="AE1406" s="1"/>
      <c r="AF1406" s="1"/>
    </row>
    <row r="1407" spans="1:32" hidden="1" x14ac:dyDescent="0.25">
      <c r="A1407" t="s">
        <v>1893</v>
      </c>
      <c r="B1407" t="s">
        <v>1847</v>
      </c>
      <c r="C1407" t="s">
        <v>1848</v>
      </c>
      <c r="D1407" t="s">
        <v>484</v>
      </c>
      <c r="E1407" t="s">
        <v>1534</v>
      </c>
      <c r="F1407">
        <v>4500393480</v>
      </c>
      <c r="G1407" t="s">
        <v>12</v>
      </c>
      <c r="H1407" t="s">
        <v>1850</v>
      </c>
      <c r="I1407" t="s">
        <v>1534</v>
      </c>
      <c r="J1407" s="1">
        <v>32373</v>
      </c>
      <c r="K1407" s="1">
        <v>32373</v>
      </c>
      <c r="L1407" t="str">
        <f>IFERROR(IF(VLOOKUP(LEFT(B1407,2),'Humanitarian codes'!$A$2:$A$10,1,FALSE)=LEFT(B1407,2),"Yes","Error"),"No")</f>
        <v>No</v>
      </c>
      <c r="AE1407" s="1"/>
      <c r="AF1407" s="1"/>
    </row>
    <row r="1408" spans="1:32" hidden="1" x14ac:dyDescent="0.25">
      <c r="A1408" t="s">
        <v>1893</v>
      </c>
      <c r="B1408" t="s">
        <v>1847</v>
      </c>
      <c r="C1408" t="s">
        <v>1848</v>
      </c>
      <c r="D1408" t="s">
        <v>484</v>
      </c>
      <c r="E1408" t="s">
        <v>1534</v>
      </c>
      <c r="F1408">
        <v>4500393482</v>
      </c>
      <c r="G1408" t="s">
        <v>12</v>
      </c>
      <c r="H1408" t="s">
        <v>1851</v>
      </c>
      <c r="I1408" t="s">
        <v>1534</v>
      </c>
      <c r="J1408" s="1">
        <v>30269.06</v>
      </c>
      <c r="K1408" s="1">
        <v>30269.06</v>
      </c>
      <c r="L1408" t="str">
        <f>IFERROR(IF(VLOOKUP(LEFT(B1408,2),'Humanitarian codes'!$A$2:$A$10,1,FALSE)=LEFT(B1408,2),"Yes","Error"),"No")</f>
        <v>No</v>
      </c>
      <c r="AE1408" s="1"/>
      <c r="AF1408" s="1"/>
    </row>
    <row r="1409" spans="1:32" hidden="1" x14ac:dyDescent="0.25">
      <c r="A1409" t="s">
        <v>1893</v>
      </c>
      <c r="B1409" t="s">
        <v>604</v>
      </c>
      <c r="C1409" t="s">
        <v>605</v>
      </c>
      <c r="D1409" t="s">
        <v>484</v>
      </c>
      <c r="E1409" t="s">
        <v>534</v>
      </c>
      <c r="F1409">
        <v>4500391462</v>
      </c>
      <c r="G1409" t="s">
        <v>12</v>
      </c>
      <c r="H1409" t="s">
        <v>401</v>
      </c>
      <c r="I1409" t="s">
        <v>402</v>
      </c>
      <c r="J1409" s="1">
        <v>216919.74</v>
      </c>
      <c r="K1409" s="1">
        <v>216919.74</v>
      </c>
      <c r="L1409" t="str">
        <f>IFERROR(IF(VLOOKUP(LEFT(B1409,2),'Humanitarian codes'!$A$2:$A$10,1,FALSE)=LEFT(B1409,2),"Yes","Error"),"No")</f>
        <v>No</v>
      </c>
      <c r="AE1409" s="1"/>
      <c r="AF1409" s="1"/>
    </row>
    <row r="1410" spans="1:32" hidden="1" x14ac:dyDescent="0.25">
      <c r="A1410" t="s">
        <v>1893</v>
      </c>
      <c r="B1410" t="s">
        <v>604</v>
      </c>
      <c r="C1410" t="s">
        <v>605</v>
      </c>
      <c r="D1410" t="s">
        <v>484</v>
      </c>
      <c r="E1410" t="s">
        <v>534</v>
      </c>
      <c r="F1410">
        <v>4500394140</v>
      </c>
      <c r="G1410" t="s">
        <v>12</v>
      </c>
      <c r="H1410" t="s">
        <v>1852</v>
      </c>
      <c r="I1410" t="s">
        <v>534</v>
      </c>
      <c r="J1410" s="1">
        <v>162689.79999999999</v>
      </c>
      <c r="K1410" s="1">
        <v>162689.79999999999</v>
      </c>
      <c r="L1410" t="str">
        <f>IFERROR(IF(VLOOKUP(LEFT(B1410,2),'Humanitarian codes'!$A$2:$A$10,1,FALSE)=LEFT(B1410,2),"Yes","Error"),"No")</f>
        <v>No</v>
      </c>
      <c r="AE1410" s="1"/>
      <c r="AF1410" s="1"/>
    </row>
    <row r="1411" spans="1:32" hidden="1" x14ac:dyDescent="0.25">
      <c r="A1411" t="s">
        <v>1893</v>
      </c>
      <c r="B1411" t="s">
        <v>1046</v>
      </c>
      <c r="C1411" t="s">
        <v>1047</v>
      </c>
      <c r="D1411" t="s">
        <v>543</v>
      </c>
      <c r="E1411" t="s">
        <v>1048</v>
      </c>
      <c r="F1411">
        <v>4500396425</v>
      </c>
      <c r="G1411" t="s">
        <v>12</v>
      </c>
      <c r="H1411" t="s">
        <v>1557</v>
      </c>
      <c r="I1411" t="s">
        <v>1048</v>
      </c>
      <c r="J1411" s="1">
        <v>77089.16</v>
      </c>
      <c r="K1411" s="1">
        <v>77089.16</v>
      </c>
      <c r="L1411" t="str">
        <f>IFERROR(IF(VLOOKUP(LEFT(B1411,2),'Humanitarian codes'!$A$2:$A$10,1,FALSE)=LEFT(B1411,2),"Yes","Error"),"No")</f>
        <v>No</v>
      </c>
      <c r="AE1411" s="1"/>
      <c r="AF1411" s="1"/>
    </row>
    <row r="1412" spans="1:32" hidden="1" x14ac:dyDescent="0.25">
      <c r="A1412" t="s">
        <v>1893</v>
      </c>
      <c r="B1412" t="s">
        <v>1046</v>
      </c>
      <c r="C1412" t="s">
        <v>1047</v>
      </c>
      <c r="D1412" t="s">
        <v>543</v>
      </c>
      <c r="E1412" t="s">
        <v>1048</v>
      </c>
      <c r="F1412">
        <v>4500402623</v>
      </c>
      <c r="G1412" t="s">
        <v>12</v>
      </c>
      <c r="H1412" t="s">
        <v>1853</v>
      </c>
      <c r="I1412" t="s">
        <v>1174</v>
      </c>
      <c r="J1412" s="1">
        <v>83000</v>
      </c>
      <c r="K1412" s="1">
        <v>83000</v>
      </c>
      <c r="L1412" t="str">
        <f>IFERROR(IF(VLOOKUP(LEFT(B1412,2),'Humanitarian codes'!$A$2:$A$10,1,FALSE)=LEFT(B1412,2),"Yes","Error"),"No")</f>
        <v>No</v>
      </c>
      <c r="AE1412" s="1"/>
      <c r="AF1412" s="1"/>
    </row>
    <row r="1413" spans="1:32" hidden="1" x14ac:dyDescent="0.25">
      <c r="A1413" t="s">
        <v>1893</v>
      </c>
      <c r="B1413" t="s">
        <v>607</v>
      </c>
      <c r="C1413" t="s">
        <v>608</v>
      </c>
      <c r="D1413" t="s">
        <v>543</v>
      </c>
      <c r="E1413" t="s">
        <v>504</v>
      </c>
      <c r="F1413">
        <v>4500400370</v>
      </c>
      <c r="G1413" t="s">
        <v>12</v>
      </c>
      <c r="H1413" t="s">
        <v>1854</v>
      </c>
      <c r="I1413" t="s">
        <v>504</v>
      </c>
      <c r="J1413" s="1">
        <v>7378.37</v>
      </c>
      <c r="K1413" s="1">
        <v>7378.37</v>
      </c>
      <c r="L1413" t="str">
        <f>IFERROR(IF(VLOOKUP(LEFT(B1413,2),'Humanitarian codes'!$A$2:$A$10,1,FALSE)=LEFT(B1413,2),"Yes","Error"),"No")</f>
        <v>No</v>
      </c>
      <c r="AE1413" s="1"/>
      <c r="AF1413" s="1"/>
    </row>
    <row r="1414" spans="1:32" hidden="1" x14ac:dyDescent="0.25">
      <c r="A1414" t="s">
        <v>1893</v>
      </c>
      <c r="B1414" t="s">
        <v>607</v>
      </c>
      <c r="C1414" t="s">
        <v>608</v>
      </c>
      <c r="D1414" t="s">
        <v>543</v>
      </c>
      <c r="E1414" t="s">
        <v>504</v>
      </c>
      <c r="F1414">
        <v>4500400376</v>
      </c>
      <c r="G1414" t="s">
        <v>12</v>
      </c>
      <c r="H1414" t="s">
        <v>1855</v>
      </c>
      <c r="I1414" t="s">
        <v>504</v>
      </c>
      <c r="J1414" s="1">
        <v>6394.6</v>
      </c>
      <c r="K1414" s="1">
        <v>6394.6</v>
      </c>
      <c r="L1414" t="str">
        <f>IFERROR(IF(VLOOKUP(LEFT(B1414,2),'Humanitarian codes'!$A$2:$A$10,1,FALSE)=LEFT(B1414,2),"Yes","Error"),"No")</f>
        <v>No</v>
      </c>
      <c r="AE1414" s="1"/>
      <c r="AF1414" s="1"/>
    </row>
    <row r="1415" spans="1:32" hidden="1" x14ac:dyDescent="0.25">
      <c r="A1415" t="s">
        <v>1893</v>
      </c>
      <c r="B1415" t="s">
        <v>607</v>
      </c>
      <c r="C1415" t="s">
        <v>608</v>
      </c>
      <c r="D1415" t="s">
        <v>543</v>
      </c>
      <c r="E1415" t="s">
        <v>504</v>
      </c>
      <c r="F1415">
        <v>4500400380</v>
      </c>
      <c r="G1415" t="s">
        <v>12</v>
      </c>
      <c r="H1415" t="s">
        <v>1856</v>
      </c>
      <c r="I1415" t="s">
        <v>504</v>
      </c>
      <c r="J1415" s="1">
        <v>3443.24</v>
      </c>
      <c r="K1415" s="1">
        <v>3443.24</v>
      </c>
      <c r="L1415" t="str">
        <f>IFERROR(IF(VLOOKUP(LEFT(B1415,2),'Humanitarian codes'!$A$2:$A$10,1,FALSE)=LEFT(B1415,2),"Yes","Error"),"No")</f>
        <v>No</v>
      </c>
      <c r="AE1415" s="1"/>
      <c r="AF1415" s="1"/>
    </row>
    <row r="1416" spans="1:32" hidden="1" x14ac:dyDescent="0.25">
      <c r="A1416" t="s">
        <v>1893</v>
      </c>
      <c r="B1416" t="s">
        <v>607</v>
      </c>
      <c r="C1416" t="s">
        <v>608</v>
      </c>
      <c r="D1416" t="s">
        <v>543</v>
      </c>
      <c r="E1416" t="s">
        <v>477</v>
      </c>
      <c r="F1416">
        <v>4500391251</v>
      </c>
      <c r="G1416" t="s">
        <v>12</v>
      </c>
      <c r="H1416" t="s">
        <v>1566</v>
      </c>
      <c r="I1416" t="s">
        <v>477</v>
      </c>
      <c r="J1416">
        <v>780.69</v>
      </c>
      <c r="K1416">
        <v>780.69</v>
      </c>
      <c r="L1416" t="str">
        <f>IFERROR(IF(VLOOKUP(LEFT(B1416,2),'Humanitarian codes'!$A$2:$A$10,1,FALSE)=LEFT(B1416,2),"Yes","Error"),"No")</f>
        <v>No</v>
      </c>
      <c r="AE1416" s="1"/>
      <c r="AF1416" s="1"/>
    </row>
    <row r="1417" spans="1:32" hidden="1" x14ac:dyDescent="0.25">
      <c r="A1417" t="s">
        <v>1893</v>
      </c>
      <c r="B1417" t="s">
        <v>607</v>
      </c>
      <c r="C1417" t="s">
        <v>608</v>
      </c>
      <c r="D1417" t="s">
        <v>543</v>
      </c>
      <c r="E1417" t="s">
        <v>477</v>
      </c>
      <c r="F1417">
        <v>4500392468</v>
      </c>
      <c r="G1417" t="s">
        <v>12</v>
      </c>
      <c r="H1417" t="s">
        <v>506</v>
      </c>
      <c r="I1417" t="s">
        <v>477</v>
      </c>
      <c r="J1417" s="1">
        <v>10450.83</v>
      </c>
      <c r="K1417" s="1">
        <v>10450.83</v>
      </c>
      <c r="L1417" t="str">
        <f>IFERROR(IF(VLOOKUP(LEFT(B1417,2),'Humanitarian codes'!$A$2:$A$10,1,FALSE)=LEFT(B1417,2),"Yes","Error"),"No")</f>
        <v>No</v>
      </c>
      <c r="AE1417" s="1"/>
      <c r="AF1417" s="1"/>
    </row>
    <row r="1418" spans="1:32" hidden="1" x14ac:dyDescent="0.25">
      <c r="A1418" t="s">
        <v>1893</v>
      </c>
      <c r="B1418" t="s">
        <v>607</v>
      </c>
      <c r="C1418" t="s">
        <v>608</v>
      </c>
      <c r="D1418" t="s">
        <v>543</v>
      </c>
      <c r="E1418" t="s">
        <v>477</v>
      </c>
      <c r="F1418">
        <v>4500392885</v>
      </c>
      <c r="G1418" t="s">
        <v>12</v>
      </c>
      <c r="H1418" t="s">
        <v>1565</v>
      </c>
      <c r="I1418" t="s">
        <v>477</v>
      </c>
      <c r="J1418" s="1">
        <v>1526.43</v>
      </c>
      <c r="K1418" s="1">
        <v>1526.43</v>
      </c>
      <c r="L1418" t="str">
        <f>IFERROR(IF(VLOOKUP(LEFT(B1418,2),'Humanitarian codes'!$A$2:$A$10,1,FALSE)=LEFT(B1418,2),"Yes","Error"),"No")</f>
        <v>No</v>
      </c>
      <c r="AE1418" s="1"/>
      <c r="AF1418" s="1"/>
    </row>
    <row r="1419" spans="1:32" hidden="1" x14ac:dyDescent="0.25">
      <c r="A1419" t="s">
        <v>1893</v>
      </c>
      <c r="B1419" t="s">
        <v>1569</v>
      </c>
      <c r="C1419" t="s">
        <v>1570</v>
      </c>
      <c r="D1419" t="s">
        <v>543</v>
      </c>
      <c r="E1419" t="s">
        <v>159</v>
      </c>
      <c r="F1419">
        <v>4500386490</v>
      </c>
      <c r="G1419" t="s">
        <v>12</v>
      </c>
      <c r="H1419" t="s">
        <v>699</v>
      </c>
      <c r="I1419" t="s">
        <v>159</v>
      </c>
      <c r="J1419" s="1">
        <v>166481.69</v>
      </c>
      <c r="K1419" s="1">
        <v>166481.69</v>
      </c>
      <c r="L1419" t="str">
        <f>IFERROR(IF(VLOOKUP(LEFT(B1419,2),'Humanitarian codes'!$A$2:$A$10,1,FALSE)=LEFT(B1419,2),"Yes","Error"),"No")</f>
        <v>No</v>
      </c>
      <c r="AE1419" s="1"/>
      <c r="AF1419" s="1"/>
    </row>
    <row r="1420" spans="1:32" hidden="1" x14ac:dyDescent="0.25">
      <c r="A1420" t="s">
        <v>1893</v>
      </c>
      <c r="B1420" t="s">
        <v>1569</v>
      </c>
      <c r="C1420" t="s">
        <v>1570</v>
      </c>
      <c r="D1420" t="s">
        <v>543</v>
      </c>
      <c r="E1420" t="s">
        <v>159</v>
      </c>
      <c r="F1420">
        <v>4500388622</v>
      </c>
      <c r="G1420" t="s">
        <v>12</v>
      </c>
      <c r="H1420" t="s">
        <v>1358</v>
      </c>
      <c r="I1420" t="s">
        <v>159</v>
      </c>
      <c r="J1420" s="1">
        <v>406724.51</v>
      </c>
      <c r="K1420" s="1">
        <v>406724.51</v>
      </c>
      <c r="L1420" t="str">
        <f>IFERROR(IF(VLOOKUP(LEFT(B1420,2),'Humanitarian codes'!$A$2:$A$10,1,FALSE)=LEFT(B1420,2),"Yes","Error"),"No")</f>
        <v>No</v>
      </c>
      <c r="AE1420" s="1"/>
      <c r="AF1420" s="1"/>
    </row>
    <row r="1421" spans="1:32" hidden="1" x14ac:dyDescent="0.25">
      <c r="A1421" t="s">
        <v>1893</v>
      </c>
      <c r="B1421" t="s">
        <v>1062</v>
      </c>
      <c r="C1421" t="s">
        <v>1063</v>
      </c>
      <c r="D1421" t="s">
        <v>543</v>
      </c>
      <c r="E1421" t="s">
        <v>523</v>
      </c>
      <c r="F1421">
        <v>4500382191</v>
      </c>
      <c r="G1421" t="s">
        <v>12</v>
      </c>
      <c r="H1421" t="s">
        <v>1064</v>
      </c>
      <c r="I1421" t="s">
        <v>523</v>
      </c>
      <c r="J1421" s="1">
        <v>1351.91</v>
      </c>
      <c r="K1421" s="1">
        <v>1351.91</v>
      </c>
      <c r="L1421" t="str">
        <f>IFERROR(IF(VLOOKUP(LEFT(B1421,2),'Humanitarian codes'!$A$2:$A$10,1,FALSE)=LEFT(B1421,2),"Yes","Error"),"No")</f>
        <v>No</v>
      </c>
      <c r="AE1421" s="1"/>
      <c r="AF1421" s="1"/>
    </row>
    <row r="1422" spans="1:32" hidden="1" x14ac:dyDescent="0.25">
      <c r="A1422" t="s">
        <v>1893</v>
      </c>
      <c r="B1422" t="s">
        <v>1062</v>
      </c>
      <c r="C1422" t="s">
        <v>1063</v>
      </c>
      <c r="D1422" t="s">
        <v>543</v>
      </c>
      <c r="E1422" t="s">
        <v>523</v>
      </c>
      <c r="F1422">
        <v>4500384862</v>
      </c>
      <c r="G1422" t="s">
        <v>12</v>
      </c>
      <c r="H1422" t="s">
        <v>1857</v>
      </c>
      <c r="I1422" t="s">
        <v>523</v>
      </c>
      <c r="J1422" s="1">
        <v>63300.63</v>
      </c>
      <c r="K1422" s="1">
        <v>63300.63</v>
      </c>
      <c r="L1422" t="str">
        <f>IFERROR(IF(VLOOKUP(LEFT(B1422,2),'Humanitarian codes'!$A$2:$A$10,1,FALSE)=LEFT(B1422,2),"Yes","Error"),"No")</f>
        <v>No</v>
      </c>
      <c r="AE1422" s="1"/>
      <c r="AF1422" s="1"/>
    </row>
    <row r="1423" spans="1:32" hidden="1" x14ac:dyDescent="0.25">
      <c r="A1423" t="s">
        <v>1893</v>
      </c>
      <c r="B1423" t="s">
        <v>1062</v>
      </c>
      <c r="C1423" t="s">
        <v>1063</v>
      </c>
      <c r="D1423" t="s">
        <v>543</v>
      </c>
      <c r="E1423" t="s">
        <v>523</v>
      </c>
      <c r="F1423">
        <v>4500399924</v>
      </c>
      <c r="G1423" t="s">
        <v>12</v>
      </c>
      <c r="H1423" t="s">
        <v>1064</v>
      </c>
      <c r="I1423" t="s">
        <v>523</v>
      </c>
      <c r="J1423" s="1">
        <v>21526.9</v>
      </c>
      <c r="K1423" s="1">
        <v>21526.9</v>
      </c>
      <c r="L1423" t="str">
        <f>IFERROR(IF(VLOOKUP(LEFT(B1423,2),'Humanitarian codes'!$A$2:$A$10,1,FALSE)=LEFT(B1423,2),"Yes","Error"),"No")</f>
        <v>No</v>
      </c>
      <c r="AE1423" s="1"/>
      <c r="AF1423" s="1"/>
    </row>
    <row r="1424" spans="1:32" hidden="1" x14ac:dyDescent="0.25">
      <c r="A1424" t="s">
        <v>1893</v>
      </c>
      <c r="B1424" t="s">
        <v>623</v>
      </c>
      <c r="C1424" t="s">
        <v>624</v>
      </c>
      <c r="D1424" t="s">
        <v>543</v>
      </c>
      <c r="E1424" t="s">
        <v>903</v>
      </c>
      <c r="F1424">
        <v>4500400575</v>
      </c>
      <c r="G1424" t="s">
        <v>12</v>
      </c>
      <c r="H1424" t="s">
        <v>77</v>
      </c>
      <c r="I1424" t="s">
        <v>903</v>
      </c>
      <c r="J1424" s="1">
        <v>62455.88</v>
      </c>
      <c r="K1424" s="1">
        <v>62455.88</v>
      </c>
      <c r="L1424" t="str">
        <f>IFERROR(IF(VLOOKUP(LEFT(B1424,2),'Humanitarian codes'!$A$2:$A$10,1,FALSE)=LEFT(B1424,2),"Yes","Error"),"No")</f>
        <v>No</v>
      </c>
      <c r="AE1424" s="1"/>
      <c r="AF1424" s="1"/>
    </row>
    <row r="1425" spans="1:32" hidden="1" x14ac:dyDescent="0.25">
      <c r="A1425" t="s">
        <v>1893</v>
      </c>
      <c r="B1425" t="s">
        <v>623</v>
      </c>
      <c r="C1425" t="s">
        <v>624</v>
      </c>
      <c r="D1425" t="s">
        <v>543</v>
      </c>
      <c r="E1425" t="s">
        <v>903</v>
      </c>
      <c r="F1425">
        <v>4500400756</v>
      </c>
      <c r="G1425" t="s">
        <v>12</v>
      </c>
      <c r="H1425" t="s">
        <v>78</v>
      </c>
      <c r="I1425" t="s">
        <v>903</v>
      </c>
      <c r="J1425" s="1">
        <v>57250.52</v>
      </c>
      <c r="K1425" s="1">
        <v>57250.52</v>
      </c>
      <c r="L1425" t="str">
        <f>IFERROR(IF(VLOOKUP(LEFT(B1425,2),'Humanitarian codes'!$A$2:$A$10,1,FALSE)=LEFT(B1425,2),"Yes","Error"),"No")</f>
        <v>No</v>
      </c>
      <c r="AE1425" s="1"/>
      <c r="AF1425" s="1"/>
    </row>
    <row r="1426" spans="1:32" hidden="1" x14ac:dyDescent="0.25">
      <c r="A1426" t="s">
        <v>1893</v>
      </c>
      <c r="B1426" t="s">
        <v>1070</v>
      </c>
      <c r="C1426" t="s">
        <v>1071</v>
      </c>
      <c r="D1426" t="s">
        <v>543</v>
      </c>
      <c r="E1426" t="s">
        <v>54</v>
      </c>
      <c r="F1426">
        <v>4500380643</v>
      </c>
      <c r="G1426" t="s">
        <v>12</v>
      </c>
      <c r="H1426" t="s">
        <v>1858</v>
      </c>
      <c r="I1426" t="s">
        <v>54</v>
      </c>
      <c r="J1426" s="1">
        <v>8354.36</v>
      </c>
      <c r="K1426" s="1">
        <v>8354.36</v>
      </c>
      <c r="L1426" t="str">
        <f>IFERROR(IF(VLOOKUP(LEFT(B1426,2),'Humanitarian codes'!$A$2:$A$10,1,FALSE)=LEFT(B1426,2),"Yes","Error"),"No")</f>
        <v>No</v>
      </c>
      <c r="AE1426" s="1"/>
      <c r="AF1426" s="1"/>
    </row>
    <row r="1427" spans="1:32" hidden="1" x14ac:dyDescent="0.25">
      <c r="A1427" t="s">
        <v>1893</v>
      </c>
      <c r="B1427" t="s">
        <v>1070</v>
      </c>
      <c r="C1427" t="s">
        <v>1071</v>
      </c>
      <c r="D1427" t="s">
        <v>543</v>
      </c>
      <c r="E1427" t="s">
        <v>54</v>
      </c>
      <c r="F1427">
        <v>4500380645</v>
      </c>
      <c r="G1427" t="s">
        <v>12</v>
      </c>
      <c r="H1427" t="s">
        <v>1859</v>
      </c>
      <c r="I1427" t="s">
        <v>54</v>
      </c>
      <c r="J1427" s="1">
        <v>19589.599999999999</v>
      </c>
      <c r="K1427" s="1">
        <v>19589.599999999999</v>
      </c>
      <c r="L1427" t="str">
        <f>IFERROR(IF(VLOOKUP(LEFT(B1427,2),'Humanitarian codes'!$A$2:$A$10,1,FALSE)=LEFT(B1427,2),"Yes","Error"),"No")</f>
        <v>No</v>
      </c>
      <c r="AE1427" s="1"/>
      <c r="AF1427" s="1"/>
    </row>
    <row r="1428" spans="1:32" hidden="1" x14ac:dyDescent="0.25">
      <c r="A1428" t="s">
        <v>1893</v>
      </c>
      <c r="B1428" t="s">
        <v>1070</v>
      </c>
      <c r="C1428" t="s">
        <v>1071</v>
      </c>
      <c r="D1428" t="s">
        <v>543</v>
      </c>
      <c r="E1428" t="s">
        <v>54</v>
      </c>
      <c r="F1428">
        <v>4500380647</v>
      </c>
      <c r="G1428" t="s">
        <v>12</v>
      </c>
      <c r="H1428" t="s">
        <v>789</v>
      </c>
      <c r="I1428" t="s">
        <v>54</v>
      </c>
      <c r="J1428" s="1">
        <v>8164.32</v>
      </c>
      <c r="K1428" s="1">
        <v>8164.32</v>
      </c>
      <c r="L1428" t="str">
        <f>IFERROR(IF(VLOOKUP(LEFT(B1428,2),'Humanitarian codes'!$A$2:$A$10,1,FALSE)=LEFT(B1428,2),"Yes","Error"),"No")</f>
        <v>No</v>
      </c>
      <c r="AE1428" s="1"/>
      <c r="AF1428" s="1"/>
    </row>
    <row r="1429" spans="1:32" hidden="1" x14ac:dyDescent="0.25">
      <c r="A1429" t="s">
        <v>1893</v>
      </c>
      <c r="B1429" t="s">
        <v>634</v>
      </c>
      <c r="C1429" t="s">
        <v>635</v>
      </c>
      <c r="D1429" t="s">
        <v>543</v>
      </c>
      <c r="E1429" t="s">
        <v>477</v>
      </c>
      <c r="F1429">
        <v>4500400763</v>
      </c>
      <c r="G1429" t="s">
        <v>12</v>
      </c>
      <c r="H1429" t="s">
        <v>506</v>
      </c>
      <c r="I1429" t="s">
        <v>477</v>
      </c>
      <c r="J1429" s="1">
        <v>38834.18</v>
      </c>
      <c r="K1429" s="1">
        <v>38834.18</v>
      </c>
      <c r="L1429" t="str">
        <f>IFERROR(IF(VLOOKUP(LEFT(B1429,2),'Humanitarian codes'!$A$2:$A$10,1,FALSE)=LEFT(B1429,2),"Yes","Error"),"No")</f>
        <v>No</v>
      </c>
      <c r="AE1429" s="1"/>
      <c r="AF1429" s="1"/>
    </row>
    <row r="1430" spans="1:32" hidden="1" x14ac:dyDescent="0.25">
      <c r="A1430" t="s">
        <v>1893</v>
      </c>
      <c r="B1430" t="s">
        <v>634</v>
      </c>
      <c r="C1430" t="s">
        <v>635</v>
      </c>
      <c r="D1430" t="s">
        <v>543</v>
      </c>
      <c r="E1430" t="s">
        <v>477</v>
      </c>
      <c r="F1430">
        <v>4500401077</v>
      </c>
      <c r="G1430" t="s">
        <v>12</v>
      </c>
      <c r="H1430" t="s">
        <v>744</v>
      </c>
      <c r="I1430" t="s">
        <v>477</v>
      </c>
      <c r="J1430" s="1">
        <v>38834.18</v>
      </c>
      <c r="K1430" s="1">
        <v>38834.18</v>
      </c>
      <c r="L1430" t="str">
        <f>IFERROR(IF(VLOOKUP(LEFT(B1430,2),'Humanitarian codes'!$A$2:$A$10,1,FALSE)=LEFT(B1430,2),"Yes","Error"),"No")</f>
        <v>No</v>
      </c>
      <c r="AE1430" s="1"/>
      <c r="AF1430" s="1"/>
    </row>
    <row r="1431" spans="1:32" hidden="1" x14ac:dyDescent="0.25">
      <c r="A1431" t="s">
        <v>1893</v>
      </c>
      <c r="B1431" t="s">
        <v>634</v>
      </c>
      <c r="C1431" t="s">
        <v>635</v>
      </c>
      <c r="D1431" t="s">
        <v>543</v>
      </c>
      <c r="E1431" t="s">
        <v>477</v>
      </c>
      <c r="F1431">
        <v>4500401080</v>
      </c>
      <c r="G1431" t="s">
        <v>12</v>
      </c>
      <c r="H1431" t="s">
        <v>1566</v>
      </c>
      <c r="I1431" t="s">
        <v>477</v>
      </c>
      <c r="J1431" s="1">
        <v>38834.18</v>
      </c>
      <c r="K1431" s="1">
        <v>38834.18</v>
      </c>
      <c r="L1431" t="str">
        <f>IFERROR(IF(VLOOKUP(LEFT(B1431,2),'Humanitarian codes'!$A$2:$A$10,1,FALSE)=LEFT(B1431,2),"Yes","Error"),"No")</f>
        <v>No</v>
      </c>
      <c r="AE1431" s="1"/>
      <c r="AF1431" s="1"/>
    </row>
    <row r="1432" spans="1:32" hidden="1" x14ac:dyDescent="0.25">
      <c r="A1432" t="s">
        <v>1893</v>
      </c>
      <c r="B1432" t="s">
        <v>634</v>
      </c>
      <c r="C1432" t="s">
        <v>635</v>
      </c>
      <c r="D1432" t="s">
        <v>543</v>
      </c>
      <c r="E1432" t="s">
        <v>477</v>
      </c>
      <c r="F1432">
        <v>4500401092</v>
      </c>
      <c r="G1432" t="s">
        <v>12</v>
      </c>
      <c r="H1432" t="s">
        <v>611</v>
      </c>
      <c r="I1432" t="s">
        <v>477</v>
      </c>
      <c r="J1432" s="1">
        <v>38834.18</v>
      </c>
      <c r="K1432" s="1">
        <v>38834.18</v>
      </c>
      <c r="L1432" t="str">
        <f>IFERROR(IF(VLOOKUP(LEFT(B1432,2),'Humanitarian codes'!$A$2:$A$10,1,FALSE)=LEFT(B1432,2),"Yes","Error"),"No")</f>
        <v>No</v>
      </c>
      <c r="AE1432" s="1"/>
      <c r="AF1432" s="1"/>
    </row>
    <row r="1433" spans="1:32" hidden="1" x14ac:dyDescent="0.25">
      <c r="A1433" t="s">
        <v>1893</v>
      </c>
      <c r="B1433" t="s">
        <v>1860</v>
      </c>
      <c r="C1433" t="s">
        <v>1861</v>
      </c>
      <c r="D1433" t="s">
        <v>543</v>
      </c>
      <c r="E1433" t="s">
        <v>649</v>
      </c>
      <c r="F1433">
        <v>4500403589</v>
      </c>
      <c r="G1433" t="s">
        <v>12</v>
      </c>
      <c r="H1433" t="s">
        <v>1597</v>
      </c>
      <c r="I1433" t="s">
        <v>649</v>
      </c>
      <c r="J1433" s="1">
        <v>66247.56</v>
      </c>
      <c r="K1433" s="1">
        <v>66247.56</v>
      </c>
      <c r="L1433" t="str">
        <f>IFERROR(IF(VLOOKUP(LEFT(B1433,2),'Humanitarian codes'!$A$2:$A$10,1,FALSE)=LEFT(B1433,2),"Yes","Error"),"No")</f>
        <v>No</v>
      </c>
      <c r="AE1433" s="1"/>
      <c r="AF1433" s="1"/>
    </row>
    <row r="1434" spans="1:32" hidden="1" x14ac:dyDescent="0.25">
      <c r="A1434" t="s">
        <v>1893</v>
      </c>
      <c r="B1434" t="s">
        <v>1862</v>
      </c>
      <c r="C1434" t="s">
        <v>1863</v>
      </c>
      <c r="D1434" t="s">
        <v>543</v>
      </c>
      <c r="E1434" t="s">
        <v>903</v>
      </c>
      <c r="F1434">
        <v>4500395590</v>
      </c>
      <c r="G1434" t="s">
        <v>12</v>
      </c>
      <c r="H1434" t="s">
        <v>80</v>
      </c>
      <c r="I1434" t="s">
        <v>903</v>
      </c>
      <c r="J1434" s="1">
        <v>64216.35</v>
      </c>
      <c r="K1434" s="1">
        <v>64216.35</v>
      </c>
      <c r="L1434" t="str">
        <f>IFERROR(IF(VLOOKUP(LEFT(B1434,2),'Humanitarian codes'!$A$2:$A$10,1,FALSE)=LEFT(B1434,2),"Yes","Error"),"No")</f>
        <v>No</v>
      </c>
      <c r="AE1434" s="1"/>
      <c r="AF1434" s="1"/>
    </row>
    <row r="1435" spans="1:32" hidden="1" x14ac:dyDescent="0.25">
      <c r="A1435" t="s">
        <v>1893</v>
      </c>
      <c r="B1435" t="s">
        <v>1572</v>
      </c>
      <c r="C1435" t="s">
        <v>1573</v>
      </c>
      <c r="D1435" t="s">
        <v>543</v>
      </c>
      <c r="E1435" t="s">
        <v>163</v>
      </c>
      <c r="F1435">
        <v>4500393495</v>
      </c>
      <c r="G1435" t="s">
        <v>12</v>
      </c>
      <c r="H1435" t="s">
        <v>164</v>
      </c>
      <c r="I1435" t="s">
        <v>163</v>
      </c>
      <c r="J1435" s="1">
        <v>55725.9</v>
      </c>
      <c r="K1435" s="1">
        <v>55725.9</v>
      </c>
      <c r="L1435" t="str">
        <f>IFERROR(IF(VLOOKUP(LEFT(B1435,2),'Humanitarian codes'!$A$2:$A$10,1,FALSE)=LEFT(B1435,2),"Yes","Error"),"No")</f>
        <v>No</v>
      </c>
      <c r="AE1435" s="1"/>
      <c r="AF1435" s="1"/>
    </row>
    <row r="1436" spans="1:32" hidden="1" x14ac:dyDescent="0.25">
      <c r="A1436" t="s">
        <v>1893</v>
      </c>
      <c r="B1436" t="s">
        <v>637</v>
      </c>
      <c r="C1436" t="s">
        <v>638</v>
      </c>
      <c r="D1436" t="s">
        <v>543</v>
      </c>
      <c r="E1436" t="s">
        <v>903</v>
      </c>
      <c r="F1436">
        <v>4500403377</v>
      </c>
      <c r="G1436" t="s">
        <v>12</v>
      </c>
      <c r="H1436" t="s">
        <v>80</v>
      </c>
      <c r="I1436" t="s">
        <v>903</v>
      </c>
      <c r="J1436" s="1">
        <v>22035.52</v>
      </c>
      <c r="K1436" s="1">
        <v>73454.86</v>
      </c>
      <c r="L1436" t="str">
        <f>IFERROR(IF(VLOOKUP(LEFT(B1436,2),'Humanitarian codes'!$A$2:$A$10,1,FALSE)=LEFT(B1436,2),"Yes","Error"),"No")</f>
        <v>No</v>
      </c>
      <c r="AE1436" s="1"/>
      <c r="AF1436" s="1"/>
    </row>
    <row r="1437" spans="1:32" hidden="1" x14ac:dyDescent="0.25">
      <c r="A1437" t="s">
        <v>1893</v>
      </c>
      <c r="B1437" t="s">
        <v>1864</v>
      </c>
      <c r="C1437" t="s">
        <v>1865</v>
      </c>
      <c r="D1437" t="s">
        <v>543</v>
      </c>
      <c r="E1437" t="s">
        <v>1866</v>
      </c>
      <c r="F1437">
        <v>4500389680</v>
      </c>
      <c r="G1437" t="s">
        <v>12</v>
      </c>
      <c r="H1437" t="s">
        <v>1867</v>
      </c>
      <c r="I1437" t="s">
        <v>1866</v>
      </c>
      <c r="J1437" s="1">
        <v>51541.38</v>
      </c>
      <c r="K1437" s="1">
        <v>51541.38</v>
      </c>
      <c r="L1437" t="str">
        <f>IFERROR(IF(VLOOKUP(LEFT(B1437,2),'Humanitarian codes'!$A$2:$A$10,1,FALSE)=LEFT(B1437,2),"Yes","Error"),"No")</f>
        <v>No</v>
      </c>
      <c r="AF1437" s="1"/>
    </row>
    <row r="1438" spans="1:32" hidden="1" x14ac:dyDescent="0.25">
      <c r="A1438" t="s">
        <v>1893</v>
      </c>
      <c r="B1438" t="s">
        <v>1864</v>
      </c>
      <c r="C1438" t="s">
        <v>1865</v>
      </c>
      <c r="D1438" t="s">
        <v>543</v>
      </c>
      <c r="E1438" t="s">
        <v>1866</v>
      </c>
      <c r="F1438">
        <v>4500398026</v>
      </c>
      <c r="G1438" t="s">
        <v>12</v>
      </c>
      <c r="H1438" t="s">
        <v>1868</v>
      </c>
      <c r="I1438" t="s">
        <v>751</v>
      </c>
      <c r="J1438" s="1">
        <v>95714</v>
      </c>
      <c r="K1438" s="1">
        <v>95714</v>
      </c>
      <c r="L1438" t="str">
        <f>IFERROR(IF(VLOOKUP(LEFT(B1438,2),'Humanitarian codes'!$A$2:$A$10,1,FALSE)=LEFT(B1438,2),"Yes","Error"),"No")</f>
        <v>No</v>
      </c>
      <c r="AE1438" s="1"/>
      <c r="AF1438" s="1"/>
    </row>
    <row r="1439" spans="1:32" hidden="1" x14ac:dyDescent="0.25">
      <c r="A1439" t="s">
        <v>1893</v>
      </c>
      <c r="B1439" t="s">
        <v>1582</v>
      </c>
      <c r="C1439" t="s">
        <v>1583</v>
      </c>
      <c r="D1439" t="s">
        <v>543</v>
      </c>
      <c r="E1439" t="s">
        <v>500</v>
      </c>
      <c r="F1439">
        <v>4500390569</v>
      </c>
      <c r="G1439" t="s">
        <v>12</v>
      </c>
      <c r="H1439" t="s">
        <v>1869</v>
      </c>
      <c r="I1439" t="s">
        <v>500</v>
      </c>
      <c r="J1439" s="1">
        <v>234346.93</v>
      </c>
      <c r="K1439" s="1">
        <v>234346.93</v>
      </c>
      <c r="L1439" t="str">
        <f>IFERROR(IF(VLOOKUP(LEFT(B1439,2),'Humanitarian codes'!$A$2:$A$10,1,FALSE)=LEFT(B1439,2),"Yes","Error"),"No")</f>
        <v>No</v>
      </c>
      <c r="AE1439" s="1"/>
      <c r="AF1439" s="1"/>
    </row>
    <row r="1440" spans="1:32" hidden="1" x14ac:dyDescent="0.25">
      <c r="A1440" t="s">
        <v>1893</v>
      </c>
      <c r="B1440" t="s">
        <v>1582</v>
      </c>
      <c r="C1440" t="s">
        <v>1583</v>
      </c>
      <c r="D1440" t="s">
        <v>543</v>
      </c>
      <c r="E1440" t="s">
        <v>500</v>
      </c>
      <c r="F1440">
        <v>4500390577</v>
      </c>
      <c r="G1440" t="s">
        <v>12</v>
      </c>
      <c r="H1440" t="s">
        <v>1870</v>
      </c>
      <c r="I1440" t="s">
        <v>500</v>
      </c>
      <c r="J1440" s="1">
        <v>153360.41</v>
      </c>
      <c r="K1440" s="1">
        <v>153360.41</v>
      </c>
      <c r="L1440" t="str">
        <f>IFERROR(IF(VLOOKUP(LEFT(B1440,2),'Humanitarian codes'!$A$2:$A$10,1,FALSE)=LEFT(B1440,2),"Yes","Error"),"No")</f>
        <v>No</v>
      </c>
      <c r="AE1440" s="1"/>
      <c r="AF1440" s="1"/>
    </row>
    <row r="1441" spans="1:32" hidden="1" x14ac:dyDescent="0.25">
      <c r="A1441" t="s">
        <v>1893</v>
      </c>
      <c r="B1441" t="s">
        <v>1590</v>
      </c>
      <c r="C1441" t="s">
        <v>1591</v>
      </c>
      <c r="D1441" t="s">
        <v>543</v>
      </c>
      <c r="E1441" t="s">
        <v>25</v>
      </c>
      <c r="F1441">
        <v>4500388955</v>
      </c>
      <c r="G1441" t="s">
        <v>12</v>
      </c>
      <c r="H1441" t="s">
        <v>1036</v>
      </c>
      <c r="I1441" t="s">
        <v>616</v>
      </c>
      <c r="J1441" s="1">
        <v>233760</v>
      </c>
      <c r="K1441" s="1">
        <v>233760</v>
      </c>
      <c r="L1441" t="str">
        <f>IFERROR(IF(VLOOKUP(LEFT(B1441,2),'Humanitarian codes'!$A$2:$A$10,1,FALSE)=LEFT(B1441,2),"Yes","Error"),"No")</f>
        <v>No</v>
      </c>
      <c r="AE1441" s="1"/>
      <c r="AF1441" s="1"/>
    </row>
    <row r="1442" spans="1:32" hidden="1" x14ac:dyDescent="0.25">
      <c r="A1442" t="s">
        <v>1893</v>
      </c>
      <c r="B1442" t="s">
        <v>1590</v>
      </c>
      <c r="C1442" t="s">
        <v>1591</v>
      </c>
      <c r="D1442" t="s">
        <v>543</v>
      </c>
      <c r="E1442" t="s">
        <v>25</v>
      </c>
      <c r="F1442">
        <v>4500395931</v>
      </c>
      <c r="G1442" t="s">
        <v>12</v>
      </c>
      <c r="H1442" t="s">
        <v>1871</v>
      </c>
      <c r="I1442" t="s">
        <v>463</v>
      </c>
      <c r="J1442" s="1">
        <v>320149</v>
      </c>
      <c r="K1442" s="1">
        <v>320149</v>
      </c>
      <c r="L1442" t="str">
        <f>IFERROR(IF(VLOOKUP(LEFT(B1442,2),'Humanitarian codes'!$A$2:$A$10,1,FALSE)=LEFT(B1442,2),"Yes","Error"),"No")</f>
        <v>No</v>
      </c>
      <c r="AE1442" s="1"/>
      <c r="AF1442" s="1"/>
    </row>
    <row r="1443" spans="1:32" hidden="1" x14ac:dyDescent="0.25">
      <c r="A1443" t="s">
        <v>1893</v>
      </c>
      <c r="B1443" t="s">
        <v>1872</v>
      </c>
      <c r="C1443" t="s">
        <v>1873</v>
      </c>
      <c r="D1443" t="s">
        <v>543</v>
      </c>
      <c r="E1443" t="s">
        <v>25</v>
      </c>
      <c r="F1443">
        <v>4500401975</v>
      </c>
      <c r="G1443" t="s">
        <v>12</v>
      </c>
      <c r="H1443" t="s">
        <v>1874</v>
      </c>
      <c r="I1443" t="s">
        <v>25</v>
      </c>
      <c r="J1443" s="1">
        <v>188459.24</v>
      </c>
      <c r="K1443" s="1">
        <v>188459.24</v>
      </c>
      <c r="L1443" t="str">
        <f>IFERROR(IF(VLOOKUP(LEFT(B1443,2),'Humanitarian codes'!$A$2:$A$10,1,FALSE)=LEFT(B1443,2),"Yes","Error"),"No")</f>
        <v>No</v>
      </c>
      <c r="AE1443" s="1"/>
      <c r="AF1443" s="1"/>
    </row>
    <row r="1444" spans="1:32" hidden="1" x14ac:dyDescent="0.25">
      <c r="A1444" t="s">
        <v>1893</v>
      </c>
      <c r="B1444" t="s">
        <v>1872</v>
      </c>
      <c r="C1444" t="s">
        <v>1873</v>
      </c>
      <c r="D1444" t="s">
        <v>543</v>
      </c>
      <c r="E1444" t="s">
        <v>25</v>
      </c>
      <c r="F1444">
        <v>4500403259</v>
      </c>
      <c r="G1444" t="s">
        <v>12</v>
      </c>
      <c r="H1444" t="s">
        <v>1593</v>
      </c>
      <c r="I1444" t="s">
        <v>25</v>
      </c>
      <c r="J1444" s="1">
        <v>194078.62</v>
      </c>
      <c r="K1444" s="1">
        <v>194078.62</v>
      </c>
      <c r="L1444" t="str">
        <f>IFERROR(IF(VLOOKUP(LEFT(B1444,2),'Humanitarian codes'!$A$2:$A$10,1,FALSE)=LEFT(B1444,2),"Yes","Error"),"No")</f>
        <v>No</v>
      </c>
      <c r="AE1444" s="1"/>
      <c r="AF1444" s="1"/>
    </row>
    <row r="1445" spans="1:32" hidden="1" x14ac:dyDescent="0.25">
      <c r="A1445" t="s">
        <v>1893</v>
      </c>
      <c r="B1445" t="s">
        <v>1872</v>
      </c>
      <c r="C1445" t="s">
        <v>1873</v>
      </c>
      <c r="D1445" t="s">
        <v>543</v>
      </c>
      <c r="E1445" t="s">
        <v>25</v>
      </c>
      <c r="F1445">
        <v>4500404526</v>
      </c>
      <c r="G1445" t="s">
        <v>12</v>
      </c>
      <c r="H1445" t="s">
        <v>1594</v>
      </c>
      <c r="I1445" t="s">
        <v>25</v>
      </c>
      <c r="J1445" s="1">
        <v>197049.22</v>
      </c>
      <c r="K1445" s="1">
        <v>197049.22</v>
      </c>
      <c r="L1445" t="str">
        <f>IFERROR(IF(VLOOKUP(LEFT(B1445,2),'Humanitarian codes'!$A$2:$A$10,1,FALSE)=LEFT(B1445,2),"Yes","Error"),"No")</f>
        <v>No</v>
      </c>
      <c r="AE1445" s="1"/>
      <c r="AF1445" s="1"/>
    </row>
    <row r="1446" spans="1:32" hidden="1" x14ac:dyDescent="0.25">
      <c r="A1446" t="s">
        <v>1893</v>
      </c>
      <c r="B1446" t="s">
        <v>1086</v>
      </c>
      <c r="C1446" t="s">
        <v>1087</v>
      </c>
      <c r="D1446" t="s">
        <v>543</v>
      </c>
      <c r="E1446" t="s">
        <v>890</v>
      </c>
      <c r="F1446">
        <v>4500403416</v>
      </c>
      <c r="G1446" t="s">
        <v>12</v>
      </c>
      <c r="H1446" t="s">
        <v>1875</v>
      </c>
      <c r="I1446" t="s">
        <v>890</v>
      </c>
      <c r="J1446" s="1">
        <v>65000</v>
      </c>
      <c r="K1446" s="1">
        <v>65000</v>
      </c>
      <c r="L1446" t="str">
        <f>IFERROR(IF(VLOOKUP(LEFT(B1446,2),'Humanitarian codes'!$A$2:$A$10,1,FALSE)=LEFT(B1446,2),"Yes","Error"),"No")</f>
        <v>No</v>
      </c>
      <c r="AE1446" s="1"/>
      <c r="AF1446" s="1"/>
    </row>
    <row r="1447" spans="1:32" hidden="1" x14ac:dyDescent="0.25">
      <c r="A1447" t="s">
        <v>1893</v>
      </c>
      <c r="B1447" t="s">
        <v>644</v>
      </c>
      <c r="C1447" t="s">
        <v>645</v>
      </c>
      <c r="D1447" t="s">
        <v>543</v>
      </c>
      <c r="E1447" t="s">
        <v>25</v>
      </c>
      <c r="F1447">
        <v>4500396406</v>
      </c>
      <c r="G1447" t="s">
        <v>12</v>
      </c>
      <c r="H1447" t="s">
        <v>1876</v>
      </c>
      <c r="I1447" t="s">
        <v>25</v>
      </c>
      <c r="J1447" s="1">
        <v>49980</v>
      </c>
      <c r="K1447" s="1">
        <v>49980</v>
      </c>
      <c r="L1447" t="str">
        <f>IFERROR(IF(VLOOKUP(LEFT(B1447,2),'Humanitarian codes'!$A$2:$A$10,1,FALSE)=LEFT(B1447,2),"Yes","Error"),"No")</f>
        <v>No</v>
      </c>
      <c r="AE1447" s="1"/>
      <c r="AF1447" s="1"/>
    </row>
    <row r="1448" spans="1:32" hidden="1" x14ac:dyDescent="0.25">
      <c r="A1448" t="s">
        <v>1893</v>
      </c>
      <c r="B1448" t="s">
        <v>1877</v>
      </c>
      <c r="C1448" t="s">
        <v>1878</v>
      </c>
      <c r="D1448" t="s">
        <v>543</v>
      </c>
      <c r="E1448" t="s">
        <v>1454</v>
      </c>
      <c r="F1448">
        <v>4500403562</v>
      </c>
      <c r="G1448" t="s">
        <v>12</v>
      </c>
      <c r="H1448" t="s">
        <v>1036</v>
      </c>
      <c r="I1448" t="s">
        <v>1454</v>
      </c>
      <c r="J1448" s="1">
        <v>1000638.32</v>
      </c>
      <c r="K1448" s="1">
        <v>1000638.32</v>
      </c>
      <c r="L1448" t="str">
        <f>IFERROR(IF(VLOOKUP(LEFT(B1448,2),'Humanitarian codes'!$A$2:$A$10,1,FALSE)=LEFT(B1448,2),"Yes","Error"),"No")</f>
        <v>No</v>
      </c>
      <c r="AE1448" s="1"/>
      <c r="AF1448" s="1"/>
    </row>
    <row r="1449" spans="1:32" hidden="1" x14ac:dyDescent="0.25">
      <c r="A1449" t="s">
        <v>1893</v>
      </c>
      <c r="B1449" t="s">
        <v>669</v>
      </c>
      <c r="C1449" t="s">
        <v>670</v>
      </c>
      <c r="D1449" t="s">
        <v>30</v>
      </c>
      <c r="E1449" t="s">
        <v>261</v>
      </c>
      <c r="F1449">
        <v>4500386548</v>
      </c>
      <c r="G1449" t="s">
        <v>12</v>
      </c>
      <c r="H1449" t="s">
        <v>1611</v>
      </c>
      <c r="I1449" t="s">
        <v>261</v>
      </c>
      <c r="J1449" s="1">
        <v>307288.93</v>
      </c>
      <c r="K1449" s="1">
        <v>307288.93</v>
      </c>
      <c r="L1449" t="str">
        <f>IFERROR(IF(VLOOKUP(LEFT(B1449,2),'Humanitarian codes'!$A$2:$A$10,1,FALSE)=LEFT(B1449,2),"Yes","Error"),"No")</f>
        <v>No</v>
      </c>
      <c r="AE1449" s="1"/>
      <c r="AF1449" s="1"/>
    </row>
    <row r="1450" spans="1:32" hidden="1" x14ac:dyDescent="0.25">
      <c r="A1450" t="s">
        <v>1893</v>
      </c>
      <c r="B1450" t="s">
        <v>1110</v>
      </c>
      <c r="C1450" t="s">
        <v>1111</v>
      </c>
      <c r="D1450" t="s">
        <v>1112</v>
      </c>
      <c r="E1450" t="s">
        <v>261</v>
      </c>
      <c r="F1450">
        <v>4500383442</v>
      </c>
      <c r="G1450" t="s">
        <v>12</v>
      </c>
      <c r="H1450" t="s">
        <v>1879</v>
      </c>
      <c r="I1450" t="s">
        <v>261</v>
      </c>
      <c r="J1450" s="1">
        <v>6644000</v>
      </c>
      <c r="K1450" s="1">
        <v>6644000</v>
      </c>
      <c r="L1450" t="str">
        <f>IFERROR(IF(VLOOKUP(LEFT(B1450,2),'Humanitarian codes'!$A$2:$A$10,1,FALSE)=LEFT(B1450,2),"Yes","Error"),"No")</f>
        <v>No</v>
      </c>
      <c r="AE1450" s="1"/>
      <c r="AF1450" s="1"/>
    </row>
    <row r="1451" spans="1:32" hidden="1" x14ac:dyDescent="0.25">
      <c r="A1451" t="s">
        <v>1893</v>
      </c>
      <c r="B1451" t="s">
        <v>1110</v>
      </c>
      <c r="C1451" t="s">
        <v>1111</v>
      </c>
      <c r="D1451" t="s">
        <v>1112</v>
      </c>
      <c r="E1451" t="s">
        <v>261</v>
      </c>
      <c r="F1451">
        <v>4500390076</v>
      </c>
      <c r="G1451" t="s">
        <v>12</v>
      </c>
      <c r="H1451" t="s">
        <v>1030</v>
      </c>
      <c r="I1451" t="s">
        <v>261</v>
      </c>
      <c r="J1451" s="1">
        <v>136094.66</v>
      </c>
      <c r="K1451" s="1">
        <v>136094.66</v>
      </c>
      <c r="L1451" t="str">
        <f>IFERROR(IF(VLOOKUP(LEFT(B1451,2),'Humanitarian codes'!$A$2:$A$10,1,FALSE)=LEFT(B1451,2),"Yes","Error"),"No")</f>
        <v>No</v>
      </c>
      <c r="AE1451" s="1"/>
      <c r="AF1451" s="1"/>
    </row>
    <row r="1452" spans="1:32" hidden="1" x14ac:dyDescent="0.25">
      <c r="A1452" t="s">
        <v>1893</v>
      </c>
      <c r="B1452" t="s">
        <v>671</v>
      </c>
      <c r="C1452" t="s">
        <v>672</v>
      </c>
      <c r="D1452" t="s">
        <v>543</v>
      </c>
      <c r="E1452" t="s">
        <v>449</v>
      </c>
      <c r="F1452">
        <v>4500394832</v>
      </c>
      <c r="G1452" t="s">
        <v>12</v>
      </c>
      <c r="H1452" t="s">
        <v>1880</v>
      </c>
      <c r="I1452" t="s">
        <v>449</v>
      </c>
      <c r="J1452" s="1">
        <v>22349.200000000001</v>
      </c>
      <c r="K1452" s="1">
        <v>22349.200000000001</v>
      </c>
      <c r="L1452" t="str">
        <f>IFERROR(IF(VLOOKUP(LEFT(B1452,2),'Humanitarian codes'!$A$2:$A$10,1,FALSE)=LEFT(B1452,2),"Yes","Error"),"No")</f>
        <v>No</v>
      </c>
      <c r="AE1452" s="1"/>
      <c r="AF1452" s="1"/>
    </row>
    <row r="1453" spans="1:32" hidden="1" x14ac:dyDescent="0.25">
      <c r="A1453" t="s">
        <v>1893</v>
      </c>
      <c r="B1453" t="s">
        <v>671</v>
      </c>
      <c r="C1453" t="s">
        <v>672</v>
      </c>
      <c r="D1453" t="s">
        <v>543</v>
      </c>
      <c r="E1453" t="s">
        <v>11</v>
      </c>
      <c r="F1453">
        <v>4500382426</v>
      </c>
      <c r="G1453" t="s">
        <v>12</v>
      </c>
      <c r="H1453" t="s">
        <v>1881</v>
      </c>
      <c r="I1453" t="s">
        <v>11</v>
      </c>
      <c r="J1453" s="1">
        <v>189000</v>
      </c>
      <c r="K1453" s="1">
        <v>189000</v>
      </c>
      <c r="L1453" t="str">
        <f>IFERROR(IF(VLOOKUP(LEFT(B1453,2),'Humanitarian codes'!$A$2:$A$10,1,FALSE)=LEFT(B1453,2),"Yes","Error"),"No")</f>
        <v>No</v>
      </c>
      <c r="AE1453" s="1"/>
      <c r="AF1453" s="1"/>
    </row>
    <row r="1454" spans="1:32" hidden="1" x14ac:dyDescent="0.25">
      <c r="A1454" t="s">
        <v>1893</v>
      </c>
      <c r="B1454" t="s">
        <v>671</v>
      </c>
      <c r="C1454" t="s">
        <v>672</v>
      </c>
      <c r="D1454" t="s">
        <v>543</v>
      </c>
      <c r="E1454" t="s">
        <v>11</v>
      </c>
      <c r="F1454">
        <v>4500390629</v>
      </c>
      <c r="G1454" t="s">
        <v>12</v>
      </c>
      <c r="H1454" t="s">
        <v>1882</v>
      </c>
      <c r="I1454" t="s">
        <v>11</v>
      </c>
      <c r="J1454" s="1">
        <v>120000</v>
      </c>
      <c r="K1454" s="1">
        <v>120000</v>
      </c>
      <c r="L1454" t="str">
        <f>IFERROR(IF(VLOOKUP(LEFT(B1454,2),'Humanitarian codes'!$A$2:$A$10,1,FALSE)=LEFT(B1454,2),"Yes","Error"),"No")</f>
        <v>No</v>
      </c>
      <c r="AE1454" s="1"/>
      <c r="AF1454" s="1"/>
    </row>
    <row r="1455" spans="1:32" hidden="1" x14ac:dyDescent="0.25">
      <c r="A1455" t="s">
        <v>1893</v>
      </c>
      <c r="B1455" t="s">
        <v>671</v>
      </c>
      <c r="C1455" t="s">
        <v>672</v>
      </c>
      <c r="D1455" t="s">
        <v>543</v>
      </c>
      <c r="E1455" t="s">
        <v>11</v>
      </c>
      <c r="F1455">
        <v>4500396971</v>
      </c>
      <c r="G1455" t="s">
        <v>12</v>
      </c>
      <c r="H1455" t="s">
        <v>1177</v>
      </c>
      <c r="I1455" t="s">
        <v>11</v>
      </c>
      <c r="J1455" s="1">
        <v>290000</v>
      </c>
      <c r="K1455" s="1">
        <v>290000</v>
      </c>
      <c r="L1455" t="str">
        <f>IFERROR(IF(VLOOKUP(LEFT(B1455,2),'Humanitarian codes'!$A$2:$A$10,1,FALSE)=LEFT(B1455,2),"Yes","Error"),"No")</f>
        <v>No</v>
      </c>
      <c r="AE1455" s="1"/>
      <c r="AF1455" s="1"/>
    </row>
    <row r="1456" spans="1:32" hidden="1" x14ac:dyDescent="0.25">
      <c r="A1456" t="s">
        <v>1893</v>
      </c>
      <c r="B1456" t="s">
        <v>686</v>
      </c>
      <c r="C1456" t="s">
        <v>687</v>
      </c>
      <c r="D1456" t="s">
        <v>543</v>
      </c>
      <c r="E1456" t="s">
        <v>493</v>
      </c>
      <c r="F1456">
        <v>4500404617</v>
      </c>
      <c r="G1456" t="s">
        <v>12</v>
      </c>
      <c r="H1456" t="s">
        <v>1234</v>
      </c>
      <c r="I1456" t="s">
        <v>493</v>
      </c>
      <c r="J1456" s="1">
        <v>7583.97</v>
      </c>
      <c r="K1456" s="1">
        <v>7583.97</v>
      </c>
      <c r="L1456" t="str">
        <f>IFERROR(IF(VLOOKUP(LEFT(B1456,2),'Humanitarian codes'!$A$2:$A$10,1,FALSE)=LEFT(B1456,2),"Yes","Error"),"No")</f>
        <v>No</v>
      </c>
      <c r="AE1456" s="1"/>
      <c r="AF1456" s="1"/>
    </row>
    <row r="1457" spans="1:32" hidden="1" x14ac:dyDescent="0.25">
      <c r="A1457" t="s">
        <v>1893</v>
      </c>
      <c r="B1457" t="s">
        <v>686</v>
      </c>
      <c r="C1457" t="s">
        <v>687</v>
      </c>
      <c r="D1457" t="s">
        <v>543</v>
      </c>
      <c r="E1457" t="s">
        <v>20</v>
      </c>
      <c r="F1457">
        <v>4500387915</v>
      </c>
      <c r="G1457" t="s">
        <v>12</v>
      </c>
      <c r="H1457" t="s">
        <v>1883</v>
      </c>
      <c r="I1457" t="s">
        <v>20</v>
      </c>
      <c r="J1457" s="1">
        <v>12188.13</v>
      </c>
      <c r="K1457" s="1">
        <v>12188.13</v>
      </c>
      <c r="L1457" t="str">
        <f>IFERROR(IF(VLOOKUP(LEFT(B1457,2),'Humanitarian codes'!$A$2:$A$10,1,FALSE)=LEFT(B1457,2),"Yes","Error"),"No")</f>
        <v>No</v>
      </c>
      <c r="AE1457" s="1"/>
      <c r="AF1457" s="1"/>
    </row>
    <row r="1458" spans="1:32" x14ac:dyDescent="0.25">
      <c r="A1458" t="s">
        <v>1893</v>
      </c>
      <c r="B1458" t="s">
        <v>1141</v>
      </c>
      <c r="C1458" t="s">
        <v>1142</v>
      </c>
      <c r="D1458" t="s">
        <v>30</v>
      </c>
      <c r="E1458" t="s">
        <v>123</v>
      </c>
      <c r="F1458">
        <v>4500388310</v>
      </c>
      <c r="G1458" t="s">
        <v>12</v>
      </c>
      <c r="H1458" t="s">
        <v>124</v>
      </c>
      <c r="I1458" t="s">
        <v>123</v>
      </c>
      <c r="J1458" s="1">
        <v>86922.02</v>
      </c>
      <c r="K1458" s="1">
        <v>86922.02</v>
      </c>
      <c r="L1458" t="str">
        <f>IFERROR(IF(VLOOKUP(LEFT(B1458,2),'Humanitarian codes'!$A$2:$A$10,1,FALSE)=LEFT(B1458,2),"Yes","Error"),"No")</f>
        <v>Yes</v>
      </c>
      <c r="AE1458" s="1"/>
      <c r="AF1458" s="1"/>
    </row>
    <row r="1459" spans="1:32" x14ac:dyDescent="0.25">
      <c r="A1459" t="s">
        <v>1893</v>
      </c>
      <c r="B1459" t="s">
        <v>1141</v>
      </c>
      <c r="C1459" t="s">
        <v>1142</v>
      </c>
      <c r="D1459" t="s">
        <v>30</v>
      </c>
      <c r="E1459" t="s">
        <v>123</v>
      </c>
      <c r="F1459">
        <v>4500396792</v>
      </c>
      <c r="G1459" t="s">
        <v>12</v>
      </c>
      <c r="H1459" t="s">
        <v>1280</v>
      </c>
      <c r="I1459" t="s">
        <v>123</v>
      </c>
      <c r="J1459" s="1">
        <v>35007.57</v>
      </c>
      <c r="K1459" s="1">
        <v>35007.57</v>
      </c>
      <c r="L1459" t="str">
        <f>IFERROR(IF(VLOOKUP(LEFT(B1459,2),'Humanitarian codes'!$A$2:$A$10,1,FALSE)=LEFT(B1459,2),"Yes","Error"),"No")</f>
        <v>Yes</v>
      </c>
      <c r="AE1459" s="1"/>
      <c r="AF1459" s="1"/>
    </row>
    <row r="1460" spans="1:32" x14ac:dyDescent="0.25">
      <c r="A1460" t="s">
        <v>1893</v>
      </c>
      <c r="B1460" t="s">
        <v>1884</v>
      </c>
      <c r="C1460" t="s">
        <v>1885</v>
      </c>
      <c r="D1460" t="s">
        <v>30</v>
      </c>
      <c r="E1460" t="s">
        <v>123</v>
      </c>
      <c r="F1460">
        <v>4500384231</v>
      </c>
      <c r="G1460" t="s">
        <v>12</v>
      </c>
      <c r="H1460" t="s">
        <v>1886</v>
      </c>
      <c r="I1460" t="s">
        <v>123</v>
      </c>
      <c r="J1460" s="1">
        <v>2227779.14</v>
      </c>
      <c r="K1460" s="1">
        <v>2227779.14</v>
      </c>
      <c r="L1460" t="str">
        <f>IFERROR(IF(VLOOKUP(LEFT(B1460,2),'Humanitarian codes'!$A$2:$A$10,1,FALSE)=LEFT(B1460,2),"Yes","Error"),"No")</f>
        <v>Yes</v>
      </c>
      <c r="AE1460" s="1"/>
      <c r="AF1460" s="1"/>
    </row>
    <row r="1461" spans="1:32" x14ac:dyDescent="0.25">
      <c r="A1461" t="s">
        <v>1893</v>
      </c>
      <c r="B1461" t="s">
        <v>1143</v>
      </c>
      <c r="C1461" t="s">
        <v>1144</v>
      </c>
      <c r="D1461" t="s">
        <v>30</v>
      </c>
      <c r="E1461" t="s">
        <v>54</v>
      </c>
      <c r="F1461">
        <v>4500380871</v>
      </c>
      <c r="G1461" t="s">
        <v>12</v>
      </c>
      <c r="H1461" t="s">
        <v>277</v>
      </c>
      <c r="I1461" t="s">
        <v>54</v>
      </c>
      <c r="J1461" s="1">
        <v>38973.03</v>
      </c>
      <c r="K1461" s="1">
        <v>177150.13</v>
      </c>
      <c r="L1461" t="str">
        <f>IFERROR(IF(VLOOKUP(LEFT(B1461,2),'Humanitarian codes'!$A$2:$A$10,1,FALSE)=LEFT(B1461,2),"Yes","Error"),"No")</f>
        <v>Yes</v>
      </c>
      <c r="AE1461" s="1"/>
      <c r="AF1461" s="1"/>
    </row>
    <row r="1462" spans="1:32" x14ac:dyDescent="0.25">
      <c r="A1462" t="s">
        <v>1893</v>
      </c>
      <c r="B1462" t="s">
        <v>1143</v>
      </c>
      <c r="C1462" t="s">
        <v>1144</v>
      </c>
      <c r="D1462" t="s">
        <v>30</v>
      </c>
      <c r="E1462" t="s">
        <v>54</v>
      </c>
      <c r="F1462">
        <v>4500382064</v>
      </c>
      <c r="G1462" t="s">
        <v>12</v>
      </c>
      <c r="H1462" t="s">
        <v>1728</v>
      </c>
      <c r="I1462" t="s">
        <v>54</v>
      </c>
      <c r="J1462" s="1">
        <v>53820.800000000003</v>
      </c>
      <c r="K1462" s="1">
        <v>107641.60000000001</v>
      </c>
      <c r="L1462" t="str">
        <f>IFERROR(IF(VLOOKUP(LEFT(B1462,2),'Humanitarian codes'!$A$2:$A$10,1,FALSE)=LEFT(B1462,2),"Yes","Error"),"No")</f>
        <v>Yes</v>
      </c>
      <c r="AE1462" s="1"/>
      <c r="AF1462" s="1"/>
    </row>
    <row r="1463" spans="1:32" x14ac:dyDescent="0.25">
      <c r="A1463" t="s">
        <v>1893</v>
      </c>
      <c r="B1463" t="s">
        <v>1143</v>
      </c>
      <c r="C1463" t="s">
        <v>1144</v>
      </c>
      <c r="D1463" t="s">
        <v>30</v>
      </c>
      <c r="E1463" t="s">
        <v>54</v>
      </c>
      <c r="F1463">
        <v>4500393259</v>
      </c>
      <c r="G1463" t="s">
        <v>12</v>
      </c>
      <c r="H1463" t="s">
        <v>418</v>
      </c>
      <c r="I1463" t="s">
        <v>54</v>
      </c>
      <c r="J1463" s="1">
        <v>68034.210000000006</v>
      </c>
      <c r="K1463" s="1">
        <v>68034.210000000006</v>
      </c>
      <c r="L1463" t="str">
        <f>IFERROR(IF(VLOOKUP(LEFT(B1463,2),'Humanitarian codes'!$A$2:$A$10,1,FALSE)=LEFT(B1463,2),"Yes","Error"),"No")</f>
        <v>Yes</v>
      </c>
      <c r="AE1463" s="1"/>
      <c r="AF1463" s="1"/>
    </row>
    <row r="1464" spans="1:32" x14ac:dyDescent="0.25">
      <c r="A1464" t="s">
        <v>1893</v>
      </c>
      <c r="B1464" t="s">
        <v>1887</v>
      </c>
      <c r="C1464" t="s">
        <v>1888</v>
      </c>
      <c r="D1464" t="s">
        <v>30</v>
      </c>
      <c r="E1464" t="s">
        <v>1485</v>
      </c>
      <c r="F1464">
        <v>4500392008</v>
      </c>
      <c r="G1464" t="s">
        <v>12</v>
      </c>
      <c r="H1464" t="s">
        <v>1889</v>
      </c>
      <c r="I1464" t="s">
        <v>1485</v>
      </c>
      <c r="J1464" s="1">
        <v>288000</v>
      </c>
      <c r="K1464" s="1">
        <v>288000</v>
      </c>
      <c r="L1464" t="str">
        <f>IFERROR(IF(VLOOKUP(LEFT(B1464,2),'Humanitarian codes'!$A$2:$A$10,1,FALSE)=LEFT(B1464,2),"Yes","Error"),"No")</f>
        <v>Yes</v>
      </c>
      <c r="AE1464" s="1"/>
      <c r="AF1464" s="1"/>
    </row>
    <row r="1465" spans="1:32" hidden="1" x14ac:dyDescent="0.25">
      <c r="A1465" t="s">
        <v>1893</v>
      </c>
      <c r="B1465" t="s">
        <v>1890</v>
      </c>
      <c r="C1465" t="s">
        <v>1891</v>
      </c>
      <c r="D1465" t="s">
        <v>9</v>
      </c>
      <c r="E1465" t="s">
        <v>402</v>
      </c>
      <c r="F1465">
        <v>4500398953</v>
      </c>
      <c r="G1465" t="s">
        <v>12</v>
      </c>
      <c r="H1465" t="s">
        <v>1892</v>
      </c>
      <c r="I1465" t="s">
        <v>402</v>
      </c>
      <c r="J1465" s="1">
        <v>376595.95</v>
      </c>
      <c r="K1465" s="1">
        <v>376595.95</v>
      </c>
      <c r="L1465" t="str">
        <f>IFERROR(IF(VLOOKUP(LEFT(B1465,2),'Humanitarian codes'!$A$2:$A$10,1,FALSE)=LEFT(B1465,2),"Yes","Error"),"No")</f>
        <v>No</v>
      </c>
      <c r="AE1465" s="1"/>
      <c r="AF1465" s="1"/>
    </row>
    <row r="1466" spans="1:32" x14ac:dyDescent="0.25">
      <c r="A1466" t="s">
        <v>1893</v>
      </c>
      <c r="B1466" t="s">
        <v>66</v>
      </c>
      <c r="C1466" t="s">
        <v>67</v>
      </c>
      <c r="D1466" t="s">
        <v>30</v>
      </c>
      <c r="E1466" t="s">
        <v>1166</v>
      </c>
      <c r="F1466">
        <v>4500397151</v>
      </c>
      <c r="G1466" t="s">
        <v>713</v>
      </c>
      <c r="H1466" t="s">
        <v>1894</v>
      </c>
      <c r="I1466" t="s">
        <v>1166</v>
      </c>
      <c r="J1466" s="1">
        <v>27734.13</v>
      </c>
      <c r="K1466" s="1">
        <v>27734.13</v>
      </c>
      <c r="L1466" t="str">
        <f>IFERROR(IF(VLOOKUP(LEFT(B1466,2),'Humanitarian codes'!$A$2:$A$10,1,FALSE)=LEFT(B1466,2),"Yes","Error"),"No")</f>
        <v>Yes</v>
      </c>
      <c r="AE1466" s="1"/>
      <c r="AF1466" s="1"/>
    </row>
    <row r="1467" spans="1:32" x14ac:dyDescent="0.25">
      <c r="A1467" t="s">
        <v>1893</v>
      </c>
      <c r="B1467" t="s">
        <v>1262</v>
      </c>
      <c r="C1467" t="s">
        <v>1263</v>
      </c>
      <c r="D1467" t="s">
        <v>30</v>
      </c>
      <c r="E1467" t="s">
        <v>167</v>
      </c>
      <c r="F1467">
        <v>4500393575</v>
      </c>
      <c r="G1467" t="s">
        <v>713</v>
      </c>
      <c r="H1467" t="s">
        <v>521</v>
      </c>
      <c r="I1467" t="s">
        <v>167</v>
      </c>
      <c r="J1467" s="1">
        <v>69421.67</v>
      </c>
      <c r="K1467" s="1">
        <v>69421.67</v>
      </c>
      <c r="L1467" t="str">
        <f>IFERROR(IF(VLOOKUP(LEFT(B1467,2),'Humanitarian codes'!$A$2:$A$10,1,FALSE)=LEFT(B1467,2),"Yes","Error"),"No")</f>
        <v>Yes</v>
      </c>
      <c r="AE1467" s="1"/>
      <c r="AF1467" s="1"/>
    </row>
    <row r="1468" spans="1:32" x14ac:dyDescent="0.25">
      <c r="A1468" t="s">
        <v>1893</v>
      </c>
      <c r="B1468" t="s">
        <v>722</v>
      </c>
      <c r="C1468" t="s">
        <v>723</v>
      </c>
      <c r="D1468" t="s">
        <v>30</v>
      </c>
      <c r="E1468" t="s">
        <v>717</v>
      </c>
      <c r="F1468">
        <v>4500381896</v>
      </c>
      <c r="G1468" t="s">
        <v>713</v>
      </c>
      <c r="H1468" t="s">
        <v>1161</v>
      </c>
      <c r="I1468" t="s">
        <v>717</v>
      </c>
      <c r="J1468" s="1">
        <v>71849.25</v>
      </c>
      <c r="K1468" s="1">
        <v>71849.25</v>
      </c>
      <c r="L1468" t="str">
        <f>IFERROR(IF(VLOOKUP(LEFT(B1468,2),'Humanitarian codes'!$A$2:$A$10,1,FALSE)=LEFT(B1468,2),"Yes","Error"),"No")</f>
        <v>Yes</v>
      </c>
      <c r="AE1468" s="1"/>
      <c r="AF1468" s="1"/>
    </row>
    <row r="1469" spans="1:32" x14ac:dyDescent="0.25">
      <c r="A1469" t="s">
        <v>1893</v>
      </c>
      <c r="B1469" t="s">
        <v>722</v>
      </c>
      <c r="C1469" t="s">
        <v>723</v>
      </c>
      <c r="D1469" t="s">
        <v>30</v>
      </c>
      <c r="E1469" t="s">
        <v>717</v>
      </c>
      <c r="F1469">
        <v>4500384240</v>
      </c>
      <c r="G1469" t="s">
        <v>713</v>
      </c>
      <c r="H1469" t="s">
        <v>1155</v>
      </c>
      <c r="I1469" t="s">
        <v>717</v>
      </c>
      <c r="J1469" s="1">
        <v>88111.97</v>
      </c>
      <c r="K1469" s="1">
        <v>88111.97</v>
      </c>
      <c r="L1469" t="str">
        <f>IFERROR(IF(VLOOKUP(LEFT(B1469,2),'Humanitarian codes'!$A$2:$A$10,1,FALSE)=LEFT(B1469,2),"Yes","Error"),"No")</f>
        <v>Yes</v>
      </c>
      <c r="AE1469" s="1"/>
      <c r="AF1469" s="1"/>
    </row>
    <row r="1470" spans="1:32" x14ac:dyDescent="0.25">
      <c r="A1470" t="s">
        <v>1893</v>
      </c>
      <c r="B1470" t="s">
        <v>722</v>
      </c>
      <c r="C1470" t="s">
        <v>723</v>
      </c>
      <c r="D1470" t="s">
        <v>30</v>
      </c>
      <c r="E1470" t="s">
        <v>717</v>
      </c>
      <c r="F1470">
        <v>4500405372</v>
      </c>
      <c r="G1470" t="s">
        <v>713</v>
      </c>
      <c r="H1470" t="s">
        <v>728</v>
      </c>
      <c r="I1470" t="s">
        <v>717</v>
      </c>
      <c r="J1470" s="1">
        <v>117642.37</v>
      </c>
      <c r="K1470" s="1">
        <v>117642.37</v>
      </c>
      <c r="L1470" t="str">
        <f>IFERROR(IF(VLOOKUP(LEFT(B1470,2),'Humanitarian codes'!$A$2:$A$10,1,FALSE)=LEFT(B1470,2),"Yes","Error"),"No")</f>
        <v>Yes</v>
      </c>
      <c r="AE1470" s="1"/>
      <c r="AF1470" s="1"/>
    </row>
    <row r="1471" spans="1:32" x14ac:dyDescent="0.25">
      <c r="A1471" t="s">
        <v>1893</v>
      </c>
      <c r="B1471" t="s">
        <v>722</v>
      </c>
      <c r="C1471" t="s">
        <v>723</v>
      </c>
      <c r="D1471" t="s">
        <v>30</v>
      </c>
      <c r="E1471" t="s">
        <v>717</v>
      </c>
      <c r="F1471">
        <v>4500405386</v>
      </c>
      <c r="G1471" t="s">
        <v>713</v>
      </c>
      <c r="H1471" t="s">
        <v>724</v>
      </c>
      <c r="I1471" t="s">
        <v>717</v>
      </c>
      <c r="J1471" s="1">
        <v>95698.27</v>
      </c>
      <c r="K1471" s="1">
        <v>95698.27</v>
      </c>
      <c r="L1471" t="str">
        <f>IFERROR(IF(VLOOKUP(LEFT(B1471,2),'Humanitarian codes'!$A$2:$A$10,1,FALSE)=LEFT(B1471,2),"Yes","Error"),"No")</f>
        <v>Yes</v>
      </c>
      <c r="AE1471" s="1"/>
      <c r="AF1471" s="1"/>
    </row>
    <row r="1472" spans="1:32" x14ac:dyDescent="0.25">
      <c r="A1472" t="s">
        <v>1893</v>
      </c>
      <c r="B1472" t="s">
        <v>722</v>
      </c>
      <c r="C1472" t="s">
        <v>723</v>
      </c>
      <c r="D1472" t="s">
        <v>30</v>
      </c>
      <c r="E1472" t="s">
        <v>717</v>
      </c>
      <c r="F1472">
        <v>4500405403</v>
      </c>
      <c r="G1472" t="s">
        <v>713</v>
      </c>
      <c r="H1472" t="s">
        <v>1895</v>
      </c>
      <c r="I1472" t="s">
        <v>717</v>
      </c>
      <c r="J1472" s="1">
        <v>122119.02</v>
      </c>
      <c r="K1472" s="1">
        <v>122119.02</v>
      </c>
      <c r="L1472" t="str">
        <f>IFERROR(IF(VLOOKUP(LEFT(B1472,2),'Humanitarian codes'!$A$2:$A$10,1,FALSE)=LEFT(B1472,2),"Yes","Error"),"No")</f>
        <v>Yes</v>
      </c>
      <c r="AE1472" s="1"/>
      <c r="AF1472" s="1"/>
    </row>
    <row r="1473" spans="1:32" x14ac:dyDescent="0.25">
      <c r="A1473" t="s">
        <v>1893</v>
      </c>
      <c r="B1473" t="s">
        <v>722</v>
      </c>
      <c r="C1473" t="s">
        <v>723</v>
      </c>
      <c r="D1473" t="s">
        <v>30</v>
      </c>
      <c r="E1473" t="s">
        <v>717</v>
      </c>
      <c r="F1473">
        <v>4500405428</v>
      </c>
      <c r="G1473" t="s">
        <v>713</v>
      </c>
      <c r="H1473" t="s">
        <v>1156</v>
      </c>
      <c r="I1473" t="s">
        <v>717</v>
      </c>
      <c r="J1473" s="1">
        <v>98670</v>
      </c>
      <c r="K1473" s="1">
        <v>98670</v>
      </c>
      <c r="L1473" t="str">
        <f>IFERROR(IF(VLOOKUP(LEFT(B1473,2),'Humanitarian codes'!$A$2:$A$10,1,FALSE)=LEFT(B1473,2),"Yes","Error"),"No")</f>
        <v>Yes</v>
      </c>
      <c r="AE1473" s="1"/>
      <c r="AF1473" s="1"/>
    </row>
    <row r="1474" spans="1:32" x14ac:dyDescent="0.25">
      <c r="A1474" t="s">
        <v>1893</v>
      </c>
      <c r="B1474" t="s">
        <v>722</v>
      </c>
      <c r="C1474" t="s">
        <v>723</v>
      </c>
      <c r="D1474" t="s">
        <v>30</v>
      </c>
      <c r="E1474" t="s">
        <v>717</v>
      </c>
      <c r="F1474">
        <v>4500405434</v>
      </c>
      <c r="G1474" t="s">
        <v>713</v>
      </c>
      <c r="H1474" t="s">
        <v>720</v>
      </c>
      <c r="I1474" t="s">
        <v>717</v>
      </c>
      <c r="J1474" s="1">
        <v>134144.6</v>
      </c>
      <c r="K1474" s="1">
        <v>134144.6</v>
      </c>
      <c r="L1474" t="str">
        <f>IFERROR(IF(VLOOKUP(LEFT(B1474,2),'Humanitarian codes'!$A$2:$A$10,1,FALSE)=LEFT(B1474,2),"Yes","Error"),"No")</f>
        <v>Yes</v>
      </c>
      <c r="AE1474" s="1"/>
      <c r="AF1474" s="1"/>
    </row>
    <row r="1475" spans="1:32" x14ac:dyDescent="0.25">
      <c r="A1475" t="s">
        <v>1893</v>
      </c>
      <c r="B1475" t="s">
        <v>130</v>
      </c>
      <c r="C1475" t="s">
        <v>131</v>
      </c>
      <c r="D1475" t="s">
        <v>30</v>
      </c>
      <c r="E1475" t="s">
        <v>132</v>
      </c>
      <c r="F1475">
        <v>4500390760</v>
      </c>
      <c r="G1475" t="s">
        <v>713</v>
      </c>
      <c r="H1475" t="s">
        <v>133</v>
      </c>
      <c r="I1475" t="s">
        <v>132</v>
      </c>
      <c r="J1475" s="1">
        <v>37989.5</v>
      </c>
      <c r="K1475" s="1">
        <v>37989.5</v>
      </c>
      <c r="L1475" t="str">
        <f>IFERROR(IF(VLOOKUP(LEFT(B1475,2),'Humanitarian codes'!$A$2:$A$10,1,FALSE)=LEFT(B1475,2),"Yes","Error"),"No")</f>
        <v>Yes</v>
      </c>
      <c r="AE1475" s="1"/>
      <c r="AF1475" s="1"/>
    </row>
    <row r="1476" spans="1:32" x14ac:dyDescent="0.25">
      <c r="A1476" t="s">
        <v>1893</v>
      </c>
      <c r="B1476" t="s">
        <v>1356</v>
      </c>
      <c r="C1476" t="s">
        <v>1357</v>
      </c>
      <c r="D1476" t="s">
        <v>30</v>
      </c>
      <c r="E1476" t="s">
        <v>717</v>
      </c>
      <c r="F1476">
        <v>4500387850</v>
      </c>
      <c r="G1476" t="s">
        <v>713</v>
      </c>
      <c r="H1476" t="s">
        <v>1896</v>
      </c>
      <c r="I1476" t="s">
        <v>717</v>
      </c>
      <c r="J1476" s="1">
        <v>59993.88</v>
      </c>
      <c r="K1476" s="1">
        <v>73993.88</v>
      </c>
      <c r="L1476" t="str">
        <f>IFERROR(IF(VLOOKUP(LEFT(B1476,2),'Humanitarian codes'!$A$2:$A$10,1,FALSE)=LEFT(B1476,2),"Yes","Error"),"No")</f>
        <v>Yes</v>
      </c>
      <c r="AE1476" s="1"/>
      <c r="AF1476" s="1"/>
    </row>
    <row r="1477" spans="1:32" x14ac:dyDescent="0.25">
      <c r="A1477" t="s">
        <v>1893</v>
      </c>
      <c r="B1477" t="s">
        <v>1356</v>
      </c>
      <c r="C1477" t="s">
        <v>1357</v>
      </c>
      <c r="D1477" t="s">
        <v>30</v>
      </c>
      <c r="E1477" t="s">
        <v>717</v>
      </c>
      <c r="F1477">
        <v>4500387859</v>
      </c>
      <c r="G1477" t="s">
        <v>713</v>
      </c>
      <c r="H1477" t="s">
        <v>1897</v>
      </c>
      <c r="I1477" t="s">
        <v>717</v>
      </c>
      <c r="J1477" s="1">
        <v>60000</v>
      </c>
      <c r="K1477" s="1">
        <v>74000</v>
      </c>
      <c r="L1477" t="str">
        <f>IFERROR(IF(VLOOKUP(LEFT(B1477,2),'Humanitarian codes'!$A$2:$A$10,1,FALSE)=LEFT(B1477,2),"Yes","Error"),"No")</f>
        <v>Yes</v>
      </c>
      <c r="AE1477" s="1"/>
      <c r="AF1477" s="1"/>
    </row>
    <row r="1478" spans="1:32" x14ac:dyDescent="0.25">
      <c r="A1478" t="s">
        <v>1893</v>
      </c>
      <c r="B1478" t="s">
        <v>1356</v>
      </c>
      <c r="C1478" t="s">
        <v>1357</v>
      </c>
      <c r="D1478" t="s">
        <v>30</v>
      </c>
      <c r="E1478" t="s">
        <v>717</v>
      </c>
      <c r="F1478">
        <v>4500389675</v>
      </c>
      <c r="G1478" t="s">
        <v>713</v>
      </c>
      <c r="H1478" t="s">
        <v>1160</v>
      </c>
      <c r="I1478" t="s">
        <v>717</v>
      </c>
      <c r="J1478" s="1">
        <v>76000</v>
      </c>
      <c r="K1478" s="1">
        <v>76000</v>
      </c>
      <c r="L1478" t="str">
        <f>IFERROR(IF(VLOOKUP(LEFT(B1478,2),'Humanitarian codes'!$A$2:$A$10,1,FALSE)=LEFT(B1478,2),"Yes","Error"),"No")</f>
        <v>Yes</v>
      </c>
      <c r="AE1478" s="1"/>
      <c r="AF1478" s="1"/>
    </row>
    <row r="1479" spans="1:32" x14ac:dyDescent="0.25">
      <c r="A1479" t="s">
        <v>1893</v>
      </c>
      <c r="B1479" t="s">
        <v>1356</v>
      </c>
      <c r="C1479" t="s">
        <v>1357</v>
      </c>
      <c r="D1479" t="s">
        <v>30</v>
      </c>
      <c r="E1479" t="s">
        <v>717</v>
      </c>
      <c r="F1479">
        <v>4500392099</v>
      </c>
      <c r="G1479" t="s">
        <v>713</v>
      </c>
      <c r="H1479" t="s">
        <v>1898</v>
      </c>
      <c r="I1479" t="s">
        <v>717</v>
      </c>
      <c r="J1479" s="1">
        <v>187883.5</v>
      </c>
      <c r="K1479" s="1">
        <v>187883.5</v>
      </c>
      <c r="L1479" t="str">
        <f>IFERROR(IF(VLOOKUP(LEFT(B1479,2),'Humanitarian codes'!$A$2:$A$10,1,FALSE)=LEFT(B1479,2),"Yes","Error"),"No")</f>
        <v>Yes</v>
      </c>
      <c r="AE1479" s="1"/>
      <c r="AF1479" s="1"/>
    </row>
    <row r="1480" spans="1:32" x14ac:dyDescent="0.25">
      <c r="A1480" t="s">
        <v>1893</v>
      </c>
      <c r="B1480" t="s">
        <v>1356</v>
      </c>
      <c r="C1480" t="s">
        <v>1357</v>
      </c>
      <c r="D1480" t="s">
        <v>30</v>
      </c>
      <c r="E1480" t="s">
        <v>717</v>
      </c>
      <c r="F1480">
        <v>4500392121</v>
      </c>
      <c r="G1480" t="s">
        <v>713</v>
      </c>
      <c r="H1480" t="s">
        <v>725</v>
      </c>
      <c r="I1480" t="s">
        <v>717</v>
      </c>
      <c r="J1480" s="1">
        <v>195379.5</v>
      </c>
      <c r="K1480" s="1">
        <v>195379.5</v>
      </c>
      <c r="L1480" t="str">
        <f>IFERROR(IF(VLOOKUP(LEFT(B1480,2),'Humanitarian codes'!$A$2:$A$10,1,FALSE)=LEFT(B1480,2),"Yes","Error"),"No")</f>
        <v>Yes</v>
      </c>
      <c r="AF1480" s="1"/>
    </row>
    <row r="1481" spans="1:32" hidden="1" x14ac:dyDescent="0.25">
      <c r="A1481" t="s">
        <v>1893</v>
      </c>
      <c r="B1481" t="s">
        <v>1396</v>
      </c>
      <c r="C1481" t="s">
        <v>1397</v>
      </c>
      <c r="D1481" t="s">
        <v>30</v>
      </c>
      <c r="E1481" t="s">
        <v>123</v>
      </c>
      <c r="F1481">
        <v>4500401263</v>
      </c>
      <c r="G1481" t="s">
        <v>713</v>
      </c>
      <c r="H1481" t="s">
        <v>1899</v>
      </c>
      <c r="I1481" t="s">
        <v>123</v>
      </c>
      <c r="J1481" s="1">
        <v>51500.99</v>
      </c>
      <c r="K1481" s="1">
        <v>51500.99</v>
      </c>
      <c r="L1481" t="str">
        <f>IFERROR(IF(VLOOKUP(LEFT(B1481,2),'Humanitarian codes'!$A$2:$A$10,1,FALSE)=LEFT(B1481,2),"Yes","Error"),"No")</f>
        <v>No</v>
      </c>
      <c r="AE1481" s="1"/>
      <c r="AF1481" s="1"/>
    </row>
    <row r="1482" spans="1:32" hidden="1" x14ac:dyDescent="0.25">
      <c r="A1482" t="s">
        <v>1893</v>
      </c>
      <c r="B1482" t="s">
        <v>634</v>
      </c>
      <c r="C1482" t="s">
        <v>635</v>
      </c>
      <c r="D1482" t="s">
        <v>543</v>
      </c>
      <c r="E1482" t="s">
        <v>477</v>
      </c>
      <c r="F1482">
        <v>4500398641</v>
      </c>
      <c r="G1482" t="s">
        <v>713</v>
      </c>
      <c r="H1482" t="s">
        <v>1900</v>
      </c>
      <c r="I1482" t="s">
        <v>477</v>
      </c>
      <c r="J1482" s="1">
        <v>38834.18</v>
      </c>
      <c r="K1482" s="1">
        <v>38834.18</v>
      </c>
      <c r="L1482" t="str">
        <f>IFERROR(IF(VLOOKUP(LEFT(B1482,2),'Humanitarian codes'!$A$2:$A$10,1,FALSE)=LEFT(B1482,2),"Yes","Error"),"No")</f>
        <v>No</v>
      </c>
      <c r="AE1482" s="1"/>
      <c r="AF1482" s="1"/>
    </row>
    <row r="1483" spans="1:32" hidden="1" x14ac:dyDescent="0.25">
      <c r="A1483" t="s">
        <v>1893</v>
      </c>
      <c r="B1483" t="s">
        <v>1110</v>
      </c>
      <c r="C1483" t="s">
        <v>1111</v>
      </c>
      <c r="D1483" t="s">
        <v>1112</v>
      </c>
      <c r="E1483" t="s">
        <v>261</v>
      </c>
      <c r="F1483">
        <v>4500384294</v>
      </c>
      <c r="G1483" t="s">
        <v>713</v>
      </c>
      <c r="H1483" t="s">
        <v>1901</v>
      </c>
      <c r="I1483" t="s">
        <v>261</v>
      </c>
      <c r="J1483" s="1">
        <v>254326.16</v>
      </c>
      <c r="K1483" s="1">
        <v>254326.16</v>
      </c>
      <c r="L1483" t="str">
        <f>IFERROR(IF(VLOOKUP(LEFT(B1483,2),'Humanitarian codes'!$A$2:$A$10,1,FALSE)=LEFT(B1483,2),"Yes","Error"),"No")</f>
        <v>No</v>
      </c>
      <c r="AE1483" s="1"/>
      <c r="AF1483" s="1"/>
    </row>
    <row r="1484" spans="1:32" x14ac:dyDescent="0.25">
      <c r="A1484" t="s">
        <v>1893</v>
      </c>
      <c r="B1484" t="s">
        <v>1642</v>
      </c>
      <c r="C1484" t="s">
        <v>1643</v>
      </c>
      <c r="D1484" t="s">
        <v>30</v>
      </c>
      <c r="E1484" t="s">
        <v>717</v>
      </c>
      <c r="F1484">
        <v>4500387850</v>
      </c>
      <c r="G1484" t="s">
        <v>713</v>
      </c>
      <c r="H1484" t="s">
        <v>1896</v>
      </c>
      <c r="I1484" t="s">
        <v>717</v>
      </c>
      <c r="J1484" s="1">
        <v>14000</v>
      </c>
      <c r="K1484" s="1">
        <v>73993.88</v>
      </c>
      <c r="L1484" t="str">
        <f>IFERROR(IF(VLOOKUP(LEFT(B1484,2),'Humanitarian codes'!$A$2:$A$10,1,FALSE)=LEFT(B1484,2),"Yes","Error"),"No")</f>
        <v>Yes</v>
      </c>
      <c r="AE1484" s="1"/>
      <c r="AF1484" s="1"/>
    </row>
    <row r="1485" spans="1:32" x14ac:dyDescent="0.25">
      <c r="A1485" t="s">
        <v>1893</v>
      </c>
      <c r="B1485" t="s">
        <v>1642</v>
      </c>
      <c r="C1485" t="s">
        <v>1643</v>
      </c>
      <c r="D1485" t="s">
        <v>30</v>
      </c>
      <c r="E1485" t="s">
        <v>717</v>
      </c>
      <c r="F1485">
        <v>4500387859</v>
      </c>
      <c r="G1485" t="s">
        <v>713</v>
      </c>
      <c r="H1485" t="s">
        <v>1897</v>
      </c>
      <c r="I1485" t="s">
        <v>717</v>
      </c>
      <c r="J1485" s="1">
        <v>14000</v>
      </c>
      <c r="K1485" s="1">
        <v>74000</v>
      </c>
      <c r="L1485" t="str">
        <f>IFERROR(IF(VLOOKUP(LEFT(B1485,2),'Humanitarian codes'!$A$2:$A$10,1,FALSE)=LEFT(B1485,2),"Yes","Error"),"No")</f>
        <v>Yes</v>
      </c>
      <c r="AE1485" s="1"/>
      <c r="AF1485" s="1"/>
    </row>
    <row r="1486" spans="1:32" x14ac:dyDescent="0.25">
      <c r="A1486" t="s">
        <v>1893</v>
      </c>
      <c r="B1486" t="s">
        <v>1642</v>
      </c>
      <c r="C1486" t="s">
        <v>1643</v>
      </c>
      <c r="D1486" t="s">
        <v>30</v>
      </c>
      <c r="E1486" t="s">
        <v>717</v>
      </c>
      <c r="F1486">
        <v>4500405380</v>
      </c>
      <c r="G1486" t="s">
        <v>713</v>
      </c>
      <c r="H1486" t="s">
        <v>728</v>
      </c>
      <c r="I1486" t="s">
        <v>717</v>
      </c>
      <c r="J1486" s="1">
        <v>75245</v>
      </c>
      <c r="K1486" s="1">
        <v>75245</v>
      </c>
      <c r="L1486" t="str">
        <f>IFERROR(IF(VLOOKUP(LEFT(B1486,2),'Humanitarian codes'!$A$2:$A$10,1,FALSE)=LEFT(B1486,2),"Yes","Error"),"No")</f>
        <v>Yes</v>
      </c>
      <c r="AE1486" s="1"/>
      <c r="AF1486" s="1"/>
    </row>
    <row r="1487" spans="1:32" hidden="1" x14ac:dyDescent="0.25">
      <c r="A1487" t="s">
        <v>1893</v>
      </c>
      <c r="B1487" t="s">
        <v>1890</v>
      </c>
      <c r="C1487" t="s">
        <v>1891</v>
      </c>
      <c r="D1487" t="s">
        <v>9</v>
      </c>
      <c r="E1487" t="s">
        <v>402</v>
      </c>
      <c r="F1487">
        <v>4500398196</v>
      </c>
      <c r="G1487" t="s">
        <v>713</v>
      </c>
      <c r="H1487" t="s">
        <v>1902</v>
      </c>
      <c r="I1487" t="s">
        <v>402</v>
      </c>
      <c r="J1487" s="1">
        <v>32502.7</v>
      </c>
      <c r="K1487" s="1">
        <v>32502.7</v>
      </c>
      <c r="L1487" t="str">
        <f>IFERROR(IF(VLOOKUP(LEFT(B1487,2),'Humanitarian codes'!$A$2:$A$10,1,FALSE)=LEFT(B1487,2),"Yes","Error"),"No")</f>
        <v>No</v>
      </c>
      <c r="AE1487" s="1"/>
      <c r="AF1487" s="1"/>
    </row>
    <row r="1488" spans="1:32" hidden="1" x14ac:dyDescent="0.25">
      <c r="A1488" t="s">
        <v>1893</v>
      </c>
      <c r="B1488" t="s">
        <v>1890</v>
      </c>
      <c r="C1488" t="s">
        <v>1891</v>
      </c>
      <c r="D1488" t="s">
        <v>9</v>
      </c>
      <c r="E1488" t="s">
        <v>402</v>
      </c>
      <c r="F1488">
        <v>4500398218</v>
      </c>
      <c r="G1488" t="s">
        <v>713</v>
      </c>
      <c r="H1488" t="s">
        <v>1903</v>
      </c>
      <c r="I1488" t="s">
        <v>402</v>
      </c>
      <c r="J1488" s="1">
        <v>32502.7</v>
      </c>
      <c r="K1488" s="1">
        <v>32502.7</v>
      </c>
      <c r="L1488" t="str">
        <f>IFERROR(IF(VLOOKUP(LEFT(B1488,2),'Humanitarian codes'!$A$2:$A$10,1,FALSE)=LEFT(B1488,2),"Yes","Error"),"No")</f>
        <v>No</v>
      </c>
      <c r="AE1488" s="1"/>
      <c r="AF1488" s="1"/>
    </row>
    <row r="1489" spans="1:32" hidden="1" x14ac:dyDescent="0.25">
      <c r="A1489" t="s">
        <v>1893</v>
      </c>
      <c r="B1489" t="s">
        <v>1890</v>
      </c>
      <c r="C1489" t="s">
        <v>1891</v>
      </c>
      <c r="D1489" t="s">
        <v>9</v>
      </c>
      <c r="E1489" t="s">
        <v>402</v>
      </c>
      <c r="F1489">
        <v>4500398226</v>
      </c>
      <c r="G1489" t="s">
        <v>713</v>
      </c>
      <c r="H1489" t="s">
        <v>1904</v>
      </c>
      <c r="I1489" t="s">
        <v>402</v>
      </c>
      <c r="J1489" s="1">
        <v>32502.7</v>
      </c>
      <c r="K1489" s="1">
        <v>32502.7</v>
      </c>
      <c r="L1489" t="str">
        <f>IFERROR(IF(VLOOKUP(LEFT(B1489,2),'Humanitarian codes'!$A$2:$A$10,1,FALSE)=LEFT(B1489,2),"Yes","Error"),"No")</f>
        <v>No</v>
      </c>
      <c r="AE1489" s="1"/>
      <c r="AF1489" s="1"/>
    </row>
    <row r="1490" spans="1:32" hidden="1" x14ac:dyDescent="0.25">
      <c r="A1490" t="s">
        <v>1893</v>
      </c>
      <c r="B1490" t="s">
        <v>1890</v>
      </c>
      <c r="C1490" t="s">
        <v>1891</v>
      </c>
      <c r="D1490" t="s">
        <v>9</v>
      </c>
      <c r="E1490" t="s">
        <v>402</v>
      </c>
      <c r="F1490">
        <v>4500398552</v>
      </c>
      <c r="G1490" t="s">
        <v>713</v>
      </c>
      <c r="H1490" t="s">
        <v>1905</v>
      </c>
      <c r="I1490" t="s">
        <v>402</v>
      </c>
      <c r="J1490" s="1">
        <v>32502.7</v>
      </c>
      <c r="K1490" s="1">
        <v>32502.7</v>
      </c>
      <c r="L1490" t="str">
        <f>IFERROR(IF(VLOOKUP(LEFT(B1490,2),'Humanitarian codes'!$A$2:$A$10,1,FALSE)=LEFT(B1490,2),"Yes","Error"),"No")</f>
        <v>No</v>
      </c>
      <c r="AE1490" s="1"/>
      <c r="AF1490" s="1"/>
    </row>
    <row r="1491" spans="1:32" hidden="1" x14ac:dyDescent="0.25">
      <c r="A1491" t="s">
        <v>1893</v>
      </c>
      <c r="B1491" t="s">
        <v>1890</v>
      </c>
      <c r="C1491" t="s">
        <v>1891</v>
      </c>
      <c r="D1491" t="s">
        <v>9</v>
      </c>
      <c r="E1491" t="s">
        <v>402</v>
      </c>
      <c r="F1491">
        <v>4500398937</v>
      </c>
      <c r="G1491" t="s">
        <v>713</v>
      </c>
      <c r="H1491" t="s">
        <v>1906</v>
      </c>
      <c r="I1491" t="s">
        <v>402</v>
      </c>
      <c r="J1491" s="1">
        <v>32502.7</v>
      </c>
      <c r="K1491" s="1">
        <v>32502.7</v>
      </c>
      <c r="L1491" t="str">
        <f>IFERROR(IF(VLOOKUP(LEFT(B1491,2),'Humanitarian codes'!$A$2:$A$10,1,FALSE)=LEFT(B1491,2),"Yes","Error"),"No")</f>
        <v>No</v>
      </c>
      <c r="AE1491" s="1"/>
      <c r="AF1491" s="1"/>
    </row>
    <row r="1492" spans="1:32" x14ac:dyDescent="0.25">
      <c r="AE1492" s="1"/>
      <c r="AF1492" s="1"/>
    </row>
    <row r="1493" spans="1:32" x14ac:dyDescent="0.25">
      <c r="AE1493" s="1"/>
      <c r="AF1493" s="1"/>
    </row>
    <row r="1494" spans="1:32" x14ac:dyDescent="0.25">
      <c r="AF1494" s="1"/>
    </row>
    <row r="1495" spans="1:32" x14ac:dyDescent="0.25">
      <c r="AE1495" s="1"/>
      <c r="AF1495" s="1"/>
    </row>
    <row r="1496" spans="1:32" x14ac:dyDescent="0.25">
      <c r="AE1496" s="1"/>
      <c r="AF1496" s="1"/>
    </row>
    <row r="1497" spans="1:32" x14ac:dyDescent="0.25">
      <c r="AE1497" s="1"/>
      <c r="AF1497" s="1"/>
    </row>
    <row r="1498" spans="1:32" x14ac:dyDescent="0.25">
      <c r="AF1498" s="1"/>
    </row>
    <row r="1499" spans="1:32" x14ac:dyDescent="0.25">
      <c r="AE1499" s="1"/>
      <c r="AF1499" s="1"/>
    </row>
    <row r="1500" spans="1:32" x14ac:dyDescent="0.25">
      <c r="AE1500" s="1"/>
      <c r="AF1500" s="1"/>
    </row>
    <row r="1501" spans="1:32" x14ac:dyDescent="0.25">
      <c r="AE1501" s="1"/>
      <c r="AF1501" s="1"/>
    </row>
    <row r="1502" spans="1:32" x14ac:dyDescent="0.25">
      <c r="AE1502" s="1"/>
      <c r="AF1502" s="1"/>
    </row>
    <row r="1503" spans="1:32" x14ac:dyDescent="0.25">
      <c r="AE1503" s="1"/>
      <c r="AF1503" s="1"/>
    </row>
    <row r="1504" spans="1:32" x14ac:dyDescent="0.25">
      <c r="AE1504" s="1"/>
      <c r="AF1504" s="1"/>
    </row>
    <row r="1505" spans="31:32" x14ac:dyDescent="0.25">
      <c r="AF1505" s="1"/>
    </row>
    <row r="1506" spans="31:32" x14ac:dyDescent="0.25">
      <c r="AE1506" s="1"/>
      <c r="AF1506" s="1"/>
    </row>
    <row r="1507" spans="31:32" x14ac:dyDescent="0.25">
      <c r="AE1507" s="1"/>
      <c r="AF1507" s="1"/>
    </row>
    <row r="1508" spans="31:32" x14ac:dyDescent="0.25">
      <c r="AE1508" s="1"/>
      <c r="AF1508" s="1"/>
    </row>
    <row r="1509" spans="31:32" x14ac:dyDescent="0.25">
      <c r="AE1509" s="1"/>
      <c r="AF1509" s="1"/>
    </row>
    <row r="1510" spans="31:32" x14ac:dyDescent="0.25">
      <c r="AE1510" s="1"/>
      <c r="AF1510" s="1"/>
    </row>
    <row r="1511" spans="31:32" x14ac:dyDescent="0.25">
      <c r="AE1511" s="1"/>
      <c r="AF1511" s="1"/>
    </row>
    <row r="1512" spans="31:32" x14ac:dyDescent="0.25">
      <c r="AE1512" s="1"/>
      <c r="AF1512" s="1"/>
    </row>
    <row r="1513" spans="31:32" x14ac:dyDescent="0.25">
      <c r="AE1513" s="1"/>
      <c r="AF1513" s="1"/>
    </row>
    <row r="1514" spans="31:32" x14ac:dyDescent="0.25">
      <c r="AE1514" s="1"/>
      <c r="AF1514" s="1"/>
    </row>
    <row r="1515" spans="31:32" x14ac:dyDescent="0.25">
      <c r="AF1515" s="1"/>
    </row>
    <row r="1516" spans="31:32" x14ac:dyDescent="0.25">
      <c r="AE1516" s="1"/>
      <c r="AF1516" s="1"/>
    </row>
    <row r="1517" spans="31:32" x14ac:dyDescent="0.25">
      <c r="AE1517" s="1"/>
      <c r="AF1517" s="1"/>
    </row>
    <row r="1518" spans="31:32" x14ac:dyDescent="0.25">
      <c r="AF1518" s="1"/>
    </row>
    <row r="1519" spans="31:32" x14ac:dyDescent="0.25">
      <c r="AE1519" s="1"/>
      <c r="AF1519" s="1"/>
    </row>
    <row r="1520" spans="31:32" x14ac:dyDescent="0.25">
      <c r="AE1520" s="1"/>
      <c r="AF1520" s="1"/>
    </row>
    <row r="1521" spans="31:32" x14ac:dyDescent="0.25">
      <c r="AE1521" s="1"/>
      <c r="AF1521" s="1"/>
    </row>
    <row r="1522" spans="31:32" x14ac:dyDescent="0.25">
      <c r="AE1522" s="1"/>
      <c r="AF1522" s="1"/>
    </row>
    <row r="1523" spans="31:32" x14ac:dyDescent="0.25">
      <c r="AE1523" s="1"/>
      <c r="AF1523" s="1"/>
    </row>
    <row r="1524" spans="31:32" x14ac:dyDescent="0.25">
      <c r="AE1524" s="1"/>
      <c r="AF1524" s="1"/>
    </row>
    <row r="1525" spans="31:32" x14ac:dyDescent="0.25">
      <c r="AE1525" s="1"/>
      <c r="AF1525" s="1"/>
    </row>
    <row r="1526" spans="31:32" x14ac:dyDescent="0.25">
      <c r="AE1526" s="1"/>
      <c r="AF1526" s="1"/>
    </row>
    <row r="1527" spans="31:32" x14ac:dyDescent="0.25">
      <c r="AE1527" s="1"/>
      <c r="AF1527" s="1"/>
    </row>
    <row r="1528" spans="31:32" x14ac:dyDescent="0.25">
      <c r="AE1528" s="1"/>
      <c r="AF1528" s="1"/>
    </row>
    <row r="1529" spans="31:32" x14ac:dyDescent="0.25">
      <c r="AE1529" s="1"/>
      <c r="AF1529" s="1"/>
    </row>
    <row r="1530" spans="31:32" x14ac:dyDescent="0.25">
      <c r="AE1530" s="1"/>
      <c r="AF1530" s="1"/>
    </row>
    <row r="1531" spans="31:32" x14ac:dyDescent="0.25">
      <c r="AE1531" s="1"/>
      <c r="AF1531" s="1"/>
    </row>
    <row r="1532" spans="31:32" x14ac:dyDescent="0.25">
      <c r="AE1532" s="1"/>
      <c r="AF1532" s="1"/>
    </row>
    <row r="1533" spans="31:32" x14ac:dyDescent="0.25">
      <c r="AE1533" s="1"/>
      <c r="AF1533" s="1"/>
    </row>
    <row r="1534" spans="31:32" x14ac:dyDescent="0.25">
      <c r="AE1534" s="1"/>
      <c r="AF1534" s="1"/>
    </row>
    <row r="1535" spans="31:32" x14ac:dyDescent="0.25">
      <c r="AE1535" s="1"/>
      <c r="AF1535" s="1"/>
    </row>
    <row r="1536" spans="31:32" x14ac:dyDescent="0.25">
      <c r="AE1536" s="1"/>
      <c r="AF1536" s="1"/>
    </row>
    <row r="1537" spans="31:32" x14ac:dyDescent="0.25">
      <c r="AE1537" s="1"/>
      <c r="AF1537" s="1"/>
    </row>
    <row r="1538" spans="31:32" x14ac:dyDescent="0.25">
      <c r="AE1538" s="1"/>
      <c r="AF1538" s="1"/>
    </row>
    <row r="1539" spans="31:32" x14ac:dyDescent="0.25">
      <c r="AE1539" s="1"/>
      <c r="AF1539" s="1"/>
    </row>
    <row r="1540" spans="31:32" x14ac:dyDescent="0.25">
      <c r="AE1540" s="1"/>
      <c r="AF1540" s="1"/>
    </row>
    <row r="1541" spans="31:32" x14ac:dyDescent="0.25">
      <c r="AE1541" s="1"/>
      <c r="AF1541" s="1"/>
    </row>
    <row r="1542" spans="31:32" x14ac:dyDescent="0.25">
      <c r="AE1542" s="1"/>
      <c r="AF1542" s="1"/>
    </row>
    <row r="1543" spans="31:32" x14ac:dyDescent="0.25">
      <c r="AE1543" s="1"/>
      <c r="AF1543" s="1"/>
    </row>
    <row r="1544" spans="31:32" x14ac:dyDescent="0.25">
      <c r="AE1544" s="1"/>
      <c r="AF1544" s="1"/>
    </row>
    <row r="1545" spans="31:32" x14ac:dyDescent="0.25">
      <c r="AE1545" s="1"/>
      <c r="AF1545" s="1"/>
    </row>
    <row r="1546" spans="31:32" x14ac:dyDescent="0.25">
      <c r="AE1546" s="1"/>
      <c r="AF1546" s="1"/>
    </row>
    <row r="1547" spans="31:32" x14ac:dyDescent="0.25">
      <c r="AE1547" s="1"/>
      <c r="AF1547" s="1"/>
    </row>
    <row r="1548" spans="31:32" x14ac:dyDescent="0.25">
      <c r="AE1548" s="1"/>
      <c r="AF1548" s="1"/>
    </row>
    <row r="1549" spans="31:32" x14ac:dyDescent="0.25">
      <c r="AE1549" s="1"/>
      <c r="AF1549" s="1"/>
    </row>
    <row r="1550" spans="31:32" x14ac:dyDescent="0.25">
      <c r="AE1550" s="1"/>
      <c r="AF1550" s="1"/>
    </row>
    <row r="1551" spans="31:32" x14ac:dyDescent="0.25">
      <c r="AE1551" s="1"/>
      <c r="AF1551" s="1"/>
    </row>
    <row r="1552" spans="31:32" x14ac:dyDescent="0.25">
      <c r="AE1552" s="1"/>
      <c r="AF1552" s="1"/>
    </row>
    <row r="1553" spans="31:32" x14ac:dyDescent="0.25">
      <c r="AE1553" s="1"/>
      <c r="AF1553" s="1"/>
    </row>
    <row r="1554" spans="31:32" x14ac:dyDescent="0.25">
      <c r="AE1554" s="1"/>
      <c r="AF1554" s="1"/>
    </row>
    <row r="1555" spans="31:32" x14ac:dyDescent="0.25">
      <c r="AE1555" s="1"/>
      <c r="AF1555" s="1"/>
    </row>
    <row r="1556" spans="31:32" x14ac:dyDescent="0.25">
      <c r="AE1556" s="1"/>
      <c r="AF1556" s="1"/>
    </row>
    <row r="1557" spans="31:32" x14ac:dyDescent="0.25">
      <c r="AE1557" s="1"/>
      <c r="AF1557" s="1"/>
    </row>
    <row r="1558" spans="31:32" x14ac:dyDescent="0.25">
      <c r="AE1558" s="1"/>
      <c r="AF1558" s="1"/>
    </row>
    <row r="1559" spans="31:32" x14ac:dyDescent="0.25">
      <c r="AE1559" s="1"/>
      <c r="AF1559" s="1"/>
    </row>
    <row r="1560" spans="31:32" x14ac:dyDescent="0.25">
      <c r="AE1560" s="1"/>
      <c r="AF1560" s="1"/>
    </row>
    <row r="1561" spans="31:32" x14ac:dyDescent="0.25">
      <c r="AE1561" s="1"/>
      <c r="AF1561" s="1"/>
    </row>
    <row r="1562" spans="31:32" x14ac:dyDescent="0.25">
      <c r="AE1562" s="1"/>
      <c r="AF1562" s="1"/>
    </row>
    <row r="1563" spans="31:32" x14ac:dyDescent="0.25">
      <c r="AF1563" s="1"/>
    </row>
    <row r="1564" spans="31:32" x14ac:dyDescent="0.25">
      <c r="AE1564" s="1"/>
      <c r="AF1564" s="1"/>
    </row>
    <row r="1565" spans="31:32" x14ac:dyDescent="0.25">
      <c r="AE1565" s="1"/>
      <c r="AF1565" s="1"/>
    </row>
    <row r="1566" spans="31:32" x14ac:dyDescent="0.25">
      <c r="AE1566" s="1"/>
      <c r="AF1566" s="1"/>
    </row>
    <row r="1567" spans="31:32" x14ac:dyDescent="0.25">
      <c r="AE1567" s="1"/>
      <c r="AF1567" s="1"/>
    </row>
    <row r="1568" spans="31:32" x14ac:dyDescent="0.25">
      <c r="AE1568" s="1"/>
      <c r="AF1568" s="1"/>
    </row>
    <row r="1569" spans="31:32" x14ac:dyDescent="0.25">
      <c r="AE1569" s="1"/>
      <c r="AF1569" s="1"/>
    </row>
    <row r="1570" spans="31:32" x14ac:dyDescent="0.25">
      <c r="AE1570" s="1"/>
      <c r="AF1570" s="1"/>
    </row>
    <row r="1571" spans="31:32" x14ac:dyDescent="0.25">
      <c r="AE1571" s="1"/>
      <c r="AF1571" s="1"/>
    </row>
    <row r="1572" spans="31:32" x14ac:dyDescent="0.25">
      <c r="AF1572" s="1"/>
    </row>
    <row r="1573" spans="31:32" x14ac:dyDescent="0.25">
      <c r="AE1573" s="1"/>
      <c r="AF1573" s="1"/>
    </row>
    <row r="1574" spans="31:32" x14ac:dyDescent="0.25">
      <c r="AE1574" s="1"/>
      <c r="AF1574" s="1"/>
    </row>
    <row r="1575" spans="31:32" x14ac:dyDescent="0.25">
      <c r="AE1575" s="1"/>
      <c r="AF1575" s="1"/>
    </row>
    <row r="1576" spans="31:32" x14ac:dyDescent="0.25">
      <c r="AE1576" s="1"/>
      <c r="AF1576" s="1"/>
    </row>
    <row r="1577" spans="31:32" x14ac:dyDescent="0.25">
      <c r="AE1577" s="1"/>
      <c r="AF1577" s="1"/>
    </row>
    <row r="1578" spans="31:32" x14ac:dyDescent="0.25">
      <c r="AE1578" s="1"/>
      <c r="AF1578" s="1"/>
    </row>
    <row r="1579" spans="31:32" x14ac:dyDescent="0.25">
      <c r="AE1579" s="1"/>
      <c r="AF1579" s="1"/>
    </row>
    <row r="1580" spans="31:32" x14ac:dyDescent="0.25">
      <c r="AE1580" s="1"/>
      <c r="AF1580" s="1"/>
    </row>
    <row r="1581" spans="31:32" x14ac:dyDescent="0.25">
      <c r="AE1581" s="1"/>
      <c r="AF1581" s="1"/>
    </row>
    <row r="1582" spans="31:32" x14ac:dyDescent="0.25">
      <c r="AE1582" s="1"/>
      <c r="AF1582" s="1"/>
    </row>
    <row r="1583" spans="31:32" x14ac:dyDescent="0.25">
      <c r="AE1583" s="1"/>
      <c r="AF1583" s="1"/>
    </row>
    <row r="1584" spans="31:32" x14ac:dyDescent="0.25">
      <c r="AF1584" s="1"/>
    </row>
    <row r="1585" spans="31:32" x14ac:dyDescent="0.25">
      <c r="AE1585" s="1"/>
      <c r="AF1585" s="1"/>
    </row>
    <row r="1586" spans="31:32" x14ac:dyDescent="0.25">
      <c r="AE1586" s="1"/>
      <c r="AF1586" s="1"/>
    </row>
    <row r="1587" spans="31:32" x14ac:dyDescent="0.25">
      <c r="AE1587" s="1"/>
      <c r="AF1587" s="1"/>
    </row>
    <row r="1588" spans="31:32" x14ac:dyDescent="0.25">
      <c r="AE1588" s="1"/>
      <c r="AF1588" s="1"/>
    </row>
    <row r="1589" spans="31:32" x14ac:dyDescent="0.25">
      <c r="AE1589" s="1"/>
      <c r="AF1589" s="1"/>
    </row>
    <row r="1590" spans="31:32" x14ac:dyDescent="0.25">
      <c r="AE1590" s="1"/>
      <c r="AF1590" s="1"/>
    </row>
    <row r="1591" spans="31:32" x14ac:dyDescent="0.25">
      <c r="AE1591" s="1"/>
      <c r="AF1591" s="1"/>
    </row>
    <row r="1592" spans="31:32" x14ac:dyDescent="0.25">
      <c r="AE1592" s="1"/>
      <c r="AF1592" s="1"/>
    </row>
    <row r="1593" spans="31:32" x14ac:dyDescent="0.25">
      <c r="AE1593" s="1"/>
      <c r="AF1593" s="1"/>
    </row>
    <row r="1594" spans="31:32" x14ac:dyDescent="0.25">
      <c r="AF1594" s="1"/>
    </row>
    <row r="1595" spans="31:32" x14ac:dyDescent="0.25">
      <c r="AE1595" s="1"/>
      <c r="AF1595" s="1"/>
    </row>
    <row r="1596" spans="31:32" x14ac:dyDescent="0.25">
      <c r="AE1596" s="1"/>
      <c r="AF1596" s="1"/>
    </row>
    <row r="1597" spans="31:32" x14ac:dyDescent="0.25">
      <c r="AE1597" s="1"/>
      <c r="AF1597" s="1"/>
    </row>
    <row r="1598" spans="31:32" x14ac:dyDescent="0.25">
      <c r="AE1598" s="1"/>
      <c r="AF1598" s="1"/>
    </row>
    <row r="1599" spans="31:32" x14ac:dyDescent="0.25">
      <c r="AE1599" s="1"/>
      <c r="AF1599" s="1"/>
    </row>
    <row r="1600" spans="31:32" x14ac:dyDescent="0.25">
      <c r="AE1600" s="1"/>
      <c r="AF1600" s="1"/>
    </row>
    <row r="1601" spans="31:32" x14ac:dyDescent="0.25">
      <c r="AE1601" s="1"/>
      <c r="AF1601" s="1"/>
    </row>
    <row r="1602" spans="31:32" x14ac:dyDescent="0.25">
      <c r="AE1602" s="1"/>
      <c r="AF1602" s="1"/>
    </row>
    <row r="1603" spans="31:32" x14ac:dyDescent="0.25">
      <c r="AE1603" s="1"/>
      <c r="AF1603" s="1"/>
    </row>
    <row r="1604" spans="31:32" x14ac:dyDescent="0.25">
      <c r="AE1604" s="1"/>
      <c r="AF1604" s="1"/>
    </row>
    <row r="1605" spans="31:32" x14ac:dyDescent="0.25">
      <c r="AE1605" s="1"/>
      <c r="AF1605" s="1"/>
    </row>
    <row r="1606" spans="31:32" x14ac:dyDescent="0.25">
      <c r="AE1606" s="1"/>
      <c r="AF1606" s="1"/>
    </row>
    <row r="1607" spans="31:32" x14ac:dyDescent="0.25">
      <c r="AE1607" s="1"/>
      <c r="AF1607" s="1"/>
    </row>
    <row r="1608" spans="31:32" x14ac:dyDescent="0.25">
      <c r="AE1608" s="1"/>
      <c r="AF1608" s="1"/>
    </row>
    <row r="1609" spans="31:32" x14ac:dyDescent="0.25">
      <c r="AE1609" s="1"/>
      <c r="AF1609" s="1"/>
    </row>
    <row r="1610" spans="31:32" x14ac:dyDescent="0.25">
      <c r="AE1610" s="1"/>
      <c r="AF1610" s="1"/>
    </row>
    <row r="1611" spans="31:32" x14ac:dyDescent="0.25">
      <c r="AE1611" s="1"/>
      <c r="AF1611" s="1"/>
    </row>
    <row r="1612" spans="31:32" x14ac:dyDescent="0.25">
      <c r="AE1612" s="1"/>
      <c r="AF1612" s="1"/>
    </row>
    <row r="1613" spans="31:32" x14ac:dyDescent="0.25">
      <c r="AE1613" s="1"/>
      <c r="AF1613" s="1"/>
    </row>
    <row r="1614" spans="31:32" x14ac:dyDescent="0.25">
      <c r="AE1614" s="1"/>
      <c r="AF1614" s="1"/>
    </row>
    <row r="1615" spans="31:32" x14ac:dyDescent="0.25">
      <c r="AE1615" s="1"/>
      <c r="AF1615" s="1"/>
    </row>
    <row r="1616" spans="31:32" x14ac:dyDescent="0.25">
      <c r="AE1616" s="1"/>
      <c r="AF1616" s="1"/>
    </row>
    <row r="1617" spans="31:32" x14ac:dyDescent="0.25">
      <c r="AE1617" s="1"/>
      <c r="AF1617" s="1"/>
    </row>
    <row r="1618" spans="31:32" x14ac:dyDescent="0.25">
      <c r="AE1618" s="1"/>
      <c r="AF1618" s="1"/>
    </row>
    <row r="1619" spans="31:32" x14ac:dyDescent="0.25">
      <c r="AE1619" s="1"/>
      <c r="AF1619" s="1"/>
    </row>
    <row r="1620" spans="31:32" x14ac:dyDescent="0.25">
      <c r="AE1620" s="1"/>
      <c r="AF1620" s="1"/>
    </row>
    <row r="1621" spans="31:32" x14ac:dyDescent="0.25">
      <c r="AE1621" s="1"/>
      <c r="AF1621" s="1"/>
    </row>
    <row r="1622" spans="31:32" x14ac:dyDescent="0.25">
      <c r="AE1622" s="1"/>
      <c r="AF1622" s="1"/>
    </row>
    <row r="1623" spans="31:32" x14ac:dyDescent="0.25">
      <c r="AE1623" s="1"/>
      <c r="AF1623" s="1"/>
    </row>
    <row r="1624" spans="31:32" x14ac:dyDescent="0.25">
      <c r="AE1624" s="1"/>
      <c r="AF1624" s="1"/>
    </row>
    <row r="1625" spans="31:32" x14ac:dyDescent="0.25">
      <c r="AE1625" s="1"/>
      <c r="AF1625" s="1"/>
    </row>
    <row r="1626" spans="31:32" x14ac:dyDescent="0.25">
      <c r="AE1626" s="1"/>
      <c r="AF1626" s="1"/>
    </row>
    <row r="1627" spans="31:32" x14ac:dyDescent="0.25">
      <c r="AF1627" s="1"/>
    </row>
    <row r="1628" spans="31:32" x14ac:dyDescent="0.25">
      <c r="AE1628" s="1"/>
      <c r="AF1628" s="1"/>
    </row>
    <row r="1629" spans="31:32" x14ac:dyDescent="0.25">
      <c r="AE1629" s="1"/>
      <c r="AF1629" s="1"/>
    </row>
    <row r="1630" spans="31:32" x14ac:dyDescent="0.25">
      <c r="AE1630" s="1"/>
      <c r="AF1630" s="1"/>
    </row>
    <row r="1631" spans="31:32" x14ac:dyDescent="0.25">
      <c r="AE1631" s="1"/>
      <c r="AF1631" s="1"/>
    </row>
    <row r="1632" spans="31:32" x14ac:dyDescent="0.25">
      <c r="AE1632" s="1"/>
      <c r="AF1632" s="1"/>
    </row>
    <row r="1633" spans="31:32" x14ac:dyDescent="0.25">
      <c r="AE1633" s="1"/>
      <c r="AF1633" s="1"/>
    </row>
    <row r="1634" spans="31:32" x14ac:dyDescent="0.25">
      <c r="AE1634" s="1"/>
      <c r="AF1634" s="1"/>
    </row>
    <row r="1635" spans="31:32" x14ac:dyDescent="0.25">
      <c r="AE1635" s="1"/>
      <c r="AF1635" s="1"/>
    </row>
    <row r="1636" spans="31:32" x14ac:dyDescent="0.25">
      <c r="AF1636" s="1"/>
    </row>
    <row r="1637" spans="31:32" x14ac:dyDescent="0.25">
      <c r="AE1637" s="1"/>
      <c r="AF1637" s="1"/>
    </row>
    <row r="1638" spans="31:32" x14ac:dyDescent="0.25">
      <c r="AE1638" s="1"/>
      <c r="AF1638" s="1"/>
    </row>
    <row r="1639" spans="31:32" x14ac:dyDescent="0.25">
      <c r="AE1639" s="1"/>
      <c r="AF1639" s="1"/>
    </row>
    <row r="1640" spans="31:32" x14ac:dyDescent="0.25">
      <c r="AE1640" s="1"/>
      <c r="AF1640" s="1"/>
    </row>
    <row r="1641" spans="31:32" x14ac:dyDescent="0.25">
      <c r="AE1641" s="1"/>
      <c r="AF1641" s="1"/>
    </row>
    <row r="1642" spans="31:32" x14ac:dyDescent="0.25">
      <c r="AE1642" s="1"/>
      <c r="AF1642" s="1"/>
    </row>
    <row r="1643" spans="31:32" x14ac:dyDescent="0.25">
      <c r="AE1643" s="1"/>
      <c r="AF1643" s="1"/>
    </row>
    <row r="1644" spans="31:32" x14ac:dyDescent="0.25">
      <c r="AE1644" s="1"/>
      <c r="AF1644" s="1"/>
    </row>
    <row r="1645" spans="31:32" x14ac:dyDescent="0.25">
      <c r="AE1645" s="1"/>
      <c r="AF1645" s="1"/>
    </row>
    <row r="1646" spans="31:32" x14ac:dyDescent="0.25">
      <c r="AE1646" s="1"/>
      <c r="AF1646" s="1"/>
    </row>
    <row r="1647" spans="31:32" x14ac:dyDescent="0.25">
      <c r="AE1647" s="1"/>
      <c r="AF1647" s="1"/>
    </row>
    <row r="1648" spans="31:32" x14ac:dyDescent="0.25">
      <c r="AE1648" s="1"/>
      <c r="AF1648" s="1"/>
    </row>
    <row r="1649" spans="31:32" x14ac:dyDescent="0.25">
      <c r="AE1649" s="1"/>
      <c r="AF1649" s="1"/>
    </row>
    <row r="1650" spans="31:32" x14ac:dyDescent="0.25">
      <c r="AE1650" s="1"/>
      <c r="AF1650" s="1"/>
    </row>
    <row r="1651" spans="31:32" x14ac:dyDescent="0.25">
      <c r="AE1651" s="1"/>
      <c r="AF1651" s="1"/>
    </row>
    <row r="1652" spans="31:32" x14ac:dyDescent="0.25">
      <c r="AE1652" s="1"/>
      <c r="AF1652" s="1"/>
    </row>
    <row r="1653" spans="31:32" x14ac:dyDescent="0.25">
      <c r="AE1653" s="1"/>
      <c r="AF1653" s="1"/>
    </row>
    <row r="1654" spans="31:32" x14ac:dyDescent="0.25">
      <c r="AF1654" s="1"/>
    </row>
    <row r="1655" spans="31:32" x14ac:dyDescent="0.25">
      <c r="AE1655" s="1"/>
      <c r="AF1655" s="1"/>
    </row>
    <row r="1656" spans="31:32" x14ac:dyDescent="0.25">
      <c r="AF1656" s="1"/>
    </row>
    <row r="1657" spans="31:32" x14ac:dyDescent="0.25">
      <c r="AE1657" s="1"/>
      <c r="AF1657" s="1"/>
    </row>
    <row r="1658" spans="31:32" x14ac:dyDescent="0.25">
      <c r="AE1658" s="1"/>
      <c r="AF1658" s="1"/>
    </row>
    <row r="1659" spans="31:32" x14ac:dyDescent="0.25">
      <c r="AE1659" s="1"/>
      <c r="AF1659" s="1"/>
    </row>
    <row r="1660" spans="31:32" x14ac:dyDescent="0.25">
      <c r="AE1660" s="1"/>
      <c r="AF1660" s="1"/>
    </row>
    <row r="1661" spans="31:32" x14ac:dyDescent="0.25">
      <c r="AE1661" s="1"/>
      <c r="AF1661" s="1"/>
    </row>
    <row r="1662" spans="31:32" x14ac:dyDescent="0.25">
      <c r="AE1662" s="1"/>
      <c r="AF1662" s="1"/>
    </row>
    <row r="1663" spans="31:32" x14ac:dyDescent="0.25">
      <c r="AE1663" s="1"/>
      <c r="AF1663" s="1"/>
    </row>
    <row r="1664" spans="31:32" x14ac:dyDescent="0.25">
      <c r="AE1664" s="1"/>
      <c r="AF1664" s="1"/>
    </row>
    <row r="1665" spans="31:32" x14ac:dyDescent="0.25">
      <c r="AF1665" s="1"/>
    </row>
    <row r="1666" spans="31:32" x14ac:dyDescent="0.25">
      <c r="AE1666" s="1"/>
      <c r="AF1666" s="1"/>
    </row>
    <row r="1667" spans="31:32" x14ac:dyDescent="0.25">
      <c r="AE1667" s="1"/>
      <c r="AF1667" s="1"/>
    </row>
    <row r="1668" spans="31:32" x14ac:dyDescent="0.25">
      <c r="AE1668" s="1"/>
      <c r="AF1668" s="1"/>
    </row>
    <row r="1669" spans="31:32" x14ac:dyDescent="0.25">
      <c r="AE1669" s="1"/>
      <c r="AF1669" s="1"/>
    </row>
    <row r="1670" spans="31:32" x14ac:dyDescent="0.25">
      <c r="AE1670" s="1"/>
      <c r="AF1670" s="1"/>
    </row>
    <row r="1671" spans="31:32" x14ac:dyDescent="0.25">
      <c r="AE1671" s="1"/>
      <c r="AF1671" s="1"/>
    </row>
    <row r="1672" spans="31:32" x14ac:dyDescent="0.25">
      <c r="AE1672" s="1"/>
      <c r="AF1672" s="1"/>
    </row>
    <row r="1673" spans="31:32" x14ac:dyDescent="0.25">
      <c r="AE1673" s="1"/>
      <c r="AF1673" s="1"/>
    </row>
    <row r="1674" spans="31:32" x14ac:dyDescent="0.25">
      <c r="AE1674" s="1"/>
      <c r="AF1674" s="1"/>
    </row>
    <row r="1675" spans="31:32" x14ac:dyDescent="0.25">
      <c r="AE1675" s="1"/>
      <c r="AF1675" s="1"/>
    </row>
    <row r="1676" spans="31:32" x14ac:dyDescent="0.25">
      <c r="AE1676" s="1"/>
      <c r="AF1676" s="1"/>
    </row>
    <row r="1677" spans="31:32" x14ac:dyDescent="0.25">
      <c r="AE1677" s="1"/>
      <c r="AF1677" s="1"/>
    </row>
    <row r="1678" spans="31:32" x14ac:dyDescent="0.25">
      <c r="AE1678" s="1"/>
      <c r="AF1678" s="1"/>
    </row>
    <row r="1679" spans="31:32" x14ac:dyDescent="0.25">
      <c r="AE1679" s="1"/>
      <c r="AF1679" s="1"/>
    </row>
    <row r="1680" spans="31:32" x14ac:dyDescent="0.25">
      <c r="AE1680" s="1"/>
      <c r="AF1680" s="1"/>
    </row>
    <row r="1681" spans="31:32" x14ac:dyDescent="0.25">
      <c r="AE1681" s="1"/>
      <c r="AF1681" s="1"/>
    </row>
    <row r="1682" spans="31:32" x14ac:dyDescent="0.25">
      <c r="AE1682" s="1"/>
      <c r="AF1682" s="1"/>
    </row>
    <row r="1683" spans="31:32" x14ac:dyDescent="0.25">
      <c r="AE1683" s="1"/>
      <c r="AF1683" s="1"/>
    </row>
    <row r="1684" spans="31:32" x14ac:dyDescent="0.25">
      <c r="AE1684" s="1"/>
      <c r="AF1684" s="1"/>
    </row>
    <row r="1685" spans="31:32" x14ac:dyDescent="0.25">
      <c r="AE1685" s="1"/>
      <c r="AF1685" s="1"/>
    </row>
    <row r="1686" spans="31:32" x14ac:dyDescent="0.25">
      <c r="AE1686" s="1"/>
      <c r="AF1686" s="1"/>
    </row>
    <row r="1687" spans="31:32" x14ac:dyDescent="0.25">
      <c r="AE1687" s="1"/>
      <c r="AF1687" s="1"/>
    </row>
    <row r="1688" spans="31:32" x14ac:dyDescent="0.25">
      <c r="AE1688" s="1"/>
      <c r="AF1688" s="1"/>
    </row>
    <row r="1689" spans="31:32" x14ac:dyDescent="0.25">
      <c r="AE1689" s="1"/>
      <c r="AF1689" s="1"/>
    </row>
    <row r="1690" spans="31:32" x14ac:dyDescent="0.25">
      <c r="AE1690" s="1"/>
      <c r="AF1690" s="1"/>
    </row>
    <row r="1691" spans="31:32" x14ac:dyDescent="0.25">
      <c r="AE1691" s="1"/>
      <c r="AF1691" s="1"/>
    </row>
    <row r="1692" spans="31:32" x14ac:dyDescent="0.25">
      <c r="AE1692" s="1"/>
      <c r="AF1692" s="1"/>
    </row>
    <row r="1693" spans="31:32" x14ac:dyDescent="0.25">
      <c r="AE1693" s="1"/>
      <c r="AF1693" s="1"/>
    </row>
    <row r="1694" spans="31:32" x14ac:dyDescent="0.25">
      <c r="AE1694" s="1"/>
      <c r="AF1694" s="1"/>
    </row>
    <row r="1695" spans="31:32" x14ac:dyDescent="0.25">
      <c r="AE1695" s="1"/>
      <c r="AF1695" s="1"/>
    </row>
    <row r="1696" spans="31:32" x14ac:dyDescent="0.25">
      <c r="AE1696" s="1"/>
      <c r="AF1696" s="1"/>
    </row>
    <row r="1697" spans="31:32" x14ac:dyDescent="0.25">
      <c r="AE1697" s="1"/>
      <c r="AF1697" s="1"/>
    </row>
    <row r="1698" spans="31:32" x14ac:dyDescent="0.25">
      <c r="AE1698" s="1"/>
      <c r="AF1698" s="1"/>
    </row>
    <row r="1699" spans="31:32" x14ac:dyDescent="0.25">
      <c r="AE1699" s="1"/>
      <c r="AF1699" s="1"/>
    </row>
    <row r="1700" spans="31:32" x14ac:dyDescent="0.25">
      <c r="AE1700" s="1"/>
      <c r="AF1700" s="1"/>
    </row>
    <row r="1701" spans="31:32" x14ac:dyDescent="0.25">
      <c r="AE1701" s="1"/>
      <c r="AF1701" s="1"/>
    </row>
    <row r="1702" spans="31:32" x14ac:dyDescent="0.25">
      <c r="AE1702" s="1"/>
      <c r="AF1702" s="1"/>
    </row>
    <row r="1703" spans="31:32" x14ac:dyDescent="0.25">
      <c r="AE1703" s="1"/>
      <c r="AF1703" s="1"/>
    </row>
    <row r="1704" spans="31:32" x14ac:dyDescent="0.25">
      <c r="AE1704" s="1"/>
      <c r="AF1704" s="1"/>
    </row>
    <row r="1705" spans="31:32" x14ac:dyDescent="0.25">
      <c r="AE1705" s="1"/>
      <c r="AF1705" s="1"/>
    </row>
    <row r="1706" spans="31:32" x14ac:dyDescent="0.25">
      <c r="AE1706" s="1"/>
      <c r="AF1706" s="1"/>
    </row>
    <row r="1707" spans="31:32" x14ac:dyDescent="0.25">
      <c r="AE1707" s="1"/>
      <c r="AF1707" s="1"/>
    </row>
    <row r="1708" spans="31:32" x14ac:dyDescent="0.25">
      <c r="AE1708" s="1"/>
      <c r="AF1708" s="1"/>
    </row>
    <row r="1709" spans="31:32" x14ac:dyDescent="0.25">
      <c r="AE1709" s="1"/>
      <c r="AF1709" s="1"/>
    </row>
    <row r="1710" spans="31:32" x14ac:dyDescent="0.25">
      <c r="AE1710" s="1"/>
      <c r="AF1710" s="1"/>
    </row>
    <row r="1711" spans="31:32" x14ac:dyDescent="0.25">
      <c r="AE1711" s="1"/>
      <c r="AF1711" s="1"/>
    </row>
    <row r="1712" spans="31:32" x14ac:dyDescent="0.25">
      <c r="AE1712" s="1"/>
      <c r="AF1712" s="1"/>
    </row>
    <row r="1713" spans="31:32" x14ac:dyDescent="0.25">
      <c r="AE1713" s="1"/>
      <c r="AF1713" s="1"/>
    </row>
    <row r="1714" spans="31:32" x14ac:dyDescent="0.25">
      <c r="AE1714" s="1"/>
      <c r="AF1714" s="1"/>
    </row>
    <row r="1715" spans="31:32" x14ac:dyDescent="0.25">
      <c r="AE1715" s="1"/>
      <c r="AF1715" s="1"/>
    </row>
    <row r="1716" spans="31:32" x14ac:dyDescent="0.25">
      <c r="AE1716" s="1"/>
      <c r="AF1716" s="1"/>
    </row>
    <row r="1717" spans="31:32" x14ac:dyDescent="0.25">
      <c r="AE1717" s="1"/>
      <c r="AF1717" s="1"/>
    </row>
    <row r="1718" spans="31:32" x14ac:dyDescent="0.25">
      <c r="AE1718" s="1"/>
      <c r="AF1718" s="1"/>
    </row>
    <row r="1719" spans="31:32" x14ac:dyDescent="0.25">
      <c r="AE1719" s="1"/>
      <c r="AF1719" s="1"/>
    </row>
    <row r="1720" spans="31:32" x14ac:dyDescent="0.25">
      <c r="AE1720" s="1"/>
      <c r="AF1720" s="1"/>
    </row>
    <row r="1721" spans="31:32" x14ac:dyDescent="0.25">
      <c r="AE1721" s="1"/>
      <c r="AF1721" s="1"/>
    </row>
    <row r="1722" spans="31:32" x14ac:dyDescent="0.25">
      <c r="AE1722" s="1"/>
      <c r="AF1722" s="1"/>
    </row>
    <row r="1723" spans="31:32" x14ac:dyDescent="0.25">
      <c r="AE1723" s="1"/>
      <c r="AF1723" s="1"/>
    </row>
    <row r="1724" spans="31:32" x14ac:dyDescent="0.25">
      <c r="AE1724" s="1"/>
      <c r="AF1724" s="1"/>
    </row>
    <row r="1725" spans="31:32" x14ac:dyDescent="0.25">
      <c r="AE1725" s="1"/>
      <c r="AF1725" s="1"/>
    </row>
    <row r="1726" spans="31:32" x14ac:dyDescent="0.25">
      <c r="AE1726" s="1"/>
      <c r="AF1726" s="1"/>
    </row>
    <row r="1727" spans="31:32" x14ac:dyDescent="0.25">
      <c r="AE1727" s="1"/>
      <c r="AF1727" s="1"/>
    </row>
    <row r="1728" spans="31:32" x14ac:dyDescent="0.25">
      <c r="AE1728" s="1"/>
      <c r="AF1728" s="1"/>
    </row>
    <row r="1729" spans="31:32" x14ac:dyDescent="0.25">
      <c r="AE1729" s="1"/>
      <c r="AF1729" s="1"/>
    </row>
    <row r="1730" spans="31:32" x14ac:dyDescent="0.25">
      <c r="AE1730" s="1"/>
      <c r="AF1730" s="1"/>
    </row>
    <row r="1731" spans="31:32" x14ac:dyDescent="0.25">
      <c r="AE1731" s="1"/>
      <c r="AF1731" s="1"/>
    </row>
    <row r="1732" spans="31:32" x14ac:dyDescent="0.25">
      <c r="AE1732" s="1"/>
      <c r="AF1732" s="1"/>
    </row>
    <row r="1733" spans="31:32" x14ac:dyDescent="0.25">
      <c r="AE1733" s="1"/>
      <c r="AF1733" s="1"/>
    </row>
    <row r="1734" spans="31:32" x14ac:dyDescent="0.25">
      <c r="AE1734" s="1"/>
      <c r="AF1734" s="1"/>
    </row>
    <row r="1735" spans="31:32" x14ac:dyDescent="0.25">
      <c r="AE1735" s="1"/>
      <c r="AF1735" s="1"/>
    </row>
    <row r="1736" spans="31:32" x14ac:dyDescent="0.25">
      <c r="AE1736" s="1"/>
      <c r="AF1736" s="1"/>
    </row>
    <row r="1737" spans="31:32" x14ac:dyDescent="0.25">
      <c r="AE1737" s="1"/>
      <c r="AF1737" s="1"/>
    </row>
    <row r="1738" spans="31:32" x14ac:dyDescent="0.25">
      <c r="AE1738" s="1"/>
      <c r="AF1738" s="1"/>
    </row>
    <row r="1739" spans="31:32" x14ac:dyDescent="0.25">
      <c r="AE1739" s="1"/>
      <c r="AF1739" s="1"/>
    </row>
    <row r="1740" spans="31:32" x14ac:dyDescent="0.25">
      <c r="AE1740" s="1"/>
      <c r="AF1740" s="1"/>
    </row>
    <row r="1741" spans="31:32" x14ac:dyDescent="0.25">
      <c r="AE1741" s="1"/>
      <c r="AF1741" s="1"/>
    </row>
    <row r="1742" spans="31:32" x14ac:dyDescent="0.25">
      <c r="AE1742" s="1"/>
      <c r="AF1742" s="1"/>
    </row>
    <row r="1743" spans="31:32" x14ac:dyDescent="0.25">
      <c r="AE1743" s="1"/>
      <c r="AF1743" s="1"/>
    </row>
    <row r="1744" spans="31:32" x14ac:dyDescent="0.25">
      <c r="AE1744" s="1"/>
      <c r="AF1744" s="1"/>
    </row>
    <row r="1745" spans="31:32" x14ac:dyDescent="0.25">
      <c r="AE1745" s="1"/>
      <c r="AF1745" s="1"/>
    </row>
    <row r="1746" spans="31:32" x14ac:dyDescent="0.25">
      <c r="AE1746" s="1"/>
      <c r="AF1746" s="1"/>
    </row>
    <row r="1747" spans="31:32" x14ac:dyDescent="0.25">
      <c r="AE1747" s="1"/>
      <c r="AF1747" s="1"/>
    </row>
    <row r="1748" spans="31:32" x14ac:dyDescent="0.25">
      <c r="AE1748" s="1"/>
      <c r="AF1748" s="1"/>
    </row>
    <row r="1749" spans="31:32" x14ac:dyDescent="0.25">
      <c r="AE1749" s="1"/>
      <c r="AF1749" s="1"/>
    </row>
    <row r="1750" spans="31:32" x14ac:dyDescent="0.25">
      <c r="AE1750" s="1"/>
      <c r="AF1750" s="1"/>
    </row>
    <row r="1751" spans="31:32" x14ac:dyDescent="0.25">
      <c r="AE1751" s="1"/>
      <c r="AF1751" s="1"/>
    </row>
    <row r="1752" spans="31:32" x14ac:dyDescent="0.25">
      <c r="AE1752" s="1"/>
      <c r="AF1752" s="1"/>
    </row>
    <row r="1753" spans="31:32" x14ac:dyDescent="0.25">
      <c r="AE1753" s="1"/>
      <c r="AF1753" s="1"/>
    </row>
    <row r="1754" spans="31:32" x14ac:dyDescent="0.25">
      <c r="AE1754" s="1"/>
      <c r="AF1754" s="1"/>
    </row>
    <row r="1755" spans="31:32" x14ac:dyDescent="0.25">
      <c r="AE1755" s="1"/>
      <c r="AF1755" s="1"/>
    </row>
    <row r="1756" spans="31:32" x14ac:dyDescent="0.25">
      <c r="AE1756" s="1"/>
      <c r="AF1756" s="1"/>
    </row>
    <row r="1757" spans="31:32" x14ac:dyDescent="0.25">
      <c r="AE1757" s="1"/>
      <c r="AF1757" s="1"/>
    </row>
    <row r="1758" spans="31:32" x14ac:dyDescent="0.25">
      <c r="AE1758" s="1"/>
      <c r="AF1758" s="1"/>
    </row>
    <row r="1759" spans="31:32" x14ac:dyDescent="0.25">
      <c r="AE1759" s="1"/>
      <c r="AF1759" s="1"/>
    </row>
    <row r="1760" spans="31:32" x14ac:dyDescent="0.25">
      <c r="AE1760" s="1"/>
      <c r="AF1760" s="1"/>
    </row>
    <row r="1761" spans="31:32" x14ac:dyDescent="0.25">
      <c r="AE1761" s="1"/>
      <c r="AF1761" s="1"/>
    </row>
    <row r="1762" spans="31:32" x14ac:dyDescent="0.25">
      <c r="AE1762" s="1"/>
      <c r="AF1762" s="1"/>
    </row>
    <row r="1763" spans="31:32" x14ac:dyDescent="0.25">
      <c r="AE1763" s="1"/>
      <c r="AF1763" s="1"/>
    </row>
    <row r="1764" spans="31:32" x14ac:dyDescent="0.25">
      <c r="AE1764" s="1"/>
      <c r="AF1764" s="1"/>
    </row>
    <row r="1765" spans="31:32" x14ac:dyDescent="0.25">
      <c r="AE1765" s="1"/>
      <c r="AF1765" s="1"/>
    </row>
    <row r="1766" spans="31:32" x14ac:dyDescent="0.25">
      <c r="AE1766" s="1"/>
      <c r="AF1766" s="1"/>
    </row>
    <row r="1767" spans="31:32" x14ac:dyDescent="0.25">
      <c r="AE1767" s="1"/>
      <c r="AF1767" s="1"/>
    </row>
    <row r="1768" spans="31:32" x14ac:dyDescent="0.25">
      <c r="AE1768" s="1"/>
      <c r="AF1768" s="1"/>
    </row>
    <row r="1769" spans="31:32" x14ac:dyDescent="0.25">
      <c r="AE1769" s="1"/>
      <c r="AF1769" s="1"/>
    </row>
    <row r="1770" spans="31:32" x14ac:dyDescent="0.25">
      <c r="AE1770" s="1"/>
      <c r="AF1770" s="1"/>
    </row>
    <row r="1771" spans="31:32" x14ac:dyDescent="0.25">
      <c r="AE1771" s="1"/>
      <c r="AF1771" s="1"/>
    </row>
    <row r="1772" spans="31:32" x14ac:dyDescent="0.25">
      <c r="AE1772" s="1"/>
      <c r="AF1772" s="1"/>
    </row>
    <row r="1773" spans="31:32" x14ac:dyDescent="0.25">
      <c r="AF1773" s="1"/>
    </row>
    <row r="1774" spans="31:32" x14ac:dyDescent="0.25">
      <c r="AE1774" s="1"/>
      <c r="AF1774" s="1"/>
    </row>
    <row r="1775" spans="31:32" x14ac:dyDescent="0.25">
      <c r="AE1775" s="1"/>
      <c r="AF1775" s="1"/>
    </row>
    <row r="1776" spans="31:32" x14ac:dyDescent="0.25">
      <c r="AE1776" s="1"/>
      <c r="AF1776" s="1"/>
    </row>
    <row r="1777" spans="31:32" x14ac:dyDescent="0.25">
      <c r="AE1777" s="1"/>
      <c r="AF1777" s="1"/>
    </row>
    <row r="1778" spans="31:32" x14ac:dyDescent="0.25">
      <c r="AE1778" s="1"/>
      <c r="AF1778" s="1"/>
    </row>
    <row r="1779" spans="31:32" x14ac:dyDescent="0.25">
      <c r="AE1779" s="1"/>
      <c r="AF1779" s="1"/>
    </row>
    <row r="1780" spans="31:32" x14ac:dyDescent="0.25">
      <c r="AE1780" s="1"/>
      <c r="AF1780" s="1"/>
    </row>
    <row r="1781" spans="31:32" x14ac:dyDescent="0.25">
      <c r="AE1781" s="1"/>
      <c r="AF1781" s="1"/>
    </row>
    <row r="1782" spans="31:32" x14ac:dyDescent="0.25">
      <c r="AE1782" s="1"/>
      <c r="AF1782" s="1"/>
    </row>
    <row r="1783" spans="31:32" x14ac:dyDescent="0.25">
      <c r="AE1783" s="1"/>
      <c r="AF1783" s="1"/>
    </row>
    <row r="1784" spans="31:32" x14ac:dyDescent="0.25">
      <c r="AE1784" s="1"/>
      <c r="AF1784" s="1"/>
    </row>
    <row r="1785" spans="31:32" x14ac:dyDescent="0.25">
      <c r="AE1785" s="1"/>
      <c r="AF1785" s="1"/>
    </row>
    <row r="1786" spans="31:32" x14ac:dyDescent="0.25">
      <c r="AE1786" s="1"/>
      <c r="AF1786" s="1"/>
    </row>
    <row r="1787" spans="31:32" x14ac:dyDescent="0.25">
      <c r="AE1787" s="1"/>
      <c r="AF1787" s="1"/>
    </row>
    <row r="1788" spans="31:32" x14ac:dyDescent="0.25">
      <c r="AE1788" s="1"/>
      <c r="AF1788" s="1"/>
    </row>
    <row r="1789" spans="31:32" x14ac:dyDescent="0.25">
      <c r="AE1789" s="1"/>
      <c r="AF1789" s="1"/>
    </row>
    <row r="1790" spans="31:32" x14ac:dyDescent="0.25">
      <c r="AE1790" s="1"/>
      <c r="AF1790" s="1"/>
    </row>
    <row r="1791" spans="31:32" x14ac:dyDescent="0.25">
      <c r="AE1791" s="1"/>
      <c r="AF1791" s="1"/>
    </row>
    <row r="1792" spans="31:32" x14ac:dyDescent="0.25">
      <c r="AE1792" s="1"/>
      <c r="AF1792" s="1"/>
    </row>
    <row r="1793" spans="31:32" x14ac:dyDescent="0.25">
      <c r="AE1793" s="1"/>
      <c r="AF1793" s="1"/>
    </row>
    <row r="1794" spans="31:32" x14ac:dyDescent="0.25">
      <c r="AE1794" s="1"/>
      <c r="AF1794" s="1"/>
    </row>
    <row r="1795" spans="31:32" x14ac:dyDescent="0.25">
      <c r="AE1795" s="1"/>
      <c r="AF1795" s="1"/>
    </row>
    <row r="1796" spans="31:32" x14ac:dyDescent="0.25">
      <c r="AE1796" s="1"/>
      <c r="AF1796" s="1"/>
    </row>
    <row r="1797" spans="31:32" x14ac:dyDescent="0.25">
      <c r="AE1797" s="1"/>
      <c r="AF1797" s="1"/>
    </row>
    <row r="1798" spans="31:32" x14ac:dyDescent="0.25">
      <c r="AE1798" s="1"/>
      <c r="AF1798" s="1"/>
    </row>
    <row r="1799" spans="31:32" x14ac:dyDescent="0.25">
      <c r="AE1799" s="1"/>
      <c r="AF1799" s="1"/>
    </row>
    <row r="1800" spans="31:32" x14ac:dyDescent="0.25">
      <c r="AE1800" s="1"/>
      <c r="AF1800" s="1"/>
    </row>
    <row r="1801" spans="31:32" x14ac:dyDescent="0.25">
      <c r="AE1801" s="1"/>
      <c r="AF1801" s="1"/>
    </row>
    <row r="1802" spans="31:32" x14ac:dyDescent="0.25">
      <c r="AE1802" s="1"/>
      <c r="AF1802" s="1"/>
    </row>
    <row r="1803" spans="31:32" x14ac:dyDescent="0.25">
      <c r="AE1803" s="1"/>
      <c r="AF1803" s="1"/>
    </row>
    <row r="1804" spans="31:32" x14ac:dyDescent="0.25">
      <c r="AE1804" s="1"/>
      <c r="AF1804" s="1"/>
    </row>
    <row r="1805" spans="31:32" x14ac:dyDescent="0.25">
      <c r="AE1805" s="1"/>
      <c r="AF1805" s="1"/>
    </row>
    <row r="1806" spans="31:32" x14ac:dyDescent="0.25">
      <c r="AE1806" s="1"/>
      <c r="AF1806" s="1"/>
    </row>
    <row r="1807" spans="31:32" x14ac:dyDescent="0.25">
      <c r="AE1807" s="1"/>
      <c r="AF1807" s="1"/>
    </row>
    <row r="1808" spans="31:32" x14ac:dyDescent="0.25">
      <c r="AE1808" s="1"/>
      <c r="AF1808" s="1"/>
    </row>
    <row r="1809" spans="31:32" x14ac:dyDescent="0.25">
      <c r="AE1809" s="1"/>
      <c r="AF1809" s="1"/>
    </row>
    <row r="1810" spans="31:32" x14ac:dyDescent="0.25">
      <c r="AE1810" s="1"/>
      <c r="AF1810" s="1"/>
    </row>
    <row r="1811" spans="31:32" x14ac:dyDescent="0.25">
      <c r="AE1811" s="1"/>
      <c r="AF1811" s="1"/>
    </row>
    <row r="1812" spans="31:32" x14ac:dyDescent="0.25">
      <c r="AE1812" s="1"/>
      <c r="AF1812" s="1"/>
    </row>
    <row r="1813" spans="31:32" x14ac:dyDescent="0.25">
      <c r="AE1813" s="1"/>
      <c r="AF1813" s="1"/>
    </row>
    <row r="1814" spans="31:32" x14ac:dyDescent="0.25">
      <c r="AE1814" s="1"/>
      <c r="AF1814" s="1"/>
    </row>
    <row r="1815" spans="31:32" x14ac:dyDescent="0.25">
      <c r="AE1815" s="1"/>
      <c r="AF1815" s="1"/>
    </row>
    <row r="1816" spans="31:32" x14ac:dyDescent="0.25">
      <c r="AE1816" s="1"/>
      <c r="AF1816" s="1"/>
    </row>
    <row r="1817" spans="31:32" x14ac:dyDescent="0.25">
      <c r="AE1817" s="1"/>
      <c r="AF1817" s="1"/>
    </row>
    <row r="1818" spans="31:32" x14ac:dyDescent="0.25">
      <c r="AE1818" s="1"/>
      <c r="AF1818" s="1"/>
    </row>
    <row r="1819" spans="31:32" x14ac:dyDescent="0.25">
      <c r="AE1819" s="1"/>
      <c r="AF1819" s="1"/>
    </row>
    <row r="1820" spans="31:32" x14ac:dyDescent="0.25">
      <c r="AE1820" s="1"/>
      <c r="AF1820" s="1"/>
    </row>
    <row r="1821" spans="31:32" x14ac:dyDescent="0.25">
      <c r="AE1821" s="1"/>
      <c r="AF1821" s="1"/>
    </row>
    <row r="1822" spans="31:32" x14ac:dyDescent="0.25">
      <c r="AE1822" s="1"/>
      <c r="AF1822" s="1"/>
    </row>
    <row r="1823" spans="31:32" x14ac:dyDescent="0.25">
      <c r="AE1823" s="1"/>
      <c r="AF1823" s="1"/>
    </row>
    <row r="1824" spans="31:32" x14ac:dyDescent="0.25">
      <c r="AE1824" s="1"/>
      <c r="AF1824" s="1"/>
    </row>
    <row r="1825" spans="31:32" x14ac:dyDescent="0.25">
      <c r="AE1825" s="1"/>
      <c r="AF1825" s="1"/>
    </row>
    <row r="1826" spans="31:32" x14ac:dyDescent="0.25">
      <c r="AE1826" s="1"/>
      <c r="AF1826" s="1"/>
    </row>
    <row r="1827" spans="31:32" x14ac:dyDescent="0.25">
      <c r="AE1827" s="1"/>
      <c r="AF1827" s="1"/>
    </row>
    <row r="1828" spans="31:32" x14ac:dyDescent="0.25">
      <c r="AE1828" s="1"/>
      <c r="AF1828" s="1"/>
    </row>
    <row r="1829" spans="31:32" x14ac:dyDescent="0.25">
      <c r="AE1829" s="1"/>
      <c r="AF1829" s="1"/>
    </row>
    <row r="1830" spans="31:32" x14ac:dyDescent="0.25">
      <c r="AE1830" s="1"/>
      <c r="AF1830" s="1"/>
    </row>
    <row r="1831" spans="31:32" x14ac:dyDescent="0.25">
      <c r="AE1831" s="1"/>
      <c r="AF1831" s="1"/>
    </row>
    <row r="1832" spans="31:32" x14ac:dyDescent="0.25">
      <c r="AE1832" s="1"/>
      <c r="AF1832" s="1"/>
    </row>
    <row r="1833" spans="31:32" x14ac:dyDescent="0.25">
      <c r="AE1833" s="1"/>
      <c r="AF1833" s="1"/>
    </row>
    <row r="1834" spans="31:32" x14ac:dyDescent="0.25">
      <c r="AE1834" s="1"/>
      <c r="AF1834" s="1"/>
    </row>
    <row r="1835" spans="31:32" x14ac:dyDescent="0.25">
      <c r="AE1835" s="1"/>
      <c r="AF1835" s="1"/>
    </row>
    <row r="1836" spans="31:32" x14ac:dyDescent="0.25">
      <c r="AE1836" s="1"/>
      <c r="AF1836" s="1"/>
    </row>
    <row r="1837" spans="31:32" x14ac:dyDescent="0.25">
      <c r="AE1837" s="1"/>
      <c r="AF1837" s="1"/>
    </row>
    <row r="1838" spans="31:32" x14ac:dyDescent="0.25">
      <c r="AE1838" s="1"/>
      <c r="AF1838" s="1"/>
    </row>
    <row r="1839" spans="31:32" x14ac:dyDescent="0.25">
      <c r="AE1839" s="1"/>
      <c r="AF1839" s="1"/>
    </row>
    <row r="1840" spans="31:32" x14ac:dyDescent="0.25">
      <c r="AE1840" s="1"/>
      <c r="AF1840" s="1"/>
    </row>
    <row r="1841" spans="31:32" x14ac:dyDescent="0.25">
      <c r="AE1841" s="1"/>
      <c r="AF1841" s="1"/>
    </row>
    <row r="1842" spans="31:32" x14ac:dyDescent="0.25">
      <c r="AE1842" s="1"/>
      <c r="AF1842" s="1"/>
    </row>
    <row r="1843" spans="31:32" x14ac:dyDescent="0.25">
      <c r="AE1843" s="1"/>
      <c r="AF1843" s="1"/>
    </row>
    <row r="1844" spans="31:32" x14ac:dyDescent="0.25">
      <c r="AE1844" s="1"/>
      <c r="AF1844" s="1"/>
    </row>
    <row r="1845" spans="31:32" x14ac:dyDescent="0.25">
      <c r="AE1845" s="1"/>
      <c r="AF1845" s="1"/>
    </row>
    <row r="1846" spans="31:32" x14ac:dyDescent="0.25">
      <c r="AF1846" s="1"/>
    </row>
    <row r="1847" spans="31:32" x14ac:dyDescent="0.25">
      <c r="AF1847" s="1"/>
    </row>
    <row r="1848" spans="31:32" x14ac:dyDescent="0.25">
      <c r="AE1848" s="1"/>
      <c r="AF1848" s="1"/>
    </row>
    <row r="1849" spans="31:32" x14ac:dyDescent="0.25">
      <c r="AE1849" s="1"/>
      <c r="AF1849" s="1"/>
    </row>
    <row r="1850" spans="31:32" x14ac:dyDescent="0.25">
      <c r="AE1850" s="1"/>
      <c r="AF1850" s="1"/>
    </row>
    <row r="1851" spans="31:32" x14ac:dyDescent="0.25">
      <c r="AE1851" s="1"/>
      <c r="AF1851" s="1"/>
    </row>
    <row r="1852" spans="31:32" x14ac:dyDescent="0.25">
      <c r="AE1852" s="1"/>
      <c r="AF1852" s="1"/>
    </row>
    <row r="1853" spans="31:32" x14ac:dyDescent="0.25">
      <c r="AE1853" s="1"/>
      <c r="AF1853" s="1"/>
    </row>
    <row r="1854" spans="31:32" x14ac:dyDescent="0.25">
      <c r="AF1854" s="1"/>
    </row>
    <row r="1855" spans="31:32" x14ac:dyDescent="0.25">
      <c r="AE1855" s="1"/>
      <c r="AF1855" s="1"/>
    </row>
    <row r="1856" spans="31:32" x14ac:dyDescent="0.25">
      <c r="AE1856" s="1"/>
      <c r="AF1856" s="1"/>
    </row>
    <row r="1857" spans="31:32" x14ac:dyDescent="0.25">
      <c r="AE1857" s="1"/>
      <c r="AF1857" s="1"/>
    </row>
    <row r="1858" spans="31:32" x14ac:dyDescent="0.25">
      <c r="AF1858" s="1"/>
    </row>
    <row r="1859" spans="31:32" x14ac:dyDescent="0.25">
      <c r="AE1859" s="1"/>
      <c r="AF1859" s="1"/>
    </row>
    <row r="1860" spans="31:32" x14ac:dyDescent="0.25">
      <c r="AE1860" s="1"/>
      <c r="AF1860" s="1"/>
    </row>
    <row r="1861" spans="31:32" x14ac:dyDescent="0.25">
      <c r="AE1861" s="1"/>
      <c r="AF1861" s="1"/>
    </row>
    <row r="1862" spans="31:32" x14ac:dyDescent="0.25">
      <c r="AE1862" s="1"/>
      <c r="AF1862" s="1"/>
    </row>
    <row r="1863" spans="31:32" x14ac:dyDescent="0.25">
      <c r="AE1863" s="1"/>
      <c r="AF1863" s="1"/>
    </row>
    <row r="1864" spans="31:32" x14ac:dyDescent="0.25">
      <c r="AE1864" s="1"/>
      <c r="AF1864" s="1"/>
    </row>
    <row r="1865" spans="31:32" x14ac:dyDescent="0.25">
      <c r="AE1865" s="1"/>
      <c r="AF1865" s="1"/>
    </row>
    <row r="1866" spans="31:32" x14ac:dyDescent="0.25">
      <c r="AF1866" s="1"/>
    </row>
    <row r="1867" spans="31:32" x14ac:dyDescent="0.25">
      <c r="AE1867" s="1"/>
      <c r="AF1867" s="1"/>
    </row>
    <row r="1868" spans="31:32" x14ac:dyDescent="0.25">
      <c r="AE1868" s="1"/>
      <c r="AF1868" s="1"/>
    </row>
    <row r="1869" spans="31:32" x14ac:dyDescent="0.25">
      <c r="AE1869" s="1"/>
      <c r="AF1869" s="1"/>
    </row>
    <row r="1870" spans="31:32" x14ac:dyDescent="0.25">
      <c r="AE1870" s="1"/>
      <c r="AF1870" s="1"/>
    </row>
    <row r="1871" spans="31:32" x14ac:dyDescent="0.25">
      <c r="AE1871" s="1"/>
      <c r="AF1871" s="1"/>
    </row>
    <row r="1872" spans="31:32" x14ac:dyDescent="0.25">
      <c r="AE1872" s="1"/>
      <c r="AF1872" s="1"/>
    </row>
    <row r="1873" spans="31:32" x14ac:dyDescent="0.25">
      <c r="AE1873" s="1"/>
      <c r="AF1873" s="1"/>
    </row>
    <row r="1874" spans="31:32" x14ac:dyDescent="0.25">
      <c r="AE1874" s="1"/>
      <c r="AF1874" s="1"/>
    </row>
    <row r="1875" spans="31:32" x14ac:dyDescent="0.25">
      <c r="AE1875" s="1"/>
      <c r="AF1875" s="1"/>
    </row>
    <row r="1876" spans="31:32" x14ac:dyDescent="0.25">
      <c r="AE1876" s="1"/>
      <c r="AF1876" s="1"/>
    </row>
    <row r="1877" spans="31:32" x14ac:dyDescent="0.25">
      <c r="AF1877" s="1"/>
    </row>
    <row r="1878" spans="31:32" x14ac:dyDescent="0.25">
      <c r="AF1878" s="1"/>
    </row>
    <row r="1879" spans="31:32" x14ac:dyDescent="0.25">
      <c r="AE1879" s="1"/>
      <c r="AF1879" s="1"/>
    </row>
    <row r="1880" spans="31:32" x14ac:dyDescent="0.25">
      <c r="AE1880" s="1"/>
      <c r="AF1880" s="1"/>
    </row>
    <row r="1881" spans="31:32" x14ac:dyDescent="0.25">
      <c r="AE1881" s="1"/>
      <c r="AF1881" s="1"/>
    </row>
    <row r="1882" spans="31:32" x14ac:dyDescent="0.25">
      <c r="AE1882" s="1"/>
      <c r="AF1882" s="1"/>
    </row>
    <row r="1883" spans="31:32" x14ac:dyDescent="0.25">
      <c r="AE1883" s="1"/>
      <c r="AF1883" s="1"/>
    </row>
    <row r="1884" spans="31:32" x14ac:dyDescent="0.25">
      <c r="AE1884" s="1"/>
      <c r="AF1884" s="1"/>
    </row>
    <row r="1885" spans="31:32" x14ac:dyDescent="0.25">
      <c r="AE1885" s="1"/>
      <c r="AF1885" s="1"/>
    </row>
    <row r="1886" spans="31:32" x14ac:dyDescent="0.25">
      <c r="AE1886" s="1"/>
      <c r="AF1886" s="1"/>
    </row>
    <row r="1887" spans="31:32" x14ac:dyDescent="0.25">
      <c r="AE1887" s="1"/>
      <c r="AF1887" s="1"/>
    </row>
    <row r="1888" spans="31:32" x14ac:dyDescent="0.25">
      <c r="AE1888" s="1"/>
      <c r="AF1888" s="1"/>
    </row>
    <row r="1889" spans="31:32" x14ac:dyDescent="0.25">
      <c r="AF1889" s="1"/>
    </row>
    <row r="1890" spans="31:32" x14ac:dyDescent="0.25">
      <c r="AE1890" s="1"/>
      <c r="AF1890" s="1"/>
    </row>
    <row r="1891" spans="31:32" x14ac:dyDescent="0.25">
      <c r="AE1891" s="1"/>
      <c r="AF1891" s="1"/>
    </row>
    <row r="1892" spans="31:32" x14ac:dyDescent="0.25">
      <c r="AE1892" s="1"/>
      <c r="AF1892" s="1"/>
    </row>
    <row r="1893" spans="31:32" x14ac:dyDescent="0.25">
      <c r="AE1893" s="1"/>
      <c r="AF1893" s="1"/>
    </row>
    <row r="1894" spans="31:32" x14ac:dyDescent="0.25">
      <c r="AE1894" s="1"/>
      <c r="AF1894" s="1"/>
    </row>
    <row r="1895" spans="31:32" x14ac:dyDescent="0.25">
      <c r="AE1895" s="1"/>
      <c r="AF1895" s="1"/>
    </row>
    <row r="1896" spans="31:32" x14ac:dyDescent="0.25">
      <c r="AE1896" s="1"/>
      <c r="AF1896" s="1"/>
    </row>
    <row r="1897" spans="31:32" x14ac:dyDescent="0.25">
      <c r="AE1897" s="1"/>
      <c r="AF1897" s="1"/>
    </row>
    <row r="1898" spans="31:32" x14ac:dyDescent="0.25">
      <c r="AE1898" s="1"/>
      <c r="AF1898" s="1"/>
    </row>
    <row r="1899" spans="31:32" x14ac:dyDescent="0.25">
      <c r="AE1899" s="1"/>
      <c r="AF1899" s="1"/>
    </row>
    <row r="1900" spans="31:32" x14ac:dyDescent="0.25">
      <c r="AE1900" s="1"/>
      <c r="AF1900" s="1"/>
    </row>
    <row r="1901" spans="31:32" x14ac:dyDescent="0.25">
      <c r="AE1901" s="1"/>
      <c r="AF1901" s="1"/>
    </row>
    <row r="1902" spans="31:32" x14ac:dyDescent="0.25">
      <c r="AF1902" s="1"/>
    </row>
    <row r="1903" spans="31:32" x14ac:dyDescent="0.25">
      <c r="AF1903" s="1"/>
    </row>
    <row r="1904" spans="31:32" x14ac:dyDescent="0.25">
      <c r="AE1904" s="1"/>
      <c r="AF1904" s="1"/>
    </row>
    <row r="1905" spans="31:32" x14ac:dyDescent="0.25">
      <c r="AE1905" s="1"/>
      <c r="AF1905" s="1"/>
    </row>
    <row r="1906" spans="31:32" x14ac:dyDescent="0.25">
      <c r="AE1906" s="1"/>
      <c r="AF1906" s="1"/>
    </row>
    <row r="1907" spans="31:32" x14ac:dyDescent="0.25">
      <c r="AE1907" s="1"/>
      <c r="AF1907" s="1"/>
    </row>
    <row r="1908" spans="31:32" x14ac:dyDescent="0.25">
      <c r="AE1908" s="1"/>
      <c r="AF1908" s="1"/>
    </row>
    <row r="1909" spans="31:32" x14ac:dyDescent="0.25">
      <c r="AE1909" s="1"/>
      <c r="AF1909" s="1"/>
    </row>
    <row r="1910" spans="31:32" x14ac:dyDescent="0.25">
      <c r="AE1910" s="1"/>
      <c r="AF1910" s="1"/>
    </row>
    <row r="1911" spans="31:32" x14ac:dyDescent="0.25">
      <c r="AE1911" s="1"/>
      <c r="AF1911" s="1"/>
    </row>
    <row r="1912" spans="31:32" x14ac:dyDescent="0.25">
      <c r="AE1912" s="1"/>
      <c r="AF1912" s="1"/>
    </row>
    <row r="1913" spans="31:32" x14ac:dyDescent="0.25">
      <c r="AE1913" s="1"/>
      <c r="AF1913" s="1"/>
    </row>
    <row r="1914" spans="31:32" x14ac:dyDescent="0.25">
      <c r="AE1914" s="1"/>
      <c r="AF1914" s="1"/>
    </row>
    <row r="1915" spans="31:32" x14ac:dyDescent="0.25">
      <c r="AE1915" s="1"/>
      <c r="AF1915" s="1"/>
    </row>
    <row r="1916" spans="31:32" x14ac:dyDescent="0.25">
      <c r="AE1916" s="1"/>
      <c r="AF1916" s="1"/>
    </row>
    <row r="1917" spans="31:32" x14ac:dyDescent="0.25">
      <c r="AE1917" s="1"/>
      <c r="AF1917" s="1"/>
    </row>
    <row r="1918" spans="31:32" x14ac:dyDescent="0.25">
      <c r="AE1918" s="1"/>
      <c r="AF1918" s="1"/>
    </row>
    <row r="1919" spans="31:32" x14ac:dyDescent="0.25">
      <c r="AE1919" s="1"/>
      <c r="AF1919" s="1"/>
    </row>
    <row r="1920" spans="31:32" x14ac:dyDescent="0.25">
      <c r="AE1920" s="1"/>
      <c r="AF1920" s="1"/>
    </row>
    <row r="1921" spans="31:32" x14ac:dyDescent="0.25">
      <c r="AE1921" s="1"/>
      <c r="AF1921" s="1"/>
    </row>
    <row r="1922" spans="31:32" x14ac:dyDescent="0.25">
      <c r="AF1922" s="1"/>
    </row>
    <row r="1923" spans="31:32" x14ac:dyDescent="0.25">
      <c r="AE1923" s="1"/>
      <c r="AF1923" s="1"/>
    </row>
    <row r="1924" spans="31:32" x14ac:dyDescent="0.25">
      <c r="AE1924" s="1"/>
      <c r="AF1924" s="1"/>
    </row>
    <row r="1925" spans="31:32" x14ac:dyDescent="0.25">
      <c r="AE1925" s="1"/>
      <c r="AF1925" s="1"/>
    </row>
    <row r="1926" spans="31:32" x14ac:dyDescent="0.25">
      <c r="AE1926" s="1"/>
      <c r="AF1926" s="1"/>
    </row>
    <row r="1927" spans="31:32" x14ac:dyDescent="0.25">
      <c r="AE1927" s="1"/>
      <c r="AF1927" s="1"/>
    </row>
    <row r="1928" spans="31:32" x14ac:dyDescent="0.25">
      <c r="AE1928" s="1"/>
      <c r="AF1928" s="1"/>
    </row>
    <row r="1929" spans="31:32" x14ac:dyDescent="0.25">
      <c r="AE1929" s="1"/>
      <c r="AF1929" s="1"/>
    </row>
    <row r="1930" spans="31:32" x14ac:dyDescent="0.25">
      <c r="AE1930" s="1"/>
      <c r="AF1930" s="1"/>
    </row>
    <row r="1931" spans="31:32" x14ac:dyDescent="0.25">
      <c r="AE1931" s="1"/>
      <c r="AF1931" s="1"/>
    </row>
    <row r="1932" spans="31:32" x14ac:dyDescent="0.25">
      <c r="AE1932" s="1"/>
      <c r="AF1932" s="1"/>
    </row>
    <row r="1933" spans="31:32" x14ac:dyDescent="0.25">
      <c r="AE1933" s="1"/>
      <c r="AF1933" s="1"/>
    </row>
    <row r="1934" spans="31:32" x14ac:dyDescent="0.25">
      <c r="AE1934" s="1"/>
      <c r="AF1934" s="1"/>
    </row>
    <row r="1935" spans="31:32" x14ac:dyDescent="0.25">
      <c r="AE1935" s="1"/>
      <c r="AF1935" s="1"/>
    </row>
    <row r="1936" spans="31:32" x14ac:dyDescent="0.25">
      <c r="AE1936" s="1"/>
      <c r="AF1936" s="1"/>
    </row>
    <row r="1937" spans="31:32" x14ac:dyDescent="0.25">
      <c r="AE1937" s="1"/>
      <c r="AF1937" s="1"/>
    </row>
    <row r="1938" spans="31:32" x14ac:dyDescent="0.25">
      <c r="AE1938" s="1"/>
      <c r="AF1938" s="1"/>
    </row>
    <row r="1939" spans="31:32" x14ac:dyDescent="0.25">
      <c r="AE1939" s="1"/>
      <c r="AF1939" s="1"/>
    </row>
    <row r="1940" spans="31:32" x14ac:dyDescent="0.25">
      <c r="AE1940" s="1"/>
      <c r="AF1940" s="1"/>
    </row>
    <row r="1941" spans="31:32" x14ac:dyDescent="0.25">
      <c r="AE1941" s="1"/>
      <c r="AF1941" s="1"/>
    </row>
    <row r="1942" spans="31:32" x14ac:dyDescent="0.25">
      <c r="AE1942" s="1"/>
      <c r="AF1942" s="1"/>
    </row>
    <row r="1943" spans="31:32" x14ac:dyDescent="0.25">
      <c r="AE1943" s="1"/>
      <c r="AF1943" s="1"/>
    </row>
    <row r="1944" spans="31:32" x14ac:dyDescent="0.25">
      <c r="AE1944" s="1"/>
      <c r="AF1944" s="1"/>
    </row>
    <row r="1945" spans="31:32" x14ac:dyDescent="0.25">
      <c r="AE1945" s="1"/>
      <c r="AF1945" s="1"/>
    </row>
    <row r="1946" spans="31:32" x14ac:dyDescent="0.25">
      <c r="AE1946" s="1"/>
      <c r="AF1946" s="1"/>
    </row>
    <row r="1947" spans="31:32" x14ac:dyDescent="0.25">
      <c r="AE1947" s="1"/>
      <c r="AF1947" s="1"/>
    </row>
    <row r="1948" spans="31:32" x14ac:dyDescent="0.25">
      <c r="AE1948" s="1"/>
      <c r="AF1948" s="1"/>
    </row>
    <row r="1949" spans="31:32" x14ac:dyDescent="0.25">
      <c r="AE1949" s="1"/>
      <c r="AF1949" s="1"/>
    </row>
    <row r="1950" spans="31:32" x14ac:dyDescent="0.25">
      <c r="AE1950" s="1"/>
      <c r="AF1950" s="1"/>
    </row>
    <row r="1951" spans="31:32" x14ac:dyDescent="0.25">
      <c r="AE1951" s="1"/>
      <c r="AF1951" s="1"/>
    </row>
    <row r="1952" spans="31:32" x14ac:dyDescent="0.25">
      <c r="AE1952" s="1"/>
      <c r="AF1952" s="1"/>
    </row>
    <row r="1953" spans="31:32" x14ac:dyDescent="0.25">
      <c r="AE1953" s="1"/>
      <c r="AF1953" s="1"/>
    </row>
    <row r="1954" spans="31:32" x14ac:dyDescent="0.25">
      <c r="AE1954" s="1"/>
      <c r="AF1954" s="1"/>
    </row>
    <row r="1955" spans="31:32" x14ac:dyDescent="0.25">
      <c r="AE1955" s="1"/>
      <c r="AF1955" s="1"/>
    </row>
    <row r="1956" spans="31:32" x14ac:dyDescent="0.25">
      <c r="AE1956" s="1"/>
      <c r="AF1956" s="1"/>
    </row>
    <row r="1957" spans="31:32" x14ac:dyDescent="0.25">
      <c r="AE1957" s="1"/>
      <c r="AF1957" s="1"/>
    </row>
    <row r="1958" spans="31:32" x14ac:dyDescent="0.25">
      <c r="AE1958" s="1"/>
      <c r="AF1958" s="1"/>
    </row>
    <row r="1959" spans="31:32" x14ac:dyDescent="0.25">
      <c r="AE1959" s="1"/>
      <c r="AF1959" s="1"/>
    </row>
    <row r="1960" spans="31:32" x14ac:dyDescent="0.25">
      <c r="AE1960" s="1"/>
      <c r="AF1960" s="1"/>
    </row>
    <row r="1961" spans="31:32" x14ac:dyDescent="0.25">
      <c r="AE1961" s="1"/>
      <c r="AF1961" s="1"/>
    </row>
    <row r="1962" spans="31:32" x14ac:dyDescent="0.25">
      <c r="AE1962" s="1"/>
      <c r="AF1962" s="1"/>
    </row>
    <row r="1963" spans="31:32" x14ac:dyDescent="0.25">
      <c r="AE1963" s="1"/>
      <c r="AF1963" s="1"/>
    </row>
    <row r="1964" spans="31:32" x14ac:dyDescent="0.25">
      <c r="AE1964" s="1"/>
      <c r="AF1964" s="1"/>
    </row>
    <row r="1965" spans="31:32" x14ac:dyDescent="0.25">
      <c r="AE1965" s="1"/>
      <c r="AF1965" s="1"/>
    </row>
    <row r="1966" spans="31:32" x14ac:dyDescent="0.25">
      <c r="AE1966" s="1"/>
      <c r="AF1966" s="1"/>
    </row>
    <row r="1967" spans="31:32" x14ac:dyDescent="0.25">
      <c r="AE1967" s="1"/>
      <c r="AF1967" s="1"/>
    </row>
    <row r="1968" spans="31:32" x14ac:dyDescent="0.25">
      <c r="AE1968" s="1"/>
      <c r="AF1968" s="1"/>
    </row>
    <row r="1969" spans="31:32" x14ac:dyDescent="0.25">
      <c r="AE1969" s="1"/>
      <c r="AF1969" s="1"/>
    </row>
    <row r="1970" spans="31:32" x14ac:dyDescent="0.25">
      <c r="AE1970" s="1"/>
      <c r="AF1970" s="1"/>
    </row>
    <row r="1971" spans="31:32" x14ac:dyDescent="0.25">
      <c r="AE1971" s="1"/>
      <c r="AF1971" s="1"/>
    </row>
    <row r="1972" spans="31:32" x14ac:dyDescent="0.25">
      <c r="AE1972" s="1"/>
      <c r="AF1972" s="1"/>
    </row>
    <row r="1973" spans="31:32" x14ac:dyDescent="0.25">
      <c r="AE1973" s="1"/>
      <c r="AF1973" s="1"/>
    </row>
    <row r="1974" spans="31:32" x14ac:dyDescent="0.25">
      <c r="AE1974" s="1"/>
      <c r="AF1974" s="1"/>
    </row>
    <row r="1975" spans="31:32" x14ac:dyDescent="0.25">
      <c r="AE1975" s="1"/>
      <c r="AF1975" s="1"/>
    </row>
    <row r="1976" spans="31:32" x14ac:dyDescent="0.25">
      <c r="AE1976" s="1"/>
      <c r="AF1976" s="1"/>
    </row>
    <row r="1977" spans="31:32" x14ac:dyDescent="0.25">
      <c r="AE1977" s="1"/>
      <c r="AF1977" s="1"/>
    </row>
    <row r="1978" spans="31:32" x14ac:dyDescent="0.25">
      <c r="AE1978" s="1"/>
      <c r="AF1978" s="1"/>
    </row>
    <row r="1979" spans="31:32" x14ac:dyDescent="0.25">
      <c r="AE1979" s="1"/>
      <c r="AF1979" s="1"/>
    </row>
    <row r="1980" spans="31:32" x14ac:dyDescent="0.25">
      <c r="AE1980" s="1"/>
      <c r="AF1980" s="1"/>
    </row>
    <row r="1981" spans="31:32" x14ac:dyDescent="0.25">
      <c r="AE1981" s="1"/>
      <c r="AF1981" s="1"/>
    </row>
    <row r="1982" spans="31:32" x14ac:dyDescent="0.25">
      <c r="AE1982" s="1"/>
      <c r="AF1982" s="1"/>
    </row>
    <row r="1983" spans="31:32" x14ac:dyDescent="0.25">
      <c r="AE1983" s="1"/>
      <c r="AF1983" s="1"/>
    </row>
    <row r="1984" spans="31:32" x14ac:dyDescent="0.25">
      <c r="AE1984" s="1"/>
      <c r="AF1984" s="1"/>
    </row>
    <row r="1985" spans="31:32" x14ac:dyDescent="0.25">
      <c r="AE1985" s="1"/>
      <c r="AF1985" s="1"/>
    </row>
    <row r="1986" spans="31:32" x14ac:dyDescent="0.25">
      <c r="AE1986" s="1"/>
      <c r="AF1986" s="1"/>
    </row>
    <row r="1987" spans="31:32" x14ac:dyDescent="0.25">
      <c r="AE1987" s="1"/>
      <c r="AF1987" s="1"/>
    </row>
    <row r="1988" spans="31:32" x14ac:dyDescent="0.25">
      <c r="AE1988" s="1"/>
      <c r="AF1988" s="1"/>
    </row>
    <row r="1989" spans="31:32" x14ac:dyDescent="0.25">
      <c r="AE1989" s="1"/>
      <c r="AF1989" s="1"/>
    </row>
    <row r="1990" spans="31:32" x14ac:dyDescent="0.25">
      <c r="AE1990" s="1"/>
      <c r="AF1990" s="1"/>
    </row>
    <row r="1991" spans="31:32" x14ac:dyDescent="0.25">
      <c r="AE1991" s="1"/>
      <c r="AF1991" s="1"/>
    </row>
    <row r="1992" spans="31:32" x14ac:dyDescent="0.25">
      <c r="AE1992" s="1"/>
      <c r="AF1992" s="1"/>
    </row>
    <row r="1993" spans="31:32" x14ac:dyDescent="0.25">
      <c r="AE1993" s="1"/>
      <c r="AF1993" s="1"/>
    </row>
    <row r="1994" spans="31:32" x14ac:dyDescent="0.25">
      <c r="AE1994" s="1"/>
      <c r="AF1994" s="1"/>
    </row>
    <row r="1995" spans="31:32" x14ac:dyDescent="0.25">
      <c r="AE1995" s="1"/>
      <c r="AF1995" s="1"/>
    </row>
    <row r="1996" spans="31:32" x14ac:dyDescent="0.25">
      <c r="AE1996" s="1"/>
      <c r="AF1996" s="1"/>
    </row>
    <row r="1997" spans="31:32" x14ac:dyDescent="0.25">
      <c r="AE1997" s="1"/>
      <c r="AF1997" s="1"/>
    </row>
    <row r="1998" spans="31:32" x14ac:dyDescent="0.25">
      <c r="AE1998" s="1"/>
      <c r="AF1998" s="1"/>
    </row>
    <row r="1999" spans="31:32" x14ac:dyDescent="0.25">
      <c r="AE1999" s="1"/>
      <c r="AF1999" s="1"/>
    </row>
    <row r="2000" spans="31:32" x14ac:dyDescent="0.25">
      <c r="AE2000" s="1"/>
      <c r="AF2000" s="1"/>
    </row>
    <row r="2001" spans="31:32" x14ac:dyDescent="0.25">
      <c r="AE2001" s="1"/>
      <c r="AF2001" s="1"/>
    </row>
    <row r="2002" spans="31:32" x14ac:dyDescent="0.25">
      <c r="AE2002" s="1"/>
      <c r="AF2002" s="1"/>
    </row>
    <row r="2003" spans="31:32" x14ac:dyDescent="0.25">
      <c r="AE2003" s="1"/>
      <c r="AF2003" s="1"/>
    </row>
    <row r="2004" spans="31:32" x14ac:dyDescent="0.25">
      <c r="AE2004" s="1"/>
      <c r="AF2004" s="1"/>
    </row>
    <row r="2005" spans="31:32" x14ac:dyDescent="0.25">
      <c r="AE2005" s="1"/>
      <c r="AF2005" s="1"/>
    </row>
    <row r="2006" spans="31:32" x14ac:dyDescent="0.25">
      <c r="AE2006" s="1"/>
      <c r="AF2006" s="1"/>
    </row>
    <row r="2007" spans="31:32" x14ac:dyDescent="0.25">
      <c r="AE2007" s="1"/>
      <c r="AF2007" s="1"/>
    </row>
    <row r="2008" spans="31:32" x14ac:dyDescent="0.25">
      <c r="AE2008" s="1"/>
      <c r="AF2008" s="1"/>
    </row>
    <row r="2009" spans="31:32" x14ac:dyDescent="0.25">
      <c r="AE2009" s="1"/>
      <c r="AF2009" s="1"/>
    </row>
    <row r="2010" spans="31:32" x14ac:dyDescent="0.25">
      <c r="AE2010" s="1"/>
      <c r="AF2010" s="1"/>
    </row>
    <row r="2011" spans="31:32" x14ac:dyDescent="0.25">
      <c r="AE2011" s="1"/>
      <c r="AF2011" s="1"/>
    </row>
    <row r="2012" spans="31:32" x14ac:dyDescent="0.25">
      <c r="AE2012" s="1"/>
      <c r="AF2012" s="1"/>
    </row>
    <row r="2013" spans="31:32" x14ac:dyDescent="0.25">
      <c r="AE2013" s="1"/>
      <c r="AF2013" s="1"/>
    </row>
    <row r="2014" spans="31:32" x14ac:dyDescent="0.25">
      <c r="AE2014" s="1"/>
      <c r="AF2014" s="1"/>
    </row>
    <row r="2015" spans="31:32" x14ac:dyDescent="0.25">
      <c r="AE2015" s="1"/>
      <c r="AF2015" s="1"/>
    </row>
    <row r="2016" spans="31:32" x14ac:dyDescent="0.25">
      <c r="AE2016" s="1"/>
      <c r="AF2016" s="1"/>
    </row>
    <row r="2017" spans="31:32" x14ac:dyDescent="0.25">
      <c r="AE2017" s="1"/>
      <c r="AF2017" s="1"/>
    </row>
    <row r="2018" spans="31:32" x14ac:dyDescent="0.25">
      <c r="AE2018" s="1"/>
      <c r="AF2018" s="1"/>
    </row>
    <row r="2019" spans="31:32" x14ac:dyDescent="0.25">
      <c r="AE2019" s="1"/>
      <c r="AF2019" s="1"/>
    </row>
    <row r="2020" spans="31:32" x14ac:dyDescent="0.25">
      <c r="AE2020" s="1"/>
      <c r="AF2020" s="1"/>
    </row>
    <row r="2021" spans="31:32" x14ac:dyDescent="0.25">
      <c r="AE2021" s="1"/>
      <c r="AF2021" s="1"/>
    </row>
    <row r="2022" spans="31:32" x14ac:dyDescent="0.25">
      <c r="AE2022" s="1"/>
      <c r="AF2022" s="1"/>
    </row>
    <row r="2023" spans="31:32" x14ac:dyDescent="0.25">
      <c r="AE2023" s="1"/>
      <c r="AF2023" s="1"/>
    </row>
    <row r="2024" spans="31:32" x14ac:dyDescent="0.25">
      <c r="AE2024" s="1"/>
      <c r="AF2024" s="1"/>
    </row>
    <row r="2025" spans="31:32" x14ac:dyDescent="0.25">
      <c r="AE2025" s="1"/>
      <c r="AF2025" s="1"/>
    </row>
    <row r="2026" spans="31:32" x14ac:dyDescent="0.25">
      <c r="AE2026" s="1"/>
      <c r="AF2026" s="1"/>
    </row>
    <row r="2027" spans="31:32" x14ac:dyDescent="0.25">
      <c r="AE2027" s="1"/>
      <c r="AF2027" s="1"/>
    </row>
    <row r="2028" spans="31:32" x14ac:dyDescent="0.25">
      <c r="AE2028" s="1"/>
      <c r="AF2028" s="1"/>
    </row>
    <row r="2029" spans="31:32" x14ac:dyDescent="0.25">
      <c r="AE2029" s="1"/>
      <c r="AF2029" s="1"/>
    </row>
    <row r="2030" spans="31:32" x14ac:dyDescent="0.25">
      <c r="AE2030" s="1"/>
      <c r="AF2030" s="1"/>
    </row>
    <row r="2031" spans="31:32" x14ac:dyDescent="0.25">
      <c r="AE2031" s="1"/>
      <c r="AF2031" s="1"/>
    </row>
    <row r="2032" spans="31:32" x14ac:dyDescent="0.25">
      <c r="AE2032" s="1"/>
      <c r="AF2032" s="1"/>
    </row>
    <row r="2033" spans="31:32" x14ac:dyDescent="0.25">
      <c r="AE2033" s="1"/>
      <c r="AF2033" s="1"/>
    </row>
    <row r="2034" spans="31:32" x14ac:dyDescent="0.25">
      <c r="AE2034" s="1"/>
      <c r="AF2034" s="1"/>
    </row>
    <row r="2035" spans="31:32" x14ac:dyDescent="0.25">
      <c r="AE2035" s="1"/>
      <c r="AF2035" s="1"/>
    </row>
    <row r="2036" spans="31:32" x14ac:dyDescent="0.25">
      <c r="AE2036" s="1"/>
      <c r="AF2036" s="1"/>
    </row>
    <row r="2037" spans="31:32" x14ac:dyDescent="0.25">
      <c r="AE2037" s="1"/>
      <c r="AF2037" s="1"/>
    </row>
    <row r="2038" spans="31:32" x14ac:dyDescent="0.25">
      <c r="AE2038" s="1"/>
      <c r="AF2038" s="1"/>
    </row>
    <row r="2039" spans="31:32" x14ac:dyDescent="0.25">
      <c r="AE2039" s="1"/>
      <c r="AF2039" s="1"/>
    </row>
    <row r="2040" spans="31:32" x14ac:dyDescent="0.25">
      <c r="AE2040" s="1"/>
      <c r="AF2040" s="1"/>
    </row>
    <row r="2041" spans="31:32" x14ac:dyDescent="0.25">
      <c r="AE2041" s="1"/>
      <c r="AF2041" s="1"/>
    </row>
    <row r="2042" spans="31:32" x14ac:dyDescent="0.25">
      <c r="AE2042" s="1"/>
      <c r="AF2042" s="1"/>
    </row>
    <row r="2043" spans="31:32" x14ac:dyDescent="0.25">
      <c r="AE2043" s="1"/>
      <c r="AF2043" s="1"/>
    </row>
    <row r="2044" spans="31:32" x14ac:dyDescent="0.25">
      <c r="AE2044" s="1"/>
      <c r="AF2044" s="1"/>
    </row>
    <row r="2045" spans="31:32" x14ac:dyDescent="0.25">
      <c r="AE2045" s="1"/>
      <c r="AF2045" s="1"/>
    </row>
    <row r="2046" spans="31:32" x14ac:dyDescent="0.25">
      <c r="AE2046" s="1"/>
      <c r="AF2046" s="1"/>
    </row>
    <row r="2047" spans="31:32" x14ac:dyDescent="0.25">
      <c r="AE2047" s="1"/>
      <c r="AF2047" s="1"/>
    </row>
    <row r="2048" spans="31:32" x14ac:dyDescent="0.25">
      <c r="AE2048" s="1"/>
      <c r="AF2048" s="1"/>
    </row>
    <row r="2049" spans="31:32" x14ac:dyDescent="0.25">
      <c r="AE2049" s="1"/>
      <c r="AF2049" s="1"/>
    </row>
    <row r="2050" spans="31:32" x14ac:dyDescent="0.25">
      <c r="AE2050" s="1"/>
      <c r="AF2050" s="1"/>
    </row>
    <row r="2051" spans="31:32" x14ac:dyDescent="0.25">
      <c r="AE2051" s="1"/>
      <c r="AF2051" s="1"/>
    </row>
    <row r="2052" spans="31:32" x14ac:dyDescent="0.25">
      <c r="AE2052" s="1"/>
      <c r="AF2052" s="1"/>
    </row>
    <row r="2053" spans="31:32" x14ac:dyDescent="0.25">
      <c r="AE2053" s="1"/>
      <c r="AF2053" s="1"/>
    </row>
    <row r="2054" spans="31:32" x14ac:dyDescent="0.25">
      <c r="AE2054" s="1"/>
      <c r="AF2054" s="1"/>
    </row>
    <row r="2055" spans="31:32" x14ac:dyDescent="0.25">
      <c r="AE2055" s="1"/>
      <c r="AF2055" s="1"/>
    </row>
    <row r="2056" spans="31:32" x14ac:dyDescent="0.25">
      <c r="AE2056" s="1"/>
      <c r="AF2056" s="1"/>
    </row>
    <row r="2057" spans="31:32" x14ac:dyDescent="0.25">
      <c r="AF2057" s="1"/>
    </row>
    <row r="2058" spans="31:32" x14ac:dyDescent="0.25">
      <c r="AF2058" s="1"/>
    </row>
    <row r="2059" spans="31:32" x14ac:dyDescent="0.25">
      <c r="AE2059" s="1"/>
      <c r="AF2059" s="1"/>
    </row>
    <row r="2060" spans="31:32" x14ac:dyDescent="0.25">
      <c r="AE2060" s="1"/>
      <c r="AF2060" s="1"/>
    </row>
    <row r="2061" spans="31:32" x14ac:dyDescent="0.25">
      <c r="AE2061" s="1"/>
      <c r="AF2061" s="1"/>
    </row>
    <row r="2062" spans="31:32" x14ac:dyDescent="0.25">
      <c r="AE2062" s="1"/>
      <c r="AF2062" s="1"/>
    </row>
    <row r="2063" spans="31:32" x14ac:dyDescent="0.25">
      <c r="AE2063" s="1"/>
      <c r="AF2063" s="1"/>
    </row>
    <row r="2064" spans="31:32" x14ac:dyDescent="0.25">
      <c r="AE2064" s="1"/>
      <c r="AF2064" s="1"/>
    </row>
    <row r="2065" spans="31:32" x14ac:dyDescent="0.25">
      <c r="AF2065" s="1"/>
    </row>
    <row r="2066" spans="31:32" x14ac:dyDescent="0.25">
      <c r="AE2066" s="1"/>
      <c r="AF2066" s="1"/>
    </row>
    <row r="2067" spans="31:32" x14ac:dyDescent="0.25">
      <c r="AF2067" s="1"/>
    </row>
    <row r="2068" spans="31:32" x14ac:dyDescent="0.25">
      <c r="AE2068" s="1"/>
      <c r="AF2068" s="1"/>
    </row>
    <row r="2069" spans="31:32" x14ac:dyDescent="0.25">
      <c r="AE2069" s="1"/>
      <c r="AF2069" s="1"/>
    </row>
    <row r="2070" spans="31:32" x14ac:dyDescent="0.25">
      <c r="AF2070" s="1"/>
    </row>
    <row r="2071" spans="31:32" x14ac:dyDescent="0.25">
      <c r="AE2071" s="1"/>
      <c r="AF2071" s="1"/>
    </row>
    <row r="2072" spans="31:32" x14ac:dyDescent="0.25">
      <c r="AE2072" s="1"/>
      <c r="AF2072" s="1"/>
    </row>
    <row r="2073" spans="31:32" x14ac:dyDescent="0.25">
      <c r="AE2073" s="1"/>
      <c r="AF2073" s="1"/>
    </row>
    <row r="2074" spans="31:32" x14ac:dyDescent="0.25">
      <c r="AE2074" s="1"/>
      <c r="AF2074" s="1"/>
    </row>
    <row r="2075" spans="31:32" x14ac:dyDescent="0.25">
      <c r="AE2075" s="1"/>
      <c r="AF2075" s="1"/>
    </row>
    <row r="2076" spans="31:32" x14ac:dyDescent="0.25">
      <c r="AE2076" s="1"/>
      <c r="AF2076" s="1"/>
    </row>
    <row r="2077" spans="31:32" x14ac:dyDescent="0.25">
      <c r="AE2077" s="1"/>
      <c r="AF2077" s="1"/>
    </row>
    <row r="2078" spans="31:32" x14ac:dyDescent="0.25">
      <c r="AE2078" s="1"/>
      <c r="AF2078" s="1"/>
    </row>
    <row r="2079" spans="31:32" x14ac:dyDescent="0.25">
      <c r="AE2079" s="1"/>
      <c r="AF2079" s="1"/>
    </row>
    <row r="2080" spans="31:32" x14ac:dyDescent="0.25">
      <c r="AE2080" s="1"/>
      <c r="AF2080" s="1"/>
    </row>
    <row r="2081" spans="31:32" x14ac:dyDescent="0.25">
      <c r="AE2081" s="1"/>
      <c r="AF2081" s="1"/>
    </row>
    <row r="2082" spans="31:32" x14ac:dyDescent="0.25">
      <c r="AE2082" s="1"/>
      <c r="AF2082" s="1"/>
    </row>
    <row r="2083" spans="31:32" x14ac:dyDescent="0.25">
      <c r="AE2083" s="1"/>
      <c r="AF2083" s="1"/>
    </row>
    <row r="2084" spans="31:32" x14ac:dyDescent="0.25">
      <c r="AE2084" s="1"/>
      <c r="AF2084" s="1"/>
    </row>
    <row r="2085" spans="31:32" x14ac:dyDescent="0.25">
      <c r="AE2085" s="1"/>
      <c r="AF2085" s="1"/>
    </row>
    <row r="2086" spans="31:32" x14ac:dyDescent="0.25">
      <c r="AE2086" s="1"/>
      <c r="AF2086" s="1"/>
    </row>
    <row r="2087" spans="31:32" x14ac:dyDescent="0.25">
      <c r="AE2087" s="1"/>
      <c r="AF2087" s="1"/>
    </row>
    <row r="2088" spans="31:32" x14ac:dyDescent="0.25">
      <c r="AE2088" s="1"/>
      <c r="AF2088" s="1"/>
    </row>
    <row r="2089" spans="31:32" x14ac:dyDescent="0.25">
      <c r="AE2089" s="1"/>
      <c r="AF2089" s="1"/>
    </row>
    <row r="2090" spans="31:32" x14ac:dyDescent="0.25">
      <c r="AE2090" s="1"/>
      <c r="AF2090" s="1"/>
    </row>
    <row r="2091" spans="31:32" x14ac:dyDescent="0.25">
      <c r="AE2091" s="1"/>
      <c r="AF2091" s="1"/>
    </row>
    <row r="2092" spans="31:32" x14ac:dyDescent="0.25">
      <c r="AE2092" s="1"/>
      <c r="AF2092" s="1"/>
    </row>
    <row r="2093" spans="31:32" x14ac:dyDescent="0.25">
      <c r="AE2093" s="1"/>
      <c r="AF2093" s="1"/>
    </row>
    <row r="2094" spans="31:32" x14ac:dyDescent="0.25">
      <c r="AE2094" s="1"/>
      <c r="AF2094" s="1"/>
    </row>
    <row r="2095" spans="31:32" x14ac:dyDescent="0.25">
      <c r="AE2095" s="1"/>
      <c r="AF2095" s="1"/>
    </row>
    <row r="2096" spans="31:32" x14ac:dyDescent="0.25">
      <c r="AE2096" s="1"/>
      <c r="AF2096" s="1"/>
    </row>
    <row r="2097" spans="31:32" x14ac:dyDescent="0.25">
      <c r="AE2097" s="1"/>
      <c r="AF2097" s="1"/>
    </row>
    <row r="2098" spans="31:32" x14ac:dyDescent="0.25">
      <c r="AE2098" s="1"/>
      <c r="AF2098" s="1"/>
    </row>
    <row r="2099" spans="31:32" x14ac:dyDescent="0.25">
      <c r="AE2099" s="1"/>
      <c r="AF2099" s="1"/>
    </row>
    <row r="2100" spans="31:32" x14ac:dyDescent="0.25">
      <c r="AE2100" s="1"/>
      <c r="AF2100" s="1"/>
    </row>
    <row r="2101" spans="31:32" x14ac:dyDescent="0.25">
      <c r="AE2101" s="1"/>
      <c r="AF2101" s="1"/>
    </row>
    <row r="2102" spans="31:32" x14ac:dyDescent="0.25">
      <c r="AE2102" s="1"/>
      <c r="AF2102" s="1"/>
    </row>
    <row r="2103" spans="31:32" x14ac:dyDescent="0.25">
      <c r="AE2103" s="1"/>
      <c r="AF2103" s="1"/>
    </row>
    <row r="2104" spans="31:32" x14ac:dyDescent="0.25">
      <c r="AE2104" s="1"/>
      <c r="AF2104" s="1"/>
    </row>
    <row r="2105" spans="31:32" x14ac:dyDescent="0.25">
      <c r="AE2105" s="1"/>
      <c r="AF2105" s="1"/>
    </row>
    <row r="2106" spans="31:32" x14ac:dyDescent="0.25">
      <c r="AE2106" s="1"/>
      <c r="AF2106" s="1"/>
    </row>
    <row r="2107" spans="31:32" x14ac:dyDescent="0.25">
      <c r="AE2107" s="1"/>
      <c r="AF2107" s="1"/>
    </row>
    <row r="2108" spans="31:32" x14ac:dyDescent="0.25">
      <c r="AE2108" s="1"/>
      <c r="AF2108" s="1"/>
    </row>
    <row r="2109" spans="31:32" x14ac:dyDescent="0.25">
      <c r="AE2109" s="1"/>
      <c r="AF2109" s="1"/>
    </row>
    <row r="2110" spans="31:32" x14ac:dyDescent="0.25">
      <c r="AE2110" s="1"/>
      <c r="AF2110" s="1"/>
    </row>
    <row r="2111" spans="31:32" x14ac:dyDescent="0.25">
      <c r="AE2111" s="1"/>
      <c r="AF2111" s="1"/>
    </row>
    <row r="2112" spans="31:32" x14ac:dyDescent="0.25">
      <c r="AE2112" s="1"/>
      <c r="AF2112" s="1"/>
    </row>
    <row r="2113" spans="31:32" x14ac:dyDescent="0.25">
      <c r="AE2113" s="1"/>
      <c r="AF2113" s="1"/>
    </row>
    <row r="2114" spans="31:32" x14ac:dyDescent="0.25">
      <c r="AE2114" s="1"/>
      <c r="AF2114" s="1"/>
    </row>
    <row r="2115" spans="31:32" x14ac:dyDescent="0.25">
      <c r="AE2115" s="1"/>
      <c r="AF2115" s="1"/>
    </row>
    <row r="2116" spans="31:32" x14ac:dyDescent="0.25">
      <c r="AE2116" s="1"/>
      <c r="AF2116" s="1"/>
    </row>
    <row r="2117" spans="31:32" x14ac:dyDescent="0.25">
      <c r="AE2117" s="1"/>
      <c r="AF2117" s="1"/>
    </row>
    <row r="2118" spans="31:32" x14ac:dyDescent="0.25">
      <c r="AE2118" s="1"/>
      <c r="AF2118" s="1"/>
    </row>
    <row r="2119" spans="31:32" x14ac:dyDescent="0.25">
      <c r="AE2119" s="1"/>
      <c r="AF2119" s="1"/>
    </row>
    <row r="2120" spans="31:32" x14ac:dyDescent="0.25">
      <c r="AE2120" s="1"/>
      <c r="AF2120" s="1"/>
    </row>
    <row r="2121" spans="31:32" x14ac:dyDescent="0.25">
      <c r="AE2121" s="1"/>
      <c r="AF2121" s="1"/>
    </row>
    <row r="2122" spans="31:32" x14ac:dyDescent="0.25">
      <c r="AE2122" s="1"/>
      <c r="AF2122" s="1"/>
    </row>
    <row r="2123" spans="31:32" x14ac:dyDescent="0.25">
      <c r="AE2123" s="1"/>
      <c r="AF2123" s="1"/>
    </row>
    <row r="2124" spans="31:32" x14ac:dyDescent="0.25">
      <c r="AE2124" s="1"/>
      <c r="AF2124" s="1"/>
    </row>
    <row r="2125" spans="31:32" x14ac:dyDescent="0.25">
      <c r="AE2125" s="1"/>
      <c r="AF2125" s="1"/>
    </row>
    <row r="2126" spans="31:32" x14ac:dyDescent="0.25">
      <c r="AE2126" s="1"/>
      <c r="AF2126" s="1"/>
    </row>
    <row r="2127" spans="31:32" x14ac:dyDescent="0.25">
      <c r="AE2127" s="1"/>
      <c r="AF2127" s="1"/>
    </row>
    <row r="2128" spans="31:32" x14ac:dyDescent="0.25">
      <c r="AE2128" s="1"/>
      <c r="AF2128" s="1"/>
    </row>
    <row r="2129" spans="31:32" x14ac:dyDescent="0.25">
      <c r="AE2129" s="1"/>
      <c r="AF2129" s="1"/>
    </row>
    <row r="2130" spans="31:32" x14ac:dyDescent="0.25">
      <c r="AE2130" s="1"/>
      <c r="AF2130" s="1"/>
    </row>
    <row r="2131" spans="31:32" x14ac:dyDescent="0.25">
      <c r="AE2131" s="1"/>
      <c r="AF2131" s="1"/>
    </row>
    <row r="2132" spans="31:32" x14ac:dyDescent="0.25">
      <c r="AE2132" s="1"/>
      <c r="AF2132" s="1"/>
    </row>
    <row r="2133" spans="31:32" x14ac:dyDescent="0.25">
      <c r="AE2133" s="1"/>
      <c r="AF2133" s="1"/>
    </row>
    <row r="2134" spans="31:32" x14ac:dyDescent="0.25">
      <c r="AE2134" s="1"/>
      <c r="AF2134" s="1"/>
    </row>
    <row r="2135" spans="31:32" x14ac:dyDescent="0.25">
      <c r="AE2135" s="1"/>
      <c r="AF2135" s="1"/>
    </row>
    <row r="2136" spans="31:32" x14ac:dyDescent="0.25">
      <c r="AE2136" s="1"/>
      <c r="AF2136" s="1"/>
    </row>
    <row r="2137" spans="31:32" x14ac:dyDescent="0.25">
      <c r="AE2137" s="1"/>
      <c r="AF2137" s="1"/>
    </row>
    <row r="2138" spans="31:32" x14ac:dyDescent="0.25">
      <c r="AE2138" s="1"/>
      <c r="AF2138" s="1"/>
    </row>
    <row r="2139" spans="31:32" x14ac:dyDescent="0.25">
      <c r="AE2139" s="1"/>
      <c r="AF2139" s="1"/>
    </row>
    <row r="2140" spans="31:32" x14ac:dyDescent="0.25">
      <c r="AE2140" s="1"/>
      <c r="AF2140" s="1"/>
    </row>
    <row r="2141" spans="31:32" x14ac:dyDescent="0.25">
      <c r="AE2141" s="1"/>
      <c r="AF2141" s="1"/>
    </row>
    <row r="2142" spans="31:32" x14ac:dyDescent="0.25">
      <c r="AE2142" s="1"/>
      <c r="AF2142" s="1"/>
    </row>
    <row r="2143" spans="31:32" x14ac:dyDescent="0.25">
      <c r="AE2143" s="1"/>
      <c r="AF2143" s="1"/>
    </row>
    <row r="2144" spans="31:32" x14ac:dyDescent="0.25">
      <c r="AE2144" s="1"/>
      <c r="AF2144" s="1"/>
    </row>
    <row r="2145" spans="31:32" x14ac:dyDescent="0.25">
      <c r="AE2145" s="1"/>
      <c r="AF2145" s="1"/>
    </row>
    <row r="2146" spans="31:32" x14ac:dyDescent="0.25">
      <c r="AE2146" s="1"/>
      <c r="AF2146" s="1"/>
    </row>
    <row r="2147" spans="31:32" x14ac:dyDescent="0.25">
      <c r="AE2147" s="1"/>
      <c r="AF2147" s="1"/>
    </row>
    <row r="2148" spans="31:32" x14ac:dyDescent="0.25">
      <c r="AE2148" s="1"/>
      <c r="AF2148" s="1"/>
    </row>
    <row r="2149" spans="31:32" x14ac:dyDescent="0.25">
      <c r="AE2149" s="1"/>
      <c r="AF2149" s="1"/>
    </row>
    <row r="2150" spans="31:32" x14ac:dyDescent="0.25">
      <c r="AE2150" s="1"/>
      <c r="AF2150" s="1"/>
    </row>
    <row r="2151" spans="31:32" x14ac:dyDescent="0.25">
      <c r="AE2151" s="1"/>
      <c r="AF2151" s="1"/>
    </row>
    <row r="2152" spans="31:32" x14ac:dyDescent="0.25">
      <c r="AE2152" s="1"/>
      <c r="AF2152" s="1"/>
    </row>
    <row r="2153" spans="31:32" x14ac:dyDescent="0.25">
      <c r="AE2153" s="1"/>
      <c r="AF2153" s="1"/>
    </row>
    <row r="2154" spans="31:32" x14ac:dyDescent="0.25">
      <c r="AE2154" s="1"/>
      <c r="AF2154" s="1"/>
    </row>
    <row r="2155" spans="31:32" x14ac:dyDescent="0.25">
      <c r="AE2155" s="1"/>
      <c r="AF2155" s="1"/>
    </row>
    <row r="2156" spans="31:32" x14ac:dyDescent="0.25">
      <c r="AE2156" s="1"/>
      <c r="AF2156" s="1"/>
    </row>
    <row r="2157" spans="31:32" x14ac:dyDescent="0.25">
      <c r="AE2157" s="1"/>
      <c r="AF2157" s="1"/>
    </row>
    <row r="2158" spans="31:32" x14ac:dyDescent="0.25">
      <c r="AE2158" s="1"/>
      <c r="AF2158" s="1"/>
    </row>
    <row r="2159" spans="31:32" x14ac:dyDescent="0.25">
      <c r="AE2159" s="1"/>
      <c r="AF2159" s="1"/>
    </row>
    <row r="2160" spans="31:32" x14ac:dyDescent="0.25">
      <c r="AE2160" s="1"/>
      <c r="AF2160" s="1"/>
    </row>
    <row r="2161" spans="31:32" x14ac:dyDescent="0.25">
      <c r="AE2161" s="1"/>
      <c r="AF2161" s="1"/>
    </row>
    <row r="2162" spans="31:32" x14ac:dyDescent="0.25">
      <c r="AE2162" s="1"/>
      <c r="AF2162" s="1"/>
    </row>
    <row r="2163" spans="31:32" x14ac:dyDescent="0.25">
      <c r="AE2163" s="1"/>
      <c r="AF2163" s="1"/>
    </row>
    <row r="2164" spans="31:32" x14ac:dyDescent="0.25">
      <c r="AE2164" s="1"/>
      <c r="AF2164" s="1"/>
    </row>
    <row r="2165" spans="31:32" x14ac:dyDescent="0.25">
      <c r="AE2165" s="1"/>
      <c r="AF2165" s="1"/>
    </row>
    <row r="2166" spans="31:32" x14ac:dyDescent="0.25">
      <c r="AE2166" s="1"/>
      <c r="AF2166" s="1"/>
    </row>
    <row r="2167" spans="31:32" x14ac:dyDescent="0.25">
      <c r="AE2167" s="1"/>
      <c r="AF2167" s="1"/>
    </row>
    <row r="2168" spans="31:32" x14ac:dyDescent="0.25">
      <c r="AE2168" s="1"/>
      <c r="AF2168" s="1"/>
    </row>
  </sheetData>
  <autoFilter ref="A1:L1491" xr:uid="{31D05F7C-8A27-4082-A09B-9BE60B0BD1DA}">
    <filterColumn colId="11">
      <filters>
        <filter val="Yes"/>
      </filters>
    </filterColumn>
  </autoFilter>
  <phoneticPr fontId="1" type="noConversion"/>
  <conditionalFormatting sqref="K1:K1048576">
    <cfRule type="duplicateValues" dxfId="0"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0068-2816-416D-ADB4-5354663948CA}">
  <dimension ref="A1:M2414"/>
  <sheetViews>
    <sheetView zoomScale="70" zoomScaleNormal="70" workbookViewId="0">
      <pane ySplit="1" topLeftCell="A2" activePane="bottomLeft" state="frozen"/>
      <selection pane="bottomLeft"/>
    </sheetView>
  </sheetViews>
  <sheetFormatPr defaultRowHeight="15" x14ac:dyDescent="0.25"/>
  <cols>
    <col min="1" max="1" width="7.28515625" customWidth="1"/>
    <col min="2" max="2" width="9.42578125" bestFit="1" customWidth="1"/>
    <col min="3" max="3" width="11.28515625" bestFit="1" customWidth="1"/>
    <col min="4" max="4" width="11.5703125" bestFit="1" customWidth="1"/>
    <col min="5" max="5" width="18.42578125" bestFit="1" customWidth="1"/>
    <col min="6" max="6" width="33.140625" bestFit="1" customWidth="1"/>
    <col min="7" max="7" width="35.140625" bestFit="1" customWidth="1"/>
    <col min="8" max="8" width="22.5703125" bestFit="1" customWidth="1"/>
    <col min="9" max="9" width="17.42578125" bestFit="1" customWidth="1"/>
    <col min="10" max="10" width="19.7109375" bestFit="1" customWidth="1"/>
    <col min="11" max="11" width="35.42578125" bestFit="1" customWidth="1"/>
    <col min="12" max="12" width="13.42578125" bestFit="1" customWidth="1"/>
    <col min="13" max="13" width="12.5703125" bestFit="1" customWidth="1"/>
    <col min="16" max="16" width="48.28515625" bestFit="1" customWidth="1"/>
  </cols>
  <sheetData>
    <row r="1" spans="1:13" x14ac:dyDescent="0.25">
      <c r="A1" t="s">
        <v>709</v>
      </c>
      <c r="B1" t="s">
        <v>0</v>
      </c>
      <c r="C1" t="s">
        <v>2</v>
      </c>
      <c r="D1" t="s">
        <v>1</v>
      </c>
      <c r="E1" t="s">
        <v>3</v>
      </c>
      <c r="F1" t="s">
        <v>2752</v>
      </c>
      <c r="G1" t="s">
        <v>2172</v>
      </c>
      <c r="H1" t="s">
        <v>2753</v>
      </c>
      <c r="I1" t="s">
        <v>746</v>
      </c>
      <c r="J1" t="s">
        <v>747</v>
      </c>
      <c r="K1" t="s">
        <v>3803</v>
      </c>
      <c r="L1" t="s">
        <v>6407</v>
      </c>
      <c r="M1" t="s">
        <v>6432</v>
      </c>
    </row>
    <row r="2" spans="1:13" x14ac:dyDescent="0.25">
      <c r="A2">
        <v>2022</v>
      </c>
      <c r="B2" t="s">
        <v>70</v>
      </c>
      <c r="C2" t="s">
        <v>71</v>
      </c>
      <c r="D2" t="s">
        <v>30</v>
      </c>
      <c r="E2" t="s">
        <v>477</v>
      </c>
      <c r="F2">
        <v>4500243699</v>
      </c>
      <c r="G2" t="s">
        <v>3820</v>
      </c>
      <c r="H2" t="s">
        <v>3806</v>
      </c>
      <c r="I2" t="s">
        <v>744</v>
      </c>
      <c r="J2" t="s">
        <v>477</v>
      </c>
      <c r="K2" s="2">
        <v>51278</v>
      </c>
      <c r="L2" t="s">
        <v>6408</v>
      </c>
      <c r="M2" t="str" cm="1">
        <f t="array" ref="M2">INDEX('Org List'!$A$2:$C$1005,MATCH(Consolidated!I2&amp;Consolidated!J2,'Org List'!$A$2:$A$1005&amp;'Org List'!$B$2:$B$1005,0),3)</f>
        <v>NGOs: National</v>
      </c>
    </row>
    <row r="3" spans="1:13" x14ac:dyDescent="0.25">
      <c r="A3">
        <v>2022</v>
      </c>
      <c r="B3" t="s">
        <v>70</v>
      </c>
      <c r="C3" t="s">
        <v>71</v>
      </c>
      <c r="D3" t="s">
        <v>30</v>
      </c>
      <c r="E3" t="s">
        <v>477</v>
      </c>
      <c r="F3">
        <v>4500243703</v>
      </c>
      <c r="G3" t="s">
        <v>3821</v>
      </c>
      <c r="H3" t="s">
        <v>3806</v>
      </c>
      <c r="I3" t="s">
        <v>506</v>
      </c>
      <c r="J3" t="s">
        <v>477</v>
      </c>
      <c r="K3" s="2">
        <v>26577</v>
      </c>
      <c r="L3" t="s">
        <v>6408</v>
      </c>
      <c r="M3" t="str" cm="1">
        <f t="array" ref="M3">INDEX('Org List'!$A$2:$C$1005,MATCH(Consolidated!I3&amp;Consolidated!J3,'Org List'!$A$2:$A$1005&amp;'Org List'!$B$2:$B$1005,0),3)</f>
        <v>NGOs: National</v>
      </c>
    </row>
    <row r="4" spans="1:13" x14ac:dyDescent="0.25">
      <c r="A4">
        <v>2022</v>
      </c>
      <c r="B4" t="s">
        <v>3822</v>
      </c>
      <c r="C4" t="s">
        <v>3823</v>
      </c>
      <c r="D4" t="s">
        <v>30</v>
      </c>
      <c r="E4" t="s">
        <v>3824</v>
      </c>
      <c r="F4">
        <v>4500197484</v>
      </c>
      <c r="G4" t="s">
        <v>3825</v>
      </c>
      <c r="H4" t="s">
        <v>3806</v>
      </c>
      <c r="I4" t="s">
        <v>3826</v>
      </c>
      <c r="J4" t="s">
        <v>3824</v>
      </c>
      <c r="K4" s="2">
        <v>200000</v>
      </c>
      <c r="L4" t="s">
        <v>6408</v>
      </c>
      <c r="M4" t="str" cm="1">
        <f t="array" ref="M4">INDEX('Org List'!$A$2:$C$1005,MATCH(Consolidated!I4&amp;Consolidated!J4,'Org List'!$A$2:$A$1005&amp;'Org List'!$B$2:$B$1005,0),3)</f>
        <v>NGOs: National</v>
      </c>
    </row>
    <row r="5" spans="1:13" x14ac:dyDescent="0.25">
      <c r="A5">
        <v>2022</v>
      </c>
      <c r="B5" t="s">
        <v>3827</v>
      </c>
      <c r="C5" t="s">
        <v>3828</v>
      </c>
      <c r="D5" t="s">
        <v>30</v>
      </c>
      <c r="E5" t="s">
        <v>305</v>
      </c>
      <c r="F5">
        <v>4500220613</v>
      </c>
      <c r="G5" t="s">
        <v>3829</v>
      </c>
      <c r="H5" t="s">
        <v>3806</v>
      </c>
      <c r="I5" t="s">
        <v>3830</v>
      </c>
      <c r="J5" t="s">
        <v>305</v>
      </c>
      <c r="K5" s="2">
        <v>110733</v>
      </c>
      <c r="L5" t="s">
        <v>6408</v>
      </c>
      <c r="M5" t="str" cm="1">
        <f t="array" ref="M5">INDEX('Org List'!$A$2:$C$1005,MATCH(Consolidated!I5&amp;Consolidated!J5,'Org List'!$A$2:$A$1005&amp;'Org List'!$B$2:$B$1005,0),3)</f>
        <v>NGOs: National</v>
      </c>
    </row>
    <row r="6" spans="1:13" x14ac:dyDescent="0.25">
      <c r="A6">
        <v>2022</v>
      </c>
      <c r="B6" t="s">
        <v>3827</v>
      </c>
      <c r="C6" t="s">
        <v>3828</v>
      </c>
      <c r="D6" t="s">
        <v>30</v>
      </c>
      <c r="E6" t="s">
        <v>305</v>
      </c>
      <c r="F6">
        <v>4500220641</v>
      </c>
      <c r="G6" t="s">
        <v>3831</v>
      </c>
      <c r="H6" t="s">
        <v>3806</v>
      </c>
      <c r="I6" t="s">
        <v>1329</v>
      </c>
      <c r="J6" t="s">
        <v>305</v>
      </c>
      <c r="K6" s="2">
        <v>165127</v>
      </c>
      <c r="L6" t="s">
        <v>6408</v>
      </c>
      <c r="M6" t="str" cm="1">
        <f t="array" ref="M6">INDEX('Org List'!$A$2:$C$1005,MATCH(Consolidated!I6&amp;Consolidated!J6,'Org List'!$A$2:$A$1005&amp;'Org List'!$B$2:$B$1005,0),3)</f>
        <v>NGOs: National</v>
      </c>
    </row>
    <row r="7" spans="1:13" x14ac:dyDescent="0.25">
      <c r="A7">
        <v>2022</v>
      </c>
      <c r="B7" t="s">
        <v>3328</v>
      </c>
      <c r="C7" t="s">
        <v>3329</v>
      </c>
      <c r="D7" t="s">
        <v>30</v>
      </c>
      <c r="E7" t="s">
        <v>3396</v>
      </c>
      <c r="F7">
        <v>4500267537</v>
      </c>
      <c r="G7" t="s">
        <v>3832</v>
      </c>
      <c r="H7" t="s">
        <v>3806</v>
      </c>
      <c r="I7" t="s">
        <v>3833</v>
      </c>
      <c r="J7" t="s">
        <v>3396</v>
      </c>
      <c r="K7" s="2">
        <v>12111</v>
      </c>
      <c r="L7" t="s">
        <v>6408</v>
      </c>
      <c r="M7" t="str" cm="1">
        <f t="array" ref="M7">INDEX('Org List'!$A$2:$C$1005,MATCH(Consolidated!I7&amp;Consolidated!J7,'Org List'!$A$2:$A$1005&amp;'Org List'!$B$2:$B$1005,0),3)</f>
        <v>NGOs: National</v>
      </c>
    </row>
    <row r="8" spans="1:13" x14ac:dyDescent="0.25">
      <c r="A8">
        <v>2022</v>
      </c>
      <c r="B8" t="s">
        <v>3328</v>
      </c>
      <c r="C8" t="s">
        <v>3329</v>
      </c>
      <c r="D8" t="s">
        <v>30</v>
      </c>
      <c r="E8" t="s">
        <v>305</v>
      </c>
      <c r="F8">
        <v>4500220613</v>
      </c>
      <c r="G8" t="s">
        <v>3829</v>
      </c>
      <c r="H8" t="s">
        <v>3806</v>
      </c>
      <c r="I8" t="s">
        <v>3830</v>
      </c>
      <c r="J8" t="s">
        <v>305</v>
      </c>
      <c r="K8" s="2">
        <v>380051</v>
      </c>
      <c r="L8" t="s">
        <v>6408</v>
      </c>
      <c r="M8" t="str" cm="1">
        <f t="array" ref="M8">INDEX('Org List'!$A$2:$C$1005,MATCH(Consolidated!I8&amp;Consolidated!J8,'Org List'!$A$2:$A$1005&amp;'Org List'!$B$2:$B$1005,0),3)</f>
        <v>NGOs: National</v>
      </c>
    </row>
    <row r="9" spans="1:13" x14ac:dyDescent="0.25">
      <c r="A9">
        <v>2022</v>
      </c>
      <c r="B9" t="s">
        <v>74</v>
      </c>
      <c r="C9" t="s">
        <v>75</v>
      </c>
      <c r="D9" t="s">
        <v>30</v>
      </c>
      <c r="E9" t="s">
        <v>305</v>
      </c>
      <c r="F9">
        <v>4500220613</v>
      </c>
      <c r="G9" t="s">
        <v>3829</v>
      </c>
      <c r="H9" t="s">
        <v>3806</v>
      </c>
      <c r="I9" t="s">
        <v>3830</v>
      </c>
      <c r="J9" t="s">
        <v>305</v>
      </c>
      <c r="K9" s="2">
        <v>20003</v>
      </c>
      <c r="L9" t="s">
        <v>6408</v>
      </c>
      <c r="M9" t="str" cm="1">
        <f t="array" ref="M9">INDEX('Org List'!$A$2:$C$1005,MATCH(Consolidated!I9&amp;Consolidated!J9,'Org List'!$A$2:$A$1005&amp;'Org List'!$B$2:$B$1005,0),3)</f>
        <v>NGOs: National</v>
      </c>
    </row>
    <row r="10" spans="1:13" x14ac:dyDescent="0.25">
      <c r="A10">
        <v>2022</v>
      </c>
      <c r="B10" t="s">
        <v>3865</v>
      </c>
      <c r="C10" t="s">
        <v>3866</v>
      </c>
      <c r="D10" t="s">
        <v>30</v>
      </c>
      <c r="E10" t="s">
        <v>504</v>
      </c>
      <c r="F10">
        <v>4500266464</v>
      </c>
      <c r="G10" t="s">
        <v>3867</v>
      </c>
      <c r="H10" t="s">
        <v>3806</v>
      </c>
      <c r="I10" t="s">
        <v>1855</v>
      </c>
      <c r="J10" t="s">
        <v>504</v>
      </c>
      <c r="K10" s="2">
        <v>61075</v>
      </c>
      <c r="L10" t="s">
        <v>6408</v>
      </c>
      <c r="M10" t="str" cm="1">
        <f t="array" ref="M10">INDEX('Org List'!$A$2:$C$1005,MATCH(Consolidated!I10&amp;Consolidated!J10,'Org List'!$A$2:$A$1005&amp;'Org List'!$B$2:$B$1005,0),3)</f>
        <v>NGOs: National</v>
      </c>
    </row>
    <row r="11" spans="1:13" x14ac:dyDescent="0.25">
      <c r="A11">
        <v>2022</v>
      </c>
      <c r="B11" t="s">
        <v>3865</v>
      </c>
      <c r="C11" t="s">
        <v>3866</v>
      </c>
      <c r="D11" t="s">
        <v>30</v>
      </c>
      <c r="E11" t="s">
        <v>504</v>
      </c>
      <c r="F11">
        <v>4500266466</v>
      </c>
      <c r="G11" t="s">
        <v>3868</v>
      </c>
      <c r="H11" t="s">
        <v>3806</v>
      </c>
      <c r="I11" t="s">
        <v>1854</v>
      </c>
      <c r="J11" t="s">
        <v>504</v>
      </c>
      <c r="K11" s="2">
        <v>54310</v>
      </c>
      <c r="L11" t="s">
        <v>6408</v>
      </c>
      <c r="M11" t="str" cm="1">
        <f t="array" ref="M11">INDEX('Org List'!$A$2:$C$1005,MATCH(Consolidated!I11&amp;Consolidated!J11,'Org List'!$A$2:$A$1005&amp;'Org List'!$B$2:$B$1005,0),3)</f>
        <v>NGOs: National</v>
      </c>
    </row>
    <row r="12" spans="1:13" x14ac:dyDescent="0.25">
      <c r="A12">
        <v>2022</v>
      </c>
      <c r="B12" t="s">
        <v>1169</v>
      </c>
      <c r="C12" t="s">
        <v>1170</v>
      </c>
      <c r="D12" t="s">
        <v>30</v>
      </c>
      <c r="E12" t="s">
        <v>649</v>
      </c>
      <c r="F12">
        <v>4500188007</v>
      </c>
      <c r="G12" t="s">
        <v>3870</v>
      </c>
      <c r="H12" t="s">
        <v>3334</v>
      </c>
      <c r="I12" t="s">
        <v>156</v>
      </c>
      <c r="J12" t="s">
        <v>649</v>
      </c>
      <c r="K12" s="2">
        <v>4874288</v>
      </c>
      <c r="L12" t="s">
        <v>6408</v>
      </c>
      <c r="M12" t="str" cm="1">
        <f t="array" ref="M12">INDEX('Org List'!$A$2:$C$1005,MATCH(Consolidated!I12&amp;Consolidated!J12,'Org List'!$A$2:$A$1005&amp;'Org List'!$B$2:$B$1005,0),3)</f>
        <v>NGOs: International</v>
      </c>
    </row>
    <row r="13" spans="1:13" x14ac:dyDescent="0.25">
      <c r="A13">
        <v>2022</v>
      </c>
      <c r="B13" t="s">
        <v>1169</v>
      </c>
      <c r="C13" t="s">
        <v>1170</v>
      </c>
      <c r="D13" t="s">
        <v>30</v>
      </c>
      <c r="E13" t="s">
        <v>649</v>
      </c>
      <c r="F13">
        <v>4500190099</v>
      </c>
      <c r="G13" t="s">
        <v>3871</v>
      </c>
      <c r="H13" t="s">
        <v>3334</v>
      </c>
      <c r="I13" t="s">
        <v>1095</v>
      </c>
      <c r="J13" t="s">
        <v>649</v>
      </c>
      <c r="K13" s="2">
        <v>2118166</v>
      </c>
      <c r="L13" t="s">
        <v>6408</v>
      </c>
      <c r="M13" t="str" cm="1">
        <f t="array" ref="M13">INDEX('Org List'!$A$2:$C$1005,MATCH(Consolidated!I13&amp;Consolidated!J13,'Org List'!$A$2:$A$1005&amp;'Org List'!$B$2:$B$1005,0),3)</f>
        <v>NGOs: National</v>
      </c>
    </row>
    <row r="14" spans="1:13" x14ac:dyDescent="0.25">
      <c r="A14">
        <v>2022</v>
      </c>
      <c r="B14" t="s">
        <v>1169</v>
      </c>
      <c r="C14" t="s">
        <v>1170</v>
      </c>
      <c r="D14" t="s">
        <v>30</v>
      </c>
      <c r="E14" t="s">
        <v>649</v>
      </c>
      <c r="F14">
        <v>4500190777</v>
      </c>
      <c r="G14" t="s">
        <v>3872</v>
      </c>
      <c r="H14" t="s">
        <v>3334</v>
      </c>
      <c r="I14" t="s">
        <v>3873</v>
      </c>
      <c r="J14" t="s">
        <v>649</v>
      </c>
      <c r="K14" s="2">
        <v>534823</v>
      </c>
      <c r="L14" t="s">
        <v>6408</v>
      </c>
      <c r="M14" t="str" cm="1">
        <f t="array" ref="M14">INDEX('Org List'!$A$2:$C$1005,MATCH(Consolidated!I14&amp;Consolidated!J14,'Org List'!$A$2:$A$1005&amp;'Org List'!$B$2:$B$1005,0),3)</f>
        <v>NGOs: International</v>
      </c>
    </row>
    <row r="15" spans="1:13" x14ac:dyDescent="0.25">
      <c r="A15">
        <v>2022</v>
      </c>
      <c r="B15" t="s">
        <v>1169</v>
      </c>
      <c r="C15" t="s">
        <v>1170</v>
      </c>
      <c r="D15" t="s">
        <v>30</v>
      </c>
      <c r="E15" t="s">
        <v>649</v>
      </c>
      <c r="F15">
        <v>4500202512</v>
      </c>
      <c r="G15" t="s">
        <v>3874</v>
      </c>
      <c r="H15" t="s">
        <v>3334</v>
      </c>
      <c r="I15" t="s">
        <v>1597</v>
      </c>
      <c r="J15" t="s">
        <v>649</v>
      </c>
      <c r="K15" s="2">
        <v>58364</v>
      </c>
      <c r="L15" t="s">
        <v>6408</v>
      </c>
      <c r="M15" t="str" cm="1">
        <f t="array" ref="M15">INDEX('Org List'!$A$2:$C$1005,MATCH(Consolidated!I15&amp;Consolidated!J15,'Org List'!$A$2:$A$1005&amp;'Org List'!$B$2:$B$1005,0),3)</f>
        <v>NGOs: National</v>
      </c>
    </row>
    <row r="16" spans="1:13" x14ac:dyDescent="0.25">
      <c r="A16">
        <v>2022</v>
      </c>
      <c r="B16" t="s">
        <v>1169</v>
      </c>
      <c r="C16" t="s">
        <v>1170</v>
      </c>
      <c r="D16" t="s">
        <v>30</v>
      </c>
      <c r="E16" t="s">
        <v>649</v>
      </c>
      <c r="F16">
        <v>4500215145</v>
      </c>
      <c r="G16" t="s">
        <v>3875</v>
      </c>
      <c r="H16" t="s">
        <v>3334</v>
      </c>
      <c r="I16" t="s">
        <v>3876</v>
      </c>
      <c r="J16" t="s">
        <v>649</v>
      </c>
      <c r="K16" s="2">
        <v>932123</v>
      </c>
      <c r="L16" t="s">
        <v>6408</v>
      </c>
      <c r="M16" t="str" cm="1">
        <f t="array" ref="M16">INDEX('Org List'!$A$2:$C$1005,MATCH(Consolidated!I16&amp;Consolidated!J16,'Org List'!$A$2:$A$1005&amp;'Org List'!$B$2:$B$1005,0),3)</f>
        <v>NGOs: National</v>
      </c>
    </row>
    <row r="17" spans="1:13" x14ac:dyDescent="0.25">
      <c r="A17">
        <v>2022</v>
      </c>
      <c r="B17" t="s">
        <v>1169</v>
      </c>
      <c r="C17" t="s">
        <v>1170</v>
      </c>
      <c r="D17" t="s">
        <v>30</v>
      </c>
      <c r="E17" t="s">
        <v>649</v>
      </c>
      <c r="F17">
        <v>4500225991</v>
      </c>
      <c r="G17" t="s">
        <v>3877</v>
      </c>
      <c r="H17" t="s">
        <v>3334</v>
      </c>
      <c r="I17" t="s">
        <v>3878</v>
      </c>
      <c r="J17" t="s">
        <v>1126</v>
      </c>
      <c r="K17" s="2">
        <v>1096435</v>
      </c>
      <c r="L17" t="s">
        <v>6408</v>
      </c>
      <c r="M17" t="str" cm="1">
        <f t="array" ref="M17">INDEX('Org List'!$A$2:$C$1005,MATCH(Consolidated!I17&amp;Consolidated!J17,'Org List'!$A$2:$A$1005&amp;'Org List'!$B$2:$B$1005,0),3)</f>
        <v>NGOs: International</v>
      </c>
    </row>
    <row r="18" spans="1:13" x14ac:dyDescent="0.25">
      <c r="A18">
        <v>2022</v>
      </c>
      <c r="B18" t="s">
        <v>3879</v>
      </c>
      <c r="C18" t="s">
        <v>3880</v>
      </c>
      <c r="D18" t="s">
        <v>30</v>
      </c>
      <c r="E18" t="s">
        <v>132</v>
      </c>
      <c r="F18">
        <v>4500271985</v>
      </c>
      <c r="G18" t="s">
        <v>3881</v>
      </c>
      <c r="H18" t="s">
        <v>3334</v>
      </c>
      <c r="I18" t="s">
        <v>1735</v>
      </c>
      <c r="J18" t="s">
        <v>132</v>
      </c>
      <c r="K18" s="2">
        <v>150000</v>
      </c>
      <c r="L18" t="s">
        <v>6408</v>
      </c>
      <c r="M18" t="str" cm="1">
        <f t="array" ref="M18">INDEX('Org List'!$A$2:$C$1005,MATCH(Consolidated!I18&amp;Consolidated!J18,'Org List'!$A$2:$A$1005&amp;'Org List'!$B$2:$B$1005,0),3)</f>
        <v>NGOs: National</v>
      </c>
    </row>
    <row r="19" spans="1:13" x14ac:dyDescent="0.25">
      <c r="A19">
        <v>2022</v>
      </c>
      <c r="B19" t="s">
        <v>3882</v>
      </c>
      <c r="C19" t="s">
        <v>3883</v>
      </c>
      <c r="D19" t="s">
        <v>30</v>
      </c>
      <c r="E19" t="s">
        <v>159</v>
      </c>
      <c r="F19">
        <v>4500192758</v>
      </c>
      <c r="G19" t="s">
        <v>3884</v>
      </c>
      <c r="H19" t="s">
        <v>3334</v>
      </c>
      <c r="I19" t="s">
        <v>3885</v>
      </c>
      <c r="J19" t="s">
        <v>159</v>
      </c>
      <c r="K19" s="2">
        <v>10000</v>
      </c>
      <c r="L19" t="s">
        <v>6408</v>
      </c>
      <c r="M19" t="str" cm="1">
        <f t="array" ref="M19">INDEX('Org List'!$A$2:$C$1005,MATCH(Consolidated!I19&amp;Consolidated!J19,'Org List'!$A$2:$A$1005&amp;'Org List'!$B$2:$B$1005,0),3)</f>
        <v>NGOs: National</v>
      </c>
    </row>
    <row r="20" spans="1:13" x14ac:dyDescent="0.25">
      <c r="A20">
        <v>2022</v>
      </c>
      <c r="B20" t="s">
        <v>3882</v>
      </c>
      <c r="C20" t="s">
        <v>3883</v>
      </c>
      <c r="D20" t="s">
        <v>30</v>
      </c>
      <c r="E20" t="s">
        <v>159</v>
      </c>
      <c r="F20">
        <v>4500193048</v>
      </c>
      <c r="G20" t="s">
        <v>3886</v>
      </c>
      <c r="H20" t="s">
        <v>3334</v>
      </c>
      <c r="I20" t="s">
        <v>3887</v>
      </c>
      <c r="J20" t="s">
        <v>159</v>
      </c>
      <c r="K20" s="2">
        <v>30000</v>
      </c>
      <c r="L20" t="s">
        <v>6408</v>
      </c>
      <c r="M20" t="str" cm="1">
        <f t="array" ref="M20">INDEX('Org List'!$A$2:$C$1005,MATCH(Consolidated!I20&amp;Consolidated!J20,'Org List'!$A$2:$A$1005&amp;'Org List'!$B$2:$B$1005,0),3)</f>
        <v>NGOs: National</v>
      </c>
    </row>
    <row r="21" spans="1:13" x14ac:dyDescent="0.25">
      <c r="A21">
        <v>2022</v>
      </c>
      <c r="B21" t="s">
        <v>3882</v>
      </c>
      <c r="C21" t="s">
        <v>3883</v>
      </c>
      <c r="D21" t="s">
        <v>30</v>
      </c>
      <c r="E21" t="s">
        <v>159</v>
      </c>
      <c r="F21">
        <v>4500193381</v>
      </c>
      <c r="G21" t="s">
        <v>3886</v>
      </c>
      <c r="H21" t="s">
        <v>3334</v>
      </c>
      <c r="I21" t="s">
        <v>3887</v>
      </c>
      <c r="J21" t="s">
        <v>159</v>
      </c>
      <c r="K21" s="2">
        <v>50000</v>
      </c>
      <c r="L21" t="s">
        <v>6408</v>
      </c>
      <c r="M21" t="str" cm="1">
        <f t="array" ref="M21">INDEX('Org List'!$A$2:$C$1005,MATCH(Consolidated!I21&amp;Consolidated!J21,'Org List'!$A$2:$A$1005&amp;'Org List'!$B$2:$B$1005,0),3)</f>
        <v>NGOs: National</v>
      </c>
    </row>
    <row r="22" spans="1:13" x14ac:dyDescent="0.25">
      <c r="A22">
        <v>2022</v>
      </c>
      <c r="B22" t="s">
        <v>3882</v>
      </c>
      <c r="C22" t="s">
        <v>3883</v>
      </c>
      <c r="D22" t="s">
        <v>30</v>
      </c>
      <c r="E22" t="s">
        <v>159</v>
      </c>
      <c r="F22">
        <v>4500193465</v>
      </c>
      <c r="G22" t="s">
        <v>3888</v>
      </c>
      <c r="H22" t="s">
        <v>3334</v>
      </c>
      <c r="I22" t="s">
        <v>3889</v>
      </c>
      <c r="J22" t="s">
        <v>159</v>
      </c>
      <c r="K22" s="2">
        <v>50000</v>
      </c>
      <c r="L22" t="s">
        <v>6408</v>
      </c>
      <c r="M22" t="str" cm="1">
        <f t="array" ref="M22">INDEX('Org List'!$A$2:$C$1005,MATCH(Consolidated!I22&amp;Consolidated!J22,'Org List'!$A$2:$A$1005&amp;'Org List'!$B$2:$B$1005,0),3)</f>
        <v>NGOs: National</v>
      </c>
    </row>
    <row r="23" spans="1:13" x14ac:dyDescent="0.25">
      <c r="A23">
        <v>2022</v>
      </c>
      <c r="B23" t="s">
        <v>3882</v>
      </c>
      <c r="C23" t="s">
        <v>3883</v>
      </c>
      <c r="D23" t="s">
        <v>30</v>
      </c>
      <c r="E23" t="s">
        <v>159</v>
      </c>
      <c r="F23">
        <v>4500193466</v>
      </c>
      <c r="G23" t="s">
        <v>3890</v>
      </c>
      <c r="H23" t="s">
        <v>3334</v>
      </c>
      <c r="I23" t="s">
        <v>3891</v>
      </c>
      <c r="J23" t="s">
        <v>159</v>
      </c>
      <c r="K23" s="2">
        <v>30000</v>
      </c>
      <c r="L23" t="s">
        <v>6408</v>
      </c>
      <c r="M23" t="str" cm="1">
        <f t="array" ref="M23">INDEX('Org List'!$A$2:$C$1005,MATCH(Consolidated!I23&amp;Consolidated!J23,'Org List'!$A$2:$A$1005&amp;'Org List'!$B$2:$B$1005,0),3)</f>
        <v>NGOs: National</v>
      </c>
    </row>
    <row r="24" spans="1:13" x14ac:dyDescent="0.25">
      <c r="A24">
        <v>2022</v>
      </c>
      <c r="B24" t="s">
        <v>3892</v>
      </c>
      <c r="C24" t="s">
        <v>3893</v>
      </c>
      <c r="D24" t="s">
        <v>30</v>
      </c>
      <c r="E24" t="s">
        <v>132</v>
      </c>
      <c r="F24">
        <v>4500247265</v>
      </c>
      <c r="G24" t="s">
        <v>3894</v>
      </c>
      <c r="H24" t="s">
        <v>3334</v>
      </c>
      <c r="I24" t="s">
        <v>3895</v>
      </c>
      <c r="J24" t="s">
        <v>132</v>
      </c>
      <c r="K24" s="2">
        <v>1098</v>
      </c>
      <c r="L24" t="s">
        <v>6408</v>
      </c>
      <c r="M24" t="str" cm="1">
        <f t="array" ref="M24">INDEX('Org List'!$A$2:$C$1005,MATCH(Consolidated!I24&amp;Consolidated!J24,'Org List'!$A$2:$A$1005&amp;'Org List'!$B$2:$B$1005,0),3)</f>
        <v>Other: National</v>
      </c>
    </row>
    <row r="25" spans="1:13" x14ac:dyDescent="0.25">
      <c r="A25">
        <v>2022</v>
      </c>
      <c r="B25" t="s">
        <v>3896</v>
      </c>
      <c r="C25" t="s">
        <v>3897</v>
      </c>
      <c r="D25" t="s">
        <v>30</v>
      </c>
      <c r="E25" t="s">
        <v>717</v>
      </c>
      <c r="F25">
        <v>4500189328</v>
      </c>
      <c r="G25" t="s">
        <v>3898</v>
      </c>
      <c r="H25" t="s">
        <v>3334</v>
      </c>
      <c r="I25" t="s">
        <v>720</v>
      </c>
      <c r="J25" t="s">
        <v>717</v>
      </c>
      <c r="K25" s="2">
        <v>54072</v>
      </c>
      <c r="L25" t="s">
        <v>6408</v>
      </c>
      <c r="M25" t="str" cm="1">
        <f t="array" ref="M25">INDEX('Org List'!$A$2:$C$1005,MATCH(Consolidated!I25&amp;Consolidated!J25,'Org List'!$A$2:$A$1005&amp;'Org List'!$B$2:$B$1005,0),3)</f>
        <v>NGOs: National</v>
      </c>
    </row>
    <row r="26" spans="1:13" x14ac:dyDescent="0.25">
      <c r="A26">
        <v>2022</v>
      </c>
      <c r="B26" t="s">
        <v>3896</v>
      </c>
      <c r="C26" t="s">
        <v>3897</v>
      </c>
      <c r="D26" t="s">
        <v>30</v>
      </c>
      <c r="E26" t="s">
        <v>717</v>
      </c>
      <c r="F26">
        <v>4500196034</v>
      </c>
      <c r="G26" t="s">
        <v>3899</v>
      </c>
      <c r="H26" t="s">
        <v>3334</v>
      </c>
      <c r="I26" t="s">
        <v>3900</v>
      </c>
      <c r="J26" t="s">
        <v>717</v>
      </c>
      <c r="K26" s="2">
        <v>299977</v>
      </c>
      <c r="L26" t="s">
        <v>6408</v>
      </c>
      <c r="M26" t="str" cm="1">
        <f t="array" ref="M26">INDEX('Org List'!$A$2:$C$1005,MATCH(Consolidated!I26&amp;Consolidated!J26,'Org List'!$A$2:$A$1005&amp;'Org List'!$B$2:$B$1005,0),3)</f>
        <v>NGOs: International</v>
      </c>
    </row>
    <row r="27" spans="1:13" x14ac:dyDescent="0.25">
      <c r="A27">
        <v>2022</v>
      </c>
      <c r="B27" t="s">
        <v>3896</v>
      </c>
      <c r="C27" t="s">
        <v>3897</v>
      </c>
      <c r="D27" t="s">
        <v>30</v>
      </c>
      <c r="E27" t="s">
        <v>717</v>
      </c>
      <c r="F27">
        <v>4500199261</v>
      </c>
      <c r="G27" t="s">
        <v>3901</v>
      </c>
      <c r="H27" t="s">
        <v>3334</v>
      </c>
      <c r="I27" t="s">
        <v>2868</v>
      </c>
      <c r="J27" t="s">
        <v>717</v>
      </c>
      <c r="K27" s="2">
        <v>209207</v>
      </c>
      <c r="L27" t="s">
        <v>6408</v>
      </c>
      <c r="M27" t="str" cm="1">
        <f t="array" ref="M27">INDEX('Org List'!$A$2:$C$1005,MATCH(Consolidated!I27&amp;Consolidated!J27,'Org List'!$A$2:$A$1005&amp;'Org List'!$B$2:$B$1005,0),3)</f>
        <v>NGOs: International</v>
      </c>
    </row>
    <row r="28" spans="1:13" x14ac:dyDescent="0.25">
      <c r="A28">
        <v>2022</v>
      </c>
      <c r="B28" t="s">
        <v>3896</v>
      </c>
      <c r="C28" t="s">
        <v>3897</v>
      </c>
      <c r="D28" t="s">
        <v>30</v>
      </c>
      <c r="E28" t="s">
        <v>717</v>
      </c>
      <c r="F28">
        <v>4500199284</v>
      </c>
      <c r="G28" t="s">
        <v>3902</v>
      </c>
      <c r="H28" t="s">
        <v>3334</v>
      </c>
      <c r="I28" t="s">
        <v>2459</v>
      </c>
      <c r="J28" t="s">
        <v>717</v>
      </c>
      <c r="K28" s="2">
        <v>100915</v>
      </c>
      <c r="L28" t="s">
        <v>6408</v>
      </c>
      <c r="M28" t="str" cm="1">
        <f t="array" ref="M28">INDEX('Org List'!$A$2:$C$1005,MATCH(Consolidated!I28&amp;Consolidated!J28,'Org List'!$A$2:$A$1005&amp;'Org List'!$B$2:$B$1005,0),3)</f>
        <v>NGOs: National</v>
      </c>
    </row>
    <row r="29" spans="1:13" x14ac:dyDescent="0.25">
      <c r="A29">
        <v>2022</v>
      </c>
      <c r="B29" t="s">
        <v>3896</v>
      </c>
      <c r="C29" t="s">
        <v>3897</v>
      </c>
      <c r="D29" t="s">
        <v>30</v>
      </c>
      <c r="E29" t="s">
        <v>717</v>
      </c>
      <c r="F29">
        <v>4500206584</v>
      </c>
      <c r="G29" t="s">
        <v>3903</v>
      </c>
      <c r="H29" t="s">
        <v>3334</v>
      </c>
      <c r="I29" t="s">
        <v>728</v>
      </c>
      <c r="J29" t="s">
        <v>717</v>
      </c>
      <c r="K29" s="2">
        <v>40543</v>
      </c>
      <c r="L29" t="s">
        <v>6408</v>
      </c>
      <c r="M29" t="str" cm="1">
        <f t="array" ref="M29">INDEX('Org List'!$A$2:$C$1005,MATCH(Consolidated!I29&amp;Consolidated!J29,'Org List'!$A$2:$A$1005&amp;'Org List'!$B$2:$B$1005,0),3)</f>
        <v>NGOs: National</v>
      </c>
    </row>
    <row r="30" spans="1:13" x14ac:dyDescent="0.25">
      <c r="A30">
        <v>2022</v>
      </c>
      <c r="B30" t="s">
        <v>3896</v>
      </c>
      <c r="C30" t="s">
        <v>3897</v>
      </c>
      <c r="D30" t="s">
        <v>30</v>
      </c>
      <c r="E30" t="s">
        <v>717</v>
      </c>
      <c r="F30">
        <v>4500220093</v>
      </c>
      <c r="G30" t="s">
        <v>3904</v>
      </c>
      <c r="H30" t="s">
        <v>3334</v>
      </c>
      <c r="I30" t="s">
        <v>1162</v>
      </c>
      <c r="J30" t="s">
        <v>717</v>
      </c>
      <c r="K30" s="2">
        <v>80088</v>
      </c>
      <c r="L30" t="s">
        <v>6408</v>
      </c>
      <c r="M30" t="str" cm="1">
        <f t="array" ref="M30">INDEX('Org List'!$A$2:$C$1005,MATCH(Consolidated!I30&amp;Consolidated!J30,'Org List'!$A$2:$A$1005&amp;'Org List'!$B$2:$B$1005,0),3)</f>
        <v>NGOs: International</v>
      </c>
    </row>
    <row r="31" spans="1:13" x14ac:dyDescent="0.25">
      <c r="A31">
        <v>2022</v>
      </c>
      <c r="B31" t="s">
        <v>3896</v>
      </c>
      <c r="C31" t="s">
        <v>3897</v>
      </c>
      <c r="D31" t="s">
        <v>30</v>
      </c>
      <c r="E31" t="s">
        <v>717</v>
      </c>
      <c r="F31">
        <v>4500224034</v>
      </c>
      <c r="G31" t="s">
        <v>3905</v>
      </c>
      <c r="H31" t="s">
        <v>3334</v>
      </c>
      <c r="I31" t="s">
        <v>3906</v>
      </c>
      <c r="J31" t="s">
        <v>717</v>
      </c>
      <c r="K31" s="2">
        <v>14043</v>
      </c>
      <c r="L31" t="s">
        <v>6408</v>
      </c>
      <c r="M31" t="str" cm="1">
        <f t="array" ref="M31">INDEX('Org List'!$A$2:$C$1005,MATCH(Consolidated!I31&amp;Consolidated!J31,'Org List'!$A$2:$A$1005&amp;'Org List'!$B$2:$B$1005,0),3)</f>
        <v>NGOs: International</v>
      </c>
    </row>
    <row r="32" spans="1:13" x14ac:dyDescent="0.25">
      <c r="A32">
        <v>2022</v>
      </c>
      <c r="B32" t="s">
        <v>3907</v>
      </c>
      <c r="C32" t="s">
        <v>3908</v>
      </c>
      <c r="D32" t="s">
        <v>30</v>
      </c>
      <c r="E32" t="s">
        <v>814</v>
      </c>
      <c r="F32">
        <v>4500214238</v>
      </c>
      <c r="G32" t="s">
        <v>3909</v>
      </c>
      <c r="H32" t="s">
        <v>3334</v>
      </c>
      <c r="I32" t="s">
        <v>3910</v>
      </c>
      <c r="J32" t="s">
        <v>3842</v>
      </c>
      <c r="K32" s="2">
        <v>54450</v>
      </c>
      <c r="L32" t="s">
        <v>6408</v>
      </c>
      <c r="M32" t="str" cm="1">
        <f t="array" ref="M32">INDEX('Org List'!$A$2:$C$1005,MATCH(Consolidated!I32&amp;Consolidated!J32,'Org List'!$A$2:$A$1005&amp;'Org List'!$B$2:$B$1005,0),3)</f>
        <v>NGOs: National</v>
      </c>
    </row>
    <row r="33" spans="1:13" x14ac:dyDescent="0.25">
      <c r="A33">
        <v>2022</v>
      </c>
      <c r="B33" t="s">
        <v>3907</v>
      </c>
      <c r="C33" t="s">
        <v>3908</v>
      </c>
      <c r="D33" t="s">
        <v>30</v>
      </c>
      <c r="E33" t="s">
        <v>814</v>
      </c>
      <c r="F33">
        <v>4500216358</v>
      </c>
      <c r="G33" t="s">
        <v>3911</v>
      </c>
      <c r="H33" t="s">
        <v>3334</v>
      </c>
      <c r="I33" t="s">
        <v>112</v>
      </c>
      <c r="J33" t="s">
        <v>3842</v>
      </c>
      <c r="K33" s="2">
        <v>4004</v>
      </c>
      <c r="L33" t="s">
        <v>6408</v>
      </c>
      <c r="M33" t="str" cm="1">
        <f t="array" ref="M33">INDEX('Org List'!$A$2:$C$1005,MATCH(Consolidated!I33&amp;Consolidated!J33,'Org List'!$A$2:$A$1005&amp;'Org List'!$B$2:$B$1005,0),3)</f>
        <v>NGOs: National</v>
      </c>
    </row>
    <row r="34" spans="1:13" x14ac:dyDescent="0.25">
      <c r="A34">
        <v>2022</v>
      </c>
      <c r="B34" t="s">
        <v>3907</v>
      </c>
      <c r="C34" t="s">
        <v>3908</v>
      </c>
      <c r="D34" t="s">
        <v>30</v>
      </c>
      <c r="E34" t="s">
        <v>814</v>
      </c>
      <c r="F34">
        <v>4500236298</v>
      </c>
      <c r="G34" t="s">
        <v>3912</v>
      </c>
      <c r="H34" t="s">
        <v>3334</v>
      </c>
      <c r="I34" t="s">
        <v>3913</v>
      </c>
      <c r="J34" t="s">
        <v>3842</v>
      </c>
      <c r="K34" s="2">
        <v>23088</v>
      </c>
      <c r="L34" t="s">
        <v>6408</v>
      </c>
      <c r="M34" t="str" cm="1">
        <f t="array" ref="M34">INDEX('Org List'!$A$2:$C$1005,MATCH(Consolidated!I34&amp;Consolidated!J34,'Org List'!$A$2:$A$1005&amp;'Org List'!$B$2:$B$1005,0),3)</f>
        <v>NGOs: National</v>
      </c>
    </row>
    <row r="35" spans="1:13" x14ac:dyDescent="0.25">
      <c r="A35">
        <v>2022</v>
      </c>
      <c r="B35" t="s">
        <v>3907</v>
      </c>
      <c r="C35" t="s">
        <v>3908</v>
      </c>
      <c r="D35" t="s">
        <v>30</v>
      </c>
      <c r="E35" t="s">
        <v>814</v>
      </c>
      <c r="F35">
        <v>4500255122</v>
      </c>
      <c r="G35" t="s">
        <v>3914</v>
      </c>
      <c r="H35" t="s">
        <v>3334</v>
      </c>
      <c r="I35" t="s">
        <v>115</v>
      </c>
      <c r="J35" t="s">
        <v>3842</v>
      </c>
      <c r="K35" s="2">
        <v>5513</v>
      </c>
      <c r="L35" t="s">
        <v>6408</v>
      </c>
      <c r="M35" t="str" cm="1">
        <f t="array" ref="M35">INDEX('Org List'!$A$2:$C$1005,MATCH(Consolidated!I35&amp;Consolidated!J35,'Org List'!$A$2:$A$1005&amp;'Org List'!$B$2:$B$1005,0),3)</f>
        <v>NGOs: National</v>
      </c>
    </row>
    <row r="36" spans="1:13" x14ac:dyDescent="0.25">
      <c r="A36">
        <v>2022</v>
      </c>
      <c r="B36" t="s">
        <v>3907</v>
      </c>
      <c r="C36" t="s">
        <v>3908</v>
      </c>
      <c r="D36" t="s">
        <v>30</v>
      </c>
      <c r="E36" t="s">
        <v>814</v>
      </c>
      <c r="F36">
        <v>4500257402</v>
      </c>
      <c r="G36" t="s">
        <v>3915</v>
      </c>
      <c r="H36" t="s">
        <v>3334</v>
      </c>
      <c r="I36" t="s">
        <v>115</v>
      </c>
      <c r="J36" t="s">
        <v>3842</v>
      </c>
      <c r="K36" s="2">
        <v>6979</v>
      </c>
      <c r="L36" t="s">
        <v>6408</v>
      </c>
      <c r="M36" t="str" cm="1">
        <f t="array" ref="M36">INDEX('Org List'!$A$2:$C$1005,MATCH(Consolidated!I36&amp;Consolidated!J36,'Org List'!$A$2:$A$1005&amp;'Org List'!$B$2:$B$1005,0),3)</f>
        <v>NGOs: National</v>
      </c>
    </row>
    <row r="37" spans="1:13" x14ac:dyDescent="0.25">
      <c r="A37">
        <v>2022</v>
      </c>
      <c r="B37" t="s">
        <v>3916</v>
      </c>
      <c r="C37" t="s">
        <v>3917</v>
      </c>
      <c r="D37" t="s">
        <v>30</v>
      </c>
      <c r="E37" t="s">
        <v>717</v>
      </c>
      <c r="F37">
        <v>4500224030</v>
      </c>
      <c r="G37" t="s">
        <v>3918</v>
      </c>
      <c r="H37" t="s">
        <v>3334</v>
      </c>
      <c r="I37" t="s">
        <v>720</v>
      </c>
      <c r="J37" t="s">
        <v>717</v>
      </c>
      <c r="K37" s="2">
        <v>482001</v>
      </c>
      <c r="L37" t="s">
        <v>6408</v>
      </c>
      <c r="M37" t="str" cm="1">
        <f t="array" ref="M37">INDEX('Org List'!$A$2:$C$1005,MATCH(Consolidated!I37&amp;Consolidated!J37,'Org List'!$A$2:$A$1005&amp;'Org List'!$B$2:$B$1005,0),3)</f>
        <v>NGOs: National</v>
      </c>
    </row>
    <row r="38" spans="1:13" x14ac:dyDescent="0.25">
      <c r="A38">
        <v>2022</v>
      </c>
      <c r="B38" t="s">
        <v>4457</v>
      </c>
      <c r="C38" t="s">
        <v>4458</v>
      </c>
      <c r="D38" t="s">
        <v>30</v>
      </c>
      <c r="E38" t="s">
        <v>261</v>
      </c>
      <c r="F38">
        <v>4500187160</v>
      </c>
      <c r="G38" t="s">
        <v>4459</v>
      </c>
      <c r="H38" t="s">
        <v>3334</v>
      </c>
      <c r="I38" t="s">
        <v>2980</v>
      </c>
      <c r="J38" t="s">
        <v>261</v>
      </c>
      <c r="K38" s="2">
        <v>20106</v>
      </c>
      <c r="L38" t="s">
        <v>6408</v>
      </c>
      <c r="M38" t="str" cm="1">
        <f t="array" ref="M38">INDEX('Org List'!$A$2:$C$1005,MATCH(Consolidated!I38&amp;Consolidated!J38,'Org List'!$A$2:$A$1005&amp;'Org List'!$B$2:$B$1005,0),3)</f>
        <v>NGOs: Local</v>
      </c>
    </row>
    <row r="39" spans="1:13" x14ac:dyDescent="0.25">
      <c r="A39">
        <v>2022</v>
      </c>
      <c r="B39" t="s">
        <v>4460</v>
      </c>
      <c r="C39" t="s">
        <v>4461</v>
      </c>
      <c r="D39" t="s">
        <v>30</v>
      </c>
      <c r="E39" t="s">
        <v>83</v>
      </c>
      <c r="F39">
        <v>4500184530</v>
      </c>
      <c r="G39" t="s">
        <v>4462</v>
      </c>
      <c r="H39" t="s">
        <v>3334</v>
      </c>
      <c r="I39" t="s">
        <v>86</v>
      </c>
      <c r="J39" t="s">
        <v>83</v>
      </c>
      <c r="K39" s="2">
        <v>121048</v>
      </c>
      <c r="L39" t="s">
        <v>6408</v>
      </c>
      <c r="M39" t="str" cm="1">
        <f t="array" ref="M39">INDEX('Org List'!$A$2:$C$1005,MATCH(Consolidated!I39&amp;Consolidated!J39,'Org List'!$A$2:$A$1005&amp;'Org List'!$B$2:$B$1005,0),3)</f>
        <v>NGOs: International</v>
      </c>
    </row>
    <row r="40" spans="1:13" x14ac:dyDescent="0.25">
      <c r="A40">
        <v>2022</v>
      </c>
      <c r="B40" t="s">
        <v>4463</v>
      </c>
      <c r="C40" t="s">
        <v>4464</v>
      </c>
      <c r="D40" t="s">
        <v>30</v>
      </c>
      <c r="E40" t="s">
        <v>1166</v>
      </c>
      <c r="F40">
        <v>4500218603</v>
      </c>
      <c r="G40" t="s">
        <v>4465</v>
      </c>
      <c r="H40" t="s">
        <v>3334</v>
      </c>
      <c r="I40" t="s">
        <v>2301</v>
      </c>
      <c r="J40" t="s">
        <v>4407</v>
      </c>
      <c r="K40" s="2">
        <v>32229</v>
      </c>
      <c r="L40" t="s">
        <v>6408</v>
      </c>
      <c r="M40" t="str" cm="1">
        <f t="array" ref="M40">INDEX('Org List'!$A$2:$C$1005,MATCH(Consolidated!I40&amp;Consolidated!J40,'Org List'!$A$2:$A$1005&amp;'Org List'!$B$2:$B$1005,0),3)</f>
        <v>Red Cross: National</v>
      </c>
    </row>
    <row r="41" spans="1:13" x14ac:dyDescent="0.25">
      <c r="A41">
        <v>2022</v>
      </c>
      <c r="B41" t="s">
        <v>4463</v>
      </c>
      <c r="C41" t="s">
        <v>4464</v>
      </c>
      <c r="D41" t="s">
        <v>30</v>
      </c>
      <c r="E41" t="s">
        <v>1166</v>
      </c>
      <c r="F41">
        <v>4500246888</v>
      </c>
      <c r="G41" t="s">
        <v>4466</v>
      </c>
      <c r="H41" t="s">
        <v>3334</v>
      </c>
      <c r="I41" t="s">
        <v>2303</v>
      </c>
      <c r="J41" t="s">
        <v>4407</v>
      </c>
      <c r="K41" s="2">
        <v>8813</v>
      </c>
      <c r="L41" t="s">
        <v>6408</v>
      </c>
      <c r="M41" t="str" cm="1">
        <f t="array" ref="M41">INDEX('Org List'!$A$2:$C$1005,MATCH(Consolidated!I41&amp;Consolidated!J41,'Org List'!$A$2:$A$1005&amp;'Org List'!$B$2:$B$1005,0),3)</f>
        <v>Red Cross: National</v>
      </c>
    </row>
    <row r="42" spans="1:13" x14ac:dyDescent="0.25">
      <c r="A42">
        <v>2022</v>
      </c>
      <c r="B42" t="s">
        <v>4467</v>
      </c>
      <c r="C42" t="s">
        <v>4468</v>
      </c>
      <c r="D42" t="s">
        <v>30</v>
      </c>
      <c r="E42" t="s">
        <v>261</v>
      </c>
      <c r="F42">
        <v>4500180110</v>
      </c>
      <c r="G42" t="s">
        <v>3938</v>
      </c>
      <c r="H42" t="s">
        <v>3334</v>
      </c>
      <c r="I42" t="s">
        <v>835</v>
      </c>
      <c r="J42" t="s">
        <v>261</v>
      </c>
      <c r="K42" s="2">
        <v>158793</v>
      </c>
      <c r="L42" t="s">
        <v>6408</v>
      </c>
      <c r="M42" t="str" cm="1">
        <f t="array" ref="M42">INDEX('Org List'!$A$2:$C$1005,MATCH(Consolidated!I42&amp;Consolidated!J42,'Org List'!$A$2:$A$1005&amp;'Org List'!$B$2:$B$1005,0),3)</f>
        <v>Other: Local</v>
      </c>
    </row>
    <row r="43" spans="1:13" x14ac:dyDescent="0.25">
      <c r="A43">
        <v>2022</v>
      </c>
      <c r="B43" t="s">
        <v>4467</v>
      </c>
      <c r="C43" t="s">
        <v>4468</v>
      </c>
      <c r="D43" t="s">
        <v>30</v>
      </c>
      <c r="E43" t="s">
        <v>261</v>
      </c>
      <c r="F43">
        <v>4500180282</v>
      </c>
      <c r="G43" t="s">
        <v>3938</v>
      </c>
      <c r="H43" t="s">
        <v>3334</v>
      </c>
      <c r="I43" t="s">
        <v>262</v>
      </c>
      <c r="J43" t="s">
        <v>261</v>
      </c>
      <c r="K43" s="2">
        <v>179062</v>
      </c>
      <c r="L43" t="s">
        <v>6408</v>
      </c>
      <c r="M43" t="str" cm="1">
        <f t="array" ref="M43">INDEX('Org List'!$A$2:$C$1005,MATCH(Consolidated!I43&amp;Consolidated!J43,'Org List'!$A$2:$A$1005&amp;'Org List'!$B$2:$B$1005,0),3)</f>
        <v>Red Cross: National</v>
      </c>
    </row>
    <row r="44" spans="1:13" x14ac:dyDescent="0.25">
      <c r="A44">
        <v>2022</v>
      </c>
      <c r="B44" t="s">
        <v>4467</v>
      </c>
      <c r="C44" t="s">
        <v>4468</v>
      </c>
      <c r="D44" t="s">
        <v>30</v>
      </c>
      <c r="E44" t="s">
        <v>261</v>
      </c>
      <c r="F44">
        <v>4500180320</v>
      </c>
      <c r="G44" t="s">
        <v>4469</v>
      </c>
      <c r="H44" t="s">
        <v>3334</v>
      </c>
      <c r="I44" t="s">
        <v>4470</v>
      </c>
      <c r="J44" t="s">
        <v>261</v>
      </c>
      <c r="K44" s="2">
        <v>78736</v>
      </c>
      <c r="L44" t="s">
        <v>6408</v>
      </c>
      <c r="M44" t="str" cm="1">
        <f t="array" ref="M44">INDEX('Org List'!$A$2:$C$1005,MATCH(Consolidated!I44&amp;Consolidated!J44,'Org List'!$A$2:$A$1005&amp;'Org List'!$B$2:$B$1005,0),3)</f>
        <v>NGOs: Local</v>
      </c>
    </row>
    <row r="45" spans="1:13" x14ac:dyDescent="0.25">
      <c r="A45">
        <v>2022</v>
      </c>
      <c r="B45" t="s">
        <v>4467</v>
      </c>
      <c r="C45" t="s">
        <v>4468</v>
      </c>
      <c r="D45" t="s">
        <v>30</v>
      </c>
      <c r="E45" t="s">
        <v>261</v>
      </c>
      <c r="F45">
        <v>4500180333</v>
      </c>
      <c r="G45" t="s">
        <v>4471</v>
      </c>
      <c r="H45" t="s">
        <v>3334</v>
      </c>
      <c r="I45" t="s">
        <v>4472</v>
      </c>
      <c r="J45" t="s">
        <v>261</v>
      </c>
      <c r="K45" s="2">
        <v>149158</v>
      </c>
      <c r="L45" t="s">
        <v>6408</v>
      </c>
      <c r="M45" t="str" cm="1">
        <f t="array" ref="M45">INDEX('Org List'!$A$2:$C$1005,MATCH(Consolidated!I45&amp;Consolidated!J45,'Org List'!$A$2:$A$1005&amp;'Org List'!$B$2:$B$1005,0),3)</f>
        <v>NGOs: National</v>
      </c>
    </row>
    <row r="46" spans="1:13" x14ac:dyDescent="0.25">
      <c r="A46">
        <v>2022</v>
      </c>
      <c r="B46" t="s">
        <v>4467</v>
      </c>
      <c r="C46" t="s">
        <v>4468</v>
      </c>
      <c r="D46" t="s">
        <v>30</v>
      </c>
      <c r="E46" t="s">
        <v>261</v>
      </c>
      <c r="F46">
        <v>4500180344</v>
      </c>
      <c r="G46" t="s">
        <v>4473</v>
      </c>
      <c r="H46" t="s">
        <v>3334</v>
      </c>
      <c r="I46" t="s">
        <v>4474</v>
      </c>
      <c r="J46" t="s">
        <v>261</v>
      </c>
      <c r="K46" s="2">
        <v>108860</v>
      </c>
      <c r="L46" t="s">
        <v>6408</v>
      </c>
      <c r="M46" t="str" cm="1">
        <f t="array" ref="M46">INDEX('Org List'!$A$2:$C$1005,MATCH(Consolidated!I46&amp;Consolidated!J46,'Org List'!$A$2:$A$1005&amp;'Org List'!$B$2:$B$1005,0),3)</f>
        <v>Other: Local</v>
      </c>
    </row>
    <row r="47" spans="1:13" x14ac:dyDescent="0.25">
      <c r="A47">
        <v>2022</v>
      </c>
      <c r="B47" t="s">
        <v>4467</v>
      </c>
      <c r="C47" t="s">
        <v>4468</v>
      </c>
      <c r="D47" t="s">
        <v>30</v>
      </c>
      <c r="E47" t="s">
        <v>261</v>
      </c>
      <c r="F47">
        <v>4500183432</v>
      </c>
      <c r="G47" t="s">
        <v>4475</v>
      </c>
      <c r="H47" t="s">
        <v>3334</v>
      </c>
      <c r="I47" t="s">
        <v>2769</v>
      </c>
      <c r="J47" t="s">
        <v>261</v>
      </c>
      <c r="K47" s="2">
        <v>102834</v>
      </c>
      <c r="L47" t="s">
        <v>6408</v>
      </c>
      <c r="M47" t="str" cm="1">
        <f t="array" ref="M47">INDEX('Org List'!$A$2:$C$1005,MATCH(Consolidated!I47&amp;Consolidated!J47,'Org List'!$A$2:$A$1005&amp;'Org List'!$B$2:$B$1005,0),3)</f>
        <v>Other: Local</v>
      </c>
    </row>
    <row r="48" spans="1:13" x14ac:dyDescent="0.25">
      <c r="A48">
        <v>2022</v>
      </c>
      <c r="B48" t="s">
        <v>4467</v>
      </c>
      <c r="C48" t="s">
        <v>4468</v>
      </c>
      <c r="D48" t="s">
        <v>30</v>
      </c>
      <c r="E48" t="s">
        <v>261</v>
      </c>
      <c r="F48">
        <v>4500183434</v>
      </c>
      <c r="G48" t="s">
        <v>4476</v>
      </c>
      <c r="H48" t="s">
        <v>3334</v>
      </c>
      <c r="I48" t="s">
        <v>4477</v>
      </c>
      <c r="J48" t="s">
        <v>261</v>
      </c>
      <c r="K48" s="2">
        <v>42138</v>
      </c>
      <c r="L48" t="s">
        <v>6408</v>
      </c>
      <c r="M48" t="str" cm="1">
        <f t="array" ref="M48">INDEX('Org List'!$A$2:$C$1005,MATCH(Consolidated!I48&amp;Consolidated!J48,'Org List'!$A$2:$A$1005&amp;'Org List'!$B$2:$B$1005,0),3)</f>
        <v>NGOs: Local</v>
      </c>
    </row>
    <row r="49" spans="1:13" x14ac:dyDescent="0.25">
      <c r="A49">
        <v>2022</v>
      </c>
      <c r="B49" t="s">
        <v>4467</v>
      </c>
      <c r="C49" t="s">
        <v>4468</v>
      </c>
      <c r="D49" t="s">
        <v>30</v>
      </c>
      <c r="E49" t="s">
        <v>261</v>
      </c>
      <c r="F49">
        <v>4500183436</v>
      </c>
      <c r="G49" t="s">
        <v>4478</v>
      </c>
      <c r="H49" t="s">
        <v>3334</v>
      </c>
      <c r="I49" t="s">
        <v>754</v>
      </c>
      <c r="J49" t="s">
        <v>261</v>
      </c>
      <c r="K49" s="2">
        <v>68942</v>
      </c>
      <c r="L49" t="s">
        <v>6408</v>
      </c>
      <c r="M49" t="str" cm="1">
        <f t="array" ref="M49">INDEX('Org List'!$A$2:$C$1005,MATCH(Consolidated!I49&amp;Consolidated!J49,'Org List'!$A$2:$A$1005&amp;'Org List'!$B$2:$B$1005,0),3)</f>
        <v>Other: Local</v>
      </c>
    </row>
    <row r="50" spans="1:13" x14ac:dyDescent="0.25">
      <c r="A50">
        <v>2022</v>
      </c>
      <c r="B50" t="s">
        <v>4467</v>
      </c>
      <c r="C50" t="s">
        <v>4468</v>
      </c>
      <c r="D50" t="s">
        <v>30</v>
      </c>
      <c r="E50" t="s">
        <v>261</v>
      </c>
      <c r="F50">
        <v>4500183531</v>
      </c>
      <c r="G50" t="s">
        <v>4479</v>
      </c>
      <c r="H50" t="s">
        <v>3334</v>
      </c>
      <c r="I50" t="s">
        <v>2980</v>
      </c>
      <c r="J50" t="s">
        <v>261</v>
      </c>
      <c r="K50" s="2">
        <v>123532</v>
      </c>
      <c r="L50" t="s">
        <v>6408</v>
      </c>
      <c r="M50" t="str" cm="1">
        <f t="array" ref="M50">INDEX('Org List'!$A$2:$C$1005,MATCH(Consolidated!I50&amp;Consolidated!J50,'Org List'!$A$2:$A$1005&amp;'Org List'!$B$2:$B$1005,0),3)</f>
        <v>NGOs: Local</v>
      </c>
    </row>
    <row r="51" spans="1:13" x14ac:dyDescent="0.25">
      <c r="A51">
        <v>2022</v>
      </c>
      <c r="B51" t="s">
        <v>4467</v>
      </c>
      <c r="C51" t="s">
        <v>4468</v>
      </c>
      <c r="D51" t="s">
        <v>30</v>
      </c>
      <c r="E51" t="s">
        <v>261</v>
      </c>
      <c r="F51">
        <v>4500183532</v>
      </c>
      <c r="G51" t="s">
        <v>4480</v>
      </c>
      <c r="H51" t="s">
        <v>3334</v>
      </c>
      <c r="I51" t="s">
        <v>4481</v>
      </c>
      <c r="J51" t="s">
        <v>261</v>
      </c>
      <c r="K51" s="2">
        <v>49255</v>
      </c>
      <c r="L51" t="s">
        <v>6408</v>
      </c>
      <c r="M51" t="str" cm="1">
        <f t="array" ref="M51">INDEX('Org List'!$A$2:$C$1005,MATCH(Consolidated!I51&amp;Consolidated!J51,'Org List'!$A$2:$A$1005&amp;'Org List'!$B$2:$B$1005,0),3)</f>
        <v>NGOs: National</v>
      </c>
    </row>
    <row r="52" spans="1:13" x14ac:dyDescent="0.25">
      <c r="A52">
        <v>2022</v>
      </c>
      <c r="B52" t="s">
        <v>4467</v>
      </c>
      <c r="C52" t="s">
        <v>4468</v>
      </c>
      <c r="D52" t="s">
        <v>30</v>
      </c>
      <c r="E52" t="s">
        <v>261</v>
      </c>
      <c r="F52">
        <v>4500183533</v>
      </c>
      <c r="G52" t="s">
        <v>4482</v>
      </c>
      <c r="H52" t="s">
        <v>3334</v>
      </c>
      <c r="I52" t="s">
        <v>4483</v>
      </c>
      <c r="J52" t="s">
        <v>261</v>
      </c>
      <c r="K52" s="2">
        <v>88904</v>
      </c>
      <c r="L52" t="s">
        <v>6408</v>
      </c>
      <c r="M52" t="str" cm="1">
        <f t="array" ref="M52">INDEX('Org List'!$A$2:$C$1005,MATCH(Consolidated!I52&amp;Consolidated!J52,'Org List'!$A$2:$A$1005&amp;'Org List'!$B$2:$B$1005,0),3)</f>
        <v>Other: Local</v>
      </c>
    </row>
    <row r="53" spans="1:13" x14ac:dyDescent="0.25">
      <c r="A53">
        <v>2022</v>
      </c>
      <c r="B53" t="s">
        <v>4467</v>
      </c>
      <c r="C53" t="s">
        <v>4468</v>
      </c>
      <c r="D53" t="s">
        <v>30</v>
      </c>
      <c r="E53" t="s">
        <v>261</v>
      </c>
      <c r="F53">
        <v>4500183535</v>
      </c>
      <c r="G53" t="s">
        <v>4484</v>
      </c>
      <c r="H53" t="s">
        <v>3334</v>
      </c>
      <c r="I53" t="s">
        <v>264</v>
      </c>
      <c r="J53" t="s">
        <v>261</v>
      </c>
      <c r="K53" s="2">
        <v>144642</v>
      </c>
      <c r="L53" t="s">
        <v>6408</v>
      </c>
      <c r="M53" t="str" cm="1">
        <f t="array" ref="M53">INDEX('Org List'!$A$2:$C$1005,MATCH(Consolidated!I53&amp;Consolidated!J53,'Org List'!$A$2:$A$1005&amp;'Org List'!$B$2:$B$1005,0),3)</f>
        <v>NGOs: International</v>
      </c>
    </row>
    <row r="54" spans="1:13" x14ac:dyDescent="0.25">
      <c r="A54">
        <v>2022</v>
      </c>
      <c r="B54" t="s">
        <v>4467</v>
      </c>
      <c r="C54" t="s">
        <v>4468</v>
      </c>
      <c r="D54" t="s">
        <v>30</v>
      </c>
      <c r="E54" t="s">
        <v>261</v>
      </c>
      <c r="F54">
        <v>4500183537</v>
      </c>
      <c r="G54" t="s">
        <v>4485</v>
      </c>
      <c r="H54" t="s">
        <v>3334</v>
      </c>
      <c r="I54" t="s">
        <v>3127</v>
      </c>
      <c r="J54" t="s">
        <v>261</v>
      </c>
      <c r="K54" s="2">
        <v>314393</v>
      </c>
      <c r="L54" t="s">
        <v>6408</v>
      </c>
      <c r="M54" t="str" cm="1">
        <f t="array" ref="M54">INDEX('Org List'!$A$2:$C$1005,MATCH(Consolidated!I54&amp;Consolidated!J54,'Org List'!$A$2:$A$1005&amp;'Org List'!$B$2:$B$1005,0),3)</f>
        <v>NGOs: International</v>
      </c>
    </row>
    <row r="55" spans="1:13" x14ac:dyDescent="0.25">
      <c r="A55">
        <v>2022</v>
      </c>
      <c r="B55" t="s">
        <v>4467</v>
      </c>
      <c r="C55" t="s">
        <v>4468</v>
      </c>
      <c r="D55" t="s">
        <v>30</v>
      </c>
      <c r="E55" t="s">
        <v>261</v>
      </c>
      <c r="F55">
        <v>4500183540</v>
      </c>
      <c r="G55" t="s">
        <v>4486</v>
      </c>
      <c r="H55" t="s">
        <v>3334</v>
      </c>
      <c r="I55" t="s">
        <v>3997</v>
      </c>
      <c r="J55" t="s">
        <v>261</v>
      </c>
      <c r="K55" s="2">
        <v>94422</v>
      </c>
      <c r="L55" t="s">
        <v>6408</v>
      </c>
      <c r="M55" t="str" cm="1">
        <f t="array" ref="M55">INDEX('Org List'!$A$2:$C$1005,MATCH(Consolidated!I55&amp;Consolidated!J55,'Org List'!$A$2:$A$1005&amp;'Org List'!$B$2:$B$1005,0),3)</f>
        <v>NGOs: National</v>
      </c>
    </row>
    <row r="56" spans="1:13" x14ac:dyDescent="0.25">
      <c r="A56">
        <v>2022</v>
      </c>
      <c r="B56" t="s">
        <v>4467</v>
      </c>
      <c r="C56" t="s">
        <v>4468</v>
      </c>
      <c r="D56" t="s">
        <v>30</v>
      </c>
      <c r="E56" t="s">
        <v>261</v>
      </c>
      <c r="F56">
        <v>4500183755</v>
      </c>
      <c r="G56" t="s">
        <v>4487</v>
      </c>
      <c r="H56" t="s">
        <v>3334</v>
      </c>
      <c r="I56" t="s">
        <v>4488</v>
      </c>
      <c r="J56" t="s">
        <v>261</v>
      </c>
      <c r="K56" s="2">
        <v>113886</v>
      </c>
      <c r="L56" t="s">
        <v>6408</v>
      </c>
      <c r="M56" t="str" cm="1">
        <f t="array" ref="M56">INDEX('Org List'!$A$2:$C$1005,MATCH(Consolidated!I56&amp;Consolidated!J56,'Org List'!$A$2:$A$1005&amp;'Org List'!$B$2:$B$1005,0),3)</f>
        <v>NGOs: National</v>
      </c>
    </row>
    <row r="57" spans="1:13" x14ac:dyDescent="0.25">
      <c r="A57">
        <v>2022</v>
      </c>
      <c r="B57" t="s">
        <v>4467</v>
      </c>
      <c r="C57" t="s">
        <v>4468</v>
      </c>
      <c r="D57" t="s">
        <v>30</v>
      </c>
      <c r="E57" t="s">
        <v>261</v>
      </c>
      <c r="F57">
        <v>4500183762</v>
      </c>
      <c r="G57" t="s">
        <v>4489</v>
      </c>
      <c r="H57" t="s">
        <v>3334</v>
      </c>
      <c r="I57" t="s">
        <v>2981</v>
      </c>
      <c r="J57" t="s">
        <v>261</v>
      </c>
      <c r="K57" s="2">
        <v>438994</v>
      </c>
      <c r="L57" t="s">
        <v>6408</v>
      </c>
      <c r="M57" t="str" cm="1">
        <f t="array" ref="M57">INDEX('Org List'!$A$2:$C$1005,MATCH(Consolidated!I57&amp;Consolidated!J57,'Org List'!$A$2:$A$1005&amp;'Org List'!$B$2:$B$1005,0),3)</f>
        <v>Red Cross: National</v>
      </c>
    </row>
    <row r="58" spans="1:13" x14ac:dyDescent="0.25">
      <c r="A58">
        <v>2022</v>
      </c>
      <c r="B58" t="s">
        <v>4467</v>
      </c>
      <c r="C58" t="s">
        <v>4468</v>
      </c>
      <c r="D58" t="s">
        <v>30</v>
      </c>
      <c r="E58" t="s">
        <v>261</v>
      </c>
      <c r="F58">
        <v>4500183765</v>
      </c>
      <c r="G58" t="s">
        <v>4490</v>
      </c>
      <c r="H58" t="s">
        <v>3334</v>
      </c>
      <c r="I58" t="s">
        <v>4491</v>
      </c>
      <c r="J58" t="s">
        <v>261</v>
      </c>
      <c r="K58" s="2">
        <v>84456</v>
      </c>
      <c r="L58" t="s">
        <v>6408</v>
      </c>
      <c r="M58" t="str" cm="1">
        <f t="array" ref="M58">INDEX('Org List'!$A$2:$C$1005,MATCH(Consolidated!I58&amp;Consolidated!J58,'Org List'!$A$2:$A$1005&amp;'Org List'!$B$2:$B$1005,0),3)</f>
        <v>NGOs: National</v>
      </c>
    </row>
    <row r="59" spans="1:13" x14ac:dyDescent="0.25">
      <c r="A59">
        <v>2022</v>
      </c>
      <c r="B59" t="s">
        <v>4467</v>
      </c>
      <c r="C59" t="s">
        <v>4468</v>
      </c>
      <c r="D59" t="s">
        <v>30</v>
      </c>
      <c r="E59" t="s">
        <v>261</v>
      </c>
      <c r="F59">
        <v>4500183771</v>
      </c>
      <c r="G59" t="s">
        <v>4492</v>
      </c>
      <c r="H59" t="s">
        <v>3334</v>
      </c>
      <c r="I59" t="s">
        <v>4493</v>
      </c>
      <c r="J59" t="s">
        <v>261</v>
      </c>
      <c r="K59" s="2">
        <v>249990</v>
      </c>
      <c r="L59" t="s">
        <v>6408</v>
      </c>
      <c r="M59" t="str" cm="1">
        <f t="array" ref="M59">INDEX('Org List'!$A$2:$C$1005,MATCH(Consolidated!I59&amp;Consolidated!J59,'Org List'!$A$2:$A$1005&amp;'Org List'!$B$2:$B$1005,0),3)</f>
        <v>NGOs: International</v>
      </c>
    </row>
    <row r="60" spans="1:13" x14ac:dyDescent="0.25">
      <c r="A60">
        <v>2022</v>
      </c>
      <c r="B60" t="s">
        <v>4467</v>
      </c>
      <c r="C60" t="s">
        <v>4468</v>
      </c>
      <c r="D60" t="s">
        <v>30</v>
      </c>
      <c r="E60" t="s">
        <v>261</v>
      </c>
      <c r="F60">
        <v>4500183773</v>
      </c>
      <c r="G60" t="s">
        <v>4494</v>
      </c>
      <c r="H60" t="s">
        <v>3334</v>
      </c>
      <c r="I60" t="s">
        <v>2984</v>
      </c>
      <c r="J60" t="s">
        <v>261</v>
      </c>
      <c r="K60" s="2">
        <v>739497</v>
      </c>
      <c r="L60" t="s">
        <v>6408</v>
      </c>
      <c r="M60" t="str" cm="1">
        <f t="array" ref="M60">INDEX('Org List'!$A$2:$C$1005,MATCH(Consolidated!I60&amp;Consolidated!J60,'Org List'!$A$2:$A$1005&amp;'Org List'!$B$2:$B$1005,0),3)</f>
        <v>NGOs: National</v>
      </c>
    </row>
    <row r="61" spans="1:13" x14ac:dyDescent="0.25">
      <c r="A61">
        <v>2022</v>
      </c>
      <c r="B61" t="s">
        <v>4467</v>
      </c>
      <c r="C61" t="s">
        <v>4468</v>
      </c>
      <c r="D61" t="s">
        <v>30</v>
      </c>
      <c r="E61" t="s">
        <v>261</v>
      </c>
      <c r="F61">
        <v>4500183780</v>
      </c>
      <c r="G61" t="s">
        <v>4495</v>
      </c>
      <c r="H61" t="s">
        <v>3334</v>
      </c>
      <c r="I61" t="s">
        <v>262</v>
      </c>
      <c r="J61" t="s">
        <v>261</v>
      </c>
      <c r="K61" s="2">
        <v>100215</v>
      </c>
      <c r="L61" t="s">
        <v>6408</v>
      </c>
      <c r="M61" t="str" cm="1">
        <f t="array" ref="M61">INDEX('Org List'!$A$2:$C$1005,MATCH(Consolidated!I61&amp;Consolidated!J61,'Org List'!$A$2:$A$1005&amp;'Org List'!$B$2:$B$1005,0),3)</f>
        <v>Red Cross: National</v>
      </c>
    </row>
    <row r="62" spans="1:13" x14ac:dyDescent="0.25">
      <c r="A62">
        <v>2022</v>
      </c>
      <c r="B62" t="s">
        <v>4467</v>
      </c>
      <c r="C62" t="s">
        <v>4468</v>
      </c>
      <c r="D62" t="s">
        <v>30</v>
      </c>
      <c r="E62" t="s">
        <v>261</v>
      </c>
      <c r="F62">
        <v>4500184189</v>
      </c>
      <c r="G62" t="s">
        <v>4496</v>
      </c>
      <c r="H62" t="s">
        <v>3334</v>
      </c>
      <c r="I62" t="s">
        <v>3998</v>
      </c>
      <c r="J62" t="s">
        <v>261</v>
      </c>
      <c r="K62" s="2">
        <v>24181</v>
      </c>
      <c r="L62" t="s">
        <v>6408</v>
      </c>
      <c r="M62" t="str" cm="1">
        <f t="array" ref="M62">INDEX('Org List'!$A$2:$C$1005,MATCH(Consolidated!I62&amp;Consolidated!J62,'Org List'!$A$2:$A$1005&amp;'Org List'!$B$2:$B$1005,0),3)</f>
        <v>Other: Local</v>
      </c>
    </row>
    <row r="63" spans="1:13" x14ac:dyDescent="0.25">
      <c r="A63">
        <v>2022</v>
      </c>
      <c r="B63" t="s">
        <v>4467</v>
      </c>
      <c r="C63" t="s">
        <v>4468</v>
      </c>
      <c r="D63" t="s">
        <v>30</v>
      </c>
      <c r="E63" t="s">
        <v>261</v>
      </c>
      <c r="F63">
        <v>4500187160</v>
      </c>
      <c r="G63" t="s">
        <v>4459</v>
      </c>
      <c r="H63" t="s">
        <v>3334</v>
      </c>
      <c r="I63" t="s">
        <v>2980</v>
      </c>
      <c r="J63" t="s">
        <v>261</v>
      </c>
      <c r="K63" s="2">
        <v>11561</v>
      </c>
      <c r="L63" t="s">
        <v>6408</v>
      </c>
      <c r="M63" t="str" cm="1">
        <f t="array" ref="M63">INDEX('Org List'!$A$2:$C$1005,MATCH(Consolidated!I63&amp;Consolidated!J63,'Org List'!$A$2:$A$1005&amp;'Org List'!$B$2:$B$1005,0),3)</f>
        <v>NGOs: Local</v>
      </c>
    </row>
    <row r="64" spans="1:13" x14ac:dyDescent="0.25">
      <c r="A64">
        <v>2022</v>
      </c>
      <c r="B64" t="s">
        <v>4467</v>
      </c>
      <c r="C64" t="s">
        <v>4468</v>
      </c>
      <c r="D64" t="s">
        <v>30</v>
      </c>
      <c r="E64" t="s">
        <v>261</v>
      </c>
      <c r="F64">
        <v>4500206654</v>
      </c>
      <c r="G64" t="s">
        <v>4497</v>
      </c>
      <c r="H64" t="s">
        <v>3334</v>
      </c>
      <c r="I64" t="s">
        <v>2384</v>
      </c>
      <c r="J64" t="s">
        <v>261</v>
      </c>
      <c r="K64" s="2">
        <v>37422</v>
      </c>
      <c r="L64" t="s">
        <v>6408</v>
      </c>
      <c r="M64" t="str" cm="1">
        <f t="array" ref="M64">INDEX('Org List'!$A$2:$C$1005,MATCH(Consolidated!I64&amp;Consolidated!J64,'Org List'!$A$2:$A$1005&amp;'Org List'!$B$2:$B$1005,0),3)</f>
        <v>NGOs: National</v>
      </c>
    </row>
    <row r="65" spans="1:13" x14ac:dyDescent="0.25">
      <c r="A65">
        <v>2022</v>
      </c>
      <c r="B65" t="s">
        <v>4467</v>
      </c>
      <c r="C65" t="s">
        <v>4468</v>
      </c>
      <c r="D65" t="s">
        <v>30</v>
      </c>
      <c r="E65" t="s">
        <v>261</v>
      </c>
      <c r="F65">
        <v>4500206675</v>
      </c>
      <c r="G65" t="s">
        <v>4498</v>
      </c>
      <c r="H65" t="s">
        <v>3334</v>
      </c>
      <c r="I65" t="s">
        <v>264</v>
      </c>
      <c r="J65" t="s">
        <v>261</v>
      </c>
      <c r="K65" s="2">
        <v>49210</v>
      </c>
      <c r="L65" t="s">
        <v>6408</v>
      </c>
      <c r="M65" t="str" cm="1">
        <f t="array" ref="M65">INDEX('Org List'!$A$2:$C$1005,MATCH(Consolidated!I65&amp;Consolidated!J65,'Org List'!$A$2:$A$1005&amp;'Org List'!$B$2:$B$1005,0),3)</f>
        <v>NGOs: International</v>
      </c>
    </row>
    <row r="66" spans="1:13" x14ac:dyDescent="0.25">
      <c r="A66">
        <v>2022</v>
      </c>
      <c r="B66" t="s">
        <v>4467</v>
      </c>
      <c r="C66" t="s">
        <v>4468</v>
      </c>
      <c r="D66" t="s">
        <v>30</v>
      </c>
      <c r="E66" t="s">
        <v>261</v>
      </c>
      <c r="F66">
        <v>4500234504</v>
      </c>
      <c r="G66" t="s">
        <v>4499</v>
      </c>
      <c r="H66" t="s">
        <v>3334</v>
      </c>
      <c r="I66" t="s">
        <v>262</v>
      </c>
      <c r="J66" t="s">
        <v>261</v>
      </c>
      <c r="K66" s="2">
        <v>392965</v>
      </c>
      <c r="L66" t="s">
        <v>6408</v>
      </c>
      <c r="M66" t="str" cm="1">
        <f t="array" ref="M66">INDEX('Org List'!$A$2:$C$1005,MATCH(Consolidated!I66&amp;Consolidated!J66,'Org List'!$A$2:$A$1005&amp;'Org List'!$B$2:$B$1005,0),3)</f>
        <v>Red Cross: National</v>
      </c>
    </row>
    <row r="67" spans="1:13" x14ac:dyDescent="0.25">
      <c r="A67">
        <v>2022</v>
      </c>
      <c r="B67" t="s">
        <v>4467</v>
      </c>
      <c r="C67" t="s">
        <v>4468</v>
      </c>
      <c r="D67" t="s">
        <v>30</v>
      </c>
      <c r="E67" t="s">
        <v>261</v>
      </c>
      <c r="F67">
        <v>4500234505</v>
      </c>
      <c r="G67" t="s">
        <v>4500</v>
      </c>
      <c r="H67" t="s">
        <v>3334</v>
      </c>
      <c r="I67" t="s">
        <v>4483</v>
      </c>
      <c r="J67" t="s">
        <v>261</v>
      </c>
      <c r="K67" s="2">
        <v>187558</v>
      </c>
      <c r="L67" t="s">
        <v>6408</v>
      </c>
      <c r="M67" t="str" cm="1">
        <f t="array" ref="M67">INDEX('Org List'!$A$2:$C$1005,MATCH(Consolidated!I67&amp;Consolidated!J67,'Org List'!$A$2:$A$1005&amp;'Org List'!$B$2:$B$1005,0),3)</f>
        <v>Other: Local</v>
      </c>
    </row>
    <row r="68" spans="1:13" x14ac:dyDescent="0.25">
      <c r="A68">
        <v>2022</v>
      </c>
      <c r="B68" t="s">
        <v>4467</v>
      </c>
      <c r="C68" t="s">
        <v>4468</v>
      </c>
      <c r="D68" t="s">
        <v>30</v>
      </c>
      <c r="E68" t="s">
        <v>261</v>
      </c>
      <c r="F68">
        <v>4500234802</v>
      </c>
      <c r="G68" t="s">
        <v>4501</v>
      </c>
      <c r="H68" t="s">
        <v>3334</v>
      </c>
      <c r="I68" t="s">
        <v>4481</v>
      </c>
      <c r="J68" t="s">
        <v>261</v>
      </c>
      <c r="K68" s="2">
        <v>119007</v>
      </c>
      <c r="L68" t="s">
        <v>6408</v>
      </c>
      <c r="M68" t="str" cm="1">
        <f t="array" ref="M68">INDEX('Org List'!$A$2:$C$1005,MATCH(Consolidated!I68&amp;Consolidated!J68,'Org List'!$A$2:$A$1005&amp;'Org List'!$B$2:$B$1005,0),3)</f>
        <v>NGOs: National</v>
      </c>
    </row>
    <row r="69" spans="1:13" x14ac:dyDescent="0.25">
      <c r="A69">
        <v>2022</v>
      </c>
      <c r="B69" t="s">
        <v>4467</v>
      </c>
      <c r="C69" t="s">
        <v>4468</v>
      </c>
      <c r="D69" t="s">
        <v>30</v>
      </c>
      <c r="E69" t="s">
        <v>261</v>
      </c>
      <c r="F69">
        <v>4500235894</v>
      </c>
      <c r="G69" t="s">
        <v>4502</v>
      </c>
      <c r="H69" t="s">
        <v>3334</v>
      </c>
      <c r="I69" t="s">
        <v>4493</v>
      </c>
      <c r="J69" t="s">
        <v>261</v>
      </c>
      <c r="K69" s="2">
        <v>147138</v>
      </c>
      <c r="L69" t="s">
        <v>6408</v>
      </c>
      <c r="M69" t="str" cm="1">
        <f t="array" ref="M69">INDEX('Org List'!$A$2:$C$1005,MATCH(Consolidated!I69&amp;Consolidated!J69,'Org List'!$A$2:$A$1005&amp;'Org List'!$B$2:$B$1005,0),3)</f>
        <v>NGOs: International</v>
      </c>
    </row>
    <row r="70" spans="1:13" x14ac:dyDescent="0.25">
      <c r="A70">
        <v>2022</v>
      </c>
      <c r="B70" t="s">
        <v>4467</v>
      </c>
      <c r="C70" t="s">
        <v>4468</v>
      </c>
      <c r="D70" t="s">
        <v>30</v>
      </c>
      <c r="E70" t="s">
        <v>261</v>
      </c>
      <c r="F70">
        <v>4500235962</v>
      </c>
      <c r="G70" t="s">
        <v>4503</v>
      </c>
      <c r="H70" t="s">
        <v>3334</v>
      </c>
      <c r="I70" t="s">
        <v>2769</v>
      </c>
      <c r="J70" t="s">
        <v>261</v>
      </c>
      <c r="K70" s="2">
        <v>215237</v>
      </c>
      <c r="L70" t="s">
        <v>6408</v>
      </c>
      <c r="M70" t="str" cm="1">
        <f t="array" ref="M70">INDEX('Org List'!$A$2:$C$1005,MATCH(Consolidated!I70&amp;Consolidated!J70,'Org List'!$A$2:$A$1005&amp;'Org List'!$B$2:$B$1005,0),3)</f>
        <v>Other: Local</v>
      </c>
    </row>
    <row r="71" spans="1:13" x14ac:dyDescent="0.25">
      <c r="A71">
        <v>2022</v>
      </c>
      <c r="B71" t="s">
        <v>4467</v>
      </c>
      <c r="C71" t="s">
        <v>4468</v>
      </c>
      <c r="D71" t="s">
        <v>30</v>
      </c>
      <c r="E71" t="s">
        <v>261</v>
      </c>
      <c r="F71">
        <v>4500236869</v>
      </c>
      <c r="G71" t="s">
        <v>4504</v>
      </c>
      <c r="H71" t="s">
        <v>3334</v>
      </c>
      <c r="I71" t="s">
        <v>2986</v>
      </c>
      <c r="J71" t="s">
        <v>261</v>
      </c>
      <c r="K71" s="2">
        <v>295494</v>
      </c>
      <c r="L71" t="s">
        <v>6408</v>
      </c>
      <c r="M71" t="str" cm="1">
        <f t="array" ref="M71">INDEX('Org List'!$A$2:$C$1005,MATCH(Consolidated!I71&amp;Consolidated!J71,'Org List'!$A$2:$A$1005&amp;'Org List'!$B$2:$B$1005,0),3)</f>
        <v>NGOs: National</v>
      </c>
    </row>
    <row r="72" spans="1:13" x14ac:dyDescent="0.25">
      <c r="A72">
        <v>2022</v>
      </c>
      <c r="B72" t="s">
        <v>4467</v>
      </c>
      <c r="C72" t="s">
        <v>4468</v>
      </c>
      <c r="D72" t="s">
        <v>30</v>
      </c>
      <c r="E72" t="s">
        <v>261</v>
      </c>
      <c r="F72">
        <v>4500236872</v>
      </c>
      <c r="G72" t="s">
        <v>4505</v>
      </c>
      <c r="H72" t="s">
        <v>3334</v>
      </c>
      <c r="I72" t="s">
        <v>4474</v>
      </c>
      <c r="J72" t="s">
        <v>261</v>
      </c>
      <c r="K72" s="2">
        <v>373316</v>
      </c>
      <c r="L72" t="s">
        <v>6408</v>
      </c>
      <c r="M72" t="str" cm="1">
        <f t="array" ref="M72">INDEX('Org List'!$A$2:$C$1005,MATCH(Consolidated!I72&amp;Consolidated!J72,'Org List'!$A$2:$A$1005&amp;'Org List'!$B$2:$B$1005,0),3)</f>
        <v>Other: Local</v>
      </c>
    </row>
    <row r="73" spans="1:13" x14ac:dyDescent="0.25">
      <c r="A73">
        <v>2022</v>
      </c>
      <c r="B73" t="s">
        <v>4467</v>
      </c>
      <c r="C73" t="s">
        <v>4468</v>
      </c>
      <c r="D73" t="s">
        <v>30</v>
      </c>
      <c r="E73" t="s">
        <v>261</v>
      </c>
      <c r="F73">
        <v>4500237308</v>
      </c>
      <c r="G73" t="s">
        <v>4506</v>
      </c>
      <c r="H73" t="s">
        <v>3334</v>
      </c>
      <c r="I73" t="s">
        <v>2981</v>
      </c>
      <c r="J73" t="s">
        <v>261</v>
      </c>
      <c r="K73" s="2">
        <v>590254</v>
      </c>
      <c r="L73" t="s">
        <v>6408</v>
      </c>
      <c r="M73" t="str" cm="1">
        <f t="array" ref="M73">INDEX('Org List'!$A$2:$C$1005,MATCH(Consolidated!I73&amp;Consolidated!J73,'Org List'!$A$2:$A$1005&amp;'Org List'!$B$2:$B$1005,0),3)</f>
        <v>Red Cross: National</v>
      </c>
    </row>
    <row r="74" spans="1:13" x14ac:dyDescent="0.25">
      <c r="A74">
        <v>2022</v>
      </c>
      <c r="B74" t="s">
        <v>4467</v>
      </c>
      <c r="C74" t="s">
        <v>4468</v>
      </c>
      <c r="D74" t="s">
        <v>30</v>
      </c>
      <c r="E74" t="s">
        <v>261</v>
      </c>
      <c r="F74">
        <v>4500237349</v>
      </c>
      <c r="G74" t="s">
        <v>4507</v>
      </c>
      <c r="H74" t="s">
        <v>3334</v>
      </c>
      <c r="I74" t="s">
        <v>2980</v>
      </c>
      <c r="J74" t="s">
        <v>261</v>
      </c>
      <c r="K74" s="2">
        <v>261745</v>
      </c>
      <c r="L74" t="s">
        <v>6408</v>
      </c>
      <c r="M74" t="str" cm="1">
        <f t="array" ref="M74">INDEX('Org List'!$A$2:$C$1005,MATCH(Consolidated!I74&amp;Consolidated!J74,'Org List'!$A$2:$A$1005&amp;'Org List'!$B$2:$B$1005,0),3)</f>
        <v>NGOs: Local</v>
      </c>
    </row>
    <row r="75" spans="1:13" x14ac:dyDescent="0.25">
      <c r="A75">
        <v>2022</v>
      </c>
      <c r="B75" t="s">
        <v>4467</v>
      </c>
      <c r="C75" t="s">
        <v>4468</v>
      </c>
      <c r="D75" t="s">
        <v>30</v>
      </c>
      <c r="E75" t="s">
        <v>261</v>
      </c>
      <c r="F75">
        <v>4500237709</v>
      </c>
      <c r="G75" t="s">
        <v>4508</v>
      </c>
      <c r="H75" t="s">
        <v>3334</v>
      </c>
      <c r="I75" t="s">
        <v>2529</v>
      </c>
      <c r="J75" t="s">
        <v>261</v>
      </c>
      <c r="K75" s="2">
        <v>510553</v>
      </c>
      <c r="L75" t="s">
        <v>6408</v>
      </c>
      <c r="M75" t="str" cm="1">
        <f t="array" ref="M75">INDEX('Org List'!$A$2:$C$1005,MATCH(Consolidated!I75&amp;Consolidated!J75,'Org List'!$A$2:$A$1005&amp;'Org List'!$B$2:$B$1005,0),3)</f>
        <v>NGOs: International</v>
      </c>
    </row>
    <row r="76" spans="1:13" x14ac:dyDescent="0.25">
      <c r="A76">
        <v>2022</v>
      </c>
      <c r="B76" t="s">
        <v>4467</v>
      </c>
      <c r="C76" t="s">
        <v>4468</v>
      </c>
      <c r="D76" t="s">
        <v>30</v>
      </c>
      <c r="E76" t="s">
        <v>261</v>
      </c>
      <c r="F76">
        <v>4500238084</v>
      </c>
      <c r="G76" t="s">
        <v>4509</v>
      </c>
      <c r="H76" t="s">
        <v>3334</v>
      </c>
      <c r="I76" t="s">
        <v>264</v>
      </c>
      <c r="J76" t="s">
        <v>261</v>
      </c>
      <c r="K76" s="2">
        <v>147988</v>
      </c>
      <c r="L76" t="s">
        <v>6408</v>
      </c>
      <c r="M76" t="str" cm="1">
        <f t="array" ref="M76">INDEX('Org List'!$A$2:$C$1005,MATCH(Consolidated!I76&amp;Consolidated!J76,'Org List'!$A$2:$A$1005&amp;'Org List'!$B$2:$B$1005,0),3)</f>
        <v>NGOs: International</v>
      </c>
    </row>
    <row r="77" spans="1:13" x14ac:dyDescent="0.25">
      <c r="A77">
        <v>2022</v>
      </c>
      <c r="B77" t="s">
        <v>4467</v>
      </c>
      <c r="C77" t="s">
        <v>4468</v>
      </c>
      <c r="D77" t="s">
        <v>30</v>
      </c>
      <c r="E77" t="s">
        <v>261</v>
      </c>
      <c r="F77">
        <v>4500238095</v>
      </c>
      <c r="G77" t="s">
        <v>4510</v>
      </c>
      <c r="H77" t="s">
        <v>3334</v>
      </c>
      <c r="I77" t="s">
        <v>2980</v>
      </c>
      <c r="J77" t="s">
        <v>261</v>
      </c>
      <c r="K77" s="2">
        <v>218393</v>
      </c>
      <c r="L77" t="s">
        <v>6408</v>
      </c>
      <c r="M77" t="str" cm="1">
        <f t="array" ref="M77">INDEX('Org List'!$A$2:$C$1005,MATCH(Consolidated!I77&amp;Consolidated!J77,'Org List'!$A$2:$A$1005&amp;'Org List'!$B$2:$B$1005,0),3)</f>
        <v>NGOs: Local</v>
      </c>
    </row>
    <row r="78" spans="1:13" x14ac:dyDescent="0.25">
      <c r="A78">
        <v>2022</v>
      </c>
      <c r="B78" t="s">
        <v>4467</v>
      </c>
      <c r="C78" t="s">
        <v>4468</v>
      </c>
      <c r="D78" t="s">
        <v>30</v>
      </c>
      <c r="E78" t="s">
        <v>261</v>
      </c>
      <c r="F78">
        <v>4500241210</v>
      </c>
      <c r="G78" t="s">
        <v>4511</v>
      </c>
      <c r="H78" t="s">
        <v>3334</v>
      </c>
      <c r="I78" t="s">
        <v>264</v>
      </c>
      <c r="J78" t="s">
        <v>261</v>
      </c>
      <c r="K78" s="2">
        <v>130170</v>
      </c>
      <c r="L78" t="s">
        <v>6408</v>
      </c>
      <c r="M78" t="str" cm="1">
        <f t="array" ref="M78">INDEX('Org List'!$A$2:$C$1005,MATCH(Consolidated!I78&amp;Consolidated!J78,'Org List'!$A$2:$A$1005&amp;'Org List'!$B$2:$B$1005,0),3)</f>
        <v>NGOs: International</v>
      </c>
    </row>
    <row r="79" spans="1:13" x14ac:dyDescent="0.25">
      <c r="A79">
        <v>2022</v>
      </c>
      <c r="B79" t="s">
        <v>4467</v>
      </c>
      <c r="C79" t="s">
        <v>4468</v>
      </c>
      <c r="D79" t="s">
        <v>30</v>
      </c>
      <c r="E79" t="s">
        <v>261</v>
      </c>
      <c r="F79">
        <v>4500241211</v>
      </c>
      <c r="G79" t="s">
        <v>4512</v>
      </c>
      <c r="H79" t="s">
        <v>3334</v>
      </c>
      <c r="I79" t="s">
        <v>4493</v>
      </c>
      <c r="J79" t="s">
        <v>261</v>
      </c>
      <c r="K79" s="2">
        <v>307669</v>
      </c>
      <c r="L79" t="s">
        <v>6408</v>
      </c>
      <c r="M79" t="str" cm="1">
        <f t="array" ref="M79">INDEX('Org List'!$A$2:$C$1005,MATCH(Consolidated!I79&amp;Consolidated!J79,'Org List'!$A$2:$A$1005&amp;'Org List'!$B$2:$B$1005,0),3)</f>
        <v>NGOs: International</v>
      </c>
    </row>
    <row r="80" spans="1:13" x14ac:dyDescent="0.25">
      <c r="A80">
        <v>2022</v>
      </c>
      <c r="B80" t="s">
        <v>4467</v>
      </c>
      <c r="C80" t="s">
        <v>4468</v>
      </c>
      <c r="D80" t="s">
        <v>30</v>
      </c>
      <c r="E80" t="s">
        <v>261</v>
      </c>
      <c r="F80">
        <v>4500241910</v>
      </c>
      <c r="G80" t="s">
        <v>4513</v>
      </c>
      <c r="H80" t="s">
        <v>3334</v>
      </c>
      <c r="I80" t="s">
        <v>4514</v>
      </c>
      <c r="J80" t="s">
        <v>261</v>
      </c>
      <c r="K80" s="2">
        <v>176798</v>
      </c>
      <c r="L80" t="s">
        <v>6408</v>
      </c>
      <c r="M80" t="str" cm="1">
        <f t="array" ref="M80">INDEX('Org List'!$A$2:$C$1005,MATCH(Consolidated!I80&amp;Consolidated!J80,'Org List'!$A$2:$A$1005&amp;'Org List'!$B$2:$B$1005,0),3)</f>
        <v>NGOs: International</v>
      </c>
    </row>
    <row r="81" spans="1:13" x14ac:dyDescent="0.25">
      <c r="A81">
        <v>2022</v>
      </c>
      <c r="B81" t="s">
        <v>4467</v>
      </c>
      <c r="C81" t="s">
        <v>4468</v>
      </c>
      <c r="D81" t="s">
        <v>30</v>
      </c>
      <c r="E81" t="s">
        <v>261</v>
      </c>
      <c r="F81">
        <v>4500241977</v>
      </c>
      <c r="G81" t="s">
        <v>4515</v>
      </c>
      <c r="H81" t="s">
        <v>3334</v>
      </c>
      <c r="I81" t="s">
        <v>2984</v>
      </c>
      <c r="J81" t="s">
        <v>261</v>
      </c>
      <c r="K81" s="2">
        <v>880419</v>
      </c>
      <c r="L81" t="s">
        <v>6408</v>
      </c>
      <c r="M81" t="str" cm="1">
        <f t="array" ref="M81">INDEX('Org List'!$A$2:$C$1005,MATCH(Consolidated!I81&amp;Consolidated!J81,'Org List'!$A$2:$A$1005&amp;'Org List'!$B$2:$B$1005,0),3)</f>
        <v>NGOs: National</v>
      </c>
    </row>
    <row r="82" spans="1:13" x14ac:dyDescent="0.25">
      <c r="A82">
        <v>2022</v>
      </c>
      <c r="B82" t="s">
        <v>4467</v>
      </c>
      <c r="C82" t="s">
        <v>4468</v>
      </c>
      <c r="D82" t="s">
        <v>30</v>
      </c>
      <c r="E82" t="s">
        <v>261</v>
      </c>
      <c r="F82">
        <v>4500241981</v>
      </c>
      <c r="G82" t="s">
        <v>4516</v>
      </c>
      <c r="H82" t="s">
        <v>3334</v>
      </c>
      <c r="I82" t="s">
        <v>3127</v>
      </c>
      <c r="J82" t="s">
        <v>261</v>
      </c>
      <c r="K82" s="2">
        <v>440745</v>
      </c>
      <c r="L82" t="s">
        <v>6408</v>
      </c>
      <c r="M82" t="str" cm="1">
        <f t="array" ref="M82">INDEX('Org List'!$A$2:$C$1005,MATCH(Consolidated!I82&amp;Consolidated!J82,'Org List'!$A$2:$A$1005&amp;'Org List'!$B$2:$B$1005,0),3)</f>
        <v>NGOs: International</v>
      </c>
    </row>
    <row r="83" spans="1:13" x14ac:dyDescent="0.25">
      <c r="A83">
        <v>2022</v>
      </c>
      <c r="B83" t="s">
        <v>4467</v>
      </c>
      <c r="C83" t="s">
        <v>4468</v>
      </c>
      <c r="D83" t="s">
        <v>30</v>
      </c>
      <c r="E83" t="s">
        <v>261</v>
      </c>
      <c r="F83">
        <v>4500242402</v>
      </c>
      <c r="G83" t="s">
        <v>4517</v>
      </c>
      <c r="H83" t="s">
        <v>3334</v>
      </c>
      <c r="I83" t="s">
        <v>264</v>
      </c>
      <c r="J83" t="s">
        <v>261</v>
      </c>
      <c r="K83" s="2">
        <v>140332</v>
      </c>
      <c r="L83" t="s">
        <v>6408</v>
      </c>
      <c r="M83" t="str" cm="1">
        <f t="array" ref="M83">INDEX('Org List'!$A$2:$C$1005,MATCH(Consolidated!I83&amp;Consolidated!J83,'Org List'!$A$2:$A$1005&amp;'Org List'!$B$2:$B$1005,0),3)</f>
        <v>NGOs: International</v>
      </c>
    </row>
    <row r="84" spans="1:13" x14ac:dyDescent="0.25">
      <c r="A84">
        <v>2022</v>
      </c>
      <c r="B84" t="s">
        <v>4467</v>
      </c>
      <c r="C84" t="s">
        <v>4468</v>
      </c>
      <c r="D84" t="s">
        <v>30</v>
      </c>
      <c r="E84" t="s">
        <v>261</v>
      </c>
      <c r="F84">
        <v>4500242429</v>
      </c>
      <c r="G84" t="s">
        <v>4518</v>
      </c>
      <c r="H84" t="s">
        <v>3334</v>
      </c>
      <c r="I84" t="s">
        <v>2529</v>
      </c>
      <c r="J84" t="s">
        <v>261</v>
      </c>
      <c r="K84" s="2">
        <v>218771</v>
      </c>
      <c r="L84" t="s">
        <v>6408</v>
      </c>
      <c r="M84" t="str" cm="1">
        <f t="array" ref="M84">INDEX('Org List'!$A$2:$C$1005,MATCH(Consolidated!I84&amp;Consolidated!J84,'Org List'!$A$2:$A$1005&amp;'Org List'!$B$2:$B$1005,0),3)</f>
        <v>NGOs: International</v>
      </c>
    </row>
    <row r="85" spans="1:13" x14ac:dyDescent="0.25">
      <c r="A85">
        <v>2022</v>
      </c>
      <c r="B85" t="s">
        <v>4467</v>
      </c>
      <c r="C85" t="s">
        <v>4468</v>
      </c>
      <c r="D85" t="s">
        <v>30</v>
      </c>
      <c r="E85" t="s">
        <v>261</v>
      </c>
      <c r="F85">
        <v>4500242870</v>
      </c>
      <c r="G85" t="s">
        <v>4519</v>
      </c>
      <c r="H85" t="s">
        <v>3334</v>
      </c>
      <c r="I85" t="s">
        <v>262</v>
      </c>
      <c r="J85" t="s">
        <v>261</v>
      </c>
      <c r="K85" s="2">
        <v>207785</v>
      </c>
      <c r="L85" t="s">
        <v>6408</v>
      </c>
      <c r="M85" t="str" cm="1">
        <f t="array" ref="M85">INDEX('Org List'!$A$2:$C$1005,MATCH(Consolidated!I85&amp;Consolidated!J85,'Org List'!$A$2:$A$1005&amp;'Org List'!$B$2:$B$1005,0),3)</f>
        <v>Red Cross: National</v>
      </c>
    </row>
    <row r="86" spans="1:13" x14ac:dyDescent="0.25">
      <c r="A86">
        <v>2022</v>
      </c>
      <c r="B86" t="s">
        <v>4467</v>
      </c>
      <c r="C86" t="s">
        <v>4468</v>
      </c>
      <c r="D86" t="s">
        <v>30</v>
      </c>
      <c r="E86" t="s">
        <v>261</v>
      </c>
      <c r="F86">
        <v>4500245067</v>
      </c>
      <c r="G86" t="s">
        <v>4520</v>
      </c>
      <c r="H86" t="s">
        <v>3334</v>
      </c>
      <c r="I86" t="s">
        <v>4514</v>
      </c>
      <c r="J86" t="s">
        <v>261</v>
      </c>
      <c r="K86" s="2">
        <v>84341</v>
      </c>
      <c r="L86" t="s">
        <v>6408</v>
      </c>
      <c r="M86" t="str" cm="1">
        <f t="array" ref="M86">INDEX('Org List'!$A$2:$C$1005,MATCH(Consolidated!I86&amp;Consolidated!J86,'Org List'!$A$2:$A$1005&amp;'Org List'!$B$2:$B$1005,0),3)</f>
        <v>NGOs: International</v>
      </c>
    </row>
    <row r="87" spans="1:13" x14ac:dyDescent="0.25">
      <c r="A87">
        <v>2022</v>
      </c>
      <c r="B87" t="s">
        <v>4467</v>
      </c>
      <c r="C87" t="s">
        <v>4468</v>
      </c>
      <c r="D87" t="s">
        <v>30</v>
      </c>
      <c r="E87" t="s">
        <v>261</v>
      </c>
      <c r="F87">
        <v>4500245072</v>
      </c>
      <c r="G87" t="s">
        <v>4521</v>
      </c>
      <c r="H87" t="s">
        <v>3334</v>
      </c>
      <c r="I87" t="s">
        <v>2986</v>
      </c>
      <c r="J87" t="s">
        <v>261</v>
      </c>
      <c r="K87" s="2">
        <v>23869</v>
      </c>
      <c r="L87" t="s">
        <v>6408</v>
      </c>
      <c r="M87" t="str" cm="1">
        <f t="array" ref="M87">INDEX('Org List'!$A$2:$C$1005,MATCH(Consolidated!I87&amp;Consolidated!J87,'Org List'!$A$2:$A$1005&amp;'Org List'!$B$2:$B$1005,0),3)</f>
        <v>NGOs: National</v>
      </c>
    </row>
    <row r="88" spans="1:13" x14ac:dyDescent="0.25">
      <c r="A88">
        <v>2022</v>
      </c>
      <c r="B88" t="s">
        <v>4467</v>
      </c>
      <c r="C88" t="s">
        <v>4468</v>
      </c>
      <c r="D88" t="s">
        <v>30</v>
      </c>
      <c r="E88" t="s">
        <v>261</v>
      </c>
      <c r="F88">
        <v>4500245501</v>
      </c>
      <c r="G88" t="s">
        <v>4522</v>
      </c>
      <c r="H88" t="s">
        <v>3334</v>
      </c>
      <c r="I88" t="s">
        <v>4523</v>
      </c>
      <c r="J88" t="s">
        <v>261</v>
      </c>
      <c r="K88" s="2">
        <v>140399</v>
      </c>
      <c r="L88" t="s">
        <v>6408</v>
      </c>
      <c r="M88" t="str" cm="1">
        <f t="array" ref="M88">INDEX('Org List'!$A$2:$C$1005,MATCH(Consolidated!I88&amp;Consolidated!J88,'Org List'!$A$2:$A$1005&amp;'Org List'!$B$2:$B$1005,0),3)</f>
        <v>NGOs: International</v>
      </c>
    </row>
    <row r="89" spans="1:13" x14ac:dyDescent="0.25">
      <c r="A89">
        <v>2022</v>
      </c>
      <c r="B89" t="s">
        <v>4467</v>
      </c>
      <c r="C89" t="s">
        <v>4468</v>
      </c>
      <c r="D89" t="s">
        <v>30</v>
      </c>
      <c r="E89" t="s">
        <v>261</v>
      </c>
      <c r="F89">
        <v>4500245512</v>
      </c>
      <c r="G89" t="s">
        <v>4524</v>
      </c>
      <c r="H89" t="s">
        <v>3334</v>
      </c>
      <c r="I89" t="s">
        <v>4525</v>
      </c>
      <c r="J89" t="s">
        <v>261</v>
      </c>
      <c r="K89" s="2">
        <v>60553</v>
      </c>
      <c r="L89" t="s">
        <v>6408</v>
      </c>
      <c r="M89" t="str" cm="1">
        <f t="array" ref="M89">INDEX('Org List'!$A$2:$C$1005,MATCH(Consolidated!I89&amp;Consolidated!J89,'Org List'!$A$2:$A$1005&amp;'Org List'!$B$2:$B$1005,0),3)</f>
        <v>NGOs: International</v>
      </c>
    </row>
    <row r="90" spans="1:13" x14ac:dyDescent="0.25">
      <c r="A90">
        <v>2022</v>
      </c>
      <c r="B90" t="s">
        <v>4467</v>
      </c>
      <c r="C90" t="s">
        <v>4468</v>
      </c>
      <c r="D90" t="s">
        <v>30</v>
      </c>
      <c r="E90" t="s">
        <v>261</v>
      </c>
      <c r="F90">
        <v>4500245555</v>
      </c>
      <c r="G90" t="s">
        <v>4526</v>
      </c>
      <c r="H90" t="s">
        <v>3334</v>
      </c>
      <c r="I90" t="s">
        <v>264</v>
      </c>
      <c r="J90" t="s">
        <v>261</v>
      </c>
      <c r="K90" s="2">
        <v>102227</v>
      </c>
      <c r="L90" t="s">
        <v>6408</v>
      </c>
      <c r="M90" t="str" cm="1">
        <f t="array" ref="M90">INDEX('Org List'!$A$2:$C$1005,MATCH(Consolidated!I90&amp;Consolidated!J90,'Org List'!$A$2:$A$1005&amp;'Org List'!$B$2:$B$1005,0),3)</f>
        <v>NGOs: International</v>
      </c>
    </row>
    <row r="91" spans="1:13" x14ac:dyDescent="0.25">
      <c r="A91">
        <v>2022</v>
      </c>
      <c r="B91" t="s">
        <v>4467</v>
      </c>
      <c r="C91" t="s">
        <v>4468</v>
      </c>
      <c r="D91" t="s">
        <v>30</v>
      </c>
      <c r="E91" t="s">
        <v>261</v>
      </c>
      <c r="F91">
        <v>4500268140</v>
      </c>
      <c r="G91" t="s">
        <v>4527</v>
      </c>
      <c r="H91" t="s">
        <v>3334</v>
      </c>
      <c r="I91" t="s">
        <v>4491</v>
      </c>
      <c r="J91" t="s">
        <v>261</v>
      </c>
      <c r="K91" s="2">
        <v>47970</v>
      </c>
      <c r="L91" t="s">
        <v>6408</v>
      </c>
      <c r="M91" t="str" cm="1">
        <f t="array" ref="M91">INDEX('Org List'!$A$2:$C$1005,MATCH(Consolidated!I91&amp;Consolidated!J91,'Org List'!$A$2:$A$1005&amp;'Org List'!$B$2:$B$1005,0),3)</f>
        <v>NGOs: National</v>
      </c>
    </row>
    <row r="92" spans="1:13" x14ac:dyDescent="0.25">
      <c r="A92">
        <v>2022</v>
      </c>
      <c r="B92" t="s">
        <v>4467</v>
      </c>
      <c r="C92" t="s">
        <v>4468</v>
      </c>
      <c r="D92" t="s">
        <v>30</v>
      </c>
      <c r="E92" t="s">
        <v>261</v>
      </c>
      <c r="F92">
        <v>4500275107</v>
      </c>
      <c r="G92" t="s">
        <v>4528</v>
      </c>
      <c r="H92" t="s">
        <v>3334</v>
      </c>
      <c r="I92" t="s">
        <v>2529</v>
      </c>
      <c r="J92" t="s">
        <v>261</v>
      </c>
      <c r="K92" s="2">
        <v>275729</v>
      </c>
      <c r="L92" t="s">
        <v>6408</v>
      </c>
      <c r="M92" t="str" cm="1">
        <f t="array" ref="M92">INDEX('Org List'!$A$2:$C$1005,MATCH(Consolidated!I92&amp;Consolidated!J92,'Org List'!$A$2:$A$1005&amp;'Org List'!$B$2:$B$1005,0),3)</f>
        <v>NGOs: International</v>
      </c>
    </row>
    <row r="93" spans="1:13" x14ac:dyDescent="0.25">
      <c r="A93">
        <v>2022</v>
      </c>
      <c r="B93" t="s">
        <v>1941</v>
      </c>
      <c r="C93" t="s">
        <v>1942</v>
      </c>
      <c r="D93" t="s">
        <v>30</v>
      </c>
      <c r="E93" t="s">
        <v>150</v>
      </c>
      <c r="F93">
        <v>4500266159</v>
      </c>
      <c r="G93" t="s">
        <v>4529</v>
      </c>
      <c r="H93" t="s">
        <v>3334</v>
      </c>
      <c r="I93" t="s">
        <v>4530</v>
      </c>
      <c r="J93" t="s">
        <v>150</v>
      </c>
      <c r="K93" s="2">
        <v>24237</v>
      </c>
      <c r="L93" t="s">
        <v>6408</v>
      </c>
      <c r="M93" t="str" cm="1">
        <f t="array" ref="M93">INDEX('Org List'!$A$2:$C$1005,MATCH(Consolidated!I93&amp;Consolidated!J93,'Org List'!$A$2:$A$1005&amp;'Org List'!$B$2:$B$1005,0),3)</f>
        <v>NGOs: National</v>
      </c>
    </row>
    <row r="94" spans="1:13" x14ac:dyDescent="0.25">
      <c r="A94">
        <v>2022</v>
      </c>
      <c r="B94" t="s">
        <v>1941</v>
      </c>
      <c r="C94" t="s">
        <v>1942</v>
      </c>
      <c r="D94" t="s">
        <v>30</v>
      </c>
      <c r="E94" t="s">
        <v>150</v>
      </c>
      <c r="F94">
        <v>4500266187</v>
      </c>
      <c r="G94" t="s">
        <v>4531</v>
      </c>
      <c r="H94" t="s">
        <v>3334</v>
      </c>
      <c r="I94" t="s">
        <v>2046</v>
      </c>
      <c r="J94" t="s">
        <v>150</v>
      </c>
      <c r="K94" s="2">
        <v>26284</v>
      </c>
      <c r="L94" t="s">
        <v>6408</v>
      </c>
      <c r="M94" t="str" cm="1">
        <f t="array" ref="M94">INDEX('Org List'!$A$2:$C$1005,MATCH(Consolidated!I94&amp;Consolidated!J94,'Org List'!$A$2:$A$1005&amp;'Org List'!$B$2:$B$1005,0),3)</f>
        <v>NGOs: National</v>
      </c>
    </row>
    <row r="95" spans="1:13" x14ac:dyDescent="0.25">
      <c r="A95">
        <v>2022</v>
      </c>
      <c r="B95" t="s">
        <v>1941</v>
      </c>
      <c r="C95" t="s">
        <v>1942</v>
      </c>
      <c r="D95" t="s">
        <v>30</v>
      </c>
      <c r="E95" t="s">
        <v>477</v>
      </c>
      <c r="F95">
        <v>4500225476</v>
      </c>
      <c r="G95" t="s">
        <v>4532</v>
      </c>
      <c r="H95" t="s">
        <v>3334</v>
      </c>
      <c r="I95" t="s">
        <v>745</v>
      </c>
      <c r="J95" t="s">
        <v>477</v>
      </c>
      <c r="K95" s="2">
        <v>11228</v>
      </c>
      <c r="L95" t="s">
        <v>6408</v>
      </c>
      <c r="M95" t="str" cm="1">
        <f t="array" ref="M95">INDEX('Org List'!$A$2:$C$1005,MATCH(Consolidated!I95&amp;Consolidated!J95,'Org List'!$A$2:$A$1005&amp;'Org List'!$B$2:$B$1005,0),3)</f>
        <v>NGOs: National</v>
      </c>
    </row>
    <row r="96" spans="1:13" x14ac:dyDescent="0.25">
      <c r="A96">
        <v>2022</v>
      </c>
      <c r="B96" t="s">
        <v>1941</v>
      </c>
      <c r="C96" t="s">
        <v>1942</v>
      </c>
      <c r="D96" t="s">
        <v>30</v>
      </c>
      <c r="E96" t="s">
        <v>477</v>
      </c>
      <c r="F96">
        <v>4500225500</v>
      </c>
      <c r="G96" t="s">
        <v>4532</v>
      </c>
      <c r="H96" t="s">
        <v>3334</v>
      </c>
      <c r="I96" t="s">
        <v>3200</v>
      </c>
      <c r="J96" t="s">
        <v>477</v>
      </c>
      <c r="K96" s="2">
        <v>11198</v>
      </c>
      <c r="L96" t="s">
        <v>6408</v>
      </c>
      <c r="M96" t="str" cm="1">
        <f t="array" ref="M96">INDEX('Org List'!$A$2:$C$1005,MATCH(Consolidated!I96&amp;Consolidated!J96,'Org List'!$A$2:$A$1005&amp;'Org List'!$B$2:$B$1005,0),3)</f>
        <v>NGOs: National</v>
      </c>
    </row>
    <row r="97" spans="1:13" x14ac:dyDescent="0.25">
      <c r="A97">
        <v>2022</v>
      </c>
      <c r="B97" t="s">
        <v>4533</v>
      </c>
      <c r="C97" t="s">
        <v>4534</v>
      </c>
      <c r="D97" t="s">
        <v>30</v>
      </c>
      <c r="E97" t="s">
        <v>594</v>
      </c>
      <c r="F97">
        <v>4500185637</v>
      </c>
      <c r="G97" t="s">
        <v>4535</v>
      </c>
      <c r="H97" t="s">
        <v>3334</v>
      </c>
      <c r="I97" t="s">
        <v>4536</v>
      </c>
      <c r="J97" t="s">
        <v>594</v>
      </c>
      <c r="K97" s="2">
        <v>2077212</v>
      </c>
      <c r="L97" t="s">
        <v>6408</v>
      </c>
      <c r="M97" t="str" cm="1">
        <f t="array" ref="M97">INDEX('Org List'!$A$2:$C$1005,MATCH(Consolidated!I97&amp;Consolidated!J97,'Org List'!$A$2:$A$1005&amp;'Org List'!$B$2:$B$1005,0),3)</f>
        <v>NGOs: International</v>
      </c>
    </row>
    <row r="98" spans="1:13" x14ac:dyDescent="0.25">
      <c r="A98">
        <v>2022</v>
      </c>
      <c r="B98" t="s">
        <v>4533</v>
      </c>
      <c r="C98" t="s">
        <v>4534</v>
      </c>
      <c r="D98" t="s">
        <v>30</v>
      </c>
      <c r="E98" t="s">
        <v>594</v>
      </c>
      <c r="F98">
        <v>4500189114</v>
      </c>
      <c r="G98" t="s">
        <v>4537</v>
      </c>
      <c r="H98" t="s">
        <v>3334</v>
      </c>
      <c r="I98" t="s">
        <v>4538</v>
      </c>
      <c r="J98" t="s">
        <v>594</v>
      </c>
      <c r="K98" s="2">
        <v>1200000</v>
      </c>
      <c r="L98" t="s">
        <v>6408</v>
      </c>
      <c r="M98" t="str" cm="1">
        <f t="array" ref="M98">INDEX('Org List'!$A$2:$C$1005,MATCH(Consolidated!I98&amp;Consolidated!J98,'Org List'!$A$2:$A$1005&amp;'Org List'!$B$2:$B$1005,0),3)</f>
        <v>NGOs: International</v>
      </c>
    </row>
    <row r="99" spans="1:13" x14ac:dyDescent="0.25">
      <c r="A99">
        <v>2022</v>
      </c>
      <c r="B99" t="s">
        <v>4539</v>
      </c>
      <c r="C99" t="s">
        <v>4540</v>
      </c>
      <c r="D99" t="s">
        <v>30</v>
      </c>
      <c r="E99" t="s">
        <v>3396</v>
      </c>
      <c r="F99">
        <v>4500180249</v>
      </c>
      <c r="G99" t="s">
        <v>3938</v>
      </c>
      <c r="H99" t="s">
        <v>3334</v>
      </c>
      <c r="I99" t="s">
        <v>3833</v>
      </c>
      <c r="J99" t="s">
        <v>3396</v>
      </c>
      <c r="K99" s="2">
        <v>8244</v>
      </c>
      <c r="L99" t="s">
        <v>6408</v>
      </c>
      <c r="M99" t="str" cm="1">
        <f t="array" ref="M99">INDEX('Org List'!$A$2:$C$1005,MATCH(Consolidated!I99&amp;Consolidated!J99,'Org List'!$A$2:$A$1005&amp;'Org List'!$B$2:$B$1005,0),3)</f>
        <v>NGOs: National</v>
      </c>
    </row>
    <row r="100" spans="1:13" x14ac:dyDescent="0.25">
      <c r="A100">
        <v>2022</v>
      </c>
      <c r="B100" t="s">
        <v>4539</v>
      </c>
      <c r="C100" t="s">
        <v>4540</v>
      </c>
      <c r="D100" t="s">
        <v>30</v>
      </c>
      <c r="E100" t="s">
        <v>3396</v>
      </c>
      <c r="F100">
        <v>4500181268</v>
      </c>
      <c r="G100" t="s">
        <v>4541</v>
      </c>
      <c r="H100" t="s">
        <v>3334</v>
      </c>
      <c r="I100" t="s">
        <v>3400</v>
      </c>
      <c r="J100" t="s">
        <v>3396</v>
      </c>
      <c r="K100" s="2">
        <v>100722</v>
      </c>
      <c r="L100" t="s">
        <v>6408</v>
      </c>
      <c r="M100" t="str" cm="1">
        <f t="array" ref="M100">INDEX('Org List'!$A$2:$C$1005,MATCH(Consolidated!I100&amp;Consolidated!J100,'Org List'!$A$2:$A$1005&amp;'Org List'!$B$2:$B$1005,0),3)</f>
        <v>Red Cross: National</v>
      </c>
    </row>
    <row r="101" spans="1:13" x14ac:dyDescent="0.25">
      <c r="A101">
        <v>2022</v>
      </c>
      <c r="B101" t="s">
        <v>4539</v>
      </c>
      <c r="C101" t="s">
        <v>4540</v>
      </c>
      <c r="D101" t="s">
        <v>30</v>
      </c>
      <c r="E101" t="s">
        <v>3396</v>
      </c>
      <c r="F101">
        <v>4500232814</v>
      </c>
      <c r="G101" t="s">
        <v>4542</v>
      </c>
      <c r="H101" t="s">
        <v>3334</v>
      </c>
      <c r="I101" t="s">
        <v>3833</v>
      </c>
      <c r="J101" t="s">
        <v>3396</v>
      </c>
      <c r="K101" s="2">
        <v>32358</v>
      </c>
      <c r="L101" t="s">
        <v>6408</v>
      </c>
      <c r="M101" t="str" cm="1">
        <f t="array" ref="M101">INDEX('Org List'!$A$2:$C$1005,MATCH(Consolidated!I101&amp;Consolidated!J101,'Org List'!$A$2:$A$1005&amp;'Org List'!$B$2:$B$1005,0),3)</f>
        <v>NGOs: National</v>
      </c>
    </row>
    <row r="102" spans="1:13" x14ac:dyDescent="0.25">
      <c r="A102">
        <v>2022</v>
      </c>
      <c r="B102" t="s">
        <v>4539</v>
      </c>
      <c r="C102" t="s">
        <v>4540</v>
      </c>
      <c r="D102" t="s">
        <v>30</v>
      </c>
      <c r="E102" t="s">
        <v>3396</v>
      </c>
      <c r="F102">
        <v>4500236520</v>
      </c>
      <c r="G102" t="s">
        <v>4543</v>
      </c>
      <c r="H102" t="s">
        <v>3334</v>
      </c>
      <c r="I102" t="s">
        <v>3833</v>
      </c>
      <c r="J102" t="s">
        <v>3396</v>
      </c>
      <c r="K102" s="2">
        <v>4643</v>
      </c>
      <c r="L102" t="s">
        <v>6408</v>
      </c>
      <c r="M102" t="str" cm="1">
        <f t="array" ref="M102">INDEX('Org List'!$A$2:$C$1005,MATCH(Consolidated!I102&amp;Consolidated!J102,'Org List'!$A$2:$A$1005&amp;'Org List'!$B$2:$B$1005,0),3)</f>
        <v>NGOs: National</v>
      </c>
    </row>
    <row r="103" spans="1:13" x14ac:dyDescent="0.25">
      <c r="A103">
        <v>2022</v>
      </c>
      <c r="B103" t="s">
        <v>4539</v>
      </c>
      <c r="C103" t="s">
        <v>4540</v>
      </c>
      <c r="D103" t="s">
        <v>30</v>
      </c>
      <c r="E103" t="s">
        <v>3396</v>
      </c>
      <c r="F103">
        <v>4500242735</v>
      </c>
      <c r="G103" t="s">
        <v>4544</v>
      </c>
      <c r="H103" t="s">
        <v>3334</v>
      </c>
      <c r="I103" t="s">
        <v>3400</v>
      </c>
      <c r="J103" t="s">
        <v>3396</v>
      </c>
      <c r="K103" s="2">
        <v>31331</v>
      </c>
      <c r="L103" t="s">
        <v>6408</v>
      </c>
      <c r="M103" t="str" cm="1">
        <f t="array" ref="M103">INDEX('Org List'!$A$2:$C$1005,MATCH(Consolidated!I103&amp;Consolidated!J103,'Org List'!$A$2:$A$1005&amp;'Org List'!$B$2:$B$1005,0),3)</f>
        <v>Red Cross: National</v>
      </c>
    </row>
    <row r="104" spans="1:13" x14ac:dyDescent="0.25">
      <c r="A104">
        <v>2022</v>
      </c>
      <c r="B104" t="s">
        <v>4545</v>
      </c>
      <c r="C104" t="s">
        <v>4546</v>
      </c>
      <c r="D104" t="s">
        <v>30</v>
      </c>
      <c r="E104" t="s">
        <v>3396</v>
      </c>
      <c r="F104">
        <v>4500180249</v>
      </c>
      <c r="G104" t="s">
        <v>3938</v>
      </c>
      <c r="H104" t="s">
        <v>3334</v>
      </c>
      <c r="I104" t="s">
        <v>3833</v>
      </c>
      <c r="J104" t="s">
        <v>3396</v>
      </c>
      <c r="K104" s="2">
        <v>31012</v>
      </c>
      <c r="L104" t="s">
        <v>6408</v>
      </c>
      <c r="M104" t="str" cm="1">
        <f t="array" ref="M104">INDEX('Org List'!$A$2:$C$1005,MATCH(Consolidated!I104&amp;Consolidated!J104,'Org List'!$A$2:$A$1005&amp;'Org List'!$B$2:$B$1005,0),3)</f>
        <v>NGOs: National</v>
      </c>
    </row>
    <row r="105" spans="1:13" x14ac:dyDescent="0.25">
      <c r="A105">
        <v>2022</v>
      </c>
      <c r="B105" t="s">
        <v>4545</v>
      </c>
      <c r="C105" t="s">
        <v>4546</v>
      </c>
      <c r="D105" t="s">
        <v>30</v>
      </c>
      <c r="E105" t="s">
        <v>3396</v>
      </c>
      <c r="F105">
        <v>4500181268</v>
      </c>
      <c r="G105" t="s">
        <v>4541</v>
      </c>
      <c r="H105" t="s">
        <v>3334</v>
      </c>
      <c r="I105" t="s">
        <v>3400</v>
      </c>
      <c r="J105" t="s">
        <v>3396</v>
      </c>
      <c r="K105" s="2">
        <v>17584</v>
      </c>
      <c r="L105" t="s">
        <v>6408</v>
      </c>
      <c r="M105" t="str" cm="1">
        <f t="array" ref="M105">INDEX('Org List'!$A$2:$C$1005,MATCH(Consolidated!I105&amp;Consolidated!J105,'Org List'!$A$2:$A$1005&amp;'Org List'!$B$2:$B$1005,0),3)</f>
        <v>Red Cross: National</v>
      </c>
    </row>
    <row r="106" spans="1:13" x14ac:dyDescent="0.25">
      <c r="A106">
        <v>2022</v>
      </c>
      <c r="B106" t="s">
        <v>4545</v>
      </c>
      <c r="C106" t="s">
        <v>4546</v>
      </c>
      <c r="D106" t="s">
        <v>30</v>
      </c>
      <c r="E106" t="s">
        <v>3396</v>
      </c>
      <c r="F106">
        <v>4500242735</v>
      </c>
      <c r="G106" t="s">
        <v>4544</v>
      </c>
      <c r="H106" t="s">
        <v>3334</v>
      </c>
      <c r="I106" t="s">
        <v>3400</v>
      </c>
      <c r="J106" t="s">
        <v>3396</v>
      </c>
      <c r="K106" s="2">
        <v>29309</v>
      </c>
      <c r="L106" t="s">
        <v>6408</v>
      </c>
      <c r="M106" t="str" cm="1">
        <f t="array" ref="M106">INDEX('Org List'!$A$2:$C$1005,MATCH(Consolidated!I106&amp;Consolidated!J106,'Org List'!$A$2:$A$1005&amp;'Org List'!$B$2:$B$1005,0),3)</f>
        <v>Red Cross: National</v>
      </c>
    </row>
    <row r="107" spans="1:13" x14ac:dyDescent="0.25">
      <c r="A107">
        <v>2022</v>
      </c>
      <c r="B107" t="s">
        <v>4547</v>
      </c>
      <c r="C107" t="s">
        <v>4548</v>
      </c>
      <c r="D107" t="s">
        <v>30</v>
      </c>
      <c r="E107" t="s">
        <v>72</v>
      </c>
      <c r="F107">
        <v>4500224976</v>
      </c>
      <c r="G107" t="s">
        <v>4549</v>
      </c>
      <c r="H107" t="s">
        <v>3334</v>
      </c>
      <c r="I107" t="s">
        <v>4550</v>
      </c>
      <c r="J107" t="s">
        <v>72</v>
      </c>
      <c r="K107" s="2">
        <v>311182</v>
      </c>
      <c r="L107" t="s">
        <v>6408</v>
      </c>
      <c r="M107" t="str" cm="1">
        <f t="array" ref="M107">INDEX('Org List'!$A$2:$C$1005,MATCH(Consolidated!I107&amp;Consolidated!J107,'Org List'!$A$2:$A$1005&amp;'Org List'!$B$2:$B$1005,0),3)</f>
        <v>NGOs: National</v>
      </c>
    </row>
    <row r="108" spans="1:13" x14ac:dyDescent="0.25">
      <c r="A108">
        <v>2022</v>
      </c>
      <c r="B108" t="s">
        <v>4547</v>
      </c>
      <c r="C108" t="s">
        <v>4548</v>
      </c>
      <c r="D108" t="s">
        <v>30</v>
      </c>
      <c r="E108" t="s">
        <v>72</v>
      </c>
      <c r="F108">
        <v>4500224978</v>
      </c>
      <c r="G108" t="s">
        <v>4551</v>
      </c>
      <c r="H108" t="s">
        <v>3334</v>
      </c>
      <c r="I108" t="s">
        <v>4552</v>
      </c>
      <c r="J108" t="s">
        <v>72</v>
      </c>
      <c r="K108" s="2">
        <v>259454</v>
      </c>
      <c r="L108" t="s">
        <v>6408</v>
      </c>
      <c r="M108" t="str" cm="1">
        <f t="array" ref="M108">INDEX('Org List'!$A$2:$C$1005,MATCH(Consolidated!I108&amp;Consolidated!J108,'Org List'!$A$2:$A$1005&amp;'Org List'!$B$2:$B$1005,0),3)</f>
        <v>NGOs: National</v>
      </c>
    </row>
    <row r="109" spans="1:13" x14ac:dyDescent="0.25">
      <c r="A109">
        <v>2022</v>
      </c>
      <c r="B109" t="s">
        <v>1238</v>
      </c>
      <c r="C109" t="s">
        <v>1239</v>
      </c>
      <c r="D109" t="s">
        <v>30</v>
      </c>
      <c r="E109" t="s">
        <v>561</v>
      </c>
      <c r="F109">
        <v>4500222625</v>
      </c>
      <c r="G109" t="s">
        <v>4553</v>
      </c>
      <c r="H109" t="s">
        <v>3334</v>
      </c>
      <c r="I109" t="s">
        <v>4554</v>
      </c>
      <c r="J109" t="s">
        <v>561</v>
      </c>
      <c r="K109" s="2">
        <v>387073</v>
      </c>
      <c r="L109" t="s">
        <v>6408</v>
      </c>
      <c r="M109" t="str" cm="1">
        <f t="array" ref="M109">INDEX('Org List'!$A$2:$C$1005,MATCH(Consolidated!I109&amp;Consolidated!J109,'Org List'!$A$2:$A$1005&amp;'Org List'!$B$2:$B$1005,0),3)</f>
        <v>Other: National</v>
      </c>
    </row>
    <row r="110" spans="1:13" x14ac:dyDescent="0.25">
      <c r="A110">
        <v>2022</v>
      </c>
      <c r="B110" t="s">
        <v>1238</v>
      </c>
      <c r="C110" t="s">
        <v>1239</v>
      </c>
      <c r="D110" t="s">
        <v>30</v>
      </c>
      <c r="E110" t="s">
        <v>561</v>
      </c>
      <c r="F110">
        <v>4500247407</v>
      </c>
      <c r="G110" t="s">
        <v>4555</v>
      </c>
      <c r="H110" t="s">
        <v>3334</v>
      </c>
      <c r="I110" t="s">
        <v>1241</v>
      </c>
      <c r="J110" t="s">
        <v>561</v>
      </c>
      <c r="K110" s="2">
        <v>40727</v>
      </c>
      <c r="L110" t="s">
        <v>6408</v>
      </c>
      <c r="M110" t="str" cm="1">
        <f t="array" ref="M110">INDEX('Org List'!$A$2:$C$1005,MATCH(Consolidated!I110&amp;Consolidated!J110,'Org List'!$A$2:$A$1005&amp;'Org List'!$B$2:$B$1005,0),3)</f>
        <v>NGOs: National</v>
      </c>
    </row>
    <row r="111" spans="1:13" x14ac:dyDescent="0.25">
      <c r="A111">
        <v>2022</v>
      </c>
      <c r="B111" t="s">
        <v>4556</v>
      </c>
      <c r="C111" t="s">
        <v>4557</v>
      </c>
      <c r="D111" t="s">
        <v>30</v>
      </c>
      <c r="E111" t="s">
        <v>594</v>
      </c>
      <c r="F111">
        <v>4500192764</v>
      </c>
      <c r="G111" t="s">
        <v>4558</v>
      </c>
      <c r="H111" t="s">
        <v>3334</v>
      </c>
      <c r="I111" t="s">
        <v>4536</v>
      </c>
      <c r="J111" t="s">
        <v>594</v>
      </c>
      <c r="K111" s="2">
        <v>455892</v>
      </c>
      <c r="L111" t="s">
        <v>6408</v>
      </c>
      <c r="M111" t="str" cm="1">
        <f t="array" ref="M111">INDEX('Org List'!$A$2:$C$1005,MATCH(Consolidated!I111&amp;Consolidated!J111,'Org List'!$A$2:$A$1005&amp;'Org List'!$B$2:$B$1005,0),3)</f>
        <v>NGOs: International</v>
      </c>
    </row>
    <row r="112" spans="1:13" x14ac:dyDescent="0.25">
      <c r="A112">
        <v>2022</v>
      </c>
      <c r="B112" t="s">
        <v>4559</v>
      </c>
      <c r="C112" t="s">
        <v>1965</v>
      </c>
      <c r="D112" t="s">
        <v>30</v>
      </c>
      <c r="E112" t="s">
        <v>257</v>
      </c>
      <c r="F112">
        <v>4500258650</v>
      </c>
      <c r="G112" t="s">
        <v>4560</v>
      </c>
      <c r="H112" t="s">
        <v>3334</v>
      </c>
      <c r="I112" t="s">
        <v>421</v>
      </c>
      <c r="J112" t="s">
        <v>257</v>
      </c>
      <c r="K112" s="2">
        <v>7520</v>
      </c>
      <c r="L112" t="s">
        <v>6408</v>
      </c>
      <c r="M112" t="str" cm="1">
        <f t="array" ref="M112">INDEX('Org List'!$A$2:$C$1005,MATCH(Consolidated!I112&amp;Consolidated!J112,'Org List'!$A$2:$A$1005&amp;'Org List'!$B$2:$B$1005,0),3)</f>
        <v>NGOs: National</v>
      </c>
    </row>
    <row r="113" spans="1:13" x14ac:dyDescent="0.25">
      <c r="A113">
        <v>2022</v>
      </c>
      <c r="B113" t="s">
        <v>4559</v>
      </c>
      <c r="C113" t="s">
        <v>1965</v>
      </c>
      <c r="D113" t="s">
        <v>30</v>
      </c>
      <c r="E113" t="s">
        <v>257</v>
      </c>
      <c r="F113">
        <v>4500258651</v>
      </c>
      <c r="G113" t="s">
        <v>4561</v>
      </c>
      <c r="H113" t="s">
        <v>3334</v>
      </c>
      <c r="I113" t="s">
        <v>422</v>
      </c>
      <c r="J113" t="s">
        <v>257</v>
      </c>
      <c r="K113" s="2">
        <v>4497</v>
      </c>
      <c r="L113" t="s">
        <v>6408</v>
      </c>
      <c r="M113" t="str" cm="1">
        <f t="array" ref="M113">INDEX('Org List'!$A$2:$C$1005,MATCH(Consolidated!I113&amp;Consolidated!J113,'Org List'!$A$2:$A$1005&amp;'Org List'!$B$2:$B$1005,0),3)</f>
        <v>NGOs: Internationally affiliated</v>
      </c>
    </row>
    <row r="114" spans="1:13" x14ac:dyDescent="0.25">
      <c r="A114">
        <v>2022</v>
      </c>
      <c r="B114" t="s">
        <v>4562</v>
      </c>
      <c r="C114" t="s">
        <v>4563</v>
      </c>
      <c r="D114" t="s">
        <v>30</v>
      </c>
      <c r="E114" t="s">
        <v>128</v>
      </c>
      <c r="F114">
        <v>4500199801</v>
      </c>
      <c r="G114" t="s">
        <v>4564</v>
      </c>
      <c r="H114" t="s">
        <v>3334</v>
      </c>
      <c r="I114" t="s">
        <v>436</v>
      </c>
      <c r="J114" t="s">
        <v>128</v>
      </c>
      <c r="K114" s="2">
        <v>69000</v>
      </c>
      <c r="L114" t="s">
        <v>6408</v>
      </c>
      <c r="M114" t="str" cm="1">
        <f t="array" ref="M114">INDEX('Org List'!$A$2:$C$1005,MATCH(Consolidated!I114&amp;Consolidated!J114,'Org List'!$A$2:$A$1005&amp;'Org List'!$B$2:$B$1005,0),3)</f>
        <v>NGOs: National</v>
      </c>
    </row>
    <row r="115" spans="1:13" x14ac:dyDescent="0.25">
      <c r="A115">
        <v>2022</v>
      </c>
      <c r="B115" t="s">
        <v>4565</v>
      </c>
      <c r="C115" t="s">
        <v>4566</v>
      </c>
      <c r="D115" t="s">
        <v>30</v>
      </c>
      <c r="E115" t="s">
        <v>175</v>
      </c>
      <c r="F115">
        <v>4500248413</v>
      </c>
      <c r="G115" t="s">
        <v>4567</v>
      </c>
      <c r="H115" t="s">
        <v>3334</v>
      </c>
      <c r="I115" t="s">
        <v>4568</v>
      </c>
      <c r="J115" t="s">
        <v>175</v>
      </c>
      <c r="K115" s="2">
        <v>371742</v>
      </c>
      <c r="L115" t="s">
        <v>6408</v>
      </c>
      <c r="M115" t="str" cm="1">
        <f t="array" ref="M115">INDEX('Org List'!$A$2:$C$1005,MATCH(Consolidated!I115&amp;Consolidated!J115,'Org List'!$A$2:$A$1005&amp;'Org List'!$B$2:$B$1005,0),3)</f>
        <v>Multilateral: UN</v>
      </c>
    </row>
    <row r="116" spans="1:13" x14ac:dyDescent="0.25">
      <c r="A116">
        <v>2022</v>
      </c>
      <c r="B116" t="s">
        <v>4569</v>
      </c>
      <c r="C116" t="s">
        <v>4570</v>
      </c>
      <c r="D116" t="s">
        <v>30</v>
      </c>
      <c r="E116" t="s">
        <v>54</v>
      </c>
      <c r="F116">
        <v>4500247189</v>
      </c>
      <c r="G116" t="s">
        <v>4452</v>
      </c>
      <c r="H116" t="s">
        <v>3334</v>
      </c>
      <c r="I116" t="s">
        <v>3257</v>
      </c>
      <c r="J116" t="s">
        <v>54</v>
      </c>
      <c r="K116" s="2">
        <v>107941</v>
      </c>
      <c r="L116" t="s">
        <v>6408</v>
      </c>
      <c r="M116" t="str" cm="1">
        <f t="array" ref="M116">INDEX('Org List'!$A$2:$C$1005,MATCH(Consolidated!I116&amp;Consolidated!J116,'Org List'!$A$2:$A$1005&amp;'Org List'!$B$2:$B$1005,0),3)</f>
        <v>NGOs: National</v>
      </c>
    </row>
    <row r="117" spans="1:13" x14ac:dyDescent="0.25">
      <c r="A117">
        <v>2022</v>
      </c>
      <c r="B117" t="s">
        <v>2842</v>
      </c>
      <c r="C117" t="s">
        <v>4571</v>
      </c>
      <c r="D117" t="s">
        <v>30</v>
      </c>
      <c r="E117" t="s">
        <v>54</v>
      </c>
      <c r="F117">
        <v>4500246331</v>
      </c>
      <c r="G117" t="s">
        <v>4572</v>
      </c>
      <c r="H117" t="s">
        <v>3334</v>
      </c>
      <c r="I117" t="s">
        <v>789</v>
      </c>
      <c r="J117" t="s">
        <v>54</v>
      </c>
      <c r="K117" s="2">
        <v>43301</v>
      </c>
      <c r="L117" t="s">
        <v>6408</v>
      </c>
      <c r="M117" t="str" cm="1">
        <f t="array" ref="M117">INDEX('Org List'!$A$2:$C$1005,MATCH(Consolidated!I117&amp;Consolidated!J117,'Org List'!$A$2:$A$1005&amp;'Org List'!$B$2:$B$1005,0),3)</f>
        <v>NGOs: National</v>
      </c>
    </row>
    <row r="118" spans="1:13" x14ac:dyDescent="0.25">
      <c r="A118">
        <v>2022</v>
      </c>
      <c r="B118" t="s">
        <v>2842</v>
      </c>
      <c r="C118" t="s">
        <v>4571</v>
      </c>
      <c r="D118" t="s">
        <v>30</v>
      </c>
      <c r="E118" t="s">
        <v>54</v>
      </c>
      <c r="F118">
        <v>4500246876</v>
      </c>
      <c r="G118" t="s">
        <v>4573</v>
      </c>
      <c r="H118" t="s">
        <v>3334</v>
      </c>
      <c r="I118" t="s">
        <v>1858</v>
      </c>
      <c r="J118" t="s">
        <v>54</v>
      </c>
      <c r="K118" s="2">
        <v>60000</v>
      </c>
      <c r="L118" t="s">
        <v>6408</v>
      </c>
      <c r="M118" t="str" cm="1">
        <f t="array" ref="M118">INDEX('Org List'!$A$2:$C$1005,MATCH(Consolidated!I118&amp;Consolidated!J118,'Org List'!$A$2:$A$1005&amp;'Org List'!$B$2:$B$1005,0),3)</f>
        <v>NGOs: National</v>
      </c>
    </row>
    <row r="119" spans="1:13" x14ac:dyDescent="0.25">
      <c r="A119">
        <v>2022</v>
      </c>
      <c r="B119" t="s">
        <v>2842</v>
      </c>
      <c r="C119" t="s">
        <v>4571</v>
      </c>
      <c r="D119" t="s">
        <v>30</v>
      </c>
      <c r="E119" t="s">
        <v>54</v>
      </c>
      <c r="F119">
        <v>4500246901</v>
      </c>
      <c r="G119" t="s">
        <v>4574</v>
      </c>
      <c r="H119" t="s">
        <v>3334</v>
      </c>
      <c r="I119" t="s">
        <v>3251</v>
      </c>
      <c r="J119" t="s">
        <v>54</v>
      </c>
      <c r="K119" s="2">
        <v>71835</v>
      </c>
      <c r="L119" t="s">
        <v>6408</v>
      </c>
      <c r="M119" t="str" cm="1">
        <f t="array" ref="M119">INDEX('Org List'!$A$2:$C$1005,MATCH(Consolidated!I119&amp;Consolidated!J119,'Org List'!$A$2:$A$1005&amp;'Org List'!$B$2:$B$1005,0),3)</f>
        <v>NGOs: National</v>
      </c>
    </row>
    <row r="120" spans="1:13" x14ac:dyDescent="0.25">
      <c r="A120">
        <v>2022</v>
      </c>
      <c r="B120" t="s">
        <v>2842</v>
      </c>
      <c r="C120" t="s">
        <v>4571</v>
      </c>
      <c r="D120" t="s">
        <v>30</v>
      </c>
      <c r="E120" t="s">
        <v>54</v>
      </c>
      <c r="F120">
        <v>4500246911</v>
      </c>
      <c r="G120" t="s">
        <v>4575</v>
      </c>
      <c r="H120" t="s">
        <v>3334</v>
      </c>
      <c r="I120" t="s">
        <v>3253</v>
      </c>
      <c r="J120" t="s">
        <v>54</v>
      </c>
      <c r="K120" s="2">
        <v>70793</v>
      </c>
      <c r="L120" t="s">
        <v>6408</v>
      </c>
      <c r="M120" t="str" cm="1">
        <f t="array" ref="M120">INDEX('Org List'!$A$2:$C$1005,MATCH(Consolidated!I120&amp;Consolidated!J120,'Org List'!$A$2:$A$1005&amp;'Org List'!$B$2:$B$1005,0),3)</f>
        <v>NGOs: National</v>
      </c>
    </row>
    <row r="121" spans="1:13" x14ac:dyDescent="0.25">
      <c r="A121">
        <v>2022</v>
      </c>
      <c r="B121" t="s">
        <v>2842</v>
      </c>
      <c r="C121" t="s">
        <v>4571</v>
      </c>
      <c r="D121" t="s">
        <v>30</v>
      </c>
      <c r="E121" t="s">
        <v>54</v>
      </c>
      <c r="F121">
        <v>4500248523</v>
      </c>
      <c r="G121" t="s">
        <v>4576</v>
      </c>
      <c r="H121" t="s">
        <v>3334</v>
      </c>
      <c r="I121" t="s">
        <v>3393</v>
      </c>
      <c r="J121" t="s">
        <v>54</v>
      </c>
      <c r="K121" s="2">
        <v>70636</v>
      </c>
      <c r="L121" t="s">
        <v>6408</v>
      </c>
      <c r="M121" t="str" cm="1">
        <f t="array" ref="M121">INDEX('Org List'!$A$2:$C$1005,MATCH(Consolidated!I121&amp;Consolidated!J121,'Org List'!$A$2:$A$1005&amp;'Org List'!$B$2:$B$1005,0),3)</f>
        <v>NGOs: National</v>
      </c>
    </row>
    <row r="122" spans="1:13" x14ac:dyDescent="0.25">
      <c r="A122">
        <v>2022</v>
      </c>
      <c r="B122" t="s">
        <v>2842</v>
      </c>
      <c r="C122" t="s">
        <v>4571</v>
      </c>
      <c r="D122" t="s">
        <v>30</v>
      </c>
      <c r="E122" t="s">
        <v>54</v>
      </c>
      <c r="F122">
        <v>4500259636</v>
      </c>
      <c r="G122" t="s">
        <v>4577</v>
      </c>
      <c r="H122" t="s">
        <v>3334</v>
      </c>
      <c r="I122" t="s">
        <v>1728</v>
      </c>
      <c r="J122" t="s">
        <v>54</v>
      </c>
      <c r="K122" s="2">
        <v>1928</v>
      </c>
      <c r="L122" t="s">
        <v>6408</v>
      </c>
      <c r="M122" t="str" cm="1">
        <f t="array" ref="M122">INDEX('Org List'!$A$2:$C$1005,MATCH(Consolidated!I122&amp;Consolidated!J122,'Org List'!$A$2:$A$1005&amp;'Org List'!$B$2:$B$1005,0),3)</f>
        <v>NGOs: National</v>
      </c>
    </row>
    <row r="123" spans="1:13" x14ac:dyDescent="0.25">
      <c r="A123">
        <v>2022</v>
      </c>
      <c r="B123" t="s">
        <v>66</v>
      </c>
      <c r="C123" t="s">
        <v>67</v>
      </c>
      <c r="D123" t="s">
        <v>30</v>
      </c>
      <c r="E123" t="s">
        <v>1166</v>
      </c>
      <c r="F123">
        <v>4500210690</v>
      </c>
      <c r="G123" t="s">
        <v>4414</v>
      </c>
      <c r="H123" t="s">
        <v>3334</v>
      </c>
      <c r="I123" t="s">
        <v>4415</v>
      </c>
      <c r="J123" t="s">
        <v>4407</v>
      </c>
      <c r="K123" s="2">
        <v>2048</v>
      </c>
      <c r="L123" t="s">
        <v>6408</v>
      </c>
      <c r="M123" t="str" cm="1">
        <f t="array" ref="M123">INDEX('Org List'!$A$2:$C$1005,MATCH(Consolidated!I123&amp;Consolidated!J123,'Org List'!$A$2:$A$1005&amp;'Org List'!$B$2:$B$1005,0),3)</f>
        <v>NGOs: Local</v>
      </c>
    </row>
    <row r="124" spans="1:13" x14ac:dyDescent="0.25">
      <c r="A124">
        <v>2022</v>
      </c>
      <c r="B124" t="s">
        <v>66</v>
      </c>
      <c r="C124" t="s">
        <v>67</v>
      </c>
      <c r="D124" t="s">
        <v>30</v>
      </c>
      <c r="E124" t="s">
        <v>1166</v>
      </c>
      <c r="F124">
        <v>4500250484</v>
      </c>
      <c r="G124" t="s">
        <v>4422</v>
      </c>
      <c r="H124" t="s">
        <v>3334</v>
      </c>
      <c r="I124" t="s">
        <v>4423</v>
      </c>
      <c r="J124" t="s">
        <v>4407</v>
      </c>
      <c r="K124" s="2">
        <v>4353</v>
      </c>
      <c r="L124" t="s">
        <v>6408</v>
      </c>
      <c r="M124" t="str" cm="1">
        <f t="array" ref="M124">INDEX('Org List'!$A$2:$C$1005,MATCH(Consolidated!I124&amp;Consolidated!J124,'Org List'!$A$2:$A$1005&amp;'Org List'!$B$2:$B$1005,0),3)</f>
        <v>NGOs: National</v>
      </c>
    </row>
    <row r="125" spans="1:13" x14ac:dyDescent="0.25">
      <c r="A125">
        <v>2022</v>
      </c>
      <c r="B125" t="s">
        <v>66</v>
      </c>
      <c r="C125" t="s">
        <v>67</v>
      </c>
      <c r="D125" t="s">
        <v>30</v>
      </c>
      <c r="E125" t="s">
        <v>1166</v>
      </c>
      <c r="F125">
        <v>4500272429</v>
      </c>
      <c r="G125" t="s">
        <v>4578</v>
      </c>
      <c r="H125" t="s">
        <v>3334</v>
      </c>
      <c r="I125" t="s">
        <v>3906</v>
      </c>
      <c r="J125" t="s">
        <v>4407</v>
      </c>
      <c r="K125" s="2">
        <v>2641876</v>
      </c>
      <c r="L125" t="s">
        <v>6408</v>
      </c>
      <c r="M125" t="str" cm="1">
        <f t="array" ref="M125">INDEX('Org List'!$A$2:$C$1005,MATCH(Consolidated!I125&amp;Consolidated!J125,'Org List'!$A$2:$A$1005&amp;'Org List'!$B$2:$B$1005,0),3)</f>
        <v>NGOs: International</v>
      </c>
    </row>
    <row r="126" spans="1:13" x14ac:dyDescent="0.25">
      <c r="A126">
        <v>2022</v>
      </c>
      <c r="B126" t="s">
        <v>4579</v>
      </c>
      <c r="C126" t="s">
        <v>4580</v>
      </c>
      <c r="D126" t="s">
        <v>30</v>
      </c>
      <c r="E126" t="s">
        <v>356</v>
      </c>
      <c r="F126">
        <v>4500253062</v>
      </c>
      <c r="G126" t="s">
        <v>4581</v>
      </c>
      <c r="H126" t="s">
        <v>3334</v>
      </c>
      <c r="I126" t="s">
        <v>4582</v>
      </c>
      <c r="J126" t="s">
        <v>356</v>
      </c>
      <c r="K126" s="2">
        <v>56969</v>
      </c>
      <c r="L126" t="s">
        <v>6408</v>
      </c>
      <c r="M126" t="str" cm="1">
        <f t="array" ref="M126">INDEX('Org List'!$A$2:$C$1005,MATCH(Consolidated!I126&amp;Consolidated!J126,'Org List'!$A$2:$A$1005&amp;'Org List'!$B$2:$B$1005,0),3)</f>
        <v>NGOs: National</v>
      </c>
    </row>
    <row r="127" spans="1:13" x14ac:dyDescent="0.25">
      <c r="A127">
        <v>2022</v>
      </c>
      <c r="B127" t="s">
        <v>4583</v>
      </c>
      <c r="C127" t="s">
        <v>88</v>
      </c>
      <c r="D127" t="s">
        <v>30</v>
      </c>
      <c r="E127" t="s">
        <v>32</v>
      </c>
      <c r="F127">
        <v>4500184243</v>
      </c>
      <c r="G127" t="s">
        <v>4283</v>
      </c>
      <c r="H127" t="s">
        <v>3334</v>
      </c>
      <c r="I127" t="s">
        <v>4584</v>
      </c>
      <c r="J127" t="s">
        <v>32</v>
      </c>
      <c r="K127" s="2">
        <v>208708</v>
      </c>
      <c r="L127" t="s">
        <v>6408</v>
      </c>
      <c r="M127" t="str" cm="1">
        <f t="array" ref="M127">INDEX('Org List'!$A$2:$C$1005,MATCH(Consolidated!I127&amp;Consolidated!J127,'Org List'!$A$2:$A$1005&amp;'Org List'!$B$2:$B$1005,0),3)</f>
        <v>NGOs: International</v>
      </c>
    </row>
    <row r="128" spans="1:13" x14ac:dyDescent="0.25">
      <c r="A128">
        <v>2022</v>
      </c>
      <c r="B128" t="s">
        <v>4583</v>
      </c>
      <c r="C128" t="s">
        <v>88</v>
      </c>
      <c r="D128" t="s">
        <v>30</v>
      </c>
      <c r="E128" t="s">
        <v>32</v>
      </c>
      <c r="F128">
        <v>4500187650</v>
      </c>
      <c r="G128" t="s">
        <v>4585</v>
      </c>
      <c r="H128" t="s">
        <v>3334</v>
      </c>
      <c r="I128" t="s">
        <v>1261</v>
      </c>
      <c r="J128" t="s">
        <v>32</v>
      </c>
      <c r="K128" s="2">
        <v>78964</v>
      </c>
      <c r="L128" t="s">
        <v>6408</v>
      </c>
      <c r="M128" t="str" cm="1">
        <f t="array" ref="M128">INDEX('Org List'!$A$2:$C$1005,MATCH(Consolidated!I128&amp;Consolidated!J128,'Org List'!$A$2:$A$1005&amp;'Org List'!$B$2:$B$1005,0),3)</f>
        <v>NGOs: National</v>
      </c>
    </row>
    <row r="129" spans="1:13" x14ac:dyDescent="0.25">
      <c r="A129">
        <v>2022</v>
      </c>
      <c r="B129" t="s">
        <v>4583</v>
      </c>
      <c r="C129" t="s">
        <v>88</v>
      </c>
      <c r="D129" t="s">
        <v>30</v>
      </c>
      <c r="E129" t="s">
        <v>32</v>
      </c>
      <c r="F129">
        <v>4500196684</v>
      </c>
      <c r="G129" t="s">
        <v>4586</v>
      </c>
      <c r="H129" t="s">
        <v>3334</v>
      </c>
      <c r="I129" t="s">
        <v>4587</v>
      </c>
      <c r="J129" t="s">
        <v>32</v>
      </c>
      <c r="K129" s="2">
        <v>250000</v>
      </c>
      <c r="L129" t="s">
        <v>6408</v>
      </c>
      <c r="M129" t="str" cm="1">
        <f t="array" ref="M129">INDEX('Org List'!$A$2:$C$1005,MATCH(Consolidated!I129&amp;Consolidated!J129,'Org List'!$A$2:$A$1005&amp;'Org List'!$B$2:$B$1005,0),3)</f>
        <v>NGOs: International</v>
      </c>
    </row>
    <row r="130" spans="1:13" x14ac:dyDescent="0.25">
      <c r="A130">
        <v>2022</v>
      </c>
      <c r="B130" t="s">
        <v>4583</v>
      </c>
      <c r="C130" t="s">
        <v>88</v>
      </c>
      <c r="D130" t="s">
        <v>30</v>
      </c>
      <c r="E130" t="s">
        <v>32</v>
      </c>
      <c r="F130">
        <v>4500196686</v>
      </c>
      <c r="G130" t="s">
        <v>4588</v>
      </c>
      <c r="H130" t="s">
        <v>3334</v>
      </c>
      <c r="I130" t="s">
        <v>94</v>
      </c>
      <c r="J130" t="s">
        <v>32</v>
      </c>
      <c r="K130" s="2">
        <v>484150</v>
      </c>
      <c r="L130" t="s">
        <v>6408</v>
      </c>
      <c r="M130" t="str" cm="1">
        <f t="array" ref="M130">INDEX('Org List'!$A$2:$C$1005,MATCH(Consolidated!I130&amp;Consolidated!J130,'Org List'!$A$2:$A$1005&amp;'Org List'!$B$2:$B$1005,0),3)</f>
        <v>NGOs: National</v>
      </c>
    </row>
    <row r="131" spans="1:13" x14ac:dyDescent="0.25">
      <c r="A131">
        <v>2022</v>
      </c>
      <c r="B131" t="s">
        <v>4583</v>
      </c>
      <c r="C131" t="s">
        <v>88</v>
      </c>
      <c r="D131" t="s">
        <v>30</v>
      </c>
      <c r="E131" t="s">
        <v>32</v>
      </c>
      <c r="F131">
        <v>4500196689</v>
      </c>
      <c r="G131" t="s">
        <v>4589</v>
      </c>
      <c r="H131" t="s">
        <v>3334</v>
      </c>
      <c r="I131" t="s">
        <v>4590</v>
      </c>
      <c r="J131" t="s">
        <v>32</v>
      </c>
      <c r="K131" s="2">
        <v>321373</v>
      </c>
      <c r="L131" t="s">
        <v>6408</v>
      </c>
      <c r="M131" t="str" cm="1">
        <f t="array" ref="M131">INDEX('Org List'!$A$2:$C$1005,MATCH(Consolidated!I131&amp;Consolidated!J131,'Org List'!$A$2:$A$1005&amp;'Org List'!$B$2:$B$1005,0),3)</f>
        <v>NGOs: National</v>
      </c>
    </row>
    <row r="132" spans="1:13" x14ac:dyDescent="0.25">
      <c r="A132">
        <v>2022</v>
      </c>
      <c r="B132" t="s">
        <v>4583</v>
      </c>
      <c r="C132" t="s">
        <v>88</v>
      </c>
      <c r="D132" t="s">
        <v>30</v>
      </c>
      <c r="E132" t="s">
        <v>32</v>
      </c>
      <c r="F132">
        <v>4500201172</v>
      </c>
      <c r="G132" t="s">
        <v>4591</v>
      </c>
      <c r="H132" t="s">
        <v>3334</v>
      </c>
      <c r="I132" t="s">
        <v>4592</v>
      </c>
      <c r="J132" t="s">
        <v>985</v>
      </c>
      <c r="K132" s="2">
        <v>327500</v>
      </c>
      <c r="L132" t="s">
        <v>6408</v>
      </c>
      <c r="M132" t="str" cm="1">
        <f t="array" ref="M132">INDEX('Org List'!$A$2:$C$1005,MATCH(Consolidated!I132&amp;Consolidated!J132,'Org List'!$A$2:$A$1005&amp;'Org List'!$B$2:$B$1005,0),3)</f>
        <v>NGOs: International</v>
      </c>
    </row>
    <row r="133" spans="1:13" x14ac:dyDescent="0.25">
      <c r="A133">
        <v>2022</v>
      </c>
      <c r="B133" t="s">
        <v>4583</v>
      </c>
      <c r="C133" t="s">
        <v>88</v>
      </c>
      <c r="D133" t="s">
        <v>30</v>
      </c>
      <c r="E133" t="s">
        <v>32</v>
      </c>
      <c r="F133">
        <v>4500203259</v>
      </c>
      <c r="G133" t="s">
        <v>4593</v>
      </c>
      <c r="H133" t="s">
        <v>3334</v>
      </c>
      <c r="I133" t="s">
        <v>4594</v>
      </c>
      <c r="J133" t="s">
        <v>32</v>
      </c>
      <c r="K133" s="2">
        <v>189320</v>
      </c>
      <c r="L133" t="s">
        <v>6408</v>
      </c>
      <c r="M133" t="str" cm="1">
        <f t="array" ref="M133">INDEX('Org List'!$A$2:$C$1005,MATCH(Consolidated!I133&amp;Consolidated!J133,'Org List'!$A$2:$A$1005&amp;'Org List'!$B$2:$B$1005,0),3)</f>
        <v>NGOs: National</v>
      </c>
    </row>
    <row r="134" spans="1:13" x14ac:dyDescent="0.25">
      <c r="A134">
        <v>2022</v>
      </c>
      <c r="B134" t="s">
        <v>4583</v>
      </c>
      <c r="C134" t="s">
        <v>88</v>
      </c>
      <c r="D134" t="s">
        <v>30</v>
      </c>
      <c r="E134" t="s">
        <v>32</v>
      </c>
      <c r="F134">
        <v>4500226971</v>
      </c>
      <c r="G134" t="s">
        <v>4595</v>
      </c>
      <c r="H134" t="s">
        <v>3334</v>
      </c>
      <c r="I134" t="s">
        <v>1261</v>
      </c>
      <c r="J134" t="s">
        <v>32</v>
      </c>
      <c r="K134" s="2">
        <v>237738</v>
      </c>
      <c r="L134" t="s">
        <v>6408</v>
      </c>
      <c r="M134" t="str" cm="1">
        <f t="array" ref="M134">INDEX('Org List'!$A$2:$C$1005,MATCH(Consolidated!I134&amp;Consolidated!J134,'Org List'!$A$2:$A$1005&amp;'Org List'!$B$2:$B$1005,0),3)</f>
        <v>NGOs: National</v>
      </c>
    </row>
    <row r="135" spans="1:13" x14ac:dyDescent="0.25">
      <c r="A135">
        <v>2022</v>
      </c>
      <c r="B135" t="s">
        <v>4583</v>
      </c>
      <c r="C135" t="s">
        <v>88</v>
      </c>
      <c r="D135" t="s">
        <v>30</v>
      </c>
      <c r="E135" t="s">
        <v>32</v>
      </c>
      <c r="F135">
        <v>4500230912</v>
      </c>
      <c r="G135" t="s">
        <v>4596</v>
      </c>
      <c r="H135" t="s">
        <v>3334</v>
      </c>
      <c r="I135" t="s">
        <v>4597</v>
      </c>
      <c r="J135" t="s">
        <v>32</v>
      </c>
      <c r="K135" s="2">
        <v>142614</v>
      </c>
      <c r="L135" t="s">
        <v>6408</v>
      </c>
      <c r="M135" t="str" cm="1">
        <f t="array" ref="M135">INDEX('Org List'!$A$2:$C$1005,MATCH(Consolidated!I135&amp;Consolidated!J135,'Org List'!$A$2:$A$1005&amp;'Org List'!$B$2:$B$1005,0),3)</f>
        <v>NGOs: National</v>
      </c>
    </row>
    <row r="136" spans="1:13" x14ac:dyDescent="0.25">
      <c r="A136">
        <v>2022</v>
      </c>
      <c r="B136" t="s">
        <v>4583</v>
      </c>
      <c r="C136" t="s">
        <v>88</v>
      </c>
      <c r="D136" t="s">
        <v>30</v>
      </c>
      <c r="E136" t="s">
        <v>32</v>
      </c>
      <c r="F136">
        <v>4500230918</v>
      </c>
      <c r="G136" t="s">
        <v>4598</v>
      </c>
      <c r="H136" t="s">
        <v>3334</v>
      </c>
      <c r="I136" t="s">
        <v>3439</v>
      </c>
      <c r="J136" t="s">
        <v>32</v>
      </c>
      <c r="K136" s="2">
        <v>201088</v>
      </c>
      <c r="L136" t="s">
        <v>6408</v>
      </c>
      <c r="M136" t="str" cm="1">
        <f t="array" ref="M136">INDEX('Org List'!$A$2:$C$1005,MATCH(Consolidated!I136&amp;Consolidated!J136,'Org List'!$A$2:$A$1005&amp;'Org List'!$B$2:$B$1005,0),3)</f>
        <v>NGOs: National</v>
      </c>
    </row>
    <row r="137" spans="1:13" x14ac:dyDescent="0.25">
      <c r="A137">
        <v>2022</v>
      </c>
      <c r="B137" t="s">
        <v>3412</v>
      </c>
      <c r="C137" t="s">
        <v>3413</v>
      </c>
      <c r="D137" t="s">
        <v>30</v>
      </c>
      <c r="E137" t="s">
        <v>486</v>
      </c>
      <c r="F137">
        <v>4500192818</v>
      </c>
      <c r="G137" t="s">
        <v>4599</v>
      </c>
      <c r="H137" t="s">
        <v>3334</v>
      </c>
      <c r="I137" t="s">
        <v>4600</v>
      </c>
      <c r="J137" t="s">
        <v>486</v>
      </c>
      <c r="K137" s="2">
        <v>35994</v>
      </c>
      <c r="L137" t="s">
        <v>6408</v>
      </c>
      <c r="M137" t="str" cm="1">
        <f t="array" ref="M137">INDEX('Org List'!$A$2:$C$1005,MATCH(Consolidated!I137&amp;Consolidated!J137,'Org List'!$A$2:$A$1005&amp;'Org List'!$B$2:$B$1005,0),3)</f>
        <v>NGOs: Local</v>
      </c>
    </row>
    <row r="138" spans="1:13" x14ac:dyDescent="0.25">
      <c r="A138">
        <v>2022</v>
      </c>
      <c r="B138" t="s">
        <v>4601</v>
      </c>
      <c r="C138" t="s">
        <v>4602</v>
      </c>
      <c r="D138" t="s">
        <v>30</v>
      </c>
      <c r="E138" t="s">
        <v>793</v>
      </c>
      <c r="F138">
        <v>4500193164</v>
      </c>
      <c r="G138" t="s">
        <v>4603</v>
      </c>
      <c r="H138" t="s">
        <v>3334</v>
      </c>
      <c r="I138" t="s">
        <v>1837</v>
      </c>
      <c r="J138" t="s">
        <v>793</v>
      </c>
      <c r="K138" s="2">
        <v>17609</v>
      </c>
      <c r="L138" t="s">
        <v>6408</v>
      </c>
      <c r="M138" t="str" cm="1">
        <f t="array" ref="M138">INDEX('Org List'!$A$2:$C$1005,MATCH(Consolidated!I138&amp;Consolidated!J138,'Org List'!$A$2:$A$1005&amp;'Org List'!$B$2:$B$1005,0),3)</f>
        <v>Multilateral: UN</v>
      </c>
    </row>
    <row r="139" spans="1:13" x14ac:dyDescent="0.25">
      <c r="A139">
        <v>2022</v>
      </c>
      <c r="B139" t="s">
        <v>3414</v>
      </c>
      <c r="C139" t="s">
        <v>231</v>
      </c>
      <c r="D139" t="s">
        <v>30</v>
      </c>
      <c r="E139" t="s">
        <v>175</v>
      </c>
      <c r="F139">
        <v>4500182678</v>
      </c>
      <c r="G139" t="s">
        <v>4604</v>
      </c>
      <c r="H139" t="s">
        <v>3334</v>
      </c>
      <c r="I139" t="s">
        <v>685</v>
      </c>
      <c r="J139" t="s">
        <v>175</v>
      </c>
      <c r="K139" s="2">
        <v>419175</v>
      </c>
      <c r="L139" t="s">
        <v>6408</v>
      </c>
      <c r="M139" t="str" cm="1">
        <f t="array" ref="M139">INDEX('Org List'!$A$2:$C$1005,MATCH(Consolidated!I139&amp;Consolidated!J139,'Org List'!$A$2:$A$1005&amp;'Org List'!$B$2:$B$1005,0),3)</f>
        <v>NGOs: National</v>
      </c>
    </row>
    <row r="140" spans="1:13" x14ac:dyDescent="0.25">
      <c r="A140">
        <v>2022</v>
      </c>
      <c r="B140" t="s">
        <v>3414</v>
      </c>
      <c r="C140" t="s">
        <v>231</v>
      </c>
      <c r="D140" t="s">
        <v>30</v>
      </c>
      <c r="E140" t="s">
        <v>175</v>
      </c>
      <c r="F140">
        <v>4500182684</v>
      </c>
      <c r="G140" t="s">
        <v>4605</v>
      </c>
      <c r="H140" t="s">
        <v>3334</v>
      </c>
      <c r="I140" t="s">
        <v>390</v>
      </c>
      <c r="J140" t="s">
        <v>175</v>
      </c>
      <c r="K140" s="2">
        <v>341506</v>
      </c>
      <c r="L140" t="s">
        <v>6408</v>
      </c>
      <c r="M140" t="str" cm="1">
        <f t="array" ref="M140">INDEX('Org List'!$A$2:$C$1005,MATCH(Consolidated!I140&amp;Consolidated!J140,'Org List'!$A$2:$A$1005&amp;'Org List'!$B$2:$B$1005,0),3)</f>
        <v>NGOs: Local</v>
      </c>
    </row>
    <row r="141" spans="1:13" x14ac:dyDescent="0.25">
      <c r="A141">
        <v>2022</v>
      </c>
      <c r="B141" t="s">
        <v>3414</v>
      </c>
      <c r="C141" t="s">
        <v>231</v>
      </c>
      <c r="D141" t="s">
        <v>30</v>
      </c>
      <c r="E141" t="s">
        <v>175</v>
      </c>
      <c r="F141">
        <v>4500182998</v>
      </c>
      <c r="G141" t="s">
        <v>4606</v>
      </c>
      <c r="H141" t="s">
        <v>3334</v>
      </c>
      <c r="I141" t="s">
        <v>887</v>
      </c>
      <c r="J141" t="s">
        <v>175</v>
      </c>
      <c r="K141" s="2">
        <v>268475</v>
      </c>
      <c r="L141" t="s">
        <v>6408</v>
      </c>
      <c r="M141" t="str" cm="1">
        <f t="array" ref="M141">INDEX('Org List'!$A$2:$C$1005,MATCH(Consolidated!I141&amp;Consolidated!J141,'Org List'!$A$2:$A$1005&amp;'Org List'!$B$2:$B$1005,0),3)</f>
        <v>NGOs: International</v>
      </c>
    </row>
    <row r="142" spans="1:13" x14ac:dyDescent="0.25">
      <c r="A142">
        <v>2022</v>
      </c>
      <c r="B142" t="s">
        <v>3414</v>
      </c>
      <c r="C142" t="s">
        <v>231</v>
      </c>
      <c r="D142" t="s">
        <v>30</v>
      </c>
      <c r="E142" t="s">
        <v>175</v>
      </c>
      <c r="F142">
        <v>4500183035</v>
      </c>
      <c r="G142" t="s">
        <v>4607</v>
      </c>
      <c r="H142" t="s">
        <v>3334</v>
      </c>
      <c r="I142" t="s">
        <v>4536</v>
      </c>
      <c r="J142" t="s">
        <v>751</v>
      </c>
      <c r="K142" s="2">
        <v>68941</v>
      </c>
      <c r="L142" t="s">
        <v>6408</v>
      </c>
      <c r="M142" t="str" cm="1">
        <f t="array" ref="M142">INDEX('Org List'!$A$2:$C$1005,MATCH(Consolidated!I142&amp;Consolidated!J142,'Org List'!$A$2:$A$1005&amp;'Org List'!$B$2:$B$1005,0),3)</f>
        <v>NGOs: International</v>
      </c>
    </row>
    <row r="143" spans="1:13" x14ac:dyDescent="0.25">
      <c r="A143">
        <v>2022</v>
      </c>
      <c r="B143" t="s">
        <v>3414</v>
      </c>
      <c r="C143" t="s">
        <v>231</v>
      </c>
      <c r="D143" t="s">
        <v>30</v>
      </c>
      <c r="E143" t="s">
        <v>175</v>
      </c>
      <c r="F143">
        <v>4500183043</v>
      </c>
      <c r="G143" t="s">
        <v>4608</v>
      </c>
      <c r="H143" t="s">
        <v>3334</v>
      </c>
      <c r="I143" t="s">
        <v>3416</v>
      </c>
      <c r="J143" t="s">
        <v>175</v>
      </c>
      <c r="K143" s="2">
        <v>19243</v>
      </c>
      <c r="L143" t="s">
        <v>6408</v>
      </c>
      <c r="M143" t="str" cm="1">
        <f t="array" ref="M143">INDEX('Org List'!$A$2:$C$1005,MATCH(Consolidated!I143&amp;Consolidated!J143,'Org List'!$A$2:$A$1005&amp;'Org List'!$B$2:$B$1005,0),3)</f>
        <v>NGOs: International</v>
      </c>
    </row>
    <row r="144" spans="1:13" x14ac:dyDescent="0.25">
      <c r="A144">
        <v>2022</v>
      </c>
      <c r="B144" t="s">
        <v>3414</v>
      </c>
      <c r="C144" t="s">
        <v>231</v>
      </c>
      <c r="D144" t="s">
        <v>30</v>
      </c>
      <c r="E144" t="s">
        <v>175</v>
      </c>
      <c r="F144">
        <v>4500183471</v>
      </c>
      <c r="G144" t="s">
        <v>4609</v>
      </c>
      <c r="H144" t="s">
        <v>3334</v>
      </c>
      <c r="I144" t="s">
        <v>185</v>
      </c>
      <c r="J144" t="s">
        <v>175</v>
      </c>
      <c r="K144" s="2">
        <v>152283</v>
      </c>
      <c r="L144" t="s">
        <v>6408</v>
      </c>
      <c r="M144" t="str" cm="1">
        <f t="array" ref="M144">INDEX('Org List'!$A$2:$C$1005,MATCH(Consolidated!I144&amp;Consolidated!J144,'Org List'!$A$2:$A$1005&amp;'Org List'!$B$2:$B$1005,0),3)</f>
        <v>NGOs: National</v>
      </c>
    </row>
    <row r="145" spans="1:13" x14ac:dyDescent="0.25">
      <c r="A145">
        <v>2022</v>
      </c>
      <c r="B145" t="s">
        <v>3414</v>
      </c>
      <c r="C145" t="s">
        <v>231</v>
      </c>
      <c r="D145" t="s">
        <v>30</v>
      </c>
      <c r="E145" t="s">
        <v>175</v>
      </c>
      <c r="F145">
        <v>4500185993</v>
      </c>
      <c r="G145" t="s">
        <v>4610</v>
      </c>
      <c r="H145" t="s">
        <v>3334</v>
      </c>
      <c r="I145" t="s">
        <v>4611</v>
      </c>
      <c r="J145" t="s">
        <v>175</v>
      </c>
      <c r="K145" s="2">
        <v>11993</v>
      </c>
      <c r="L145" t="s">
        <v>6408</v>
      </c>
      <c r="M145" t="str" cm="1">
        <f t="array" ref="M145">INDEX('Org List'!$A$2:$C$1005,MATCH(Consolidated!I145&amp;Consolidated!J145,'Org List'!$A$2:$A$1005&amp;'Org List'!$B$2:$B$1005,0),3)</f>
        <v>NGOs: Internationally affiliated</v>
      </c>
    </row>
    <row r="146" spans="1:13" x14ac:dyDescent="0.25">
      <c r="A146">
        <v>2022</v>
      </c>
      <c r="B146" t="s">
        <v>3414</v>
      </c>
      <c r="C146" t="s">
        <v>231</v>
      </c>
      <c r="D146" t="s">
        <v>30</v>
      </c>
      <c r="E146" t="s">
        <v>175</v>
      </c>
      <c r="F146">
        <v>4500190414</v>
      </c>
      <c r="G146" t="s">
        <v>4612</v>
      </c>
      <c r="H146" t="s">
        <v>3334</v>
      </c>
      <c r="I146" t="s">
        <v>3416</v>
      </c>
      <c r="J146" t="s">
        <v>175</v>
      </c>
      <c r="K146" s="2">
        <v>265194</v>
      </c>
      <c r="L146" t="s">
        <v>6408</v>
      </c>
      <c r="M146" t="str" cm="1">
        <f t="array" ref="M146">INDEX('Org List'!$A$2:$C$1005,MATCH(Consolidated!I146&amp;Consolidated!J146,'Org List'!$A$2:$A$1005&amp;'Org List'!$B$2:$B$1005,0),3)</f>
        <v>NGOs: International</v>
      </c>
    </row>
    <row r="147" spans="1:13" x14ac:dyDescent="0.25">
      <c r="A147">
        <v>2022</v>
      </c>
      <c r="B147" t="s">
        <v>3414</v>
      </c>
      <c r="C147" t="s">
        <v>231</v>
      </c>
      <c r="D147" t="s">
        <v>30</v>
      </c>
      <c r="E147" t="s">
        <v>175</v>
      </c>
      <c r="F147">
        <v>4500211770</v>
      </c>
      <c r="G147" t="s">
        <v>4613</v>
      </c>
      <c r="H147" t="s">
        <v>3334</v>
      </c>
      <c r="I147" t="s">
        <v>2974</v>
      </c>
      <c r="J147" t="s">
        <v>175</v>
      </c>
      <c r="K147" s="2">
        <v>201012</v>
      </c>
      <c r="L147" t="s">
        <v>6408</v>
      </c>
      <c r="M147" t="str" cm="1">
        <f t="array" ref="M147">INDEX('Org List'!$A$2:$C$1005,MATCH(Consolidated!I147&amp;Consolidated!J147,'Org List'!$A$2:$A$1005&amp;'Org List'!$B$2:$B$1005,0),3)</f>
        <v>NGOs: National</v>
      </c>
    </row>
    <row r="148" spans="1:13" x14ac:dyDescent="0.25">
      <c r="A148">
        <v>2022</v>
      </c>
      <c r="B148" t="s">
        <v>3414</v>
      </c>
      <c r="C148" t="s">
        <v>231</v>
      </c>
      <c r="D148" t="s">
        <v>30</v>
      </c>
      <c r="E148" t="s">
        <v>175</v>
      </c>
      <c r="F148">
        <v>4500212651</v>
      </c>
      <c r="G148" t="s">
        <v>4614</v>
      </c>
      <c r="H148" t="s">
        <v>3334</v>
      </c>
      <c r="I148" t="s">
        <v>1832</v>
      </c>
      <c r="J148" t="s">
        <v>175</v>
      </c>
      <c r="K148" s="2">
        <v>103500</v>
      </c>
      <c r="L148" t="s">
        <v>6408</v>
      </c>
      <c r="M148" t="str" cm="1">
        <f t="array" ref="M148">INDEX('Org List'!$A$2:$C$1005,MATCH(Consolidated!I148&amp;Consolidated!J148,'Org List'!$A$2:$A$1005&amp;'Org List'!$B$2:$B$1005,0),3)</f>
        <v>NGOs: National</v>
      </c>
    </row>
    <row r="149" spans="1:13" x14ac:dyDescent="0.25">
      <c r="A149">
        <v>2022</v>
      </c>
      <c r="B149" t="s">
        <v>3414</v>
      </c>
      <c r="C149" t="s">
        <v>231</v>
      </c>
      <c r="D149" t="s">
        <v>30</v>
      </c>
      <c r="E149" t="s">
        <v>175</v>
      </c>
      <c r="F149">
        <v>4500234616</v>
      </c>
      <c r="G149" t="s">
        <v>4615</v>
      </c>
      <c r="H149" t="s">
        <v>3334</v>
      </c>
      <c r="I149" t="s">
        <v>4611</v>
      </c>
      <c r="J149" t="s">
        <v>175</v>
      </c>
      <c r="K149" s="2">
        <v>21730</v>
      </c>
      <c r="L149" t="s">
        <v>6408</v>
      </c>
      <c r="M149" t="str" cm="1">
        <f t="array" ref="M149">INDEX('Org List'!$A$2:$C$1005,MATCH(Consolidated!I149&amp;Consolidated!J149,'Org List'!$A$2:$A$1005&amp;'Org List'!$B$2:$B$1005,0),3)</f>
        <v>NGOs: Internationally affiliated</v>
      </c>
    </row>
    <row r="150" spans="1:13" x14ac:dyDescent="0.25">
      <c r="A150">
        <v>2022</v>
      </c>
      <c r="B150" t="s">
        <v>3414</v>
      </c>
      <c r="C150" t="s">
        <v>231</v>
      </c>
      <c r="D150" t="s">
        <v>30</v>
      </c>
      <c r="E150" t="s">
        <v>175</v>
      </c>
      <c r="F150">
        <v>4500234657</v>
      </c>
      <c r="G150" t="s">
        <v>4616</v>
      </c>
      <c r="H150" t="s">
        <v>3334</v>
      </c>
      <c r="I150" t="s">
        <v>1832</v>
      </c>
      <c r="J150" t="s">
        <v>175</v>
      </c>
      <c r="K150" s="2">
        <v>374320</v>
      </c>
      <c r="L150" t="s">
        <v>6408</v>
      </c>
      <c r="M150" t="str" cm="1">
        <f t="array" ref="M150">INDEX('Org List'!$A$2:$C$1005,MATCH(Consolidated!I150&amp;Consolidated!J150,'Org List'!$A$2:$A$1005&amp;'Org List'!$B$2:$B$1005,0),3)</f>
        <v>NGOs: National</v>
      </c>
    </row>
    <row r="151" spans="1:13" x14ac:dyDescent="0.25">
      <c r="A151">
        <v>2022</v>
      </c>
      <c r="B151" t="s">
        <v>3414</v>
      </c>
      <c r="C151" t="s">
        <v>231</v>
      </c>
      <c r="D151" t="s">
        <v>30</v>
      </c>
      <c r="E151" t="s">
        <v>175</v>
      </c>
      <c r="F151">
        <v>4500240272</v>
      </c>
      <c r="G151" t="s">
        <v>4617</v>
      </c>
      <c r="H151" t="s">
        <v>3334</v>
      </c>
      <c r="I151" t="s">
        <v>182</v>
      </c>
      <c r="J151" t="s">
        <v>175</v>
      </c>
      <c r="K151" s="2">
        <v>234975</v>
      </c>
      <c r="L151" t="s">
        <v>6408</v>
      </c>
      <c r="M151" t="str" cm="1">
        <f t="array" ref="M151">INDEX('Org List'!$A$2:$C$1005,MATCH(Consolidated!I151&amp;Consolidated!J151,'Org List'!$A$2:$A$1005&amp;'Org List'!$B$2:$B$1005,0),3)</f>
        <v>NGOs: Local</v>
      </c>
    </row>
    <row r="152" spans="1:13" x14ac:dyDescent="0.25">
      <c r="A152">
        <v>2022</v>
      </c>
      <c r="B152" t="s">
        <v>3414</v>
      </c>
      <c r="C152" t="s">
        <v>231</v>
      </c>
      <c r="D152" t="s">
        <v>30</v>
      </c>
      <c r="E152" t="s">
        <v>175</v>
      </c>
      <c r="F152">
        <v>4500240583</v>
      </c>
      <c r="G152" t="s">
        <v>4618</v>
      </c>
      <c r="H152" t="s">
        <v>3334</v>
      </c>
      <c r="I152" t="s">
        <v>186</v>
      </c>
      <c r="J152" t="s">
        <v>175</v>
      </c>
      <c r="K152" s="2">
        <v>70351</v>
      </c>
      <c r="L152" t="s">
        <v>6408</v>
      </c>
      <c r="M152" t="str" cm="1">
        <f t="array" ref="M152">INDEX('Org List'!$A$2:$C$1005,MATCH(Consolidated!I152&amp;Consolidated!J152,'Org List'!$A$2:$A$1005&amp;'Org List'!$B$2:$B$1005,0),3)</f>
        <v>NGOs: National</v>
      </c>
    </row>
    <row r="153" spans="1:13" x14ac:dyDescent="0.25">
      <c r="A153">
        <v>2022</v>
      </c>
      <c r="B153" t="s">
        <v>3414</v>
      </c>
      <c r="C153" t="s">
        <v>231</v>
      </c>
      <c r="D153" t="s">
        <v>30</v>
      </c>
      <c r="E153" t="s">
        <v>175</v>
      </c>
      <c r="F153">
        <v>4500240902</v>
      </c>
      <c r="G153" t="s">
        <v>4619</v>
      </c>
      <c r="H153" t="s">
        <v>3334</v>
      </c>
      <c r="I153" t="s">
        <v>2974</v>
      </c>
      <c r="J153" t="s">
        <v>175</v>
      </c>
      <c r="K153" s="2">
        <v>153510</v>
      </c>
      <c r="L153" t="s">
        <v>6408</v>
      </c>
      <c r="M153" t="str" cm="1">
        <f t="array" ref="M153">INDEX('Org List'!$A$2:$C$1005,MATCH(Consolidated!I153&amp;Consolidated!J153,'Org List'!$A$2:$A$1005&amp;'Org List'!$B$2:$B$1005,0),3)</f>
        <v>NGOs: National</v>
      </c>
    </row>
    <row r="154" spans="1:13" x14ac:dyDescent="0.25">
      <c r="A154">
        <v>2022</v>
      </c>
      <c r="B154" t="s">
        <v>3414</v>
      </c>
      <c r="C154" t="s">
        <v>231</v>
      </c>
      <c r="D154" t="s">
        <v>30</v>
      </c>
      <c r="E154" t="s">
        <v>175</v>
      </c>
      <c r="F154">
        <v>4500244007</v>
      </c>
      <c r="G154" t="s">
        <v>4620</v>
      </c>
      <c r="H154" t="s">
        <v>3334</v>
      </c>
      <c r="I154" t="s">
        <v>183</v>
      </c>
      <c r="J154" t="s">
        <v>184</v>
      </c>
      <c r="K154" s="2">
        <v>322900</v>
      </c>
      <c r="L154" t="s">
        <v>6408</v>
      </c>
      <c r="M154" t="str" cm="1">
        <f t="array" ref="M154">INDEX('Org List'!$A$2:$C$1005,MATCH(Consolidated!I154&amp;Consolidated!J154,'Org List'!$A$2:$A$1005&amp;'Org List'!$B$2:$B$1005,0),3)</f>
        <v>NGOs: International</v>
      </c>
    </row>
    <row r="155" spans="1:13" x14ac:dyDescent="0.25">
      <c r="A155">
        <v>2022</v>
      </c>
      <c r="B155" t="s">
        <v>3414</v>
      </c>
      <c r="C155" t="s">
        <v>231</v>
      </c>
      <c r="D155" t="s">
        <v>30</v>
      </c>
      <c r="E155" t="s">
        <v>175</v>
      </c>
      <c r="F155">
        <v>4500259101</v>
      </c>
      <c r="G155" t="s">
        <v>4621</v>
      </c>
      <c r="H155" t="s">
        <v>3334</v>
      </c>
      <c r="I155" t="s">
        <v>4611</v>
      </c>
      <c r="J155" t="s">
        <v>175</v>
      </c>
      <c r="K155" s="2">
        <v>17378</v>
      </c>
      <c r="L155" t="s">
        <v>6408</v>
      </c>
      <c r="M155" t="str" cm="1">
        <f t="array" ref="M155">INDEX('Org List'!$A$2:$C$1005,MATCH(Consolidated!I155&amp;Consolidated!J155,'Org List'!$A$2:$A$1005&amp;'Org List'!$B$2:$B$1005,0),3)</f>
        <v>NGOs: Internationally affiliated</v>
      </c>
    </row>
    <row r="156" spans="1:13" x14ac:dyDescent="0.25">
      <c r="A156">
        <v>2022</v>
      </c>
      <c r="B156" t="s">
        <v>3414</v>
      </c>
      <c r="C156" t="s">
        <v>231</v>
      </c>
      <c r="D156" t="s">
        <v>30</v>
      </c>
      <c r="E156" t="s">
        <v>175</v>
      </c>
      <c r="F156">
        <v>4500267079</v>
      </c>
      <c r="G156" t="s">
        <v>4622</v>
      </c>
      <c r="H156" t="s">
        <v>3334</v>
      </c>
      <c r="I156" t="s">
        <v>4536</v>
      </c>
      <c r="J156" t="s">
        <v>751</v>
      </c>
      <c r="K156" s="2">
        <v>137902</v>
      </c>
      <c r="L156" t="s">
        <v>6408</v>
      </c>
      <c r="M156" t="str" cm="1">
        <f t="array" ref="M156">INDEX('Org List'!$A$2:$C$1005,MATCH(Consolidated!I156&amp;Consolidated!J156,'Org List'!$A$2:$A$1005&amp;'Org List'!$B$2:$B$1005,0),3)</f>
        <v>NGOs: International</v>
      </c>
    </row>
    <row r="157" spans="1:13" x14ac:dyDescent="0.25">
      <c r="A157">
        <v>2022</v>
      </c>
      <c r="B157" t="s">
        <v>4623</v>
      </c>
      <c r="C157" t="s">
        <v>4624</v>
      </c>
      <c r="D157" t="s">
        <v>30</v>
      </c>
      <c r="E157" t="s">
        <v>167</v>
      </c>
      <c r="F157">
        <v>4500201451</v>
      </c>
      <c r="G157" t="s">
        <v>4625</v>
      </c>
      <c r="H157" t="s">
        <v>3334</v>
      </c>
      <c r="I157" t="s">
        <v>4626</v>
      </c>
      <c r="J157" t="s">
        <v>972</v>
      </c>
      <c r="K157" s="2">
        <v>45192</v>
      </c>
      <c r="L157" t="s">
        <v>6408</v>
      </c>
      <c r="M157" t="str" cm="1">
        <f t="array" ref="M157">INDEX('Org List'!$A$2:$C$1005,MATCH(Consolidated!I157&amp;Consolidated!J157,'Org List'!$A$2:$A$1005&amp;'Org List'!$B$2:$B$1005,0),3)</f>
        <v>NGOs: International</v>
      </c>
    </row>
    <row r="158" spans="1:13" x14ac:dyDescent="0.25">
      <c r="A158">
        <v>2022</v>
      </c>
      <c r="B158" t="s">
        <v>2308</v>
      </c>
      <c r="C158" t="s">
        <v>2309</v>
      </c>
      <c r="D158" t="s">
        <v>30</v>
      </c>
      <c r="E158" t="s">
        <v>253</v>
      </c>
      <c r="F158">
        <v>4500188498</v>
      </c>
      <c r="G158" t="s">
        <v>4627</v>
      </c>
      <c r="H158" t="s">
        <v>3334</v>
      </c>
      <c r="I158" t="s">
        <v>1362</v>
      </c>
      <c r="J158" t="s">
        <v>253</v>
      </c>
      <c r="K158" s="2">
        <v>63280</v>
      </c>
      <c r="L158" t="s">
        <v>6408</v>
      </c>
      <c r="M158" t="str" cm="1">
        <f t="array" ref="M158">INDEX('Org List'!$A$2:$C$1005,MATCH(Consolidated!I158&amp;Consolidated!J158,'Org List'!$A$2:$A$1005&amp;'Org List'!$B$2:$B$1005,0),3)</f>
        <v>Red Cross: National</v>
      </c>
    </row>
    <row r="159" spans="1:13" x14ac:dyDescent="0.25">
      <c r="A159">
        <v>2022</v>
      </c>
      <c r="B159" t="s">
        <v>2308</v>
      </c>
      <c r="C159" t="s">
        <v>2309</v>
      </c>
      <c r="D159" t="s">
        <v>30</v>
      </c>
      <c r="E159" t="s">
        <v>253</v>
      </c>
      <c r="F159">
        <v>4500231308</v>
      </c>
      <c r="G159" t="s">
        <v>4628</v>
      </c>
      <c r="H159" t="s">
        <v>3334</v>
      </c>
      <c r="I159" t="s">
        <v>156</v>
      </c>
      <c r="J159" t="s">
        <v>184</v>
      </c>
      <c r="K159" s="2">
        <v>86000</v>
      </c>
      <c r="L159" t="s">
        <v>6408</v>
      </c>
      <c r="M159" t="str" cm="1">
        <f t="array" ref="M159">INDEX('Org List'!$A$2:$C$1005,MATCH(Consolidated!I159&amp;Consolidated!J159,'Org List'!$A$2:$A$1005&amp;'Org List'!$B$2:$B$1005,0),3)</f>
        <v>NGOs: International</v>
      </c>
    </row>
    <row r="160" spans="1:13" x14ac:dyDescent="0.25">
      <c r="A160">
        <v>2022</v>
      </c>
      <c r="B160" t="s">
        <v>2308</v>
      </c>
      <c r="C160" t="s">
        <v>2309</v>
      </c>
      <c r="D160" t="s">
        <v>30</v>
      </c>
      <c r="E160" t="s">
        <v>253</v>
      </c>
      <c r="F160">
        <v>4500244484</v>
      </c>
      <c r="G160" t="s">
        <v>3938</v>
      </c>
      <c r="H160" t="s">
        <v>3334</v>
      </c>
      <c r="I160" t="s">
        <v>1362</v>
      </c>
      <c r="J160" t="s">
        <v>253</v>
      </c>
      <c r="K160" s="2">
        <v>20028</v>
      </c>
      <c r="L160" t="s">
        <v>6408</v>
      </c>
      <c r="M160" t="str" cm="1">
        <f t="array" ref="M160">INDEX('Org List'!$A$2:$C$1005,MATCH(Consolidated!I160&amp;Consolidated!J160,'Org List'!$A$2:$A$1005&amp;'Org List'!$B$2:$B$1005,0),3)</f>
        <v>Red Cross: National</v>
      </c>
    </row>
    <row r="161" spans="1:13" x14ac:dyDescent="0.25">
      <c r="A161">
        <v>2022</v>
      </c>
      <c r="B161" t="s">
        <v>4629</v>
      </c>
      <c r="C161" t="s">
        <v>4630</v>
      </c>
      <c r="D161" t="s">
        <v>30</v>
      </c>
      <c r="E161" t="s">
        <v>257</v>
      </c>
      <c r="F161">
        <v>4500182118</v>
      </c>
      <c r="G161" t="s">
        <v>4631</v>
      </c>
      <c r="H161" t="s">
        <v>3334</v>
      </c>
      <c r="I161" t="s">
        <v>3625</v>
      </c>
      <c r="J161" t="s">
        <v>257</v>
      </c>
      <c r="K161" s="2">
        <v>59122</v>
      </c>
      <c r="L161" t="s">
        <v>6408</v>
      </c>
      <c r="M161" t="str" cm="1">
        <f t="array" ref="M161">INDEX('Org List'!$A$2:$C$1005,MATCH(Consolidated!I161&amp;Consolidated!J161,'Org List'!$A$2:$A$1005&amp;'Org List'!$B$2:$B$1005,0),3)</f>
        <v>NGOs: National</v>
      </c>
    </row>
    <row r="162" spans="1:13" x14ac:dyDescent="0.25">
      <c r="A162">
        <v>2022</v>
      </c>
      <c r="B162" t="s">
        <v>2311</v>
      </c>
      <c r="C162" t="s">
        <v>2312</v>
      </c>
      <c r="D162" t="s">
        <v>30</v>
      </c>
      <c r="E162" t="s">
        <v>175</v>
      </c>
      <c r="F162">
        <v>4500208738</v>
      </c>
      <c r="G162" t="s">
        <v>4632</v>
      </c>
      <c r="H162" t="s">
        <v>3334</v>
      </c>
      <c r="I162" t="s">
        <v>2974</v>
      </c>
      <c r="J162" t="s">
        <v>175</v>
      </c>
      <c r="K162" s="2">
        <v>201669</v>
      </c>
      <c r="L162" t="s">
        <v>6408</v>
      </c>
      <c r="M162" t="str" cm="1">
        <f t="array" ref="M162">INDEX('Org List'!$A$2:$C$1005,MATCH(Consolidated!I162&amp;Consolidated!J162,'Org List'!$A$2:$A$1005&amp;'Org List'!$B$2:$B$1005,0),3)</f>
        <v>NGOs: National</v>
      </c>
    </row>
    <row r="163" spans="1:13" x14ac:dyDescent="0.25">
      <c r="A163">
        <v>2022</v>
      </c>
      <c r="B163" t="s">
        <v>2311</v>
      </c>
      <c r="C163" t="s">
        <v>2312</v>
      </c>
      <c r="D163" t="s">
        <v>30</v>
      </c>
      <c r="E163" t="s">
        <v>175</v>
      </c>
      <c r="F163">
        <v>4500211568</v>
      </c>
      <c r="G163" t="s">
        <v>4633</v>
      </c>
      <c r="H163" t="s">
        <v>3334</v>
      </c>
      <c r="I163" t="s">
        <v>176</v>
      </c>
      <c r="J163" t="s">
        <v>175</v>
      </c>
      <c r="K163" s="2">
        <v>36063</v>
      </c>
      <c r="L163" t="s">
        <v>6408</v>
      </c>
      <c r="M163" t="str" cm="1">
        <f t="array" ref="M163">INDEX('Org List'!$A$2:$C$1005,MATCH(Consolidated!I163&amp;Consolidated!J163,'Org List'!$A$2:$A$1005&amp;'Org List'!$B$2:$B$1005,0),3)</f>
        <v>NGOs: National</v>
      </c>
    </row>
    <row r="164" spans="1:13" x14ac:dyDescent="0.25">
      <c r="A164">
        <v>2022</v>
      </c>
      <c r="B164" t="s">
        <v>2311</v>
      </c>
      <c r="C164" t="s">
        <v>2312</v>
      </c>
      <c r="D164" t="s">
        <v>30</v>
      </c>
      <c r="E164" t="s">
        <v>175</v>
      </c>
      <c r="F164">
        <v>4500214126</v>
      </c>
      <c r="G164" t="s">
        <v>4634</v>
      </c>
      <c r="H164" t="s">
        <v>3334</v>
      </c>
      <c r="I164" t="s">
        <v>232</v>
      </c>
      <c r="J164" t="s">
        <v>175</v>
      </c>
      <c r="K164" s="2">
        <v>326075</v>
      </c>
      <c r="L164" t="s">
        <v>6408</v>
      </c>
      <c r="M164" t="str" cm="1">
        <f t="array" ref="M164">INDEX('Org List'!$A$2:$C$1005,MATCH(Consolidated!I164&amp;Consolidated!J164,'Org List'!$A$2:$A$1005&amp;'Org List'!$B$2:$B$1005,0),3)</f>
        <v>NGOs: International</v>
      </c>
    </row>
    <row r="165" spans="1:13" x14ac:dyDescent="0.25">
      <c r="A165">
        <v>2022</v>
      </c>
      <c r="B165" t="s">
        <v>2311</v>
      </c>
      <c r="C165" t="s">
        <v>2312</v>
      </c>
      <c r="D165" t="s">
        <v>30</v>
      </c>
      <c r="E165" t="s">
        <v>175</v>
      </c>
      <c r="F165">
        <v>4500220083</v>
      </c>
      <c r="G165" t="s">
        <v>4635</v>
      </c>
      <c r="H165" t="s">
        <v>3334</v>
      </c>
      <c r="I165" t="s">
        <v>176</v>
      </c>
      <c r="J165" t="s">
        <v>175</v>
      </c>
      <c r="K165" s="2">
        <v>8806</v>
      </c>
      <c r="L165" t="s">
        <v>6408</v>
      </c>
      <c r="M165" t="str" cm="1">
        <f t="array" ref="M165">INDEX('Org List'!$A$2:$C$1005,MATCH(Consolidated!I165&amp;Consolidated!J165,'Org List'!$A$2:$A$1005&amp;'Org List'!$B$2:$B$1005,0),3)</f>
        <v>NGOs: National</v>
      </c>
    </row>
    <row r="166" spans="1:13" x14ac:dyDescent="0.25">
      <c r="A166">
        <v>2022</v>
      </c>
      <c r="B166" t="s">
        <v>2311</v>
      </c>
      <c r="C166" t="s">
        <v>2312</v>
      </c>
      <c r="D166" t="s">
        <v>30</v>
      </c>
      <c r="E166" t="s">
        <v>175</v>
      </c>
      <c r="F166">
        <v>4500225358</v>
      </c>
      <c r="G166" t="s">
        <v>4636</v>
      </c>
      <c r="H166" t="s">
        <v>3334</v>
      </c>
      <c r="I166" t="s">
        <v>233</v>
      </c>
      <c r="J166" t="s">
        <v>175</v>
      </c>
      <c r="K166" s="2">
        <v>59140</v>
      </c>
      <c r="L166" t="s">
        <v>6408</v>
      </c>
      <c r="M166" t="str" cm="1">
        <f t="array" ref="M166">INDEX('Org List'!$A$2:$C$1005,MATCH(Consolidated!I166&amp;Consolidated!J166,'Org List'!$A$2:$A$1005&amp;'Org List'!$B$2:$B$1005,0),3)</f>
        <v>NGOs: National</v>
      </c>
    </row>
    <row r="167" spans="1:13" x14ac:dyDescent="0.25">
      <c r="A167">
        <v>2022</v>
      </c>
      <c r="B167" t="s">
        <v>2311</v>
      </c>
      <c r="C167" t="s">
        <v>2312</v>
      </c>
      <c r="D167" t="s">
        <v>30</v>
      </c>
      <c r="E167" t="s">
        <v>175</v>
      </c>
      <c r="F167">
        <v>4500230721</v>
      </c>
      <c r="G167" t="s">
        <v>4637</v>
      </c>
      <c r="H167" t="s">
        <v>3334</v>
      </c>
      <c r="I167" t="s">
        <v>176</v>
      </c>
      <c r="J167" t="s">
        <v>175</v>
      </c>
      <c r="K167" s="2">
        <v>762489</v>
      </c>
      <c r="L167" t="s">
        <v>6408</v>
      </c>
      <c r="M167" t="str" cm="1">
        <f t="array" ref="M167">INDEX('Org List'!$A$2:$C$1005,MATCH(Consolidated!I167&amp;Consolidated!J167,'Org List'!$A$2:$A$1005&amp;'Org List'!$B$2:$B$1005,0),3)</f>
        <v>NGOs: National</v>
      </c>
    </row>
    <row r="168" spans="1:13" x14ac:dyDescent="0.25">
      <c r="A168">
        <v>2022</v>
      </c>
      <c r="B168" t="s">
        <v>2311</v>
      </c>
      <c r="C168" t="s">
        <v>2312</v>
      </c>
      <c r="D168" t="s">
        <v>30</v>
      </c>
      <c r="E168" t="s">
        <v>175</v>
      </c>
      <c r="F168">
        <v>4500259077</v>
      </c>
      <c r="G168" t="s">
        <v>4638</v>
      </c>
      <c r="H168" t="s">
        <v>3334</v>
      </c>
      <c r="I168" t="s">
        <v>390</v>
      </c>
      <c r="J168" t="s">
        <v>175</v>
      </c>
      <c r="K168" s="2">
        <v>306552</v>
      </c>
      <c r="L168" t="s">
        <v>6408</v>
      </c>
      <c r="M168" t="str" cm="1">
        <f t="array" ref="M168">INDEX('Org List'!$A$2:$C$1005,MATCH(Consolidated!I168&amp;Consolidated!J168,'Org List'!$A$2:$A$1005&amp;'Org List'!$B$2:$B$1005,0),3)</f>
        <v>NGOs: Local</v>
      </c>
    </row>
    <row r="169" spans="1:13" x14ac:dyDescent="0.25">
      <c r="A169">
        <v>2022</v>
      </c>
      <c r="B169" t="s">
        <v>2311</v>
      </c>
      <c r="C169" t="s">
        <v>2312</v>
      </c>
      <c r="D169" t="s">
        <v>30</v>
      </c>
      <c r="E169" t="s">
        <v>175</v>
      </c>
      <c r="F169">
        <v>4500259092</v>
      </c>
      <c r="G169" t="s">
        <v>4639</v>
      </c>
      <c r="H169" t="s">
        <v>3334</v>
      </c>
      <c r="I169" t="s">
        <v>2974</v>
      </c>
      <c r="J169" t="s">
        <v>175</v>
      </c>
      <c r="K169" s="2">
        <v>168266</v>
      </c>
      <c r="L169" t="s">
        <v>6408</v>
      </c>
      <c r="M169" t="str" cm="1">
        <f t="array" ref="M169">INDEX('Org List'!$A$2:$C$1005,MATCH(Consolidated!I169&amp;Consolidated!J169,'Org List'!$A$2:$A$1005&amp;'Org List'!$B$2:$B$1005,0),3)</f>
        <v>NGOs: National</v>
      </c>
    </row>
    <row r="170" spans="1:13" x14ac:dyDescent="0.25">
      <c r="A170">
        <v>2022</v>
      </c>
      <c r="B170" t="s">
        <v>2311</v>
      </c>
      <c r="C170" t="s">
        <v>2312</v>
      </c>
      <c r="D170" t="s">
        <v>30</v>
      </c>
      <c r="E170" t="s">
        <v>175</v>
      </c>
      <c r="F170">
        <v>4500262590</v>
      </c>
      <c r="G170" t="s">
        <v>4640</v>
      </c>
      <c r="H170" t="s">
        <v>3334</v>
      </c>
      <c r="I170" t="s">
        <v>187</v>
      </c>
      <c r="J170" t="s">
        <v>175</v>
      </c>
      <c r="K170" s="2">
        <v>248582</v>
      </c>
      <c r="L170" t="s">
        <v>6408</v>
      </c>
      <c r="M170" t="str" cm="1">
        <f t="array" ref="M170">INDEX('Org List'!$A$2:$C$1005,MATCH(Consolidated!I170&amp;Consolidated!J170,'Org List'!$A$2:$A$1005&amp;'Org List'!$B$2:$B$1005,0),3)</f>
        <v>NGOs: National</v>
      </c>
    </row>
    <row r="171" spans="1:13" x14ac:dyDescent="0.25">
      <c r="A171">
        <v>2022</v>
      </c>
      <c r="B171" t="s">
        <v>2311</v>
      </c>
      <c r="C171" t="s">
        <v>2312</v>
      </c>
      <c r="D171" t="s">
        <v>30</v>
      </c>
      <c r="E171" t="s">
        <v>175</v>
      </c>
      <c r="F171">
        <v>4500262601</v>
      </c>
      <c r="G171" t="s">
        <v>4641</v>
      </c>
      <c r="H171" t="s">
        <v>3334</v>
      </c>
      <c r="I171" t="s">
        <v>232</v>
      </c>
      <c r="J171" t="s">
        <v>175</v>
      </c>
      <c r="K171" s="2">
        <v>268577</v>
      </c>
      <c r="L171" t="s">
        <v>6408</v>
      </c>
      <c r="M171" t="str" cm="1">
        <f t="array" ref="M171">INDEX('Org List'!$A$2:$C$1005,MATCH(Consolidated!I171&amp;Consolidated!J171,'Org List'!$A$2:$A$1005&amp;'Org List'!$B$2:$B$1005,0),3)</f>
        <v>NGOs: International</v>
      </c>
    </row>
    <row r="172" spans="1:13" x14ac:dyDescent="0.25">
      <c r="A172">
        <v>2022</v>
      </c>
      <c r="B172" t="s">
        <v>4642</v>
      </c>
      <c r="C172" t="s">
        <v>4643</v>
      </c>
      <c r="D172" t="s">
        <v>30</v>
      </c>
      <c r="E172" t="s">
        <v>545</v>
      </c>
      <c r="F172">
        <v>4500269104</v>
      </c>
      <c r="G172" t="s">
        <v>4644</v>
      </c>
      <c r="H172" t="s">
        <v>3334</v>
      </c>
      <c r="I172" t="s">
        <v>2376</v>
      </c>
      <c r="J172" t="s">
        <v>545</v>
      </c>
      <c r="K172" s="2">
        <v>110001</v>
      </c>
      <c r="L172" t="s">
        <v>6408</v>
      </c>
      <c r="M172" t="str" cm="1">
        <f t="array" ref="M172">INDEX('Org List'!$A$2:$C$1005,MATCH(Consolidated!I172&amp;Consolidated!J172,'Org List'!$A$2:$A$1005&amp;'Org List'!$B$2:$B$1005,0),3)</f>
        <v>NGOs: International</v>
      </c>
    </row>
    <row r="173" spans="1:13" x14ac:dyDescent="0.25">
      <c r="A173">
        <v>2022</v>
      </c>
      <c r="B173" t="s">
        <v>4642</v>
      </c>
      <c r="C173" t="s">
        <v>4643</v>
      </c>
      <c r="D173" t="s">
        <v>30</v>
      </c>
      <c r="E173" t="s">
        <v>123</v>
      </c>
      <c r="F173">
        <v>4500268392</v>
      </c>
      <c r="G173" t="s">
        <v>4645</v>
      </c>
      <c r="H173" t="s">
        <v>3334</v>
      </c>
      <c r="I173" t="s">
        <v>2121</v>
      </c>
      <c r="J173" t="s">
        <v>402</v>
      </c>
      <c r="K173" s="2">
        <v>110020</v>
      </c>
      <c r="L173" t="s">
        <v>6408</v>
      </c>
      <c r="M173" t="str" cm="1">
        <f t="array" ref="M173">INDEX('Org List'!$A$2:$C$1005,MATCH(Consolidated!I173&amp;Consolidated!J173,'Org List'!$A$2:$A$1005&amp;'Org List'!$B$2:$B$1005,0),3)</f>
        <v>NGOs: International</v>
      </c>
    </row>
    <row r="174" spans="1:13" x14ac:dyDescent="0.25">
      <c r="A174">
        <v>2022</v>
      </c>
      <c r="B174" t="s">
        <v>2856</v>
      </c>
      <c r="C174" t="s">
        <v>3417</v>
      </c>
      <c r="D174" t="s">
        <v>30</v>
      </c>
      <c r="E174" t="s">
        <v>717</v>
      </c>
      <c r="F174">
        <v>4500204841</v>
      </c>
      <c r="G174" t="s">
        <v>4646</v>
      </c>
      <c r="H174" t="s">
        <v>3334</v>
      </c>
      <c r="I174" t="s">
        <v>3900</v>
      </c>
      <c r="J174" t="s">
        <v>717</v>
      </c>
      <c r="K174" s="2">
        <v>80000</v>
      </c>
      <c r="L174" t="s">
        <v>6408</v>
      </c>
      <c r="M174" t="str" cm="1">
        <f t="array" ref="M174">INDEX('Org List'!$A$2:$C$1005,MATCH(Consolidated!I174&amp;Consolidated!J174,'Org List'!$A$2:$A$1005&amp;'Org List'!$B$2:$B$1005,0),3)</f>
        <v>NGOs: International</v>
      </c>
    </row>
    <row r="175" spans="1:13" x14ac:dyDescent="0.25">
      <c r="A175">
        <v>2022</v>
      </c>
      <c r="B175" t="s">
        <v>2856</v>
      </c>
      <c r="C175" t="s">
        <v>3417</v>
      </c>
      <c r="D175" t="s">
        <v>30</v>
      </c>
      <c r="E175" t="s">
        <v>717</v>
      </c>
      <c r="F175">
        <v>4500204845</v>
      </c>
      <c r="G175" t="s">
        <v>4647</v>
      </c>
      <c r="H175" t="s">
        <v>3334</v>
      </c>
      <c r="I175" t="s">
        <v>2868</v>
      </c>
      <c r="J175" t="s">
        <v>717</v>
      </c>
      <c r="K175" s="2">
        <v>80703</v>
      </c>
      <c r="L175" t="s">
        <v>6408</v>
      </c>
      <c r="M175" t="str" cm="1">
        <f t="array" ref="M175">INDEX('Org List'!$A$2:$C$1005,MATCH(Consolidated!I175&amp;Consolidated!J175,'Org List'!$A$2:$A$1005&amp;'Org List'!$B$2:$B$1005,0),3)</f>
        <v>NGOs: International</v>
      </c>
    </row>
    <row r="176" spans="1:13" x14ac:dyDescent="0.25">
      <c r="A176">
        <v>2022</v>
      </c>
      <c r="B176" t="s">
        <v>2856</v>
      </c>
      <c r="C176" t="s">
        <v>3417</v>
      </c>
      <c r="D176" t="s">
        <v>30</v>
      </c>
      <c r="E176" t="s">
        <v>717</v>
      </c>
      <c r="F176">
        <v>4500207720</v>
      </c>
      <c r="G176" t="s">
        <v>4648</v>
      </c>
      <c r="H176" t="s">
        <v>3334</v>
      </c>
      <c r="I176" t="s">
        <v>720</v>
      </c>
      <c r="J176" t="s">
        <v>717</v>
      </c>
      <c r="K176" s="2">
        <v>65398</v>
      </c>
      <c r="L176" t="s">
        <v>6408</v>
      </c>
      <c r="M176" t="str" cm="1">
        <f t="array" ref="M176">INDEX('Org List'!$A$2:$C$1005,MATCH(Consolidated!I176&amp;Consolidated!J176,'Org List'!$A$2:$A$1005&amp;'Org List'!$B$2:$B$1005,0),3)</f>
        <v>NGOs: National</v>
      </c>
    </row>
    <row r="177" spans="1:13" x14ac:dyDescent="0.25">
      <c r="A177">
        <v>2022</v>
      </c>
      <c r="B177" t="s">
        <v>2856</v>
      </c>
      <c r="C177" t="s">
        <v>3417</v>
      </c>
      <c r="D177" t="s">
        <v>30</v>
      </c>
      <c r="E177" t="s">
        <v>717</v>
      </c>
      <c r="F177">
        <v>4500211517</v>
      </c>
      <c r="G177" t="s">
        <v>4649</v>
      </c>
      <c r="H177" t="s">
        <v>3334</v>
      </c>
      <c r="I177" t="s">
        <v>720</v>
      </c>
      <c r="J177" t="s">
        <v>717</v>
      </c>
      <c r="K177" s="2">
        <v>266542</v>
      </c>
      <c r="L177" t="s">
        <v>6408</v>
      </c>
      <c r="M177" t="str" cm="1">
        <f t="array" ref="M177">INDEX('Org List'!$A$2:$C$1005,MATCH(Consolidated!I177&amp;Consolidated!J177,'Org List'!$A$2:$A$1005&amp;'Org List'!$B$2:$B$1005,0),3)</f>
        <v>NGOs: National</v>
      </c>
    </row>
    <row r="178" spans="1:13" x14ac:dyDescent="0.25">
      <c r="A178">
        <v>2022</v>
      </c>
      <c r="B178" t="s">
        <v>2856</v>
      </c>
      <c r="C178" t="s">
        <v>3417</v>
      </c>
      <c r="D178" t="s">
        <v>30</v>
      </c>
      <c r="E178" t="s">
        <v>717</v>
      </c>
      <c r="F178">
        <v>4500218741</v>
      </c>
      <c r="G178" t="s">
        <v>4650</v>
      </c>
      <c r="H178" t="s">
        <v>3334</v>
      </c>
      <c r="I178" t="s">
        <v>4651</v>
      </c>
      <c r="J178" t="s">
        <v>717</v>
      </c>
      <c r="K178" s="2">
        <v>106118</v>
      </c>
      <c r="L178" t="s">
        <v>6408</v>
      </c>
      <c r="M178" t="str" cm="1">
        <f t="array" ref="M178">INDEX('Org List'!$A$2:$C$1005,MATCH(Consolidated!I178&amp;Consolidated!J178,'Org List'!$A$2:$A$1005&amp;'Org List'!$B$2:$B$1005,0),3)</f>
        <v>NGOs: National</v>
      </c>
    </row>
    <row r="179" spans="1:13" x14ac:dyDescent="0.25">
      <c r="A179">
        <v>2022</v>
      </c>
      <c r="B179" t="s">
        <v>2856</v>
      </c>
      <c r="C179" t="s">
        <v>3417</v>
      </c>
      <c r="D179" t="s">
        <v>30</v>
      </c>
      <c r="E179" t="s">
        <v>717</v>
      </c>
      <c r="F179">
        <v>4500224044</v>
      </c>
      <c r="G179" t="s">
        <v>4652</v>
      </c>
      <c r="H179" t="s">
        <v>3334</v>
      </c>
      <c r="I179" t="s">
        <v>728</v>
      </c>
      <c r="J179" t="s">
        <v>717</v>
      </c>
      <c r="K179" s="2">
        <v>108940</v>
      </c>
      <c r="L179" t="s">
        <v>6408</v>
      </c>
      <c r="M179" t="str" cm="1">
        <f t="array" ref="M179">INDEX('Org List'!$A$2:$C$1005,MATCH(Consolidated!I179&amp;Consolidated!J179,'Org List'!$A$2:$A$1005&amp;'Org List'!$B$2:$B$1005,0),3)</f>
        <v>NGOs: National</v>
      </c>
    </row>
    <row r="180" spans="1:13" x14ac:dyDescent="0.25">
      <c r="A180">
        <v>2022</v>
      </c>
      <c r="B180" t="s">
        <v>2856</v>
      </c>
      <c r="C180" t="s">
        <v>3417</v>
      </c>
      <c r="D180" t="s">
        <v>30</v>
      </c>
      <c r="E180" t="s">
        <v>717</v>
      </c>
      <c r="F180">
        <v>4500241360</v>
      </c>
      <c r="G180" t="s">
        <v>4653</v>
      </c>
      <c r="H180" t="s">
        <v>3334</v>
      </c>
      <c r="I180" t="s">
        <v>725</v>
      </c>
      <c r="J180" t="s">
        <v>717</v>
      </c>
      <c r="K180" s="2">
        <v>98040</v>
      </c>
      <c r="L180" t="s">
        <v>6408</v>
      </c>
      <c r="M180" t="str" cm="1">
        <f t="array" ref="M180">INDEX('Org List'!$A$2:$C$1005,MATCH(Consolidated!I180&amp;Consolidated!J180,'Org List'!$A$2:$A$1005&amp;'Org List'!$B$2:$B$1005,0),3)</f>
        <v>NGOs: National</v>
      </c>
    </row>
    <row r="181" spans="1:13" x14ac:dyDescent="0.25">
      <c r="A181">
        <v>2022</v>
      </c>
      <c r="B181" t="s">
        <v>2856</v>
      </c>
      <c r="C181" t="s">
        <v>3417</v>
      </c>
      <c r="D181" t="s">
        <v>30</v>
      </c>
      <c r="E181" t="s">
        <v>717</v>
      </c>
      <c r="F181">
        <v>4500241364</v>
      </c>
      <c r="G181" t="s">
        <v>4654</v>
      </c>
      <c r="H181" t="s">
        <v>3334</v>
      </c>
      <c r="I181" t="s">
        <v>1155</v>
      </c>
      <c r="J181" t="s">
        <v>717</v>
      </c>
      <c r="K181" s="2">
        <v>251985</v>
      </c>
      <c r="L181" t="s">
        <v>6408</v>
      </c>
      <c r="M181" t="str" cm="1">
        <f t="array" ref="M181">INDEX('Org List'!$A$2:$C$1005,MATCH(Consolidated!I181&amp;Consolidated!J181,'Org List'!$A$2:$A$1005&amp;'Org List'!$B$2:$B$1005,0),3)</f>
        <v>NGOs: National</v>
      </c>
    </row>
    <row r="182" spans="1:13" x14ac:dyDescent="0.25">
      <c r="A182">
        <v>2022</v>
      </c>
      <c r="B182" t="s">
        <v>2856</v>
      </c>
      <c r="C182" t="s">
        <v>3417</v>
      </c>
      <c r="D182" t="s">
        <v>30</v>
      </c>
      <c r="E182" t="s">
        <v>717</v>
      </c>
      <c r="F182">
        <v>4500248954</v>
      </c>
      <c r="G182" t="s">
        <v>4655</v>
      </c>
      <c r="H182" t="s">
        <v>3334</v>
      </c>
      <c r="I182" t="s">
        <v>728</v>
      </c>
      <c r="J182" t="s">
        <v>717</v>
      </c>
      <c r="K182" s="2">
        <v>64948</v>
      </c>
      <c r="L182" t="s">
        <v>6408</v>
      </c>
      <c r="M182" t="str" cm="1">
        <f t="array" ref="M182">INDEX('Org List'!$A$2:$C$1005,MATCH(Consolidated!I182&amp;Consolidated!J182,'Org List'!$A$2:$A$1005&amp;'Org List'!$B$2:$B$1005,0),3)</f>
        <v>NGOs: National</v>
      </c>
    </row>
    <row r="183" spans="1:13" x14ac:dyDescent="0.25">
      <c r="A183">
        <v>2022</v>
      </c>
      <c r="B183" t="s">
        <v>2856</v>
      </c>
      <c r="C183" t="s">
        <v>3417</v>
      </c>
      <c r="D183" t="s">
        <v>30</v>
      </c>
      <c r="E183" t="s">
        <v>717</v>
      </c>
      <c r="F183">
        <v>4500276607</v>
      </c>
      <c r="G183" t="s">
        <v>4656</v>
      </c>
      <c r="H183" t="s">
        <v>3334</v>
      </c>
      <c r="I183" t="s">
        <v>728</v>
      </c>
      <c r="J183" t="s">
        <v>717</v>
      </c>
      <c r="K183" s="2">
        <v>136850</v>
      </c>
      <c r="L183" t="s">
        <v>6408</v>
      </c>
      <c r="M183" t="str" cm="1">
        <f t="array" ref="M183">INDEX('Org List'!$A$2:$C$1005,MATCH(Consolidated!I183&amp;Consolidated!J183,'Org List'!$A$2:$A$1005&amp;'Org List'!$B$2:$B$1005,0),3)</f>
        <v>NGOs: National</v>
      </c>
    </row>
    <row r="184" spans="1:13" x14ac:dyDescent="0.25">
      <c r="A184">
        <v>2022</v>
      </c>
      <c r="B184" t="s">
        <v>2859</v>
      </c>
      <c r="C184" t="s">
        <v>3426</v>
      </c>
      <c r="D184" t="s">
        <v>30</v>
      </c>
      <c r="E184" t="s">
        <v>175</v>
      </c>
      <c r="F184">
        <v>4500208734</v>
      </c>
      <c r="G184" t="s">
        <v>4657</v>
      </c>
      <c r="H184" t="s">
        <v>3334</v>
      </c>
      <c r="I184" t="s">
        <v>4658</v>
      </c>
      <c r="J184" t="s">
        <v>175</v>
      </c>
      <c r="K184" s="2">
        <v>8765</v>
      </c>
      <c r="L184" t="s">
        <v>6408</v>
      </c>
      <c r="M184" t="str" cm="1">
        <f t="array" ref="M184">INDEX('Org List'!$A$2:$C$1005,MATCH(Consolidated!I184&amp;Consolidated!J184,'Org List'!$A$2:$A$1005&amp;'Org List'!$B$2:$B$1005,0),3)</f>
        <v>Unknown</v>
      </c>
    </row>
    <row r="185" spans="1:13" x14ac:dyDescent="0.25">
      <c r="A185">
        <v>2022</v>
      </c>
      <c r="B185" t="s">
        <v>2859</v>
      </c>
      <c r="C185" t="s">
        <v>3426</v>
      </c>
      <c r="D185" t="s">
        <v>30</v>
      </c>
      <c r="E185" t="s">
        <v>175</v>
      </c>
      <c r="F185">
        <v>4500219360</v>
      </c>
      <c r="G185" t="s">
        <v>4659</v>
      </c>
      <c r="H185" t="s">
        <v>3334</v>
      </c>
      <c r="I185" t="s">
        <v>395</v>
      </c>
      <c r="J185" t="s">
        <v>175</v>
      </c>
      <c r="K185" s="2">
        <v>126559</v>
      </c>
      <c r="L185" t="s">
        <v>6408</v>
      </c>
      <c r="M185" t="str" cm="1">
        <f t="array" ref="M185">INDEX('Org List'!$A$2:$C$1005,MATCH(Consolidated!I185&amp;Consolidated!J185,'Org List'!$A$2:$A$1005&amp;'Org List'!$B$2:$B$1005,0),3)</f>
        <v>NGOs: National</v>
      </c>
    </row>
    <row r="186" spans="1:13" x14ac:dyDescent="0.25">
      <c r="A186">
        <v>2022</v>
      </c>
      <c r="B186" t="s">
        <v>2859</v>
      </c>
      <c r="C186" t="s">
        <v>3426</v>
      </c>
      <c r="D186" t="s">
        <v>30</v>
      </c>
      <c r="E186" t="s">
        <v>175</v>
      </c>
      <c r="F186">
        <v>4500223973</v>
      </c>
      <c r="G186" t="s">
        <v>4660</v>
      </c>
      <c r="H186" t="s">
        <v>3334</v>
      </c>
      <c r="I186" t="s">
        <v>187</v>
      </c>
      <c r="J186" t="s">
        <v>175</v>
      </c>
      <c r="K186" s="2">
        <v>817968</v>
      </c>
      <c r="L186" t="s">
        <v>6408</v>
      </c>
      <c r="M186" t="str" cm="1">
        <f t="array" ref="M186">INDEX('Org List'!$A$2:$C$1005,MATCH(Consolidated!I186&amp;Consolidated!J186,'Org List'!$A$2:$A$1005&amp;'Org List'!$B$2:$B$1005,0),3)</f>
        <v>NGOs: National</v>
      </c>
    </row>
    <row r="187" spans="1:13" x14ac:dyDescent="0.25">
      <c r="A187">
        <v>2022</v>
      </c>
      <c r="B187" t="s">
        <v>2859</v>
      </c>
      <c r="C187" t="s">
        <v>3426</v>
      </c>
      <c r="D187" t="s">
        <v>30</v>
      </c>
      <c r="E187" t="s">
        <v>175</v>
      </c>
      <c r="F187">
        <v>4500234563</v>
      </c>
      <c r="G187" t="s">
        <v>4661</v>
      </c>
      <c r="H187" t="s">
        <v>3334</v>
      </c>
      <c r="I187" t="s">
        <v>233</v>
      </c>
      <c r="J187" t="s">
        <v>175</v>
      </c>
      <c r="K187" s="2">
        <v>1331222</v>
      </c>
      <c r="L187" t="s">
        <v>6408</v>
      </c>
      <c r="M187" t="str" cm="1">
        <f t="array" ref="M187">INDEX('Org List'!$A$2:$C$1005,MATCH(Consolidated!I187&amp;Consolidated!J187,'Org List'!$A$2:$A$1005&amp;'Org List'!$B$2:$B$1005,0),3)</f>
        <v>NGOs: National</v>
      </c>
    </row>
    <row r="188" spans="1:13" x14ac:dyDescent="0.25">
      <c r="A188">
        <v>2022</v>
      </c>
      <c r="B188" t="s">
        <v>2861</v>
      </c>
      <c r="C188" t="s">
        <v>1285</v>
      </c>
      <c r="D188" t="s">
        <v>30</v>
      </c>
      <c r="E188" t="s">
        <v>132</v>
      </c>
      <c r="F188">
        <v>4500229981</v>
      </c>
      <c r="G188" t="s">
        <v>4662</v>
      </c>
      <c r="H188" t="s">
        <v>3334</v>
      </c>
      <c r="I188" t="s">
        <v>4663</v>
      </c>
      <c r="J188" t="s">
        <v>751</v>
      </c>
      <c r="K188" s="2">
        <v>410959</v>
      </c>
      <c r="L188" t="s">
        <v>6408</v>
      </c>
      <c r="M188" t="str" cm="1">
        <f t="array" ref="M188">INDEX('Org List'!$A$2:$C$1005,MATCH(Consolidated!I188&amp;Consolidated!J188,'Org List'!$A$2:$A$1005&amp;'Org List'!$B$2:$B$1005,0),3)</f>
        <v>NGOs: International</v>
      </c>
    </row>
    <row r="189" spans="1:13" x14ac:dyDescent="0.25">
      <c r="A189">
        <v>2022</v>
      </c>
      <c r="B189" t="s">
        <v>4664</v>
      </c>
      <c r="C189" t="s">
        <v>4665</v>
      </c>
      <c r="D189" t="s">
        <v>30</v>
      </c>
      <c r="E189" t="s">
        <v>518</v>
      </c>
      <c r="F189">
        <v>4500225868</v>
      </c>
      <c r="G189" t="s">
        <v>4666</v>
      </c>
      <c r="H189" t="s">
        <v>3334</v>
      </c>
      <c r="I189" t="s">
        <v>4039</v>
      </c>
      <c r="J189" t="s">
        <v>518</v>
      </c>
      <c r="K189" s="2">
        <v>328957</v>
      </c>
      <c r="L189" t="s">
        <v>6408</v>
      </c>
      <c r="M189" t="str" cm="1">
        <f t="array" ref="M189">INDEX('Org List'!$A$2:$C$1005,MATCH(Consolidated!I189&amp;Consolidated!J189,'Org List'!$A$2:$A$1005&amp;'Org List'!$B$2:$B$1005,0),3)</f>
        <v>NGOs: International</v>
      </c>
    </row>
    <row r="190" spans="1:13" x14ac:dyDescent="0.25">
      <c r="A190">
        <v>2022</v>
      </c>
      <c r="B190" t="s">
        <v>4667</v>
      </c>
      <c r="C190" t="s">
        <v>4668</v>
      </c>
      <c r="D190" t="s">
        <v>30</v>
      </c>
      <c r="E190" t="s">
        <v>175</v>
      </c>
      <c r="F190">
        <v>4500182660</v>
      </c>
      <c r="G190" t="s">
        <v>4669</v>
      </c>
      <c r="H190" t="s">
        <v>3334</v>
      </c>
      <c r="I190" t="s">
        <v>176</v>
      </c>
      <c r="J190" t="s">
        <v>175</v>
      </c>
      <c r="K190" s="2">
        <v>166945</v>
      </c>
      <c r="L190" t="s">
        <v>6408</v>
      </c>
      <c r="M190" t="str" cm="1">
        <f t="array" ref="M190">INDEX('Org List'!$A$2:$C$1005,MATCH(Consolidated!I190&amp;Consolidated!J190,'Org List'!$A$2:$A$1005&amp;'Org List'!$B$2:$B$1005,0),3)</f>
        <v>NGOs: National</v>
      </c>
    </row>
    <row r="191" spans="1:13" x14ac:dyDescent="0.25">
      <c r="A191">
        <v>2022</v>
      </c>
      <c r="B191" t="s">
        <v>4667</v>
      </c>
      <c r="C191" t="s">
        <v>4668</v>
      </c>
      <c r="D191" t="s">
        <v>30</v>
      </c>
      <c r="E191" t="s">
        <v>175</v>
      </c>
      <c r="F191">
        <v>4500182745</v>
      </c>
      <c r="G191" t="s">
        <v>4670</v>
      </c>
      <c r="H191" t="s">
        <v>3334</v>
      </c>
      <c r="I191" t="s">
        <v>183</v>
      </c>
      <c r="J191" t="s">
        <v>184</v>
      </c>
      <c r="K191" s="2">
        <v>180000</v>
      </c>
      <c r="L191" t="s">
        <v>6408</v>
      </c>
      <c r="M191" t="str" cm="1">
        <f t="array" ref="M191">INDEX('Org List'!$A$2:$C$1005,MATCH(Consolidated!I191&amp;Consolidated!J191,'Org List'!$A$2:$A$1005&amp;'Org List'!$B$2:$B$1005,0),3)</f>
        <v>NGOs: International</v>
      </c>
    </row>
    <row r="192" spans="1:13" x14ac:dyDescent="0.25">
      <c r="A192">
        <v>2022</v>
      </c>
      <c r="B192" t="s">
        <v>4667</v>
      </c>
      <c r="C192" t="s">
        <v>4668</v>
      </c>
      <c r="D192" t="s">
        <v>30</v>
      </c>
      <c r="E192" t="s">
        <v>175</v>
      </c>
      <c r="F192">
        <v>4500182983</v>
      </c>
      <c r="G192" t="s">
        <v>4671</v>
      </c>
      <c r="H192" t="s">
        <v>3334</v>
      </c>
      <c r="I192" t="s">
        <v>2974</v>
      </c>
      <c r="J192" t="s">
        <v>175</v>
      </c>
      <c r="K192" s="2">
        <v>258977</v>
      </c>
      <c r="L192" t="s">
        <v>6408</v>
      </c>
      <c r="M192" t="str" cm="1">
        <f t="array" ref="M192">INDEX('Org List'!$A$2:$C$1005,MATCH(Consolidated!I192&amp;Consolidated!J192,'Org List'!$A$2:$A$1005&amp;'Org List'!$B$2:$B$1005,0),3)</f>
        <v>NGOs: National</v>
      </c>
    </row>
    <row r="193" spans="1:13" x14ac:dyDescent="0.25">
      <c r="A193">
        <v>2022</v>
      </c>
      <c r="B193" t="s">
        <v>4667</v>
      </c>
      <c r="C193" t="s">
        <v>4668</v>
      </c>
      <c r="D193" t="s">
        <v>30</v>
      </c>
      <c r="E193" t="s">
        <v>175</v>
      </c>
      <c r="F193">
        <v>4500182993</v>
      </c>
      <c r="G193" t="s">
        <v>4672</v>
      </c>
      <c r="H193" t="s">
        <v>3334</v>
      </c>
      <c r="I193" t="s">
        <v>4673</v>
      </c>
      <c r="J193" t="s">
        <v>175</v>
      </c>
      <c r="K193" s="2">
        <v>403000</v>
      </c>
      <c r="L193" t="s">
        <v>6408</v>
      </c>
      <c r="M193" t="str" cm="1">
        <f t="array" ref="M193">INDEX('Org List'!$A$2:$C$1005,MATCH(Consolidated!I193&amp;Consolidated!J193,'Org List'!$A$2:$A$1005&amp;'Org List'!$B$2:$B$1005,0),3)</f>
        <v>NGOs: International</v>
      </c>
    </row>
    <row r="194" spans="1:13" x14ac:dyDescent="0.25">
      <c r="A194">
        <v>2022</v>
      </c>
      <c r="B194" t="s">
        <v>4667</v>
      </c>
      <c r="C194" t="s">
        <v>4668</v>
      </c>
      <c r="D194" t="s">
        <v>30</v>
      </c>
      <c r="E194" t="s">
        <v>175</v>
      </c>
      <c r="F194">
        <v>4500183020</v>
      </c>
      <c r="G194" t="s">
        <v>4674</v>
      </c>
      <c r="H194" t="s">
        <v>3334</v>
      </c>
      <c r="I194" t="s">
        <v>183</v>
      </c>
      <c r="J194" t="s">
        <v>184</v>
      </c>
      <c r="K194" s="2">
        <v>473000</v>
      </c>
      <c r="L194" t="s">
        <v>6408</v>
      </c>
      <c r="M194" t="str" cm="1">
        <f t="array" ref="M194">INDEX('Org List'!$A$2:$C$1005,MATCH(Consolidated!I194&amp;Consolidated!J194,'Org List'!$A$2:$A$1005&amp;'Org List'!$B$2:$B$1005,0),3)</f>
        <v>NGOs: International</v>
      </c>
    </row>
    <row r="195" spans="1:13" x14ac:dyDescent="0.25">
      <c r="A195">
        <v>2022</v>
      </c>
      <c r="B195" t="s">
        <v>4667</v>
      </c>
      <c r="C195" t="s">
        <v>4668</v>
      </c>
      <c r="D195" t="s">
        <v>30</v>
      </c>
      <c r="E195" t="s">
        <v>175</v>
      </c>
      <c r="F195">
        <v>4500185564</v>
      </c>
      <c r="G195" t="s">
        <v>4675</v>
      </c>
      <c r="H195" t="s">
        <v>3334</v>
      </c>
      <c r="I195" t="s">
        <v>1832</v>
      </c>
      <c r="J195" t="s">
        <v>175</v>
      </c>
      <c r="K195" s="2">
        <v>103500</v>
      </c>
      <c r="L195" t="s">
        <v>6408</v>
      </c>
      <c r="M195" t="str" cm="1">
        <f t="array" ref="M195">INDEX('Org List'!$A$2:$C$1005,MATCH(Consolidated!I195&amp;Consolidated!J195,'Org List'!$A$2:$A$1005&amp;'Org List'!$B$2:$B$1005,0),3)</f>
        <v>NGOs: National</v>
      </c>
    </row>
    <row r="196" spans="1:13" x14ac:dyDescent="0.25">
      <c r="A196">
        <v>2022</v>
      </c>
      <c r="B196" t="s">
        <v>4667</v>
      </c>
      <c r="C196" t="s">
        <v>4668</v>
      </c>
      <c r="D196" t="s">
        <v>30</v>
      </c>
      <c r="E196" t="s">
        <v>175</v>
      </c>
      <c r="F196">
        <v>4500185570</v>
      </c>
      <c r="G196" t="s">
        <v>4676</v>
      </c>
      <c r="H196" t="s">
        <v>3334</v>
      </c>
      <c r="I196" t="s">
        <v>4677</v>
      </c>
      <c r="J196" t="s">
        <v>175</v>
      </c>
      <c r="K196" s="2">
        <v>129935</v>
      </c>
      <c r="L196" t="s">
        <v>6408</v>
      </c>
      <c r="M196" t="str" cm="1">
        <f t="array" ref="M196">INDEX('Org List'!$A$2:$C$1005,MATCH(Consolidated!I196&amp;Consolidated!J196,'Org List'!$A$2:$A$1005&amp;'Org List'!$B$2:$B$1005,0),3)</f>
        <v>NGOs: International</v>
      </c>
    </row>
    <row r="197" spans="1:13" x14ac:dyDescent="0.25">
      <c r="A197">
        <v>2022</v>
      </c>
      <c r="B197" t="s">
        <v>4667</v>
      </c>
      <c r="C197" t="s">
        <v>4668</v>
      </c>
      <c r="D197" t="s">
        <v>30</v>
      </c>
      <c r="E197" t="s">
        <v>175</v>
      </c>
      <c r="F197">
        <v>4500192374</v>
      </c>
      <c r="G197" t="s">
        <v>4678</v>
      </c>
      <c r="H197" t="s">
        <v>3334</v>
      </c>
      <c r="I197" t="s">
        <v>3416</v>
      </c>
      <c r="J197" t="s">
        <v>175</v>
      </c>
      <c r="K197" s="2">
        <v>60753</v>
      </c>
      <c r="L197" t="s">
        <v>6408</v>
      </c>
      <c r="M197" t="str" cm="1">
        <f t="array" ref="M197">INDEX('Org List'!$A$2:$C$1005,MATCH(Consolidated!I197&amp;Consolidated!J197,'Org List'!$A$2:$A$1005&amp;'Org List'!$B$2:$B$1005,0),3)</f>
        <v>NGOs: International</v>
      </c>
    </row>
    <row r="198" spans="1:13" x14ac:dyDescent="0.25">
      <c r="A198">
        <v>2022</v>
      </c>
      <c r="B198" t="s">
        <v>4679</v>
      </c>
      <c r="C198" t="s">
        <v>189</v>
      </c>
      <c r="D198" t="s">
        <v>30</v>
      </c>
      <c r="E198" t="s">
        <v>175</v>
      </c>
      <c r="F198">
        <v>4500183011</v>
      </c>
      <c r="G198" t="s">
        <v>4680</v>
      </c>
      <c r="H198" t="s">
        <v>3334</v>
      </c>
      <c r="I198" t="s">
        <v>186</v>
      </c>
      <c r="J198" t="s">
        <v>175</v>
      </c>
      <c r="K198" s="2">
        <v>159000</v>
      </c>
      <c r="L198" t="s">
        <v>6408</v>
      </c>
      <c r="M198" t="str" cm="1">
        <f t="array" ref="M198">INDEX('Org List'!$A$2:$C$1005,MATCH(Consolidated!I198&amp;Consolidated!J198,'Org List'!$A$2:$A$1005&amp;'Org List'!$B$2:$B$1005,0),3)</f>
        <v>NGOs: National</v>
      </c>
    </row>
    <row r="199" spans="1:13" x14ac:dyDescent="0.25">
      <c r="A199">
        <v>2022</v>
      </c>
      <c r="B199" t="s">
        <v>4679</v>
      </c>
      <c r="C199" t="s">
        <v>189</v>
      </c>
      <c r="D199" t="s">
        <v>30</v>
      </c>
      <c r="E199" t="s">
        <v>175</v>
      </c>
      <c r="F199">
        <v>4500193191</v>
      </c>
      <c r="G199" t="s">
        <v>4681</v>
      </c>
      <c r="H199" t="s">
        <v>3334</v>
      </c>
      <c r="I199" t="s">
        <v>887</v>
      </c>
      <c r="J199" t="s">
        <v>175</v>
      </c>
      <c r="K199" s="2">
        <v>272592</v>
      </c>
      <c r="L199" t="s">
        <v>6408</v>
      </c>
      <c r="M199" t="str" cm="1">
        <f t="array" ref="M199">INDEX('Org List'!$A$2:$C$1005,MATCH(Consolidated!I199&amp;Consolidated!J199,'Org List'!$A$2:$A$1005&amp;'Org List'!$B$2:$B$1005,0),3)</f>
        <v>NGOs: International</v>
      </c>
    </row>
    <row r="200" spans="1:13" x14ac:dyDescent="0.25">
      <c r="A200">
        <v>2022</v>
      </c>
      <c r="B200" t="s">
        <v>4682</v>
      </c>
      <c r="C200" t="s">
        <v>4683</v>
      </c>
      <c r="D200" t="s">
        <v>30</v>
      </c>
      <c r="E200" t="s">
        <v>890</v>
      </c>
      <c r="F200">
        <v>4500194794</v>
      </c>
      <c r="G200" t="s">
        <v>4684</v>
      </c>
      <c r="H200" t="s">
        <v>3334</v>
      </c>
      <c r="I200" t="s">
        <v>4685</v>
      </c>
      <c r="J200" t="s">
        <v>4686</v>
      </c>
      <c r="K200" s="2">
        <v>42900</v>
      </c>
      <c r="L200" t="s">
        <v>6408</v>
      </c>
      <c r="M200" t="str" cm="1">
        <f t="array" ref="M200">INDEX('Org List'!$A$2:$C$1005,MATCH(Consolidated!I200&amp;Consolidated!J200,'Org List'!$A$2:$A$1005&amp;'Org List'!$B$2:$B$1005,0),3)</f>
        <v>NGOs: International</v>
      </c>
    </row>
    <row r="201" spans="1:13" x14ac:dyDescent="0.25">
      <c r="A201">
        <v>2022</v>
      </c>
      <c r="B201" t="s">
        <v>4682</v>
      </c>
      <c r="C201" t="s">
        <v>4683</v>
      </c>
      <c r="D201" t="s">
        <v>30</v>
      </c>
      <c r="E201" t="s">
        <v>890</v>
      </c>
      <c r="F201">
        <v>4500200033</v>
      </c>
      <c r="G201" t="s">
        <v>4687</v>
      </c>
      <c r="H201" t="s">
        <v>3334</v>
      </c>
      <c r="I201" t="s">
        <v>1088</v>
      </c>
      <c r="J201" t="s">
        <v>4686</v>
      </c>
      <c r="K201" s="2">
        <v>118249</v>
      </c>
      <c r="L201" t="s">
        <v>6408</v>
      </c>
      <c r="M201" t="str" cm="1">
        <f t="array" ref="M201">INDEX('Org List'!$A$2:$C$1005,MATCH(Consolidated!I201&amp;Consolidated!J201,'Org List'!$A$2:$A$1005&amp;'Org List'!$B$2:$B$1005,0),3)</f>
        <v>NGOs: Internationally affiliated</v>
      </c>
    </row>
    <row r="202" spans="1:13" x14ac:dyDescent="0.25">
      <c r="A202">
        <v>2022</v>
      </c>
      <c r="B202" t="s">
        <v>4682</v>
      </c>
      <c r="C202" t="s">
        <v>4683</v>
      </c>
      <c r="D202" t="s">
        <v>30</v>
      </c>
      <c r="E202" t="s">
        <v>890</v>
      </c>
      <c r="F202">
        <v>4500202859</v>
      </c>
      <c r="G202" t="s">
        <v>4688</v>
      </c>
      <c r="H202" t="s">
        <v>3334</v>
      </c>
      <c r="I202" t="s">
        <v>1088</v>
      </c>
      <c r="J202" t="s">
        <v>4686</v>
      </c>
      <c r="K202" s="2">
        <v>11161</v>
      </c>
      <c r="L202" t="s">
        <v>6408</v>
      </c>
      <c r="M202" t="str" cm="1">
        <f t="array" ref="M202">INDEX('Org List'!$A$2:$C$1005,MATCH(Consolidated!I202&amp;Consolidated!J202,'Org List'!$A$2:$A$1005&amp;'Org List'!$B$2:$B$1005,0),3)</f>
        <v>NGOs: Internationally affiliated</v>
      </c>
    </row>
    <row r="203" spans="1:13" x14ac:dyDescent="0.25">
      <c r="A203">
        <v>2022</v>
      </c>
      <c r="B203" t="s">
        <v>4689</v>
      </c>
      <c r="C203" t="s">
        <v>4690</v>
      </c>
      <c r="D203" t="s">
        <v>30</v>
      </c>
      <c r="E203" t="s">
        <v>123</v>
      </c>
      <c r="F203">
        <v>4600628962</v>
      </c>
      <c r="G203" t="s">
        <v>4691</v>
      </c>
      <c r="H203" t="s">
        <v>3334</v>
      </c>
      <c r="I203" t="s">
        <v>124</v>
      </c>
      <c r="J203" t="s">
        <v>123</v>
      </c>
      <c r="K203" s="2">
        <v>13936</v>
      </c>
      <c r="L203" t="s">
        <v>6408</v>
      </c>
      <c r="M203" t="str" cm="1">
        <f t="array" ref="M203">INDEX('Org List'!$A$2:$C$1005,MATCH(Consolidated!I203&amp;Consolidated!J203,'Org List'!$A$2:$A$1005&amp;'Org List'!$B$2:$B$1005,0),3)</f>
        <v>NGOs: National</v>
      </c>
    </row>
    <row r="204" spans="1:13" x14ac:dyDescent="0.25">
      <c r="A204">
        <v>2022</v>
      </c>
      <c r="B204" t="s">
        <v>4692</v>
      </c>
      <c r="C204" t="s">
        <v>4693</v>
      </c>
      <c r="D204" t="s">
        <v>30</v>
      </c>
      <c r="E204" t="s">
        <v>320</v>
      </c>
      <c r="F204">
        <v>4500220933</v>
      </c>
      <c r="G204" t="s">
        <v>4694</v>
      </c>
      <c r="H204" t="s">
        <v>3334</v>
      </c>
      <c r="I204" t="s">
        <v>156</v>
      </c>
      <c r="J204" t="s">
        <v>320</v>
      </c>
      <c r="K204" s="2">
        <v>537634</v>
      </c>
      <c r="L204" t="s">
        <v>6408</v>
      </c>
      <c r="M204" t="str" cm="1">
        <f t="array" ref="M204">INDEX('Org List'!$A$2:$C$1005,MATCH(Consolidated!I204&amp;Consolidated!J204,'Org List'!$A$2:$A$1005&amp;'Org List'!$B$2:$B$1005,0),3)</f>
        <v>NGOs: International</v>
      </c>
    </row>
    <row r="205" spans="1:13" x14ac:dyDescent="0.25">
      <c r="A205">
        <v>2022</v>
      </c>
      <c r="B205" t="s">
        <v>4692</v>
      </c>
      <c r="C205" t="s">
        <v>4693</v>
      </c>
      <c r="D205" t="s">
        <v>30</v>
      </c>
      <c r="E205" t="s">
        <v>320</v>
      </c>
      <c r="F205">
        <v>4500271267</v>
      </c>
      <c r="G205" t="s">
        <v>4695</v>
      </c>
      <c r="H205" t="s">
        <v>3334</v>
      </c>
      <c r="I205" t="s">
        <v>156</v>
      </c>
      <c r="J205" t="s">
        <v>320</v>
      </c>
      <c r="K205" s="2">
        <v>620476</v>
      </c>
      <c r="L205" t="s">
        <v>6408</v>
      </c>
      <c r="M205" t="str" cm="1">
        <f t="array" ref="M205">INDEX('Org List'!$A$2:$C$1005,MATCH(Consolidated!I205&amp;Consolidated!J205,'Org List'!$A$2:$A$1005&amp;'Org List'!$B$2:$B$1005,0),3)</f>
        <v>NGOs: International</v>
      </c>
    </row>
    <row r="206" spans="1:13" x14ac:dyDescent="0.25">
      <c r="A206">
        <v>2022</v>
      </c>
      <c r="B206" t="s">
        <v>4696</v>
      </c>
      <c r="C206" t="s">
        <v>4697</v>
      </c>
      <c r="D206" t="s">
        <v>30</v>
      </c>
      <c r="E206" t="s">
        <v>123</v>
      </c>
      <c r="F206">
        <v>4600628132</v>
      </c>
      <c r="G206" t="s">
        <v>4698</v>
      </c>
      <c r="H206" t="s">
        <v>3334</v>
      </c>
      <c r="I206" t="s">
        <v>1980</v>
      </c>
      <c r="J206" t="s">
        <v>123</v>
      </c>
      <c r="K206" s="2">
        <v>45147</v>
      </c>
      <c r="L206" t="s">
        <v>6408</v>
      </c>
      <c r="M206" t="str" cm="1">
        <f t="array" ref="M206">INDEX('Org List'!$A$2:$C$1005,MATCH(Consolidated!I206&amp;Consolidated!J206,'Org List'!$A$2:$A$1005&amp;'Org List'!$B$2:$B$1005,0),3)</f>
        <v>NGOs: National</v>
      </c>
    </row>
    <row r="207" spans="1:13" x14ac:dyDescent="0.25">
      <c r="A207">
        <v>2022</v>
      </c>
      <c r="B207" t="s">
        <v>4696</v>
      </c>
      <c r="C207" t="s">
        <v>4697</v>
      </c>
      <c r="D207" t="s">
        <v>30</v>
      </c>
      <c r="E207" t="s">
        <v>123</v>
      </c>
      <c r="F207">
        <v>4600628353</v>
      </c>
      <c r="G207" t="s">
        <v>4699</v>
      </c>
      <c r="H207" t="s">
        <v>3334</v>
      </c>
      <c r="I207" t="s">
        <v>368</v>
      </c>
      <c r="J207" t="s">
        <v>123</v>
      </c>
      <c r="K207" s="2">
        <v>133000</v>
      </c>
      <c r="L207" t="s">
        <v>6408</v>
      </c>
      <c r="M207" t="str" cm="1">
        <f t="array" ref="M207">INDEX('Org List'!$A$2:$C$1005,MATCH(Consolidated!I207&amp;Consolidated!J207,'Org List'!$A$2:$A$1005&amp;'Org List'!$B$2:$B$1005,0),3)</f>
        <v>NGOs: National</v>
      </c>
    </row>
    <row r="208" spans="1:13" x14ac:dyDescent="0.25">
      <c r="A208">
        <v>2022</v>
      </c>
      <c r="B208" t="s">
        <v>4696</v>
      </c>
      <c r="C208" t="s">
        <v>4697</v>
      </c>
      <c r="D208" t="s">
        <v>30</v>
      </c>
      <c r="E208" t="s">
        <v>123</v>
      </c>
      <c r="F208">
        <v>4600628536</v>
      </c>
      <c r="G208" t="s">
        <v>4700</v>
      </c>
      <c r="H208" t="s">
        <v>3334</v>
      </c>
      <c r="I208" t="s">
        <v>2971</v>
      </c>
      <c r="J208" t="s">
        <v>996</v>
      </c>
      <c r="K208" s="2">
        <v>524304</v>
      </c>
      <c r="L208" t="s">
        <v>6408</v>
      </c>
      <c r="M208" t="str" cm="1">
        <f t="array" ref="M208">INDEX('Org List'!$A$2:$C$1005,MATCH(Consolidated!I208&amp;Consolidated!J208,'Org List'!$A$2:$A$1005&amp;'Org List'!$B$2:$B$1005,0),3)</f>
        <v>NGOs: International</v>
      </c>
    </row>
    <row r="209" spans="1:13" x14ac:dyDescent="0.25">
      <c r="A209">
        <v>2022</v>
      </c>
      <c r="B209" t="s">
        <v>4701</v>
      </c>
      <c r="C209" t="s">
        <v>1975</v>
      </c>
      <c r="D209" t="s">
        <v>30</v>
      </c>
      <c r="E209" t="s">
        <v>123</v>
      </c>
      <c r="F209">
        <v>4600628259</v>
      </c>
      <c r="G209" t="s">
        <v>4702</v>
      </c>
      <c r="H209" t="s">
        <v>3334</v>
      </c>
      <c r="I209" t="s">
        <v>4703</v>
      </c>
      <c r="J209" t="s">
        <v>123</v>
      </c>
      <c r="K209" s="2">
        <v>994968</v>
      </c>
      <c r="L209" t="s">
        <v>6408</v>
      </c>
      <c r="M209" t="str" cm="1">
        <f t="array" ref="M209">INDEX('Org List'!$A$2:$C$1005,MATCH(Consolidated!I209&amp;Consolidated!J209,'Org List'!$A$2:$A$1005&amp;'Org List'!$B$2:$B$1005,0),3)</f>
        <v>NGOs: National</v>
      </c>
    </row>
    <row r="210" spans="1:13" x14ac:dyDescent="0.25">
      <c r="A210">
        <v>2022</v>
      </c>
      <c r="B210" t="s">
        <v>4701</v>
      </c>
      <c r="C210" t="s">
        <v>1975</v>
      </c>
      <c r="D210" t="s">
        <v>30</v>
      </c>
      <c r="E210" t="s">
        <v>123</v>
      </c>
      <c r="F210">
        <v>4600628651</v>
      </c>
      <c r="G210" t="s">
        <v>4704</v>
      </c>
      <c r="H210" t="s">
        <v>3334</v>
      </c>
      <c r="I210" t="s">
        <v>813</v>
      </c>
      <c r="J210" t="s">
        <v>123</v>
      </c>
      <c r="K210" s="2">
        <v>258666</v>
      </c>
      <c r="L210" t="s">
        <v>6408</v>
      </c>
      <c r="M210" t="str" cm="1">
        <f t="array" ref="M210">INDEX('Org List'!$A$2:$C$1005,MATCH(Consolidated!I210&amp;Consolidated!J210,'Org List'!$A$2:$A$1005&amp;'Org List'!$B$2:$B$1005,0),3)</f>
        <v>NGOs: National</v>
      </c>
    </row>
    <row r="211" spans="1:13" x14ac:dyDescent="0.25">
      <c r="A211">
        <v>2022</v>
      </c>
      <c r="B211" t="s">
        <v>4701</v>
      </c>
      <c r="C211" t="s">
        <v>1975</v>
      </c>
      <c r="D211" t="s">
        <v>30</v>
      </c>
      <c r="E211" t="s">
        <v>123</v>
      </c>
      <c r="F211">
        <v>4600628672</v>
      </c>
      <c r="G211" t="s">
        <v>4705</v>
      </c>
      <c r="H211" t="s">
        <v>3334</v>
      </c>
      <c r="I211" t="s">
        <v>1980</v>
      </c>
      <c r="J211" t="s">
        <v>123</v>
      </c>
      <c r="K211" s="2">
        <v>441474</v>
      </c>
      <c r="L211" t="s">
        <v>6408</v>
      </c>
      <c r="M211" t="str" cm="1">
        <f t="array" ref="M211">INDEX('Org List'!$A$2:$C$1005,MATCH(Consolidated!I211&amp;Consolidated!J211,'Org List'!$A$2:$A$1005&amp;'Org List'!$B$2:$B$1005,0),3)</f>
        <v>NGOs: National</v>
      </c>
    </row>
    <row r="212" spans="1:13" x14ac:dyDescent="0.25">
      <c r="A212">
        <v>2022</v>
      </c>
      <c r="B212" t="s">
        <v>4701</v>
      </c>
      <c r="C212" t="s">
        <v>1975</v>
      </c>
      <c r="D212" t="s">
        <v>30</v>
      </c>
      <c r="E212" t="s">
        <v>123</v>
      </c>
      <c r="F212">
        <v>4600628972</v>
      </c>
      <c r="G212" t="s">
        <v>4706</v>
      </c>
      <c r="H212" t="s">
        <v>3334</v>
      </c>
      <c r="I212" t="s">
        <v>4707</v>
      </c>
      <c r="J212" t="s">
        <v>123</v>
      </c>
      <c r="K212" s="2">
        <v>14200</v>
      </c>
      <c r="L212" t="s">
        <v>6408</v>
      </c>
      <c r="M212" t="str" cm="1">
        <f t="array" ref="M212">INDEX('Org List'!$A$2:$C$1005,MATCH(Consolidated!I212&amp;Consolidated!J212,'Org List'!$A$2:$A$1005&amp;'Org List'!$B$2:$B$1005,0),3)</f>
        <v>NGOs: National</v>
      </c>
    </row>
    <row r="213" spans="1:13" x14ac:dyDescent="0.25">
      <c r="A213">
        <v>2022</v>
      </c>
      <c r="B213" t="s">
        <v>4701</v>
      </c>
      <c r="C213" t="s">
        <v>1975</v>
      </c>
      <c r="D213" t="s">
        <v>30</v>
      </c>
      <c r="E213" t="s">
        <v>123</v>
      </c>
      <c r="F213">
        <v>4600629105</v>
      </c>
      <c r="G213" t="s">
        <v>4708</v>
      </c>
      <c r="H213" t="s">
        <v>3334</v>
      </c>
      <c r="I213" t="s">
        <v>368</v>
      </c>
      <c r="J213" t="s">
        <v>123</v>
      </c>
      <c r="K213" s="2">
        <v>193181</v>
      </c>
      <c r="L213" t="s">
        <v>6408</v>
      </c>
      <c r="M213" t="str" cm="1">
        <f t="array" ref="M213">INDEX('Org List'!$A$2:$C$1005,MATCH(Consolidated!I213&amp;Consolidated!J213,'Org List'!$A$2:$A$1005&amp;'Org List'!$B$2:$B$1005,0),3)</f>
        <v>NGOs: National</v>
      </c>
    </row>
    <row r="214" spans="1:13" x14ac:dyDescent="0.25">
      <c r="A214">
        <v>2022</v>
      </c>
      <c r="B214" t="s">
        <v>4701</v>
      </c>
      <c r="C214" t="s">
        <v>1975</v>
      </c>
      <c r="D214" t="s">
        <v>30</v>
      </c>
      <c r="E214" t="s">
        <v>123</v>
      </c>
      <c r="F214">
        <v>4600629123</v>
      </c>
      <c r="G214" t="s">
        <v>4709</v>
      </c>
      <c r="H214" t="s">
        <v>3334</v>
      </c>
      <c r="I214" t="s">
        <v>367</v>
      </c>
      <c r="J214" t="s">
        <v>123</v>
      </c>
      <c r="K214" s="2">
        <v>7804</v>
      </c>
      <c r="L214" t="s">
        <v>6408</v>
      </c>
      <c r="M214" t="str" cm="1">
        <f t="array" ref="M214">INDEX('Org List'!$A$2:$C$1005,MATCH(Consolidated!I214&amp;Consolidated!J214,'Org List'!$A$2:$A$1005&amp;'Org List'!$B$2:$B$1005,0),3)</f>
        <v>NGOs: Local</v>
      </c>
    </row>
    <row r="215" spans="1:13" x14ac:dyDescent="0.25">
      <c r="A215">
        <v>2022</v>
      </c>
      <c r="B215" t="s">
        <v>4701</v>
      </c>
      <c r="C215" t="s">
        <v>1975</v>
      </c>
      <c r="D215" t="s">
        <v>30</v>
      </c>
      <c r="E215" t="s">
        <v>123</v>
      </c>
      <c r="F215">
        <v>4600629157</v>
      </c>
      <c r="G215" t="s">
        <v>4710</v>
      </c>
      <c r="H215" t="s">
        <v>3334</v>
      </c>
      <c r="I215" t="s">
        <v>4711</v>
      </c>
      <c r="J215" t="s">
        <v>751</v>
      </c>
      <c r="K215" s="2">
        <v>125254</v>
      </c>
      <c r="L215" t="s">
        <v>6408</v>
      </c>
      <c r="M215" t="str" cm="1">
        <f t="array" ref="M215">INDEX('Org List'!$A$2:$C$1005,MATCH(Consolidated!I215&amp;Consolidated!J215,'Org List'!$A$2:$A$1005&amp;'Org List'!$B$2:$B$1005,0),3)</f>
        <v>NGOs: International</v>
      </c>
    </row>
    <row r="216" spans="1:13" x14ac:dyDescent="0.25">
      <c r="A216">
        <v>2022</v>
      </c>
      <c r="B216" t="s">
        <v>4701</v>
      </c>
      <c r="C216" t="s">
        <v>1975</v>
      </c>
      <c r="D216" t="s">
        <v>30</v>
      </c>
      <c r="E216" t="s">
        <v>123</v>
      </c>
      <c r="F216">
        <v>4600629315</v>
      </c>
      <c r="G216" t="s">
        <v>4712</v>
      </c>
      <c r="H216" t="s">
        <v>3334</v>
      </c>
      <c r="I216" t="s">
        <v>2971</v>
      </c>
      <c r="J216" t="s">
        <v>996</v>
      </c>
      <c r="K216" s="2">
        <v>446199</v>
      </c>
      <c r="L216" t="s">
        <v>6408</v>
      </c>
      <c r="M216" t="str" cm="1">
        <f t="array" ref="M216">INDEX('Org List'!$A$2:$C$1005,MATCH(Consolidated!I216&amp;Consolidated!J216,'Org List'!$A$2:$A$1005&amp;'Org List'!$B$2:$B$1005,0),3)</f>
        <v>NGOs: International</v>
      </c>
    </row>
    <row r="217" spans="1:13" x14ac:dyDescent="0.25">
      <c r="A217">
        <v>2022</v>
      </c>
      <c r="B217" t="s">
        <v>4701</v>
      </c>
      <c r="C217" t="s">
        <v>1975</v>
      </c>
      <c r="D217" t="s">
        <v>30</v>
      </c>
      <c r="E217" t="s">
        <v>123</v>
      </c>
      <c r="F217">
        <v>4600629315</v>
      </c>
      <c r="G217" t="s">
        <v>2357</v>
      </c>
      <c r="H217" t="s">
        <v>3334</v>
      </c>
      <c r="I217" t="s">
        <v>2971</v>
      </c>
      <c r="J217" t="s">
        <v>996</v>
      </c>
      <c r="K217" s="2">
        <v>446199</v>
      </c>
      <c r="L217" t="s">
        <v>6408</v>
      </c>
      <c r="M217" t="str" cm="1">
        <f t="array" ref="M217">INDEX('Org List'!$A$2:$C$1005,MATCH(Consolidated!I217&amp;Consolidated!J217,'Org List'!$A$2:$A$1005&amp;'Org List'!$B$2:$B$1005,0),3)</f>
        <v>NGOs: International</v>
      </c>
    </row>
    <row r="218" spans="1:13" x14ac:dyDescent="0.25">
      <c r="A218">
        <v>2022</v>
      </c>
      <c r="B218" t="s">
        <v>4713</v>
      </c>
      <c r="C218" t="s">
        <v>4714</v>
      </c>
      <c r="D218" t="s">
        <v>30</v>
      </c>
      <c r="E218" t="s">
        <v>197</v>
      </c>
      <c r="F218">
        <v>4500180534</v>
      </c>
      <c r="G218" t="s">
        <v>4715</v>
      </c>
      <c r="H218" t="s">
        <v>3334</v>
      </c>
      <c r="I218" t="s">
        <v>2389</v>
      </c>
      <c r="J218" t="s">
        <v>197</v>
      </c>
      <c r="K218" s="2">
        <v>5894</v>
      </c>
      <c r="L218" t="s">
        <v>6408</v>
      </c>
      <c r="M218" t="str" cm="1">
        <f t="array" ref="M218">INDEX('Org List'!$A$2:$C$1005,MATCH(Consolidated!I218&amp;Consolidated!J218,'Org List'!$A$2:$A$1005&amp;'Org List'!$B$2:$B$1005,0),3)</f>
        <v>NGOs: National</v>
      </c>
    </row>
    <row r="219" spans="1:13" x14ac:dyDescent="0.25">
      <c r="A219">
        <v>2022</v>
      </c>
      <c r="B219" t="s">
        <v>4713</v>
      </c>
      <c r="C219" t="s">
        <v>4714</v>
      </c>
      <c r="D219" t="s">
        <v>30</v>
      </c>
      <c r="E219" t="s">
        <v>197</v>
      </c>
      <c r="F219">
        <v>4500180538</v>
      </c>
      <c r="G219" t="s">
        <v>4716</v>
      </c>
      <c r="H219" t="s">
        <v>3334</v>
      </c>
      <c r="I219" t="s">
        <v>2394</v>
      </c>
      <c r="J219" t="s">
        <v>197</v>
      </c>
      <c r="K219" s="2">
        <v>13683</v>
      </c>
      <c r="L219" t="s">
        <v>6408</v>
      </c>
      <c r="M219" t="str" cm="1">
        <f t="array" ref="M219">INDEX('Org List'!$A$2:$C$1005,MATCH(Consolidated!I219&amp;Consolidated!J219,'Org List'!$A$2:$A$1005&amp;'Org List'!$B$2:$B$1005,0),3)</f>
        <v>NGOs: National</v>
      </c>
    </row>
    <row r="220" spans="1:13" x14ac:dyDescent="0.25">
      <c r="A220">
        <v>2022</v>
      </c>
      <c r="B220" t="s">
        <v>4713</v>
      </c>
      <c r="C220" t="s">
        <v>4714</v>
      </c>
      <c r="D220" t="s">
        <v>30</v>
      </c>
      <c r="E220" t="s">
        <v>197</v>
      </c>
      <c r="F220">
        <v>4500185351</v>
      </c>
      <c r="G220" t="s">
        <v>4717</v>
      </c>
      <c r="H220" t="s">
        <v>3334</v>
      </c>
      <c r="I220" t="s">
        <v>1373</v>
      </c>
      <c r="J220" t="s">
        <v>197</v>
      </c>
      <c r="K220" s="2">
        <v>22511</v>
      </c>
      <c r="L220" t="s">
        <v>6408</v>
      </c>
      <c r="M220" t="str" cm="1">
        <f t="array" ref="M220">INDEX('Org List'!$A$2:$C$1005,MATCH(Consolidated!I220&amp;Consolidated!J220,'Org List'!$A$2:$A$1005&amp;'Org List'!$B$2:$B$1005,0),3)</f>
        <v>NGOs: National</v>
      </c>
    </row>
    <row r="221" spans="1:13" x14ac:dyDescent="0.25">
      <c r="A221">
        <v>2022</v>
      </c>
      <c r="B221" t="s">
        <v>4713</v>
      </c>
      <c r="C221" t="s">
        <v>4714</v>
      </c>
      <c r="D221" t="s">
        <v>30</v>
      </c>
      <c r="E221" t="s">
        <v>197</v>
      </c>
      <c r="F221">
        <v>4500185376</v>
      </c>
      <c r="G221" t="s">
        <v>4718</v>
      </c>
      <c r="H221" t="s">
        <v>3334</v>
      </c>
      <c r="I221" t="s">
        <v>1277</v>
      </c>
      <c r="J221" t="s">
        <v>197</v>
      </c>
      <c r="K221" s="2">
        <v>57166</v>
      </c>
      <c r="L221" t="s">
        <v>6408</v>
      </c>
      <c r="M221" t="str" cm="1">
        <f t="array" ref="M221">INDEX('Org List'!$A$2:$C$1005,MATCH(Consolidated!I221&amp;Consolidated!J221,'Org List'!$A$2:$A$1005&amp;'Org List'!$B$2:$B$1005,0),3)</f>
        <v>Red Cross: National</v>
      </c>
    </row>
    <row r="222" spans="1:13" x14ac:dyDescent="0.25">
      <c r="A222">
        <v>2022</v>
      </c>
      <c r="B222" t="s">
        <v>4713</v>
      </c>
      <c r="C222" t="s">
        <v>4714</v>
      </c>
      <c r="D222" t="s">
        <v>30</v>
      </c>
      <c r="E222" t="s">
        <v>197</v>
      </c>
      <c r="F222">
        <v>4500186555</v>
      </c>
      <c r="G222" t="s">
        <v>4719</v>
      </c>
      <c r="H222" t="s">
        <v>3334</v>
      </c>
      <c r="I222" t="s">
        <v>861</v>
      </c>
      <c r="J222" t="s">
        <v>197</v>
      </c>
      <c r="K222" s="2">
        <v>24832</v>
      </c>
      <c r="L222" t="s">
        <v>6408</v>
      </c>
      <c r="M222" t="str" cm="1">
        <f t="array" ref="M222">INDEX('Org List'!$A$2:$C$1005,MATCH(Consolidated!I222&amp;Consolidated!J222,'Org List'!$A$2:$A$1005&amp;'Org List'!$B$2:$B$1005,0),3)</f>
        <v>NGOs: National</v>
      </c>
    </row>
    <row r="223" spans="1:13" x14ac:dyDescent="0.25">
      <c r="A223">
        <v>2022</v>
      </c>
      <c r="B223" t="s">
        <v>4713</v>
      </c>
      <c r="C223" t="s">
        <v>4714</v>
      </c>
      <c r="D223" t="s">
        <v>30</v>
      </c>
      <c r="E223" t="s">
        <v>197</v>
      </c>
      <c r="F223">
        <v>4500186557</v>
      </c>
      <c r="G223" t="s">
        <v>4720</v>
      </c>
      <c r="H223" t="s">
        <v>3334</v>
      </c>
      <c r="I223" t="s">
        <v>860</v>
      </c>
      <c r="J223" t="s">
        <v>197</v>
      </c>
      <c r="K223" s="2">
        <v>8600</v>
      </c>
      <c r="L223" t="s">
        <v>6408</v>
      </c>
      <c r="M223" t="str" cm="1">
        <f t="array" ref="M223">INDEX('Org List'!$A$2:$C$1005,MATCH(Consolidated!I223&amp;Consolidated!J223,'Org List'!$A$2:$A$1005&amp;'Org List'!$B$2:$B$1005,0),3)</f>
        <v>NGOs: National</v>
      </c>
    </row>
    <row r="224" spans="1:13" x14ac:dyDescent="0.25">
      <c r="A224">
        <v>2022</v>
      </c>
      <c r="B224" t="s">
        <v>4713</v>
      </c>
      <c r="C224" t="s">
        <v>4714</v>
      </c>
      <c r="D224" t="s">
        <v>30</v>
      </c>
      <c r="E224" t="s">
        <v>449</v>
      </c>
      <c r="F224">
        <v>4500200028</v>
      </c>
      <c r="G224" t="s">
        <v>4721</v>
      </c>
      <c r="H224" t="s">
        <v>3334</v>
      </c>
      <c r="I224" t="s">
        <v>2518</v>
      </c>
      <c r="J224" t="s">
        <v>449</v>
      </c>
      <c r="K224" s="2">
        <v>12000</v>
      </c>
      <c r="L224" t="s">
        <v>6408</v>
      </c>
      <c r="M224" t="str" cm="1">
        <f t="array" ref="M224">INDEX('Org List'!$A$2:$C$1005,MATCH(Consolidated!I224&amp;Consolidated!J224,'Org List'!$A$2:$A$1005&amp;'Org List'!$B$2:$B$1005,0),3)</f>
        <v>NGOs: National</v>
      </c>
    </row>
    <row r="225" spans="1:13" x14ac:dyDescent="0.25">
      <c r="A225">
        <v>2022</v>
      </c>
      <c r="B225" t="s">
        <v>4713</v>
      </c>
      <c r="C225" t="s">
        <v>4714</v>
      </c>
      <c r="D225" t="s">
        <v>30</v>
      </c>
      <c r="E225" t="s">
        <v>831</v>
      </c>
      <c r="F225">
        <v>4500184742</v>
      </c>
      <c r="G225" t="s">
        <v>4722</v>
      </c>
      <c r="H225" t="s">
        <v>3334</v>
      </c>
      <c r="I225" t="s">
        <v>4723</v>
      </c>
      <c r="J225" t="s">
        <v>350</v>
      </c>
      <c r="K225" s="2">
        <v>25269</v>
      </c>
      <c r="L225" t="s">
        <v>6408</v>
      </c>
      <c r="M225" t="str" cm="1">
        <f t="array" ref="M225">INDEX('Org List'!$A$2:$C$1005,MATCH(Consolidated!I225&amp;Consolidated!J225,'Org List'!$A$2:$A$1005&amp;'Org List'!$B$2:$B$1005,0),3)</f>
        <v>NGOs: National</v>
      </c>
    </row>
    <row r="226" spans="1:13" x14ac:dyDescent="0.25">
      <c r="A226">
        <v>2022</v>
      </c>
      <c r="B226" t="s">
        <v>4713</v>
      </c>
      <c r="C226" t="s">
        <v>4714</v>
      </c>
      <c r="D226" t="s">
        <v>30</v>
      </c>
      <c r="E226" t="s">
        <v>205</v>
      </c>
      <c r="F226">
        <v>4500181707</v>
      </c>
      <c r="G226" t="s">
        <v>4724</v>
      </c>
      <c r="H226" t="s">
        <v>3334</v>
      </c>
      <c r="I226" t="s">
        <v>869</v>
      </c>
      <c r="J226" t="s">
        <v>205</v>
      </c>
      <c r="K226" s="2">
        <v>62047</v>
      </c>
      <c r="L226" t="s">
        <v>6408</v>
      </c>
      <c r="M226" t="str" cm="1">
        <f t="array" ref="M226">INDEX('Org List'!$A$2:$C$1005,MATCH(Consolidated!I226&amp;Consolidated!J226,'Org List'!$A$2:$A$1005&amp;'Org List'!$B$2:$B$1005,0),3)</f>
        <v>NGOs: International</v>
      </c>
    </row>
    <row r="227" spans="1:13" x14ac:dyDescent="0.25">
      <c r="A227">
        <v>2022</v>
      </c>
      <c r="B227" t="s">
        <v>4713</v>
      </c>
      <c r="C227" t="s">
        <v>4714</v>
      </c>
      <c r="D227" t="s">
        <v>30</v>
      </c>
      <c r="E227" t="s">
        <v>1987</v>
      </c>
      <c r="F227">
        <v>4500199634</v>
      </c>
      <c r="G227" t="s">
        <v>4725</v>
      </c>
      <c r="H227" t="s">
        <v>3334</v>
      </c>
      <c r="I227" t="s">
        <v>2408</v>
      </c>
      <c r="J227" t="s">
        <v>1987</v>
      </c>
      <c r="K227" s="2">
        <v>11167</v>
      </c>
      <c r="L227" t="s">
        <v>6408</v>
      </c>
      <c r="M227" t="str" cm="1">
        <f t="array" ref="M227">INDEX('Org List'!$A$2:$C$1005,MATCH(Consolidated!I227&amp;Consolidated!J227,'Org List'!$A$2:$A$1005&amp;'Org List'!$B$2:$B$1005,0),3)</f>
        <v>NGOs: National</v>
      </c>
    </row>
    <row r="228" spans="1:13" x14ac:dyDescent="0.25">
      <c r="A228">
        <v>2022</v>
      </c>
      <c r="B228" t="s">
        <v>4713</v>
      </c>
      <c r="C228" t="s">
        <v>4714</v>
      </c>
      <c r="D228" t="s">
        <v>30</v>
      </c>
      <c r="E228" t="s">
        <v>1987</v>
      </c>
      <c r="F228">
        <v>4500203447</v>
      </c>
      <c r="G228" t="s">
        <v>4726</v>
      </c>
      <c r="H228" t="s">
        <v>3334</v>
      </c>
      <c r="I228" t="s">
        <v>4727</v>
      </c>
      <c r="J228" t="s">
        <v>798</v>
      </c>
      <c r="K228" s="2">
        <v>5000</v>
      </c>
      <c r="L228" t="s">
        <v>6408</v>
      </c>
      <c r="M228" t="str" cm="1">
        <f t="array" ref="M228">INDEX('Org List'!$A$2:$C$1005,MATCH(Consolidated!I228&amp;Consolidated!J228,'Org List'!$A$2:$A$1005&amp;'Org List'!$B$2:$B$1005,0),3)</f>
        <v>Unknown</v>
      </c>
    </row>
    <row r="229" spans="1:13" x14ac:dyDescent="0.25">
      <c r="A229">
        <v>2022</v>
      </c>
      <c r="B229" t="s">
        <v>4713</v>
      </c>
      <c r="C229" t="s">
        <v>4714</v>
      </c>
      <c r="D229" t="s">
        <v>30</v>
      </c>
      <c r="E229" t="s">
        <v>210</v>
      </c>
      <c r="F229">
        <v>4500187111</v>
      </c>
      <c r="G229" t="s">
        <v>4728</v>
      </c>
      <c r="H229" t="s">
        <v>3334</v>
      </c>
      <c r="I229" t="s">
        <v>4729</v>
      </c>
      <c r="J229" t="s">
        <v>210</v>
      </c>
      <c r="K229" s="2">
        <v>139841</v>
      </c>
      <c r="L229" t="s">
        <v>6408</v>
      </c>
      <c r="M229" t="str" cm="1">
        <f t="array" ref="M229">INDEX('Org List'!$A$2:$C$1005,MATCH(Consolidated!I229&amp;Consolidated!J229,'Org List'!$A$2:$A$1005&amp;'Org List'!$B$2:$B$1005,0),3)</f>
        <v>Red Cross: National</v>
      </c>
    </row>
    <row r="230" spans="1:13" x14ac:dyDescent="0.25">
      <c r="A230">
        <v>2022</v>
      </c>
      <c r="B230" t="s">
        <v>4713</v>
      </c>
      <c r="C230" t="s">
        <v>4714</v>
      </c>
      <c r="D230" t="s">
        <v>30</v>
      </c>
      <c r="E230" t="s">
        <v>210</v>
      </c>
      <c r="F230">
        <v>4500192353</v>
      </c>
      <c r="G230" t="s">
        <v>4730</v>
      </c>
      <c r="H230" t="s">
        <v>3334</v>
      </c>
      <c r="I230" t="s">
        <v>880</v>
      </c>
      <c r="J230" t="s">
        <v>210</v>
      </c>
      <c r="K230" s="2">
        <v>71368</v>
      </c>
      <c r="L230" t="s">
        <v>6408</v>
      </c>
      <c r="M230" t="str" cm="1">
        <f t="array" ref="M230">INDEX('Org List'!$A$2:$C$1005,MATCH(Consolidated!I230&amp;Consolidated!J230,'Org List'!$A$2:$A$1005&amp;'Org List'!$B$2:$B$1005,0),3)</f>
        <v>NGOs: National</v>
      </c>
    </row>
    <row r="231" spans="1:13" x14ac:dyDescent="0.25">
      <c r="A231">
        <v>2022</v>
      </c>
      <c r="B231" t="s">
        <v>4731</v>
      </c>
      <c r="C231" t="s">
        <v>4732</v>
      </c>
      <c r="D231" t="s">
        <v>30</v>
      </c>
      <c r="E231" t="s">
        <v>717</v>
      </c>
      <c r="F231">
        <v>4500196034</v>
      </c>
      <c r="G231" t="s">
        <v>3899</v>
      </c>
      <c r="H231" t="s">
        <v>3334</v>
      </c>
      <c r="I231" t="s">
        <v>3900</v>
      </c>
      <c r="J231" t="s">
        <v>717</v>
      </c>
      <c r="K231" s="2">
        <v>51696</v>
      </c>
      <c r="L231" t="s">
        <v>6408</v>
      </c>
      <c r="M231" t="str" cm="1">
        <f t="array" ref="M231">INDEX('Org List'!$A$2:$C$1005,MATCH(Consolidated!I231&amp;Consolidated!J231,'Org List'!$A$2:$A$1005&amp;'Org List'!$B$2:$B$1005,0),3)</f>
        <v>NGOs: International</v>
      </c>
    </row>
    <row r="232" spans="1:13" x14ac:dyDescent="0.25">
      <c r="A232">
        <v>2022</v>
      </c>
      <c r="B232" t="s">
        <v>4731</v>
      </c>
      <c r="C232" t="s">
        <v>4732</v>
      </c>
      <c r="D232" t="s">
        <v>30</v>
      </c>
      <c r="E232" t="s">
        <v>717</v>
      </c>
      <c r="F232">
        <v>4500199278</v>
      </c>
      <c r="G232" t="s">
        <v>4733</v>
      </c>
      <c r="H232" t="s">
        <v>3334</v>
      </c>
      <c r="I232" t="s">
        <v>1910</v>
      </c>
      <c r="J232" t="s">
        <v>717</v>
      </c>
      <c r="K232" s="2">
        <v>49451</v>
      </c>
      <c r="L232" t="s">
        <v>6408</v>
      </c>
      <c r="M232" t="str" cm="1">
        <f t="array" ref="M232">INDEX('Org List'!$A$2:$C$1005,MATCH(Consolidated!I232&amp;Consolidated!J232,'Org List'!$A$2:$A$1005&amp;'Org List'!$B$2:$B$1005,0),3)</f>
        <v>NGOs: National</v>
      </c>
    </row>
    <row r="233" spans="1:13" x14ac:dyDescent="0.25">
      <c r="A233">
        <v>2022</v>
      </c>
      <c r="B233" t="s">
        <v>4731</v>
      </c>
      <c r="C233" t="s">
        <v>4732</v>
      </c>
      <c r="D233" t="s">
        <v>30</v>
      </c>
      <c r="E233" t="s">
        <v>717</v>
      </c>
      <c r="F233">
        <v>4500206584</v>
      </c>
      <c r="G233" t="s">
        <v>3903</v>
      </c>
      <c r="H233" t="s">
        <v>3334</v>
      </c>
      <c r="I233" t="s">
        <v>728</v>
      </c>
      <c r="J233" t="s">
        <v>717</v>
      </c>
      <c r="K233" s="2">
        <v>26673</v>
      </c>
      <c r="L233" t="s">
        <v>6408</v>
      </c>
      <c r="M233" t="str" cm="1">
        <f t="array" ref="M233">INDEX('Org List'!$A$2:$C$1005,MATCH(Consolidated!I233&amp;Consolidated!J233,'Org List'!$A$2:$A$1005&amp;'Org List'!$B$2:$B$1005,0),3)</f>
        <v>NGOs: National</v>
      </c>
    </row>
    <row r="234" spans="1:13" x14ac:dyDescent="0.25">
      <c r="A234">
        <v>2022</v>
      </c>
      <c r="B234" t="s">
        <v>4731</v>
      </c>
      <c r="C234" t="s">
        <v>4732</v>
      </c>
      <c r="D234" t="s">
        <v>30</v>
      </c>
      <c r="E234" t="s">
        <v>717</v>
      </c>
      <c r="F234">
        <v>4500220093</v>
      </c>
      <c r="G234" t="s">
        <v>3904</v>
      </c>
      <c r="H234" t="s">
        <v>3334</v>
      </c>
      <c r="I234" t="s">
        <v>1162</v>
      </c>
      <c r="J234" t="s">
        <v>717</v>
      </c>
      <c r="K234" s="2">
        <v>43505</v>
      </c>
      <c r="L234" t="s">
        <v>6408</v>
      </c>
      <c r="M234" t="str" cm="1">
        <f t="array" ref="M234">INDEX('Org List'!$A$2:$C$1005,MATCH(Consolidated!I234&amp;Consolidated!J234,'Org List'!$A$2:$A$1005&amp;'Org List'!$B$2:$B$1005,0),3)</f>
        <v>NGOs: International</v>
      </c>
    </row>
    <row r="235" spans="1:13" x14ac:dyDescent="0.25">
      <c r="A235">
        <v>2022</v>
      </c>
      <c r="B235" t="s">
        <v>4731</v>
      </c>
      <c r="C235" t="s">
        <v>4732</v>
      </c>
      <c r="D235" t="s">
        <v>30</v>
      </c>
      <c r="E235" t="s">
        <v>717</v>
      </c>
      <c r="F235">
        <v>4500224034</v>
      </c>
      <c r="G235" t="s">
        <v>3905</v>
      </c>
      <c r="H235" t="s">
        <v>3334</v>
      </c>
      <c r="I235" t="s">
        <v>3906</v>
      </c>
      <c r="J235" t="s">
        <v>717</v>
      </c>
      <c r="K235" s="2">
        <v>83063</v>
      </c>
      <c r="L235" t="s">
        <v>6408</v>
      </c>
      <c r="M235" t="str" cm="1">
        <f t="array" ref="M235">INDEX('Org List'!$A$2:$C$1005,MATCH(Consolidated!I235&amp;Consolidated!J235,'Org List'!$A$2:$A$1005&amp;'Org List'!$B$2:$B$1005,0),3)</f>
        <v>NGOs: International</v>
      </c>
    </row>
    <row r="236" spans="1:13" x14ac:dyDescent="0.25">
      <c r="A236">
        <v>2022</v>
      </c>
      <c r="B236" t="s">
        <v>4734</v>
      </c>
      <c r="C236" t="s">
        <v>4735</v>
      </c>
      <c r="D236" t="s">
        <v>30</v>
      </c>
      <c r="E236" t="s">
        <v>253</v>
      </c>
      <c r="F236">
        <v>4500220656</v>
      </c>
      <c r="G236" t="s">
        <v>4736</v>
      </c>
      <c r="H236" t="s">
        <v>3334</v>
      </c>
      <c r="I236" t="s">
        <v>156</v>
      </c>
      <c r="J236" t="s">
        <v>184</v>
      </c>
      <c r="K236" s="2">
        <v>135000</v>
      </c>
      <c r="L236" t="s">
        <v>6408</v>
      </c>
      <c r="M236" t="str" cm="1">
        <f t="array" ref="M236">INDEX('Org List'!$A$2:$C$1005,MATCH(Consolidated!I236&amp;Consolidated!J236,'Org List'!$A$2:$A$1005&amp;'Org List'!$B$2:$B$1005,0),3)</f>
        <v>NGOs: International</v>
      </c>
    </row>
    <row r="237" spans="1:13" x14ac:dyDescent="0.25">
      <c r="A237">
        <v>2022</v>
      </c>
      <c r="B237" t="s">
        <v>4737</v>
      </c>
      <c r="C237" t="s">
        <v>4738</v>
      </c>
      <c r="D237" t="s">
        <v>30</v>
      </c>
      <c r="E237" t="s">
        <v>793</v>
      </c>
      <c r="F237">
        <v>4500228952</v>
      </c>
      <c r="G237" t="s">
        <v>4739</v>
      </c>
      <c r="H237" t="s">
        <v>3334</v>
      </c>
      <c r="I237" t="s">
        <v>1837</v>
      </c>
      <c r="J237" t="s">
        <v>793</v>
      </c>
      <c r="K237" s="2">
        <v>15408</v>
      </c>
      <c r="L237" t="s">
        <v>6408</v>
      </c>
      <c r="M237" t="str" cm="1">
        <f t="array" ref="M237">INDEX('Org List'!$A$2:$C$1005,MATCH(Consolidated!I237&amp;Consolidated!J237,'Org List'!$A$2:$A$1005&amp;'Org List'!$B$2:$B$1005,0),3)</f>
        <v>Multilateral: UN</v>
      </c>
    </row>
    <row r="238" spans="1:13" x14ac:dyDescent="0.25">
      <c r="A238">
        <v>2022</v>
      </c>
      <c r="B238" t="s">
        <v>4740</v>
      </c>
      <c r="C238" t="s">
        <v>4741</v>
      </c>
      <c r="D238" t="s">
        <v>30</v>
      </c>
      <c r="E238" t="s">
        <v>940</v>
      </c>
      <c r="F238">
        <v>4500223104</v>
      </c>
      <c r="G238" t="s">
        <v>4742</v>
      </c>
      <c r="H238" t="s">
        <v>3334</v>
      </c>
      <c r="I238" t="s">
        <v>4743</v>
      </c>
      <c r="J238" t="s">
        <v>940</v>
      </c>
      <c r="K238" s="2">
        <v>10000</v>
      </c>
      <c r="L238" t="s">
        <v>6408</v>
      </c>
      <c r="M238" t="str" cm="1">
        <f t="array" ref="M238">INDEX('Org List'!$A$2:$C$1005,MATCH(Consolidated!I238&amp;Consolidated!J238,'Org List'!$A$2:$A$1005&amp;'Org List'!$B$2:$B$1005,0),3)</f>
        <v>NGOs: National</v>
      </c>
    </row>
    <row r="239" spans="1:13" x14ac:dyDescent="0.25">
      <c r="A239">
        <v>2022</v>
      </c>
      <c r="B239" t="s">
        <v>4744</v>
      </c>
      <c r="C239" t="s">
        <v>4745</v>
      </c>
      <c r="D239" t="s">
        <v>30</v>
      </c>
      <c r="E239" t="s">
        <v>320</v>
      </c>
      <c r="F239">
        <v>4500181266</v>
      </c>
      <c r="G239" t="s">
        <v>4746</v>
      </c>
      <c r="H239" t="s">
        <v>3334</v>
      </c>
      <c r="I239" t="s">
        <v>4747</v>
      </c>
      <c r="J239" t="s">
        <v>320</v>
      </c>
      <c r="K239" s="2">
        <v>18287</v>
      </c>
      <c r="L239" t="s">
        <v>6408</v>
      </c>
      <c r="M239" t="str" cm="1">
        <f t="array" ref="M239">INDEX('Org List'!$A$2:$C$1005,MATCH(Consolidated!I239&amp;Consolidated!J239,'Org List'!$A$2:$A$1005&amp;'Org List'!$B$2:$B$1005,0),3)</f>
        <v>NGOs: National</v>
      </c>
    </row>
    <row r="240" spans="1:13" x14ac:dyDescent="0.25">
      <c r="A240">
        <v>2022</v>
      </c>
      <c r="B240" t="s">
        <v>4748</v>
      </c>
      <c r="C240" t="s">
        <v>4749</v>
      </c>
      <c r="D240" t="s">
        <v>30</v>
      </c>
      <c r="E240" t="s">
        <v>751</v>
      </c>
      <c r="F240">
        <v>4500188292</v>
      </c>
      <c r="G240" t="s">
        <v>3938</v>
      </c>
      <c r="H240" t="s">
        <v>3334</v>
      </c>
      <c r="I240" t="s">
        <v>4750</v>
      </c>
      <c r="J240" t="s">
        <v>751</v>
      </c>
      <c r="K240" s="2">
        <v>308809</v>
      </c>
      <c r="L240" t="s">
        <v>6408</v>
      </c>
      <c r="M240" t="str" cm="1">
        <f t="array" ref="M240">INDEX('Org List'!$A$2:$C$1005,MATCH(Consolidated!I240&amp;Consolidated!J240,'Org List'!$A$2:$A$1005&amp;'Org List'!$B$2:$B$1005,0),3)</f>
        <v>NGOs: International</v>
      </c>
    </row>
    <row r="241" spans="1:13" x14ac:dyDescent="0.25">
      <c r="A241">
        <v>2022</v>
      </c>
      <c r="B241" t="s">
        <v>4748</v>
      </c>
      <c r="C241" t="s">
        <v>4749</v>
      </c>
      <c r="D241" t="s">
        <v>30</v>
      </c>
      <c r="E241" t="s">
        <v>751</v>
      </c>
      <c r="F241">
        <v>4500197471</v>
      </c>
      <c r="G241" t="s">
        <v>4751</v>
      </c>
      <c r="H241" t="s">
        <v>3334</v>
      </c>
      <c r="I241" t="s">
        <v>4752</v>
      </c>
      <c r="J241" t="s">
        <v>751</v>
      </c>
      <c r="K241" s="2">
        <v>14972</v>
      </c>
      <c r="L241" t="s">
        <v>6408</v>
      </c>
      <c r="M241" t="str" cm="1">
        <f t="array" ref="M241">INDEX('Org List'!$A$2:$C$1005,MATCH(Consolidated!I241&amp;Consolidated!J241,'Org List'!$A$2:$A$1005&amp;'Org List'!$B$2:$B$1005,0),3)</f>
        <v>NGOs: National</v>
      </c>
    </row>
    <row r="242" spans="1:13" x14ac:dyDescent="0.25">
      <c r="A242">
        <v>2022</v>
      </c>
      <c r="B242" t="s">
        <v>4748</v>
      </c>
      <c r="C242" t="s">
        <v>4749</v>
      </c>
      <c r="D242" t="s">
        <v>30</v>
      </c>
      <c r="E242" t="s">
        <v>751</v>
      </c>
      <c r="F242">
        <v>4500215702</v>
      </c>
      <c r="G242" t="s">
        <v>4753</v>
      </c>
      <c r="H242" t="s">
        <v>3334</v>
      </c>
      <c r="I242" t="s">
        <v>2382</v>
      </c>
      <c r="J242" t="s">
        <v>581</v>
      </c>
      <c r="K242" s="2">
        <v>16542</v>
      </c>
      <c r="L242" t="s">
        <v>6408</v>
      </c>
      <c r="M242" t="str" cm="1">
        <f t="array" ref="M242">INDEX('Org List'!$A$2:$C$1005,MATCH(Consolidated!I242&amp;Consolidated!J242,'Org List'!$A$2:$A$1005&amp;'Org List'!$B$2:$B$1005,0),3)</f>
        <v>NGOs: International</v>
      </c>
    </row>
    <row r="243" spans="1:13" x14ac:dyDescent="0.25">
      <c r="A243">
        <v>2022</v>
      </c>
      <c r="B243" t="s">
        <v>4748</v>
      </c>
      <c r="C243" t="s">
        <v>4749</v>
      </c>
      <c r="D243" t="s">
        <v>30</v>
      </c>
      <c r="E243" t="s">
        <v>751</v>
      </c>
      <c r="F243">
        <v>4500271003</v>
      </c>
      <c r="G243" t="s">
        <v>4754</v>
      </c>
      <c r="H243" t="s">
        <v>3334</v>
      </c>
      <c r="I243" t="s">
        <v>2382</v>
      </c>
      <c r="J243" t="s">
        <v>581</v>
      </c>
      <c r="K243" s="2">
        <v>18000</v>
      </c>
      <c r="L243" t="s">
        <v>6408</v>
      </c>
      <c r="M243" t="str" cm="1">
        <f t="array" ref="M243">INDEX('Org List'!$A$2:$C$1005,MATCH(Consolidated!I243&amp;Consolidated!J243,'Org List'!$A$2:$A$1005&amp;'Org List'!$B$2:$B$1005,0),3)</f>
        <v>NGOs: International</v>
      </c>
    </row>
    <row r="244" spans="1:13" x14ac:dyDescent="0.25">
      <c r="A244">
        <v>2022</v>
      </c>
      <c r="B244" t="s">
        <v>3429</v>
      </c>
      <c r="C244" t="s">
        <v>3430</v>
      </c>
      <c r="D244" t="s">
        <v>30</v>
      </c>
      <c r="E244" t="s">
        <v>253</v>
      </c>
      <c r="F244">
        <v>4500263746</v>
      </c>
      <c r="G244" t="s">
        <v>4755</v>
      </c>
      <c r="H244" t="s">
        <v>3334</v>
      </c>
      <c r="I244" t="s">
        <v>1362</v>
      </c>
      <c r="J244" t="s">
        <v>253</v>
      </c>
      <c r="K244" s="2">
        <v>34046</v>
      </c>
      <c r="L244" t="s">
        <v>6408</v>
      </c>
      <c r="M244" t="str" cm="1">
        <f t="array" ref="M244">INDEX('Org List'!$A$2:$C$1005,MATCH(Consolidated!I244&amp;Consolidated!J244,'Org List'!$A$2:$A$1005&amp;'Org List'!$B$2:$B$1005,0),3)</f>
        <v>Red Cross: National</v>
      </c>
    </row>
    <row r="245" spans="1:13" x14ac:dyDescent="0.25">
      <c r="A245">
        <v>2022</v>
      </c>
      <c r="B245" t="s">
        <v>2865</v>
      </c>
      <c r="C245" t="s">
        <v>3432</v>
      </c>
      <c r="D245" t="s">
        <v>30</v>
      </c>
      <c r="E245" t="s">
        <v>717</v>
      </c>
      <c r="F245">
        <v>4500181197</v>
      </c>
      <c r="G245" t="s">
        <v>4756</v>
      </c>
      <c r="H245" t="s">
        <v>3334</v>
      </c>
      <c r="I245" t="s">
        <v>4757</v>
      </c>
      <c r="J245" t="s">
        <v>717</v>
      </c>
      <c r="K245" s="2">
        <v>250000</v>
      </c>
      <c r="L245" t="s">
        <v>6408</v>
      </c>
      <c r="M245" t="str" cm="1">
        <f t="array" ref="M245">INDEX('Org List'!$A$2:$C$1005,MATCH(Consolidated!I245&amp;Consolidated!J245,'Org List'!$A$2:$A$1005&amp;'Org List'!$B$2:$B$1005,0),3)</f>
        <v>NGOs: International</v>
      </c>
    </row>
    <row r="246" spans="1:13" x14ac:dyDescent="0.25">
      <c r="A246">
        <v>2022</v>
      </c>
      <c r="B246" t="s">
        <v>2865</v>
      </c>
      <c r="C246" t="s">
        <v>3432</v>
      </c>
      <c r="D246" t="s">
        <v>30</v>
      </c>
      <c r="E246" t="s">
        <v>717</v>
      </c>
      <c r="F246">
        <v>4500184494</v>
      </c>
      <c r="G246" t="s">
        <v>4758</v>
      </c>
      <c r="H246" t="s">
        <v>3334</v>
      </c>
      <c r="I246" t="s">
        <v>2459</v>
      </c>
      <c r="J246" t="s">
        <v>717</v>
      </c>
      <c r="K246" s="2">
        <v>282085</v>
      </c>
      <c r="L246" t="s">
        <v>6408</v>
      </c>
      <c r="M246" t="str" cm="1">
        <f t="array" ref="M246">INDEX('Org List'!$A$2:$C$1005,MATCH(Consolidated!I246&amp;Consolidated!J246,'Org List'!$A$2:$A$1005&amp;'Org List'!$B$2:$B$1005,0),3)</f>
        <v>NGOs: National</v>
      </c>
    </row>
    <row r="247" spans="1:13" x14ac:dyDescent="0.25">
      <c r="A247">
        <v>2022</v>
      </c>
      <c r="B247" t="s">
        <v>2865</v>
      </c>
      <c r="C247" t="s">
        <v>3432</v>
      </c>
      <c r="D247" t="s">
        <v>30</v>
      </c>
      <c r="E247" t="s">
        <v>717</v>
      </c>
      <c r="F247">
        <v>4500189434</v>
      </c>
      <c r="G247" t="s">
        <v>4759</v>
      </c>
      <c r="H247" t="s">
        <v>3334</v>
      </c>
      <c r="I247" t="s">
        <v>4760</v>
      </c>
      <c r="J247" t="s">
        <v>717</v>
      </c>
      <c r="K247" s="2">
        <v>198057</v>
      </c>
      <c r="L247" t="s">
        <v>6408</v>
      </c>
      <c r="M247" t="str" cm="1">
        <f t="array" ref="M247">INDEX('Org List'!$A$2:$C$1005,MATCH(Consolidated!I247&amp;Consolidated!J247,'Org List'!$A$2:$A$1005&amp;'Org List'!$B$2:$B$1005,0),3)</f>
        <v>NGOs: International</v>
      </c>
    </row>
    <row r="248" spans="1:13" x14ac:dyDescent="0.25">
      <c r="A248">
        <v>2022</v>
      </c>
      <c r="B248" t="s">
        <v>2865</v>
      </c>
      <c r="C248" t="s">
        <v>3432</v>
      </c>
      <c r="D248" t="s">
        <v>30</v>
      </c>
      <c r="E248" t="s">
        <v>717</v>
      </c>
      <c r="F248">
        <v>4500197999</v>
      </c>
      <c r="G248" t="s">
        <v>4761</v>
      </c>
      <c r="H248" t="s">
        <v>3334</v>
      </c>
      <c r="I248" t="s">
        <v>4039</v>
      </c>
      <c r="J248" t="s">
        <v>717</v>
      </c>
      <c r="K248" s="2">
        <v>77249</v>
      </c>
      <c r="L248" t="s">
        <v>6408</v>
      </c>
      <c r="M248" t="str" cm="1">
        <f t="array" ref="M248">INDEX('Org List'!$A$2:$C$1005,MATCH(Consolidated!I248&amp;Consolidated!J248,'Org List'!$A$2:$A$1005&amp;'Org List'!$B$2:$B$1005,0),3)</f>
        <v>NGOs: International</v>
      </c>
    </row>
    <row r="249" spans="1:13" x14ac:dyDescent="0.25">
      <c r="A249">
        <v>2022</v>
      </c>
      <c r="B249" t="s">
        <v>2865</v>
      </c>
      <c r="C249" t="s">
        <v>3432</v>
      </c>
      <c r="D249" t="s">
        <v>30</v>
      </c>
      <c r="E249" t="s">
        <v>717</v>
      </c>
      <c r="F249">
        <v>4500199268</v>
      </c>
      <c r="G249" t="s">
        <v>4762</v>
      </c>
      <c r="H249" t="s">
        <v>3334</v>
      </c>
      <c r="I249" t="s">
        <v>4763</v>
      </c>
      <c r="J249" t="s">
        <v>717</v>
      </c>
      <c r="K249" s="2">
        <v>181915</v>
      </c>
      <c r="L249" t="s">
        <v>6408</v>
      </c>
      <c r="M249" t="str" cm="1">
        <f t="array" ref="M249">INDEX('Org List'!$A$2:$C$1005,MATCH(Consolidated!I249&amp;Consolidated!J249,'Org List'!$A$2:$A$1005&amp;'Org List'!$B$2:$B$1005,0),3)</f>
        <v>NGOs: National</v>
      </c>
    </row>
    <row r="250" spans="1:13" x14ac:dyDescent="0.25">
      <c r="A250">
        <v>2022</v>
      </c>
      <c r="B250" t="s">
        <v>2865</v>
      </c>
      <c r="C250" t="s">
        <v>3432</v>
      </c>
      <c r="D250" t="s">
        <v>30</v>
      </c>
      <c r="E250" t="s">
        <v>717</v>
      </c>
      <c r="F250">
        <v>4500209848</v>
      </c>
      <c r="G250" t="s">
        <v>4764</v>
      </c>
      <c r="H250" t="s">
        <v>3334</v>
      </c>
      <c r="I250" t="s">
        <v>4763</v>
      </c>
      <c r="J250" t="s">
        <v>717</v>
      </c>
      <c r="K250" s="2">
        <v>71040</v>
      </c>
      <c r="L250" t="s">
        <v>6408</v>
      </c>
      <c r="M250" t="str" cm="1">
        <f t="array" ref="M250">INDEX('Org List'!$A$2:$C$1005,MATCH(Consolidated!I250&amp;Consolidated!J250,'Org List'!$A$2:$A$1005&amp;'Org List'!$B$2:$B$1005,0),3)</f>
        <v>NGOs: National</v>
      </c>
    </row>
    <row r="251" spans="1:13" x14ac:dyDescent="0.25">
      <c r="A251">
        <v>2022</v>
      </c>
      <c r="B251" t="s">
        <v>2865</v>
      </c>
      <c r="C251" t="s">
        <v>3432</v>
      </c>
      <c r="D251" t="s">
        <v>30</v>
      </c>
      <c r="E251" t="s">
        <v>717</v>
      </c>
      <c r="F251">
        <v>4500237986</v>
      </c>
      <c r="G251" t="s">
        <v>4765</v>
      </c>
      <c r="H251" t="s">
        <v>3334</v>
      </c>
      <c r="I251" t="s">
        <v>4766</v>
      </c>
      <c r="J251" t="s">
        <v>717</v>
      </c>
      <c r="K251" s="2">
        <v>308716</v>
      </c>
      <c r="L251" t="s">
        <v>6408</v>
      </c>
      <c r="M251" t="str" cm="1">
        <f t="array" ref="M251">INDEX('Org List'!$A$2:$C$1005,MATCH(Consolidated!I251&amp;Consolidated!J251,'Org List'!$A$2:$A$1005&amp;'Org List'!$B$2:$B$1005,0),3)</f>
        <v>NGOs: International</v>
      </c>
    </row>
    <row r="252" spans="1:13" x14ac:dyDescent="0.25">
      <c r="A252">
        <v>2022</v>
      </c>
      <c r="B252" t="s">
        <v>2865</v>
      </c>
      <c r="C252" t="s">
        <v>3432</v>
      </c>
      <c r="D252" t="s">
        <v>30</v>
      </c>
      <c r="E252" t="s">
        <v>717</v>
      </c>
      <c r="F252">
        <v>4500237990</v>
      </c>
      <c r="G252" t="s">
        <v>4767</v>
      </c>
      <c r="H252" t="s">
        <v>3334</v>
      </c>
      <c r="I252" t="s">
        <v>3235</v>
      </c>
      <c r="J252" t="s">
        <v>717</v>
      </c>
      <c r="K252" s="2">
        <v>193967</v>
      </c>
      <c r="L252" t="s">
        <v>6408</v>
      </c>
      <c r="M252" t="str" cm="1">
        <f t="array" ref="M252">INDEX('Org List'!$A$2:$C$1005,MATCH(Consolidated!I252&amp;Consolidated!J252,'Org List'!$A$2:$A$1005&amp;'Org List'!$B$2:$B$1005,0),3)</f>
        <v>Other: Local</v>
      </c>
    </row>
    <row r="253" spans="1:13" x14ac:dyDescent="0.25">
      <c r="A253">
        <v>2022</v>
      </c>
      <c r="B253" t="s">
        <v>2865</v>
      </c>
      <c r="C253" t="s">
        <v>3432</v>
      </c>
      <c r="D253" t="s">
        <v>30</v>
      </c>
      <c r="E253" t="s">
        <v>717</v>
      </c>
      <c r="F253">
        <v>4500238014</v>
      </c>
      <c r="G253" t="s">
        <v>3938</v>
      </c>
      <c r="H253" t="s">
        <v>3334</v>
      </c>
      <c r="I253" t="s">
        <v>2441</v>
      </c>
      <c r="J253" t="s">
        <v>717</v>
      </c>
      <c r="K253" s="2">
        <v>520225</v>
      </c>
      <c r="L253" t="s">
        <v>6408</v>
      </c>
      <c r="M253" t="str" cm="1">
        <f t="array" ref="M253">INDEX('Org List'!$A$2:$C$1005,MATCH(Consolidated!I253&amp;Consolidated!J253,'Org List'!$A$2:$A$1005&amp;'Org List'!$B$2:$B$1005,0),3)</f>
        <v>NGOs: National</v>
      </c>
    </row>
    <row r="254" spans="1:13" x14ac:dyDescent="0.25">
      <c r="A254">
        <v>2022</v>
      </c>
      <c r="B254" t="s">
        <v>2865</v>
      </c>
      <c r="C254" t="s">
        <v>3432</v>
      </c>
      <c r="D254" t="s">
        <v>30</v>
      </c>
      <c r="E254" t="s">
        <v>717</v>
      </c>
      <c r="F254">
        <v>4500239094</v>
      </c>
      <c r="G254" t="s">
        <v>4768</v>
      </c>
      <c r="H254" t="s">
        <v>3334</v>
      </c>
      <c r="I254" t="s">
        <v>1160</v>
      </c>
      <c r="J254" t="s">
        <v>717</v>
      </c>
      <c r="K254" s="2">
        <v>40090</v>
      </c>
      <c r="L254" t="s">
        <v>6408</v>
      </c>
      <c r="M254" t="str" cm="1">
        <f t="array" ref="M254">INDEX('Org List'!$A$2:$C$1005,MATCH(Consolidated!I254&amp;Consolidated!J254,'Org List'!$A$2:$A$1005&amp;'Org List'!$B$2:$B$1005,0),3)</f>
        <v>NGOs: National</v>
      </c>
    </row>
    <row r="255" spans="1:13" x14ac:dyDescent="0.25">
      <c r="A255">
        <v>2022</v>
      </c>
      <c r="B255" t="s">
        <v>2865</v>
      </c>
      <c r="C255" t="s">
        <v>3432</v>
      </c>
      <c r="D255" t="s">
        <v>30</v>
      </c>
      <c r="E255" t="s">
        <v>717</v>
      </c>
      <c r="F255">
        <v>4500240010</v>
      </c>
      <c r="G255" t="s">
        <v>4769</v>
      </c>
      <c r="H255" t="s">
        <v>3334</v>
      </c>
      <c r="I255" t="s">
        <v>4770</v>
      </c>
      <c r="J255" t="s">
        <v>717</v>
      </c>
      <c r="K255" s="2">
        <v>428611</v>
      </c>
      <c r="L255" t="s">
        <v>6408</v>
      </c>
      <c r="M255" t="str" cm="1">
        <f t="array" ref="M255">INDEX('Org List'!$A$2:$C$1005,MATCH(Consolidated!I255&amp;Consolidated!J255,'Org List'!$A$2:$A$1005&amp;'Org List'!$B$2:$B$1005,0),3)</f>
        <v>NGOs: International</v>
      </c>
    </row>
    <row r="256" spans="1:13" x14ac:dyDescent="0.25">
      <c r="A256">
        <v>2022</v>
      </c>
      <c r="B256" t="s">
        <v>2865</v>
      </c>
      <c r="C256" t="s">
        <v>3432</v>
      </c>
      <c r="D256" t="s">
        <v>30</v>
      </c>
      <c r="E256" t="s">
        <v>717</v>
      </c>
      <c r="F256">
        <v>4500240291</v>
      </c>
      <c r="G256" t="s">
        <v>4771</v>
      </c>
      <c r="H256" t="s">
        <v>3334</v>
      </c>
      <c r="I256" t="s">
        <v>4772</v>
      </c>
      <c r="J256" t="s">
        <v>717</v>
      </c>
      <c r="K256" s="2">
        <v>385392</v>
      </c>
      <c r="L256" t="s">
        <v>6408</v>
      </c>
      <c r="M256" t="str" cm="1">
        <f t="array" ref="M256">INDEX('Org List'!$A$2:$C$1005,MATCH(Consolidated!I256&amp;Consolidated!J256,'Org List'!$A$2:$A$1005&amp;'Org List'!$B$2:$B$1005,0),3)</f>
        <v>NGOs: Internationally affiliated</v>
      </c>
    </row>
    <row r="257" spans="1:13" x14ac:dyDescent="0.25">
      <c r="A257">
        <v>2022</v>
      </c>
      <c r="B257" t="s">
        <v>2865</v>
      </c>
      <c r="C257" t="s">
        <v>3432</v>
      </c>
      <c r="D257" t="s">
        <v>30</v>
      </c>
      <c r="E257" t="s">
        <v>717</v>
      </c>
      <c r="F257">
        <v>4500241359</v>
      </c>
      <c r="G257" t="s">
        <v>4773</v>
      </c>
      <c r="H257" t="s">
        <v>3334</v>
      </c>
      <c r="I257" t="s">
        <v>4774</v>
      </c>
      <c r="J257" t="s">
        <v>717</v>
      </c>
      <c r="K257" s="2">
        <v>88231</v>
      </c>
      <c r="L257" t="s">
        <v>6408</v>
      </c>
      <c r="M257" t="str" cm="1">
        <f t="array" ref="M257">INDEX('Org List'!$A$2:$C$1005,MATCH(Consolidated!I257&amp;Consolidated!J257,'Org List'!$A$2:$A$1005&amp;'Org List'!$B$2:$B$1005,0),3)</f>
        <v>NGOs: National</v>
      </c>
    </row>
    <row r="258" spans="1:13" x14ac:dyDescent="0.25">
      <c r="A258">
        <v>2022</v>
      </c>
      <c r="B258" t="s">
        <v>2865</v>
      </c>
      <c r="C258" t="s">
        <v>3432</v>
      </c>
      <c r="D258" t="s">
        <v>30</v>
      </c>
      <c r="E258" t="s">
        <v>717</v>
      </c>
      <c r="F258">
        <v>4500242599</v>
      </c>
      <c r="G258" t="s">
        <v>4775</v>
      </c>
      <c r="H258" t="s">
        <v>3334</v>
      </c>
      <c r="I258" t="s">
        <v>2868</v>
      </c>
      <c r="J258" t="s">
        <v>717</v>
      </c>
      <c r="K258" s="2">
        <v>710303</v>
      </c>
      <c r="L258" t="s">
        <v>6408</v>
      </c>
      <c r="M258" t="str" cm="1">
        <f t="array" ref="M258">INDEX('Org List'!$A$2:$C$1005,MATCH(Consolidated!I258&amp;Consolidated!J258,'Org List'!$A$2:$A$1005&amp;'Org List'!$B$2:$B$1005,0),3)</f>
        <v>NGOs: International</v>
      </c>
    </row>
    <row r="259" spans="1:13" x14ac:dyDescent="0.25">
      <c r="A259">
        <v>2022</v>
      </c>
      <c r="B259" t="s">
        <v>2865</v>
      </c>
      <c r="C259" t="s">
        <v>3432</v>
      </c>
      <c r="D259" t="s">
        <v>30</v>
      </c>
      <c r="E259" t="s">
        <v>717</v>
      </c>
      <c r="F259">
        <v>4500263995</v>
      </c>
      <c r="G259" t="s">
        <v>4776</v>
      </c>
      <c r="H259" t="s">
        <v>3334</v>
      </c>
      <c r="I259" t="s">
        <v>720</v>
      </c>
      <c r="J259" t="s">
        <v>717</v>
      </c>
      <c r="K259" s="2">
        <v>124908</v>
      </c>
      <c r="L259" t="s">
        <v>6408</v>
      </c>
      <c r="M259" t="str" cm="1">
        <f t="array" ref="M259">INDEX('Org List'!$A$2:$C$1005,MATCH(Consolidated!I259&amp;Consolidated!J259,'Org List'!$A$2:$A$1005&amp;'Org List'!$B$2:$B$1005,0),3)</f>
        <v>NGOs: National</v>
      </c>
    </row>
    <row r="260" spans="1:13" x14ac:dyDescent="0.25">
      <c r="A260">
        <v>2022</v>
      </c>
      <c r="B260" t="s">
        <v>2865</v>
      </c>
      <c r="C260" t="s">
        <v>3432</v>
      </c>
      <c r="D260" t="s">
        <v>30</v>
      </c>
      <c r="E260" t="s">
        <v>717</v>
      </c>
      <c r="F260">
        <v>4500276269</v>
      </c>
      <c r="G260" t="s">
        <v>4777</v>
      </c>
      <c r="H260" t="s">
        <v>3334</v>
      </c>
      <c r="I260" t="s">
        <v>2364</v>
      </c>
      <c r="J260" t="s">
        <v>717</v>
      </c>
      <c r="K260" s="2">
        <v>101194</v>
      </c>
      <c r="L260" t="s">
        <v>6408</v>
      </c>
      <c r="M260" t="str" cm="1">
        <f t="array" ref="M260">INDEX('Org List'!$A$2:$C$1005,MATCH(Consolidated!I260&amp;Consolidated!J260,'Org List'!$A$2:$A$1005&amp;'Org List'!$B$2:$B$1005,0),3)</f>
        <v>NGOs: National</v>
      </c>
    </row>
    <row r="261" spans="1:13" x14ac:dyDescent="0.25">
      <c r="A261">
        <v>2022</v>
      </c>
      <c r="B261" t="s">
        <v>2865</v>
      </c>
      <c r="C261" t="s">
        <v>3432</v>
      </c>
      <c r="D261" t="s">
        <v>30</v>
      </c>
      <c r="E261" t="s">
        <v>717</v>
      </c>
      <c r="F261">
        <v>4500276433</v>
      </c>
      <c r="G261" t="s">
        <v>4778</v>
      </c>
      <c r="H261" t="s">
        <v>3334</v>
      </c>
      <c r="I261" t="s">
        <v>1160</v>
      </c>
      <c r="J261" t="s">
        <v>717</v>
      </c>
      <c r="K261" s="2">
        <v>117069</v>
      </c>
      <c r="L261" t="s">
        <v>6408</v>
      </c>
      <c r="M261" t="str" cm="1">
        <f t="array" ref="M261">INDEX('Org List'!$A$2:$C$1005,MATCH(Consolidated!I261&amp;Consolidated!J261,'Org List'!$A$2:$A$1005&amp;'Org List'!$B$2:$B$1005,0),3)</f>
        <v>NGOs: National</v>
      </c>
    </row>
    <row r="262" spans="1:13" x14ac:dyDescent="0.25">
      <c r="A262">
        <v>2022</v>
      </c>
      <c r="B262" t="s">
        <v>2865</v>
      </c>
      <c r="C262" t="s">
        <v>3432</v>
      </c>
      <c r="D262" t="s">
        <v>30</v>
      </c>
      <c r="E262" t="s">
        <v>717</v>
      </c>
      <c r="F262">
        <v>4500276605</v>
      </c>
      <c r="G262" t="s">
        <v>4779</v>
      </c>
      <c r="H262" t="s">
        <v>3334</v>
      </c>
      <c r="I262" t="s">
        <v>2441</v>
      </c>
      <c r="J262" t="s">
        <v>717</v>
      </c>
      <c r="K262" s="2">
        <v>305346</v>
      </c>
      <c r="L262" t="s">
        <v>6408</v>
      </c>
      <c r="M262" t="str" cm="1">
        <f t="array" ref="M262">INDEX('Org List'!$A$2:$C$1005,MATCH(Consolidated!I262&amp;Consolidated!J262,'Org List'!$A$2:$A$1005&amp;'Org List'!$B$2:$B$1005,0),3)</f>
        <v>NGOs: National</v>
      </c>
    </row>
    <row r="263" spans="1:13" x14ac:dyDescent="0.25">
      <c r="A263">
        <v>2022</v>
      </c>
      <c r="B263" t="s">
        <v>4780</v>
      </c>
      <c r="C263" t="s">
        <v>4781</v>
      </c>
      <c r="D263" t="s">
        <v>30</v>
      </c>
      <c r="E263" t="s">
        <v>128</v>
      </c>
      <c r="F263">
        <v>4500205226</v>
      </c>
      <c r="G263" t="s">
        <v>4782</v>
      </c>
      <c r="H263" t="s">
        <v>3334</v>
      </c>
      <c r="I263" t="s">
        <v>4783</v>
      </c>
      <c r="J263" t="s">
        <v>128</v>
      </c>
      <c r="K263" s="2">
        <v>24000</v>
      </c>
      <c r="L263" t="s">
        <v>6408</v>
      </c>
      <c r="M263" t="str" cm="1">
        <f t="array" ref="M263">INDEX('Org List'!$A$2:$C$1005,MATCH(Consolidated!I263&amp;Consolidated!J263,'Org List'!$A$2:$A$1005&amp;'Org List'!$B$2:$B$1005,0),3)</f>
        <v>NGOs: National</v>
      </c>
    </row>
    <row r="264" spans="1:13" x14ac:dyDescent="0.25">
      <c r="A264">
        <v>2022</v>
      </c>
      <c r="B264" t="s">
        <v>4780</v>
      </c>
      <c r="C264" t="s">
        <v>4781</v>
      </c>
      <c r="D264" t="s">
        <v>30</v>
      </c>
      <c r="E264" t="s">
        <v>128</v>
      </c>
      <c r="F264">
        <v>4500205492</v>
      </c>
      <c r="G264" t="s">
        <v>4784</v>
      </c>
      <c r="H264" t="s">
        <v>3334</v>
      </c>
      <c r="I264" t="s">
        <v>3510</v>
      </c>
      <c r="J264" t="s">
        <v>128</v>
      </c>
      <c r="K264" s="2">
        <v>24000</v>
      </c>
      <c r="L264" t="s">
        <v>6408</v>
      </c>
      <c r="M264" t="str" cm="1">
        <f t="array" ref="M264">INDEX('Org List'!$A$2:$C$1005,MATCH(Consolidated!I264&amp;Consolidated!J264,'Org List'!$A$2:$A$1005&amp;'Org List'!$B$2:$B$1005,0),3)</f>
        <v>NGOs: National</v>
      </c>
    </row>
    <row r="265" spans="1:13" x14ac:dyDescent="0.25">
      <c r="A265">
        <v>2022</v>
      </c>
      <c r="B265" t="s">
        <v>4780</v>
      </c>
      <c r="C265" t="s">
        <v>4781</v>
      </c>
      <c r="D265" t="s">
        <v>30</v>
      </c>
      <c r="E265" t="s">
        <v>128</v>
      </c>
      <c r="F265">
        <v>4500205498</v>
      </c>
      <c r="G265" t="s">
        <v>4784</v>
      </c>
      <c r="H265" t="s">
        <v>3334</v>
      </c>
      <c r="I265" t="s">
        <v>1768</v>
      </c>
      <c r="J265" t="s">
        <v>128</v>
      </c>
      <c r="K265" s="2">
        <v>24000</v>
      </c>
      <c r="L265" t="s">
        <v>6408</v>
      </c>
      <c r="M265" t="str" cm="1">
        <f t="array" ref="M265">INDEX('Org List'!$A$2:$C$1005,MATCH(Consolidated!I265&amp;Consolidated!J265,'Org List'!$A$2:$A$1005&amp;'Org List'!$B$2:$B$1005,0),3)</f>
        <v>NGOs: Local</v>
      </c>
    </row>
    <row r="266" spans="1:13" x14ac:dyDescent="0.25">
      <c r="A266">
        <v>2022</v>
      </c>
      <c r="B266" t="s">
        <v>4785</v>
      </c>
      <c r="C266" t="s">
        <v>4786</v>
      </c>
      <c r="D266" t="s">
        <v>30</v>
      </c>
      <c r="E266" t="s">
        <v>890</v>
      </c>
      <c r="F266">
        <v>4500194549</v>
      </c>
      <c r="G266" t="s">
        <v>4787</v>
      </c>
      <c r="H266" t="s">
        <v>3334</v>
      </c>
      <c r="I266" t="s">
        <v>891</v>
      </c>
      <c r="J266" t="s">
        <v>4686</v>
      </c>
      <c r="K266" s="2">
        <v>127000</v>
      </c>
      <c r="L266" t="s">
        <v>6408</v>
      </c>
      <c r="M266" t="str" cm="1">
        <f t="array" ref="M266">INDEX('Org List'!$A$2:$C$1005,MATCH(Consolidated!I266&amp;Consolidated!J266,'Org List'!$A$2:$A$1005&amp;'Org List'!$B$2:$B$1005,0),3)</f>
        <v>NGOs: Internationally affiliated</v>
      </c>
    </row>
    <row r="267" spans="1:13" x14ac:dyDescent="0.25">
      <c r="A267">
        <v>2022</v>
      </c>
      <c r="B267" t="s">
        <v>4785</v>
      </c>
      <c r="C267" t="s">
        <v>4786</v>
      </c>
      <c r="D267" t="s">
        <v>30</v>
      </c>
      <c r="E267" t="s">
        <v>890</v>
      </c>
      <c r="F267">
        <v>4500194814</v>
      </c>
      <c r="G267" t="s">
        <v>4788</v>
      </c>
      <c r="H267" t="s">
        <v>3334</v>
      </c>
      <c r="I267" t="s">
        <v>4685</v>
      </c>
      <c r="J267" t="s">
        <v>4686</v>
      </c>
      <c r="K267" s="2">
        <v>116134</v>
      </c>
      <c r="L267" t="s">
        <v>6408</v>
      </c>
      <c r="M267" t="str" cm="1">
        <f t="array" ref="M267">INDEX('Org List'!$A$2:$C$1005,MATCH(Consolidated!I267&amp;Consolidated!J267,'Org List'!$A$2:$A$1005&amp;'Org List'!$B$2:$B$1005,0),3)</f>
        <v>NGOs: International</v>
      </c>
    </row>
    <row r="268" spans="1:13" x14ac:dyDescent="0.25">
      <c r="A268">
        <v>2022</v>
      </c>
      <c r="B268" t="s">
        <v>4785</v>
      </c>
      <c r="C268" t="s">
        <v>4786</v>
      </c>
      <c r="D268" t="s">
        <v>30</v>
      </c>
      <c r="E268" t="s">
        <v>890</v>
      </c>
      <c r="F268">
        <v>4500196351</v>
      </c>
      <c r="G268" t="s">
        <v>4789</v>
      </c>
      <c r="H268" t="s">
        <v>3334</v>
      </c>
      <c r="I268" t="s">
        <v>1088</v>
      </c>
      <c r="J268" t="s">
        <v>4686</v>
      </c>
      <c r="K268" s="2">
        <v>170594</v>
      </c>
      <c r="L268" t="s">
        <v>6408</v>
      </c>
      <c r="M268" t="str" cm="1">
        <f t="array" ref="M268">INDEX('Org List'!$A$2:$C$1005,MATCH(Consolidated!I268&amp;Consolidated!J268,'Org List'!$A$2:$A$1005&amp;'Org List'!$B$2:$B$1005,0),3)</f>
        <v>NGOs: Internationally affiliated</v>
      </c>
    </row>
    <row r="269" spans="1:13" x14ac:dyDescent="0.25">
      <c r="A269">
        <v>2022</v>
      </c>
      <c r="B269" t="s">
        <v>4785</v>
      </c>
      <c r="C269" t="s">
        <v>4786</v>
      </c>
      <c r="D269" t="s">
        <v>30</v>
      </c>
      <c r="E269" t="s">
        <v>890</v>
      </c>
      <c r="F269">
        <v>4500198673</v>
      </c>
      <c r="G269" t="s">
        <v>4790</v>
      </c>
      <c r="H269" t="s">
        <v>3334</v>
      </c>
      <c r="I269" t="s">
        <v>1088</v>
      </c>
      <c r="J269" t="s">
        <v>4686</v>
      </c>
      <c r="K269" s="2">
        <v>108800</v>
      </c>
      <c r="L269" t="s">
        <v>6408</v>
      </c>
      <c r="M269" t="str" cm="1">
        <f t="array" ref="M269">INDEX('Org List'!$A$2:$C$1005,MATCH(Consolidated!I269&amp;Consolidated!J269,'Org List'!$A$2:$A$1005&amp;'Org List'!$B$2:$B$1005,0),3)</f>
        <v>NGOs: Internationally affiliated</v>
      </c>
    </row>
    <row r="270" spans="1:13" x14ac:dyDescent="0.25">
      <c r="A270">
        <v>2022</v>
      </c>
      <c r="B270" t="s">
        <v>4791</v>
      </c>
      <c r="C270" t="s">
        <v>3518</v>
      </c>
      <c r="D270" t="s">
        <v>30</v>
      </c>
      <c r="E270" t="s">
        <v>132</v>
      </c>
      <c r="F270">
        <v>4500186192</v>
      </c>
      <c r="G270" t="s">
        <v>4792</v>
      </c>
      <c r="H270" t="s">
        <v>3334</v>
      </c>
      <c r="I270" t="s">
        <v>1909</v>
      </c>
      <c r="J270" t="s">
        <v>132</v>
      </c>
      <c r="K270" s="2">
        <v>14076</v>
      </c>
      <c r="L270" t="s">
        <v>6408</v>
      </c>
      <c r="M270" t="str" cm="1">
        <f t="array" ref="M270">INDEX('Org List'!$A$2:$C$1005,MATCH(Consolidated!I270&amp;Consolidated!J270,'Org List'!$A$2:$A$1005&amp;'Org List'!$B$2:$B$1005,0),3)</f>
        <v>NGOs: National</v>
      </c>
    </row>
    <row r="271" spans="1:13" x14ac:dyDescent="0.25">
      <c r="A271">
        <v>2022</v>
      </c>
      <c r="B271" t="s">
        <v>4791</v>
      </c>
      <c r="C271" t="s">
        <v>3518</v>
      </c>
      <c r="D271" t="s">
        <v>30</v>
      </c>
      <c r="E271" t="s">
        <v>132</v>
      </c>
      <c r="F271">
        <v>4500244683</v>
      </c>
      <c r="G271" t="s">
        <v>4793</v>
      </c>
      <c r="H271" t="s">
        <v>3334</v>
      </c>
      <c r="I271" t="s">
        <v>3520</v>
      </c>
      <c r="J271" t="s">
        <v>132</v>
      </c>
      <c r="K271" s="2">
        <v>14753</v>
      </c>
      <c r="L271" t="s">
        <v>6408</v>
      </c>
      <c r="M271" t="str" cm="1">
        <f t="array" ref="M271">INDEX('Org List'!$A$2:$C$1005,MATCH(Consolidated!I271&amp;Consolidated!J271,'Org List'!$A$2:$A$1005&amp;'Org List'!$B$2:$B$1005,0),3)</f>
        <v>Other: National</v>
      </c>
    </row>
    <row r="272" spans="1:13" x14ac:dyDescent="0.25">
      <c r="A272">
        <v>2022</v>
      </c>
      <c r="B272" t="s">
        <v>4794</v>
      </c>
      <c r="C272" t="s">
        <v>4795</v>
      </c>
      <c r="D272" t="s">
        <v>30</v>
      </c>
      <c r="E272" t="s">
        <v>890</v>
      </c>
      <c r="F272">
        <v>4500200500</v>
      </c>
      <c r="G272" t="s">
        <v>4796</v>
      </c>
      <c r="H272" t="s">
        <v>3334</v>
      </c>
      <c r="I272" t="s">
        <v>4685</v>
      </c>
      <c r="J272" t="s">
        <v>4686</v>
      </c>
      <c r="K272" s="2">
        <v>157214</v>
      </c>
      <c r="L272" t="s">
        <v>6408</v>
      </c>
      <c r="M272" t="str" cm="1">
        <f t="array" ref="M272">INDEX('Org List'!$A$2:$C$1005,MATCH(Consolidated!I272&amp;Consolidated!J272,'Org List'!$A$2:$A$1005&amp;'Org List'!$B$2:$B$1005,0),3)</f>
        <v>NGOs: International</v>
      </c>
    </row>
    <row r="273" spans="1:13" x14ac:dyDescent="0.25">
      <c r="A273">
        <v>2022</v>
      </c>
      <c r="B273" t="s">
        <v>4794</v>
      </c>
      <c r="C273" t="s">
        <v>4795</v>
      </c>
      <c r="D273" t="s">
        <v>30</v>
      </c>
      <c r="E273" t="s">
        <v>890</v>
      </c>
      <c r="F273">
        <v>4500209497</v>
      </c>
      <c r="G273" t="s">
        <v>4797</v>
      </c>
      <c r="H273" t="s">
        <v>3334</v>
      </c>
      <c r="I273" t="s">
        <v>245</v>
      </c>
      <c r="J273" t="s">
        <v>4686</v>
      </c>
      <c r="K273" s="2">
        <v>71285</v>
      </c>
      <c r="L273" t="s">
        <v>6408</v>
      </c>
      <c r="M273" t="str" cm="1">
        <f t="array" ref="M273">INDEX('Org List'!$A$2:$C$1005,MATCH(Consolidated!I273&amp;Consolidated!J273,'Org List'!$A$2:$A$1005&amp;'Org List'!$B$2:$B$1005,0),3)</f>
        <v>Red Cross: National</v>
      </c>
    </row>
    <row r="274" spans="1:13" x14ac:dyDescent="0.25">
      <c r="A274">
        <v>2022</v>
      </c>
      <c r="B274" t="s">
        <v>4794</v>
      </c>
      <c r="C274" t="s">
        <v>4795</v>
      </c>
      <c r="D274" t="s">
        <v>30</v>
      </c>
      <c r="E274" t="s">
        <v>890</v>
      </c>
      <c r="F274">
        <v>4500209501</v>
      </c>
      <c r="G274" t="s">
        <v>4798</v>
      </c>
      <c r="H274" t="s">
        <v>3334</v>
      </c>
      <c r="I274" t="s">
        <v>247</v>
      </c>
      <c r="J274" t="s">
        <v>4686</v>
      </c>
      <c r="K274" s="2">
        <v>324721</v>
      </c>
      <c r="L274" t="s">
        <v>6408</v>
      </c>
      <c r="M274" t="str" cm="1">
        <f t="array" ref="M274">INDEX('Org List'!$A$2:$C$1005,MATCH(Consolidated!I274&amp;Consolidated!J274,'Org List'!$A$2:$A$1005&amp;'Org List'!$B$2:$B$1005,0),3)</f>
        <v>Other: Local</v>
      </c>
    </row>
    <row r="275" spans="1:13" x14ac:dyDescent="0.25">
      <c r="A275">
        <v>2022</v>
      </c>
      <c r="B275" t="s">
        <v>4794</v>
      </c>
      <c r="C275" t="s">
        <v>4795</v>
      </c>
      <c r="D275" t="s">
        <v>30</v>
      </c>
      <c r="E275" t="s">
        <v>890</v>
      </c>
      <c r="F275">
        <v>4500209506</v>
      </c>
      <c r="G275" t="s">
        <v>4799</v>
      </c>
      <c r="H275" t="s">
        <v>3334</v>
      </c>
      <c r="I275" t="s">
        <v>4800</v>
      </c>
      <c r="J275" t="s">
        <v>4686</v>
      </c>
      <c r="K275" s="2">
        <v>112700</v>
      </c>
      <c r="L275" t="s">
        <v>6408</v>
      </c>
      <c r="M275" t="str" cm="1">
        <f t="array" ref="M275">INDEX('Org List'!$A$2:$C$1005,MATCH(Consolidated!I275&amp;Consolidated!J275,'Org List'!$A$2:$A$1005&amp;'Org List'!$B$2:$B$1005,0),3)</f>
        <v>Red Cross: National</v>
      </c>
    </row>
    <row r="276" spans="1:13" x14ac:dyDescent="0.25">
      <c r="A276">
        <v>2022</v>
      </c>
      <c r="B276" t="s">
        <v>4794</v>
      </c>
      <c r="C276" t="s">
        <v>4795</v>
      </c>
      <c r="D276" t="s">
        <v>30</v>
      </c>
      <c r="E276" t="s">
        <v>890</v>
      </c>
      <c r="F276">
        <v>4500221729</v>
      </c>
      <c r="G276" t="s">
        <v>4801</v>
      </c>
      <c r="H276" t="s">
        <v>3334</v>
      </c>
      <c r="I276" t="s">
        <v>1088</v>
      </c>
      <c r="J276" t="s">
        <v>4686</v>
      </c>
      <c r="K276" s="2">
        <v>304612</v>
      </c>
      <c r="L276" t="s">
        <v>6408</v>
      </c>
      <c r="M276" t="str" cm="1">
        <f t="array" ref="M276">INDEX('Org List'!$A$2:$C$1005,MATCH(Consolidated!I276&amp;Consolidated!J276,'Org List'!$A$2:$A$1005&amp;'Org List'!$B$2:$B$1005,0),3)</f>
        <v>NGOs: Internationally affiliated</v>
      </c>
    </row>
    <row r="277" spans="1:13" x14ac:dyDescent="0.25">
      <c r="A277">
        <v>2022</v>
      </c>
      <c r="B277" t="s">
        <v>4794</v>
      </c>
      <c r="C277" t="s">
        <v>4795</v>
      </c>
      <c r="D277" t="s">
        <v>30</v>
      </c>
      <c r="E277" t="s">
        <v>890</v>
      </c>
      <c r="F277">
        <v>4500221741</v>
      </c>
      <c r="G277" t="s">
        <v>4802</v>
      </c>
      <c r="H277" t="s">
        <v>3334</v>
      </c>
      <c r="I277" t="s">
        <v>1088</v>
      </c>
      <c r="J277" t="s">
        <v>4686</v>
      </c>
      <c r="K277" s="2">
        <v>437634</v>
      </c>
      <c r="L277" t="s">
        <v>6408</v>
      </c>
      <c r="M277" t="str" cm="1">
        <f t="array" ref="M277">INDEX('Org List'!$A$2:$C$1005,MATCH(Consolidated!I277&amp;Consolidated!J277,'Org List'!$A$2:$A$1005&amp;'Org List'!$B$2:$B$1005,0),3)</f>
        <v>NGOs: Internationally affiliated</v>
      </c>
    </row>
    <row r="278" spans="1:13" x14ac:dyDescent="0.25">
      <c r="A278">
        <v>2022</v>
      </c>
      <c r="B278" t="s">
        <v>4794</v>
      </c>
      <c r="C278" t="s">
        <v>4795</v>
      </c>
      <c r="D278" t="s">
        <v>30</v>
      </c>
      <c r="E278" t="s">
        <v>890</v>
      </c>
      <c r="F278">
        <v>4500226166</v>
      </c>
      <c r="G278" t="s">
        <v>4803</v>
      </c>
      <c r="H278" t="s">
        <v>3334</v>
      </c>
      <c r="I278" t="s">
        <v>891</v>
      </c>
      <c r="J278" t="s">
        <v>4686</v>
      </c>
      <c r="K278" s="2">
        <v>190000</v>
      </c>
      <c r="L278" t="s">
        <v>6408</v>
      </c>
      <c r="M278" t="str" cm="1">
        <f t="array" ref="M278">INDEX('Org List'!$A$2:$C$1005,MATCH(Consolidated!I278&amp;Consolidated!J278,'Org List'!$A$2:$A$1005&amp;'Org List'!$B$2:$B$1005,0),3)</f>
        <v>NGOs: Internationally affiliated</v>
      </c>
    </row>
    <row r="279" spans="1:13" x14ac:dyDescent="0.25">
      <c r="A279">
        <v>2022</v>
      </c>
      <c r="B279" t="s">
        <v>2869</v>
      </c>
      <c r="C279" t="s">
        <v>4804</v>
      </c>
      <c r="D279" t="s">
        <v>30</v>
      </c>
      <c r="E279" t="s">
        <v>1607</v>
      </c>
      <c r="F279">
        <v>4500239531</v>
      </c>
      <c r="G279" t="s">
        <v>4805</v>
      </c>
      <c r="H279" t="s">
        <v>3334</v>
      </c>
      <c r="I279" t="s">
        <v>2872</v>
      </c>
      <c r="J279" t="s">
        <v>1607</v>
      </c>
      <c r="K279" s="2">
        <v>64055</v>
      </c>
      <c r="L279" t="s">
        <v>6408</v>
      </c>
      <c r="M279" t="str" cm="1">
        <f t="array" ref="M279">INDEX('Org List'!$A$2:$C$1005,MATCH(Consolidated!I279&amp;Consolidated!J279,'Org List'!$A$2:$A$1005&amp;'Org List'!$B$2:$B$1005,0),3)</f>
        <v>Red Cross: National</v>
      </c>
    </row>
    <row r="280" spans="1:13" x14ac:dyDescent="0.25">
      <c r="A280">
        <v>2022</v>
      </c>
      <c r="B280" t="s">
        <v>2869</v>
      </c>
      <c r="C280" t="s">
        <v>4804</v>
      </c>
      <c r="D280" t="s">
        <v>30</v>
      </c>
      <c r="E280" t="s">
        <v>1423</v>
      </c>
      <c r="F280">
        <v>4500223388</v>
      </c>
      <c r="G280" t="s">
        <v>4806</v>
      </c>
      <c r="H280" t="s">
        <v>3334</v>
      </c>
      <c r="I280" t="s">
        <v>4807</v>
      </c>
      <c r="J280" t="s">
        <v>1423</v>
      </c>
      <c r="K280" s="2">
        <v>44915</v>
      </c>
      <c r="L280" t="s">
        <v>6408</v>
      </c>
      <c r="M280" t="str" cm="1">
        <f t="array" ref="M280">INDEX('Org List'!$A$2:$C$1005,MATCH(Consolidated!I280&amp;Consolidated!J280,'Org List'!$A$2:$A$1005&amp;'Org List'!$B$2:$B$1005,0),3)</f>
        <v>Red Cross: National</v>
      </c>
    </row>
    <row r="281" spans="1:13" x14ac:dyDescent="0.25">
      <c r="A281">
        <v>2022</v>
      </c>
      <c r="B281" t="s">
        <v>4808</v>
      </c>
      <c r="C281" t="s">
        <v>4809</v>
      </c>
      <c r="D281" t="s">
        <v>30</v>
      </c>
      <c r="E281" t="s">
        <v>890</v>
      </c>
      <c r="F281">
        <v>4500189505</v>
      </c>
      <c r="G281" t="s">
        <v>4810</v>
      </c>
      <c r="H281" t="s">
        <v>3334</v>
      </c>
      <c r="I281" t="s">
        <v>1088</v>
      </c>
      <c r="J281" t="s">
        <v>4686</v>
      </c>
      <c r="K281" s="2">
        <v>33919</v>
      </c>
      <c r="L281" t="s">
        <v>6408</v>
      </c>
      <c r="M281" t="str" cm="1">
        <f t="array" ref="M281">INDEX('Org List'!$A$2:$C$1005,MATCH(Consolidated!I281&amp;Consolidated!J281,'Org List'!$A$2:$A$1005&amp;'Org List'!$B$2:$B$1005,0),3)</f>
        <v>NGOs: Internationally affiliated</v>
      </c>
    </row>
    <row r="282" spans="1:13" x14ac:dyDescent="0.25">
      <c r="A282">
        <v>2022</v>
      </c>
      <c r="B282" t="s">
        <v>4808</v>
      </c>
      <c r="C282" t="s">
        <v>4809</v>
      </c>
      <c r="D282" t="s">
        <v>30</v>
      </c>
      <c r="E282" t="s">
        <v>890</v>
      </c>
      <c r="F282">
        <v>4500189512</v>
      </c>
      <c r="G282" t="s">
        <v>4811</v>
      </c>
      <c r="H282" t="s">
        <v>3334</v>
      </c>
      <c r="I282" t="s">
        <v>4812</v>
      </c>
      <c r="J282" t="s">
        <v>4686</v>
      </c>
      <c r="K282" s="2">
        <v>12880</v>
      </c>
      <c r="L282" t="s">
        <v>6408</v>
      </c>
      <c r="M282" t="str" cm="1">
        <f t="array" ref="M282">INDEX('Org List'!$A$2:$C$1005,MATCH(Consolidated!I282&amp;Consolidated!J282,'Org List'!$A$2:$A$1005&amp;'Org List'!$B$2:$B$1005,0),3)</f>
        <v>Red Cross: National</v>
      </c>
    </row>
    <row r="283" spans="1:13" x14ac:dyDescent="0.25">
      <c r="A283">
        <v>2022</v>
      </c>
      <c r="B283" t="s">
        <v>4808</v>
      </c>
      <c r="C283" t="s">
        <v>4809</v>
      </c>
      <c r="D283" t="s">
        <v>30</v>
      </c>
      <c r="E283" t="s">
        <v>890</v>
      </c>
      <c r="F283">
        <v>4500190878</v>
      </c>
      <c r="G283" t="s">
        <v>4813</v>
      </c>
      <c r="H283" t="s">
        <v>3334</v>
      </c>
      <c r="I283" t="s">
        <v>4800</v>
      </c>
      <c r="J283" t="s">
        <v>4686</v>
      </c>
      <c r="K283" s="2">
        <v>16000</v>
      </c>
      <c r="L283" t="s">
        <v>6408</v>
      </c>
      <c r="M283" t="str" cm="1">
        <f t="array" ref="M283">INDEX('Org List'!$A$2:$C$1005,MATCH(Consolidated!I283&amp;Consolidated!J283,'Org List'!$A$2:$A$1005&amp;'Org List'!$B$2:$B$1005,0),3)</f>
        <v>Red Cross: National</v>
      </c>
    </row>
    <row r="284" spans="1:13" x14ac:dyDescent="0.25">
      <c r="A284">
        <v>2022</v>
      </c>
      <c r="B284" t="s">
        <v>4808</v>
      </c>
      <c r="C284" t="s">
        <v>4809</v>
      </c>
      <c r="D284" t="s">
        <v>30</v>
      </c>
      <c r="E284" t="s">
        <v>890</v>
      </c>
      <c r="F284">
        <v>4500194093</v>
      </c>
      <c r="G284" t="s">
        <v>4814</v>
      </c>
      <c r="H284" t="s">
        <v>3334</v>
      </c>
      <c r="I284" t="s">
        <v>245</v>
      </c>
      <c r="J284" t="s">
        <v>4686</v>
      </c>
      <c r="K284" s="2">
        <v>93500</v>
      </c>
      <c r="L284" t="s">
        <v>6408</v>
      </c>
      <c r="M284" t="str" cm="1">
        <f t="array" ref="M284">INDEX('Org List'!$A$2:$C$1005,MATCH(Consolidated!I284&amp;Consolidated!J284,'Org List'!$A$2:$A$1005&amp;'Org List'!$B$2:$B$1005,0),3)</f>
        <v>Red Cross: National</v>
      </c>
    </row>
    <row r="285" spans="1:13" x14ac:dyDescent="0.25">
      <c r="A285">
        <v>2022</v>
      </c>
      <c r="B285" t="s">
        <v>4808</v>
      </c>
      <c r="C285" t="s">
        <v>4809</v>
      </c>
      <c r="D285" t="s">
        <v>30</v>
      </c>
      <c r="E285" t="s">
        <v>890</v>
      </c>
      <c r="F285">
        <v>4500194365</v>
      </c>
      <c r="G285" t="s">
        <v>4815</v>
      </c>
      <c r="H285" t="s">
        <v>3334</v>
      </c>
      <c r="I285" t="s">
        <v>1088</v>
      </c>
      <c r="J285" t="s">
        <v>4686</v>
      </c>
      <c r="K285" s="2">
        <v>27540</v>
      </c>
      <c r="L285" t="s">
        <v>6408</v>
      </c>
      <c r="M285" t="str" cm="1">
        <f t="array" ref="M285">INDEX('Org List'!$A$2:$C$1005,MATCH(Consolidated!I285&amp;Consolidated!J285,'Org List'!$A$2:$A$1005&amp;'Org List'!$B$2:$B$1005,0),3)</f>
        <v>NGOs: Internationally affiliated</v>
      </c>
    </row>
    <row r="286" spans="1:13" x14ac:dyDescent="0.25">
      <c r="A286">
        <v>2022</v>
      </c>
      <c r="B286" t="s">
        <v>4808</v>
      </c>
      <c r="C286" t="s">
        <v>4809</v>
      </c>
      <c r="D286" t="s">
        <v>30</v>
      </c>
      <c r="E286" t="s">
        <v>890</v>
      </c>
      <c r="F286">
        <v>4500194458</v>
      </c>
      <c r="G286" t="s">
        <v>4816</v>
      </c>
      <c r="H286" t="s">
        <v>3334</v>
      </c>
      <c r="I286" t="s">
        <v>1088</v>
      </c>
      <c r="J286" t="s">
        <v>4686</v>
      </c>
      <c r="K286" s="2">
        <v>28000</v>
      </c>
      <c r="L286" t="s">
        <v>6408</v>
      </c>
      <c r="M286" t="str" cm="1">
        <f t="array" ref="M286">INDEX('Org List'!$A$2:$C$1005,MATCH(Consolidated!I286&amp;Consolidated!J286,'Org List'!$A$2:$A$1005&amp;'Org List'!$B$2:$B$1005,0),3)</f>
        <v>NGOs: Internationally affiliated</v>
      </c>
    </row>
    <row r="287" spans="1:13" x14ac:dyDescent="0.25">
      <c r="A287">
        <v>2022</v>
      </c>
      <c r="B287" t="s">
        <v>4808</v>
      </c>
      <c r="C287" t="s">
        <v>4809</v>
      </c>
      <c r="D287" t="s">
        <v>30</v>
      </c>
      <c r="E287" t="s">
        <v>890</v>
      </c>
      <c r="F287">
        <v>4500194515</v>
      </c>
      <c r="G287" t="s">
        <v>4817</v>
      </c>
      <c r="H287" t="s">
        <v>3334</v>
      </c>
      <c r="I287" t="s">
        <v>247</v>
      </c>
      <c r="J287" t="s">
        <v>4686</v>
      </c>
      <c r="K287" s="2">
        <v>115000</v>
      </c>
      <c r="L287" t="s">
        <v>6408</v>
      </c>
      <c r="M287" t="str" cm="1">
        <f t="array" ref="M287">INDEX('Org List'!$A$2:$C$1005,MATCH(Consolidated!I287&amp;Consolidated!J287,'Org List'!$A$2:$A$1005&amp;'Org List'!$B$2:$B$1005,0),3)</f>
        <v>Other: Local</v>
      </c>
    </row>
    <row r="288" spans="1:13" x14ac:dyDescent="0.25">
      <c r="A288">
        <v>2022</v>
      </c>
      <c r="B288" t="s">
        <v>4808</v>
      </c>
      <c r="C288" t="s">
        <v>4809</v>
      </c>
      <c r="D288" t="s">
        <v>30</v>
      </c>
      <c r="E288" t="s">
        <v>890</v>
      </c>
      <c r="F288">
        <v>4500194817</v>
      </c>
      <c r="G288" t="s">
        <v>4818</v>
      </c>
      <c r="H288" t="s">
        <v>3334</v>
      </c>
      <c r="I288" t="s">
        <v>1088</v>
      </c>
      <c r="J288" t="s">
        <v>4686</v>
      </c>
      <c r="K288" s="2">
        <v>9000</v>
      </c>
      <c r="L288" t="s">
        <v>6408</v>
      </c>
      <c r="M288" t="str" cm="1">
        <f t="array" ref="M288">INDEX('Org List'!$A$2:$C$1005,MATCH(Consolidated!I288&amp;Consolidated!J288,'Org List'!$A$2:$A$1005&amp;'Org List'!$B$2:$B$1005,0),3)</f>
        <v>NGOs: Internationally affiliated</v>
      </c>
    </row>
    <row r="289" spans="1:13" x14ac:dyDescent="0.25">
      <c r="A289">
        <v>2022</v>
      </c>
      <c r="B289" t="s">
        <v>4808</v>
      </c>
      <c r="C289" t="s">
        <v>4809</v>
      </c>
      <c r="D289" t="s">
        <v>30</v>
      </c>
      <c r="E289" t="s">
        <v>890</v>
      </c>
      <c r="F289">
        <v>4500254648</v>
      </c>
      <c r="G289" t="s">
        <v>4819</v>
      </c>
      <c r="H289" t="s">
        <v>3334</v>
      </c>
      <c r="I289" t="s">
        <v>247</v>
      </c>
      <c r="J289" t="s">
        <v>4686</v>
      </c>
      <c r="K289" s="2">
        <v>4500</v>
      </c>
      <c r="L289" t="s">
        <v>6408</v>
      </c>
      <c r="M289" t="str" cm="1">
        <f t="array" ref="M289">INDEX('Org List'!$A$2:$C$1005,MATCH(Consolidated!I289&amp;Consolidated!J289,'Org List'!$A$2:$A$1005&amp;'Org List'!$B$2:$B$1005,0),3)</f>
        <v>Other: Local</v>
      </c>
    </row>
    <row r="290" spans="1:13" x14ac:dyDescent="0.25">
      <c r="A290">
        <v>2022</v>
      </c>
      <c r="B290" t="s">
        <v>4808</v>
      </c>
      <c r="C290" t="s">
        <v>4809</v>
      </c>
      <c r="D290" t="s">
        <v>30</v>
      </c>
      <c r="E290" t="s">
        <v>890</v>
      </c>
      <c r="F290">
        <v>4500254889</v>
      </c>
      <c r="G290" t="s">
        <v>4820</v>
      </c>
      <c r="H290" t="s">
        <v>3334</v>
      </c>
      <c r="I290" t="s">
        <v>245</v>
      </c>
      <c r="J290" t="s">
        <v>4686</v>
      </c>
      <c r="K290" s="2">
        <v>3797</v>
      </c>
      <c r="L290" t="s">
        <v>6408</v>
      </c>
      <c r="M290" t="str" cm="1">
        <f t="array" ref="M290">INDEX('Org List'!$A$2:$C$1005,MATCH(Consolidated!I290&amp;Consolidated!J290,'Org List'!$A$2:$A$1005&amp;'Org List'!$B$2:$B$1005,0),3)</f>
        <v>Red Cross: National</v>
      </c>
    </row>
    <row r="291" spans="1:13" x14ac:dyDescent="0.25">
      <c r="A291">
        <v>2022</v>
      </c>
      <c r="B291" t="s">
        <v>4821</v>
      </c>
      <c r="C291" t="s">
        <v>4822</v>
      </c>
      <c r="D291" t="s">
        <v>30</v>
      </c>
      <c r="E291" t="s">
        <v>72</v>
      </c>
      <c r="F291">
        <v>4500224976</v>
      </c>
      <c r="G291" t="s">
        <v>4549</v>
      </c>
      <c r="H291" t="s">
        <v>3334</v>
      </c>
      <c r="I291" t="s">
        <v>4550</v>
      </c>
      <c r="J291" t="s">
        <v>72</v>
      </c>
      <c r="K291" s="2">
        <v>108349</v>
      </c>
      <c r="L291" t="s">
        <v>6408</v>
      </c>
      <c r="M291" t="str" cm="1">
        <f t="array" ref="M291">INDEX('Org List'!$A$2:$C$1005,MATCH(Consolidated!I291&amp;Consolidated!J291,'Org List'!$A$2:$A$1005&amp;'Org List'!$B$2:$B$1005,0),3)</f>
        <v>NGOs: National</v>
      </c>
    </row>
    <row r="292" spans="1:13" x14ac:dyDescent="0.25">
      <c r="A292">
        <v>2022</v>
      </c>
      <c r="B292" t="s">
        <v>4821</v>
      </c>
      <c r="C292" t="s">
        <v>4822</v>
      </c>
      <c r="D292" t="s">
        <v>30</v>
      </c>
      <c r="E292" t="s">
        <v>72</v>
      </c>
      <c r="F292">
        <v>4500224978</v>
      </c>
      <c r="G292" t="s">
        <v>4551</v>
      </c>
      <c r="H292" t="s">
        <v>3334</v>
      </c>
      <c r="I292" t="s">
        <v>4552</v>
      </c>
      <c r="J292" t="s">
        <v>72</v>
      </c>
      <c r="K292" s="2">
        <v>221523</v>
      </c>
      <c r="L292" t="s">
        <v>6408</v>
      </c>
      <c r="M292" t="str" cm="1">
        <f t="array" ref="M292">INDEX('Org List'!$A$2:$C$1005,MATCH(Consolidated!I292&amp;Consolidated!J292,'Org List'!$A$2:$A$1005&amp;'Org List'!$B$2:$B$1005,0),3)</f>
        <v>NGOs: National</v>
      </c>
    </row>
    <row r="293" spans="1:13" x14ac:dyDescent="0.25">
      <c r="A293">
        <v>2022</v>
      </c>
      <c r="B293" t="s">
        <v>4823</v>
      </c>
      <c r="C293" t="s">
        <v>4824</v>
      </c>
      <c r="D293" t="s">
        <v>30</v>
      </c>
      <c r="E293" t="s">
        <v>864</v>
      </c>
      <c r="F293">
        <v>4500183147</v>
      </c>
      <c r="G293" t="s">
        <v>4825</v>
      </c>
      <c r="H293" t="s">
        <v>3334</v>
      </c>
      <c r="I293" t="s">
        <v>866</v>
      </c>
      <c r="J293" t="s">
        <v>4826</v>
      </c>
      <c r="K293" s="2">
        <v>39407</v>
      </c>
      <c r="L293" t="s">
        <v>6408</v>
      </c>
      <c r="M293" t="str" cm="1">
        <f t="array" ref="M293">INDEX('Org List'!$A$2:$C$1005,MATCH(Consolidated!I293&amp;Consolidated!J293,'Org List'!$A$2:$A$1005&amp;'Org List'!$B$2:$B$1005,0),3)</f>
        <v>NGOs: Internationally affiliated</v>
      </c>
    </row>
    <row r="294" spans="1:13" x14ac:dyDescent="0.25">
      <c r="A294">
        <v>2022</v>
      </c>
      <c r="B294" t="s">
        <v>4823</v>
      </c>
      <c r="C294" t="s">
        <v>4824</v>
      </c>
      <c r="D294" t="s">
        <v>30</v>
      </c>
      <c r="E294" t="s">
        <v>261</v>
      </c>
      <c r="F294">
        <v>4500182835</v>
      </c>
      <c r="G294" t="s">
        <v>4827</v>
      </c>
      <c r="H294" t="s">
        <v>3334</v>
      </c>
      <c r="I294" t="s">
        <v>4472</v>
      </c>
      <c r="J294" t="s">
        <v>261</v>
      </c>
      <c r="K294" s="2">
        <v>47817</v>
      </c>
      <c r="L294" t="s">
        <v>6408</v>
      </c>
      <c r="M294" t="str" cm="1">
        <f t="array" ref="M294">INDEX('Org List'!$A$2:$C$1005,MATCH(Consolidated!I294&amp;Consolidated!J294,'Org List'!$A$2:$A$1005&amp;'Org List'!$B$2:$B$1005,0),3)</f>
        <v>NGOs: National</v>
      </c>
    </row>
    <row r="295" spans="1:13" x14ac:dyDescent="0.25">
      <c r="A295">
        <v>2022</v>
      </c>
      <c r="B295" t="s">
        <v>4823</v>
      </c>
      <c r="C295" t="s">
        <v>4824</v>
      </c>
      <c r="D295" t="s">
        <v>30</v>
      </c>
      <c r="E295" t="s">
        <v>261</v>
      </c>
      <c r="F295">
        <v>4500183870</v>
      </c>
      <c r="G295" t="s">
        <v>4828</v>
      </c>
      <c r="H295" t="s">
        <v>3334</v>
      </c>
      <c r="I295" t="s">
        <v>2981</v>
      </c>
      <c r="J295" t="s">
        <v>261</v>
      </c>
      <c r="K295" s="2">
        <v>176416</v>
      </c>
      <c r="L295" t="s">
        <v>6408</v>
      </c>
      <c r="M295" t="str" cm="1">
        <f t="array" ref="M295">INDEX('Org List'!$A$2:$C$1005,MATCH(Consolidated!I295&amp;Consolidated!J295,'Org List'!$A$2:$A$1005&amp;'Org List'!$B$2:$B$1005,0),3)</f>
        <v>Red Cross: National</v>
      </c>
    </row>
    <row r="296" spans="1:13" x14ac:dyDescent="0.25">
      <c r="A296">
        <v>2022</v>
      </c>
      <c r="B296" t="s">
        <v>4823</v>
      </c>
      <c r="C296" t="s">
        <v>4824</v>
      </c>
      <c r="D296" t="s">
        <v>30</v>
      </c>
      <c r="E296" t="s">
        <v>261</v>
      </c>
      <c r="F296">
        <v>4500184069</v>
      </c>
      <c r="G296" t="s">
        <v>4829</v>
      </c>
      <c r="H296" t="s">
        <v>3334</v>
      </c>
      <c r="I296" t="s">
        <v>4830</v>
      </c>
      <c r="J296" t="s">
        <v>261</v>
      </c>
      <c r="K296" s="2">
        <v>1566498</v>
      </c>
      <c r="L296" t="s">
        <v>6408</v>
      </c>
      <c r="M296" t="str" cm="1">
        <f t="array" ref="M296">INDEX('Org List'!$A$2:$C$1005,MATCH(Consolidated!I296&amp;Consolidated!J296,'Org List'!$A$2:$A$1005&amp;'Org List'!$B$2:$B$1005,0),3)</f>
        <v>NGOs: Internationally affiliated</v>
      </c>
    </row>
    <row r="297" spans="1:13" x14ac:dyDescent="0.25">
      <c r="A297">
        <v>2022</v>
      </c>
      <c r="B297" t="s">
        <v>4823</v>
      </c>
      <c r="C297" t="s">
        <v>4824</v>
      </c>
      <c r="D297" t="s">
        <v>30</v>
      </c>
      <c r="E297" t="s">
        <v>205</v>
      </c>
      <c r="F297">
        <v>4500181707</v>
      </c>
      <c r="G297" t="s">
        <v>4724</v>
      </c>
      <c r="H297" t="s">
        <v>3334</v>
      </c>
      <c r="I297" t="s">
        <v>869</v>
      </c>
      <c r="J297" t="s">
        <v>205</v>
      </c>
      <c r="K297" s="2">
        <v>16394</v>
      </c>
      <c r="L297" t="s">
        <v>6408</v>
      </c>
      <c r="M297" t="str" cm="1">
        <f t="array" ref="M297">INDEX('Org List'!$A$2:$C$1005,MATCH(Consolidated!I297&amp;Consolidated!J297,'Org List'!$A$2:$A$1005&amp;'Org List'!$B$2:$B$1005,0),3)</f>
        <v>NGOs: International</v>
      </c>
    </row>
    <row r="298" spans="1:13" x14ac:dyDescent="0.25">
      <c r="A298">
        <v>2022</v>
      </c>
      <c r="B298" t="s">
        <v>4823</v>
      </c>
      <c r="C298" t="s">
        <v>4824</v>
      </c>
      <c r="D298" t="s">
        <v>30</v>
      </c>
      <c r="E298" t="s">
        <v>205</v>
      </c>
      <c r="F298">
        <v>4500181715</v>
      </c>
      <c r="G298" t="s">
        <v>4831</v>
      </c>
      <c r="H298" t="s">
        <v>3334</v>
      </c>
      <c r="I298" t="s">
        <v>869</v>
      </c>
      <c r="J298" t="s">
        <v>205</v>
      </c>
      <c r="K298" s="2">
        <v>40000</v>
      </c>
      <c r="L298" t="s">
        <v>6408</v>
      </c>
      <c r="M298" t="str" cm="1">
        <f t="array" ref="M298">INDEX('Org List'!$A$2:$C$1005,MATCH(Consolidated!I298&amp;Consolidated!J298,'Org List'!$A$2:$A$1005&amp;'Org List'!$B$2:$B$1005,0),3)</f>
        <v>NGOs: International</v>
      </c>
    </row>
    <row r="299" spans="1:13" x14ac:dyDescent="0.25">
      <c r="A299">
        <v>2022</v>
      </c>
      <c r="B299" t="s">
        <v>4823</v>
      </c>
      <c r="C299" t="s">
        <v>4824</v>
      </c>
      <c r="D299" t="s">
        <v>30</v>
      </c>
      <c r="E299" t="s">
        <v>205</v>
      </c>
      <c r="F299">
        <v>4500189854</v>
      </c>
      <c r="G299" t="s">
        <v>4832</v>
      </c>
      <c r="H299" t="s">
        <v>3334</v>
      </c>
      <c r="I299" t="s">
        <v>869</v>
      </c>
      <c r="J299" t="s">
        <v>205</v>
      </c>
      <c r="K299" s="2">
        <v>535386</v>
      </c>
      <c r="L299" t="s">
        <v>6408</v>
      </c>
      <c r="M299" t="str" cm="1">
        <f t="array" ref="M299">INDEX('Org List'!$A$2:$C$1005,MATCH(Consolidated!I299&amp;Consolidated!J299,'Org List'!$A$2:$A$1005&amp;'Org List'!$B$2:$B$1005,0),3)</f>
        <v>NGOs: International</v>
      </c>
    </row>
    <row r="300" spans="1:13" x14ac:dyDescent="0.25">
      <c r="A300">
        <v>2022</v>
      </c>
      <c r="B300" t="s">
        <v>4823</v>
      </c>
      <c r="C300" t="s">
        <v>4824</v>
      </c>
      <c r="D300" t="s">
        <v>30</v>
      </c>
      <c r="E300" t="s">
        <v>205</v>
      </c>
      <c r="F300">
        <v>4500195179</v>
      </c>
      <c r="G300" t="s">
        <v>4833</v>
      </c>
      <c r="H300" t="s">
        <v>3334</v>
      </c>
      <c r="I300" t="s">
        <v>869</v>
      </c>
      <c r="J300" t="s">
        <v>205</v>
      </c>
      <c r="K300" s="2">
        <v>26000</v>
      </c>
      <c r="L300" t="s">
        <v>6408</v>
      </c>
      <c r="M300" t="str" cm="1">
        <f t="array" ref="M300">INDEX('Org List'!$A$2:$C$1005,MATCH(Consolidated!I300&amp;Consolidated!J300,'Org List'!$A$2:$A$1005&amp;'Org List'!$B$2:$B$1005,0),3)</f>
        <v>NGOs: International</v>
      </c>
    </row>
    <row r="301" spans="1:13" x14ac:dyDescent="0.25">
      <c r="A301">
        <v>2022</v>
      </c>
      <c r="B301" t="s">
        <v>4823</v>
      </c>
      <c r="C301" t="s">
        <v>4824</v>
      </c>
      <c r="D301" t="s">
        <v>30</v>
      </c>
      <c r="E301" t="s">
        <v>205</v>
      </c>
      <c r="F301">
        <v>4500211666</v>
      </c>
      <c r="G301" t="s">
        <v>4831</v>
      </c>
      <c r="H301" t="s">
        <v>3334</v>
      </c>
      <c r="I301" t="s">
        <v>869</v>
      </c>
      <c r="J301" t="s">
        <v>205</v>
      </c>
      <c r="K301" s="2">
        <v>57630</v>
      </c>
      <c r="L301" t="s">
        <v>6408</v>
      </c>
      <c r="M301" t="str" cm="1">
        <f t="array" ref="M301">INDEX('Org List'!$A$2:$C$1005,MATCH(Consolidated!I301&amp;Consolidated!J301,'Org List'!$A$2:$A$1005&amp;'Org List'!$B$2:$B$1005,0),3)</f>
        <v>NGOs: International</v>
      </c>
    </row>
    <row r="302" spans="1:13" x14ac:dyDescent="0.25">
      <c r="A302">
        <v>2022</v>
      </c>
      <c r="B302" t="s">
        <v>4823</v>
      </c>
      <c r="C302" t="s">
        <v>4824</v>
      </c>
      <c r="D302" t="s">
        <v>30</v>
      </c>
      <c r="E302" t="s">
        <v>205</v>
      </c>
      <c r="F302">
        <v>4500222863</v>
      </c>
      <c r="G302" t="s">
        <v>4834</v>
      </c>
      <c r="H302" t="s">
        <v>3334</v>
      </c>
      <c r="I302" t="s">
        <v>873</v>
      </c>
      <c r="J302" t="s">
        <v>205</v>
      </c>
      <c r="K302" s="2">
        <v>75000</v>
      </c>
      <c r="L302" t="s">
        <v>6408</v>
      </c>
      <c r="M302" t="str" cm="1">
        <f t="array" ref="M302">INDEX('Org List'!$A$2:$C$1005,MATCH(Consolidated!I302&amp;Consolidated!J302,'Org List'!$A$2:$A$1005&amp;'Org List'!$B$2:$B$1005,0),3)</f>
        <v>NGOs: National</v>
      </c>
    </row>
    <row r="303" spans="1:13" x14ac:dyDescent="0.25">
      <c r="A303">
        <v>2022</v>
      </c>
      <c r="B303" t="s">
        <v>4823</v>
      </c>
      <c r="C303" t="s">
        <v>4824</v>
      </c>
      <c r="D303" t="s">
        <v>30</v>
      </c>
      <c r="E303" t="s">
        <v>1355</v>
      </c>
      <c r="F303">
        <v>4500228920</v>
      </c>
      <c r="G303" t="s">
        <v>4835</v>
      </c>
      <c r="H303" t="s">
        <v>3334</v>
      </c>
      <c r="I303" t="s">
        <v>4836</v>
      </c>
      <c r="J303" t="s">
        <v>1355</v>
      </c>
      <c r="K303" s="2">
        <v>2590</v>
      </c>
      <c r="L303" t="s">
        <v>6408</v>
      </c>
      <c r="M303" t="str" cm="1">
        <f t="array" ref="M303">INDEX('Org List'!$A$2:$C$1005,MATCH(Consolidated!I303&amp;Consolidated!J303,'Org List'!$A$2:$A$1005&amp;'Org List'!$B$2:$B$1005,0),3)</f>
        <v>NGOs: National</v>
      </c>
    </row>
    <row r="304" spans="1:13" x14ac:dyDescent="0.25">
      <c r="A304">
        <v>2022</v>
      </c>
      <c r="B304" t="s">
        <v>4823</v>
      </c>
      <c r="C304" t="s">
        <v>4824</v>
      </c>
      <c r="D304" t="s">
        <v>30</v>
      </c>
      <c r="E304" t="s">
        <v>1355</v>
      </c>
      <c r="F304">
        <v>4500229880</v>
      </c>
      <c r="G304" t="s">
        <v>4837</v>
      </c>
      <c r="H304" t="s">
        <v>3334</v>
      </c>
      <c r="I304" t="s">
        <v>4838</v>
      </c>
      <c r="J304" t="s">
        <v>1355</v>
      </c>
      <c r="K304" s="2">
        <v>25248</v>
      </c>
      <c r="L304" t="s">
        <v>6408</v>
      </c>
      <c r="M304" t="str" cm="1">
        <f t="array" ref="M304">INDEX('Org List'!$A$2:$C$1005,MATCH(Consolidated!I304&amp;Consolidated!J304,'Org List'!$A$2:$A$1005&amp;'Org List'!$B$2:$B$1005,0),3)</f>
        <v>NGOs: National</v>
      </c>
    </row>
    <row r="305" spans="1:13" x14ac:dyDescent="0.25">
      <c r="A305">
        <v>2022</v>
      </c>
      <c r="B305" t="s">
        <v>4823</v>
      </c>
      <c r="C305" t="s">
        <v>4824</v>
      </c>
      <c r="D305" t="s">
        <v>30</v>
      </c>
      <c r="E305" t="s">
        <v>1355</v>
      </c>
      <c r="F305">
        <v>4500242340</v>
      </c>
      <c r="G305" t="s">
        <v>4839</v>
      </c>
      <c r="H305" t="s">
        <v>3334</v>
      </c>
      <c r="I305" t="s">
        <v>4836</v>
      </c>
      <c r="J305" t="s">
        <v>1355</v>
      </c>
      <c r="K305" s="2">
        <v>5826</v>
      </c>
      <c r="L305" t="s">
        <v>6408</v>
      </c>
      <c r="M305" t="str" cm="1">
        <f t="array" ref="M305">INDEX('Org List'!$A$2:$C$1005,MATCH(Consolidated!I305&amp;Consolidated!J305,'Org List'!$A$2:$A$1005&amp;'Org List'!$B$2:$B$1005,0),3)</f>
        <v>NGOs: National</v>
      </c>
    </row>
    <row r="306" spans="1:13" x14ac:dyDescent="0.25">
      <c r="A306">
        <v>2022</v>
      </c>
      <c r="B306" t="s">
        <v>4823</v>
      </c>
      <c r="C306" t="s">
        <v>4824</v>
      </c>
      <c r="D306" t="s">
        <v>30</v>
      </c>
      <c r="E306" t="s">
        <v>45</v>
      </c>
      <c r="F306">
        <v>4500226269</v>
      </c>
      <c r="G306" t="s">
        <v>4840</v>
      </c>
      <c r="H306" t="s">
        <v>3334</v>
      </c>
      <c r="I306" t="s">
        <v>4841</v>
      </c>
      <c r="J306" t="s">
        <v>45</v>
      </c>
      <c r="K306" s="2">
        <v>90040</v>
      </c>
      <c r="L306" t="s">
        <v>6408</v>
      </c>
      <c r="M306" t="str" cm="1">
        <f t="array" ref="M306">INDEX('Org List'!$A$2:$C$1005,MATCH(Consolidated!I306&amp;Consolidated!J306,'Org List'!$A$2:$A$1005&amp;'Org List'!$B$2:$B$1005,0),3)</f>
        <v>NGOs: Local</v>
      </c>
    </row>
    <row r="307" spans="1:13" x14ac:dyDescent="0.25">
      <c r="A307">
        <v>2022</v>
      </c>
      <c r="B307" t="s">
        <v>4823</v>
      </c>
      <c r="C307" t="s">
        <v>4824</v>
      </c>
      <c r="D307" t="s">
        <v>30</v>
      </c>
      <c r="E307" t="s">
        <v>45</v>
      </c>
      <c r="F307">
        <v>4500227174</v>
      </c>
      <c r="G307" t="s">
        <v>4842</v>
      </c>
      <c r="H307" t="s">
        <v>3334</v>
      </c>
      <c r="I307" t="s">
        <v>327</v>
      </c>
      <c r="J307" t="s">
        <v>45</v>
      </c>
      <c r="K307" s="2">
        <v>108000</v>
      </c>
      <c r="L307" t="s">
        <v>6408</v>
      </c>
      <c r="M307" t="str" cm="1">
        <f t="array" ref="M307">INDEX('Org List'!$A$2:$C$1005,MATCH(Consolidated!I307&amp;Consolidated!J307,'Org List'!$A$2:$A$1005&amp;'Org List'!$B$2:$B$1005,0),3)</f>
        <v>NGOs: Internationally affiliated</v>
      </c>
    </row>
    <row r="308" spans="1:13" x14ac:dyDescent="0.25">
      <c r="A308">
        <v>2022</v>
      </c>
      <c r="B308" t="s">
        <v>4823</v>
      </c>
      <c r="C308" t="s">
        <v>4824</v>
      </c>
      <c r="D308" t="s">
        <v>30</v>
      </c>
      <c r="E308" t="s">
        <v>45</v>
      </c>
      <c r="F308">
        <v>4500232335</v>
      </c>
      <c r="G308" t="s">
        <v>4843</v>
      </c>
      <c r="H308" t="s">
        <v>3334</v>
      </c>
      <c r="I308" t="s">
        <v>3736</v>
      </c>
      <c r="J308" t="s">
        <v>45</v>
      </c>
      <c r="K308" s="2">
        <v>83003</v>
      </c>
      <c r="L308" t="s">
        <v>6408</v>
      </c>
      <c r="M308" t="str" cm="1">
        <f t="array" ref="M308">INDEX('Org List'!$A$2:$C$1005,MATCH(Consolidated!I308&amp;Consolidated!J308,'Org List'!$A$2:$A$1005&amp;'Org List'!$B$2:$B$1005,0),3)</f>
        <v>NGOs: National</v>
      </c>
    </row>
    <row r="309" spans="1:13" x14ac:dyDescent="0.25">
      <c r="A309">
        <v>2022</v>
      </c>
      <c r="B309" t="s">
        <v>4823</v>
      </c>
      <c r="C309" t="s">
        <v>4824</v>
      </c>
      <c r="D309" t="s">
        <v>30</v>
      </c>
      <c r="E309" t="s">
        <v>210</v>
      </c>
      <c r="F309">
        <v>4500189495</v>
      </c>
      <c r="G309" t="s">
        <v>4844</v>
      </c>
      <c r="H309" t="s">
        <v>3334</v>
      </c>
      <c r="I309" t="s">
        <v>217</v>
      </c>
      <c r="J309" t="s">
        <v>210</v>
      </c>
      <c r="K309" s="2">
        <v>252927</v>
      </c>
      <c r="L309" t="s">
        <v>6408</v>
      </c>
      <c r="M309" t="str" cm="1">
        <f t="array" ref="M309">INDEX('Org List'!$A$2:$C$1005,MATCH(Consolidated!I309&amp;Consolidated!J309,'Org List'!$A$2:$A$1005&amp;'Org List'!$B$2:$B$1005,0),3)</f>
        <v>NGOs: Internationally affiliated</v>
      </c>
    </row>
    <row r="310" spans="1:13" x14ac:dyDescent="0.25">
      <c r="A310">
        <v>2022</v>
      </c>
      <c r="B310" t="s">
        <v>4823</v>
      </c>
      <c r="C310" t="s">
        <v>4824</v>
      </c>
      <c r="D310" t="s">
        <v>30</v>
      </c>
      <c r="E310" t="s">
        <v>210</v>
      </c>
      <c r="F310">
        <v>4500189805</v>
      </c>
      <c r="G310" t="s">
        <v>4845</v>
      </c>
      <c r="H310" t="s">
        <v>3334</v>
      </c>
      <c r="I310" t="s">
        <v>2416</v>
      </c>
      <c r="J310" t="s">
        <v>210</v>
      </c>
      <c r="K310" s="2">
        <v>346526</v>
      </c>
      <c r="L310" t="s">
        <v>6408</v>
      </c>
      <c r="M310" t="str" cm="1">
        <f t="array" ref="M310">INDEX('Org List'!$A$2:$C$1005,MATCH(Consolidated!I310&amp;Consolidated!J310,'Org List'!$A$2:$A$1005&amp;'Org List'!$B$2:$B$1005,0),3)</f>
        <v>NGOs: International</v>
      </c>
    </row>
    <row r="311" spans="1:13" x14ac:dyDescent="0.25">
      <c r="A311">
        <v>2022</v>
      </c>
      <c r="B311" t="s">
        <v>4823</v>
      </c>
      <c r="C311" t="s">
        <v>4824</v>
      </c>
      <c r="D311" t="s">
        <v>30</v>
      </c>
      <c r="E311" t="s">
        <v>210</v>
      </c>
      <c r="F311">
        <v>4500193457</v>
      </c>
      <c r="G311" t="s">
        <v>4846</v>
      </c>
      <c r="H311" t="s">
        <v>3334</v>
      </c>
      <c r="I311" t="s">
        <v>214</v>
      </c>
      <c r="J311" t="s">
        <v>210</v>
      </c>
      <c r="K311" s="2">
        <v>300000</v>
      </c>
      <c r="L311" t="s">
        <v>6408</v>
      </c>
      <c r="M311" t="str" cm="1">
        <f t="array" ref="M311">INDEX('Org List'!$A$2:$C$1005,MATCH(Consolidated!I311&amp;Consolidated!J311,'Org List'!$A$2:$A$1005&amp;'Org List'!$B$2:$B$1005,0),3)</f>
        <v>NGOs: National</v>
      </c>
    </row>
    <row r="312" spans="1:13" x14ac:dyDescent="0.25">
      <c r="A312">
        <v>2022</v>
      </c>
      <c r="B312" t="s">
        <v>4823</v>
      </c>
      <c r="C312" t="s">
        <v>4824</v>
      </c>
      <c r="D312" t="s">
        <v>30</v>
      </c>
      <c r="E312" t="s">
        <v>210</v>
      </c>
      <c r="F312">
        <v>4500198383</v>
      </c>
      <c r="G312" t="s">
        <v>4847</v>
      </c>
      <c r="H312" t="s">
        <v>3334</v>
      </c>
      <c r="I312" t="s">
        <v>363</v>
      </c>
      <c r="J312" t="s">
        <v>210</v>
      </c>
      <c r="K312" s="2">
        <v>840161</v>
      </c>
      <c r="L312" t="s">
        <v>6408</v>
      </c>
      <c r="M312" t="str" cm="1">
        <f t="array" ref="M312">INDEX('Org List'!$A$2:$C$1005,MATCH(Consolidated!I312&amp;Consolidated!J312,'Org List'!$A$2:$A$1005&amp;'Org List'!$B$2:$B$1005,0),3)</f>
        <v>NGOs: International</v>
      </c>
    </row>
    <row r="313" spans="1:13" x14ac:dyDescent="0.25">
      <c r="A313">
        <v>2022</v>
      </c>
      <c r="B313" t="s">
        <v>4823</v>
      </c>
      <c r="C313" t="s">
        <v>4824</v>
      </c>
      <c r="D313" t="s">
        <v>30</v>
      </c>
      <c r="E313" t="s">
        <v>210</v>
      </c>
      <c r="F313">
        <v>4500201767</v>
      </c>
      <c r="G313" t="s">
        <v>4848</v>
      </c>
      <c r="H313" t="s">
        <v>3334</v>
      </c>
      <c r="I313" t="s">
        <v>216</v>
      </c>
      <c r="J313" t="s">
        <v>210</v>
      </c>
      <c r="K313" s="2">
        <v>249355</v>
      </c>
      <c r="L313" t="s">
        <v>6408</v>
      </c>
      <c r="M313" t="str" cm="1">
        <f t="array" ref="M313">INDEX('Org List'!$A$2:$C$1005,MATCH(Consolidated!I313&amp;Consolidated!J313,'Org List'!$A$2:$A$1005&amp;'Org List'!$B$2:$B$1005,0),3)</f>
        <v>NGOs: International</v>
      </c>
    </row>
    <row r="314" spans="1:13" x14ac:dyDescent="0.25">
      <c r="A314">
        <v>2022</v>
      </c>
      <c r="B314" t="s">
        <v>4823</v>
      </c>
      <c r="C314" t="s">
        <v>4824</v>
      </c>
      <c r="D314" t="s">
        <v>30</v>
      </c>
      <c r="E314" t="s">
        <v>210</v>
      </c>
      <c r="F314">
        <v>4500201769</v>
      </c>
      <c r="G314" t="s">
        <v>4849</v>
      </c>
      <c r="H314" t="s">
        <v>3334</v>
      </c>
      <c r="I314" t="s">
        <v>211</v>
      </c>
      <c r="J314" t="s">
        <v>210</v>
      </c>
      <c r="K314" s="2">
        <v>547922</v>
      </c>
      <c r="L314" t="s">
        <v>6408</v>
      </c>
      <c r="M314" t="str" cm="1">
        <f t="array" ref="M314">INDEX('Org List'!$A$2:$C$1005,MATCH(Consolidated!I314&amp;Consolidated!J314,'Org List'!$A$2:$A$1005&amp;'Org List'!$B$2:$B$1005,0),3)</f>
        <v>NGOs: International</v>
      </c>
    </row>
    <row r="315" spans="1:13" x14ac:dyDescent="0.25">
      <c r="A315">
        <v>2022</v>
      </c>
      <c r="B315" t="s">
        <v>4823</v>
      </c>
      <c r="C315" t="s">
        <v>4824</v>
      </c>
      <c r="D315" t="s">
        <v>30</v>
      </c>
      <c r="E315" t="s">
        <v>210</v>
      </c>
      <c r="F315">
        <v>4500208188</v>
      </c>
      <c r="G315" t="s">
        <v>4850</v>
      </c>
      <c r="H315" t="s">
        <v>3334</v>
      </c>
      <c r="I315" t="s">
        <v>4851</v>
      </c>
      <c r="J315" t="s">
        <v>210</v>
      </c>
      <c r="K315" s="2">
        <v>128638</v>
      </c>
      <c r="L315" t="s">
        <v>6408</v>
      </c>
      <c r="M315" t="str" cm="1">
        <f t="array" ref="M315">INDEX('Org List'!$A$2:$C$1005,MATCH(Consolidated!I315&amp;Consolidated!J315,'Org List'!$A$2:$A$1005&amp;'Org List'!$B$2:$B$1005,0),3)</f>
        <v>NGOs: Internationally affiliated</v>
      </c>
    </row>
    <row r="316" spans="1:13" x14ac:dyDescent="0.25">
      <c r="A316">
        <v>2022</v>
      </c>
      <c r="B316" t="s">
        <v>4823</v>
      </c>
      <c r="C316" t="s">
        <v>4824</v>
      </c>
      <c r="D316" t="s">
        <v>30</v>
      </c>
      <c r="E316" t="s">
        <v>210</v>
      </c>
      <c r="F316">
        <v>4500210718</v>
      </c>
      <c r="G316" t="s">
        <v>4852</v>
      </c>
      <c r="H316" t="s">
        <v>3334</v>
      </c>
      <c r="I316" t="s">
        <v>2416</v>
      </c>
      <c r="J316" t="s">
        <v>210</v>
      </c>
      <c r="K316" s="2">
        <v>35043</v>
      </c>
      <c r="L316" t="s">
        <v>6408</v>
      </c>
      <c r="M316" t="str" cm="1">
        <f t="array" ref="M316">INDEX('Org List'!$A$2:$C$1005,MATCH(Consolidated!I316&amp;Consolidated!J316,'Org List'!$A$2:$A$1005&amp;'Org List'!$B$2:$B$1005,0),3)</f>
        <v>NGOs: International</v>
      </c>
    </row>
    <row r="317" spans="1:13" x14ac:dyDescent="0.25">
      <c r="A317">
        <v>2022</v>
      </c>
      <c r="B317" t="s">
        <v>4823</v>
      </c>
      <c r="C317" t="s">
        <v>4824</v>
      </c>
      <c r="D317" t="s">
        <v>30</v>
      </c>
      <c r="E317" t="s">
        <v>210</v>
      </c>
      <c r="F317">
        <v>4500221718</v>
      </c>
      <c r="G317" t="s">
        <v>4853</v>
      </c>
      <c r="H317" t="s">
        <v>3334</v>
      </c>
      <c r="I317" t="s">
        <v>214</v>
      </c>
      <c r="J317" t="s">
        <v>210</v>
      </c>
      <c r="K317" s="2">
        <v>190000</v>
      </c>
      <c r="L317" t="s">
        <v>6408</v>
      </c>
      <c r="M317" t="str" cm="1">
        <f t="array" ref="M317">INDEX('Org List'!$A$2:$C$1005,MATCH(Consolidated!I317&amp;Consolidated!J317,'Org List'!$A$2:$A$1005&amp;'Org List'!$B$2:$B$1005,0),3)</f>
        <v>NGOs: National</v>
      </c>
    </row>
    <row r="318" spans="1:13" x14ac:dyDescent="0.25">
      <c r="A318">
        <v>2022</v>
      </c>
      <c r="B318" t="s">
        <v>4823</v>
      </c>
      <c r="C318" t="s">
        <v>4824</v>
      </c>
      <c r="D318" t="s">
        <v>30</v>
      </c>
      <c r="E318" t="s">
        <v>167</v>
      </c>
      <c r="F318">
        <v>4500204107</v>
      </c>
      <c r="G318" t="s">
        <v>4854</v>
      </c>
      <c r="H318" t="s">
        <v>3334</v>
      </c>
      <c r="I318" t="s">
        <v>4855</v>
      </c>
      <c r="J318" t="s">
        <v>167</v>
      </c>
      <c r="K318" s="2">
        <v>88814</v>
      </c>
      <c r="L318" t="s">
        <v>6408</v>
      </c>
      <c r="M318" t="str" cm="1">
        <f t="array" ref="M318">INDEX('Org List'!$A$2:$C$1005,MATCH(Consolidated!I318&amp;Consolidated!J318,'Org List'!$A$2:$A$1005&amp;'Org List'!$B$2:$B$1005,0),3)</f>
        <v>NGOs: Local</v>
      </c>
    </row>
    <row r="319" spans="1:13" x14ac:dyDescent="0.25">
      <c r="A319">
        <v>2022</v>
      </c>
      <c r="B319" t="s">
        <v>4856</v>
      </c>
      <c r="C319" t="s">
        <v>4857</v>
      </c>
      <c r="D319" t="s">
        <v>30</v>
      </c>
      <c r="E319" t="s">
        <v>717</v>
      </c>
      <c r="F319">
        <v>4500206539</v>
      </c>
      <c r="G319" t="s">
        <v>4858</v>
      </c>
      <c r="H319" t="s">
        <v>3334</v>
      </c>
      <c r="I319" t="s">
        <v>1767</v>
      </c>
      <c r="J319" t="s">
        <v>717</v>
      </c>
      <c r="K319" s="2">
        <v>63233</v>
      </c>
      <c r="L319" t="s">
        <v>6408</v>
      </c>
      <c r="M319" t="str" cm="1">
        <f t="array" ref="M319">INDEX('Org List'!$A$2:$C$1005,MATCH(Consolidated!I319&amp;Consolidated!J319,'Org List'!$A$2:$A$1005&amp;'Org List'!$B$2:$B$1005,0),3)</f>
        <v>NGOs: National</v>
      </c>
    </row>
    <row r="320" spans="1:13" x14ac:dyDescent="0.25">
      <c r="A320">
        <v>2022</v>
      </c>
      <c r="B320" t="s">
        <v>4856</v>
      </c>
      <c r="C320" t="s">
        <v>4857</v>
      </c>
      <c r="D320" t="s">
        <v>30</v>
      </c>
      <c r="E320" t="s">
        <v>717</v>
      </c>
      <c r="F320">
        <v>4500226477</v>
      </c>
      <c r="G320" t="s">
        <v>4859</v>
      </c>
      <c r="H320" t="s">
        <v>3334</v>
      </c>
      <c r="I320" t="s">
        <v>2903</v>
      </c>
      <c r="J320" t="s">
        <v>717</v>
      </c>
      <c r="K320" s="2">
        <v>5797</v>
      </c>
      <c r="L320" t="s">
        <v>6408</v>
      </c>
      <c r="M320" t="str" cm="1">
        <f t="array" ref="M320">INDEX('Org List'!$A$2:$C$1005,MATCH(Consolidated!I320&amp;Consolidated!J320,'Org List'!$A$2:$A$1005&amp;'Org List'!$B$2:$B$1005,0),3)</f>
        <v>NGOs: National</v>
      </c>
    </row>
    <row r="321" spans="1:13" x14ac:dyDescent="0.25">
      <c r="A321">
        <v>2022</v>
      </c>
      <c r="B321" t="s">
        <v>4856</v>
      </c>
      <c r="C321" t="s">
        <v>4857</v>
      </c>
      <c r="D321" t="s">
        <v>30</v>
      </c>
      <c r="E321" t="s">
        <v>155</v>
      </c>
      <c r="F321">
        <v>4500222244</v>
      </c>
      <c r="G321" t="s">
        <v>4860</v>
      </c>
      <c r="H321" t="s">
        <v>3334</v>
      </c>
      <c r="I321" t="s">
        <v>156</v>
      </c>
      <c r="J321" t="s">
        <v>155</v>
      </c>
      <c r="K321" s="2">
        <v>60000</v>
      </c>
      <c r="L321" t="s">
        <v>6408</v>
      </c>
      <c r="M321" t="str" cm="1">
        <f t="array" ref="M321">INDEX('Org List'!$A$2:$C$1005,MATCH(Consolidated!I321&amp;Consolidated!J321,'Org List'!$A$2:$A$1005&amp;'Org List'!$B$2:$B$1005,0),3)</f>
        <v>NGOs: International</v>
      </c>
    </row>
    <row r="322" spans="1:13" x14ac:dyDescent="0.25">
      <c r="A322">
        <v>2022</v>
      </c>
      <c r="B322" t="s">
        <v>4861</v>
      </c>
      <c r="C322" t="s">
        <v>4862</v>
      </c>
      <c r="D322" t="s">
        <v>30</v>
      </c>
      <c r="E322" t="s">
        <v>717</v>
      </c>
      <c r="F322">
        <v>4500181201</v>
      </c>
      <c r="G322" t="s">
        <v>4863</v>
      </c>
      <c r="H322" t="s">
        <v>3334</v>
      </c>
      <c r="I322" t="s">
        <v>2796</v>
      </c>
      <c r="J322" t="s">
        <v>717</v>
      </c>
      <c r="K322" s="2">
        <v>40000</v>
      </c>
      <c r="L322" t="s">
        <v>6408</v>
      </c>
      <c r="M322" t="str" cm="1">
        <f t="array" ref="M322">INDEX('Org List'!$A$2:$C$1005,MATCH(Consolidated!I322&amp;Consolidated!J322,'Org List'!$A$2:$A$1005&amp;'Org List'!$B$2:$B$1005,0),3)</f>
        <v>NGOs: Local</v>
      </c>
    </row>
    <row r="323" spans="1:13" x14ac:dyDescent="0.25">
      <c r="A323">
        <v>2022</v>
      </c>
      <c r="B323" t="s">
        <v>4861</v>
      </c>
      <c r="C323" t="s">
        <v>4862</v>
      </c>
      <c r="D323" t="s">
        <v>30</v>
      </c>
      <c r="E323" t="s">
        <v>717</v>
      </c>
      <c r="F323">
        <v>4500219567</v>
      </c>
      <c r="G323" t="s">
        <v>4864</v>
      </c>
      <c r="H323" t="s">
        <v>3334</v>
      </c>
      <c r="I323" t="s">
        <v>4770</v>
      </c>
      <c r="J323" t="s">
        <v>717</v>
      </c>
      <c r="K323" s="2">
        <v>120000</v>
      </c>
      <c r="L323" t="s">
        <v>6408</v>
      </c>
      <c r="M323" t="str" cm="1">
        <f t="array" ref="M323">INDEX('Org List'!$A$2:$C$1005,MATCH(Consolidated!I323&amp;Consolidated!J323,'Org List'!$A$2:$A$1005&amp;'Org List'!$B$2:$B$1005,0),3)</f>
        <v>NGOs: International</v>
      </c>
    </row>
    <row r="324" spans="1:13" x14ac:dyDescent="0.25">
      <c r="A324">
        <v>2022</v>
      </c>
      <c r="B324" t="s">
        <v>4861</v>
      </c>
      <c r="C324" t="s">
        <v>4862</v>
      </c>
      <c r="D324" t="s">
        <v>30</v>
      </c>
      <c r="E324" t="s">
        <v>717</v>
      </c>
      <c r="F324">
        <v>4500220619</v>
      </c>
      <c r="G324" t="s">
        <v>4865</v>
      </c>
      <c r="H324" t="s">
        <v>3334</v>
      </c>
      <c r="I324" t="s">
        <v>1158</v>
      </c>
      <c r="J324" t="s">
        <v>717</v>
      </c>
      <c r="K324" s="2">
        <v>70797</v>
      </c>
      <c r="L324" t="s">
        <v>6408</v>
      </c>
      <c r="M324" t="str" cm="1">
        <f t="array" ref="M324">INDEX('Org List'!$A$2:$C$1005,MATCH(Consolidated!I324&amp;Consolidated!J324,'Org List'!$A$2:$A$1005&amp;'Org List'!$B$2:$B$1005,0),3)</f>
        <v>NGOs: National</v>
      </c>
    </row>
    <row r="325" spans="1:13" x14ac:dyDescent="0.25">
      <c r="A325">
        <v>2022</v>
      </c>
      <c r="B325" t="s">
        <v>4861</v>
      </c>
      <c r="C325" t="s">
        <v>4862</v>
      </c>
      <c r="D325" t="s">
        <v>30</v>
      </c>
      <c r="E325" t="s">
        <v>717</v>
      </c>
      <c r="F325">
        <v>4500224034</v>
      </c>
      <c r="G325" t="s">
        <v>3905</v>
      </c>
      <c r="H325" t="s">
        <v>3334</v>
      </c>
      <c r="I325" t="s">
        <v>3906</v>
      </c>
      <c r="J325" t="s">
        <v>717</v>
      </c>
      <c r="K325" s="2">
        <v>201682</v>
      </c>
      <c r="L325" t="s">
        <v>6408</v>
      </c>
      <c r="M325" t="str" cm="1">
        <f t="array" ref="M325">INDEX('Org List'!$A$2:$C$1005,MATCH(Consolidated!I325&amp;Consolidated!J325,'Org List'!$A$2:$A$1005&amp;'Org List'!$B$2:$B$1005,0),3)</f>
        <v>NGOs: International</v>
      </c>
    </row>
    <row r="326" spans="1:13" x14ac:dyDescent="0.25">
      <c r="A326">
        <v>2022</v>
      </c>
      <c r="B326" t="s">
        <v>3436</v>
      </c>
      <c r="C326" t="s">
        <v>3437</v>
      </c>
      <c r="D326" t="s">
        <v>30</v>
      </c>
      <c r="E326" t="s">
        <v>83</v>
      </c>
      <c r="F326">
        <v>4500184530</v>
      </c>
      <c r="G326" t="s">
        <v>4462</v>
      </c>
      <c r="H326" t="s">
        <v>3334</v>
      </c>
      <c r="I326" t="s">
        <v>86</v>
      </c>
      <c r="J326" t="s">
        <v>83</v>
      </c>
      <c r="K326" s="2">
        <v>184098</v>
      </c>
      <c r="L326" t="s">
        <v>6408</v>
      </c>
      <c r="M326" t="str" cm="1">
        <f t="array" ref="M326">INDEX('Org List'!$A$2:$C$1005,MATCH(Consolidated!I326&amp;Consolidated!J326,'Org List'!$A$2:$A$1005&amp;'Org List'!$B$2:$B$1005,0),3)</f>
        <v>NGOs: International</v>
      </c>
    </row>
    <row r="327" spans="1:13" x14ac:dyDescent="0.25">
      <c r="A327">
        <v>2022</v>
      </c>
      <c r="B327" t="s">
        <v>3436</v>
      </c>
      <c r="C327" t="s">
        <v>3437</v>
      </c>
      <c r="D327" t="s">
        <v>30</v>
      </c>
      <c r="E327" t="s">
        <v>83</v>
      </c>
      <c r="F327">
        <v>4500220318</v>
      </c>
      <c r="G327" t="s">
        <v>4866</v>
      </c>
      <c r="H327" t="s">
        <v>3334</v>
      </c>
      <c r="I327" t="s">
        <v>1968</v>
      </c>
      <c r="J327" t="s">
        <v>83</v>
      </c>
      <c r="K327" s="2">
        <v>50000</v>
      </c>
      <c r="L327" t="s">
        <v>6408</v>
      </c>
      <c r="M327" t="str" cm="1">
        <f t="array" ref="M327">INDEX('Org List'!$A$2:$C$1005,MATCH(Consolidated!I327&amp;Consolidated!J327,'Org List'!$A$2:$A$1005&amp;'Org List'!$B$2:$B$1005,0),3)</f>
        <v>NGOs: International</v>
      </c>
    </row>
    <row r="328" spans="1:13" x14ac:dyDescent="0.25">
      <c r="A328">
        <v>2022</v>
      </c>
      <c r="B328" t="s">
        <v>3436</v>
      </c>
      <c r="C328" t="s">
        <v>3437</v>
      </c>
      <c r="D328" t="s">
        <v>30</v>
      </c>
      <c r="E328" t="s">
        <v>83</v>
      </c>
      <c r="F328">
        <v>4500246397</v>
      </c>
      <c r="G328" t="s">
        <v>4867</v>
      </c>
      <c r="H328" t="s">
        <v>3334</v>
      </c>
      <c r="I328" t="s">
        <v>86</v>
      </c>
      <c r="J328" t="s">
        <v>83</v>
      </c>
      <c r="K328" s="2">
        <v>42555</v>
      </c>
      <c r="L328" t="s">
        <v>6408</v>
      </c>
      <c r="M328" t="str" cm="1">
        <f t="array" ref="M328">INDEX('Org List'!$A$2:$C$1005,MATCH(Consolidated!I328&amp;Consolidated!J328,'Org List'!$A$2:$A$1005&amp;'Org List'!$B$2:$B$1005,0),3)</f>
        <v>NGOs: International</v>
      </c>
    </row>
    <row r="329" spans="1:13" x14ac:dyDescent="0.25">
      <c r="A329">
        <v>2022</v>
      </c>
      <c r="B329" t="s">
        <v>4868</v>
      </c>
      <c r="C329" t="s">
        <v>1258</v>
      </c>
      <c r="D329" t="s">
        <v>30</v>
      </c>
      <c r="E329" t="s">
        <v>940</v>
      </c>
      <c r="F329">
        <v>4500195474</v>
      </c>
      <c r="G329" t="s">
        <v>4869</v>
      </c>
      <c r="H329" t="s">
        <v>3334</v>
      </c>
      <c r="I329" t="s">
        <v>338</v>
      </c>
      <c r="J329" t="s">
        <v>940</v>
      </c>
      <c r="K329" s="2">
        <v>299354</v>
      </c>
      <c r="L329" t="s">
        <v>6408</v>
      </c>
      <c r="M329" t="str" cm="1">
        <f t="array" ref="M329">INDEX('Org List'!$A$2:$C$1005,MATCH(Consolidated!I329&amp;Consolidated!J329,'Org List'!$A$2:$A$1005&amp;'Org List'!$B$2:$B$1005,0),3)</f>
        <v>NGOs: National</v>
      </c>
    </row>
    <row r="330" spans="1:13" x14ac:dyDescent="0.25">
      <c r="A330">
        <v>2022</v>
      </c>
      <c r="B330" t="s">
        <v>4868</v>
      </c>
      <c r="C330" t="s">
        <v>1258</v>
      </c>
      <c r="D330" t="s">
        <v>30</v>
      </c>
      <c r="E330" t="s">
        <v>940</v>
      </c>
      <c r="F330">
        <v>4500196487</v>
      </c>
      <c r="G330" t="s">
        <v>4870</v>
      </c>
      <c r="H330" t="s">
        <v>3334</v>
      </c>
      <c r="I330" t="s">
        <v>1260</v>
      </c>
      <c r="J330" t="s">
        <v>940</v>
      </c>
      <c r="K330" s="2">
        <v>99940</v>
      </c>
      <c r="L330" t="s">
        <v>6408</v>
      </c>
      <c r="M330" t="str" cm="1">
        <f t="array" ref="M330">INDEX('Org List'!$A$2:$C$1005,MATCH(Consolidated!I330&amp;Consolidated!J330,'Org List'!$A$2:$A$1005&amp;'Org List'!$B$2:$B$1005,0),3)</f>
        <v>NGOs: National</v>
      </c>
    </row>
    <row r="331" spans="1:13" x14ac:dyDescent="0.25">
      <c r="A331">
        <v>2022</v>
      </c>
      <c r="B331" t="s">
        <v>4868</v>
      </c>
      <c r="C331" t="s">
        <v>1258</v>
      </c>
      <c r="D331" t="s">
        <v>30</v>
      </c>
      <c r="E331" t="s">
        <v>940</v>
      </c>
      <c r="F331">
        <v>4500197646</v>
      </c>
      <c r="G331" t="s">
        <v>4871</v>
      </c>
      <c r="H331" t="s">
        <v>3334</v>
      </c>
      <c r="I331" t="s">
        <v>338</v>
      </c>
      <c r="J331" t="s">
        <v>940</v>
      </c>
      <c r="K331" s="2">
        <v>107530</v>
      </c>
      <c r="L331" t="s">
        <v>6408</v>
      </c>
      <c r="M331" t="str" cm="1">
        <f t="array" ref="M331">INDEX('Org List'!$A$2:$C$1005,MATCH(Consolidated!I331&amp;Consolidated!J331,'Org List'!$A$2:$A$1005&amp;'Org List'!$B$2:$B$1005,0),3)</f>
        <v>NGOs: National</v>
      </c>
    </row>
    <row r="332" spans="1:13" x14ac:dyDescent="0.25">
      <c r="A332">
        <v>2022</v>
      </c>
      <c r="B332" t="s">
        <v>4868</v>
      </c>
      <c r="C332" t="s">
        <v>1258</v>
      </c>
      <c r="D332" t="s">
        <v>30</v>
      </c>
      <c r="E332" t="s">
        <v>940</v>
      </c>
      <c r="F332">
        <v>4500197827</v>
      </c>
      <c r="G332" t="s">
        <v>4872</v>
      </c>
      <c r="H332" t="s">
        <v>3334</v>
      </c>
      <c r="I332" t="s">
        <v>1259</v>
      </c>
      <c r="J332" t="s">
        <v>940</v>
      </c>
      <c r="K332" s="2">
        <v>105366</v>
      </c>
      <c r="L332" t="s">
        <v>6408</v>
      </c>
      <c r="M332" t="str" cm="1">
        <f t="array" ref="M332">INDEX('Org List'!$A$2:$C$1005,MATCH(Consolidated!I332&amp;Consolidated!J332,'Org List'!$A$2:$A$1005&amp;'Org List'!$B$2:$B$1005,0),3)</f>
        <v>NGOs: National</v>
      </c>
    </row>
    <row r="333" spans="1:13" x14ac:dyDescent="0.25">
      <c r="A333">
        <v>2022</v>
      </c>
      <c r="B333" t="s">
        <v>4868</v>
      </c>
      <c r="C333" t="s">
        <v>1258</v>
      </c>
      <c r="D333" t="s">
        <v>30</v>
      </c>
      <c r="E333" t="s">
        <v>940</v>
      </c>
      <c r="F333">
        <v>4500208485</v>
      </c>
      <c r="G333" t="s">
        <v>4873</v>
      </c>
      <c r="H333" t="s">
        <v>3334</v>
      </c>
      <c r="I333" t="s">
        <v>1260</v>
      </c>
      <c r="J333" t="s">
        <v>940</v>
      </c>
      <c r="K333" s="2">
        <v>99905</v>
      </c>
      <c r="L333" t="s">
        <v>6408</v>
      </c>
      <c r="M333" t="str" cm="1">
        <f t="array" ref="M333">INDEX('Org List'!$A$2:$C$1005,MATCH(Consolidated!I333&amp;Consolidated!J333,'Org List'!$A$2:$A$1005&amp;'Org List'!$B$2:$B$1005,0),3)</f>
        <v>NGOs: National</v>
      </c>
    </row>
    <row r="334" spans="1:13" x14ac:dyDescent="0.25">
      <c r="A334">
        <v>2022</v>
      </c>
      <c r="B334" t="s">
        <v>4868</v>
      </c>
      <c r="C334" t="s">
        <v>1258</v>
      </c>
      <c r="D334" t="s">
        <v>30</v>
      </c>
      <c r="E334" t="s">
        <v>940</v>
      </c>
      <c r="F334">
        <v>4500224003</v>
      </c>
      <c r="G334" t="s">
        <v>4874</v>
      </c>
      <c r="H334" t="s">
        <v>3334</v>
      </c>
      <c r="I334" t="s">
        <v>338</v>
      </c>
      <c r="J334" t="s">
        <v>940</v>
      </c>
      <c r="K334" s="2">
        <v>94156</v>
      </c>
      <c r="L334" t="s">
        <v>6408</v>
      </c>
      <c r="M334" t="str" cm="1">
        <f t="array" ref="M334">INDEX('Org List'!$A$2:$C$1005,MATCH(Consolidated!I334&amp;Consolidated!J334,'Org List'!$A$2:$A$1005&amp;'Org List'!$B$2:$B$1005,0),3)</f>
        <v>NGOs: National</v>
      </c>
    </row>
    <row r="335" spans="1:13" x14ac:dyDescent="0.25">
      <c r="A335">
        <v>2022</v>
      </c>
      <c r="B335" t="s">
        <v>4868</v>
      </c>
      <c r="C335" t="s">
        <v>1258</v>
      </c>
      <c r="D335" t="s">
        <v>30</v>
      </c>
      <c r="E335" t="s">
        <v>940</v>
      </c>
      <c r="F335">
        <v>4500224004</v>
      </c>
      <c r="G335" t="s">
        <v>4875</v>
      </c>
      <c r="H335" t="s">
        <v>3334</v>
      </c>
      <c r="I335" t="s">
        <v>1260</v>
      </c>
      <c r="J335" t="s">
        <v>940</v>
      </c>
      <c r="K335" s="2">
        <v>92311</v>
      </c>
      <c r="L335" t="s">
        <v>6408</v>
      </c>
      <c r="M335" t="str" cm="1">
        <f t="array" ref="M335">INDEX('Org List'!$A$2:$C$1005,MATCH(Consolidated!I335&amp;Consolidated!J335,'Org List'!$A$2:$A$1005&amp;'Org List'!$B$2:$B$1005,0),3)</f>
        <v>NGOs: National</v>
      </c>
    </row>
    <row r="336" spans="1:13" x14ac:dyDescent="0.25">
      <c r="A336">
        <v>2022</v>
      </c>
      <c r="B336" t="s">
        <v>4868</v>
      </c>
      <c r="C336" t="s">
        <v>1258</v>
      </c>
      <c r="D336" t="s">
        <v>30</v>
      </c>
      <c r="E336" t="s">
        <v>940</v>
      </c>
      <c r="F336">
        <v>4500224008</v>
      </c>
      <c r="G336" t="s">
        <v>4875</v>
      </c>
      <c r="H336" t="s">
        <v>3334</v>
      </c>
      <c r="I336" t="s">
        <v>1260</v>
      </c>
      <c r="J336" t="s">
        <v>940</v>
      </c>
      <c r="K336" s="2">
        <v>93802</v>
      </c>
      <c r="L336" t="s">
        <v>6408</v>
      </c>
      <c r="M336" t="str" cm="1">
        <f t="array" ref="M336">INDEX('Org List'!$A$2:$C$1005,MATCH(Consolidated!I336&amp;Consolidated!J336,'Org List'!$A$2:$A$1005&amp;'Org List'!$B$2:$B$1005,0),3)</f>
        <v>NGOs: National</v>
      </c>
    </row>
    <row r="337" spans="1:13" x14ac:dyDescent="0.25">
      <c r="A337">
        <v>2022</v>
      </c>
      <c r="B337" t="s">
        <v>4868</v>
      </c>
      <c r="C337" t="s">
        <v>1258</v>
      </c>
      <c r="D337" t="s">
        <v>30</v>
      </c>
      <c r="E337" t="s">
        <v>940</v>
      </c>
      <c r="F337">
        <v>4500227927</v>
      </c>
      <c r="G337" t="s">
        <v>4876</v>
      </c>
      <c r="H337" t="s">
        <v>3334</v>
      </c>
      <c r="I337" t="s">
        <v>1259</v>
      </c>
      <c r="J337" t="s">
        <v>940</v>
      </c>
      <c r="K337" s="2">
        <v>100808</v>
      </c>
      <c r="L337" t="s">
        <v>6408</v>
      </c>
      <c r="M337" t="str" cm="1">
        <f t="array" ref="M337">INDEX('Org List'!$A$2:$C$1005,MATCH(Consolidated!I337&amp;Consolidated!J337,'Org List'!$A$2:$A$1005&amp;'Org List'!$B$2:$B$1005,0),3)</f>
        <v>NGOs: National</v>
      </c>
    </row>
    <row r="338" spans="1:13" x14ac:dyDescent="0.25">
      <c r="A338">
        <v>2022</v>
      </c>
      <c r="B338" t="s">
        <v>4868</v>
      </c>
      <c r="C338" t="s">
        <v>1258</v>
      </c>
      <c r="D338" t="s">
        <v>30</v>
      </c>
      <c r="E338" t="s">
        <v>940</v>
      </c>
      <c r="F338">
        <v>4500231658</v>
      </c>
      <c r="G338" t="s">
        <v>4877</v>
      </c>
      <c r="H338" t="s">
        <v>3334</v>
      </c>
      <c r="I338" t="s">
        <v>338</v>
      </c>
      <c r="J338" t="s">
        <v>940</v>
      </c>
      <c r="K338" s="2">
        <v>299870</v>
      </c>
      <c r="L338" t="s">
        <v>6408</v>
      </c>
      <c r="M338" t="str" cm="1">
        <f t="array" ref="M338">INDEX('Org List'!$A$2:$C$1005,MATCH(Consolidated!I338&amp;Consolidated!J338,'Org List'!$A$2:$A$1005&amp;'Org List'!$B$2:$B$1005,0),3)</f>
        <v>NGOs: National</v>
      </c>
    </row>
    <row r="339" spans="1:13" x14ac:dyDescent="0.25">
      <c r="A339">
        <v>2022</v>
      </c>
      <c r="B339" t="s">
        <v>4868</v>
      </c>
      <c r="C339" t="s">
        <v>1258</v>
      </c>
      <c r="D339" t="s">
        <v>30</v>
      </c>
      <c r="E339" t="s">
        <v>940</v>
      </c>
      <c r="F339">
        <v>4500241748</v>
      </c>
      <c r="G339" t="s">
        <v>4878</v>
      </c>
      <c r="H339" t="s">
        <v>3334</v>
      </c>
      <c r="I339" t="s">
        <v>338</v>
      </c>
      <c r="J339" t="s">
        <v>940</v>
      </c>
      <c r="K339" s="2">
        <v>149799</v>
      </c>
      <c r="L339" t="s">
        <v>6408</v>
      </c>
      <c r="M339" t="str" cm="1">
        <f t="array" ref="M339">INDEX('Org List'!$A$2:$C$1005,MATCH(Consolidated!I339&amp;Consolidated!J339,'Org List'!$A$2:$A$1005&amp;'Org List'!$B$2:$B$1005,0),3)</f>
        <v>NGOs: National</v>
      </c>
    </row>
    <row r="340" spans="1:13" x14ac:dyDescent="0.25">
      <c r="A340">
        <v>2022</v>
      </c>
      <c r="B340" t="s">
        <v>1243</v>
      </c>
      <c r="C340" t="s">
        <v>1244</v>
      </c>
      <c r="D340" t="s">
        <v>30</v>
      </c>
      <c r="E340" t="s">
        <v>32</v>
      </c>
      <c r="F340">
        <v>4500207660</v>
      </c>
      <c r="G340" t="s">
        <v>4879</v>
      </c>
      <c r="H340" t="s">
        <v>3334</v>
      </c>
      <c r="I340" t="s">
        <v>4597</v>
      </c>
      <c r="J340" t="s">
        <v>32</v>
      </c>
      <c r="K340" s="2">
        <v>23040</v>
      </c>
      <c r="L340" t="s">
        <v>6408</v>
      </c>
      <c r="M340" t="str" cm="1">
        <f t="array" ref="M340">INDEX('Org List'!$A$2:$C$1005,MATCH(Consolidated!I340&amp;Consolidated!J340,'Org List'!$A$2:$A$1005&amp;'Org List'!$B$2:$B$1005,0),3)</f>
        <v>NGOs: National</v>
      </c>
    </row>
    <row r="341" spans="1:13" x14ac:dyDescent="0.25">
      <c r="A341">
        <v>2022</v>
      </c>
      <c r="B341" t="s">
        <v>1243</v>
      </c>
      <c r="C341" t="s">
        <v>1244</v>
      </c>
      <c r="D341" t="s">
        <v>30</v>
      </c>
      <c r="E341" t="s">
        <v>32</v>
      </c>
      <c r="F341">
        <v>4500208602</v>
      </c>
      <c r="G341" t="s">
        <v>4879</v>
      </c>
      <c r="H341" t="s">
        <v>3334</v>
      </c>
      <c r="I341" t="s">
        <v>1691</v>
      </c>
      <c r="J341" t="s">
        <v>32</v>
      </c>
      <c r="K341" s="2">
        <v>21960</v>
      </c>
      <c r="L341" t="s">
        <v>6408</v>
      </c>
      <c r="M341" t="str" cm="1">
        <f t="array" ref="M341">INDEX('Org List'!$A$2:$C$1005,MATCH(Consolidated!I341&amp;Consolidated!J341,'Org List'!$A$2:$A$1005&amp;'Org List'!$B$2:$B$1005,0),3)</f>
        <v>NGOs: National</v>
      </c>
    </row>
    <row r="342" spans="1:13" x14ac:dyDescent="0.25">
      <c r="A342">
        <v>2022</v>
      </c>
      <c r="B342" t="s">
        <v>1243</v>
      </c>
      <c r="C342" t="s">
        <v>1244</v>
      </c>
      <c r="D342" t="s">
        <v>30</v>
      </c>
      <c r="E342" t="s">
        <v>32</v>
      </c>
      <c r="F342">
        <v>4500210270</v>
      </c>
      <c r="G342" t="s">
        <v>4880</v>
      </c>
      <c r="H342" t="s">
        <v>3334</v>
      </c>
      <c r="I342" t="s">
        <v>4881</v>
      </c>
      <c r="J342" t="s">
        <v>32</v>
      </c>
      <c r="K342" s="2">
        <v>38954</v>
      </c>
      <c r="L342" t="s">
        <v>6408</v>
      </c>
      <c r="M342" t="str" cm="1">
        <f t="array" ref="M342">INDEX('Org List'!$A$2:$C$1005,MATCH(Consolidated!I342&amp;Consolidated!J342,'Org List'!$A$2:$A$1005&amp;'Org List'!$B$2:$B$1005,0),3)</f>
        <v>NGOs: National</v>
      </c>
    </row>
    <row r="343" spans="1:13" x14ac:dyDescent="0.25">
      <c r="A343">
        <v>2022</v>
      </c>
      <c r="B343" t="s">
        <v>1243</v>
      </c>
      <c r="C343" t="s">
        <v>1244</v>
      </c>
      <c r="D343" t="s">
        <v>30</v>
      </c>
      <c r="E343" t="s">
        <v>32</v>
      </c>
      <c r="F343">
        <v>4500216777</v>
      </c>
      <c r="G343" t="s">
        <v>4882</v>
      </c>
      <c r="H343" t="s">
        <v>3334</v>
      </c>
      <c r="I343" t="s">
        <v>3439</v>
      </c>
      <c r="J343" t="s">
        <v>32</v>
      </c>
      <c r="K343" s="2">
        <v>7425</v>
      </c>
      <c r="L343" t="s">
        <v>6408</v>
      </c>
      <c r="M343" t="str" cm="1">
        <f t="array" ref="M343">INDEX('Org List'!$A$2:$C$1005,MATCH(Consolidated!I343&amp;Consolidated!J343,'Org List'!$A$2:$A$1005&amp;'Org List'!$B$2:$B$1005,0),3)</f>
        <v>NGOs: National</v>
      </c>
    </row>
    <row r="344" spans="1:13" x14ac:dyDescent="0.25">
      <c r="A344">
        <v>2022</v>
      </c>
      <c r="B344" t="s">
        <v>1243</v>
      </c>
      <c r="C344" t="s">
        <v>1244</v>
      </c>
      <c r="D344" t="s">
        <v>30</v>
      </c>
      <c r="E344" t="s">
        <v>32</v>
      </c>
      <c r="F344">
        <v>4500227099</v>
      </c>
      <c r="G344" t="s">
        <v>4883</v>
      </c>
      <c r="H344" t="s">
        <v>3334</v>
      </c>
      <c r="I344" t="s">
        <v>104</v>
      </c>
      <c r="J344" t="s">
        <v>32</v>
      </c>
      <c r="K344" s="2">
        <v>166158</v>
      </c>
      <c r="L344" t="s">
        <v>6408</v>
      </c>
      <c r="M344" t="str" cm="1">
        <f t="array" ref="M344">INDEX('Org List'!$A$2:$C$1005,MATCH(Consolidated!I344&amp;Consolidated!J344,'Org List'!$A$2:$A$1005&amp;'Org List'!$B$2:$B$1005,0),3)</f>
        <v>NGOs: Local</v>
      </c>
    </row>
    <row r="345" spans="1:13" x14ac:dyDescent="0.25">
      <c r="A345">
        <v>2022</v>
      </c>
      <c r="B345" t="s">
        <v>70</v>
      </c>
      <c r="C345" t="s">
        <v>71</v>
      </c>
      <c r="D345" t="s">
        <v>30</v>
      </c>
      <c r="E345" t="s">
        <v>150</v>
      </c>
      <c r="F345">
        <v>4500220987</v>
      </c>
      <c r="G345" t="s">
        <v>4884</v>
      </c>
      <c r="H345" t="s">
        <v>3334</v>
      </c>
      <c r="I345" t="s">
        <v>4885</v>
      </c>
      <c r="J345" t="s">
        <v>150</v>
      </c>
      <c r="K345" s="2">
        <v>63726</v>
      </c>
      <c r="L345" t="s">
        <v>6408</v>
      </c>
      <c r="M345" t="str" cm="1">
        <f t="array" ref="M345">INDEX('Org List'!$A$2:$C$1005,MATCH(Consolidated!I345&amp;Consolidated!J345,'Org List'!$A$2:$A$1005&amp;'Org List'!$B$2:$B$1005,0),3)</f>
        <v>NGOs: National</v>
      </c>
    </row>
    <row r="346" spans="1:13" x14ac:dyDescent="0.25">
      <c r="A346">
        <v>2022</v>
      </c>
      <c r="B346" t="s">
        <v>70</v>
      </c>
      <c r="C346" t="s">
        <v>71</v>
      </c>
      <c r="D346" t="s">
        <v>30</v>
      </c>
      <c r="E346" t="s">
        <v>477</v>
      </c>
      <c r="F346">
        <v>4500244078</v>
      </c>
      <c r="G346" t="s">
        <v>3821</v>
      </c>
      <c r="H346" t="s">
        <v>3334</v>
      </c>
      <c r="I346" t="s">
        <v>3200</v>
      </c>
      <c r="J346" t="s">
        <v>477</v>
      </c>
      <c r="K346" s="2">
        <v>5999</v>
      </c>
      <c r="L346" t="s">
        <v>6408</v>
      </c>
      <c r="M346" t="str" cm="1">
        <f t="array" ref="M346">INDEX('Org List'!$A$2:$C$1005,MATCH(Consolidated!I346&amp;Consolidated!J346,'Org List'!$A$2:$A$1005&amp;'Org List'!$B$2:$B$1005,0),3)</f>
        <v>NGOs: National</v>
      </c>
    </row>
    <row r="347" spans="1:13" x14ac:dyDescent="0.25">
      <c r="A347">
        <v>2022</v>
      </c>
      <c r="B347" t="s">
        <v>70</v>
      </c>
      <c r="C347" t="s">
        <v>71</v>
      </c>
      <c r="D347" t="s">
        <v>30</v>
      </c>
      <c r="E347" t="s">
        <v>477</v>
      </c>
      <c r="F347">
        <v>4500269371</v>
      </c>
      <c r="G347" t="s">
        <v>4886</v>
      </c>
      <c r="H347" t="s">
        <v>3334</v>
      </c>
      <c r="I347" t="s">
        <v>4887</v>
      </c>
      <c r="J347" t="s">
        <v>477</v>
      </c>
      <c r="K347" s="2">
        <v>4200</v>
      </c>
      <c r="L347" t="s">
        <v>6408</v>
      </c>
      <c r="M347" t="str" cm="1">
        <f t="array" ref="M347">INDEX('Org List'!$A$2:$C$1005,MATCH(Consolidated!I347&amp;Consolidated!J347,'Org List'!$A$2:$A$1005&amp;'Org List'!$B$2:$B$1005,0),3)</f>
        <v>Unknown</v>
      </c>
    </row>
    <row r="348" spans="1:13" x14ac:dyDescent="0.25">
      <c r="A348">
        <v>2022</v>
      </c>
      <c r="B348" t="s">
        <v>4888</v>
      </c>
      <c r="C348" t="s">
        <v>4889</v>
      </c>
      <c r="D348" t="s">
        <v>30</v>
      </c>
      <c r="E348" t="s">
        <v>150</v>
      </c>
      <c r="F348">
        <v>4500266142</v>
      </c>
      <c r="G348" t="s">
        <v>4890</v>
      </c>
      <c r="H348" t="s">
        <v>3334</v>
      </c>
      <c r="I348" t="s">
        <v>4891</v>
      </c>
      <c r="J348" t="s">
        <v>150</v>
      </c>
      <c r="K348" s="2">
        <v>150732</v>
      </c>
      <c r="L348" t="s">
        <v>6408</v>
      </c>
      <c r="M348" t="str" cm="1">
        <f t="array" ref="M348">INDEX('Org List'!$A$2:$C$1005,MATCH(Consolidated!I348&amp;Consolidated!J348,'Org List'!$A$2:$A$1005&amp;'Org List'!$B$2:$B$1005,0),3)</f>
        <v>NGOs: International</v>
      </c>
    </row>
    <row r="349" spans="1:13" x14ac:dyDescent="0.25">
      <c r="A349">
        <v>2022</v>
      </c>
      <c r="B349" t="s">
        <v>4888</v>
      </c>
      <c r="C349" t="s">
        <v>4889</v>
      </c>
      <c r="D349" t="s">
        <v>30</v>
      </c>
      <c r="E349" t="s">
        <v>150</v>
      </c>
      <c r="F349">
        <v>4500266159</v>
      </c>
      <c r="G349" t="s">
        <v>4529</v>
      </c>
      <c r="H349" t="s">
        <v>3334</v>
      </c>
      <c r="I349" t="s">
        <v>4530</v>
      </c>
      <c r="J349" t="s">
        <v>150</v>
      </c>
      <c r="K349" s="2">
        <v>61078</v>
      </c>
      <c r="L349" t="s">
        <v>6408</v>
      </c>
      <c r="M349" t="str" cm="1">
        <f t="array" ref="M349">INDEX('Org List'!$A$2:$C$1005,MATCH(Consolidated!I349&amp;Consolidated!J349,'Org List'!$A$2:$A$1005&amp;'Org List'!$B$2:$B$1005,0),3)</f>
        <v>NGOs: National</v>
      </c>
    </row>
    <row r="350" spans="1:13" x14ac:dyDescent="0.25">
      <c r="A350">
        <v>2022</v>
      </c>
      <c r="B350" t="s">
        <v>4888</v>
      </c>
      <c r="C350" t="s">
        <v>4889</v>
      </c>
      <c r="D350" t="s">
        <v>30</v>
      </c>
      <c r="E350" t="s">
        <v>150</v>
      </c>
      <c r="F350">
        <v>4500266187</v>
      </c>
      <c r="G350" t="s">
        <v>4531</v>
      </c>
      <c r="H350" t="s">
        <v>3334</v>
      </c>
      <c r="I350" t="s">
        <v>2046</v>
      </c>
      <c r="J350" t="s">
        <v>150</v>
      </c>
      <c r="K350" s="2">
        <v>24839</v>
      </c>
      <c r="L350" t="s">
        <v>6408</v>
      </c>
      <c r="M350" t="str" cm="1">
        <f t="array" ref="M350">INDEX('Org List'!$A$2:$C$1005,MATCH(Consolidated!I350&amp;Consolidated!J350,'Org List'!$A$2:$A$1005&amp;'Org List'!$B$2:$B$1005,0),3)</f>
        <v>NGOs: National</v>
      </c>
    </row>
    <row r="351" spans="1:13" x14ac:dyDescent="0.25">
      <c r="A351">
        <v>2022</v>
      </c>
      <c r="B351" t="s">
        <v>4888</v>
      </c>
      <c r="C351" t="s">
        <v>4889</v>
      </c>
      <c r="D351" t="s">
        <v>30</v>
      </c>
      <c r="E351" t="s">
        <v>150</v>
      </c>
      <c r="F351">
        <v>4500266216</v>
      </c>
      <c r="G351" t="s">
        <v>4892</v>
      </c>
      <c r="H351" t="s">
        <v>3334</v>
      </c>
      <c r="I351" t="s">
        <v>4893</v>
      </c>
      <c r="J351" t="s">
        <v>150</v>
      </c>
      <c r="K351" s="2">
        <v>48775</v>
      </c>
      <c r="L351" t="s">
        <v>6408</v>
      </c>
      <c r="M351" t="str" cm="1">
        <f t="array" ref="M351">INDEX('Org List'!$A$2:$C$1005,MATCH(Consolidated!I351&amp;Consolidated!J351,'Org List'!$A$2:$A$1005&amp;'Org List'!$B$2:$B$1005,0),3)</f>
        <v>NGOs: National</v>
      </c>
    </row>
    <row r="352" spans="1:13" x14ac:dyDescent="0.25">
      <c r="A352">
        <v>2022</v>
      </c>
      <c r="B352" t="s">
        <v>4888</v>
      </c>
      <c r="C352" t="s">
        <v>4889</v>
      </c>
      <c r="D352" t="s">
        <v>30</v>
      </c>
      <c r="E352" t="s">
        <v>150</v>
      </c>
      <c r="F352">
        <v>4500266225</v>
      </c>
      <c r="G352" t="s">
        <v>4894</v>
      </c>
      <c r="H352" t="s">
        <v>3334</v>
      </c>
      <c r="I352" t="s">
        <v>2526</v>
      </c>
      <c r="J352" t="s">
        <v>150</v>
      </c>
      <c r="K352" s="2">
        <v>58942</v>
      </c>
      <c r="L352" t="s">
        <v>6408</v>
      </c>
      <c r="M352" t="str" cm="1">
        <f t="array" ref="M352">INDEX('Org List'!$A$2:$C$1005,MATCH(Consolidated!I352&amp;Consolidated!J352,'Org List'!$A$2:$A$1005&amp;'Org List'!$B$2:$B$1005,0),3)</f>
        <v>NGOs: National</v>
      </c>
    </row>
    <row r="353" spans="1:13" x14ac:dyDescent="0.25">
      <c r="A353">
        <v>2022</v>
      </c>
      <c r="B353" t="s">
        <v>4888</v>
      </c>
      <c r="C353" t="s">
        <v>4889</v>
      </c>
      <c r="D353" t="s">
        <v>30</v>
      </c>
      <c r="E353" t="s">
        <v>477</v>
      </c>
      <c r="F353">
        <v>4500206033</v>
      </c>
      <c r="G353" t="s">
        <v>4895</v>
      </c>
      <c r="H353" t="s">
        <v>3334</v>
      </c>
      <c r="I353" t="s">
        <v>744</v>
      </c>
      <c r="J353" t="s">
        <v>477</v>
      </c>
      <c r="K353" s="2">
        <v>16470</v>
      </c>
      <c r="L353" t="s">
        <v>6408</v>
      </c>
      <c r="M353" t="str" cm="1">
        <f t="array" ref="M353">INDEX('Org List'!$A$2:$C$1005,MATCH(Consolidated!I353&amp;Consolidated!J353,'Org List'!$A$2:$A$1005&amp;'Org List'!$B$2:$B$1005,0),3)</f>
        <v>NGOs: National</v>
      </c>
    </row>
    <row r="354" spans="1:13" x14ac:dyDescent="0.25">
      <c r="A354">
        <v>2022</v>
      </c>
      <c r="B354" t="s">
        <v>4888</v>
      </c>
      <c r="C354" t="s">
        <v>4889</v>
      </c>
      <c r="D354" t="s">
        <v>30</v>
      </c>
      <c r="E354" t="s">
        <v>477</v>
      </c>
      <c r="F354">
        <v>4500206043</v>
      </c>
      <c r="G354" t="s">
        <v>4896</v>
      </c>
      <c r="H354" t="s">
        <v>3334</v>
      </c>
      <c r="I354" t="s">
        <v>506</v>
      </c>
      <c r="J354" t="s">
        <v>477</v>
      </c>
      <c r="K354" s="2">
        <v>15110</v>
      </c>
      <c r="L354" t="s">
        <v>6408</v>
      </c>
      <c r="M354" t="str" cm="1">
        <f t="array" ref="M354">INDEX('Org List'!$A$2:$C$1005,MATCH(Consolidated!I354&amp;Consolidated!J354,'Org List'!$A$2:$A$1005&amp;'Org List'!$B$2:$B$1005,0),3)</f>
        <v>NGOs: National</v>
      </c>
    </row>
    <row r="355" spans="1:13" x14ac:dyDescent="0.25">
      <c r="A355">
        <v>2022</v>
      </c>
      <c r="B355" t="s">
        <v>4888</v>
      </c>
      <c r="C355" t="s">
        <v>4889</v>
      </c>
      <c r="D355" t="s">
        <v>30</v>
      </c>
      <c r="E355" t="s">
        <v>477</v>
      </c>
      <c r="F355">
        <v>4500206047</v>
      </c>
      <c r="G355" t="s">
        <v>4897</v>
      </c>
      <c r="H355" t="s">
        <v>3334</v>
      </c>
      <c r="I355" t="s">
        <v>745</v>
      </c>
      <c r="J355" t="s">
        <v>477</v>
      </c>
      <c r="K355" s="2">
        <v>16705</v>
      </c>
      <c r="L355" t="s">
        <v>6408</v>
      </c>
      <c r="M355" t="str" cm="1">
        <f t="array" ref="M355">INDEX('Org List'!$A$2:$C$1005,MATCH(Consolidated!I355&amp;Consolidated!J355,'Org List'!$A$2:$A$1005&amp;'Org List'!$B$2:$B$1005,0),3)</f>
        <v>NGOs: National</v>
      </c>
    </row>
    <row r="356" spans="1:13" x14ac:dyDescent="0.25">
      <c r="A356">
        <v>2022</v>
      </c>
      <c r="B356" t="s">
        <v>4888</v>
      </c>
      <c r="C356" t="s">
        <v>4889</v>
      </c>
      <c r="D356" t="s">
        <v>30</v>
      </c>
      <c r="E356" t="s">
        <v>477</v>
      </c>
      <c r="F356">
        <v>4500206049</v>
      </c>
      <c r="G356" t="s">
        <v>4898</v>
      </c>
      <c r="H356" t="s">
        <v>3334</v>
      </c>
      <c r="I356" t="s">
        <v>4899</v>
      </c>
      <c r="J356" t="s">
        <v>477</v>
      </c>
      <c r="K356" s="2">
        <v>19318</v>
      </c>
      <c r="L356" t="s">
        <v>6408</v>
      </c>
      <c r="M356" t="str" cm="1">
        <f t="array" ref="M356">INDEX('Org List'!$A$2:$C$1005,MATCH(Consolidated!I356&amp;Consolidated!J356,'Org List'!$A$2:$A$1005&amp;'Org List'!$B$2:$B$1005,0),3)</f>
        <v>NGOs: National</v>
      </c>
    </row>
    <row r="357" spans="1:13" x14ac:dyDescent="0.25">
      <c r="A357">
        <v>2022</v>
      </c>
      <c r="B357" t="s">
        <v>3440</v>
      </c>
      <c r="C357" t="s">
        <v>3441</v>
      </c>
      <c r="D357" t="s">
        <v>30</v>
      </c>
      <c r="E357" t="s">
        <v>1346</v>
      </c>
      <c r="F357">
        <v>4500192882</v>
      </c>
      <c r="G357" t="s">
        <v>4900</v>
      </c>
      <c r="H357" t="s">
        <v>3334</v>
      </c>
      <c r="I357" t="s">
        <v>2041</v>
      </c>
      <c r="J357" t="s">
        <v>1346</v>
      </c>
      <c r="K357" s="2">
        <v>176000</v>
      </c>
      <c r="L357" t="s">
        <v>6408</v>
      </c>
      <c r="M357" t="str" cm="1">
        <f t="array" ref="M357">INDEX('Org List'!$A$2:$C$1005,MATCH(Consolidated!I357&amp;Consolidated!J357,'Org List'!$A$2:$A$1005&amp;'Org List'!$B$2:$B$1005,0),3)</f>
        <v>Red Cross: National</v>
      </c>
    </row>
    <row r="358" spans="1:13" x14ac:dyDescent="0.25">
      <c r="A358">
        <v>2022</v>
      </c>
      <c r="B358" t="s">
        <v>3440</v>
      </c>
      <c r="C358" t="s">
        <v>3441</v>
      </c>
      <c r="D358" t="s">
        <v>30</v>
      </c>
      <c r="E358" t="s">
        <v>1346</v>
      </c>
      <c r="F358">
        <v>4500261015</v>
      </c>
      <c r="G358" t="s">
        <v>4901</v>
      </c>
      <c r="H358" t="s">
        <v>3334</v>
      </c>
      <c r="I358" t="s">
        <v>4902</v>
      </c>
      <c r="J358" t="s">
        <v>1346</v>
      </c>
      <c r="K358" s="2">
        <v>495694</v>
      </c>
      <c r="L358" t="s">
        <v>6408</v>
      </c>
      <c r="M358" t="str" cm="1">
        <f t="array" ref="M358">INDEX('Org List'!$A$2:$C$1005,MATCH(Consolidated!I358&amp;Consolidated!J358,'Org List'!$A$2:$A$1005&amp;'Org List'!$B$2:$B$1005,0),3)</f>
        <v>NGOs: International</v>
      </c>
    </row>
    <row r="359" spans="1:13" x14ac:dyDescent="0.25">
      <c r="A359">
        <v>2022</v>
      </c>
      <c r="B359" t="s">
        <v>3440</v>
      </c>
      <c r="C359" t="s">
        <v>3441</v>
      </c>
      <c r="D359" t="s">
        <v>30</v>
      </c>
      <c r="E359" t="s">
        <v>1346</v>
      </c>
      <c r="F359">
        <v>4500268864</v>
      </c>
      <c r="G359" t="s">
        <v>4903</v>
      </c>
      <c r="H359" t="s">
        <v>3334</v>
      </c>
      <c r="I359" t="s">
        <v>2041</v>
      </c>
      <c r="J359" t="s">
        <v>1346</v>
      </c>
      <c r="K359" s="2">
        <v>132164</v>
      </c>
      <c r="L359" t="s">
        <v>6408</v>
      </c>
      <c r="M359" t="str" cm="1">
        <f t="array" ref="M359">INDEX('Org List'!$A$2:$C$1005,MATCH(Consolidated!I359&amp;Consolidated!J359,'Org List'!$A$2:$A$1005&amp;'Org List'!$B$2:$B$1005,0),3)</f>
        <v>Red Cross: National</v>
      </c>
    </row>
    <row r="360" spans="1:13" x14ac:dyDescent="0.25">
      <c r="A360">
        <v>2022</v>
      </c>
      <c r="B360" t="s">
        <v>4904</v>
      </c>
      <c r="C360" t="s">
        <v>4905</v>
      </c>
      <c r="D360" t="s">
        <v>30</v>
      </c>
      <c r="E360" t="s">
        <v>356</v>
      </c>
      <c r="F360">
        <v>4500206937</v>
      </c>
      <c r="G360" t="s">
        <v>4906</v>
      </c>
      <c r="H360" t="s">
        <v>3334</v>
      </c>
      <c r="I360" t="s">
        <v>1315</v>
      </c>
      <c r="J360" t="s">
        <v>356</v>
      </c>
      <c r="K360" s="2">
        <v>188604</v>
      </c>
      <c r="L360" t="s">
        <v>6408</v>
      </c>
      <c r="M360" t="str" cm="1">
        <f t="array" ref="M360">INDEX('Org List'!$A$2:$C$1005,MATCH(Consolidated!I360&amp;Consolidated!J360,'Org List'!$A$2:$A$1005&amp;'Org List'!$B$2:$B$1005,0),3)</f>
        <v>NGOs: National</v>
      </c>
    </row>
    <row r="361" spans="1:13" x14ac:dyDescent="0.25">
      <c r="A361">
        <v>2022</v>
      </c>
      <c r="B361" t="s">
        <v>4904</v>
      </c>
      <c r="C361" t="s">
        <v>4905</v>
      </c>
      <c r="D361" t="s">
        <v>30</v>
      </c>
      <c r="E361" t="s">
        <v>356</v>
      </c>
      <c r="F361">
        <v>4500207259</v>
      </c>
      <c r="G361" t="s">
        <v>4907</v>
      </c>
      <c r="H361" t="s">
        <v>3334</v>
      </c>
      <c r="I361" t="s">
        <v>3541</v>
      </c>
      <c r="J361" t="s">
        <v>356</v>
      </c>
      <c r="K361" s="2">
        <v>101518</v>
      </c>
      <c r="L361" t="s">
        <v>6408</v>
      </c>
      <c r="M361" t="str" cm="1">
        <f t="array" ref="M361">INDEX('Org List'!$A$2:$C$1005,MATCH(Consolidated!I361&amp;Consolidated!J361,'Org List'!$A$2:$A$1005&amp;'Org List'!$B$2:$B$1005,0),3)</f>
        <v>NGOs: National</v>
      </c>
    </row>
    <row r="362" spans="1:13" x14ac:dyDescent="0.25">
      <c r="A362">
        <v>2022</v>
      </c>
      <c r="B362" t="s">
        <v>4904</v>
      </c>
      <c r="C362" t="s">
        <v>4905</v>
      </c>
      <c r="D362" t="s">
        <v>30</v>
      </c>
      <c r="E362" t="s">
        <v>356</v>
      </c>
      <c r="F362">
        <v>4500207284</v>
      </c>
      <c r="G362" t="s">
        <v>4908</v>
      </c>
      <c r="H362" t="s">
        <v>3334</v>
      </c>
      <c r="I362" t="s">
        <v>1310</v>
      </c>
      <c r="J362" t="s">
        <v>356</v>
      </c>
      <c r="K362" s="2">
        <v>99798</v>
      </c>
      <c r="L362" t="s">
        <v>6408</v>
      </c>
      <c r="M362" t="str" cm="1">
        <f t="array" ref="M362">INDEX('Org List'!$A$2:$C$1005,MATCH(Consolidated!I362&amp;Consolidated!J362,'Org List'!$A$2:$A$1005&amp;'Org List'!$B$2:$B$1005,0),3)</f>
        <v>NGOs: National</v>
      </c>
    </row>
    <row r="363" spans="1:13" x14ac:dyDescent="0.25">
      <c r="A363">
        <v>2022</v>
      </c>
      <c r="B363" t="s">
        <v>4904</v>
      </c>
      <c r="C363" t="s">
        <v>4905</v>
      </c>
      <c r="D363" t="s">
        <v>30</v>
      </c>
      <c r="E363" t="s">
        <v>356</v>
      </c>
      <c r="F363">
        <v>4500207294</v>
      </c>
      <c r="G363" t="s">
        <v>4909</v>
      </c>
      <c r="H363" t="s">
        <v>3334</v>
      </c>
      <c r="I363" t="s">
        <v>357</v>
      </c>
      <c r="J363" t="s">
        <v>356</v>
      </c>
      <c r="K363" s="2">
        <v>118443</v>
      </c>
      <c r="L363" t="s">
        <v>6408</v>
      </c>
      <c r="M363" t="str" cm="1">
        <f t="array" ref="M363">INDEX('Org List'!$A$2:$C$1005,MATCH(Consolidated!I363&amp;Consolidated!J363,'Org List'!$A$2:$A$1005&amp;'Org List'!$B$2:$B$1005,0),3)</f>
        <v>NGOs: National</v>
      </c>
    </row>
    <row r="364" spans="1:13" x14ac:dyDescent="0.25">
      <c r="A364">
        <v>2022</v>
      </c>
      <c r="B364" t="s">
        <v>4904</v>
      </c>
      <c r="C364" t="s">
        <v>4905</v>
      </c>
      <c r="D364" t="s">
        <v>30</v>
      </c>
      <c r="E364" t="s">
        <v>356</v>
      </c>
      <c r="F364">
        <v>4500207361</v>
      </c>
      <c r="G364" t="s">
        <v>4910</v>
      </c>
      <c r="H364" t="s">
        <v>3334</v>
      </c>
      <c r="I364" t="s">
        <v>827</v>
      </c>
      <c r="J364" t="s">
        <v>356</v>
      </c>
      <c r="K364" s="2">
        <v>86251</v>
      </c>
      <c r="L364" t="s">
        <v>6408</v>
      </c>
      <c r="M364" t="str" cm="1">
        <f t="array" ref="M364">INDEX('Org List'!$A$2:$C$1005,MATCH(Consolidated!I364&amp;Consolidated!J364,'Org List'!$A$2:$A$1005&amp;'Org List'!$B$2:$B$1005,0),3)</f>
        <v>NGOs: National</v>
      </c>
    </row>
    <row r="365" spans="1:13" x14ac:dyDescent="0.25">
      <c r="A365">
        <v>2022</v>
      </c>
      <c r="B365" t="s">
        <v>4904</v>
      </c>
      <c r="C365" t="s">
        <v>4905</v>
      </c>
      <c r="D365" t="s">
        <v>30</v>
      </c>
      <c r="E365" t="s">
        <v>356</v>
      </c>
      <c r="F365">
        <v>4500207387</v>
      </c>
      <c r="G365" t="s">
        <v>4911</v>
      </c>
      <c r="H365" t="s">
        <v>3334</v>
      </c>
      <c r="I365" t="s">
        <v>1307</v>
      </c>
      <c r="J365" t="s">
        <v>356</v>
      </c>
      <c r="K365" s="2">
        <v>161430</v>
      </c>
      <c r="L365" t="s">
        <v>6408</v>
      </c>
      <c r="M365" t="str" cm="1">
        <f t="array" ref="M365">INDEX('Org List'!$A$2:$C$1005,MATCH(Consolidated!I365&amp;Consolidated!J365,'Org List'!$A$2:$A$1005&amp;'Org List'!$B$2:$B$1005,0),3)</f>
        <v>NGOs: National</v>
      </c>
    </row>
    <row r="366" spans="1:13" x14ac:dyDescent="0.25">
      <c r="A366">
        <v>2022</v>
      </c>
      <c r="B366" t="s">
        <v>4904</v>
      </c>
      <c r="C366" t="s">
        <v>4905</v>
      </c>
      <c r="D366" t="s">
        <v>30</v>
      </c>
      <c r="E366" t="s">
        <v>356</v>
      </c>
      <c r="F366">
        <v>4500211196</v>
      </c>
      <c r="G366" t="s">
        <v>4912</v>
      </c>
      <c r="H366" t="s">
        <v>3334</v>
      </c>
      <c r="I366" t="s">
        <v>1314</v>
      </c>
      <c r="J366" t="s">
        <v>356</v>
      </c>
      <c r="K366" s="2">
        <v>171861</v>
      </c>
      <c r="L366" t="s">
        <v>6408</v>
      </c>
      <c r="M366" t="str" cm="1">
        <f t="array" ref="M366">INDEX('Org List'!$A$2:$C$1005,MATCH(Consolidated!I366&amp;Consolidated!J366,'Org List'!$A$2:$A$1005&amp;'Org List'!$B$2:$B$1005,0),3)</f>
        <v>NGOs: National</v>
      </c>
    </row>
    <row r="367" spans="1:13" x14ac:dyDescent="0.25">
      <c r="A367">
        <v>2022</v>
      </c>
      <c r="B367" t="s">
        <v>4904</v>
      </c>
      <c r="C367" t="s">
        <v>4905</v>
      </c>
      <c r="D367" t="s">
        <v>30</v>
      </c>
      <c r="E367" t="s">
        <v>356</v>
      </c>
      <c r="F367">
        <v>4500213024</v>
      </c>
      <c r="G367" t="s">
        <v>4913</v>
      </c>
      <c r="H367" t="s">
        <v>3334</v>
      </c>
      <c r="I367" t="s">
        <v>1739</v>
      </c>
      <c r="J367" t="s">
        <v>356</v>
      </c>
      <c r="K367" s="2">
        <v>182615</v>
      </c>
      <c r="L367" t="s">
        <v>6408</v>
      </c>
      <c r="M367" t="str" cm="1">
        <f t="array" ref="M367">INDEX('Org List'!$A$2:$C$1005,MATCH(Consolidated!I367&amp;Consolidated!J367,'Org List'!$A$2:$A$1005&amp;'Org List'!$B$2:$B$1005,0),3)</f>
        <v>NGOs: Local</v>
      </c>
    </row>
    <row r="368" spans="1:13" x14ac:dyDescent="0.25">
      <c r="A368">
        <v>2022</v>
      </c>
      <c r="B368" t="s">
        <v>4904</v>
      </c>
      <c r="C368" t="s">
        <v>4905</v>
      </c>
      <c r="D368" t="s">
        <v>30</v>
      </c>
      <c r="E368" t="s">
        <v>356</v>
      </c>
      <c r="F368">
        <v>4500219433</v>
      </c>
      <c r="G368" t="s">
        <v>4914</v>
      </c>
      <c r="H368" t="s">
        <v>3334</v>
      </c>
      <c r="I368" t="s">
        <v>1306</v>
      </c>
      <c r="J368" t="s">
        <v>356</v>
      </c>
      <c r="K368" s="2">
        <v>66991</v>
      </c>
      <c r="L368" t="s">
        <v>6408</v>
      </c>
      <c r="M368" t="str" cm="1">
        <f t="array" ref="M368">INDEX('Org List'!$A$2:$C$1005,MATCH(Consolidated!I368&amp;Consolidated!J368,'Org List'!$A$2:$A$1005&amp;'Org List'!$B$2:$B$1005,0),3)</f>
        <v>NGOs: National</v>
      </c>
    </row>
    <row r="369" spans="1:13" x14ac:dyDescent="0.25">
      <c r="A369">
        <v>2022</v>
      </c>
      <c r="B369" t="s">
        <v>4904</v>
      </c>
      <c r="C369" t="s">
        <v>4905</v>
      </c>
      <c r="D369" t="s">
        <v>30</v>
      </c>
      <c r="E369" t="s">
        <v>356</v>
      </c>
      <c r="F369">
        <v>4500219921</v>
      </c>
      <c r="G369" t="s">
        <v>4915</v>
      </c>
      <c r="H369" t="s">
        <v>3334</v>
      </c>
      <c r="I369" t="s">
        <v>1742</v>
      </c>
      <c r="J369" t="s">
        <v>356</v>
      </c>
      <c r="K369" s="2">
        <v>176766</v>
      </c>
      <c r="L369" t="s">
        <v>6408</v>
      </c>
      <c r="M369" t="str" cm="1">
        <f t="array" ref="M369">INDEX('Org List'!$A$2:$C$1005,MATCH(Consolidated!I369&amp;Consolidated!J369,'Org List'!$A$2:$A$1005&amp;'Org List'!$B$2:$B$1005,0),3)</f>
        <v>NGOs: National</v>
      </c>
    </row>
    <row r="370" spans="1:13" x14ac:dyDescent="0.25">
      <c r="A370">
        <v>2022</v>
      </c>
      <c r="B370" t="s">
        <v>4904</v>
      </c>
      <c r="C370" t="s">
        <v>4905</v>
      </c>
      <c r="D370" t="s">
        <v>30</v>
      </c>
      <c r="E370" t="s">
        <v>356</v>
      </c>
      <c r="F370">
        <v>4500221433</v>
      </c>
      <c r="G370" t="s">
        <v>4916</v>
      </c>
      <c r="H370" t="s">
        <v>3334</v>
      </c>
      <c r="I370" t="s">
        <v>1776</v>
      </c>
      <c r="J370" t="s">
        <v>356</v>
      </c>
      <c r="K370" s="2">
        <v>70892</v>
      </c>
      <c r="L370" t="s">
        <v>6408</v>
      </c>
      <c r="M370" t="str" cm="1">
        <f t="array" ref="M370">INDEX('Org List'!$A$2:$C$1005,MATCH(Consolidated!I370&amp;Consolidated!J370,'Org List'!$A$2:$A$1005&amp;'Org List'!$B$2:$B$1005,0),3)</f>
        <v>NGOs: International</v>
      </c>
    </row>
    <row r="371" spans="1:13" x14ac:dyDescent="0.25">
      <c r="A371">
        <v>2022</v>
      </c>
      <c r="B371" t="s">
        <v>4904</v>
      </c>
      <c r="C371" t="s">
        <v>4905</v>
      </c>
      <c r="D371" t="s">
        <v>30</v>
      </c>
      <c r="E371" t="s">
        <v>356</v>
      </c>
      <c r="F371">
        <v>4500223874</v>
      </c>
      <c r="G371" t="s">
        <v>4917</v>
      </c>
      <c r="H371" t="s">
        <v>3334</v>
      </c>
      <c r="I371" t="s">
        <v>1367</v>
      </c>
      <c r="J371" t="s">
        <v>356</v>
      </c>
      <c r="K371" s="2">
        <v>91874</v>
      </c>
      <c r="L371" t="s">
        <v>6408</v>
      </c>
      <c r="M371" t="str" cm="1">
        <f t="array" ref="M371">INDEX('Org List'!$A$2:$C$1005,MATCH(Consolidated!I371&amp;Consolidated!J371,'Org List'!$A$2:$A$1005&amp;'Org List'!$B$2:$B$1005,0),3)</f>
        <v>NGOs: National</v>
      </c>
    </row>
    <row r="372" spans="1:13" x14ac:dyDescent="0.25">
      <c r="A372">
        <v>2022</v>
      </c>
      <c r="B372" t="s">
        <v>4904</v>
      </c>
      <c r="C372" t="s">
        <v>4905</v>
      </c>
      <c r="D372" t="s">
        <v>30</v>
      </c>
      <c r="E372" t="s">
        <v>356</v>
      </c>
      <c r="F372">
        <v>4500226254</v>
      </c>
      <c r="G372" t="s">
        <v>4918</v>
      </c>
      <c r="H372" t="s">
        <v>3334</v>
      </c>
      <c r="I372" t="s">
        <v>2022</v>
      </c>
      <c r="J372" t="s">
        <v>356</v>
      </c>
      <c r="K372" s="2">
        <v>148429</v>
      </c>
      <c r="L372" t="s">
        <v>6408</v>
      </c>
      <c r="M372" t="str" cm="1">
        <f t="array" ref="M372">INDEX('Org List'!$A$2:$C$1005,MATCH(Consolidated!I372&amp;Consolidated!J372,'Org List'!$A$2:$A$1005&amp;'Org List'!$B$2:$B$1005,0),3)</f>
        <v>NGOs: Local</v>
      </c>
    </row>
    <row r="373" spans="1:13" x14ac:dyDescent="0.25">
      <c r="A373">
        <v>2022</v>
      </c>
      <c r="B373" t="s">
        <v>4904</v>
      </c>
      <c r="C373" t="s">
        <v>4905</v>
      </c>
      <c r="D373" t="s">
        <v>30</v>
      </c>
      <c r="E373" t="s">
        <v>356</v>
      </c>
      <c r="F373">
        <v>4500230937</v>
      </c>
      <c r="G373" t="s">
        <v>4919</v>
      </c>
      <c r="H373" t="s">
        <v>3334</v>
      </c>
      <c r="I373" t="s">
        <v>4920</v>
      </c>
      <c r="J373" t="s">
        <v>356</v>
      </c>
      <c r="K373" s="2">
        <v>83361</v>
      </c>
      <c r="L373" t="s">
        <v>6408</v>
      </c>
      <c r="M373" t="str" cm="1">
        <f t="array" ref="M373">INDEX('Org List'!$A$2:$C$1005,MATCH(Consolidated!I373&amp;Consolidated!J373,'Org List'!$A$2:$A$1005&amp;'Org List'!$B$2:$B$1005,0),3)</f>
        <v>NGOs: National</v>
      </c>
    </row>
    <row r="374" spans="1:13" x14ac:dyDescent="0.25">
      <c r="A374">
        <v>2022</v>
      </c>
      <c r="B374" t="s">
        <v>4904</v>
      </c>
      <c r="C374" t="s">
        <v>4905</v>
      </c>
      <c r="D374" t="s">
        <v>30</v>
      </c>
      <c r="E374" t="s">
        <v>356</v>
      </c>
      <c r="F374">
        <v>4500232346</v>
      </c>
      <c r="G374" t="s">
        <v>4921</v>
      </c>
      <c r="H374" t="s">
        <v>3334</v>
      </c>
      <c r="I374" t="s">
        <v>2020</v>
      </c>
      <c r="J374" t="s">
        <v>356</v>
      </c>
      <c r="K374" s="2">
        <v>75047</v>
      </c>
      <c r="L374" t="s">
        <v>6408</v>
      </c>
      <c r="M374" t="str" cm="1">
        <f t="array" ref="M374">INDEX('Org List'!$A$2:$C$1005,MATCH(Consolidated!I374&amp;Consolidated!J374,'Org List'!$A$2:$A$1005&amp;'Org List'!$B$2:$B$1005,0),3)</f>
        <v>NGOs: National</v>
      </c>
    </row>
    <row r="375" spans="1:13" x14ac:dyDescent="0.25">
      <c r="A375">
        <v>2022</v>
      </c>
      <c r="B375" t="s">
        <v>4904</v>
      </c>
      <c r="C375" t="s">
        <v>4905</v>
      </c>
      <c r="D375" t="s">
        <v>30</v>
      </c>
      <c r="E375" t="s">
        <v>356</v>
      </c>
      <c r="F375">
        <v>4500240137</v>
      </c>
      <c r="G375" t="s">
        <v>4922</v>
      </c>
      <c r="H375" t="s">
        <v>3334</v>
      </c>
      <c r="I375" t="s">
        <v>4923</v>
      </c>
      <c r="J375" t="s">
        <v>356</v>
      </c>
      <c r="K375" s="2">
        <v>119350</v>
      </c>
      <c r="L375" t="s">
        <v>6408</v>
      </c>
      <c r="M375" t="str" cm="1">
        <f t="array" ref="M375">INDEX('Org List'!$A$2:$C$1005,MATCH(Consolidated!I375&amp;Consolidated!J375,'Org List'!$A$2:$A$1005&amp;'Org List'!$B$2:$B$1005,0),3)</f>
        <v>NGOs: National</v>
      </c>
    </row>
    <row r="376" spans="1:13" x14ac:dyDescent="0.25">
      <c r="A376">
        <v>2022</v>
      </c>
      <c r="B376" t="s">
        <v>4904</v>
      </c>
      <c r="C376" t="s">
        <v>4905</v>
      </c>
      <c r="D376" t="s">
        <v>30</v>
      </c>
      <c r="E376" t="s">
        <v>356</v>
      </c>
      <c r="F376">
        <v>4500240629</v>
      </c>
      <c r="G376" t="s">
        <v>4924</v>
      </c>
      <c r="H376" t="s">
        <v>3334</v>
      </c>
      <c r="I376" t="s">
        <v>4925</v>
      </c>
      <c r="J376" t="s">
        <v>356</v>
      </c>
      <c r="K376" s="2">
        <v>132161</v>
      </c>
      <c r="L376" t="s">
        <v>6408</v>
      </c>
      <c r="M376" t="str" cm="1">
        <f t="array" ref="M376">INDEX('Org List'!$A$2:$C$1005,MATCH(Consolidated!I376&amp;Consolidated!J376,'Org List'!$A$2:$A$1005&amp;'Org List'!$B$2:$B$1005,0),3)</f>
        <v>NGOs: National</v>
      </c>
    </row>
    <row r="377" spans="1:13" x14ac:dyDescent="0.25">
      <c r="A377">
        <v>2022</v>
      </c>
      <c r="B377" t="s">
        <v>4904</v>
      </c>
      <c r="C377" t="s">
        <v>4905</v>
      </c>
      <c r="D377" t="s">
        <v>30</v>
      </c>
      <c r="E377" t="s">
        <v>356</v>
      </c>
      <c r="F377">
        <v>4500244161</v>
      </c>
      <c r="G377" t="s">
        <v>4926</v>
      </c>
      <c r="H377" t="s">
        <v>3334</v>
      </c>
      <c r="I377" t="s">
        <v>2915</v>
      </c>
      <c r="J377" t="s">
        <v>356</v>
      </c>
      <c r="K377" s="2">
        <v>106296</v>
      </c>
      <c r="L377" t="s">
        <v>6408</v>
      </c>
      <c r="M377" t="str" cm="1">
        <f t="array" ref="M377">INDEX('Org List'!$A$2:$C$1005,MATCH(Consolidated!I377&amp;Consolidated!J377,'Org List'!$A$2:$A$1005&amp;'Org List'!$B$2:$B$1005,0),3)</f>
        <v>NGOs: National</v>
      </c>
    </row>
    <row r="378" spans="1:13" x14ac:dyDescent="0.25">
      <c r="A378">
        <v>2022</v>
      </c>
      <c r="B378" t="s">
        <v>4904</v>
      </c>
      <c r="C378" t="s">
        <v>4905</v>
      </c>
      <c r="D378" t="s">
        <v>30</v>
      </c>
      <c r="E378" t="s">
        <v>356</v>
      </c>
      <c r="F378">
        <v>4500248444</v>
      </c>
      <c r="G378" t="s">
        <v>4927</v>
      </c>
      <c r="H378" t="s">
        <v>3334</v>
      </c>
      <c r="I378" t="s">
        <v>1307</v>
      </c>
      <c r="J378" t="s">
        <v>356</v>
      </c>
      <c r="K378" s="2">
        <v>124523</v>
      </c>
      <c r="L378" t="s">
        <v>6408</v>
      </c>
      <c r="M378" t="str" cm="1">
        <f t="array" ref="M378">INDEX('Org List'!$A$2:$C$1005,MATCH(Consolidated!I378&amp;Consolidated!J378,'Org List'!$A$2:$A$1005&amp;'Org List'!$B$2:$B$1005,0),3)</f>
        <v>NGOs: National</v>
      </c>
    </row>
    <row r="379" spans="1:13" x14ac:dyDescent="0.25">
      <c r="A379">
        <v>2022</v>
      </c>
      <c r="B379" t="s">
        <v>4904</v>
      </c>
      <c r="C379" t="s">
        <v>4905</v>
      </c>
      <c r="D379" t="s">
        <v>30</v>
      </c>
      <c r="E379" t="s">
        <v>356</v>
      </c>
      <c r="F379">
        <v>4500254530</v>
      </c>
      <c r="G379" t="s">
        <v>4928</v>
      </c>
      <c r="H379" t="s">
        <v>3334</v>
      </c>
      <c r="I379" t="s">
        <v>2015</v>
      </c>
      <c r="J379" t="s">
        <v>356</v>
      </c>
      <c r="K379" s="2">
        <v>46622</v>
      </c>
      <c r="L379" t="s">
        <v>6408</v>
      </c>
      <c r="M379" t="str" cm="1">
        <f t="array" ref="M379">INDEX('Org List'!$A$2:$C$1005,MATCH(Consolidated!I379&amp;Consolidated!J379,'Org List'!$A$2:$A$1005&amp;'Org List'!$B$2:$B$1005,0),3)</f>
        <v>NGOs: National</v>
      </c>
    </row>
    <row r="380" spans="1:13" x14ac:dyDescent="0.25">
      <c r="A380">
        <v>2022</v>
      </c>
      <c r="B380" t="s">
        <v>4904</v>
      </c>
      <c r="C380" t="s">
        <v>4905</v>
      </c>
      <c r="D380" t="s">
        <v>30</v>
      </c>
      <c r="E380" t="s">
        <v>356</v>
      </c>
      <c r="F380">
        <v>4500255520</v>
      </c>
      <c r="G380" t="s">
        <v>4929</v>
      </c>
      <c r="H380" t="s">
        <v>3334</v>
      </c>
      <c r="I380" t="s">
        <v>1306</v>
      </c>
      <c r="J380" t="s">
        <v>356</v>
      </c>
      <c r="K380" s="2">
        <v>96851</v>
      </c>
      <c r="L380" t="s">
        <v>6408</v>
      </c>
      <c r="M380" t="str" cm="1">
        <f t="array" ref="M380">INDEX('Org List'!$A$2:$C$1005,MATCH(Consolidated!I380&amp;Consolidated!J380,'Org List'!$A$2:$A$1005&amp;'Org List'!$B$2:$B$1005,0),3)</f>
        <v>NGOs: National</v>
      </c>
    </row>
    <row r="381" spans="1:13" x14ac:dyDescent="0.25">
      <c r="A381">
        <v>2022</v>
      </c>
      <c r="B381" t="s">
        <v>4930</v>
      </c>
      <c r="C381" t="s">
        <v>4931</v>
      </c>
      <c r="D381" t="s">
        <v>30</v>
      </c>
      <c r="E381" t="s">
        <v>814</v>
      </c>
      <c r="F381">
        <v>4500264507</v>
      </c>
      <c r="G381" t="s">
        <v>4932</v>
      </c>
      <c r="H381" t="s">
        <v>3334</v>
      </c>
      <c r="I381" t="s">
        <v>114</v>
      </c>
      <c r="J381" t="s">
        <v>3842</v>
      </c>
      <c r="K381" s="2">
        <v>23498</v>
      </c>
      <c r="L381" t="s">
        <v>6408</v>
      </c>
      <c r="M381" t="str" cm="1">
        <f t="array" ref="M381">INDEX('Org List'!$A$2:$C$1005,MATCH(Consolidated!I381&amp;Consolidated!J381,'Org List'!$A$2:$A$1005&amp;'Org List'!$B$2:$B$1005,0),3)</f>
        <v>NGOs: National</v>
      </c>
    </row>
    <row r="382" spans="1:13" x14ac:dyDescent="0.25">
      <c r="A382">
        <v>2022</v>
      </c>
      <c r="B382" t="s">
        <v>3443</v>
      </c>
      <c r="C382" t="s">
        <v>3444</v>
      </c>
      <c r="D382" t="s">
        <v>30</v>
      </c>
      <c r="E382" t="s">
        <v>257</v>
      </c>
      <c r="F382">
        <v>4500214021</v>
      </c>
      <c r="G382" t="s">
        <v>3938</v>
      </c>
      <c r="H382" t="s">
        <v>3334</v>
      </c>
      <c r="I382" t="s">
        <v>421</v>
      </c>
      <c r="J382" t="s">
        <v>257</v>
      </c>
      <c r="K382" s="2">
        <v>67294</v>
      </c>
      <c r="L382" t="s">
        <v>6408</v>
      </c>
      <c r="M382" t="str" cm="1">
        <f t="array" ref="M382">INDEX('Org List'!$A$2:$C$1005,MATCH(Consolidated!I382&amp;Consolidated!J382,'Org List'!$A$2:$A$1005&amp;'Org List'!$B$2:$B$1005,0),3)</f>
        <v>NGOs: National</v>
      </c>
    </row>
    <row r="383" spans="1:13" x14ac:dyDescent="0.25">
      <c r="A383">
        <v>2022</v>
      </c>
      <c r="B383" t="s">
        <v>3443</v>
      </c>
      <c r="C383" t="s">
        <v>3444</v>
      </c>
      <c r="D383" t="s">
        <v>30</v>
      </c>
      <c r="E383" t="s">
        <v>257</v>
      </c>
      <c r="F383">
        <v>4500214022</v>
      </c>
      <c r="G383" t="s">
        <v>3938</v>
      </c>
      <c r="H383" t="s">
        <v>3334</v>
      </c>
      <c r="I383" t="s">
        <v>422</v>
      </c>
      <c r="J383" t="s">
        <v>257</v>
      </c>
      <c r="K383" s="2">
        <v>53227</v>
      </c>
      <c r="L383" t="s">
        <v>6408</v>
      </c>
      <c r="M383" t="str" cm="1">
        <f t="array" ref="M383">INDEX('Org List'!$A$2:$C$1005,MATCH(Consolidated!I383&amp;Consolidated!J383,'Org List'!$A$2:$A$1005&amp;'Org List'!$B$2:$B$1005,0),3)</f>
        <v>NGOs: Internationally affiliated</v>
      </c>
    </row>
    <row r="384" spans="1:13" x14ac:dyDescent="0.25">
      <c r="A384">
        <v>2022</v>
      </c>
      <c r="B384" t="s">
        <v>3443</v>
      </c>
      <c r="C384" t="s">
        <v>3444</v>
      </c>
      <c r="D384" t="s">
        <v>30</v>
      </c>
      <c r="E384" t="s">
        <v>257</v>
      </c>
      <c r="F384">
        <v>4500222135</v>
      </c>
      <c r="G384" t="s">
        <v>4933</v>
      </c>
      <c r="H384" t="s">
        <v>3334</v>
      </c>
      <c r="I384" t="s">
        <v>2864</v>
      </c>
      <c r="J384" t="s">
        <v>257</v>
      </c>
      <c r="K384" s="2">
        <v>33000</v>
      </c>
      <c r="L384" t="s">
        <v>6408</v>
      </c>
      <c r="M384" t="str" cm="1">
        <f t="array" ref="M384">INDEX('Org List'!$A$2:$C$1005,MATCH(Consolidated!I384&amp;Consolidated!J384,'Org List'!$A$2:$A$1005&amp;'Org List'!$B$2:$B$1005,0),3)</f>
        <v>Multilateral: UN</v>
      </c>
    </row>
    <row r="385" spans="1:13" x14ac:dyDescent="0.25">
      <c r="A385">
        <v>2022</v>
      </c>
      <c r="B385" t="s">
        <v>3443</v>
      </c>
      <c r="C385" t="s">
        <v>3444</v>
      </c>
      <c r="D385" t="s">
        <v>30</v>
      </c>
      <c r="E385" t="s">
        <v>257</v>
      </c>
      <c r="F385">
        <v>4500234848</v>
      </c>
      <c r="G385" t="s">
        <v>3938</v>
      </c>
      <c r="H385" t="s">
        <v>3334</v>
      </c>
      <c r="I385" t="s">
        <v>3625</v>
      </c>
      <c r="J385" t="s">
        <v>257</v>
      </c>
      <c r="K385" s="2">
        <v>20974</v>
      </c>
      <c r="L385" t="s">
        <v>6408</v>
      </c>
      <c r="M385" t="str" cm="1">
        <f t="array" ref="M385">INDEX('Org List'!$A$2:$C$1005,MATCH(Consolidated!I385&amp;Consolidated!J385,'Org List'!$A$2:$A$1005&amp;'Org List'!$B$2:$B$1005,0),3)</f>
        <v>NGOs: National</v>
      </c>
    </row>
    <row r="386" spans="1:13" x14ac:dyDescent="0.25">
      <c r="A386">
        <v>2022</v>
      </c>
      <c r="B386" t="s">
        <v>3443</v>
      </c>
      <c r="C386" t="s">
        <v>3444</v>
      </c>
      <c r="D386" t="s">
        <v>30</v>
      </c>
      <c r="E386" t="s">
        <v>257</v>
      </c>
      <c r="F386">
        <v>4500254360</v>
      </c>
      <c r="G386" t="s">
        <v>4934</v>
      </c>
      <c r="H386" t="s">
        <v>3334</v>
      </c>
      <c r="I386" t="s">
        <v>1414</v>
      </c>
      <c r="J386" t="s">
        <v>257</v>
      </c>
      <c r="K386" s="2">
        <v>7944</v>
      </c>
      <c r="L386" t="s">
        <v>6408</v>
      </c>
      <c r="M386" t="str" cm="1">
        <f t="array" ref="M386">INDEX('Org List'!$A$2:$C$1005,MATCH(Consolidated!I386&amp;Consolidated!J386,'Org List'!$A$2:$A$1005&amp;'Org List'!$B$2:$B$1005,0),3)</f>
        <v>NGOs: National</v>
      </c>
    </row>
    <row r="387" spans="1:13" x14ac:dyDescent="0.25">
      <c r="A387">
        <v>2022</v>
      </c>
      <c r="B387" t="s">
        <v>3443</v>
      </c>
      <c r="C387" t="s">
        <v>3444</v>
      </c>
      <c r="D387" t="s">
        <v>30</v>
      </c>
      <c r="E387" t="s">
        <v>257</v>
      </c>
      <c r="F387">
        <v>4500258650</v>
      </c>
      <c r="G387" t="s">
        <v>4560</v>
      </c>
      <c r="H387" t="s">
        <v>3334</v>
      </c>
      <c r="I387" t="s">
        <v>421</v>
      </c>
      <c r="J387" t="s">
        <v>257</v>
      </c>
      <c r="K387" s="2">
        <v>20332</v>
      </c>
      <c r="L387" t="s">
        <v>6408</v>
      </c>
      <c r="M387" t="str" cm="1">
        <f t="array" ref="M387">INDEX('Org List'!$A$2:$C$1005,MATCH(Consolidated!I387&amp;Consolidated!J387,'Org List'!$A$2:$A$1005&amp;'Org List'!$B$2:$B$1005,0),3)</f>
        <v>NGOs: National</v>
      </c>
    </row>
    <row r="388" spans="1:13" x14ac:dyDescent="0.25">
      <c r="A388">
        <v>2022</v>
      </c>
      <c r="B388" t="s">
        <v>3443</v>
      </c>
      <c r="C388" t="s">
        <v>3444</v>
      </c>
      <c r="D388" t="s">
        <v>30</v>
      </c>
      <c r="E388" t="s">
        <v>257</v>
      </c>
      <c r="F388">
        <v>4500258651</v>
      </c>
      <c r="G388" t="s">
        <v>4561</v>
      </c>
      <c r="H388" t="s">
        <v>3334</v>
      </c>
      <c r="I388" t="s">
        <v>422</v>
      </c>
      <c r="J388" t="s">
        <v>257</v>
      </c>
      <c r="K388" s="2">
        <v>12158</v>
      </c>
      <c r="L388" t="s">
        <v>6408</v>
      </c>
      <c r="M388" t="str" cm="1">
        <f t="array" ref="M388">INDEX('Org List'!$A$2:$C$1005,MATCH(Consolidated!I388&amp;Consolidated!J388,'Org List'!$A$2:$A$1005&amp;'Org List'!$B$2:$B$1005,0),3)</f>
        <v>NGOs: Internationally affiliated</v>
      </c>
    </row>
    <row r="389" spans="1:13" x14ac:dyDescent="0.25">
      <c r="A389">
        <v>2022</v>
      </c>
      <c r="B389" t="s">
        <v>3443</v>
      </c>
      <c r="C389" t="s">
        <v>3444</v>
      </c>
      <c r="D389" t="s">
        <v>30</v>
      </c>
      <c r="E389" t="s">
        <v>257</v>
      </c>
      <c r="F389">
        <v>4500269025</v>
      </c>
      <c r="G389" t="s">
        <v>4935</v>
      </c>
      <c r="H389" t="s">
        <v>3334</v>
      </c>
      <c r="I389" t="s">
        <v>1671</v>
      </c>
      <c r="J389" t="s">
        <v>257</v>
      </c>
      <c r="K389" s="2">
        <v>63708</v>
      </c>
      <c r="L389" t="s">
        <v>6408</v>
      </c>
      <c r="M389" t="str" cm="1">
        <f t="array" ref="M389">INDEX('Org List'!$A$2:$C$1005,MATCH(Consolidated!I389&amp;Consolidated!J389,'Org List'!$A$2:$A$1005&amp;'Org List'!$B$2:$B$1005,0),3)</f>
        <v>NGOs: National</v>
      </c>
    </row>
    <row r="390" spans="1:13" x14ac:dyDescent="0.25">
      <c r="A390">
        <v>2022</v>
      </c>
      <c r="B390" t="s">
        <v>3443</v>
      </c>
      <c r="C390" t="s">
        <v>3444</v>
      </c>
      <c r="D390" t="s">
        <v>30</v>
      </c>
      <c r="E390" t="s">
        <v>257</v>
      </c>
      <c r="F390">
        <v>4500269207</v>
      </c>
      <c r="G390" t="s">
        <v>4936</v>
      </c>
      <c r="H390" t="s">
        <v>3334</v>
      </c>
      <c r="I390" t="s">
        <v>4937</v>
      </c>
      <c r="J390" t="s">
        <v>257</v>
      </c>
      <c r="K390" s="2">
        <v>63708</v>
      </c>
      <c r="L390" t="s">
        <v>6408</v>
      </c>
      <c r="M390" t="str" cm="1">
        <f t="array" ref="M390">INDEX('Org List'!$A$2:$C$1005,MATCH(Consolidated!I390&amp;Consolidated!J390,'Org List'!$A$2:$A$1005&amp;'Org List'!$B$2:$B$1005,0),3)</f>
        <v>NGOs: Local</v>
      </c>
    </row>
    <row r="391" spans="1:13" x14ac:dyDescent="0.25">
      <c r="A391">
        <v>2022</v>
      </c>
      <c r="B391" t="s">
        <v>1246</v>
      </c>
      <c r="C391" t="s">
        <v>1247</v>
      </c>
      <c r="D391" t="s">
        <v>30</v>
      </c>
      <c r="E391" t="s">
        <v>54</v>
      </c>
      <c r="F391">
        <v>4500211576</v>
      </c>
      <c r="G391" t="s">
        <v>4938</v>
      </c>
      <c r="H391" t="s">
        <v>3334</v>
      </c>
      <c r="I391" t="s">
        <v>3497</v>
      </c>
      <c r="J391" t="s">
        <v>54</v>
      </c>
      <c r="K391">
        <v>968</v>
      </c>
      <c r="L391" t="s">
        <v>6408</v>
      </c>
      <c r="M391" t="str" cm="1">
        <f t="array" ref="M391">INDEX('Org List'!$A$2:$C$1005,MATCH(Consolidated!I391&amp;Consolidated!J391,'Org List'!$A$2:$A$1005&amp;'Org List'!$B$2:$B$1005,0),3)</f>
        <v>NGOs: National</v>
      </c>
    </row>
    <row r="392" spans="1:13" x14ac:dyDescent="0.25">
      <c r="A392">
        <v>2022</v>
      </c>
      <c r="B392" t="s">
        <v>1246</v>
      </c>
      <c r="C392" t="s">
        <v>1247</v>
      </c>
      <c r="D392" t="s">
        <v>30</v>
      </c>
      <c r="E392" t="s">
        <v>54</v>
      </c>
      <c r="F392">
        <v>4500214382</v>
      </c>
      <c r="G392" t="s">
        <v>4939</v>
      </c>
      <c r="H392" t="s">
        <v>3334</v>
      </c>
      <c r="I392" t="s">
        <v>3495</v>
      </c>
      <c r="J392" t="s">
        <v>54</v>
      </c>
      <c r="K392">
        <v>585</v>
      </c>
      <c r="L392" t="s">
        <v>6408</v>
      </c>
      <c r="M392" t="str" cm="1">
        <f t="array" ref="M392">INDEX('Org List'!$A$2:$C$1005,MATCH(Consolidated!I392&amp;Consolidated!J392,'Org List'!$A$2:$A$1005&amp;'Org List'!$B$2:$B$1005,0),3)</f>
        <v>NGOs: National</v>
      </c>
    </row>
    <row r="393" spans="1:13" x14ac:dyDescent="0.25">
      <c r="A393">
        <v>2022</v>
      </c>
      <c r="B393" t="s">
        <v>1246</v>
      </c>
      <c r="C393" t="s">
        <v>1247</v>
      </c>
      <c r="D393" t="s">
        <v>30</v>
      </c>
      <c r="E393" t="s">
        <v>54</v>
      </c>
      <c r="F393">
        <v>4500214394</v>
      </c>
      <c r="G393" t="s">
        <v>4940</v>
      </c>
      <c r="H393" t="s">
        <v>3334</v>
      </c>
      <c r="I393" t="s">
        <v>1248</v>
      </c>
      <c r="J393" t="s">
        <v>54</v>
      </c>
      <c r="K393">
        <v>555</v>
      </c>
      <c r="L393" t="s">
        <v>6408</v>
      </c>
      <c r="M393" t="str" cm="1">
        <f t="array" ref="M393">INDEX('Org List'!$A$2:$C$1005,MATCH(Consolidated!I393&amp;Consolidated!J393,'Org List'!$A$2:$A$1005&amp;'Org List'!$B$2:$B$1005,0),3)</f>
        <v>NGOs: National</v>
      </c>
    </row>
    <row r="394" spans="1:13" x14ac:dyDescent="0.25">
      <c r="A394">
        <v>2022</v>
      </c>
      <c r="B394" t="s">
        <v>1246</v>
      </c>
      <c r="C394" t="s">
        <v>1247</v>
      </c>
      <c r="D394" t="s">
        <v>30</v>
      </c>
      <c r="E394" t="s">
        <v>54</v>
      </c>
      <c r="F394">
        <v>4500218838</v>
      </c>
      <c r="G394" t="s">
        <v>4941</v>
      </c>
      <c r="H394" t="s">
        <v>3334</v>
      </c>
      <c r="I394" t="s">
        <v>4942</v>
      </c>
      <c r="J394" t="s">
        <v>54</v>
      </c>
      <c r="K394" s="2">
        <v>2459</v>
      </c>
      <c r="L394" t="s">
        <v>6408</v>
      </c>
      <c r="M394" t="str" cm="1">
        <f t="array" ref="M394">INDEX('Org List'!$A$2:$C$1005,MATCH(Consolidated!I394&amp;Consolidated!J394,'Org List'!$A$2:$A$1005&amp;'Org List'!$B$2:$B$1005,0),3)</f>
        <v>Unknown</v>
      </c>
    </row>
    <row r="395" spans="1:13" x14ac:dyDescent="0.25">
      <c r="A395">
        <v>2022</v>
      </c>
      <c r="B395" t="s">
        <v>1246</v>
      </c>
      <c r="C395" t="s">
        <v>1247</v>
      </c>
      <c r="D395" t="s">
        <v>30</v>
      </c>
      <c r="E395" t="s">
        <v>54</v>
      </c>
      <c r="F395">
        <v>4500220659</v>
      </c>
      <c r="G395" t="s">
        <v>4943</v>
      </c>
      <c r="H395" t="s">
        <v>3334</v>
      </c>
      <c r="I395" t="s">
        <v>4944</v>
      </c>
      <c r="J395" t="s">
        <v>54</v>
      </c>
      <c r="K395" s="2">
        <v>21112</v>
      </c>
      <c r="L395" t="s">
        <v>6408</v>
      </c>
      <c r="M395" t="str" cm="1">
        <f t="array" ref="M395">INDEX('Org List'!$A$2:$C$1005,MATCH(Consolidated!I395&amp;Consolidated!J395,'Org List'!$A$2:$A$1005&amp;'Org List'!$B$2:$B$1005,0),3)</f>
        <v>NGOs: National</v>
      </c>
    </row>
    <row r="396" spans="1:13" x14ac:dyDescent="0.25">
      <c r="A396">
        <v>2022</v>
      </c>
      <c r="B396" t="s">
        <v>1246</v>
      </c>
      <c r="C396" t="s">
        <v>1247</v>
      </c>
      <c r="D396" t="s">
        <v>30</v>
      </c>
      <c r="E396" t="s">
        <v>54</v>
      </c>
      <c r="F396">
        <v>4500223778</v>
      </c>
      <c r="G396" t="s">
        <v>4945</v>
      </c>
      <c r="H396" t="s">
        <v>3334</v>
      </c>
      <c r="I396" t="s">
        <v>4946</v>
      </c>
      <c r="J396" t="s">
        <v>54</v>
      </c>
      <c r="K396" s="2">
        <v>27572</v>
      </c>
      <c r="L396" t="s">
        <v>6408</v>
      </c>
      <c r="M396" t="str" cm="1">
        <f t="array" ref="M396">INDEX('Org List'!$A$2:$C$1005,MATCH(Consolidated!I396&amp;Consolidated!J396,'Org List'!$A$2:$A$1005&amp;'Org List'!$B$2:$B$1005,0),3)</f>
        <v>NGOs: National</v>
      </c>
    </row>
    <row r="397" spans="1:13" x14ac:dyDescent="0.25">
      <c r="A397">
        <v>2022</v>
      </c>
      <c r="B397" t="s">
        <v>1246</v>
      </c>
      <c r="C397" t="s">
        <v>1247</v>
      </c>
      <c r="D397" t="s">
        <v>30</v>
      </c>
      <c r="E397" t="s">
        <v>54</v>
      </c>
      <c r="F397">
        <v>4500235778</v>
      </c>
      <c r="G397" t="s">
        <v>4947</v>
      </c>
      <c r="H397" t="s">
        <v>3334</v>
      </c>
      <c r="I397" t="s">
        <v>4948</v>
      </c>
      <c r="J397" t="s">
        <v>54</v>
      </c>
      <c r="K397" s="2">
        <v>5445</v>
      </c>
      <c r="L397" t="s">
        <v>6408</v>
      </c>
      <c r="M397" t="str" cm="1">
        <f t="array" ref="M397">INDEX('Org List'!$A$2:$C$1005,MATCH(Consolidated!I397&amp;Consolidated!J397,'Org List'!$A$2:$A$1005&amp;'Org List'!$B$2:$B$1005,0),3)</f>
        <v>NGOs: National</v>
      </c>
    </row>
    <row r="398" spans="1:13" x14ac:dyDescent="0.25">
      <c r="A398">
        <v>2022</v>
      </c>
      <c r="B398" t="s">
        <v>1246</v>
      </c>
      <c r="C398" t="s">
        <v>1247</v>
      </c>
      <c r="D398" t="s">
        <v>30</v>
      </c>
      <c r="E398" t="s">
        <v>54</v>
      </c>
      <c r="F398">
        <v>4500261321</v>
      </c>
      <c r="G398" t="s">
        <v>4949</v>
      </c>
      <c r="H398" t="s">
        <v>3334</v>
      </c>
      <c r="I398" t="s">
        <v>4946</v>
      </c>
      <c r="J398" t="s">
        <v>54</v>
      </c>
      <c r="K398" s="2">
        <v>29930</v>
      </c>
      <c r="L398" t="s">
        <v>6408</v>
      </c>
      <c r="M398" t="str" cm="1">
        <f t="array" ref="M398">INDEX('Org List'!$A$2:$C$1005,MATCH(Consolidated!I398&amp;Consolidated!J398,'Org List'!$A$2:$A$1005&amp;'Org List'!$B$2:$B$1005,0),3)</f>
        <v>NGOs: National</v>
      </c>
    </row>
    <row r="399" spans="1:13" x14ac:dyDescent="0.25">
      <c r="A399">
        <v>2022</v>
      </c>
      <c r="B399" t="s">
        <v>4950</v>
      </c>
      <c r="C399" t="s">
        <v>4951</v>
      </c>
      <c r="D399" t="s">
        <v>30</v>
      </c>
      <c r="E399" t="s">
        <v>253</v>
      </c>
      <c r="F399">
        <v>4500244484</v>
      </c>
      <c r="G399" t="s">
        <v>3938</v>
      </c>
      <c r="H399" t="s">
        <v>3334</v>
      </c>
      <c r="I399" t="s">
        <v>1362</v>
      </c>
      <c r="J399" t="s">
        <v>253</v>
      </c>
      <c r="K399" s="2">
        <v>9803</v>
      </c>
      <c r="L399" t="s">
        <v>6408</v>
      </c>
      <c r="M399" t="str" cm="1">
        <f t="array" ref="M399">INDEX('Org List'!$A$2:$C$1005,MATCH(Consolidated!I399&amp;Consolidated!J399,'Org List'!$A$2:$A$1005&amp;'Org List'!$B$2:$B$1005,0),3)</f>
        <v>Red Cross: National</v>
      </c>
    </row>
    <row r="400" spans="1:13" x14ac:dyDescent="0.25">
      <c r="A400">
        <v>2022</v>
      </c>
      <c r="B400" t="s">
        <v>4952</v>
      </c>
      <c r="C400" t="s">
        <v>4953</v>
      </c>
      <c r="D400" t="s">
        <v>30</v>
      </c>
      <c r="E400" t="s">
        <v>45</v>
      </c>
      <c r="F400">
        <v>4500246854</v>
      </c>
      <c r="G400" t="s">
        <v>4283</v>
      </c>
      <c r="H400" t="s">
        <v>3334</v>
      </c>
      <c r="I400" t="s">
        <v>667</v>
      </c>
      <c r="J400" t="s">
        <v>45</v>
      </c>
      <c r="K400" s="2">
        <v>201300</v>
      </c>
      <c r="L400" t="s">
        <v>6408</v>
      </c>
      <c r="M400" t="str" cm="1">
        <f t="array" ref="M400">INDEX('Org List'!$A$2:$C$1005,MATCH(Consolidated!I400&amp;Consolidated!J400,'Org List'!$A$2:$A$1005&amp;'Org List'!$B$2:$B$1005,0),3)</f>
        <v>NGOs: National</v>
      </c>
    </row>
    <row r="401" spans="1:13" x14ac:dyDescent="0.25">
      <c r="A401">
        <v>2022</v>
      </c>
      <c r="B401" t="s">
        <v>4952</v>
      </c>
      <c r="C401" t="s">
        <v>4953</v>
      </c>
      <c r="D401" t="s">
        <v>30</v>
      </c>
      <c r="E401" t="s">
        <v>45</v>
      </c>
      <c r="F401">
        <v>4500249231</v>
      </c>
      <c r="G401" t="s">
        <v>4954</v>
      </c>
      <c r="H401" t="s">
        <v>3334</v>
      </c>
      <c r="I401" t="s">
        <v>2452</v>
      </c>
      <c r="J401" t="s">
        <v>616</v>
      </c>
      <c r="K401" s="2">
        <v>94000</v>
      </c>
      <c r="L401" t="s">
        <v>6408</v>
      </c>
      <c r="M401" t="str" cm="1">
        <f t="array" ref="M401">INDEX('Org List'!$A$2:$C$1005,MATCH(Consolidated!I401&amp;Consolidated!J401,'Org List'!$A$2:$A$1005&amp;'Org List'!$B$2:$B$1005,0),3)</f>
        <v>NGOs: International</v>
      </c>
    </row>
    <row r="402" spans="1:13" x14ac:dyDescent="0.25">
      <c r="A402">
        <v>2022</v>
      </c>
      <c r="B402" t="s">
        <v>4952</v>
      </c>
      <c r="C402" t="s">
        <v>4953</v>
      </c>
      <c r="D402" t="s">
        <v>30</v>
      </c>
      <c r="E402" t="s">
        <v>45</v>
      </c>
      <c r="F402">
        <v>4500252718</v>
      </c>
      <c r="G402" t="s">
        <v>4954</v>
      </c>
      <c r="H402" t="s">
        <v>3334</v>
      </c>
      <c r="I402" t="s">
        <v>327</v>
      </c>
      <c r="J402" t="s">
        <v>45</v>
      </c>
      <c r="K402" s="2">
        <v>37000</v>
      </c>
      <c r="L402" t="s">
        <v>6408</v>
      </c>
      <c r="M402" t="str" cm="1">
        <f t="array" ref="M402">INDEX('Org List'!$A$2:$C$1005,MATCH(Consolidated!I402&amp;Consolidated!J402,'Org List'!$A$2:$A$1005&amp;'Org List'!$B$2:$B$1005,0),3)</f>
        <v>NGOs: Internationally affiliated</v>
      </c>
    </row>
    <row r="403" spans="1:13" x14ac:dyDescent="0.25">
      <c r="A403">
        <v>2022</v>
      </c>
      <c r="B403" t="s">
        <v>4952</v>
      </c>
      <c r="C403" t="s">
        <v>4953</v>
      </c>
      <c r="D403" t="s">
        <v>30</v>
      </c>
      <c r="E403" t="s">
        <v>45</v>
      </c>
      <c r="F403">
        <v>4500252983</v>
      </c>
      <c r="G403" t="s">
        <v>4954</v>
      </c>
      <c r="H403" t="s">
        <v>3334</v>
      </c>
      <c r="I403" t="s">
        <v>658</v>
      </c>
      <c r="J403" t="s">
        <v>45</v>
      </c>
      <c r="K403" s="2">
        <v>136700</v>
      </c>
      <c r="L403" t="s">
        <v>6408</v>
      </c>
      <c r="M403" t="str" cm="1">
        <f t="array" ref="M403">INDEX('Org List'!$A$2:$C$1005,MATCH(Consolidated!I403&amp;Consolidated!J403,'Org List'!$A$2:$A$1005&amp;'Org List'!$B$2:$B$1005,0),3)</f>
        <v>NGOs: Local</v>
      </c>
    </row>
    <row r="404" spans="1:13" x14ac:dyDescent="0.25">
      <c r="A404">
        <v>2022</v>
      </c>
      <c r="B404" t="s">
        <v>4952</v>
      </c>
      <c r="C404" t="s">
        <v>4953</v>
      </c>
      <c r="D404" t="s">
        <v>30</v>
      </c>
      <c r="E404" t="s">
        <v>45</v>
      </c>
      <c r="F404">
        <v>4500256539</v>
      </c>
      <c r="G404" t="s">
        <v>4954</v>
      </c>
      <c r="H404" t="s">
        <v>3334</v>
      </c>
      <c r="I404" t="s">
        <v>653</v>
      </c>
      <c r="J404" t="s">
        <v>45</v>
      </c>
      <c r="K404" s="2">
        <v>214000</v>
      </c>
      <c r="L404" t="s">
        <v>6408</v>
      </c>
      <c r="M404" t="str" cm="1">
        <f t="array" ref="M404">INDEX('Org List'!$A$2:$C$1005,MATCH(Consolidated!I404&amp;Consolidated!J404,'Org List'!$A$2:$A$1005&amp;'Org List'!$B$2:$B$1005,0),3)</f>
        <v>NGOs: National</v>
      </c>
    </row>
    <row r="405" spans="1:13" x14ac:dyDescent="0.25">
      <c r="A405">
        <v>2022</v>
      </c>
      <c r="B405" t="s">
        <v>4952</v>
      </c>
      <c r="C405" t="s">
        <v>4953</v>
      </c>
      <c r="D405" t="s">
        <v>30</v>
      </c>
      <c r="E405" t="s">
        <v>45</v>
      </c>
      <c r="F405">
        <v>4500256543</v>
      </c>
      <c r="G405" t="s">
        <v>4954</v>
      </c>
      <c r="H405" t="s">
        <v>3334</v>
      </c>
      <c r="I405" t="s">
        <v>1109</v>
      </c>
      <c r="J405" t="s">
        <v>45</v>
      </c>
      <c r="K405" s="2">
        <v>80500</v>
      </c>
      <c r="L405" t="s">
        <v>6408</v>
      </c>
      <c r="M405" t="str" cm="1">
        <f t="array" ref="M405">INDEX('Org List'!$A$2:$C$1005,MATCH(Consolidated!I405&amp;Consolidated!J405,'Org List'!$A$2:$A$1005&amp;'Org List'!$B$2:$B$1005,0),3)</f>
        <v>NGOs: National</v>
      </c>
    </row>
    <row r="406" spans="1:13" x14ac:dyDescent="0.25">
      <c r="A406">
        <v>2022</v>
      </c>
      <c r="B406" t="s">
        <v>4955</v>
      </c>
      <c r="C406" t="s">
        <v>4956</v>
      </c>
      <c r="D406" t="s">
        <v>30</v>
      </c>
      <c r="E406" t="s">
        <v>54</v>
      </c>
      <c r="F406">
        <v>4500211576</v>
      </c>
      <c r="G406" t="s">
        <v>4938</v>
      </c>
      <c r="H406" t="s">
        <v>3334</v>
      </c>
      <c r="I406" t="s">
        <v>3497</v>
      </c>
      <c r="J406" t="s">
        <v>54</v>
      </c>
      <c r="K406" s="2">
        <v>1936</v>
      </c>
      <c r="L406" t="s">
        <v>6408</v>
      </c>
      <c r="M406" t="str" cm="1">
        <f t="array" ref="M406">INDEX('Org List'!$A$2:$C$1005,MATCH(Consolidated!I406&amp;Consolidated!J406,'Org List'!$A$2:$A$1005&amp;'Org List'!$B$2:$B$1005,0),3)</f>
        <v>NGOs: National</v>
      </c>
    </row>
    <row r="407" spans="1:13" x14ac:dyDescent="0.25">
      <c r="A407">
        <v>2022</v>
      </c>
      <c r="B407" t="s">
        <v>4955</v>
      </c>
      <c r="C407" t="s">
        <v>4956</v>
      </c>
      <c r="D407" t="s">
        <v>30</v>
      </c>
      <c r="E407" t="s">
        <v>54</v>
      </c>
      <c r="F407">
        <v>4500214382</v>
      </c>
      <c r="G407" t="s">
        <v>4939</v>
      </c>
      <c r="H407" t="s">
        <v>3334</v>
      </c>
      <c r="I407" t="s">
        <v>3495</v>
      </c>
      <c r="J407" t="s">
        <v>54</v>
      </c>
      <c r="K407" s="2">
        <v>1170</v>
      </c>
      <c r="L407" t="s">
        <v>6408</v>
      </c>
      <c r="M407" t="str" cm="1">
        <f t="array" ref="M407">INDEX('Org List'!$A$2:$C$1005,MATCH(Consolidated!I407&amp;Consolidated!J407,'Org List'!$A$2:$A$1005&amp;'Org List'!$B$2:$B$1005,0),3)</f>
        <v>NGOs: National</v>
      </c>
    </row>
    <row r="408" spans="1:13" x14ac:dyDescent="0.25">
      <c r="A408">
        <v>2022</v>
      </c>
      <c r="B408" t="s">
        <v>4955</v>
      </c>
      <c r="C408" t="s">
        <v>4956</v>
      </c>
      <c r="D408" t="s">
        <v>30</v>
      </c>
      <c r="E408" t="s">
        <v>54</v>
      </c>
      <c r="F408">
        <v>4500214394</v>
      </c>
      <c r="G408" t="s">
        <v>4940</v>
      </c>
      <c r="H408" t="s">
        <v>3334</v>
      </c>
      <c r="I408" t="s">
        <v>1248</v>
      </c>
      <c r="J408" t="s">
        <v>54</v>
      </c>
      <c r="K408" s="2">
        <v>1111</v>
      </c>
      <c r="L408" t="s">
        <v>6408</v>
      </c>
      <c r="M408" t="str" cm="1">
        <f t="array" ref="M408">INDEX('Org List'!$A$2:$C$1005,MATCH(Consolidated!I408&amp;Consolidated!J408,'Org List'!$A$2:$A$1005&amp;'Org List'!$B$2:$B$1005,0),3)</f>
        <v>NGOs: National</v>
      </c>
    </row>
    <row r="409" spans="1:13" x14ac:dyDescent="0.25">
      <c r="A409">
        <v>2022</v>
      </c>
      <c r="B409" t="s">
        <v>4955</v>
      </c>
      <c r="C409" t="s">
        <v>4956</v>
      </c>
      <c r="D409" t="s">
        <v>30</v>
      </c>
      <c r="E409" t="s">
        <v>54</v>
      </c>
      <c r="F409">
        <v>4500218838</v>
      </c>
      <c r="G409" t="s">
        <v>4941</v>
      </c>
      <c r="H409" t="s">
        <v>3334</v>
      </c>
      <c r="I409" t="s">
        <v>4942</v>
      </c>
      <c r="J409" t="s">
        <v>54</v>
      </c>
      <c r="K409" s="2">
        <v>2459</v>
      </c>
      <c r="L409" t="s">
        <v>6408</v>
      </c>
      <c r="M409" t="str" cm="1">
        <f t="array" ref="M409">INDEX('Org List'!$A$2:$C$1005,MATCH(Consolidated!I409&amp;Consolidated!J409,'Org List'!$A$2:$A$1005&amp;'Org List'!$B$2:$B$1005,0),3)</f>
        <v>Unknown</v>
      </c>
    </row>
    <row r="410" spans="1:13" x14ac:dyDescent="0.25">
      <c r="A410">
        <v>2022</v>
      </c>
      <c r="B410" t="s">
        <v>4955</v>
      </c>
      <c r="C410" t="s">
        <v>4956</v>
      </c>
      <c r="D410" t="s">
        <v>30</v>
      </c>
      <c r="E410" t="s">
        <v>54</v>
      </c>
      <c r="F410">
        <v>4500221488</v>
      </c>
      <c r="G410" t="s">
        <v>4957</v>
      </c>
      <c r="H410" t="s">
        <v>3334</v>
      </c>
      <c r="I410" t="s">
        <v>4958</v>
      </c>
      <c r="J410" t="s">
        <v>54</v>
      </c>
      <c r="K410">
        <v>601</v>
      </c>
      <c r="L410" t="s">
        <v>6408</v>
      </c>
      <c r="M410" t="str" cm="1">
        <f t="array" ref="M410">INDEX('Org List'!$A$2:$C$1005,MATCH(Consolidated!I410&amp;Consolidated!J410,'Org List'!$A$2:$A$1005&amp;'Org List'!$B$2:$B$1005,0),3)</f>
        <v>NGOs: National</v>
      </c>
    </row>
    <row r="411" spans="1:13" x14ac:dyDescent="0.25">
      <c r="A411">
        <v>2022</v>
      </c>
      <c r="B411" t="s">
        <v>4955</v>
      </c>
      <c r="C411" t="s">
        <v>4956</v>
      </c>
      <c r="D411" t="s">
        <v>30</v>
      </c>
      <c r="E411" t="s">
        <v>54</v>
      </c>
      <c r="F411">
        <v>4500221500</v>
      </c>
      <c r="G411" t="s">
        <v>4959</v>
      </c>
      <c r="H411" t="s">
        <v>3334</v>
      </c>
      <c r="I411" t="s">
        <v>3790</v>
      </c>
      <c r="J411" t="s">
        <v>54</v>
      </c>
      <c r="K411" s="2">
        <v>10921</v>
      </c>
      <c r="L411" t="s">
        <v>6408</v>
      </c>
      <c r="M411" t="str" cm="1">
        <f t="array" ref="M411">INDEX('Org List'!$A$2:$C$1005,MATCH(Consolidated!I411&amp;Consolidated!J411,'Org List'!$A$2:$A$1005&amp;'Org List'!$B$2:$B$1005,0),3)</f>
        <v>NGOs: National</v>
      </c>
    </row>
    <row r="412" spans="1:13" x14ac:dyDescent="0.25">
      <c r="A412">
        <v>2022</v>
      </c>
      <c r="B412" t="s">
        <v>4955</v>
      </c>
      <c r="C412" t="s">
        <v>4956</v>
      </c>
      <c r="D412" t="s">
        <v>30</v>
      </c>
      <c r="E412" t="s">
        <v>54</v>
      </c>
      <c r="F412">
        <v>4500222876</v>
      </c>
      <c r="G412" t="s">
        <v>4960</v>
      </c>
      <c r="H412" t="s">
        <v>3334</v>
      </c>
      <c r="I412" t="s">
        <v>4961</v>
      </c>
      <c r="J412" t="s">
        <v>54</v>
      </c>
      <c r="K412">
        <v>820</v>
      </c>
      <c r="L412" t="s">
        <v>6408</v>
      </c>
      <c r="M412" t="str" cm="1">
        <f t="array" ref="M412">INDEX('Org List'!$A$2:$C$1005,MATCH(Consolidated!I412&amp;Consolidated!J412,'Org List'!$A$2:$A$1005&amp;'Org List'!$B$2:$B$1005,0),3)</f>
        <v>NGOs: National</v>
      </c>
    </row>
    <row r="413" spans="1:13" x14ac:dyDescent="0.25">
      <c r="A413">
        <v>2022</v>
      </c>
      <c r="B413" t="s">
        <v>4955</v>
      </c>
      <c r="C413" t="s">
        <v>4956</v>
      </c>
      <c r="D413" t="s">
        <v>30</v>
      </c>
      <c r="E413" t="s">
        <v>54</v>
      </c>
      <c r="F413">
        <v>4500227752</v>
      </c>
      <c r="G413" t="s">
        <v>4962</v>
      </c>
      <c r="H413" t="s">
        <v>3334</v>
      </c>
      <c r="I413" t="s">
        <v>3497</v>
      </c>
      <c r="J413" t="s">
        <v>54</v>
      </c>
      <c r="K413" s="2">
        <v>6670</v>
      </c>
      <c r="L413" t="s">
        <v>6408</v>
      </c>
      <c r="M413" t="str" cm="1">
        <f t="array" ref="M413">INDEX('Org List'!$A$2:$C$1005,MATCH(Consolidated!I413&amp;Consolidated!J413,'Org List'!$A$2:$A$1005&amp;'Org List'!$B$2:$B$1005,0),3)</f>
        <v>NGOs: National</v>
      </c>
    </row>
    <row r="414" spans="1:13" x14ac:dyDescent="0.25">
      <c r="A414">
        <v>2022</v>
      </c>
      <c r="B414" t="s">
        <v>4955</v>
      </c>
      <c r="C414" t="s">
        <v>4956</v>
      </c>
      <c r="D414" t="s">
        <v>30</v>
      </c>
      <c r="E414" t="s">
        <v>54</v>
      </c>
      <c r="F414">
        <v>4500235778</v>
      </c>
      <c r="G414" t="s">
        <v>4947</v>
      </c>
      <c r="H414" t="s">
        <v>3334</v>
      </c>
      <c r="I414" t="s">
        <v>4948</v>
      </c>
      <c r="J414" t="s">
        <v>54</v>
      </c>
      <c r="K414" s="2">
        <v>5445</v>
      </c>
      <c r="L414" t="s">
        <v>6408</v>
      </c>
      <c r="M414" t="str" cm="1">
        <f t="array" ref="M414">INDEX('Org List'!$A$2:$C$1005,MATCH(Consolidated!I414&amp;Consolidated!J414,'Org List'!$A$2:$A$1005&amp;'Org List'!$B$2:$B$1005,0),3)</f>
        <v>NGOs: National</v>
      </c>
    </row>
    <row r="415" spans="1:13" x14ac:dyDescent="0.25">
      <c r="A415">
        <v>2022</v>
      </c>
      <c r="B415" t="s">
        <v>4955</v>
      </c>
      <c r="C415" t="s">
        <v>4956</v>
      </c>
      <c r="D415" t="s">
        <v>30</v>
      </c>
      <c r="E415" t="s">
        <v>54</v>
      </c>
      <c r="F415">
        <v>4500238402</v>
      </c>
      <c r="G415" t="s">
        <v>4963</v>
      </c>
      <c r="H415" t="s">
        <v>3334</v>
      </c>
      <c r="I415" t="s">
        <v>1728</v>
      </c>
      <c r="J415" t="s">
        <v>54</v>
      </c>
      <c r="K415" s="2">
        <v>1786</v>
      </c>
      <c r="L415" t="s">
        <v>6408</v>
      </c>
      <c r="M415" t="str" cm="1">
        <f t="array" ref="M415">INDEX('Org List'!$A$2:$C$1005,MATCH(Consolidated!I415&amp;Consolidated!J415,'Org List'!$A$2:$A$1005&amp;'Org List'!$B$2:$B$1005,0),3)</f>
        <v>NGOs: National</v>
      </c>
    </row>
    <row r="416" spans="1:13" x14ac:dyDescent="0.25">
      <c r="A416">
        <v>2022</v>
      </c>
      <c r="B416" t="s">
        <v>4955</v>
      </c>
      <c r="C416" t="s">
        <v>4956</v>
      </c>
      <c r="D416" t="s">
        <v>30</v>
      </c>
      <c r="E416" t="s">
        <v>54</v>
      </c>
      <c r="F416">
        <v>4500238506</v>
      </c>
      <c r="G416" t="s">
        <v>4964</v>
      </c>
      <c r="H416" t="s">
        <v>3334</v>
      </c>
      <c r="I416" t="s">
        <v>4946</v>
      </c>
      <c r="J416" t="s">
        <v>54</v>
      </c>
      <c r="K416" s="2">
        <v>12441</v>
      </c>
      <c r="L416" t="s">
        <v>6408</v>
      </c>
      <c r="M416" t="str" cm="1">
        <f t="array" ref="M416">INDEX('Org List'!$A$2:$C$1005,MATCH(Consolidated!I416&amp;Consolidated!J416,'Org List'!$A$2:$A$1005&amp;'Org List'!$B$2:$B$1005,0),3)</f>
        <v>NGOs: National</v>
      </c>
    </row>
    <row r="417" spans="1:13" x14ac:dyDescent="0.25">
      <c r="A417">
        <v>2022</v>
      </c>
      <c r="B417" t="s">
        <v>4965</v>
      </c>
      <c r="C417" t="s">
        <v>4966</v>
      </c>
      <c r="D417" t="s">
        <v>30</v>
      </c>
      <c r="E417" t="s">
        <v>717</v>
      </c>
      <c r="F417">
        <v>4500220627</v>
      </c>
      <c r="G417" t="s">
        <v>4967</v>
      </c>
      <c r="H417" t="s">
        <v>3334</v>
      </c>
      <c r="I417" t="s">
        <v>4968</v>
      </c>
      <c r="J417" t="s">
        <v>717</v>
      </c>
      <c r="K417" s="2">
        <v>25000</v>
      </c>
      <c r="L417" t="s">
        <v>6408</v>
      </c>
      <c r="M417" t="str" cm="1">
        <f t="array" ref="M417">INDEX('Org List'!$A$2:$C$1005,MATCH(Consolidated!I417&amp;Consolidated!J417,'Org List'!$A$2:$A$1005&amp;'Org List'!$B$2:$B$1005,0),3)</f>
        <v>NGOs: National</v>
      </c>
    </row>
    <row r="418" spans="1:13" x14ac:dyDescent="0.25">
      <c r="A418">
        <v>2022</v>
      </c>
      <c r="B418" t="s">
        <v>3827</v>
      </c>
      <c r="C418" t="s">
        <v>3828</v>
      </c>
      <c r="D418" t="s">
        <v>30</v>
      </c>
      <c r="E418" t="s">
        <v>303</v>
      </c>
      <c r="F418">
        <v>4500221528</v>
      </c>
      <c r="G418" t="s">
        <v>4969</v>
      </c>
      <c r="H418" t="s">
        <v>3334</v>
      </c>
      <c r="I418" t="s">
        <v>869</v>
      </c>
      <c r="J418" t="s">
        <v>303</v>
      </c>
      <c r="K418" s="2">
        <v>226647</v>
      </c>
      <c r="L418" t="s">
        <v>6408</v>
      </c>
      <c r="M418" t="str" cm="1">
        <f t="array" ref="M418">INDEX('Org List'!$A$2:$C$1005,MATCH(Consolidated!I418&amp;Consolidated!J418,'Org List'!$A$2:$A$1005&amp;'Org List'!$B$2:$B$1005,0),3)</f>
        <v>NGOs: International</v>
      </c>
    </row>
    <row r="419" spans="1:13" x14ac:dyDescent="0.25">
      <c r="A419">
        <v>2022</v>
      </c>
      <c r="B419" t="s">
        <v>3827</v>
      </c>
      <c r="C419" t="s">
        <v>3828</v>
      </c>
      <c r="D419" t="s">
        <v>30</v>
      </c>
      <c r="E419" t="s">
        <v>303</v>
      </c>
      <c r="F419">
        <v>4500224021</v>
      </c>
      <c r="G419" t="s">
        <v>4970</v>
      </c>
      <c r="H419" t="s">
        <v>3334</v>
      </c>
      <c r="I419" t="s">
        <v>820</v>
      </c>
      <c r="J419" t="s">
        <v>303</v>
      </c>
      <c r="K419" s="2">
        <v>161233</v>
      </c>
      <c r="L419" t="s">
        <v>6408</v>
      </c>
      <c r="M419" t="str" cm="1">
        <f t="array" ref="M419">INDEX('Org List'!$A$2:$C$1005,MATCH(Consolidated!I419&amp;Consolidated!J419,'Org List'!$A$2:$A$1005&amp;'Org List'!$B$2:$B$1005,0),3)</f>
        <v>NGOs: International</v>
      </c>
    </row>
    <row r="420" spans="1:13" x14ac:dyDescent="0.25">
      <c r="A420">
        <v>2022</v>
      </c>
      <c r="B420" t="s">
        <v>3827</v>
      </c>
      <c r="C420" t="s">
        <v>3828</v>
      </c>
      <c r="D420" t="s">
        <v>30</v>
      </c>
      <c r="E420" t="s">
        <v>303</v>
      </c>
      <c r="F420">
        <v>4500246495</v>
      </c>
      <c r="G420" t="s">
        <v>4971</v>
      </c>
      <c r="H420" t="s">
        <v>3334</v>
      </c>
      <c r="I420" t="s">
        <v>1323</v>
      </c>
      <c r="J420" t="s">
        <v>303</v>
      </c>
      <c r="K420" s="2">
        <v>107688</v>
      </c>
      <c r="L420" t="s">
        <v>6408</v>
      </c>
      <c r="M420" t="str" cm="1">
        <f t="array" ref="M420">INDEX('Org List'!$A$2:$C$1005,MATCH(Consolidated!I420&amp;Consolidated!J420,'Org List'!$A$2:$A$1005&amp;'Org List'!$B$2:$B$1005,0),3)</f>
        <v>NGOs: National</v>
      </c>
    </row>
    <row r="421" spans="1:13" x14ac:dyDescent="0.25">
      <c r="A421">
        <v>2022</v>
      </c>
      <c r="B421" t="s">
        <v>3827</v>
      </c>
      <c r="C421" t="s">
        <v>3828</v>
      </c>
      <c r="D421" t="s">
        <v>30</v>
      </c>
      <c r="E421" t="s">
        <v>303</v>
      </c>
      <c r="F421">
        <v>4500248810</v>
      </c>
      <c r="G421" t="s">
        <v>4972</v>
      </c>
      <c r="H421" t="s">
        <v>3334</v>
      </c>
      <c r="I421" t="s">
        <v>4973</v>
      </c>
      <c r="J421" t="s">
        <v>303</v>
      </c>
      <c r="K421" s="2">
        <v>53041</v>
      </c>
      <c r="L421" t="s">
        <v>6408</v>
      </c>
      <c r="M421" t="str" cm="1">
        <f t="array" ref="M421">INDEX('Org List'!$A$2:$C$1005,MATCH(Consolidated!I421&amp;Consolidated!J421,'Org List'!$A$2:$A$1005&amp;'Org List'!$B$2:$B$1005,0),3)</f>
        <v>NGOs: National</v>
      </c>
    </row>
    <row r="422" spans="1:13" x14ac:dyDescent="0.25">
      <c r="A422">
        <v>2022</v>
      </c>
      <c r="B422" t="s">
        <v>3827</v>
      </c>
      <c r="C422" t="s">
        <v>3828</v>
      </c>
      <c r="D422" t="s">
        <v>30</v>
      </c>
      <c r="E422" t="s">
        <v>303</v>
      </c>
      <c r="F422">
        <v>4500248816</v>
      </c>
      <c r="G422" t="s">
        <v>4974</v>
      </c>
      <c r="H422" t="s">
        <v>3334</v>
      </c>
      <c r="I422" t="s">
        <v>4975</v>
      </c>
      <c r="J422" t="s">
        <v>303</v>
      </c>
      <c r="K422" s="2">
        <v>13875</v>
      </c>
      <c r="L422" t="s">
        <v>6408</v>
      </c>
      <c r="M422" t="str" cm="1">
        <f t="array" ref="M422">INDEX('Org List'!$A$2:$C$1005,MATCH(Consolidated!I422&amp;Consolidated!J422,'Org List'!$A$2:$A$1005&amp;'Org List'!$B$2:$B$1005,0),3)</f>
        <v>NGOs: National</v>
      </c>
    </row>
    <row r="423" spans="1:13" x14ac:dyDescent="0.25">
      <c r="A423">
        <v>2022</v>
      </c>
      <c r="B423" t="s">
        <v>3827</v>
      </c>
      <c r="C423" t="s">
        <v>3828</v>
      </c>
      <c r="D423" t="s">
        <v>30</v>
      </c>
      <c r="E423" t="s">
        <v>303</v>
      </c>
      <c r="F423">
        <v>4500265059</v>
      </c>
      <c r="G423" t="s">
        <v>4976</v>
      </c>
      <c r="H423" t="s">
        <v>3334</v>
      </c>
      <c r="I423" t="s">
        <v>4977</v>
      </c>
      <c r="J423" t="s">
        <v>303</v>
      </c>
      <c r="K423" s="2">
        <v>14706</v>
      </c>
      <c r="L423" t="s">
        <v>6408</v>
      </c>
      <c r="M423" t="str" cm="1">
        <f t="array" ref="M423">INDEX('Org List'!$A$2:$C$1005,MATCH(Consolidated!I423&amp;Consolidated!J423,'Org List'!$A$2:$A$1005&amp;'Org List'!$B$2:$B$1005,0),3)</f>
        <v>NGOs: National</v>
      </c>
    </row>
    <row r="424" spans="1:13" x14ac:dyDescent="0.25">
      <c r="A424">
        <v>2022</v>
      </c>
      <c r="B424" t="s">
        <v>3827</v>
      </c>
      <c r="C424" t="s">
        <v>3828</v>
      </c>
      <c r="D424" t="s">
        <v>30</v>
      </c>
      <c r="E424" t="s">
        <v>305</v>
      </c>
      <c r="F424">
        <v>4500249638</v>
      </c>
      <c r="G424" t="s">
        <v>4978</v>
      </c>
      <c r="H424" t="s">
        <v>3334</v>
      </c>
      <c r="I424" t="s">
        <v>4979</v>
      </c>
      <c r="J424" t="s">
        <v>305</v>
      </c>
      <c r="K424" s="2">
        <v>17243</v>
      </c>
      <c r="L424" t="s">
        <v>6408</v>
      </c>
      <c r="M424" t="str" cm="1">
        <f t="array" ref="M424">INDEX('Org List'!$A$2:$C$1005,MATCH(Consolidated!I424&amp;Consolidated!J424,'Org List'!$A$2:$A$1005&amp;'Org List'!$B$2:$B$1005,0),3)</f>
        <v>NGOs: National</v>
      </c>
    </row>
    <row r="425" spans="1:13" x14ac:dyDescent="0.25">
      <c r="A425">
        <v>2022</v>
      </c>
      <c r="B425" t="s">
        <v>3827</v>
      </c>
      <c r="C425" t="s">
        <v>3828</v>
      </c>
      <c r="D425" t="s">
        <v>30</v>
      </c>
      <c r="E425" t="s">
        <v>305</v>
      </c>
      <c r="F425">
        <v>4500273234</v>
      </c>
      <c r="G425" t="s">
        <v>4980</v>
      </c>
      <c r="H425" t="s">
        <v>3334</v>
      </c>
      <c r="I425" t="s">
        <v>1329</v>
      </c>
      <c r="J425" t="s">
        <v>305</v>
      </c>
      <c r="K425" s="2">
        <v>330386</v>
      </c>
      <c r="L425" t="s">
        <v>6408</v>
      </c>
      <c r="M425" t="str" cm="1">
        <f t="array" ref="M425">INDEX('Org List'!$A$2:$C$1005,MATCH(Consolidated!I425&amp;Consolidated!J425,'Org List'!$A$2:$A$1005&amp;'Org List'!$B$2:$B$1005,0),3)</f>
        <v>NGOs: National</v>
      </c>
    </row>
    <row r="426" spans="1:13" x14ac:dyDescent="0.25">
      <c r="A426">
        <v>2022</v>
      </c>
      <c r="B426" t="s">
        <v>3827</v>
      </c>
      <c r="C426" t="s">
        <v>3828</v>
      </c>
      <c r="D426" t="s">
        <v>30</v>
      </c>
      <c r="E426" t="s">
        <v>909</v>
      </c>
      <c r="F426">
        <v>4500232719</v>
      </c>
      <c r="G426" t="s">
        <v>4981</v>
      </c>
      <c r="H426" t="s">
        <v>3334</v>
      </c>
      <c r="I426" t="s">
        <v>2700</v>
      </c>
      <c r="J426" t="s">
        <v>909</v>
      </c>
      <c r="K426" s="2">
        <v>15035</v>
      </c>
      <c r="L426" t="s">
        <v>6408</v>
      </c>
      <c r="M426" t="str" cm="1">
        <f t="array" ref="M426">INDEX('Org List'!$A$2:$C$1005,MATCH(Consolidated!I426&amp;Consolidated!J426,'Org List'!$A$2:$A$1005&amp;'Org List'!$B$2:$B$1005,0),3)</f>
        <v>NGOs: National</v>
      </c>
    </row>
    <row r="427" spans="1:13" x14ac:dyDescent="0.25">
      <c r="A427">
        <v>2022</v>
      </c>
      <c r="B427" t="s">
        <v>3827</v>
      </c>
      <c r="C427" t="s">
        <v>3828</v>
      </c>
      <c r="D427" t="s">
        <v>30</v>
      </c>
      <c r="E427" t="s">
        <v>909</v>
      </c>
      <c r="F427">
        <v>4500240117</v>
      </c>
      <c r="G427" t="s">
        <v>4982</v>
      </c>
      <c r="H427" t="s">
        <v>3334</v>
      </c>
      <c r="I427" t="s">
        <v>2700</v>
      </c>
      <c r="J427" t="s">
        <v>909</v>
      </c>
      <c r="K427" s="2">
        <v>3714</v>
      </c>
      <c r="L427" t="s">
        <v>6408</v>
      </c>
      <c r="M427" t="str" cm="1">
        <f t="array" ref="M427">INDEX('Org List'!$A$2:$C$1005,MATCH(Consolidated!I427&amp;Consolidated!J427,'Org List'!$A$2:$A$1005&amp;'Org List'!$B$2:$B$1005,0),3)</f>
        <v>NGOs: National</v>
      </c>
    </row>
    <row r="428" spans="1:13" x14ac:dyDescent="0.25">
      <c r="A428">
        <v>2022</v>
      </c>
      <c r="B428" t="s">
        <v>3827</v>
      </c>
      <c r="C428" t="s">
        <v>3828</v>
      </c>
      <c r="D428" t="s">
        <v>30</v>
      </c>
      <c r="E428" t="s">
        <v>909</v>
      </c>
      <c r="F428">
        <v>4500247682</v>
      </c>
      <c r="G428" t="s">
        <v>4983</v>
      </c>
      <c r="H428" t="s">
        <v>3334</v>
      </c>
      <c r="I428" t="s">
        <v>4984</v>
      </c>
      <c r="J428" t="s">
        <v>909</v>
      </c>
      <c r="K428" s="2">
        <v>10701</v>
      </c>
      <c r="L428" t="s">
        <v>6408</v>
      </c>
      <c r="M428" t="str" cm="1">
        <f t="array" ref="M428">INDEX('Org List'!$A$2:$C$1005,MATCH(Consolidated!I428&amp;Consolidated!J428,'Org List'!$A$2:$A$1005&amp;'Org List'!$B$2:$B$1005,0),3)</f>
        <v>NGOs: National</v>
      </c>
    </row>
    <row r="429" spans="1:13" x14ac:dyDescent="0.25">
      <c r="A429">
        <v>2022</v>
      </c>
      <c r="B429" t="s">
        <v>3827</v>
      </c>
      <c r="C429" t="s">
        <v>3828</v>
      </c>
      <c r="D429" t="s">
        <v>30</v>
      </c>
      <c r="E429" t="s">
        <v>909</v>
      </c>
      <c r="F429">
        <v>4500250542</v>
      </c>
      <c r="G429" t="s">
        <v>4985</v>
      </c>
      <c r="H429" t="s">
        <v>3334</v>
      </c>
      <c r="I429" t="s">
        <v>2700</v>
      </c>
      <c r="J429" t="s">
        <v>909</v>
      </c>
      <c r="K429" s="2">
        <v>7437</v>
      </c>
      <c r="L429" t="s">
        <v>6408</v>
      </c>
      <c r="M429" t="str" cm="1">
        <f t="array" ref="M429">INDEX('Org List'!$A$2:$C$1005,MATCH(Consolidated!I429&amp;Consolidated!J429,'Org List'!$A$2:$A$1005&amp;'Org List'!$B$2:$B$1005,0),3)</f>
        <v>NGOs: National</v>
      </c>
    </row>
    <row r="430" spans="1:13" x14ac:dyDescent="0.25">
      <c r="A430">
        <v>2022</v>
      </c>
      <c r="B430" t="s">
        <v>3827</v>
      </c>
      <c r="C430" t="s">
        <v>3828</v>
      </c>
      <c r="D430" t="s">
        <v>30</v>
      </c>
      <c r="E430" t="s">
        <v>909</v>
      </c>
      <c r="F430">
        <v>4500250547</v>
      </c>
      <c r="G430" t="s">
        <v>4986</v>
      </c>
      <c r="H430" t="s">
        <v>3334</v>
      </c>
      <c r="I430" t="s">
        <v>4984</v>
      </c>
      <c r="J430" t="s">
        <v>909</v>
      </c>
      <c r="K430" s="2">
        <v>11176</v>
      </c>
      <c r="L430" t="s">
        <v>6408</v>
      </c>
      <c r="M430" t="str" cm="1">
        <f t="array" ref="M430">INDEX('Org List'!$A$2:$C$1005,MATCH(Consolidated!I430&amp;Consolidated!J430,'Org List'!$A$2:$A$1005&amp;'Org List'!$B$2:$B$1005,0),3)</f>
        <v>NGOs: National</v>
      </c>
    </row>
    <row r="431" spans="1:13" x14ac:dyDescent="0.25">
      <c r="A431">
        <v>2022</v>
      </c>
      <c r="B431" t="s">
        <v>3827</v>
      </c>
      <c r="C431" t="s">
        <v>3828</v>
      </c>
      <c r="D431" t="s">
        <v>30</v>
      </c>
      <c r="E431" t="s">
        <v>909</v>
      </c>
      <c r="F431">
        <v>4500252880</v>
      </c>
      <c r="G431" t="s">
        <v>4987</v>
      </c>
      <c r="H431" t="s">
        <v>3334</v>
      </c>
      <c r="I431" t="s">
        <v>4984</v>
      </c>
      <c r="J431" t="s">
        <v>909</v>
      </c>
      <c r="K431" s="2">
        <v>11176</v>
      </c>
      <c r="L431" t="s">
        <v>6408</v>
      </c>
      <c r="M431" t="str" cm="1">
        <f t="array" ref="M431">INDEX('Org List'!$A$2:$C$1005,MATCH(Consolidated!I431&amp;Consolidated!J431,'Org List'!$A$2:$A$1005&amp;'Org List'!$B$2:$B$1005,0),3)</f>
        <v>NGOs: National</v>
      </c>
    </row>
    <row r="432" spans="1:13" x14ac:dyDescent="0.25">
      <c r="A432">
        <v>2022</v>
      </c>
      <c r="B432" t="s">
        <v>3827</v>
      </c>
      <c r="C432" t="s">
        <v>3828</v>
      </c>
      <c r="D432" t="s">
        <v>30</v>
      </c>
      <c r="E432" t="s">
        <v>909</v>
      </c>
      <c r="F432">
        <v>4500252885</v>
      </c>
      <c r="G432" t="s">
        <v>4988</v>
      </c>
      <c r="H432" t="s">
        <v>3334</v>
      </c>
      <c r="I432" t="s">
        <v>2700</v>
      </c>
      <c r="J432" t="s">
        <v>909</v>
      </c>
      <c r="K432" s="2">
        <v>7437</v>
      </c>
      <c r="L432" t="s">
        <v>6408</v>
      </c>
      <c r="M432" t="str" cm="1">
        <f t="array" ref="M432">INDEX('Org List'!$A$2:$C$1005,MATCH(Consolidated!I432&amp;Consolidated!J432,'Org List'!$A$2:$A$1005&amp;'Org List'!$B$2:$B$1005,0),3)</f>
        <v>NGOs: National</v>
      </c>
    </row>
    <row r="433" spans="1:13" x14ac:dyDescent="0.25">
      <c r="A433">
        <v>2022</v>
      </c>
      <c r="B433" t="s">
        <v>3827</v>
      </c>
      <c r="C433" t="s">
        <v>3828</v>
      </c>
      <c r="D433" t="s">
        <v>30</v>
      </c>
      <c r="E433" t="s">
        <v>909</v>
      </c>
      <c r="F433">
        <v>4500256030</v>
      </c>
      <c r="G433" t="s">
        <v>4989</v>
      </c>
      <c r="H433" t="s">
        <v>3334</v>
      </c>
      <c r="I433" t="s">
        <v>2700</v>
      </c>
      <c r="J433" t="s">
        <v>909</v>
      </c>
      <c r="K433" s="2">
        <v>18783</v>
      </c>
      <c r="L433" t="s">
        <v>6408</v>
      </c>
      <c r="M433" t="str" cm="1">
        <f t="array" ref="M433">INDEX('Org List'!$A$2:$C$1005,MATCH(Consolidated!I433&amp;Consolidated!J433,'Org List'!$A$2:$A$1005&amp;'Org List'!$B$2:$B$1005,0),3)</f>
        <v>NGOs: National</v>
      </c>
    </row>
    <row r="434" spans="1:13" x14ac:dyDescent="0.25">
      <c r="A434">
        <v>2022</v>
      </c>
      <c r="B434" t="s">
        <v>3827</v>
      </c>
      <c r="C434" t="s">
        <v>3828</v>
      </c>
      <c r="D434" t="s">
        <v>30</v>
      </c>
      <c r="E434" t="s">
        <v>909</v>
      </c>
      <c r="F434">
        <v>4500257514</v>
      </c>
      <c r="G434" t="s">
        <v>4990</v>
      </c>
      <c r="H434" t="s">
        <v>3334</v>
      </c>
      <c r="I434" t="s">
        <v>3489</v>
      </c>
      <c r="J434" t="s">
        <v>909</v>
      </c>
      <c r="K434" s="2">
        <v>2207</v>
      </c>
      <c r="L434" t="s">
        <v>6408</v>
      </c>
      <c r="M434" t="str" cm="1">
        <f t="array" ref="M434">INDEX('Org List'!$A$2:$C$1005,MATCH(Consolidated!I434&amp;Consolidated!J434,'Org List'!$A$2:$A$1005&amp;'Org List'!$B$2:$B$1005,0),3)</f>
        <v>NGOs: Local</v>
      </c>
    </row>
    <row r="435" spans="1:13" x14ac:dyDescent="0.25">
      <c r="A435">
        <v>2022</v>
      </c>
      <c r="B435" t="s">
        <v>3827</v>
      </c>
      <c r="C435" t="s">
        <v>3828</v>
      </c>
      <c r="D435" t="s">
        <v>30</v>
      </c>
      <c r="E435" t="s">
        <v>909</v>
      </c>
      <c r="F435">
        <v>4500259131</v>
      </c>
      <c r="G435" t="s">
        <v>4991</v>
      </c>
      <c r="H435" t="s">
        <v>3334</v>
      </c>
      <c r="I435" t="s">
        <v>4984</v>
      </c>
      <c r="J435" t="s">
        <v>909</v>
      </c>
      <c r="K435" s="2">
        <v>13753</v>
      </c>
      <c r="L435" t="s">
        <v>6408</v>
      </c>
      <c r="M435" t="str" cm="1">
        <f t="array" ref="M435">INDEX('Org List'!$A$2:$C$1005,MATCH(Consolidated!I435&amp;Consolidated!J435,'Org List'!$A$2:$A$1005&amp;'Org List'!$B$2:$B$1005,0),3)</f>
        <v>NGOs: National</v>
      </c>
    </row>
    <row r="436" spans="1:13" x14ac:dyDescent="0.25">
      <c r="A436">
        <v>2022</v>
      </c>
      <c r="B436" t="s">
        <v>3827</v>
      </c>
      <c r="C436" t="s">
        <v>3828</v>
      </c>
      <c r="D436" t="s">
        <v>30</v>
      </c>
      <c r="E436" t="s">
        <v>909</v>
      </c>
      <c r="F436">
        <v>4500263556</v>
      </c>
      <c r="G436" t="s">
        <v>4992</v>
      </c>
      <c r="H436" t="s">
        <v>3334</v>
      </c>
      <c r="I436" t="s">
        <v>2700</v>
      </c>
      <c r="J436" t="s">
        <v>909</v>
      </c>
      <c r="K436" s="2">
        <v>36677</v>
      </c>
      <c r="L436" t="s">
        <v>6408</v>
      </c>
      <c r="M436" t="str" cm="1">
        <f t="array" ref="M436">INDEX('Org List'!$A$2:$C$1005,MATCH(Consolidated!I436&amp;Consolidated!J436,'Org List'!$A$2:$A$1005&amp;'Org List'!$B$2:$B$1005,0),3)</f>
        <v>NGOs: National</v>
      </c>
    </row>
    <row r="437" spans="1:13" x14ac:dyDescent="0.25">
      <c r="A437">
        <v>2022</v>
      </c>
      <c r="B437" t="s">
        <v>3827</v>
      </c>
      <c r="C437" t="s">
        <v>3828</v>
      </c>
      <c r="D437" t="s">
        <v>30</v>
      </c>
      <c r="E437" t="s">
        <v>909</v>
      </c>
      <c r="F437">
        <v>4500266906</v>
      </c>
      <c r="G437" t="s">
        <v>4993</v>
      </c>
      <c r="H437" t="s">
        <v>3334</v>
      </c>
      <c r="I437" t="s">
        <v>2700</v>
      </c>
      <c r="J437" t="s">
        <v>909</v>
      </c>
      <c r="K437" s="2">
        <v>9346</v>
      </c>
      <c r="L437" t="s">
        <v>6408</v>
      </c>
      <c r="M437" t="str" cm="1">
        <f t="array" ref="M437">INDEX('Org List'!$A$2:$C$1005,MATCH(Consolidated!I437&amp;Consolidated!J437,'Org List'!$A$2:$A$1005&amp;'Org List'!$B$2:$B$1005,0),3)</f>
        <v>NGOs: National</v>
      </c>
    </row>
    <row r="438" spans="1:13" x14ac:dyDescent="0.25">
      <c r="A438">
        <v>2022</v>
      </c>
      <c r="B438" t="s">
        <v>3827</v>
      </c>
      <c r="C438" t="s">
        <v>3828</v>
      </c>
      <c r="D438" t="s">
        <v>30</v>
      </c>
      <c r="E438" t="s">
        <v>909</v>
      </c>
      <c r="F438">
        <v>4500269899</v>
      </c>
      <c r="G438" t="s">
        <v>4994</v>
      </c>
      <c r="H438" t="s">
        <v>3334</v>
      </c>
      <c r="I438" t="s">
        <v>2700</v>
      </c>
      <c r="J438" t="s">
        <v>909</v>
      </c>
      <c r="K438" s="2">
        <v>27597</v>
      </c>
      <c r="L438" t="s">
        <v>6408</v>
      </c>
      <c r="M438" t="str" cm="1">
        <f t="array" ref="M438">INDEX('Org List'!$A$2:$C$1005,MATCH(Consolidated!I438&amp;Consolidated!J438,'Org List'!$A$2:$A$1005&amp;'Org List'!$B$2:$B$1005,0),3)</f>
        <v>NGOs: National</v>
      </c>
    </row>
    <row r="439" spans="1:13" x14ac:dyDescent="0.25">
      <c r="A439">
        <v>2022</v>
      </c>
      <c r="B439" t="s">
        <v>3827</v>
      </c>
      <c r="C439" t="s">
        <v>3828</v>
      </c>
      <c r="D439" t="s">
        <v>30</v>
      </c>
      <c r="E439" t="s">
        <v>909</v>
      </c>
      <c r="F439">
        <v>4500270188</v>
      </c>
      <c r="G439" t="s">
        <v>4995</v>
      </c>
      <c r="H439" t="s">
        <v>3334</v>
      </c>
      <c r="I439" t="s">
        <v>4984</v>
      </c>
      <c r="J439" t="s">
        <v>909</v>
      </c>
      <c r="K439" s="2">
        <v>13409</v>
      </c>
      <c r="L439" t="s">
        <v>6408</v>
      </c>
      <c r="M439" t="str" cm="1">
        <f t="array" ref="M439">INDEX('Org List'!$A$2:$C$1005,MATCH(Consolidated!I439&amp;Consolidated!J439,'Org List'!$A$2:$A$1005&amp;'Org List'!$B$2:$B$1005,0),3)</f>
        <v>NGOs: National</v>
      </c>
    </row>
    <row r="440" spans="1:13" x14ac:dyDescent="0.25">
      <c r="A440">
        <v>2022</v>
      </c>
      <c r="B440" t="s">
        <v>3827</v>
      </c>
      <c r="C440" t="s">
        <v>3828</v>
      </c>
      <c r="D440" t="s">
        <v>30</v>
      </c>
      <c r="E440" t="s">
        <v>909</v>
      </c>
      <c r="F440">
        <v>4500273842</v>
      </c>
      <c r="G440" t="s">
        <v>4996</v>
      </c>
      <c r="H440" t="s">
        <v>3334</v>
      </c>
      <c r="I440" t="s">
        <v>4984</v>
      </c>
      <c r="J440" t="s">
        <v>909</v>
      </c>
      <c r="K440" s="2">
        <v>21538</v>
      </c>
      <c r="L440" t="s">
        <v>6408</v>
      </c>
      <c r="M440" t="str" cm="1">
        <f t="array" ref="M440">INDEX('Org List'!$A$2:$C$1005,MATCH(Consolidated!I440&amp;Consolidated!J440,'Org List'!$A$2:$A$1005&amp;'Org List'!$B$2:$B$1005,0),3)</f>
        <v>NGOs: National</v>
      </c>
    </row>
    <row r="441" spans="1:13" x14ac:dyDescent="0.25">
      <c r="A441">
        <v>2022</v>
      </c>
      <c r="B441" t="s">
        <v>3827</v>
      </c>
      <c r="C441" t="s">
        <v>3828</v>
      </c>
      <c r="D441" t="s">
        <v>30</v>
      </c>
      <c r="E441" t="s">
        <v>909</v>
      </c>
      <c r="F441">
        <v>4500273847</v>
      </c>
      <c r="G441" t="s">
        <v>4997</v>
      </c>
      <c r="H441" t="s">
        <v>3334</v>
      </c>
      <c r="I441" t="s">
        <v>3489</v>
      </c>
      <c r="J441" t="s">
        <v>909</v>
      </c>
      <c r="K441" s="2">
        <v>7537</v>
      </c>
      <c r="L441" t="s">
        <v>6408</v>
      </c>
      <c r="M441" t="str" cm="1">
        <f t="array" ref="M441">INDEX('Org List'!$A$2:$C$1005,MATCH(Consolidated!I441&amp;Consolidated!J441,'Org List'!$A$2:$A$1005&amp;'Org List'!$B$2:$B$1005,0),3)</f>
        <v>NGOs: Local</v>
      </c>
    </row>
    <row r="442" spans="1:13" x14ac:dyDescent="0.25">
      <c r="A442">
        <v>2022</v>
      </c>
      <c r="B442" t="s">
        <v>3827</v>
      </c>
      <c r="C442" t="s">
        <v>3828</v>
      </c>
      <c r="D442" t="s">
        <v>30</v>
      </c>
      <c r="E442" t="s">
        <v>909</v>
      </c>
      <c r="F442">
        <v>4500274397</v>
      </c>
      <c r="G442" t="s">
        <v>4998</v>
      </c>
      <c r="H442" t="s">
        <v>3334</v>
      </c>
      <c r="I442" t="s">
        <v>4984</v>
      </c>
      <c r="J442" t="s">
        <v>909</v>
      </c>
      <c r="K442" s="2">
        <v>15190</v>
      </c>
      <c r="L442" t="s">
        <v>6408</v>
      </c>
      <c r="M442" t="str" cm="1">
        <f t="array" ref="M442">INDEX('Org List'!$A$2:$C$1005,MATCH(Consolidated!I442&amp;Consolidated!J442,'Org List'!$A$2:$A$1005&amp;'Org List'!$B$2:$B$1005,0),3)</f>
        <v>NGOs: National</v>
      </c>
    </row>
    <row r="443" spans="1:13" x14ac:dyDescent="0.25">
      <c r="A443">
        <v>2022</v>
      </c>
      <c r="B443" t="s">
        <v>3827</v>
      </c>
      <c r="C443" t="s">
        <v>3828</v>
      </c>
      <c r="D443" t="s">
        <v>30</v>
      </c>
      <c r="E443" t="s">
        <v>909</v>
      </c>
      <c r="F443">
        <v>4500274408</v>
      </c>
      <c r="G443" t="s">
        <v>4999</v>
      </c>
      <c r="H443" t="s">
        <v>3334</v>
      </c>
      <c r="I443" t="s">
        <v>2700</v>
      </c>
      <c r="J443" t="s">
        <v>909</v>
      </c>
      <c r="K443" s="2">
        <v>42105</v>
      </c>
      <c r="L443" t="s">
        <v>6408</v>
      </c>
      <c r="M443" t="str" cm="1">
        <f t="array" ref="M443">INDEX('Org List'!$A$2:$C$1005,MATCH(Consolidated!I443&amp;Consolidated!J443,'Org List'!$A$2:$A$1005&amp;'Org List'!$B$2:$B$1005,0),3)</f>
        <v>NGOs: National</v>
      </c>
    </row>
    <row r="444" spans="1:13" x14ac:dyDescent="0.25">
      <c r="A444">
        <v>2022</v>
      </c>
      <c r="B444" t="s">
        <v>3827</v>
      </c>
      <c r="C444" t="s">
        <v>3828</v>
      </c>
      <c r="D444" t="s">
        <v>30</v>
      </c>
      <c r="E444" t="s">
        <v>909</v>
      </c>
      <c r="F444">
        <v>4500275045</v>
      </c>
      <c r="G444" t="s">
        <v>5000</v>
      </c>
      <c r="H444" t="s">
        <v>3334</v>
      </c>
      <c r="I444" t="s">
        <v>3489</v>
      </c>
      <c r="J444" t="s">
        <v>909</v>
      </c>
      <c r="K444" s="2">
        <v>18319</v>
      </c>
      <c r="L444" t="s">
        <v>6408</v>
      </c>
      <c r="M444" t="str" cm="1">
        <f t="array" ref="M444">INDEX('Org List'!$A$2:$C$1005,MATCH(Consolidated!I444&amp;Consolidated!J444,'Org List'!$A$2:$A$1005&amp;'Org List'!$B$2:$B$1005,0),3)</f>
        <v>NGOs: Local</v>
      </c>
    </row>
    <row r="445" spans="1:13" x14ac:dyDescent="0.25">
      <c r="A445">
        <v>2022</v>
      </c>
      <c r="B445" t="s">
        <v>3827</v>
      </c>
      <c r="C445" t="s">
        <v>3828</v>
      </c>
      <c r="D445" t="s">
        <v>30</v>
      </c>
      <c r="E445" t="s">
        <v>909</v>
      </c>
      <c r="F445">
        <v>4500275312</v>
      </c>
      <c r="G445" t="s">
        <v>5001</v>
      </c>
      <c r="H445" t="s">
        <v>3334</v>
      </c>
      <c r="I445" t="s">
        <v>3489</v>
      </c>
      <c r="J445" t="s">
        <v>909</v>
      </c>
      <c r="K445" s="2">
        <v>35133</v>
      </c>
      <c r="L445" t="s">
        <v>6408</v>
      </c>
      <c r="M445" t="str" cm="1">
        <f t="array" ref="M445">INDEX('Org List'!$A$2:$C$1005,MATCH(Consolidated!I445&amp;Consolidated!J445,'Org List'!$A$2:$A$1005&amp;'Org List'!$B$2:$B$1005,0),3)</f>
        <v>NGOs: Local</v>
      </c>
    </row>
    <row r="446" spans="1:13" x14ac:dyDescent="0.25">
      <c r="A446">
        <v>2022</v>
      </c>
      <c r="B446" t="s">
        <v>3827</v>
      </c>
      <c r="C446" t="s">
        <v>3828</v>
      </c>
      <c r="D446" t="s">
        <v>30</v>
      </c>
      <c r="E446" t="s">
        <v>911</v>
      </c>
      <c r="F446">
        <v>4500245855</v>
      </c>
      <c r="G446" t="s">
        <v>5002</v>
      </c>
      <c r="H446" t="s">
        <v>3334</v>
      </c>
      <c r="I446" t="s">
        <v>3491</v>
      </c>
      <c r="J446" t="s">
        <v>911</v>
      </c>
      <c r="K446" s="2">
        <v>74942</v>
      </c>
      <c r="L446" t="s">
        <v>6408</v>
      </c>
      <c r="M446" t="str" cm="1">
        <f t="array" ref="M446">INDEX('Org List'!$A$2:$C$1005,MATCH(Consolidated!I446&amp;Consolidated!J446,'Org List'!$A$2:$A$1005&amp;'Org List'!$B$2:$B$1005,0),3)</f>
        <v>NGOs: National</v>
      </c>
    </row>
    <row r="447" spans="1:13" x14ac:dyDescent="0.25">
      <c r="A447">
        <v>2022</v>
      </c>
      <c r="B447" t="s">
        <v>3827</v>
      </c>
      <c r="C447" t="s">
        <v>3828</v>
      </c>
      <c r="D447" t="s">
        <v>30</v>
      </c>
      <c r="E447" t="s">
        <v>911</v>
      </c>
      <c r="F447">
        <v>4500274243</v>
      </c>
      <c r="G447" t="s">
        <v>3933</v>
      </c>
      <c r="H447" t="s">
        <v>3334</v>
      </c>
      <c r="I447" t="s">
        <v>3491</v>
      </c>
      <c r="J447" t="s">
        <v>911</v>
      </c>
      <c r="K447" s="2">
        <v>14478</v>
      </c>
      <c r="L447" t="s">
        <v>6408</v>
      </c>
      <c r="M447" t="str" cm="1">
        <f t="array" ref="M447">INDEX('Org List'!$A$2:$C$1005,MATCH(Consolidated!I447&amp;Consolidated!J447,'Org List'!$A$2:$A$1005&amp;'Org List'!$B$2:$B$1005,0),3)</f>
        <v>NGOs: National</v>
      </c>
    </row>
    <row r="448" spans="1:13" x14ac:dyDescent="0.25">
      <c r="A448">
        <v>2022</v>
      </c>
      <c r="B448" t="s">
        <v>3827</v>
      </c>
      <c r="C448" t="s">
        <v>3828</v>
      </c>
      <c r="D448" t="s">
        <v>30</v>
      </c>
      <c r="E448" t="s">
        <v>54</v>
      </c>
      <c r="F448">
        <v>4500223321</v>
      </c>
      <c r="G448" t="s">
        <v>5003</v>
      </c>
      <c r="H448" t="s">
        <v>3334</v>
      </c>
      <c r="I448" t="s">
        <v>1405</v>
      </c>
      <c r="J448" t="s">
        <v>972</v>
      </c>
      <c r="K448" s="2">
        <v>542286</v>
      </c>
      <c r="L448" t="s">
        <v>6408</v>
      </c>
      <c r="M448" t="str" cm="1">
        <f t="array" ref="M448">INDEX('Org List'!$A$2:$C$1005,MATCH(Consolidated!I448&amp;Consolidated!J448,'Org List'!$A$2:$A$1005&amp;'Org List'!$B$2:$B$1005,0),3)</f>
        <v>NGOs: International</v>
      </c>
    </row>
    <row r="449" spans="1:13" x14ac:dyDescent="0.25">
      <c r="A449">
        <v>2022</v>
      </c>
      <c r="B449" t="s">
        <v>3827</v>
      </c>
      <c r="C449" t="s">
        <v>3828</v>
      </c>
      <c r="D449" t="s">
        <v>30</v>
      </c>
      <c r="E449" t="s">
        <v>54</v>
      </c>
      <c r="F449">
        <v>4500225861</v>
      </c>
      <c r="G449" t="s">
        <v>5004</v>
      </c>
      <c r="H449" t="s">
        <v>3334</v>
      </c>
      <c r="I449" t="s">
        <v>5005</v>
      </c>
      <c r="J449" t="s">
        <v>54</v>
      </c>
      <c r="K449" s="2">
        <v>222602</v>
      </c>
      <c r="L449" t="s">
        <v>6408</v>
      </c>
      <c r="M449" t="str" cm="1">
        <f t="array" ref="M449">INDEX('Org List'!$A$2:$C$1005,MATCH(Consolidated!I449&amp;Consolidated!J449,'Org List'!$A$2:$A$1005&amp;'Org List'!$B$2:$B$1005,0),3)</f>
        <v>NGOs: Local</v>
      </c>
    </row>
    <row r="450" spans="1:13" x14ac:dyDescent="0.25">
      <c r="A450">
        <v>2022</v>
      </c>
      <c r="B450" t="s">
        <v>3827</v>
      </c>
      <c r="C450" t="s">
        <v>3828</v>
      </c>
      <c r="D450" t="s">
        <v>30</v>
      </c>
      <c r="E450" t="s">
        <v>54</v>
      </c>
      <c r="F450">
        <v>4500232729</v>
      </c>
      <c r="G450" t="s">
        <v>5006</v>
      </c>
      <c r="H450" t="s">
        <v>3334</v>
      </c>
      <c r="I450" t="s">
        <v>5007</v>
      </c>
      <c r="J450" t="s">
        <v>54</v>
      </c>
      <c r="K450" s="2">
        <v>48960</v>
      </c>
      <c r="L450" t="s">
        <v>6408</v>
      </c>
      <c r="M450" t="str" cm="1">
        <f t="array" ref="M450">INDEX('Org List'!$A$2:$C$1005,MATCH(Consolidated!I450&amp;Consolidated!J450,'Org List'!$A$2:$A$1005&amp;'Org List'!$B$2:$B$1005,0),3)</f>
        <v>NGOs: National</v>
      </c>
    </row>
    <row r="451" spans="1:13" x14ac:dyDescent="0.25">
      <c r="A451">
        <v>2022</v>
      </c>
      <c r="B451" t="s">
        <v>3827</v>
      </c>
      <c r="C451" t="s">
        <v>3828</v>
      </c>
      <c r="D451" t="s">
        <v>30</v>
      </c>
      <c r="E451" t="s">
        <v>54</v>
      </c>
      <c r="F451">
        <v>4500235383</v>
      </c>
      <c r="G451" t="s">
        <v>5008</v>
      </c>
      <c r="H451" t="s">
        <v>3334</v>
      </c>
      <c r="I451" t="s">
        <v>3497</v>
      </c>
      <c r="J451" t="s">
        <v>54</v>
      </c>
      <c r="K451" s="2">
        <v>73440</v>
      </c>
      <c r="L451" t="s">
        <v>6408</v>
      </c>
      <c r="M451" t="str" cm="1">
        <f t="array" ref="M451">INDEX('Org List'!$A$2:$C$1005,MATCH(Consolidated!I451&amp;Consolidated!J451,'Org List'!$A$2:$A$1005&amp;'Org List'!$B$2:$B$1005,0),3)</f>
        <v>NGOs: National</v>
      </c>
    </row>
    <row r="452" spans="1:13" x14ac:dyDescent="0.25">
      <c r="A452">
        <v>2022</v>
      </c>
      <c r="B452" t="s">
        <v>3827</v>
      </c>
      <c r="C452" t="s">
        <v>3828</v>
      </c>
      <c r="D452" t="s">
        <v>30</v>
      </c>
      <c r="E452" t="s">
        <v>54</v>
      </c>
      <c r="F452">
        <v>4500246484</v>
      </c>
      <c r="G452" t="s">
        <v>5009</v>
      </c>
      <c r="H452" t="s">
        <v>3334</v>
      </c>
      <c r="I452" t="s">
        <v>5010</v>
      </c>
      <c r="J452" t="s">
        <v>54</v>
      </c>
      <c r="K452" s="2">
        <v>5075</v>
      </c>
      <c r="L452" t="s">
        <v>6408</v>
      </c>
      <c r="M452" t="str" cm="1">
        <f t="array" ref="M452">INDEX('Org List'!$A$2:$C$1005,MATCH(Consolidated!I452&amp;Consolidated!J452,'Org List'!$A$2:$A$1005&amp;'Org List'!$B$2:$B$1005,0),3)</f>
        <v>NGOs: National</v>
      </c>
    </row>
    <row r="453" spans="1:13" x14ac:dyDescent="0.25">
      <c r="A453">
        <v>2022</v>
      </c>
      <c r="B453" t="s">
        <v>3827</v>
      </c>
      <c r="C453" t="s">
        <v>3828</v>
      </c>
      <c r="D453" t="s">
        <v>30</v>
      </c>
      <c r="E453" t="s">
        <v>54</v>
      </c>
      <c r="F453">
        <v>4500251107</v>
      </c>
      <c r="G453" t="s">
        <v>5011</v>
      </c>
      <c r="H453" t="s">
        <v>3334</v>
      </c>
      <c r="I453" t="s">
        <v>5012</v>
      </c>
      <c r="J453" t="s">
        <v>751</v>
      </c>
      <c r="K453" s="2">
        <v>1656854</v>
      </c>
      <c r="L453" t="s">
        <v>6408</v>
      </c>
      <c r="M453" t="str" cm="1">
        <f t="array" ref="M453">INDEX('Org List'!$A$2:$C$1005,MATCH(Consolidated!I453&amp;Consolidated!J453,'Org List'!$A$2:$A$1005&amp;'Org List'!$B$2:$B$1005,0),3)</f>
        <v>Unknown</v>
      </c>
    </row>
    <row r="454" spans="1:13" x14ac:dyDescent="0.25">
      <c r="A454">
        <v>2022</v>
      </c>
      <c r="B454" t="s">
        <v>3827</v>
      </c>
      <c r="C454" t="s">
        <v>3828</v>
      </c>
      <c r="D454" t="s">
        <v>30</v>
      </c>
      <c r="E454" t="s">
        <v>54</v>
      </c>
      <c r="F454">
        <v>4500275116</v>
      </c>
      <c r="G454" t="s">
        <v>5013</v>
      </c>
      <c r="H454" t="s">
        <v>3334</v>
      </c>
      <c r="I454" t="s">
        <v>3790</v>
      </c>
      <c r="J454" t="s">
        <v>54</v>
      </c>
      <c r="K454" s="2">
        <v>205528</v>
      </c>
      <c r="L454" t="s">
        <v>6408</v>
      </c>
      <c r="M454" t="str" cm="1">
        <f t="array" ref="M454">INDEX('Org List'!$A$2:$C$1005,MATCH(Consolidated!I454&amp;Consolidated!J454,'Org List'!$A$2:$A$1005&amp;'Org List'!$B$2:$B$1005,0),3)</f>
        <v>NGOs: National</v>
      </c>
    </row>
    <row r="455" spans="1:13" x14ac:dyDescent="0.25">
      <c r="A455">
        <v>2022</v>
      </c>
      <c r="B455" t="s">
        <v>3451</v>
      </c>
      <c r="C455" t="s">
        <v>3452</v>
      </c>
      <c r="D455" t="s">
        <v>30</v>
      </c>
      <c r="E455" t="s">
        <v>175</v>
      </c>
      <c r="F455">
        <v>4500211447</v>
      </c>
      <c r="G455" t="s">
        <v>5014</v>
      </c>
      <c r="H455" t="s">
        <v>3334</v>
      </c>
      <c r="I455" t="s">
        <v>186</v>
      </c>
      <c r="J455" t="s">
        <v>175</v>
      </c>
      <c r="K455" s="2">
        <v>159000</v>
      </c>
      <c r="L455" t="s">
        <v>6408</v>
      </c>
      <c r="M455" t="str" cm="1">
        <f t="array" ref="M455">INDEX('Org List'!$A$2:$C$1005,MATCH(Consolidated!I455&amp;Consolidated!J455,'Org List'!$A$2:$A$1005&amp;'Org List'!$B$2:$B$1005,0),3)</f>
        <v>NGOs: National</v>
      </c>
    </row>
    <row r="456" spans="1:13" x14ac:dyDescent="0.25">
      <c r="A456">
        <v>2022</v>
      </c>
      <c r="B456" t="s">
        <v>3451</v>
      </c>
      <c r="C456" t="s">
        <v>3452</v>
      </c>
      <c r="D456" t="s">
        <v>30</v>
      </c>
      <c r="E456" t="s">
        <v>175</v>
      </c>
      <c r="F456">
        <v>4500211568</v>
      </c>
      <c r="G456" t="s">
        <v>4633</v>
      </c>
      <c r="H456" t="s">
        <v>3334</v>
      </c>
      <c r="I456" t="s">
        <v>176</v>
      </c>
      <c r="J456" t="s">
        <v>175</v>
      </c>
      <c r="K456" s="2">
        <v>2142</v>
      </c>
      <c r="L456" t="s">
        <v>6408</v>
      </c>
      <c r="M456" t="str" cm="1">
        <f t="array" ref="M456">INDEX('Org List'!$A$2:$C$1005,MATCH(Consolidated!I456&amp;Consolidated!J456,'Org List'!$A$2:$A$1005&amp;'Org List'!$B$2:$B$1005,0),3)</f>
        <v>NGOs: National</v>
      </c>
    </row>
    <row r="457" spans="1:13" x14ac:dyDescent="0.25">
      <c r="A457">
        <v>2022</v>
      </c>
      <c r="B457" t="s">
        <v>3451</v>
      </c>
      <c r="C457" t="s">
        <v>3452</v>
      </c>
      <c r="D457" t="s">
        <v>30</v>
      </c>
      <c r="E457" t="s">
        <v>175</v>
      </c>
      <c r="F457">
        <v>4500211900</v>
      </c>
      <c r="G457" t="s">
        <v>5015</v>
      </c>
      <c r="H457" t="s">
        <v>3334</v>
      </c>
      <c r="I457" t="s">
        <v>4673</v>
      </c>
      <c r="J457" t="s">
        <v>175</v>
      </c>
      <c r="K457" s="2">
        <v>403000</v>
      </c>
      <c r="L457" t="s">
        <v>6408</v>
      </c>
      <c r="M457" t="str" cm="1">
        <f t="array" ref="M457">INDEX('Org List'!$A$2:$C$1005,MATCH(Consolidated!I457&amp;Consolidated!J457,'Org List'!$A$2:$A$1005&amp;'Org List'!$B$2:$B$1005,0),3)</f>
        <v>NGOs: International</v>
      </c>
    </row>
    <row r="458" spans="1:13" x14ac:dyDescent="0.25">
      <c r="A458">
        <v>2022</v>
      </c>
      <c r="B458" t="s">
        <v>3451</v>
      </c>
      <c r="C458" t="s">
        <v>3452</v>
      </c>
      <c r="D458" t="s">
        <v>30</v>
      </c>
      <c r="E458" t="s">
        <v>175</v>
      </c>
      <c r="F458">
        <v>4500214286</v>
      </c>
      <c r="G458" t="s">
        <v>5016</v>
      </c>
      <c r="H458" t="s">
        <v>3334</v>
      </c>
      <c r="I458" t="s">
        <v>183</v>
      </c>
      <c r="J458" t="s">
        <v>184</v>
      </c>
      <c r="K458" s="2">
        <v>62101</v>
      </c>
      <c r="L458" t="s">
        <v>6408</v>
      </c>
      <c r="M458" t="str" cm="1">
        <f t="array" ref="M458">INDEX('Org List'!$A$2:$C$1005,MATCH(Consolidated!I458&amp;Consolidated!J458,'Org List'!$A$2:$A$1005&amp;'Org List'!$B$2:$B$1005,0),3)</f>
        <v>NGOs: International</v>
      </c>
    </row>
    <row r="459" spans="1:13" x14ac:dyDescent="0.25">
      <c r="A459">
        <v>2022</v>
      </c>
      <c r="B459" t="s">
        <v>3451</v>
      </c>
      <c r="C459" t="s">
        <v>3452</v>
      </c>
      <c r="D459" t="s">
        <v>30</v>
      </c>
      <c r="E459" t="s">
        <v>175</v>
      </c>
      <c r="F459">
        <v>4500214678</v>
      </c>
      <c r="G459" t="s">
        <v>5017</v>
      </c>
      <c r="H459" t="s">
        <v>3334</v>
      </c>
      <c r="I459" t="s">
        <v>183</v>
      </c>
      <c r="J459" t="s">
        <v>184</v>
      </c>
      <c r="K459" s="2">
        <v>35417</v>
      </c>
      <c r="L459" t="s">
        <v>6408</v>
      </c>
      <c r="M459" t="str" cm="1">
        <f t="array" ref="M459">INDEX('Org List'!$A$2:$C$1005,MATCH(Consolidated!I459&amp;Consolidated!J459,'Org List'!$A$2:$A$1005&amp;'Org List'!$B$2:$B$1005,0),3)</f>
        <v>NGOs: International</v>
      </c>
    </row>
    <row r="460" spans="1:13" x14ac:dyDescent="0.25">
      <c r="A460">
        <v>2022</v>
      </c>
      <c r="B460" t="s">
        <v>3451</v>
      </c>
      <c r="C460" t="s">
        <v>3452</v>
      </c>
      <c r="D460" t="s">
        <v>30</v>
      </c>
      <c r="E460" t="s">
        <v>175</v>
      </c>
      <c r="F460">
        <v>4500214688</v>
      </c>
      <c r="G460" t="s">
        <v>5018</v>
      </c>
      <c r="H460" t="s">
        <v>3334</v>
      </c>
      <c r="I460" t="s">
        <v>887</v>
      </c>
      <c r="J460" t="s">
        <v>175</v>
      </c>
      <c r="K460" s="2">
        <v>297697</v>
      </c>
      <c r="L460" t="s">
        <v>6408</v>
      </c>
      <c r="M460" t="str" cm="1">
        <f t="array" ref="M460">INDEX('Org List'!$A$2:$C$1005,MATCH(Consolidated!I460&amp;Consolidated!J460,'Org List'!$A$2:$A$1005&amp;'Org List'!$B$2:$B$1005,0),3)</f>
        <v>NGOs: International</v>
      </c>
    </row>
    <row r="461" spans="1:13" x14ac:dyDescent="0.25">
      <c r="A461">
        <v>2022</v>
      </c>
      <c r="B461" t="s">
        <v>3451</v>
      </c>
      <c r="C461" t="s">
        <v>3452</v>
      </c>
      <c r="D461" t="s">
        <v>30</v>
      </c>
      <c r="E461" t="s">
        <v>175</v>
      </c>
      <c r="F461">
        <v>4500257677</v>
      </c>
      <c r="G461" t="s">
        <v>4445</v>
      </c>
      <c r="H461" t="s">
        <v>3334</v>
      </c>
      <c r="I461" t="s">
        <v>186</v>
      </c>
      <c r="J461" t="s">
        <v>175</v>
      </c>
      <c r="K461" s="2">
        <v>67557</v>
      </c>
      <c r="L461" t="s">
        <v>6408</v>
      </c>
      <c r="M461" t="str" cm="1">
        <f t="array" ref="M461">INDEX('Org List'!$A$2:$C$1005,MATCH(Consolidated!I461&amp;Consolidated!J461,'Org List'!$A$2:$A$1005&amp;'Org List'!$B$2:$B$1005,0),3)</f>
        <v>NGOs: National</v>
      </c>
    </row>
    <row r="462" spans="1:13" x14ac:dyDescent="0.25">
      <c r="A462">
        <v>2022</v>
      </c>
      <c r="B462" t="s">
        <v>3451</v>
      </c>
      <c r="C462" t="s">
        <v>3452</v>
      </c>
      <c r="D462" t="s">
        <v>30</v>
      </c>
      <c r="E462" t="s">
        <v>175</v>
      </c>
      <c r="F462">
        <v>4500260047</v>
      </c>
      <c r="G462" t="s">
        <v>4445</v>
      </c>
      <c r="H462" t="s">
        <v>3334</v>
      </c>
      <c r="I462" t="s">
        <v>183</v>
      </c>
      <c r="J462" t="s">
        <v>184</v>
      </c>
      <c r="K462" s="2">
        <v>322900</v>
      </c>
      <c r="L462" t="s">
        <v>6408</v>
      </c>
      <c r="M462" t="str" cm="1">
        <f t="array" ref="M462">INDEX('Org List'!$A$2:$C$1005,MATCH(Consolidated!I462&amp;Consolidated!J462,'Org List'!$A$2:$A$1005&amp;'Org List'!$B$2:$B$1005,0),3)</f>
        <v>NGOs: International</v>
      </c>
    </row>
    <row r="463" spans="1:13" x14ac:dyDescent="0.25">
      <c r="A463">
        <v>2022</v>
      </c>
      <c r="B463" t="s">
        <v>3451</v>
      </c>
      <c r="C463" t="s">
        <v>3452</v>
      </c>
      <c r="D463" t="s">
        <v>30</v>
      </c>
      <c r="E463" t="s">
        <v>175</v>
      </c>
      <c r="F463">
        <v>4500260054</v>
      </c>
      <c r="G463" t="s">
        <v>5019</v>
      </c>
      <c r="H463" t="s">
        <v>3334</v>
      </c>
      <c r="I463" t="s">
        <v>2974</v>
      </c>
      <c r="J463" t="s">
        <v>175</v>
      </c>
      <c r="K463" s="2">
        <v>148011</v>
      </c>
      <c r="L463" t="s">
        <v>6408</v>
      </c>
      <c r="M463" t="str" cm="1">
        <f t="array" ref="M463">INDEX('Org List'!$A$2:$C$1005,MATCH(Consolidated!I463&amp;Consolidated!J463,'Org List'!$A$2:$A$1005&amp;'Org List'!$B$2:$B$1005,0),3)</f>
        <v>NGOs: National</v>
      </c>
    </row>
    <row r="464" spans="1:13" x14ac:dyDescent="0.25">
      <c r="A464">
        <v>2022</v>
      </c>
      <c r="B464" t="s">
        <v>3451</v>
      </c>
      <c r="C464" t="s">
        <v>3452</v>
      </c>
      <c r="D464" t="s">
        <v>30</v>
      </c>
      <c r="E464" t="s">
        <v>175</v>
      </c>
      <c r="F464">
        <v>4500262585</v>
      </c>
      <c r="G464" t="s">
        <v>5020</v>
      </c>
      <c r="H464" t="s">
        <v>3334</v>
      </c>
      <c r="I464" t="s">
        <v>887</v>
      </c>
      <c r="J464" t="s">
        <v>175</v>
      </c>
      <c r="K464" s="2">
        <v>100000</v>
      </c>
      <c r="L464" t="s">
        <v>6408</v>
      </c>
      <c r="M464" t="str" cm="1">
        <f t="array" ref="M464">INDEX('Org List'!$A$2:$C$1005,MATCH(Consolidated!I464&amp;Consolidated!J464,'Org List'!$A$2:$A$1005&amp;'Org List'!$B$2:$B$1005,0),3)</f>
        <v>NGOs: International</v>
      </c>
    </row>
    <row r="465" spans="1:13" x14ac:dyDescent="0.25">
      <c r="A465">
        <v>2022</v>
      </c>
      <c r="B465" t="s">
        <v>3460</v>
      </c>
      <c r="C465" t="s">
        <v>3461</v>
      </c>
      <c r="D465" t="s">
        <v>30</v>
      </c>
      <c r="E465" t="s">
        <v>197</v>
      </c>
      <c r="F465">
        <v>4500207525</v>
      </c>
      <c r="G465" t="s">
        <v>5021</v>
      </c>
      <c r="H465" t="s">
        <v>3334</v>
      </c>
      <c r="I465" t="s">
        <v>1277</v>
      </c>
      <c r="J465" t="s">
        <v>197</v>
      </c>
      <c r="K465" s="2">
        <v>73622</v>
      </c>
      <c r="L465" t="s">
        <v>6408</v>
      </c>
      <c r="M465" t="str" cm="1">
        <f t="array" ref="M465">INDEX('Org List'!$A$2:$C$1005,MATCH(Consolidated!I465&amp;Consolidated!J465,'Org List'!$A$2:$A$1005&amp;'Org List'!$B$2:$B$1005,0),3)</f>
        <v>Red Cross: National</v>
      </c>
    </row>
    <row r="466" spans="1:13" x14ac:dyDescent="0.25">
      <c r="A466">
        <v>2022</v>
      </c>
      <c r="B466" t="s">
        <v>3460</v>
      </c>
      <c r="C466" t="s">
        <v>3461</v>
      </c>
      <c r="D466" t="s">
        <v>30</v>
      </c>
      <c r="E466" t="s">
        <v>197</v>
      </c>
      <c r="F466">
        <v>4500207530</v>
      </c>
      <c r="G466" t="s">
        <v>5022</v>
      </c>
      <c r="H466" t="s">
        <v>3334</v>
      </c>
      <c r="I466" t="s">
        <v>861</v>
      </c>
      <c r="J466" t="s">
        <v>197</v>
      </c>
      <c r="K466" s="2">
        <v>33075</v>
      </c>
      <c r="L466" t="s">
        <v>6408</v>
      </c>
      <c r="M466" t="str" cm="1">
        <f t="array" ref="M466">INDEX('Org List'!$A$2:$C$1005,MATCH(Consolidated!I466&amp;Consolidated!J466,'Org List'!$A$2:$A$1005&amp;'Org List'!$B$2:$B$1005,0),3)</f>
        <v>NGOs: National</v>
      </c>
    </row>
    <row r="467" spans="1:13" x14ac:dyDescent="0.25">
      <c r="A467">
        <v>2022</v>
      </c>
      <c r="B467" t="s">
        <v>3460</v>
      </c>
      <c r="C467" t="s">
        <v>3461</v>
      </c>
      <c r="D467" t="s">
        <v>30</v>
      </c>
      <c r="E467" t="s">
        <v>197</v>
      </c>
      <c r="F467">
        <v>4500212018</v>
      </c>
      <c r="G467" t="s">
        <v>5023</v>
      </c>
      <c r="H467" t="s">
        <v>3334</v>
      </c>
      <c r="I467" t="s">
        <v>1373</v>
      </c>
      <c r="J467" t="s">
        <v>197</v>
      </c>
      <c r="K467" s="2">
        <v>26960</v>
      </c>
      <c r="L467" t="s">
        <v>6408</v>
      </c>
      <c r="M467" t="str" cm="1">
        <f t="array" ref="M467">INDEX('Org List'!$A$2:$C$1005,MATCH(Consolidated!I467&amp;Consolidated!J467,'Org List'!$A$2:$A$1005&amp;'Org List'!$B$2:$B$1005,0),3)</f>
        <v>NGOs: National</v>
      </c>
    </row>
    <row r="468" spans="1:13" x14ac:dyDescent="0.25">
      <c r="A468">
        <v>2022</v>
      </c>
      <c r="B468" t="s">
        <v>3460</v>
      </c>
      <c r="C468" t="s">
        <v>3461</v>
      </c>
      <c r="D468" t="s">
        <v>30</v>
      </c>
      <c r="E468" t="s">
        <v>197</v>
      </c>
      <c r="F468">
        <v>4500213627</v>
      </c>
      <c r="G468" t="s">
        <v>5024</v>
      </c>
      <c r="H468" t="s">
        <v>3334</v>
      </c>
      <c r="I468" t="s">
        <v>3466</v>
      </c>
      <c r="J468" t="s">
        <v>197</v>
      </c>
      <c r="K468" s="2">
        <v>13979</v>
      </c>
      <c r="L468" t="s">
        <v>6408</v>
      </c>
      <c r="M468" t="str" cm="1">
        <f t="array" ref="M468">INDEX('Org List'!$A$2:$C$1005,MATCH(Consolidated!I468&amp;Consolidated!J468,'Org List'!$A$2:$A$1005&amp;'Org List'!$B$2:$B$1005,0),3)</f>
        <v>NGOs: National</v>
      </c>
    </row>
    <row r="469" spans="1:13" x14ac:dyDescent="0.25">
      <c r="A469">
        <v>2022</v>
      </c>
      <c r="B469" t="s">
        <v>3460</v>
      </c>
      <c r="C469" t="s">
        <v>3461</v>
      </c>
      <c r="D469" t="s">
        <v>30</v>
      </c>
      <c r="E469" t="s">
        <v>197</v>
      </c>
      <c r="F469">
        <v>4500214019</v>
      </c>
      <c r="G469" t="s">
        <v>5025</v>
      </c>
      <c r="H469" t="s">
        <v>3334</v>
      </c>
      <c r="I469" t="s">
        <v>2394</v>
      </c>
      <c r="J469" t="s">
        <v>197</v>
      </c>
      <c r="K469" s="2">
        <v>27958</v>
      </c>
      <c r="L469" t="s">
        <v>6408</v>
      </c>
      <c r="M469" t="str" cm="1">
        <f t="array" ref="M469">INDEX('Org List'!$A$2:$C$1005,MATCH(Consolidated!I469&amp;Consolidated!J469,'Org List'!$A$2:$A$1005&amp;'Org List'!$B$2:$B$1005,0),3)</f>
        <v>NGOs: National</v>
      </c>
    </row>
    <row r="470" spans="1:13" x14ac:dyDescent="0.25">
      <c r="A470">
        <v>2022</v>
      </c>
      <c r="B470" t="s">
        <v>3460</v>
      </c>
      <c r="C470" t="s">
        <v>3461</v>
      </c>
      <c r="D470" t="s">
        <v>30</v>
      </c>
      <c r="E470" t="s">
        <v>197</v>
      </c>
      <c r="F470">
        <v>4500215665</v>
      </c>
      <c r="G470" t="s">
        <v>5026</v>
      </c>
      <c r="H470" t="s">
        <v>3334</v>
      </c>
      <c r="I470" t="s">
        <v>2389</v>
      </c>
      <c r="J470" t="s">
        <v>197</v>
      </c>
      <c r="K470" s="2">
        <v>9985</v>
      </c>
      <c r="L470" t="s">
        <v>6408</v>
      </c>
      <c r="M470" t="str" cm="1">
        <f t="array" ref="M470">INDEX('Org List'!$A$2:$C$1005,MATCH(Consolidated!I470&amp;Consolidated!J470,'Org List'!$A$2:$A$1005&amp;'Org List'!$B$2:$B$1005,0),3)</f>
        <v>NGOs: National</v>
      </c>
    </row>
    <row r="471" spans="1:13" x14ac:dyDescent="0.25">
      <c r="A471">
        <v>2022</v>
      </c>
      <c r="B471" t="s">
        <v>3460</v>
      </c>
      <c r="C471" t="s">
        <v>3461</v>
      </c>
      <c r="D471" t="s">
        <v>30</v>
      </c>
      <c r="E471" t="s">
        <v>197</v>
      </c>
      <c r="F471">
        <v>4500216076</v>
      </c>
      <c r="G471" t="s">
        <v>5027</v>
      </c>
      <c r="H471" t="s">
        <v>3334</v>
      </c>
      <c r="I471" t="s">
        <v>863</v>
      </c>
      <c r="J471" t="s">
        <v>197</v>
      </c>
      <c r="K471" s="2">
        <v>22966</v>
      </c>
      <c r="L471" t="s">
        <v>6408</v>
      </c>
      <c r="M471" t="str" cm="1">
        <f t="array" ref="M471">INDEX('Org List'!$A$2:$C$1005,MATCH(Consolidated!I471&amp;Consolidated!J471,'Org List'!$A$2:$A$1005&amp;'Org List'!$B$2:$B$1005,0),3)</f>
        <v>NGOs: National</v>
      </c>
    </row>
    <row r="472" spans="1:13" x14ac:dyDescent="0.25">
      <c r="A472">
        <v>2022</v>
      </c>
      <c r="B472" t="s">
        <v>3460</v>
      </c>
      <c r="C472" t="s">
        <v>3461</v>
      </c>
      <c r="D472" t="s">
        <v>30</v>
      </c>
      <c r="E472" t="s">
        <v>197</v>
      </c>
      <c r="F472">
        <v>4500235878</v>
      </c>
      <c r="G472" t="s">
        <v>5028</v>
      </c>
      <c r="H472" t="s">
        <v>3334</v>
      </c>
      <c r="I472" t="s">
        <v>5029</v>
      </c>
      <c r="J472" t="s">
        <v>197</v>
      </c>
      <c r="K472" s="2">
        <v>8771</v>
      </c>
      <c r="L472" t="s">
        <v>6408</v>
      </c>
      <c r="M472" t="str" cm="1">
        <f t="array" ref="M472">INDEX('Org List'!$A$2:$C$1005,MATCH(Consolidated!I472&amp;Consolidated!J472,'Org List'!$A$2:$A$1005&amp;'Org List'!$B$2:$B$1005,0),3)</f>
        <v>NGOs: National</v>
      </c>
    </row>
    <row r="473" spans="1:13" x14ac:dyDescent="0.25">
      <c r="A473">
        <v>2022</v>
      </c>
      <c r="B473" t="s">
        <v>3460</v>
      </c>
      <c r="C473" t="s">
        <v>3461</v>
      </c>
      <c r="D473" t="s">
        <v>30</v>
      </c>
      <c r="E473" t="s">
        <v>197</v>
      </c>
      <c r="F473">
        <v>4500241693</v>
      </c>
      <c r="G473" t="s">
        <v>5030</v>
      </c>
      <c r="H473" t="s">
        <v>3334</v>
      </c>
      <c r="I473" t="s">
        <v>2389</v>
      </c>
      <c r="J473" t="s">
        <v>197</v>
      </c>
      <c r="K473" s="2">
        <v>23983</v>
      </c>
      <c r="L473" t="s">
        <v>6408</v>
      </c>
      <c r="M473" t="str" cm="1">
        <f t="array" ref="M473">INDEX('Org List'!$A$2:$C$1005,MATCH(Consolidated!I473&amp;Consolidated!J473,'Org List'!$A$2:$A$1005&amp;'Org List'!$B$2:$B$1005,0),3)</f>
        <v>NGOs: National</v>
      </c>
    </row>
    <row r="474" spans="1:13" x14ac:dyDescent="0.25">
      <c r="A474">
        <v>2022</v>
      </c>
      <c r="B474" t="s">
        <v>3460</v>
      </c>
      <c r="C474" t="s">
        <v>3461</v>
      </c>
      <c r="D474" t="s">
        <v>30</v>
      </c>
      <c r="E474" t="s">
        <v>197</v>
      </c>
      <c r="F474">
        <v>4500242843</v>
      </c>
      <c r="G474" t="s">
        <v>5031</v>
      </c>
      <c r="H474" t="s">
        <v>3334</v>
      </c>
      <c r="I474" t="s">
        <v>1373</v>
      </c>
      <c r="J474" t="s">
        <v>197</v>
      </c>
      <c r="K474" s="2">
        <v>41378</v>
      </c>
      <c r="L474" t="s">
        <v>6408</v>
      </c>
      <c r="M474" t="str" cm="1">
        <f t="array" ref="M474">INDEX('Org List'!$A$2:$C$1005,MATCH(Consolidated!I474&amp;Consolidated!J474,'Org List'!$A$2:$A$1005&amp;'Org List'!$B$2:$B$1005,0),3)</f>
        <v>NGOs: National</v>
      </c>
    </row>
    <row r="475" spans="1:13" x14ac:dyDescent="0.25">
      <c r="A475">
        <v>2022</v>
      </c>
      <c r="B475" t="s">
        <v>3460</v>
      </c>
      <c r="C475" t="s">
        <v>3461</v>
      </c>
      <c r="D475" t="s">
        <v>30</v>
      </c>
      <c r="E475" t="s">
        <v>197</v>
      </c>
      <c r="F475">
        <v>4500247371</v>
      </c>
      <c r="G475" t="s">
        <v>5032</v>
      </c>
      <c r="H475" t="s">
        <v>3334</v>
      </c>
      <c r="I475" t="s">
        <v>861</v>
      </c>
      <c r="J475" t="s">
        <v>197</v>
      </c>
      <c r="K475" s="2">
        <v>65895</v>
      </c>
      <c r="L475" t="s">
        <v>6408</v>
      </c>
      <c r="M475" t="str" cm="1">
        <f t="array" ref="M475">INDEX('Org List'!$A$2:$C$1005,MATCH(Consolidated!I475&amp;Consolidated!J475,'Org List'!$A$2:$A$1005&amp;'Org List'!$B$2:$B$1005,0),3)</f>
        <v>NGOs: National</v>
      </c>
    </row>
    <row r="476" spans="1:13" x14ac:dyDescent="0.25">
      <c r="A476">
        <v>2022</v>
      </c>
      <c r="B476" t="s">
        <v>3460</v>
      </c>
      <c r="C476" t="s">
        <v>3461</v>
      </c>
      <c r="D476" t="s">
        <v>30</v>
      </c>
      <c r="E476" t="s">
        <v>197</v>
      </c>
      <c r="F476">
        <v>4500247376</v>
      </c>
      <c r="G476" t="s">
        <v>5033</v>
      </c>
      <c r="H476" t="s">
        <v>3334</v>
      </c>
      <c r="I476" t="s">
        <v>1277</v>
      </c>
      <c r="J476" t="s">
        <v>197</v>
      </c>
      <c r="K476" s="2">
        <v>92962</v>
      </c>
      <c r="L476" t="s">
        <v>6408</v>
      </c>
      <c r="M476" t="str" cm="1">
        <f t="array" ref="M476">INDEX('Org List'!$A$2:$C$1005,MATCH(Consolidated!I476&amp;Consolidated!J476,'Org List'!$A$2:$A$1005&amp;'Org List'!$B$2:$B$1005,0),3)</f>
        <v>Red Cross: National</v>
      </c>
    </row>
    <row r="477" spans="1:13" x14ac:dyDescent="0.25">
      <c r="A477">
        <v>2022</v>
      </c>
      <c r="B477" t="s">
        <v>3460</v>
      </c>
      <c r="C477" t="s">
        <v>3461</v>
      </c>
      <c r="D477" t="s">
        <v>30</v>
      </c>
      <c r="E477" t="s">
        <v>197</v>
      </c>
      <c r="F477">
        <v>4500252771</v>
      </c>
      <c r="G477" t="s">
        <v>5034</v>
      </c>
      <c r="H477" t="s">
        <v>3334</v>
      </c>
      <c r="I477" t="s">
        <v>863</v>
      </c>
      <c r="J477" t="s">
        <v>197</v>
      </c>
      <c r="K477" s="2">
        <v>25643</v>
      </c>
      <c r="L477" t="s">
        <v>6408</v>
      </c>
      <c r="M477" t="str" cm="1">
        <f t="array" ref="M477">INDEX('Org List'!$A$2:$C$1005,MATCH(Consolidated!I477&amp;Consolidated!J477,'Org List'!$A$2:$A$1005&amp;'Org List'!$B$2:$B$1005,0),3)</f>
        <v>NGOs: National</v>
      </c>
    </row>
    <row r="478" spans="1:13" x14ac:dyDescent="0.25">
      <c r="A478">
        <v>2022</v>
      </c>
      <c r="B478" t="s">
        <v>3460</v>
      </c>
      <c r="C478" t="s">
        <v>3461</v>
      </c>
      <c r="D478" t="s">
        <v>30</v>
      </c>
      <c r="E478" t="s">
        <v>197</v>
      </c>
      <c r="F478">
        <v>4500257445</v>
      </c>
      <c r="G478" t="s">
        <v>5035</v>
      </c>
      <c r="H478" t="s">
        <v>3334</v>
      </c>
      <c r="I478" t="s">
        <v>3466</v>
      </c>
      <c r="J478" t="s">
        <v>197</v>
      </c>
      <c r="K478" s="2">
        <v>21566</v>
      </c>
      <c r="L478" t="s">
        <v>6408</v>
      </c>
      <c r="M478" t="str" cm="1">
        <f t="array" ref="M478">INDEX('Org List'!$A$2:$C$1005,MATCH(Consolidated!I478&amp;Consolidated!J478,'Org List'!$A$2:$A$1005&amp;'Org List'!$B$2:$B$1005,0),3)</f>
        <v>NGOs: National</v>
      </c>
    </row>
    <row r="479" spans="1:13" x14ac:dyDescent="0.25">
      <c r="A479">
        <v>2022</v>
      </c>
      <c r="B479" t="s">
        <v>3460</v>
      </c>
      <c r="C479" t="s">
        <v>3461</v>
      </c>
      <c r="D479" t="s">
        <v>30</v>
      </c>
      <c r="E479" t="s">
        <v>197</v>
      </c>
      <c r="F479">
        <v>4500257447</v>
      </c>
      <c r="G479" t="s">
        <v>3938</v>
      </c>
      <c r="H479" t="s">
        <v>3334</v>
      </c>
      <c r="I479" t="s">
        <v>2394</v>
      </c>
      <c r="J479" t="s">
        <v>197</v>
      </c>
      <c r="K479" s="2">
        <v>17324</v>
      </c>
      <c r="L479" t="s">
        <v>6408</v>
      </c>
      <c r="M479" t="str" cm="1">
        <f t="array" ref="M479">INDEX('Org List'!$A$2:$C$1005,MATCH(Consolidated!I479&amp;Consolidated!J479,'Org List'!$A$2:$A$1005&amp;'Org List'!$B$2:$B$1005,0),3)</f>
        <v>NGOs: National</v>
      </c>
    </row>
    <row r="480" spans="1:13" x14ac:dyDescent="0.25">
      <c r="A480">
        <v>2022</v>
      </c>
      <c r="B480" t="s">
        <v>3460</v>
      </c>
      <c r="C480" t="s">
        <v>3461</v>
      </c>
      <c r="D480" t="s">
        <v>30</v>
      </c>
      <c r="E480" t="s">
        <v>864</v>
      </c>
      <c r="F480">
        <v>4500230695</v>
      </c>
      <c r="G480" t="s">
        <v>5036</v>
      </c>
      <c r="H480" t="s">
        <v>3334</v>
      </c>
      <c r="I480" t="s">
        <v>867</v>
      </c>
      <c r="J480" t="s">
        <v>4826</v>
      </c>
      <c r="K480" s="2">
        <v>33765</v>
      </c>
      <c r="L480" t="s">
        <v>6408</v>
      </c>
      <c r="M480" t="str" cm="1">
        <f t="array" ref="M480">INDEX('Org List'!$A$2:$C$1005,MATCH(Consolidated!I480&amp;Consolidated!J480,'Org List'!$A$2:$A$1005&amp;'Org List'!$B$2:$B$1005,0),3)</f>
        <v>NGOs: National</v>
      </c>
    </row>
    <row r="481" spans="1:13" x14ac:dyDescent="0.25">
      <c r="A481">
        <v>2022</v>
      </c>
      <c r="B481" t="s">
        <v>3460</v>
      </c>
      <c r="C481" t="s">
        <v>3461</v>
      </c>
      <c r="D481" t="s">
        <v>30</v>
      </c>
      <c r="E481" t="s">
        <v>864</v>
      </c>
      <c r="F481">
        <v>4500230703</v>
      </c>
      <c r="G481" t="s">
        <v>5037</v>
      </c>
      <c r="H481" t="s">
        <v>3334</v>
      </c>
      <c r="I481" t="s">
        <v>865</v>
      </c>
      <c r="J481" t="s">
        <v>4826</v>
      </c>
      <c r="K481" s="2">
        <v>12260</v>
      </c>
      <c r="L481" t="s">
        <v>6408</v>
      </c>
      <c r="M481" t="str" cm="1">
        <f t="array" ref="M481">INDEX('Org List'!$A$2:$C$1005,MATCH(Consolidated!I481&amp;Consolidated!J481,'Org List'!$A$2:$A$1005&amp;'Org List'!$B$2:$B$1005,0),3)</f>
        <v>NGOs: Internationally affiliated</v>
      </c>
    </row>
    <row r="482" spans="1:13" x14ac:dyDescent="0.25">
      <c r="A482">
        <v>2022</v>
      </c>
      <c r="B482" t="s">
        <v>3460</v>
      </c>
      <c r="C482" t="s">
        <v>3461</v>
      </c>
      <c r="D482" t="s">
        <v>30</v>
      </c>
      <c r="E482" t="s">
        <v>864</v>
      </c>
      <c r="F482">
        <v>4500231051</v>
      </c>
      <c r="G482" t="s">
        <v>5038</v>
      </c>
      <c r="H482" t="s">
        <v>3334</v>
      </c>
      <c r="I482" t="s">
        <v>2127</v>
      </c>
      <c r="J482" t="s">
        <v>4826</v>
      </c>
      <c r="K482" s="2">
        <v>21013</v>
      </c>
      <c r="L482" t="s">
        <v>6408</v>
      </c>
      <c r="M482" t="str" cm="1">
        <f t="array" ref="M482">INDEX('Org List'!$A$2:$C$1005,MATCH(Consolidated!I482&amp;Consolidated!J482,'Org List'!$A$2:$A$1005&amp;'Org List'!$B$2:$B$1005,0),3)</f>
        <v>NGOs: National</v>
      </c>
    </row>
    <row r="483" spans="1:13" x14ac:dyDescent="0.25">
      <c r="A483">
        <v>2022</v>
      </c>
      <c r="B483" t="s">
        <v>3460</v>
      </c>
      <c r="C483" t="s">
        <v>3461</v>
      </c>
      <c r="D483" t="s">
        <v>30</v>
      </c>
      <c r="E483" t="s">
        <v>864</v>
      </c>
      <c r="F483">
        <v>4500250650</v>
      </c>
      <c r="G483" t="s">
        <v>3938</v>
      </c>
      <c r="H483" t="s">
        <v>3334</v>
      </c>
      <c r="I483" t="s">
        <v>867</v>
      </c>
      <c r="J483" t="s">
        <v>4826</v>
      </c>
      <c r="K483" s="2">
        <v>9317</v>
      </c>
      <c r="L483" t="s">
        <v>6408</v>
      </c>
      <c r="M483" t="str" cm="1">
        <f t="array" ref="M483">INDEX('Org List'!$A$2:$C$1005,MATCH(Consolidated!I483&amp;Consolidated!J483,'Org List'!$A$2:$A$1005&amp;'Org List'!$B$2:$B$1005,0),3)</f>
        <v>NGOs: National</v>
      </c>
    </row>
    <row r="484" spans="1:13" x14ac:dyDescent="0.25">
      <c r="A484">
        <v>2022</v>
      </c>
      <c r="B484" t="s">
        <v>3460</v>
      </c>
      <c r="C484" t="s">
        <v>3461</v>
      </c>
      <c r="D484" t="s">
        <v>30</v>
      </c>
      <c r="E484" t="s">
        <v>1278</v>
      </c>
      <c r="F484">
        <v>4500202186</v>
      </c>
      <c r="G484" t="s">
        <v>5039</v>
      </c>
      <c r="H484" t="s">
        <v>3334</v>
      </c>
      <c r="I484" t="s">
        <v>5040</v>
      </c>
      <c r="J484" t="s">
        <v>1278</v>
      </c>
      <c r="K484" s="2">
        <v>5824</v>
      </c>
      <c r="L484" t="s">
        <v>6408</v>
      </c>
      <c r="M484" t="str" cm="1">
        <f t="array" ref="M484">INDEX('Org List'!$A$2:$C$1005,MATCH(Consolidated!I484&amp;Consolidated!J484,'Org List'!$A$2:$A$1005&amp;'Org List'!$B$2:$B$1005,0),3)</f>
        <v>NGOs: Local</v>
      </c>
    </row>
    <row r="485" spans="1:13" x14ac:dyDescent="0.25">
      <c r="A485">
        <v>2022</v>
      </c>
      <c r="B485" t="s">
        <v>3460</v>
      </c>
      <c r="C485" t="s">
        <v>3461</v>
      </c>
      <c r="D485" t="s">
        <v>30</v>
      </c>
      <c r="E485" t="s">
        <v>1278</v>
      </c>
      <c r="F485">
        <v>4500230621</v>
      </c>
      <c r="G485" t="s">
        <v>5041</v>
      </c>
      <c r="H485" t="s">
        <v>3334</v>
      </c>
      <c r="I485" t="s">
        <v>1461</v>
      </c>
      <c r="J485" t="s">
        <v>1278</v>
      </c>
      <c r="K485" s="2">
        <v>35120</v>
      </c>
      <c r="L485" t="s">
        <v>6408</v>
      </c>
      <c r="M485" t="str" cm="1">
        <f t="array" ref="M485">INDEX('Org List'!$A$2:$C$1005,MATCH(Consolidated!I485&amp;Consolidated!J485,'Org List'!$A$2:$A$1005&amp;'Org List'!$B$2:$B$1005,0),3)</f>
        <v>NGOs: National</v>
      </c>
    </row>
    <row r="486" spans="1:13" x14ac:dyDescent="0.25">
      <c r="A486">
        <v>2022</v>
      </c>
      <c r="B486" t="s">
        <v>3460</v>
      </c>
      <c r="C486" t="s">
        <v>3461</v>
      </c>
      <c r="D486" t="s">
        <v>30</v>
      </c>
      <c r="E486" t="s">
        <v>201</v>
      </c>
      <c r="F486">
        <v>4500255898</v>
      </c>
      <c r="G486" t="s">
        <v>5042</v>
      </c>
      <c r="H486" t="s">
        <v>3334</v>
      </c>
      <c r="I486" t="s">
        <v>5043</v>
      </c>
      <c r="J486" t="s">
        <v>201</v>
      </c>
      <c r="K486" s="2">
        <v>24870</v>
      </c>
      <c r="L486" t="s">
        <v>6408</v>
      </c>
      <c r="M486" t="str" cm="1">
        <f t="array" ref="M486">INDEX('Org List'!$A$2:$C$1005,MATCH(Consolidated!I486&amp;Consolidated!J486,'Org List'!$A$2:$A$1005&amp;'Org List'!$B$2:$B$1005,0),3)</f>
        <v>NGOs: National</v>
      </c>
    </row>
    <row r="487" spans="1:13" x14ac:dyDescent="0.25">
      <c r="A487">
        <v>2022</v>
      </c>
      <c r="B487" t="s">
        <v>3460</v>
      </c>
      <c r="C487" t="s">
        <v>3461</v>
      </c>
      <c r="D487" t="s">
        <v>30</v>
      </c>
      <c r="E487" t="s">
        <v>201</v>
      </c>
      <c r="F487">
        <v>4500256287</v>
      </c>
      <c r="G487" t="s">
        <v>5044</v>
      </c>
      <c r="H487" t="s">
        <v>3334</v>
      </c>
      <c r="I487" t="s">
        <v>203</v>
      </c>
      <c r="J487" t="s">
        <v>201</v>
      </c>
      <c r="K487" s="2">
        <v>9119</v>
      </c>
      <c r="L487" t="s">
        <v>6408</v>
      </c>
      <c r="M487" t="str" cm="1">
        <f t="array" ref="M487">INDEX('Org List'!$A$2:$C$1005,MATCH(Consolidated!I487&amp;Consolidated!J487,'Org List'!$A$2:$A$1005&amp;'Org List'!$B$2:$B$1005,0),3)</f>
        <v>NGOs: National</v>
      </c>
    </row>
    <row r="488" spans="1:13" x14ac:dyDescent="0.25">
      <c r="A488">
        <v>2022</v>
      </c>
      <c r="B488" t="s">
        <v>3460</v>
      </c>
      <c r="C488" t="s">
        <v>3461</v>
      </c>
      <c r="D488" t="s">
        <v>30</v>
      </c>
      <c r="E488" t="s">
        <v>201</v>
      </c>
      <c r="F488">
        <v>4500257441</v>
      </c>
      <c r="G488" t="s">
        <v>5045</v>
      </c>
      <c r="H488" t="s">
        <v>3334</v>
      </c>
      <c r="I488" t="s">
        <v>5046</v>
      </c>
      <c r="J488" t="s">
        <v>201</v>
      </c>
      <c r="K488" s="2">
        <v>6489</v>
      </c>
      <c r="L488" t="s">
        <v>6408</v>
      </c>
      <c r="M488" t="str" cm="1">
        <f t="array" ref="M488">INDEX('Org List'!$A$2:$C$1005,MATCH(Consolidated!I488&amp;Consolidated!J488,'Org List'!$A$2:$A$1005&amp;'Org List'!$B$2:$B$1005,0),3)</f>
        <v>NGOs: National</v>
      </c>
    </row>
    <row r="489" spans="1:13" x14ac:dyDescent="0.25">
      <c r="A489">
        <v>2022</v>
      </c>
      <c r="B489" t="s">
        <v>3460</v>
      </c>
      <c r="C489" t="s">
        <v>3461</v>
      </c>
      <c r="D489" t="s">
        <v>30</v>
      </c>
      <c r="E489" t="s">
        <v>449</v>
      </c>
      <c r="F489">
        <v>4500242477</v>
      </c>
      <c r="G489" t="s">
        <v>5047</v>
      </c>
      <c r="H489" t="s">
        <v>3334</v>
      </c>
      <c r="I489" t="s">
        <v>2518</v>
      </c>
      <c r="J489" t="s">
        <v>449</v>
      </c>
      <c r="K489" s="2">
        <v>12320</v>
      </c>
      <c r="L489" t="s">
        <v>6408</v>
      </c>
      <c r="M489" t="str" cm="1">
        <f t="array" ref="M489">INDEX('Org List'!$A$2:$C$1005,MATCH(Consolidated!I489&amp;Consolidated!J489,'Org List'!$A$2:$A$1005&amp;'Org List'!$B$2:$B$1005,0),3)</f>
        <v>NGOs: National</v>
      </c>
    </row>
    <row r="490" spans="1:13" x14ac:dyDescent="0.25">
      <c r="A490">
        <v>2022</v>
      </c>
      <c r="B490" t="s">
        <v>3460</v>
      </c>
      <c r="C490" t="s">
        <v>3461</v>
      </c>
      <c r="D490" t="s">
        <v>30</v>
      </c>
      <c r="E490" t="s">
        <v>449</v>
      </c>
      <c r="F490">
        <v>4500258718</v>
      </c>
      <c r="G490" t="s">
        <v>5048</v>
      </c>
      <c r="H490" t="s">
        <v>3334</v>
      </c>
      <c r="I490" t="s">
        <v>2518</v>
      </c>
      <c r="J490" t="s">
        <v>449</v>
      </c>
      <c r="K490">
        <v>857</v>
      </c>
      <c r="L490" t="s">
        <v>6408</v>
      </c>
      <c r="M490" t="str" cm="1">
        <f t="array" ref="M490">INDEX('Org List'!$A$2:$C$1005,MATCH(Consolidated!I490&amp;Consolidated!J490,'Org List'!$A$2:$A$1005&amp;'Org List'!$B$2:$B$1005,0),3)</f>
        <v>NGOs: National</v>
      </c>
    </row>
    <row r="491" spans="1:13" x14ac:dyDescent="0.25">
      <c r="A491">
        <v>2022</v>
      </c>
      <c r="B491" t="s">
        <v>3460</v>
      </c>
      <c r="C491" t="s">
        <v>3461</v>
      </c>
      <c r="D491" t="s">
        <v>30</v>
      </c>
      <c r="E491" t="s">
        <v>831</v>
      </c>
      <c r="F491">
        <v>4500256295</v>
      </c>
      <c r="G491" t="s">
        <v>5049</v>
      </c>
      <c r="H491" t="s">
        <v>3334</v>
      </c>
      <c r="I491" t="s">
        <v>868</v>
      </c>
      <c r="J491" t="s">
        <v>350</v>
      </c>
      <c r="K491" s="2">
        <v>6939</v>
      </c>
      <c r="L491" t="s">
        <v>6408</v>
      </c>
      <c r="M491" t="str" cm="1">
        <f t="array" ref="M491">INDEX('Org List'!$A$2:$C$1005,MATCH(Consolidated!I491&amp;Consolidated!J491,'Org List'!$A$2:$A$1005&amp;'Org List'!$B$2:$B$1005,0),3)</f>
        <v>NGOs: National</v>
      </c>
    </row>
    <row r="492" spans="1:13" x14ac:dyDescent="0.25">
      <c r="A492">
        <v>2022</v>
      </c>
      <c r="B492" t="s">
        <v>3460</v>
      </c>
      <c r="C492" t="s">
        <v>3461</v>
      </c>
      <c r="D492" t="s">
        <v>30</v>
      </c>
      <c r="E492" t="s">
        <v>831</v>
      </c>
      <c r="F492">
        <v>4500259344</v>
      </c>
      <c r="G492" t="s">
        <v>5050</v>
      </c>
      <c r="H492" t="s">
        <v>3334</v>
      </c>
      <c r="I492" t="s">
        <v>870</v>
      </c>
      <c r="J492" t="s">
        <v>350</v>
      </c>
      <c r="K492" s="2">
        <v>2288</v>
      </c>
      <c r="L492" t="s">
        <v>6408</v>
      </c>
      <c r="M492" t="str" cm="1">
        <f t="array" ref="M492">INDEX('Org List'!$A$2:$C$1005,MATCH(Consolidated!I492&amp;Consolidated!J492,'Org List'!$A$2:$A$1005&amp;'Org List'!$B$2:$B$1005,0),3)</f>
        <v>NGOs: National</v>
      </c>
    </row>
    <row r="493" spans="1:13" x14ac:dyDescent="0.25">
      <c r="A493">
        <v>2022</v>
      </c>
      <c r="B493" t="s">
        <v>3460</v>
      </c>
      <c r="C493" t="s">
        <v>3461</v>
      </c>
      <c r="D493" t="s">
        <v>30</v>
      </c>
      <c r="E493" t="s">
        <v>831</v>
      </c>
      <c r="F493">
        <v>4500260430</v>
      </c>
      <c r="G493" t="s">
        <v>5051</v>
      </c>
      <c r="H493" t="s">
        <v>3334</v>
      </c>
      <c r="I493" t="s">
        <v>5052</v>
      </c>
      <c r="J493" t="s">
        <v>350</v>
      </c>
      <c r="K493" s="2">
        <v>45853</v>
      </c>
      <c r="L493" t="s">
        <v>6408</v>
      </c>
      <c r="M493" t="str" cm="1">
        <f t="array" ref="M493">INDEX('Org List'!$A$2:$C$1005,MATCH(Consolidated!I493&amp;Consolidated!J493,'Org List'!$A$2:$A$1005&amp;'Org List'!$B$2:$B$1005,0),3)</f>
        <v>NGOs: International</v>
      </c>
    </row>
    <row r="494" spans="1:13" x14ac:dyDescent="0.25">
      <c r="A494">
        <v>2022</v>
      </c>
      <c r="B494" t="s">
        <v>3460</v>
      </c>
      <c r="C494" t="s">
        <v>3461</v>
      </c>
      <c r="D494" t="s">
        <v>30</v>
      </c>
      <c r="E494" t="s">
        <v>205</v>
      </c>
      <c r="F494">
        <v>4500211666</v>
      </c>
      <c r="G494" t="s">
        <v>4831</v>
      </c>
      <c r="H494" t="s">
        <v>3334</v>
      </c>
      <c r="I494" t="s">
        <v>869</v>
      </c>
      <c r="J494" t="s">
        <v>205</v>
      </c>
      <c r="K494" s="2">
        <v>253615</v>
      </c>
      <c r="L494" t="s">
        <v>6408</v>
      </c>
      <c r="M494" t="str" cm="1">
        <f t="array" ref="M494">INDEX('Org List'!$A$2:$C$1005,MATCH(Consolidated!I494&amp;Consolidated!J494,'Org List'!$A$2:$A$1005&amp;'Org List'!$B$2:$B$1005,0),3)</f>
        <v>NGOs: International</v>
      </c>
    </row>
    <row r="495" spans="1:13" x14ac:dyDescent="0.25">
      <c r="A495">
        <v>2022</v>
      </c>
      <c r="B495" t="s">
        <v>3460</v>
      </c>
      <c r="C495" t="s">
        <v>3461</v>
      </c>
      <c r="D495" t="s">
        <v>30</v>
      </c>
      <c r="E495" t="s">
        <v>205</v>
      </c>
      <c r="F495">
        <v>4500222831</v>
      </c>
      <c r="G495" t="s">
        <v>5053</v>
      </c>
      <c r="H495" t="s">
        <v>3334</v>
      </c>
      <c r="I495" t="s">
        <v>5054</v>
      </c>
      <c r="J495" t="s">
        <v>205</v>
      </c>
      <c r="K495" s="2">
        <v>52720</v>
      </c>
      <c r="L495" t="s">
        <v>6408</v>
      </c>
      <c r="M495" t="str" cm="1">
        <f t="array" ref="M495">INDEX('Org List'!$A$2:$C$1005,MATCH(Consolidated!I495&amp;Consolidated!J495,'Org List'!$A$2:$A$1005&amp;'Org List'!$B$2:$B$1005,0),3)</f>
        <v>NGOs: International</v>
      </c>
    </row>
    <row r="496" spans="1:13" x14ac:dyDescent="0.25">
      <c r="A496">
        <v>2022</v>
      </c>
      <c r="B496" t="s">
        <v>3460</v>
      </c>
      <c r="C496" t="s">
        <v>3461</v>
      </c>
      <c r="D496" t="s">
        <v>30</v>
      </c>
      <c r="E496" t="s">
        <v>205</v>
      </c>
      <c r="F496">
        <v>4500222874</v>
      </c>
      <c r="G496" t="s">
        <v>5055</v>
      </c>
      <c r="H496" t="s">
        <v>3334</v>
      </c>
      <c r="I496" t="s">
        <v>2998</v>
      </c>
      <c r="J496" t="s">
        <v>205</v>
      </c>
      <c r="K496" s="2">
        <v>10000</v>
      </c>
      <c r="L496" t="s">
        <v>6408</v>
      </c>
      <c r="M496" t="str" cm="1">
        <f t="array" ref="M496">INDEX('Org List'!$A$2:$C$1005,MATCH(Consolidated!I496&amp;Consolidated!J496,'Org List'!$A$2:$A$1005&amp;'Org List'!$B$2:$B$1005,0),3)</f>
        <v>NGOs: National</v>
      </c>
    </row>
    <row r="497" spans="1:13" x14ac:dyDescent="0.25">
      <c r="A497">
        <v>2022</v>
      </c>
      <c r="B497" t="s">
        <v>3460</v>
      </c>
      <c r="C497" t="s">
        <v>3461</v>
      </c>
      <c r="D497" t="s">
        <v>30</v>
      </c>
      <c r="E497" t="s">
        <v>205</v>
      </c>
      <c r="F497">
        <v>4500223317</v>
      </c>
      <c r="G497" t="s">
        <v>5056</v>
      </c>
      <c r="H497" t="s">
        <v>3334</v>
      </c>
      <c r="I497" t="s">
        <v>2143</v>
      </c>
      <c r="J497" t="s">
        <v>205</v>
      </c>
      <c r="K497" s="2">
        <v>175000</v>
      </c>
      <c r="L497" t="s">
        <v>6408</v>
      </c>
      <c r="M497" t="str" cm="1">
        <f t="array" ref="M497">INDEX('Org List'!$A$2:$C$1005,MATCH(Consolidated!I497&amp;Consolidated!J497,'Org List'!$A$2:$A$1005&amp;'Org List'!$B$2:$B$1005,0),3)</f>
        <v>NGOs: International</v>
      </c>
    </row>
    <row r="498" spans="1:13" x14ac:dyDescent="0.25">
      <c r="A498">
        <v>2022</v>
      </c>
      <c r="B498" t="s">
        <v>3460</v>
      </c>
      <c r="C498" t="s">
        <v>3461</v>
      </c>
      <c r="D498" t="s">
        <v>30</v>
      </c>
      <c r="E498" t="s">
        <v>205</v>
      </c>
      <c r="F498">
        <v>4500224054</v>
      </c>
      <c r="G498" t="s">
        <v>5057</v>
      </c>
      <c r="H498" t="s">
        <v>3334</v>
      </c>
      <c r="I498" t="s">
        <v>5058</v>
      </c>
      <c r="J498" t="s">
        <v>205</v>
      </c>
      <c r="K498" s="2">
        <v>40000</v>
      </c>
      <c r="L498" t="s">
        <v>6408</v>
      </c>
      <c r="M498" t="str" cm="1">
        <f t="array" ref="M498">INDEX('Org List'!$A$2:$C$1005,MATCH(Consolidated!I498&amp;Consolidated!J498,'Org List'!$A$2:$A$1005&amp;'Org List'!$B$2:$B$1005,0),3)</f>
        <v>NGOs: National</v>
      </c>
    </row>
    <row r="499" spans="1:13" x14ac:dyDescent="0.25">
      <c r="A499">
        <v>2022</v>
      </c>
      <c r="B499" t="s">
        <v>3460</v>
      </c>
      <c r="C499" t="s">
        <v>3461</v>
      </c>
      <c r="D499" t="s">
        <v>30</v>
      </c>
      <c r="E499" t="s">
        <v>205</v>
      </c>
      <c r="F499">
        <v>4500226503</v>
      </c>
      <c r="G499" t="s">
        <v>5059</v>
      </c>
      <c r="H499" t="s">
        <v>3334</v>
      </c>
      <c r="I499" t="s">
        <v>5060</v>
      </c>
      <c r="J499" t="s">
        <v>205</v>
      </c>
      <c r="K499" s="2">
        <v>25000</v>
      </c>
      <c r="L499" t="s">
        <v>6408</v>
      </c>
      <c r="M499" t="str" cm="1">
        <f t="array" ref="M499">INDEX('Org List'!$A$2:$C$1005,MATCH(Consolidated!I499&amp;Consolidated!J499,'Org List'!$A$2:$A$1005&amp;'Org List'!$B$2:$B$1005,0),3)</f>
        <v>NGOs: National</v>
      </c>
    </row>
    <row r="500" spans="1:13" x14ac:dyDescent="0.25">
      <c r="A500">
        <v>2022</v>
      </c>
      <c r="B500" t="s">
        <v>3460</v>
      </c>
      <c r="C500" t="s">
        <v>3461</v>
      </c>
      <c r="D500" t="s">
        <v>30</v>
      </c>
      <c r="E500" t="s">
        <v>205</v>
      </c>
      <c r="F500">
        <v>4500226788</v>
      </c>
      <c r="G500" t="s">
        <v>5061</v>
      </c>
      <c r="H500" t="s">
        <v>3334</v>
      </c>
      <c r="I500" t="s">
        <v>208</v>
      </c>
      <c r="J500" t="s">
        <v>205</v>
      </c>
      <c r="K500" s="2">
        <v>25000</v>
      </c>
      <c r="L500" t="s">
        <v>6408</v>
      </c>
      <c r="M500" t="str" cm="1">
        <f t="array" ref="M500">INDEX('Org List'!$A$2:$C$1005,MATCH(Consolidated!I500&amp;Consolidated!J500,'Org List'!$A$2:$A$1005&amp;'Org List'!$B$2:$B$1005,0),3)</f>
        <v>NGOs: National</v>
      </c>
    </row>
    <row r="501" spans="1:13" x14ac:dyDescent="0.25">
      <c r="A501">
        <v>2022</v>
      </c>
      <c r="B501" t="s">
        <v>3460</v>
      </c>
      <c r="C501" t="s">
        <v>3461</v>
      </c>
      <c r="D501" t="s">
        <v>30</v>
      </c>
      <c r="E501" t="s">
        <v>205</v>
      </c>
      <c r="F501">
        <v>4500228402</v>
      </c>
      <c r="G501" t="s">
        <v>5062</v>
      </c>
      <c r="H501" t="s">
        <v>3334</v>
      </c>
      <c r="I501" t="s">
        <v>878</v>
      </c>
      <c r="J501" t="s">
        <v>205</v>
      </c>
      <c r="K501" s="2">
        <v>150000</v>
      </c>
      <c r="L501" t="s">
        <v>6408</v>
      </c>
      <c r="M501" t="str" cm="1">
        <f t="array" ref="M501">INDEX('Org List'!$A$2:$C$1005,MATCH(Consolidated!I501&amp;Consolidated!J501,'Org List'!$A$2:$A$1005&amp;'Org List'!$B$2:$B$1005,0),3)</f>
        <v>NGOs: National</v>
      </c>
    </row>
    <row r="502" spans="1:13" x14ac:dyDescent="0.25">
      <c r="A502">
        <v>2022</v>
      </c>
      <c r="B502" t="s">
        <v>3460</v>
      </c>
      <c r="C502" t="s">
        <v>3461</v>
      </c>
      <c r="D502" t="s">
        <v>30</v>
      </c>
      <c r="E502" t="s">
        <v>205</v>
      </c>
      <c r="F502">
        <v>4500230994</v>
      </c>
      <c r="G502" t="s">
        <v>5063</v>
      </c>
      <c r="H502" t="s">
        <v>3334</v>
      </c>
      <c r="I502" t="s">
        <v>5064</v>
      </c>
      <c r="J502" t="s">
        <v>205</v>
      </c>
      <c r="K502" s="2">
        <v>199700</v>
      </c>
      <c r="L502" t="s">
        <v>6408</v>
      </c>
      <c r="M502" t="str" cm="1">
        <f t="array" ref="M502">INDEX('Org List'!$A$2:$C$1005,MATCH(Consolidated!I502&amp;Consolidated!J502,'Org List'!$A$2:$A$1005&amp;'Org List'!$B$2:$B$1005,0),3)</f>
        <v>NGOs: International</v>
      </c>
    </row>
    <row r="503" spans="1:13" x14ac:dyDescent="0.25">
      <c r="A503">
        <v>2022</v>
      </c>
      <c r="B503" t="s">
        <v>3460</v>
      </c>
      <c r="C503" t="s">
        <v>3461</v>
      </c>
      <c r="D503" t="s">
        <v>30</v>
      </c>
      <c r="E503" t="s">
        <v>205</v>
      </c>
      <c r="F503">
        <v>4500234850</v>
      </c>
      <c r="G503" t="s">
        <v>5065</v>
      </c>
      <c r="H503" t="s">
        <v>3334</v>
      </c>
      <c r="I503" t="s">
        <v>871</v>
      </c>
      <c r="J503" t="s">
        <v>205</v>
      </c>
      <c r="K503" s="2">
        <v>25000</v>
      </c>
      <c r="L503" t="s">
        <v>6408</v>
      </c>
      <c r="M503" t="str" cm="1">
        <f t="array" ref="M503">INDEX('Org List'!$A$2:$C$1005,MATCH(Consolidated!I503&amp;Consolidated!J503,'Org List'!$A$2:$A$1005&amp;'Org List'!$B$2:$B$1005,0),3)</f>
        <v>NGOs: National</v>
      </c>
    </row>
    <row r="504" spans="1:13" x14ac:dyDescent="0.25">
      <c r="A504">
        <v>2022</v>
      </c>
      <c r="B504" t="s">
        <v>3460</v>
      </c>
      <c r="C504" t="s">
        <v>3461</v>
      </c>
      <c r="D504" t="s">
        <v>30</v>
      </c>
      <c r="E504" t="s">
        <v>205</v>
      </c>
      <c r="F504">
        <v>4500236409</v>
      </c>
      <c r="G504" t="s">
        <v>5066</v>
      </c>
      <c r="H504" t="s">
        <v>3334</v>
      </c>
      <c r="I504" t="s">
        <v>5067</v>
      </c>
      <c r="J504" t="s">
        <v>205</v>
      </c>
      <c r="K504" s="2">
        <v>60000</v>
      </c>
      <c r="L504" t="s">
        <v>6408</v>
      </c>
      <c r="M504" t="str" cm="1">
        <f t="array" ref="M504">INDEX('Org List'!$A$2:$C$1005,MATCH(Consolidated!I504&amp;Consolidated!J504,'Org List'!$A$2:$A$1005&amp;'Org List'!$B$2:$B$1005,0),3)</f>
        <v>NGOs: National</v>
      </c>
    </row>
    <row r="505" spans="1:13" x14ac:dyDescent="0.25">
      <c r="A505">
        <v>2022</v>
      </c>
      <c r="B505" t="s">
        <v>3460</v>
      </c>
      <c r="C505" t="s">
        <v>3461</v>
      </c>
      <c r="D505" t="s">
        <v>30</v>
      </c>
      <c r="E505" t="s">
        <v>205</v>
      </c>
      <c r="F505">
        <v>4500237601</v>
      </c>
      <c r="G505" t="s">
        <v>5068</v>
      </c>
      <c r="H505" t="s">
        <v>3334</v>
      </c>
      <c r="I505" t="s">
        <v>208</v>
      </c>
      <c r="J505" t="s">
        <v>205</v>
      </c>
      <c r="K505" s="2">
        <v>125000</v>
      </c>
      <c r="L505" t="s">
        <v>6408</v>
      </c>
      <c r="M505" t="str" cm="1">
        <f t="array" ref="M505">INDEX('Org List'!$A$2:$C$1005,MATCH(Consolidated!I505&amp;Consolidated!J505,'Org List'!$A$2:$A$1005&amp;'Org List'!$B$2:$B$1005,0),3)</f>
        <v>NGOs: National</v>
      </c>
    </row>
    <row r="506" spans="1:13" x14ac:dyDescent="0.25">
      <c r="A506">
        <v>2022</v>
      </c>
      <c r="B506" t="s">
        <v>3460</v>
      </c>
      <c r="C506" t="s">
        <v>3461</v>
      </c>
      <c r="D506" t="s">
        <v>30</v>
      </c>
      <c r="E506" t="s">
        <v>205</v>
      </c>
      <c r="F506">
        <v>4500237705</v>
      </c>
      <c r="G506" t="s">
        <v>5069</v>
      </c>
      <c r="H506" t="s">
        <v>3334</v>
      </c>
      <c r="I506" t="s">
        <v>207</v>
      </c>
      <c r="J506" t="s">
        <v>205</v>
      </c>
      <c r="K506" s="2">
        <v>247000</v>
      </c>
      <c r="L506" t="s">
        <v>6408</v>
      </c>
      <c r="M506" t="str" cm="1">
        <f t="array" ref="M506">INDEX('Org List'!$A$2:$C$1005,MATCH(Consolidated!I506&amp;Consolidated!J506,'Org List'!$A$2:$A$1005&amp;'Org List'!$B$2:$B$1005,0),3)</f>
        <v>NGOs: National</v>
      </c>
    </row>
    <row r="507" spans="1:13" x14ac:dyDescent="0.25">
      <c r="A507">
        <v>2022</v>
      </c>
      <c r="B507" t="s">
        <v>3460</v>
      </c>
      <c r="C507" t="s">
        <v>3461</v>
      </c>
      <c r="D507" t="s">
        <v>30</v>
      </c>
      <c r="E507" t="s">
        <v>205</v>
      </c>
      <c r="F507">
        <v>4500238520</v>
      </c>
      <c r="G507" t="s">
        <v>5070</v>
      </c>
      <c r="H507" t="s">
        <v>3334</v>
      </c>
      <c r="I507" t="s">
        <v>5071</v>
      </c>
      <c r="J507" t="s">
        <v>205</v>
      </c>
      <c r="K507" s="2">
        <v>56488</v>
      </c>
      <c r="L507" t="s">
        <v>6408</v>
      </c>
      <c r="M507" t="str" cm="1">
        <f t="array" ref="M507">INDEX('Org List'!$A$2:$C$1005,MATCH(Consolidated!I507&amp;Consolidated!J507,'Org List'!$A$2:$A$1005&amp;'Org List'!$B$2:$B$1005,0),3)</f>
        <v>NGOs: Internationally affiliated</v>
      </c>
    </row>
    <row r="508" spans="1:13" x14ac:dyDescent="0.25">
      <c r="A508">
        <v>2022</v>
      </c>
      <c r="B508" t="s">
        <v>3460</v>
      </c>
      <c r="C508" t="s">
        <v>3461</v>
      </c>
      <c r="D508" t="s">
        <v>30</v>
      </c>
      <c r="E508" t="s">
        <v>205</v>
      </c>
      <c r="F508">
        <v>4500240465</v>
      </c>
      <c r="G508" t="s">
        <v>5072</v>
      </c>
      <c r="H508" t="s">
        <v>3334</v>
      </c>
      <c r="I508" t="s">
        <v>869</v>
      </c>
      <c r="J508" t="s">
        <v>205</v>
      </c>
      <c r="K508" s="2">
        <v>25000</v>
      </c>
      <c r="L508" t="s">
        <v>6408</v>
      </c>
      <c r="M508" t="str" cm="1">
        <f t="array" ref="M508">INDEX('Org List'!$A$2:$C$1005,MATCH(Consolidated!I508&amp;Consolidated!J508,'Org List'!$A$2:$A$1005&amp;'Org List'!$B$2:$B$1005,0),3)</f>
        <v>NGOs: International</v>
      </c>
    </row>
    <row r="509" spans="1:13" x14ac:dyDescent="0.25">
      <c r="A509">
        <v>2022</v>
      </c>
      <c r="B509" t="s">
        <v>3460</v>
      </c>
      <c r="C509" t="s">
        <v>3461</v>
      </c>
      <c r="D509" t="s">
        <v>30</v>
      </c>
      <c r="E509" t="s">
        <v>205</v>
      </c>
      <c r="F509">
        <v>4500240777</v>
      </c>
      <c r="G509" t="s">
        <v>5073</v>
      </c>
      <c r="H509" t="s">
        <v>3334</v>
      </c>
      <c r="I509" t="s">
        <v>5074</v>
      </c>
      <c r="J509" t="s">
        <v>205</v>
      </c>
      <c r="K509" s="2">
        <v>237000</v>
      </c>
      <c r="L509" t="s">
        <v>6408</v>
      </c>
      <c r="M509" t="str" cm="1">
        <f t="array" ref="M509">INDEX('Org List'!$A$2:$C$1005,MATCH(Consolidated!I509&amp;Consolidated!J509,'Org List'!$A$2:$A$1005&amp;'Org List'!$B$2:$B$1005,0),3)</f>
        <v>NGOs: National</v>
      </c>
    </row>
    <row r="510" spans="1:13" x14ac:dyDescent="0.25">
      <c r="A510">
        <v>2022</v>
      </c>
      <c r="B510" t="s">
        <v>3460</v>
      </c>
      <c r="C510" t="s">
        <v>3461</v>
      </c>
      <c r="D510" t="s">
        <v>30</v>
      </c>
      <c r="E510" t="s">
        <v>205</v>
      </c>
      <c r="F510">
        <v>4500240817</v>
      </c>
      <c r="G510" t="s">
        <v>5075</v>
      </c>
      <c r="H510" t="s">
        <v>3334</v>
      </c>
      <c r="I510" t="s">
        <v>5076</v>
      </c>
      <c r="J510" t="s">
        <v>205</v>
      </c>
      <c r="K510" s="2">
        <v>323822</v>
      </c>
      <c r="L510" t="s">
        <v>6408</v>
      </c>
      <c r="M510" t="str" cm="1">
        <f t="array" ref="M510">INDEX('Org List'!$A$2:$C$1005,MATCH(Consolidated!I510&amp;Consolidated!J510,'Org List'!$A$2:$A$1005&amp;'Org List'!$B$2:$B$1005,0),3)</f>
        <v>NGOs: International</v>
      </c>
    </row>
    <row r="511" spans="1:13" x14ac:dyDescent="0.25">
      <c r="A511">
        <v>2022</v>
      </c>
      <c r="B511" t="s">
        <v>3460</v>
      </c>
      <c r="C511" t="s">
        <v>3461</v>
      </c>
      <c r="D511" t="s">
        <v>30</v>
      </c>
      <c r="E511" t="s">
        <v>205</v>
      </c>
      <c r="F511">
        <v>4500240844</v>
      </c>
      <c r="G511" t="s">
        <v>5077</v>
      </c>
      <c r="H511" t="s">
        <v>3334</v>
      </c>
      <c r="I511" t="s">
        <v>2143</v>
      </c>
      <c r="J511" t="s">
        <v>205</v>
      </c>
      <c r="K511" s="2">
        <v>20000</v>
      </c>
      <c r="L511" t="s">
        <v>6408</v>
      </c>
      <c r="M511" t="str" cm="1">
        <f t="array" ref="M511">INDEX('Org List'!$A$2:$C$1005,MATCH(Consolidated!I511&amp;Consolidated!J511,'Org List'!$A$2:$A$1005&amp;'Org List'!$B$2:$B$1005,0),3)</f>
        <v>NGOs: International</v>
      </c>
    </row>
    <row r="512" spans="1:13" x14ac:dyDescent="0.25">
      <c r="A512">
        <v>2022</v>
      </c>
      <c r="B512" t="s">
        <v>3460</v>
      </c>
      <c r="C512" t="s">
        <v>3461</v>
      </c>
      <c r="D512" t="s">
        <v>30</v>
      </c>
      <c r="E512" t="s">
        <v>205</v>
      </c>
      <c r="F512">
        <v>4500241709</v>
      </c>
      <c r="G512" t="s">
        <v>5078</v>
      </c>
      <c r="H512" t="s">
        <v>3334</v>
      </c>
      <c r="I512" t="s">
        <v>2996</v>
      </c>
      <c r="J512" t="s">
        <v>205</v>
      </c>
      <c r="K512" s="2">
        <v>40000</v>
      </c>
      <c r="L512" t="s">
        <v>6408</v>
      </c>
      <c r="M512" t="str" cm="1">
        <f t="array" ref="M512">INDEX('Org List'!$A$2:$C$1005,MATCH(Consolidated!I512&amp;Consolidated!J512,'Org List'!$A$2:$A$1005&amp;'Org List'!$B$2:$B$1005,0),3)</f>
        <v>NGOs: National</v>
      </c>
    </row>
    <row r="513" spans="1:13" x14ac:dyDescent="0.25">
      <c r="A513">
        <v>2022</v>
      </c>
      <c r="B513" t="s">
        <v>3460</v>
      </c>
      <c r="C513" t="s">
        <v>3461</v>
      </c>
      <c r="D513" t="s">
        <v>30</v>
      </c>
      <c r="E513" t="s">
        <v>205</v>
      </c>
      <c r="F513">
        <v>4500244693</v>
      </c>
      <c r="G513" t="s">
        <v>5079</v>
      </c>
      <c r="H513" t="s">
        <v>3334</v>
      </c>
      <c r="I513" t="s">
        <v>875</v>
      </c>
      <c r="J513" t="s">
        <v>205</v>
      </c>
      <c r="K513" s="2">
        <v>230390</v>
      </c>
      <c r="L513" t="s">
        <v>6408</v>
      </c>
      <c r="M513" t="str" cm="1">
        <f t="array" ref="M513">INDEX('Org List'!$A$2:$C$1005,MATCH(Consolidated!I513&amp;Consolidated!J513,'Org List'!$A$2:$A$1005&amp;'Org List'!$B$2:$B$1005,0),3)</f>
        <v>NGOs: National</v>
      </c>
    </row>
    <row r="514" spans="1:13" x14ac:dyDescent="0.25">
      <c r="A514">
        <v>2022</v>
      </c>
      <c r="B514" t="s">
        <v>3460</v>
      </c>
      <c r="C514" t="s">
        <v>3461</v>
      </c>
      <c r="D514" t="s">
        <v>30</v>
      </c>
      <c r="E514" t="s">
        <v>205</v>
      </c>
      <c r="F514">
        <v>4500247703</v>
      </c>
      <c r="G514" t="s">
        <v>5080</v>
      </c>
      <c r="H514" t="s">
        <v>3334</v>
      </c>
      <c r="I514" t="s">
        <v>5081</v>
      </c>
      <c r="J514" t="s">
        <v>205</v>
      </c>
      <c r="K514" s="2">
        <v>190983</v>
      </c>
      <c r="L514" t="s">
        <v>6408</v>
      </c>
      <c r="M514" t="str" cm="1">
        <f t="array" ref="M514">INDEX('Org List'!$A$2:$C$1005,MATCH(Consolidated!I514&amp;Consolidated!J514,'Org List'!$A$2:$A$1005&amp;'Org List'!$B$2:$B$1005,0),3)</f>
        <v>NGOs: International</v>
      </c>
    </row>
    <row r="515" spans="1:13" x14ac:dyDescent="0.25">
      <c r="A515">
        <v>2022</v>
      </c>
      <c r="B515" t="s">
        <v>3460</v>
      </c>
      <c r="C515" t="s">
        <v>3461</v>
      </c>
      <c r="D515" t="s">
        <v>30</v>
      </c>
      <c r="E515" t="s">
        <v>205</v>
      </c>
      <c r="F515">
        <v>4500248346</v>
      </c>
      <c r="G515" t="s">
        <v>5082</v>
      </c>
      <c r="H515" t="s">
        <v>3334</v>
      </c>
      <c r="I515" t="s">
        <v>5083</v>
      </c>
      <c r="J515" t="s">
        <v>205</v>
      </c>
      <c r="K515" s="2">
        <v>30000</v>
      </c>
      <c r="L515" t="s">
        <v>6408</v>
      </c>
      <c r="M515" t="str" cm="1">
        <f t="array" ref="M515">INDEX('Org List'!$A$2:$C$1005,MATCH(Consolidated!I515&amp;Consolidated!J515,'Org List'!$A$2:$A$1005&amp;'Org List'!$B$2:$B$1005,0),3)</f>
        <v>NGOs: International</v>
      </c>
    </row>
    <row r="516" spans="1:13" x14ac:dyDescent="0.25">
      <c r="A516">
        <v>2022</v>
      </c>
      <c r="B516" t="s">
        <v>3460</v>
      </c>
      <c r="C516" t="s">
        <v>3461</v>
      </c>
      <c r="D516" t="s">
        <v>30</v>
      </c>
      <c r="E516" t="s">
        <v>205</v>
      </c>
      <c r="F516">
        <v>4500248353</v>
      </c>
      <c r="G516" t="s">
        <v>5084</v>
      </c>
      <c r="H516" t="s">
        <v>3334</v>
      </c>
      <c r="I516" t="s">
        <v>5085</v>
      </c>
      <c r="J516" t="s">
        <v>205</v>
      </c>
      <c r="K516" s="2">
        <v>60000</v>
      </c>
      <c r="L516" t="s">
        <v>6408</v>
      </c>
      <c r="M516" t="str" cm="1">
        <f t="array" ref="M516">INDEX('Org List'!$A$2:$C$1005,MATCH(Consolidated!I516&amp;Consolidated!J516,'Org List'!$A$2:$A$1005&amp;'Org List'!$B$2:$B$1005,0),3)</f>
        <v>NGOs: National</v>
      </c>
    </row>
    <row r="517" spans="1:13" x14ac:dyDescent="0.25">
      <c r="A517">
        <v>2022</v>
      </c>
      <c r="B517" t="s">
        <v>3460</v>
      </c>
      <c r="C517" t="s">
        <v>3461</v>
      </c>
      <c r="D517" t="s">
        <v>30</v>
      </c>
      <c r="E517" t="s">
        <v>205</v>
      </c>
      <c r="F517">
        <v>4500248630</v>
      </c>
      <c r="G517" t="s">
        <v>5086</v>
      </c>
      <c r="H517" t="s">
        <v>3334</v>
      </c>
      <c r="I517" t="s">
        <v>873</v>
      </c>
      <c r="J517" t="s">
        <v>205</v>
      </c>
      <c r="K517" s="2">
        <v>150000</v>
      </c>
      <c r="L517" t="s">
        <v>6408</v>
      </c>
      <c r="M517" t="str" cm="1">
        <f t="array" ref="M517">INDEX('Org List'!$A$2:$C$1005,MATCH(Consolidated!I517&amp;Consolidated!J517,'Org List'!$A$2:$A$1005&amp;'Org List'!$B$2:$B$1005,0),3)</f>
        <v>NGOs: National</v>
      </c>
    </row>
    <row r="518" spans="1:13" x14ac:dyDescent="0.25">
      <c r="A518">
        <v>2022</v>
      </c>
      <c r="B518" t="s">
        <v>3460</v>
      </c>
      <c r="C518" t="s">
        <v>3461</v>
      </c>
      <c r="D518" t="s">
        <v>30</v>
      </c>
      <c r="E518" t="s">
        <v>205</v>
      </c>
      <c r="F518">
        <v>4500248684</v>
      </c>
      <c r="G518" t="s">
        <v>5087</v>
      </c>
      <c r="H518" t="s">
        <v>3334</v>
      </c>
      <c r="I518" t="s">
        <v>1519</v>
      </c>
      <c r="J518" t="s">
        <v>205</v>
      </c>
      <c r="K518" s="2">
        <v>450000</v>
      </c>
      <c r="L518" t="s">
        <v>6408</v>
      </c>
      <c r="M518" t="str" cm="1">
        <f t="array" ref="M518">INDEX('Org List'!$A$2:$C$1005,MATCH(Consolidated!I518&amp;Consolidated!J518,'Org List'!$A$2:$A$1005&amp;'Org List'!$B$2:$B$1005,0),3)</f>
        <v>NGOs: International</v>
      </c>
    </row>
    <row r="519" spans="1:13" x14ac:dyDescent="0.25">
      <c r="A519">
        <v>2022</v>
      </c>
      <c r="B519" t="s">
        <v>3460</v>
      </c>
      <c r="C519" t="s">
        <v>3461</v>
      </c>
      <c r="D519" t="s">
        <v>30</v>
      </c>
      <c r="E519" t="s">
        <v>205</v>
      </c>
      <c r="F519">
        <v>4500250908</v>
      </c>
      <c r="G519" t="s">
        <v>5088</v>
      </c>
      <c r="H519" t="s">
        <v>3334</v>
      </c>
      <c r="I519" t="s">
        <v>869</v>
      </c>
      <c r="J519" t="s">
        <v>205</v>
      </c>
      <c r="K519" s="2">
        <v>20000</v>
      </c>
      <c r="L519" t="s">
        <v>6408</v>
      </c>
      <c r="M519" t="str" cm="1">
        <f t="array" ref="M519">INDEX('Org List'!$A$2:$C$1005,MATCH(Consolidated!I519&amp;Consolidated!J519,'Org List'!$A$2:$A$1005&amp;'Org List'!$B$2:$B$1005,0),3)</f>
        <v>NGOs: International</v>
      </c>
    </row>
    <row r="520" spans="1:13" x14ac:dyDescent="0.25">
      <c r="A520">
        <v>2022</v>
      </c>
      <c r="B520" t="s">
        <v>3460</v>
      </c>
      <c r="C520" t="s">
        <v>3461</v>
      </c>
      <c r="D520" t="s">
        <v>30</v>
      </c>
      <c r="E520" t="s">
        <v>205</v>
      </c>
      <c r="F520">
        <v>4500252137</v>
      </c>
      <c r="G520" t="s">
        <v>5089</v>
      </c>
      <c r="H520" t="s">
        <v>3334</v>
      </c>
      <c r="I520" t="s">
        <v>5090</v>
      </c>
      <c r="J520" t="s">
        <v>205</v>
      </c>
      <c r="K520" s="2">
        <v>40000</v>
      </c>
      <c r="L520" t="s">
        <v>6408</v>
      </c>
      <c r="M520" t="str" cm="1">
        <f t="array" ref="M520">INDEX('Org List'!$A$2:$C$1005,MATCH(Consolidated!I520&amp;Consolidated!J520,'Org List'!$A$2:$A$1005&amp;'Org List'!$B$2:$B$1005,0),3)</f>
        <v>NGOs: National</v>
      </c>
    </row>
    <row r="521" spans="1:13" x14ac:dyDescent="0.25">
      <c r="A521">
        <v>2022</v>
      </c>
      <c r="B521" t="s">
        <v>3460</v>
      </c>
      <c r="C521" t="s">
        <v>3461</v>
      </c>
      <c r="D521" t="s">
        <v>30</v>
      </c>
      <c r="E521" t="s">
        <v>205</v>
      </c>
      <c r="F521">
        <v>4500255133</v>
      </c>
      <c r="G521" t="s">
        <v>5091</v>
      </c>
      <c r="H521" t="s">
        <v>3334</v>
      </c>
      <c r="I521" t="s">
        <v>874</v>
      </c>
      <c r="J521" t="s">
        <v>205</v>
      </c>
      <c r="K521" s="2">
        <v>25000</v>
      </c>
      <c r="L521" t="s">
        <v>6408</v>
      </c>
      <c r="M521" t="str" cm="1">
        <f t="array" ref="M521">INDEX('Org List'!$A$2:$C$1005,MATCH(Consolidated!I521&amp;Consolidated!J521,'Org List'!$A$2:$A$1005&amp;'Org List'!$B$2:$B$1005,0),3)</f>
        <v>NGOs: National</v>
      </c>
    </row>
    <row r="522" spans="1:13" x14ac:dyDescent="0.25">
      <c r="A522">
        <v>2022</v>
      </c>
      <c r="B522" t="s">
        <v>3460</v>
      </c>
      <c r="C522" t="s">
        <v>3461</v>
      </c>
      <c r="D522" t="s">
        <v>30</v>
      </c>
      <c r="E522" t="s">
        <v>205</v>
      </c>
      <c r="F522">
        <v>4500258664</v>
      </c>
      <c r="G522" t="s">
        <v>5092</v>
      </c>
      <c r="H522" t="s">
        <v>3334</v>
      </c>
      <c r="I522" t="s">
        <v>5093</v>
      </c>
      <c r="J522" t="s">
        <v>205</v>
      </c>
      <c r="K522" s="2">
        <v>30000</v>
      </c>
      <c r="L522" t="s">
        <v>6408</v>
      </c>
      <c r="M522" t="str" cm="1">
        <f t="array" ref="M522">INDEX('Org List'!$A$2:$C$1005,MATCH(Consolidated!I522&amp;Consolidated!J522,'Org List'!$A$2:$A$1005&amp;'Org List'!$B$2:$B$1005,0),3)</f>
        <v>Red Cross: National</v>
      </c>
    </row>
    <row r="523" spans="1:13" x14ac:dyDescent="0.25">
      <c r="A523">
        <v>2022</v>
      </c>
      <c r="B523" t="s">
        <v>3460</v>
      </c>
      <c r="C523" t="s">
        <v>3461</v>
      </c>
      <c r="D523" t="s">
        <v>30</v>
      </c>
      <c r="E523" t="s">
        <v>205</v>
      </c>
      <c r="F523">
        <v>4500258683</v>
      </c>
      <c r="G523" t="s">
        <v>5094</v>
      </c>
      <c r="H523" t="s">
        <v>3334</v>
      </c>
      <c r="I523" t="s">
        <v>5095</v>
      </c>
      <c r="J523" t="s">
        <v>205</v>
      </c>
      <c r="K523" s="2">
        <v>25533</v>
      </c>
      <c r="L523" t="s">
        <v>6408</v>
      </c>
      <c r="M523" t="str" cm="1">
        <f t="array" ref="M523">INDEX('Org List'!$A$2:$C$1005,MATCH(Consolidated!I523&amp;Consolidated!J523,'Org List'!$A$2:$A$1005&amp;'Org List'!$B$2:$B$1005,0),3)</f>
        <v>Other: National</v>
      </c>
    </row>
    <row r="524" spans="1:13" x14ac:dyDescent="0.25">
      <c r="A524">
        <v>2022</v>
      </c>
      <c r="B524" t="s">
        <v>3460</v>
      </c>
      <c r="C524" t="s">
        <v>3461</v>
      </c>
      <c r="D524" t="s">
        <v>30</v>
      </c>
      <c r="E524" t="s">
        <v>205</v>
      </c>
      <c r="F524">
        <v>4500261136</v>
      </c>
      <c r="G524" t="s">
        <v>5096</v>
      </c>
      <c r="H524" t="s">
        <v>3334</v>
      </c>
      <c r="I524" t="s">
        <v>878</v>
      </c>
      <c r="J524" t="s">
        <v>205</v>
      </c>
      <c r="K524" s="2">
        <v>111923</v>
      </c>
      <c r="L524" t="s">
        <v>6408</v>
      </c>
      <c r="M524" t="str" cm="1">
        <f t="array" ref="M524">INDEX('Org List'!$A$2:$C$1005,MATCH(Consolidated!I524&amp;Consolidated!J524,'Org List'!$A$2:$A$1005&amp;'Org List'!$B$2:$B$1005,0),3)</f>
        <v>NGOs: National</v>
      </c>
    </row>
    <row r="525" spans="1:13" x14ac:dyDescent="0.25">
      <c r="A525">
        <v>2022</v>
      </c>
      <c r="B525" t="s">
        <v>3460</v>
      </c>
      <c r="C525" t="s">
        <v>3461</v>
      </c>
      <c r="D525" t="s">
        <v>30</v>
      </c>
      <c r="E525" t="s">
        <v>205</v>
      </c>
      <c r="F525">
        <v>4500262207</v>
      </c>
      <c r="G525" t="s">
        <v>5097</v>
      </c>
      <c r="H525" t="s">
        <v>3334</v>
      </c>
      <c r="I525" t="s">
        <v>878</v>
      </c>
      <c r="J525" t="s">
        <v>205</v>
      </c>
      <c r="K525" s="2">
        <v>39000</v>
      </c>
      <c r="L525" t="s">
        <v>6408</v>
      </c>
      <c r="M525" t="str" cm="1">
        <f t="array" ref="M525">INDEX('Org List'!$A$2:$C$1005,MATCH(Consolidated!I525&amp;Consolidated!J525,'Org List'!$A$2:$A$1005&amp;'Org List'!$B$2:$B$1005,0),3)</f>
        <v>NGOs: National</v>
      </c>
    </row>
    <row r="526" spans="1:13" x14ac:dyDescent="0.25">
      <c r="A526">
        <v>2022</v>
      </c>
      <c r="B526" t="s">
        <v>3460</v>
      </c>
      <c r="C526" t="s">
        <v>3461</v>
      </c>
      <c r="D526" t="s">
        <v>30</v>
      </c>
      <c r="E526" t="s">
        <v>205</v>
      </c>
      <c r="F526">
        <v>4500268457</v>
      </c>
      <c r="G526" t="s">
        <v>5098</v>
      </c>
      <c r="H526" t="s">
        <v>3334</v>
      </c>
      <c r="I526" t="s">
        <v>5099</v>
      </c>
      <c r="J526" t="s">
        <v>205</v>
      </c>
      <c r="K526" s="2">
        <v>25263</v>
      </c>
      <c r="L526" t="s">
        <v>6408</v>
      </c>
      <c r="M526" t="str" cm="1">
        <f t="array" ref="M526">INDEX('Org List'!$A$2:$C$1005,MATCH(Consolidated!I526&amp;Consolidated!J526,'Org List'!$A$2:$A$1005&amp;'Org List'!$B$2:$B$1005,0),3)</f>
        <v>Governments: National</v>
      </c>
    </row>
    <row r="527" spans="1:13" x14ac:dyDescent="0.25">
      <c r="A527">
        <v>2022</v>
      </c>
      <c r="B527" t="s">
        <v>3460</v>
      </c>
      <c r="C527" t="s">
        <v>3461</v>
      </c>
      <c r="D527" t="s">
        <v>30</v>
      </c>
      <c r="E527" t="s">
        <v>1987</v>
      </c>
      <c r="F527">
        <v>4500236405</v>
      </c>
      <c r="G527" t="s">
        <v>5100</v>
      </c>
      <c r="H527" t="s">
        <v>3334</v>
      </c>
      <c r="I527" t="s">
        <v>2408</v>
      </c>
      <c r="J527" t="s">
        <v>1987</v>
      </c>
      <c r="K527" s="2">
        <v>7996</v>
      </c>
      <c r="L527" t="s">
        <v>6408</v>
      </c>
      <c r="M527" t="str" cm="1">
        <f t="array" ref="M527">INDEX('Org List'!$A$2:$C$1005,MATCH(Consolidated!I527&amp;Consolidated!J527,'Org List'!$A$2:$A$1005&amp;'Org List'!$B$2:$B$1005,0),3)</f>
        <v>NGOs: National</v>
      </c>
    </row>
    <row r="528" spans="1:13" x14ac:dyDescent="0.25">
      <c r="A528">
        <v>2022</v>
      </c>
      <c r="B528" t="s">
        <v>3460</v>
      </c>
      <c r="C528" t="s">
        <v>3461</v>
      </c>
      <c r="D528" t="s">
        <v>30</v>
      </c>
      <c r="E528" t="s">
        <v>561</v>
      </c>
      <c r="F528">
        <v>4500238076</v>
      </c>
      <c r="G528" t="s">
        <v>5101</v>
      </c>
      <c r="H528" t="s">
        <v>3334</v>
      </c>
      <c r="I528" t="s">
        <v>5102</v>
      </c>
      <c r="J528" t="s">
        <v>561</v>
      </c>
      <c r="K528" s="2">
        <v>23368</v>
      </c>
      <c r="L528" t="s">
        <v>6408</v>
      </c>
      <c r="M528" t="str" cm="1">
        <f t="array" ref="M528">INDEX('Org List'!$A$2:$C$1005,MATCH(Consolidated!I528&amp;Consolidated!J528,'Org List'!$A$2:$A$1005&amp;'Org List'!$B$2:$B$1005,0),3)</f>
        <v>NGOs: National</v>
      </c>
    </row>
    <row r="529" spans="1:13" x14ac:dyDescent="0.25">
      <c r="A529">
        <v>2022</v>
      </c>
      <c r="B529" t="s">
        <v>3460</v>
      </c>
      <c r="C529" t="s">
        <v>3461</v>
      </c>
      <c r="D529" t="s">
        <v>30</v>
      </c>
      <c r="E529" t="s">
        <v>561</v>
      </c>
      <c r="F529">
        <v>4500251029</v>
      </c>
      <c r="G529" t="s">
        <v>5103</v>
      </c>
      <c r="H529" t="s">
        <v>3334</v>
      </c>
      <c r="I529" t="s">
        <v>5104</v>
      </c>
      <c r="J529" t="s">
        <v>561</v>
      </c>
      <c r="K529" s="2">
        <v>11161</v>
      </c>
      <c r="L529" t="s">
        <v>6408</v>
      </c>
      <c r="M529" t="str" cm="1">
        <f t="array" ref="M529">INDEX('Org List'!$A$2:$C$1005,MATCH(Consolidated!I529&amp;Consolidated!J529,'Org List'!$A$2:$A$1005&amp;'Org List'!$B$2:$B$1005,0),3)</f>
        <v>NGOs: National</v>
      </c>
    </row>
    <row r="530" spans="1:13" x14ac:dyDescent="0.25">
      <c r="A530">
        <v>2022</v>
      </c>
      <c r="B530" t="s">
        <v>3460</v>
      </c>
      <c r="C530" t="s">
        <v>3461</v>
      </c>
      <c r="D530" t="s">
        <v>30</v>
      </c>
      <c r="E530" t="s">
        <v>676</v>
      </c>
      <c r="F530">
        <v>4500220872</v>
      </c>
      <c r="G530" t="s">
        <v>3965</v>
      </c>
      <c r="H530" t="s">
        <v>3334</v>
      </c>
      <c r="I530" t="s">
        <v>1625</v>
      </c>
      <c r="J530" t="s">
        <v>676</v>
      </c>
      <c r="K530" s="2">
        <v>34710</v>
      </c>
      <c r="L530" t="s">
        <v>6408</v>
      </c>
      <c r="M530" t="str" cm="1">
        <f t="array" ref="M530">INDEX('Org List'!$A$2:$C$1005,MATCH(Consolidated!I530&amp;Consolidated!J530,'Org List'!$A$2:$A$1005&amp;'Org List'!$B$2:$B$1005,0),3)</f>
        <v>NGOs: National</v>
      </c>
    </row>
    <row r="531" spans="1:13" x14ac:dyDescent="0.25">
      <c r="A531">
        <v>2022</v>
      </c>
      <c r="B531" t="s">
        <v>3460</v>
      </c>
      <c r="C531" t="s">
        <v>3461</v>
      </c>
      <c r="D531" t="s">
        <v>30</v>
      </c>
      <c r="E531" t="s">
        <v>210</v>
      </c>
      <c r="F531">
        <v>4500204932</v>
      </c>
      <c r="G531" t="s">
        <v>5105</v>
      </c>
      <c r="H531" t="s">
        <v>3334</v>
      </c>
      <c r="I531" t="s">
        <v>468</v>
      </c>
      <c r="J531" t="s">
        <v>210</v>
      </c>
      <c r="K531" s="2">
        <v>150000</v>
      </c>
      <c r="L531" t="s">
        <v>6408</v>
      </c>
      <c r="M531" t="str" cm="1">
        <f t="array" ref="M531">INDEX('Org List'!$A$2:$C$1005,MATCH(Consolidated!I531&amp;Consolidated!J531,'Org List'!$A$2:$A$1005&amp;'Org List'!$B$2:$B$1005,0),3)</f>
        <v>NGOs: National</v>
      </c>
    </row>
    <row r="532" spans="1:13" x14ac:dyDescent="0.25">
      <c r="A532">
        <v>2022</v>
      </c>
      <c r="B532" t="s">
        <v>3460</v>
      </c>
      <c r="C532" t="s">
        <v>3461</v>
      </c>
      <c r="D532" t="s">
        <v>30</v>
      </c>
      <c r="E532" t="s">
        <v>210</v>
      </c>
      <c r="F532">
        <v>4500212017</v>
      </c>
      <c r="G532" t="s">
        <v>5106</v>
      </c>
      <c r="H532" t="s">
        <v>3334</v>
      </c>
      <c r="I532" t="s">
        <v>882</v>
      </c>
      <c r="J532" t="s">
        <v>210</v>
      </c>
      <c r="K532" s="2">
        <v>703375</v>
      </c>
      <c r="L532" t="s">
        <v>6408</v>
      </c>
      <c r="M532" t="str" cm="1">
        <f t="array" ref="M532">INDEX('Org List'!$A$2:$C$1005,MATCH(Consolidated!I532&amp;Consolidated!J532,'Org List'!$A$2:$A$1005&amp;'Org List'!$B$2:$B$1005,0),3)</f>
        <v>NGOs: International</v>
      </c>
    </row>
    <row r="533" spans="1:13" x14ac:dyDescent="0.25">
      <c r="A533">
        <v>2022</v>
      </c>
      <c r="B533" t="s">
        <v>3460</v>
      </c>
      <c r="C533" t="s">
        <v>3461</v>
      </c>
      <c r="D533" t="s">
        <v>30</v>
      </c>
      <c r="E533" t="s">
        <v>210</v>
      </c>
      <c r="F533">
        <v>4500214035</v>
      </c>
      <c r="G533" t="s">
        <v>5107</v>
      </c>
      <c r="H533" t="s">
        <v>3334</v>
      </c>
      <c r="I533" t="s">
        <v>216</v>
      </c>
      <c r="J533" t="s">
        <v>210</v>
      </c>
      <c r="K533" s="2">
        <v>216500</v>
      </c>
      <c r="L533" t="s">
        <v>6408</v>
      </c>
      <c r="M533" t="str" cm="1">
        <f t="array" ref="M533">INDEX('Org List'!$A$2:$C$1005,MATCH(Consolidated!I533&amp;Consolidated!J533,'Org List'!$A$2:$A$1005&amp;'Org List'!$B$2:$B$1005,0),3)</f>
        <v>NGOs: International</v>
      </c>
    </row>
    <row r="534" spans="1:13" x14ac:dyDescent="0.25">
      <c r="A534">
        <v>2022</v>
      </c>
      <c r="B534" t="s">
        <v>3460</v>
      </c>
      <c r="C534" t="s">
        <v>3461</v>
      </c>
      <c r="D534" t="s">
        <v>30</v>
      </c>
      <c r="E534" t="s">
        <v>210</v>
      </c>
      <c r="F534">
        <v>4500218584</v>
      </c>
      <c r="G534" t="s">
        <v>5108</v>
      </c>
      <c r="H534" t="s">
        <v>3334</v>
      </c>
      <c r="I534" t="s">
        <v>883</v>
      </c>
      <c r="J534" t="s">
        <v>210</v>
      </c>
      <c r="K534" s="2">
        <v>20241</v>
      </c>
      <c r="L534" t="s">
        <v>6408</v>
      </c>
      <c r="M534" t="str" cm="1">
        <f t="array" ref="M534">INDEX('Org List'!$A$2:$C$1005,MATCH(Consolidated!I534&amp;Consolidated!J534,'Org List'!$A$2:$A$1005&amp;'Org List'!$B$2:$B$1005,0),3)</f>
        <v>NGOs: National</v>
      </c>
    </row>
    <row r="535" spans="1:13" x14ac:dyDescent="0.25">
      <c r="A535">
        <v>2022</v>
      </c>
      <c r="B535" t="s">
        <v>3460</v>
      </c>
      <c r="C535" t="s">
        <v>3461</v>
      </c>
      <c r="D535" t="s">
        <v>30</v>
      </c>
      <c r="E535" t="s">
        <v>210</v>
      </c>
      <c r="F535">
        <v>4500219341</v>
      </c>
      <c r="G535" t="s">
        <v>5109</v>
      </c>
      <c r="H535" t="s">
        <v>3334</v>
      </c>
      <c r="I535" t="s">
        <v>2416</v>
      </c>
      <c r="J535" t="s">
        <v>210</v>
      </c>
      <c r="K535" s="2">
        <v>87500</v>
      </c>
      <c r="L535" t="s">
        <v>6408</v>
      </c>
      <c r="M535" t="str" cm="1">
        <f t="array" ref="M535">INDEX('Org List'!$A$2:$C$1005,MATCH(Consolidated!I535&amp;Consolidated!J535,'Org List'!$A$2:$A$1005&amp;'Org List'!$B$2:$B$1005,0),3)</f>
        <v>NGOs: International</v>
      </c>
    </row>
    <row r="536" spans="1:13" x14ac:dyDescent="0.25">
      <c r="A536">
        <v>2022</v>
      </c>
      <c r="B536" t="s">
        <v>3460</v>
      </c>
      <c r="C536" t="s">
        <v>3461</v>
      </c>
      <c r="D536" t="s">
        <v>30</v>
      </c>
      <c r="E536" t="s">
        <v>210</v>
      </c>
      <c r="F536">
        <v>4500230673</v>
      </c>
      <c r="G536" t="s">
        <v>5110</v>
      </c>
      <c r="H536" t="s">
        <v>3334</v>
      </c>
      <c r="I536" t="s">
        <v>213</v>
      </c>
      <c r="J536" t="s">
        <v>210</v>
      </c>
      <c r="K536" s="2">
        <v>631986</v>
      </c>
      <c r="L536" t="s">
        <v>6408</v>
      </c>
      <c r="M536" t="str" cm="1">
        <f t="array" ref="M536">INDEX('Org List'!$A$2:$C$1005,MATCH(Consolidated!I536&amp;Consolidated!J536,'Org List'!$A$2:$A$1005&amp;'Org List'!$B$2:$B$1005,0),3)</f>
        <v>Governments: National</v>
      </c>
    </row>
    <row r="537" spans="1:13" x14ac:dyDescent="0.25">
      <c r="A537">
        <v>2022</v>
      </c>
      <c r="B537" t="s">
        <v>3460</v>
      </c>
      <c r="C537" t="s">
        <v>3461</v>
      </c>
      <c r="D537" t="s">
        <v>30</v>
      </c>
      <c r="E537" t="s">
        <v>210</v>
      </c>
      <c r="F537">
        <v>4500233442</v>
      </c>
      <c r="G537" t="s">
        <v>5111</v>
      </c>
      <c r="H537" t="s">
        <v>3334</v>
      </c>
      <c r="I537" t="s">
        <v>468</v>
      </c>
      <c r="J537" t="s">
        <v>210</v>
      </c>
      <c r="K537" s="2">
        <v>444000</v>
      </c>
      <c r="L537" t="s">
        <v>6408</v>
      </c>
      <c r="M537" t="str" cm="1">
        <f t="array" ref="M537">INDEX('Org List'!$A$2:$C$1005,MATCH(Consolidated!I537&amp;Consolidated!J537,'Org List'!$A$2:$A$1005&amp;'Org List'!$B$2:$B$1005,0),3)</f>
        <v>NGOs: National</v>
      </c>
    </row>
    <row r="538" spans="1:13" x14ac:dyDescent="0.25">
      <c r="A538">
        <v>2022</v>
      </c>
      <c r="B538" t="s">
        <v>3460</v>
      </c>
      <c r="C538" t="s">
        <v>3461</v>
      </c>
      <c r="D538" t="s">
        <v>30</v>
      </c>
      <c r="E538" t="s">
        <v>210</v>
      </c>
      <c r="F538">
        <v>4500238091</v>
      </c>
      <c r="G538" t="s">
        <v>5112</v>
      </c>
      <c r="H538" t="s">
        <v>3334</v>
      </c>
      <c r="I538" t="s">
        <v>214</v>
      </c>
      <c r="J538" t="s">
        <v>210</v>
      </c>
      <c r="K538" s="2">
        <v>708129</v>
      </c>
      <c r="L538" t="s">
        <v>6408</v>
      </c>
      <c r="M538" t="str" cm="1">
        <f t="array" ref="M538">INDEX('Org List'!$A$2:$C$1005,MATCH(Consolidated!I538&amp;Consolidated!J538,'Org List'!$A$2:$A$1005&amp;'Org List'!$B$2:$B$1005,0),3)</f>
        <v>NGOs: National</v>
      </c>
    </row>
    <row r="539" spans="1:13" x14ac:dyDescent="0.25">
      <c r="A539">
        <v>2022</v>
      </c>
      <c r="B539" t="s">
        <v>3460</v>
      </c>
      <c r="C539" t="s">
        <v>3461</v>
      </c>
      <c r="D539" t="s">
        <v>30</v>
      </c>
      <c r="E539" t="s">
        <v>210</v>
      </c>
      <c r="F539">
        <v>4500239682</v>
      </c>
      <c r="G539" t="s">
        <v>5113</v>
      </c>
      <c r="H539" t="s">
        <v>3334</v>
      </c>
      <c r="I539" t="s">
        <v>883</v>
      </c>
      <c r="J539" t="s">
        <v>210</v>
      </c>
      <c r="K539" s="2">
        <v>78890</v>
      </c>
      <c r="L539" t="s">
        <v>6408</v>
      </c>
      <c r="M539" t="str" cm="1">
        <f t="array" ref="M539">INDEX('Org List'!$A$2:$C$1005,MATCH(Consolidated!I539&amp;Consolidated!J539,'Org List'!$A$2:$A$1005&amp;'Org List'!$B$2:$B$1005,0),3)</f>
        <v>NGOs: National</v>
      </c>
    </row>
    <row r="540" spans="1:13" x14ac:dyDescent="0.25">
      <c r="A540">
        <v>2022</v>
      </c>
      <c r="B540" t="s">
        <v>3460</v>
      </c>
      <c r="C540" t="s">
        <v>3461</v>
      </c>
      <c r="D540" t="s">
        <v>30</v>
      </c>
      <c r="E540" t="s">
        <v>210</v>
      </c>
      <c r="F540">
        <v>4500242504</v>
      </c>
      <c r="G540" t="s">
        <v>4852</v>
      </c>
      <c r="H540" t="s">
        <v>3334</v>
      </c>
      <c r="I540" t="s">
        <v>2416</v>
      </c>
      <c r="J540" t="s">
        <v>210</v>
      </c>
      <c r="K540" s="2">
        <v>110886</v>
      </c>
      <c r="L540" t="s">
        <v>6408</v>
      </c>
      <c r="M540" t="str" cm="1">
        <f t="array" ref="M540">INDEX('Org List'!$A$2:$C$1005,MATCH(Consolidated!I540&amp;Consolidated!J540,'Org List'!$A$2:$A$1005&amp;'Org List'!$B$2:$B$1005,0),3)</f>
        <v>NGOs: International</v>
      </c>
    </row>
    <row r="541" spans="1:13" x14ac:dyDescent="0.25">
      <c r="A541">
        <v>2022</v>
      </c>
      <c r="B541" t="s">
        <v>3460</v>
      </c>
      <c r="C541" t="s">
        <v>3461</v>
      </c>
      <c r="D541" t="s">
        <v>30</v>
      </c>
      <c r="E541" t="s">
        <v>210</v>
      </c>
      <c r="F541">
        <v>4500243602</v>
      </c>
      <c r="G541" t="s">
        <v>5114</v>
      </c>
      <c r="H541" t="s">
        <v>3334</v>
      </c>
      <c r="I541" t="s">
        <v>363</v>
      </c>
      <c r="J541" t="s">
        <v>210</v>
      </c>
      <c r="K541" s="2">
        <v>303750</v>
      </c>
      <c r="L541" t="s">
        <v>6408</v>
      </c>
      <c r="M541" t="str" cm="1">
        <f t="array" ref="M541">INDEX('Org List'!$A$2:$C$1005,MATCH(Consolidated!I541&amp;Consolidated!J541,'Org List'!$A$2:$A$1005&amp;'Org List'!$B$2:$B$1005,0),3)</f>
        <v>NGOs: International</v>
      </c>
    </row>
    <row r="542" spans="1:13" x14ac:dyDescent="0.25">
      <c r="A542">
        <v>2022</v>
      </c>
      <c r="B542" t="s">
        <v>3460</v>
      </c>
      <c r="C542" t="s">
        <v>3461</v>
      </c>
      <c r="D542" t="s">
        <v>30</v>
      </c>
      <c r="E542" t="s">
        <v>210</v>
      </c>
      <c r="F542">
        <v>4500243620</v>
      </c>
      <c r="G542" t="s">
        <v>5115</v>
      </c>
      <c r="H542" t="s">
        <v>3334</v>
      </c>
      <c r="I542" t="s">
        <v>5116</v>
      </c>
      <c r="J542" t="s">
        <v>210</v>
      </c>
      <c r="K542" s="2">
        <v>90000</v>
      </c>
      <c r="L542" t="s">
        <v>6408</v>
      </c>
      <c r="M542" t="str" cm="1">
        <f t="array" ref="M542">INDEX('Org List'!$A$2:$C$1005,MATCH(Consolidated!I542&amp;Consolidated!J542,'Org List'!$A$2:$A$1005&amp;'Org List'!$B$2:$B$1005,0),3)</f>
        <v>NGOs: Internationally affiliated</v>
      </c>
    </row>
    <row r="543" spans="1:13" x14ac:dyDescent="0.25">
      <c r="A543">
        <v>2022</v>
      </c>
      <c r="B543" t="s">
        <v>3460</v>
      </c>
      <c r="C543" t="s">
        <v>3461</v>
      </c>
      <c r="D543" t="s">
        <v>30</v>
      </c>
      <c r="E543" t="s">
        <v>210</v>
      </c>
      <c r="F543">
        <v>4500243926</v>
      </c>
      <c r="G543" t="s">
        <v>5117</v>
      </c>
      <c r="H543" t="s">
        <v>3334</v>
      </c>
      <c r="I543" t="s">
        <v>880</v>
      </c>
      <c r="J543" t="s">
        <v>210</v>
      </c>
      <c r="K543" s="2">
        <v>100320</v>
      </c>
      <c r="L543" t="s">
        <v>6408</v>
      </c>
      <c r="M543" t="str" cm="1">
        <f t="array" ref="M543">INDEX('Org List'!$A$2:$C$1005,MATCH(Consolidated!I543&amp;Consolidated!J543,'Org List'!$A$2:$A$1005&amp;'Org List'!$B$2:$B$1005,0),3)</f>
        <v>NGOs: National</v>
      </c>
    </row>
    <row r="544" spans="1:13" x14ac:dyDescent="0.25">
      <c r="A544">
        <v>2022</v>
      </c>
      <c r="B544" t="s">
        <v>3460</v>
      </c>
      <c r="C544" t="s">
        <v>3461</v>
      </c>
      <c r="D544" t="s">
        <v>30</v>
      </c>
      <c r="E544" t="s">
        <v>210</v>
      </c>
      <c r="F544">
        <v>4500244699</v>
      </c>
      <c r="G544" t="s">
        <v>5118</v>
      </c>
      <c r="H544" t="s">
        <v>3334</v>
      </c>
      <c r="I544" t="s">
        <v>211</v>
      </c>
      <c r="J544" t="s">
        <v>210</v>
      </c>
      <c r="K544" s="2">
        <v>61496</v>
      </c>
      <c r="L544" t="s">
        <v>6408</v>
      </c>
      <c r="M544" t="str" cm="1">
        <f t="array" ref="M544">INDEX('Org List'!$A$2:$C$1005,MATCH(Consolidated!I544&amp;Consolidated!J544,'Org List'!$A$2:$A$1005&amp;'Org List'!$B$2:$B$1005,0),3)</f>
        <v>NGOs: International</v>
      </c>
    </row>
    <row r="545" spans="1:13" x14ac:dyDescent="0.25">
      <c r="A545">
        <v>2022</v>
      </c>
      <c r="B545" t="s">
        <v>3460</v>
      </c>
      <c r="C545" t="s">
        <v>3461</v>
      </c>
      <c r="D545" t="s">
        <v>30</v>
      </c>
      <c r="E545" t="s">
        <v>210</v>
      </c>
      <c r="F545">
        <v>4500244746</v>
      </c>
      <c r="G545" t="s">
        <v>5119</v>
      </c>
      <c r="H545" t="s">
        <v>3334</v>
      </c>
      <c r="I545" t="s">
        <v>216</v>
      </c>
      <c r="J545" t="s">
        <v>210</v>
      </c>
      <c r="K545" s="2">
        <v>13800</v>
      </c>
      <c r="L545" t="s">
        <v>6408</v>
      </c>
      <c r="M545" t="str" cm="1">
        <f t="array" ref="M545">INDEX('Org List'!$A$2:$C$1005,MATCH(Consolidated!I545&amp;Consolidated!J545,'Org List'!$A$2:$A$1005&amp;'Org List'!$B$2:$B$1005,0),3)</f>
        <v>NGOs: International</v>
      </c>
    </row>
    <row r="546" spans="1:13" x14ac:dyDescent="0.25">
      <c r="A546">
        <v>2022</v>
      </c>
      <c r="B546" t="s">
        <v>3460</v>
      </c>
      <c r="C546" t="s">
        <v>3461</v>
      </c>
      <c r="D546" t="s">
        <v>30</v>
      </c>
      <c r="E546" t="s">
        <v>210</v>
      </c>
      <c r="F546">
        <v>4500244748</v>
      </c>
      <c r="G546" t="s">
        <v>5120</v>
      </c>
      <c r="H546" t="s">
        <v>3334</v>
      </c>
      <c r="I546" t="s">
        <v>468</v>
      </c>
      <c r="J546" t="s">
        <v>210</v>
      </c>
      <c r="K546" s="2">
        <v>50901</v>
      </c>
      <c r="L546" t="s">
        <v>6408</v>
      </c>
      <c r="M546" t="str" cm="1">
        <f t="array" ref="M546">INDEX('Org List'!$A$2:$C$1005,MATCH(Consolidated!I546&amp;Consolidated!J546,'Org List'!$A$2:$A$1005&amp;'Org List'!$B$2:$B$1005,0),3)</f>
        <v>NGOs: National</v>
      </c>
    </row>
    <row r="547" spans="1:13" x14ac:dyDescent="0.25">
      <c r="A547">
        <v>2022</v>
      </c>
      <c r="B547" t="s">
        <v>3460</v>
      </c>
      <c r="C547" t="s">
        <v>3461</v>
      </c>
      <c r="D547" t="s">
        <v>30</v>
      </c>
      <c r="E547" t="s">
        <v>210</v>
      </c>
      <c r="F547">
        <v>4500245590</v>
      </c>
      <c r="G547" t="s">
        <v>5121</v>
      </c>
      <c r="H547" t="s">
        <v>3334</v>
      </c>
      <c r="I547" t="s">
        <v>217</v>
      </c>
      <c r="J547" t="s">
        <v>210</v>
      </c>
      <c r="K547" s="2">
        <v>10180</v>
      </c>
      <c r="L547" t="s">
        <v>6408</v>
      </c>
      <c r="M547" t="str" cm="1">
        <f t="array" ref="M547">INDEX('Org List'!$A$2:$C$1005,MATCH(Consolidated!I547&amp;Consolidated!J547,'Org List'!$A$2:$A$1005&amp;'Org List'!$B$2:$B$1005,0),3)</f>
        <v>NGOs: Internationally affiliated</v>
      </c>
    </row>
    <row r="548" spans="1:13" x14ac:dyDescent="0.25">
      <c r="A548">
        <v>2022</v>
      </c>
      <c r="B548" t="s">
        <v>3460</v>
      </c>
      <c r="C548" t="s">
        <v>3461</v>
      </c>
      <c r="D548" t="s">
        <v>30</v>
      </c>
      <c r="E548" t="s">
        <v>210</v>
      </c>
      <c r="F548">
        <v>4500249076</v>
      </c>
      <c r="G548" t="s">
        <v>5122</v>
      </c>
      <c r="H548" t="s">
        <v>3334</v>
      </c>
      <c r="I548" t="s">
        <v>216</v>
      </c>
      <c r="J548" t="s">
        <v>210</v>
      </c>
      <c r="K548" s="2">
        <v>90009</v>
      </c>
      <c r="L548" t="s">
        <v>6408</v>
      </c>
      <c r="M548" t="str" cm="1">
        <f t="array" ref="M548">INDEX('Org List'!$A$2:$C$1005,MATCH(Consolidated!I548&amp;Consolidated!J548,'Org List'!$A$2:$A$1005&amp;'Org List'!$B$2:$B$1005,0),3)</f>
        <v>NGOs: International</v>
      </c>
    </row>
    <row r="549" spans="1:13" x14ac:dyDescent="0.25">
      <c r="A549">
        <v>2022</v>
      </c>
      <c r="B549" t="s">
        <v>3460</v>
      </c>
      <c r="C549" t="s">
        <v>3461</v>
      </c>
      <c r="D549" t="s">
        <v>30</v>
      </c>
      <c r="E549" t="s">
        <v>210</v>
      </c>
      <c r="F549">
        <v>4500249795</v>
      </c>
      <c r="G549" t="s">
        <v>5123</v>
      </c>
      <c r="H549" t="s">
        <v>3334</v>
      </c>
      <c r="I549" t="s">
        <v>211</v>
      </c>
      <c r="J549" t="s">
        <v>210</v>
      </c>
      <c r="K549" s="2">
        <v>180344</v>
      </c>
      <c r="L549" t="s">
        <v>6408</v>
      </c>
      <c r="M549" t="str" cm="1">
        <f t="array" ref="M549">INDEX('Org List'!$A$2:$C$1005,MATCH(Consolidated!I549&amp;Consolidated!J549,'Org List'!$A$2:$A$1005&amp;'Org List'!$B$2:$B$1005,0),3)</f>
        <v>NGOs: International</v>
      </c>
    </row>
    <row r="550" spans="1:13" x14ac:dyDescent="0.25">
      <c r="A550">
        <v>2022</v>
      </c>
      <c r="B550" t="s">
        <v>3460</v>
      </c>
      <c r="C550" t="s">
        <v>3461</v>
      </c>
      <c r="D550" t="s">
        <v>30</v>
      </c>
      <c r="E550" t="s">
        <v>210</v>
      </c>
      <c r="F550">
        <v>4500249796</v>
      </c>
      <c r="G550" t="s">
        <v>5124</v>
      </c>
      <c r="H550" t="s">
        <v>3334</v>
      </c>
      <c r="I550" t="s">
        <v>2416</v>
      </c>
      <c r="J550" t="s">
        <v>210</v>
      </c>
      <c r="K550" s="2">
        <v>88610</v>
      </c>
      <c r="L550" t="s">
        <v>6408</v>
      </c>
      <c r="M550" t="str" cm="1">
        <f t="array" ref="M550">INDEX('Org List'!$A$2:$C$1005,MATCH(Consolidated!I550&amp;Consolidated!J550,'Org List'!$A$2:$A$1005&amp;'Org List'!$B$2:$B$1005,0),3)</f>
        <v>NGOs: International</v>
      </c>
    </row>
    <row r="551" spans="1:13" x14ac:dyDescent="0.25">
      <c r="A551">
        <v>2022</v>
      </c>
      <c r="B551" t="s">
        <v>3460</v>
      </c>
      <c r="C551" t="s">
        <v>3461</v>
      </c>
      <c r="D551" t="s">
        <v>30</v>
      </c>
      <c r="E551" t="s">
        <v>210</v>
      </c>
      <c r="F551">
        <v>4500249797</v>
      </c>
      <c r="G551" t="s">
        <v>5125</v>
      </c>
      <c r="H551" t="s">
        <v>3334</v>
      </c>
      <c r="I551" t="s">
        <v>214</v>
      </c>
      <c r="J551" t="s">
        <v>210</v>
      </c>
      <c r="K551" s="2">
        <v>66833</v>
      </c>
      <c r="L551" t="s">
        <v>6408</v>
      </c>
      <c r="M551" t="str" cm="1">
        <f t="array" ref="M551">INDEX('Org List'!$A$2:$C$1005,MATCH(Consolidated!I551&amp;Consolidated!J551,'Org List'!$A$2:$A$1005&amp;'Org List'!$B$2:$B$1005,0),3)</f>
        <v>NGOs: National</v>
      </c>
    </row>
    <row r="552" spans="1:13" x14ac:dyDescent="0.25">
      <c r="A552">
        <v>2022</v>
      </c>
      <c r="B552" t="s">
        <v>3460</v>
      </c>
      <c r="C552" t="s">
        <v>3461</v>
      </c>
      <c r="D552" t="s">
        <v>30</v>
      </c>
      <c r="E552" t="s">
        <v>210</v>
      </c>
      <c r="F552">
        <v>4500274295</v>
      </c>
      <c r="G552" t="s">
        <v>5126</v>
      </c>
      <c r="H552" t="s">
        <v>3334</v>
      </c>
      <c r="I552" t="s">
        <v>5116</v>
      </c>
      <c r="J552" t="s">
        <v>210</v>
      </c>
      <c r="K552" s="2">
        <v>53843</v>
      </c>
      <c r="L552" t="s">
        <v>6408</v>
      </c>
      <c r="M552" t="str" cm="1">
        <f t="array" ref="M552">INDEX('Org List'!$A$2:$C$1005,MATCH(Consolidated!I552&amp;Consolidated!J552,'Org List'!$A$2:$A$1005&amp;'Org List'!$B$2:$B$1005,0),3)</f>
        <v>NGOs: Internationally affiliated</v>
      </c>
    </row>
    <row r="553" spans="1:13" x14ac:dyDescent="0.25">
      <c r="A553">
        <v>2022</v>
      </c>
      <c r="B553" t="s">
        <v>3460</v>
      </c>
      <c r="C553" t="s">
        <v>3461</v>
      </c>
      <c r="D553" t="s">
        <v>30</v>
      </c>
      <c r="E553" t="s">
        <v>210</v>
      </c>
      <c r="F553">
        <v>4500276583</v>
      </c>
      <c r="G553" t="s">
        <v>5107</v>
      </c>
      <c r="H553" t="s">
        <v>3334</v>
      </c>
      <c r="I553" t="s">
        <v>216</v>
      </c>
      <c r="J553" t="s">
        <v>210</v>
      </c>
      <c r="K553" s="2">
        <v>154318</v>
      </c>
      <c r="L553" t="s">
        <v>6408</v>
      </c>
      <c r="M553" t="str" cm="1">
        <f t="array" ref="M553">INDEX('Org List'!$A$2:$C$1005,MATCH(Consolidated!I553&amp;Consolidated!J553,'Org List'!$A$2:$A$1005&amp;'Org List'!$B$2:$B$1005,0),3)</f>
        <v>NGOs: International</v>
      </c>
    </row>
    <row r="554" spans="1:13" x14ac:dyDescent="0.25">
      <c r="A554">
        <v>2022</v>
      </c>
      <c r="B554" t="s">
        <v>3460</v>
      </c>
      <c r="C554" t="s">
        <v>3461</v>
      </c>
      <c r="D554" t="s">
        <v>30</v>
      </c>
      <c r="E554" t="s">
        <v>1048</v>
      </c>
      <c r="F554">
        <v>4500247410</v>
      </c>
      <c r="G554" t="s">
        <v>3933</v>
      </c>
      <c r="H554" t="s">
        <v>3334</v>
      </c>
      <c r="I554" t="s">
        <v>5127</v>
      </c>
      <c r="J554" t="s">
        <v>3932</v>
      </c>
      <c r="K554" s="2">
        <v>5225</v>
      </c>
      <c r="L554" t="s">
        <v>6408</v>
      </c>
      <c r="M554" t="str" cm="1">
        <f t="array" ref="M554">INDEX('Org List'!$A$2:$C$1005,MATCH(Consolidated!I554&amp;Consolidated!J554,'Org List'!$A$2:$A$1005&amp;'Org List'!$B$2:$B$1005,0),3)</f>
        <v>NGOs: National</v>
      </c>
    </row>
    <row r="555" spans="1:13" x14ac:dyDescent="0.25">
      <c r="A555">
        <v>2022</v>
      </c>
      <c r="B555" t="s">
        <v>3460</v>
      </c>
      <c r="C555" t="s">
        <v>3461</v>
      </c>
      <c r="D555" t="s">
        <v>30</v>
      </c>
      <c r="E555" t="s">
        <v>1048</v>
      </c>
      <c r="F555">
        <v>4500263056</v>
      </c>
      <c r="G555" t="s">
        <v>5128</v>
      </c>
      <c r="H555" t="s">
        <v>3334</v>
      </c>
      <c r="I555" t="s">
        <v>5129</v>
      </c>
      <c r="J555" t="s">
        <v>3932</v>
      </c>
      <c r="K555" s="2">
        <v>28067</v>
      </c>
      <c r="L555" t="s">
        <v>6408</v>
      </c>
      <c r="M555" t="str" cm="1">
        <f t="array" ref="M555">INDEX('Org List'!$A$2:$C$1005,MATCH(Consolidated!I555&amp;Consolidated!J555,'Org List'!$A$2:$A$1005&amp;'Org List'!$B$2:$B$1005,0),3)</f>
        <v>NGOs: National</v>
      </c>
    </row>
    <row r="556" spans="1:13" x14ac:dyDescent="0.25">
      <c r="A556">
        <v>2022</v>
      </c>
      <c r="B556" t="s">
        <v>3460</v>
      </c>
      <c r="C556" t="s">
        <v>3461</v>
      </c>
      <c r="D556" t="s">
        <v>30</v>
      </c>
      <c r="E556" t="s">
        <v>1048</v>
      </c>
      <c r="F556">
        <v>4500263057</v>
      </c>
      <c r="G556" t="s">
        <v>5128</v>
      </c>
      <c r="H556" t="s">
        <v>3334</v>
      </c>
      <c r="I556" t="s">
        <v>1717</v>
      </c>
      <c r="J556" t="s">
        <v>3932</v>
      </c>
      <c r="K556" s="2">
        <v>20000</v>
      </c>
      <c r="L556" t="s">
        <v>6408</v>
      </c>
      <c r="M556" t="str" cm="1">
        <f t="array" ref="M556">INDEX('Org List'!$A$2:$C$1005,MATCH(Consolidated!I556&amp;Consolidated!J556,'Org List'!$A$2:$A$1005&amp;'Org List'!$B$2:$B$1005,0),3)</f>
        <v>NGOs: National</v>
      </c>
    </row>
    <row r="557" spans="1:13" x14ac:dyDescent="0.25">
      <c r="A557">
        <v>2022</v>
      </c>
      <c r="B557" t="s">
        <v>3460</v>
      </c>
      <c r="C557" t="s">
        <v>3461</v>
      </c>
      <c r="D557" t="s">
        <v>30</v>
      </c>
      <c r="E557" t="s">
        <v>1048</v>
      </c>
      <c r="F557">
        <v>4500269125</v>
      </c>
      <c r="G557" t="s">
        <v>5130</v>
      </c>
      <c r="H557" t="s">
        <v>3334</v>
      </c>
      <c r="I557" t="s">
        <v>222</v>
      </c>
      <c r="J557" t="s">
        <v>3932</v>
      </c>
      <c r="K557" s="2">
        <v>9750</v>
      </c>
      <c r="L557" t="s">
        <v>6408</v>
      </c>
      <c r="M557" t="str" cm="1">
        <f t="array" ref="M557">INDEX('Org List'!$A$2:$C$1005,MATCH(Consolidated!I557&amp;Consolidated!J557,'Org List'!$A$2:$A$1005&amp;'Org List'!$B$2:$B$1005,0),3)</f>
        <v>NGOs: National</v>
      </c>
    </row>
    <row r="558" spans="1:13" x14ac:dyDescent="0.25">
      <c r="A558">
        <v>2022</v>
      </c>
      <c r="B558" t="s">
        <v>3460</v>
      </c>
      <c r="C558" t="s">
        <v>3461</v>
      </c>
      <c r="D558" t="s">
        <v>30</v>
      </c>
      <c r="E558" t="s">
        <v>885</v>
      </c>
      <c r="F558">
        <v>4500241949</v>
      </c>
      <c r="G558" t="s">
        <v>5131</v>
      </c>
      <c r="H558" t="s">
        <v>3334</v>
      </c>
      <c r="I558" t="s">
        <v>886</v>
      </c>
      <c r="J558" t="s">
        <v>885</v>
      </c>
      <c r="K558" s="2">
        <v>180189</v>
      </c>
      <c r="L558" t="s">
        <v>6408</v>
      </c>
      <c r="M558" t="str" cm="1">
        <f t="array" ref="M558">INDEX('Org List'!$A$2:$C$1005,MATCH(Consolidated!I558&amp;Consolidated!J558,'Org List'!$A$2:$A$1005&amp;'Org List'!$B$2:$B$1005,0),3)</f>
        <v>NGOs: International</v>
      </c>
    </row>
    <row r="559" spans="1:13" x14ac:dyDescent="0.25">
      <c r="A559">
        <v>2022</v>
      </c>
      <c r="B559" t="s">
        <v>5132</v>
      </c>
      <c r="C559" t="s">
        <v>5133</v>
      </c>
      <c r="D559" t="s">
        <v>30</v>
      </c>
      <c r="E559" t="s">
        <v>54</v>
      </c>
      <c r="F559">
        <v>4500225861</v>
      </c>
      <c r="G559" t="s">
        <v>5004</v>
      </c>
      <c r="H559" t="s">
        <v>3334</v>
      </c>
      <c r="I559" t="s">
        <v>5005</v>
      </c>
      <c r="J559" t="s">
        <v>54</v>
      </c>
      <c r="K559" s="2">
        <v>486002</v>
      </c>
      <c r="L559" t="s">
        <v>6408</v>
      </c>
      <c r="M559" t="str" cm="1">
        <f t="array" ref="M559">INDEX('Org List'!$A$2:$C$1005,MATCH(Consolidated!I559&amp;Consolidated!J559,'Org List'!$A$2:$A$1005&amp;'Org List'!$B$2:$B$1005,0),3)</f>
        <v>NGOs: Local</v>
      </c>
    </row>
    <row r="560" spans="1:13" x14ac:dyDescent="0.25">
      <c r="A560">
        <v>2022</v>
      </c>
      <c r="B560" t="s">
        <v>5132</v>
      </c>
      <c r="C560" t="s">
        <v>5133</v>
      </c>
      <c r="D560" t="s">
        <v>30</v>
      </c>
      <c r="E560" t="s">
        <v>54</v>
      </c>
      <c r="F560">
        <v>4500246231</v>
      </c>
      <c r="G560" t="s">
        <v>5134</v>
      </c>
      <c r="H560" t="s">
        <v>3334</v>
      </c>
      <c r="I560" t="s">
        <v>3800</v>
      </c>
      <c r="J560" t="s">
        <v>54</v>
      </c>
      <c r="K560" s="2">
        <v>13224</v>
      </c>
      <c r="L560" t="s">
        <v>6408</v>
      </c>
      <c r="M560" t="str" cm="1">
        <f t="array" ref="M560">INDEX('Org List'!$A$2:$C$1005,MATCH(Consolidated!I560&amp;Consolidated!J560,'Org List'!$A$2:$A$1005&amp;'Org List'!$B$2:$B$1005,0),3)</f>
        <v>NGOs: National</v>
      </c>
    </row>
    <row r="561" spans="1:13" x14ac:dyDescent="0.25">
      <c r="A561">
        <v>2022</v>
      </c>
      <c r="B561" t="s">
        <v>5132</v>
      </c>
      <c r="C561" t="s">
        <v>5133</v>
      </c>
      <c r="D561" t="s">
        <v>30</v>
      </c>
      <c r="E561" t="s">
        <v>54</v>
      </c>
      <c r="F561">
        <v>4500251107</v>
      </c>
      <c r="G561" t="s">
        <v>5011</v>
      </c>
      <c r="H561" t="s">
        <v>3334</v>
      </c>
      <c r="I561" t="s">
        <v>5012</v>
      </c>
      <c r="J561" t="s">
        <v>751</v>
      </c>
      <c r="K561" s="2">
        <v>615000</v>
      </c>
      <c r="L561" t="s">
        <v>6408</v>
      </c>
      <c r="M561" t="str" cm="1">
        <f t="array" ref="M561">INDEX('Org List'!$A$2:$C$1005,MATCH(Consolidated!I561&amp;Consolidated!J561,'Org List'!$A$2:$A$1005&amp;'Org List'!$B$2:$B$1005,0),3)</f>
        <v>Unknown</v>
      </c>
    </row>
    <row r="562" spans="1:13" x14ac:dyDescent="0.25">
      <c r="A562">
        <v>2022</v>
      </c>
      <c r="B562" t="s">
        <v>5135</v>
      </c>
      <c r="C562" t="s">
        <v>5136</v>
      </c>
      <c r="D562" t="s">
        <v>30</v>
      </c>
      <c r="E562" t="s">
        <v>54</v>
      </c>
      <c r="F562">
        <v>4500219764</v>
      </c>
      <c r="G562" t="s">
        <v>5137</v>
      </c>
      <c r="H562" t="s">
        <v>3334</v>
      </c>
      <c r="I562" t="s">
        <v>5138</v>
      </c>
      <c r="J562" t="s">
        <v>54</v>
      </c>
      <c r="K562" s="2">
        <v>431633</v>
      </c>
      <c r="L562" t="s">
        <v>6408</v>
      </c>
      <c r="M562" t="str" cm="1">
        <f t="array" ref="M562">INDEX('Org List'!$A$2:$C$1005,MATCH(Consolidated!I562&amp;Consolidated!J562,'Org List'!$A$2:$A$1005&amp;'Org List'!$B$2:$B$1005,0),3)</f>
        <v>NGOs: National</v>
      </c>
    </row>
    <row r="563" spans="1:13" x14ac:dyDescent="0.25">
      <c r="A563">
        <v>2022</v>
      </c>
      <c r="B563" t="s">
        <v>3328</v>
      </c>
      <c r="C563" t="s">
        <v>3329</v>
      </c>
      <c r="D563" t="s">
        <v>30</v>
      </c>
      <c r="E563" t="s">
        <v>1126</v>
      </c>
      <c r="F563">
        <v>4500267428</v>
      </c>
      <c r="G563" t="s">
        <v>5139</v>
      </c>
      <c r="H563" t="s">
        <v>3334</v>
      </c>
      <c r="I563" t="s">
        <v>5140</v>
      </c>
      <c r="J563" t="s">
        <v>1126</v>
      </c>
      <c r="K563" s="2">
        <v>69831</v>
      </c>
      <c r="L563" t="s">
        <v>6408</v>
      </c>
      <c r="M563" t="str" cm="1">
        <f t="array" ref="M563">INDEX('Org List'!$A$2:$C$1005,MATCH(Consolidated!I563&amp;Consolidated!J563,'Org List'!$A$2:$A$1005&amp;'Org List'!$B$2:$B$1005,0),3)</f>
        <v>NGOs: National</v>
      </c>
    </row>
    <row r="564" spans="1:13" x14ac:dyDescent="0.25">
      <c r="A564">
        <v>2022</v>
      </c>
      <c r="B564" t="s">
        <v>3328</v>
      </c>
      <c r="C564" t="s">
        <v>3329</v>
      </c>
      <c r="D564" t="s">
        <v>30</v>
      </c>
      <c r="E564" t="s">
        <v>1126</v>
      </c>
      <c r="F564">
        <v>4500267772</v>
      </c>
      <c r="G564" t="s">
        <v>5141</v>
      </c>
      <c r="H564" t="s">
        <v>3334</v>
      </c>
      <c r="I564" t="s">
        <v>5142</v>
      </c>
      <c r="J564" t="s">
        <v>1126</v>
      </c>
      <c r="K564" s="2">
        <v>26234</v>
      </c>
      <c r="L564" t="s">
        <v>6408</v>
      </c>
      <c r="M564" t="str" cm="1">
        <f t="array" ref="M564">INDEX('Org List'!$A$2:$C$1005,MATCH(Consolidated!I564&amp;Consolidated!J564,'Org List'!$A$2:$A$1005&amp;'Org List'!$B$2:$B$1005,0),3)</f>
        <v>NGOs: National</v>
      </c>
    </row>
    <row r="565" spans="1:13" x14ac:dyDescent="0.25">
      <c r="A565">
        <v>2022</v>
      </c>
      <c r="B565" t="s">
        <v>3328</v>
      </c>
      <c r="C565" t="s">
        <v>3329</v>
      </c>
      <c r="D565" t="s">
        <v>30</v>
      </c>
      <c r="E565" t="s">
        <v>1126</v>
      </c>
      <c r="F565">
        <v>4500267783</v>
      </c>
      <c r="G565" t="s">
        <v>5143</v>
      </c>
      <c r="H565" t="s">
        <v>3334</v>
      </c>
      <c r="I565" t="s">
        <v>5144</v>
      </c>
      <c r="J565" t="s">
        <v>1126</v>
      </c>
      <c r="K565" s="2">
        <v>39263</v>
      </c>
      <c r="L565" t="s">
        <v>6408</v>
      </c>
      <c r="M565" t="str" cm="1">
        <f t="array" ref="M565">INDEX('Org List'!$A$2:$C$1005,MATCH(Consolidated!I565&amp;Consolidated!J565,'Org List'!$A$2:$A$1005&amp;'Org List'!$B$2:$B$1005,0),3)</f>
        <v>NGOs: National</v>
      </c>
    </row>
    <row r="566" spans="1:13" x14ac:dyDescent="0.25">
      <c r="A566">
        <v>2022</v>
      </c>
      <c r="B566" t="s">
        <v>3328</v>
      </c>
      <c r="C566" t="s">
        <v>3329</v>
      </c>
      <c r="D566" t="s">
        <v>30</v>
      </c>
      <c r="E566" t="s">
        <v>303</v>
      </c>
      <c r="F566">
        <v>4500221528</v>
      </c>
      <c r="G566" t="s">
        <v>4969</v>
      </c>
      <c r="H566" t="s">
        <v>3334</v>
      </c>
      <c r="I566" t="s">
        <v>869</v>
      </c>
      <c r="J566" t="s">
        <v>303</v>
      </c>
      <c r="K566" s="2">
        <v>154120</v>
      </c>
      <c r="L566" t="s">
        <v>6408</v>
      </c>
      <c r="M566" t="str" cm="1">
        <f t="array" ref="M566">INDEX('Org List'!$A$2:$C$1005,MATCH(Consolidated!I566&amp;Consolidated!J566,'Org List'!$A$2:$A$1005&amp;'Org List'!$B$2:$B$1005,0),3)</f>
        <v>NGOs: International</v>
      </c>
    </row>
    <row r="567" spans="1:13" x14ac:dyDescent="0.25">
      <c r="A567">
        <v>2022</v>
      </c>
      <c r="B567" t="s">
        <v>3328</v>
      </c>
      <c r="C567" t="s">
        <v>3329</v>
      </c>
      <c r="D567" t="s">
        <v>30</v>
      </c>
      <c r="E567" t="s">
        <v>303</v>
      </c>
      <c r="F567">
        <v>4500240378</v>
      </c>
      <c r="G567" t="s">
        <v>5145</v>
      </c>
      <c r="H567" t="s">
        <v>3334</v>
      </c>
      <c r="I567" t="s">
        <v>869</v>
      </c>
      <c r="J567" t="s">
        <v>303</v>
      </c>
      <c r="K567" s="2">
        <v>746984</v>
      </c>
      <c r="L567" t="s">
        <v>6408</v>
      </c>
      <c r="M567" t="str" cm="1">
        <f t="array" ref="M567">INDEX('Org List'!$A$2:$C$1005,MATCH(Consolidated!I567&amp;Consolidated!J567,'Org List'!$A$2:$A$1005&amp;'Org List'!$B$2:$B$1005,0),3)</f>
        <v>NGOs: International</v>
      </c>
    </row>
    <row r="568" spans="1:13" x14ac:dyDescent="0.25">
      <c r="A568">
        <v>2022</v>
      </c>
      <c r="B568" t="s">
        <v>3328</v>
      </c>
      <c r="C568" t="s">
        <v>3329</v>
      </c>
      <c r="D568" t="s">
        <v>30</v>
      </c>
      <c r="E568" t="s">
        <v>303</v>
      </c>
      <c r="F568">
        <v>4500260479</v>
      </c>
      <c r="G568" t="s">
        <v>5146</v>
      </c>
      <c r="H568" t="s">
        <v>3334</v>
      </c>
      <c r="I568" t="s">
        <v>5147</v>
      </c>
      <c r="J568" t="s">
        <v>303</v>
      </c>
      <c r="K568" s="2">
        <v>84768</v>
      </c>
      <c r="L568" t="s">
        <v>6408</v>
      </c>
      <c r="M568" t="str" cm="1">
        <f t="array" ref="M568">INDEX('Org List'!$A$2:$C$1005,MATCH(Consolidated!I568&amp;Consolidated!J568,'Org List'!$A$2:$A$1005&amp;'Org List'!$B$2:$B$1005,0),3)</f>
        <v>NGOs: National</v>
      </c>
    </row>
    <row r="569" spans="1:13" x14ac:dyDescent="0.25">
      <c r="A569">
        <v>2022</v>
      </c>
      <c r="B569" t="s">
        <v>3328</v>
      </c>
      <c r="C569" t="s">
        <v>3329</v>
      </c>
      <c r="D569" t="s">
        <v>30</v>
      </c>
      <c r="E569" t="s">
        <v>305</v>
      </c>
      <c r="F569">
        <v>4500238822</v>
      </c>
      <c r="G569" t="s">
        <v>5148</v>
      </c>
      <c r="H569" t="s">
        <v>3334</v>
      </c>
      <c r="I569" t="s">
        <v>905</v>
      </c>
      <c r="J569" t="s">
        <v>305</v>
      </c>
      <c r="K569" s="2">
        <v>1137934</v>
      </c>
      <c r="L569" t="s">
        <v>6408</v>
      </c>
      <c r="M569" t="str" cm="1">
        <f t="array" ref="M569">INDEX('Org List'!$A$2:$C$1005,MATCH(Consolidated!I569&amp;Consolidated!J569,'Org List'!$A$2:$A$1005&amp;'Org List'!$B$2:$B$1005,0),3)</f>
        <v>NGOs: International</v>
      </c>
    </row>
    <row r="570" spans="1:13" x14ac:dyDescent="0.25">
      <c r="A570">
        <v>2022</v>
      </c>
      <c r="B570" t="s">
        <v>3328</v>
      </c>
      <c r="C570" t="s">
        <v>3329</v>
      </c>
      <c r="D570" t="s">
        <v>30</v>
      </c>
      <c r="E570" t="s">
        <v>305</v>
      </c>
      <c r="F570">
        <v>4500239510</v>
      </c>
      <c r="G570" t="s">
        <v>5149</v>
      </c>
      <c r="H570" t="s">
        <v>3334</v>
      </c>
      <c r="I570" t="s">
        <v>309</v>
      </c>
      <c r="J570" t="s">
        <v>305</v>
      </c>
      <c r="K570" s="2">
        <v>426734</v>
      </c>
      <c r="L570" t="s">
        <v>6408</v>
      </c>
      <c r="M570" t="str" cm="1">
        <f t="array" ref="M570">INDEX('Org List'!$A$2:$C$1005,MATCH(Consolidated!I570&amp;Consolidated!J570,'Org List'!$A$2:$A$1005&amp;'Org List'!$B$2:$B$1005,0),3)</f>
        <v>NGOs: National</v>
      </c>
    </row>
    <row r="571" spans="1:13" x14ac:dyDescent="0.25">
      <c r="A571">
        <v>2022</v>
      </c>
      <c r="B571" t="s">
        <v>3328</v>
      </c>
      <c r="C571" t="s">
        <v>3329</v>
      </c>
      <c r="D571" t="s">
        <v>30</v>
      </c>
      <c r="E571" t="s">
        <v>305</v>
      </c>
      <c r="F571">
        <v>4500240195</v>
      </c>
      <c r="G571" t="s">
        <v>5150</v>
      </c>
      <c r="H571" t="s">
        <v>3334</v>
      </c>
      <c r="I571" t="s">
        <v>5151</v>
      </c>
      <c r="J571" t="s">
        <v>305</v>
      </c>
      <c r="K571" s="2">
        <v>58990</v>
      </c>
      <c r="L571" t="s">
        <v>6408</v>
      </c>
      <c r="M571" t="str" cm="1">
        <f t="array" ref="M571">INDEX('Org List'!$A$2:$C$1005,MATCH(Consolidated!I571&amp;Consolidated!J571,'Org List'!$A$2:$A$1005&amp;'Org List'!$B$2:$B$1005,0),3)</f>
        <v>NGOs: National</v>
      </c>
    </row>
    <row r="572" spans="1:13" x14ac:dyDescent="0.25">
      <c r="A572">
        <v>2022</v>
      </c>
      <c r="B572" t="s">
        <v>3328</v>
      </c>
      <c r="C572" t="s">
        <v>3329</v>
      </c>
      <c r="D572" t="s">
        <v>30</v>
      </c>
      <c r="E572" t="s">
        <v>305</v>
      </c>
      <c r="F572">
        <v>4500255119</v>
      </c>
      <c r="G572" t="s">
        <v>5152</v>
      </c>
      <c r="H572" t="s">
        <v>3334</v>
      </c>
      <c r="I572" t="s">
        <v>1327</v>
      </c>
      <c r="J572" t="s">
        <v>305</v>
      </c>
      <c r="K572" s="2">
        <v>52433</v>
      </c>
      <c r="L572" t="s">
        <v>6408</v>
      </c>
      <c r="M572" t="str" cm="1">
        <f t="array" ref="M572">INDEX('Org List'!$A$2:$C$1005,MATCH(Consolidated!I572&amp;Consolidated!J572,'Org List'!$A$2:$A$1005&amp;'Org List'!$B$2:$B$1005,0),3)</f>
        <v>NGOs: National</v>
      </c>
    </row>
    <row r="573" spans="1:13" x14ac:dyDescent="0.25">
      <c r="A573">
        <v>2022</v>
      </c>
      <c r="B573" t="s">
        <v>3328</v>
      </c>
      <c r="C573" t="s">
        <v>3329</v>
      </c>
      <c r="D573" t="s">
        <v>30</v>
      </c>
      <c r="E573" t="s">
        <v>305</v>
      </c>
      <c r="F573">
        <v>4500256939</v>
      </c>
      <c r="G573" t="s">
        <v>5153</v>
      </c>
      <c r="H573" t="s">
        <v>3334</v>
      </c>
      <c r="I573" t="s">
        <v>2038</v>
      </c>
      <c r="J573" t="s">
        <v>305</v>
      </c>
      <c r="K573" s="2">
        <v>80441</v>
      </c>
      <c r="L573" t="s">
        <v>6408</v>
      </c>
      <c r="M573" t="str" cm="1">
        <f t="array" ref="M573">INDEX('Org List'!$A$2:$C$1005,MATCH(Consolidated!I573&amp;Consolidated!J573,'Org List'!$A$2:$A$1005&amp;'Org List'!$B$2:$B$1005,0),3)</f>
        <v>NGOs: National</v>
      </c>
    </row>
    <row r="574" spans="1:13" x14ac:dyDescent="0.25">
      <c r="A574">
        <v>2022</v>
      </c>
      <c r="B574" t="s">
        <v>3328</v>
      </c>
      <c r="C574" t="s">
        <v>3329</v>
      </c>
      <c r="D574" t="s">
        <v>30</v>
      </c>
      <c r="E574" t="s">
        <v>305</v>
      </c>
      <c r="F574">
        <v>4500260239</v>
      </c>
      <c r="G574" t="s">
        <v>5154</v>
      </c>
      <c r="H574" t="s">
        <v>3334</v>
      </c>
      <c r="I574" t="s">
        <v>908</v>
      </c>
      <c r="J574" t="s">
        <v>305</v>
      </c>
      <c r="K574" s="2">
        <v>206674</v>
      </c>
      <c r="L574" t="s">
        <v>6408</v>
      </c>
      <c r="M574" t="str" cm="1">
        <f t="array" ref="M574">INDEX('Org List'!$A$2:$C$1005,MATCH(Consolidated!I574&amp;Consolidated!J574,'Org List'!$A$2:$A$1005&amp;'Org List'!$B$2:$B$1005,0),3)</f>
        <v>NGOs: National</v>
      </c>
    </row>
    <row r="575" spans="1:13" x14ac:dyDescent="0.25">
      <c r="A575">
        <v>2022</v>
      </c>
      <c r="B575" t="s">
        <v>3328</v>
      </c>
      <c r="C575" t="s">
        <v>3329</v>
      </c>
      <c r="D575" t="s">
        <v>30</v>
      </c>
      <c r="E575" t="s">
        <v>305</v>
      </c>
      <c r="F575">
        <v>4500264735</v>
      </c>
      <c r="G575" t="s">
        <v>5155</v>
      </c>
      <c r="H575" t="s">
        <v>3334</v>
      </c>
      <c r="I575" t="s">
        <v>2475</v>
      </c>
      <c r="J575" t="s">
        <v>305</v>
      </c>
      <c r="K575" s="2">
        <v>163286</v>
      </c>
      <c r="L575" t="s">
        <v>6408</v>
      </c>
      <c r="M575" t="str" cm="1">
        <f t="array" ref="M575">INDEX('Org List'!$A$2:$C$1005,MATCH(Consolidated!I575&amp;Consolidated!J575,'Org List'!$A$2:$A$1005&amp;'Org List'!$B$2:$B$1005,0),3)</f>
        <v>NGOs: National</v>
      </c>
    </row>
    <row r="576" spans="1:13" x14ac:dyDescent="0.25">
      <c r="A576">
        <v>2022</v>
      </c>
      <c r="B576" t="s">
        <v>3328</v>
      </c>
      <c r="C576" t="s">
        <v>3329</v>
      </c>
      <c r="D576" t="s">
        <v>30</v>
      </c>
      <c r="E576" t="s">
        <v>305</v>
      </c>
      <c r="F576">
        <v>4500265328</v>
      </c>
      <c r="G576" t="s">
        <v>5156</v>
      </c>
      <c r="H576" t="s">
        <v>3334</v>
      </c>
      <c r="I576" t="s">
        <v>2478</v>
      </c>
      <c r="J576" t="s">
        <v>305</v>
      </c>
      <c r="K576" s="2">
        <v>150138</v>
      </c>
      <c r="L576" t="s">
        <v>6408</v>
      </c>
      <c r="M576" t="str" cm="1">
        <f t="array" ref="M576">INDEX('Org List'!$A$2:$C$1005,MATCH(Consolidated!I576&amp;Consolidated!J576,'Org List'!$A$2:$A$1005&amp;'Org List'!$B$2:$B$1005,0),3)</f>
        <v>NGOs: National</v>
      </c>
    </row>
    <row r="577" spans="1:13" x14ac:dyDescent="0.25">
      <c r="A577">
        <v>2022</v>
      </c>
      <c r="B577" t="s">
        <v>3328</v>
      </c>
      <c r="C577" t="s">
        <v>3329</v>
      </c>
      <c r="D577" t="s">
        <v>30</v>
      </c>
      <c r="E577" t="s">
        <v>305</v>
      </c>
      <c r="F577">
        <v>4500267475</v>
      </c>
      <c r="G577" t="s">
        <v>5157</v>
      </c>
      <c r="H577" t="s">
        <v>3334</v>
      </c>
      <c r="I577" t="s">
        <v>2480</v>
      </c>
      <c r="J577" t="s">
        <v>305</v>
      </c>
      <c r="K577" s="2">
        <v>390279</v>
      </c>
      <c r="L577" t="s">
        <v>6408</v>
      </c>
      <c r="M577" t="str" cm="1">
        <f t="array" ref="M577">INDEX('Org List'!$A$2:$C$1005,MATCH(Consolidated!I577&amp;Consolidated!J577,'Org List'!$A$2:$A$1005&amp;'Org List'!$B$2:$B$1005,0),3)</f>
        <v>NGOs: National</v>
      </c>
    </row>
    <row r="578" spans="1:13" x14ac:dyDescent="0.25">
      <c r="A578">
        <v>2022</v>
      </c>
      <c r="B578" t="s">
        <v>3328</v>
      </c>
      <c r="C578" t="s">
        <v>3329</v>
      </c>
      <c r="D578" t="s">
        <v>30</v>
      </c>
      <c r="E578" t="s">
        <v>909</v>
      </c>
      <c r="F578">
        <v>4500272485</v>
      </c>
      <c r="G578" t="s">
        <v>5158</v>
      </c>
      <c r="H578" t="s">
        <v>3334</v>
      </c>
      <c r="I578" t="s">
        <v>3769</v>
      </c>
      <c r="J578" t="s">
        <v>909</v>
      </c>
      <c r="K578" s="2">
        <v>25379</v>
      </c>
      <c r="L578" t="s">
        <v>6408</v>
      </c>
      <c r="M578" t="str" cm="1">
        <f t="array" ref="M578">INDEX('Org List'!$A$2:$C$1005,MATCH(Consolidated!I578&amp;Consolidated!J578,'Org List'!$A$2:$A$1005&amp;'Org List'!$B$2:$B$1005,0),3)</f>
        <v>NGOs: National</v>
      </c>
    </row>
    <row r="579" spans="1:13" x14ac:dyDescent="0.25">
      <c r="A579">
        <v>2022</v>
      </c>
      <c r="B579" t="s">
        <v>3328</v>
      </c>
      <c r="C579" t="s">
        <v>3329</v>
      </c>
      <c r="D579" t="s">
        <v>30</v>
      </c>
      <c r="E579" t="s">
        <v>911</v>
      </c>
      <c r="F579">
        <v>4500274243</v>
      </c>
      <c r="G579" t="s">
        <v>3933</v>
      </c>
      <c r="H579" t="s">
        <v>3334</v>
      </c>
      <c r="I579" t="s">
        <v>3491</v>
      </c>
      <c r="J579" t="s">
        <v>911</v>
      </c>
      <c r="K579" s="2">
        <v>404320</v>
      </c>
      <c r="L579" t="s">
        <v>6408</v>
      </c>
      <c r="M579" t="str" cm="1">
        <f t="array" ref="M579">INDEX('Org List'!$A$2:$C$1005,MATCH(Consolidated!I579&amp;Consolidated!J579,'Org List'!$A$2:$A$1005&amp;'Org List'!$B$2:$B$1005,0),3)</f>
        <v>NGOs: National</v>
      </c>
    </row>
    <row r="580" spans="1:13" x14ac:dyDescent="0.25">
      <c r="A580">
        <v>2022</v>
      </c>
      <c r="B580" t="s">
        <v>3328</v>
      </c>
      <c r="C580" t="s">
        <v>3329</v>
      </c>
      <c r="D580" t="s">
        <v>30</v>
      </c>
      <c r="E580" t="s">
        <v>911</v>
      </c>
      <c r="F580">
        <v>4500274498</v>
      </c>
      <c r="G580" t="s">
        <v>5159</v>
      </c>
      <c r="H580" t="s">
        <v>3334</v>
      </c>
      <c r="I580" t="s">
        <v>5160</v>
      </c>
      <c r="J580" t="s">
        <v>911</v>
      </c>
      <c r="K580" s="2">
        <v>217166</v>
      </c>
      <c r="L580" t="s">
        <v>6408</v>
      </c>
      <c r="M580" t="str" cm="1">
        <f t="array" ref="M580">INDEX('Org List'!$A$2:$C$1005,MATCH(Consolidated!I580&amp;Consolidated!J580,'Org List'!$A$2:$A$1005&amp;'Org List'!$B$2:$B$1005,0),3)</f>
        <v>NGOs: National</v>
      </c>
    </row>
    <row r="581" spans="1:13" x14ac:dyDescent="0.25">
      <c r="A581">
        <v>2022</v>
      </c>
      <c r="B581" t="s">
        <v>5161</v>
      </c>
      <c r="C581" t="s">
        <v>5162</v>
      </c>
      <c r="D581" t="s">
        <v>30</v>
      </c>
      <c r="E581" t="s">
        <v>303</v>
      </c>
      <c r="F581">
        <v>4500221528</v>
      </c>
      <c r="G581" t="s">
        <v>4969</v>
      </c>
      <c r="H581" t="s">
        <v>3334</v>
      </c>
      <c r="I581" t="s">
        <v>869</v>
      </c>
      <c r="J581" t="s">
        <v>303</v>
      </c>
      <c r="K581" s="2">
        <v>18132</v>
      </c>
      <c r="L581" t="s">
        <v>6408</v>
      </c>
      <c r="M581" t="str" cm="1">
        <f t="array" ref="M581">INDEX('Org List'!$A$2:$C$1005,MATCH(Consolidated!I581&amp;Consolidated!J581,'Org List'!$A$2:$A$1005&amp;'Org List'!$B$2:$B$1005,0),3)</f>
        <v>NGOs: International</v>
      </c>
    </row>
    <row r="582" spans="1:13" x14ac:dyDescent="0.25">
      <c r="A582">
        <v>2022</v>
      </c>
      <c r="B582" t="s">
        <v>5163</v>
      </c>
      <c r="C582" t="s">
        <v>5164</v>
      </c>
      <c r="D582" t="s">
        <v>30</v>
      </c>
      <c r="E582" t="s">
        <v>150</v>
      </c>
      <c r="F582">
        <v>4500274864</v>
      </c>
      <c r="G582" t="s">
        <v>5165</v>
      </c>
      <c r="H582" t="s">
        <v>3334</v>
      </c>
      <c r="I582" t="s">
        <v>832</v>
      </c>
      <c r="J582" t="s">
        <v>150</v>
      </c>
      <c r="K582" s="2">
        <v>133779</v>
      </c>
      <c r="L582" t="s">
        <v>6408</v>
      </c>
      <c r="M582" t="str" cm="1">
        <f t="array" ref="M582">INDEX('Org List'!$A$2:$C$1005,MATCH(Consolidated!I582&amp;Consolidated!J582,'Org List'!$A$2:$A$1005&amp;'Org List'!$B$2:$B$1005,0),3)</f>
        <v>NGOs: National</v>
      </c>
    </row>
    <row r="583" spans="1:13" x14ac:dyDescent="0.25">
      <c r="A583">
        <v>2022</v>
      </c>
      <c r="B583" t="s">
        <v>1249</v>
      </c>
      <c r="C583" t="s">
        <v>1250</v>
      </c>
      <c r="D583" t="s">
        <v>30</v>
      </c>
      <c r="E583" t="s">
        <v>717</v>
      </c>
      <c r="F583">
        <v>4500233234</v>
      </c>
      <c r="G583" t="s">
        <v>5166</v>
      </c>
      <c r="H583" t="s">
        <v>3334</v>
      </c>
      <c r="I583" t="s">
        <v>1251</v>
      </c>
      <c r="J583" t="s">
        <v>717</v>
      </c>
      <c r="K583" s="2">
        <v>80000</v>
      </c>
      <c r="L583" t="s">
        <v>6408</v>
      </c>
      <c r="M583" t="str" cm="1">
        <f t="array" ref="M583">INDEX('Org List'!$A$2:$C$1005,MATCH(Consolidated!I583&amp;Consolidated!J583,'Org List'!$A$2:$A$1005&amp;'Org List'!$B$2:$B$1005,0),3)</f>
        <v>NGOs: International</v>
      </c>
    </row>
    <row r="584" spans="1:13" x14ac:dyDescent="0.25">
      <c r="A584">
        <v>2022</v>
      </c>
      <c r="B584" t="s">
        <v>74</v>
      </c>
      <c r="C584" t="s">
        <v>75</v>
      </c>
      <c r="D584" t="s">
        <v>30</v>
      </c>
      <c r="E584" t="s">
        <v>3396</v>
      </c>
      <c r="F584">
        <v>4500210483</v>
      </c>
      <c r="G584" t="s">
        <v>5167</v>
      </c>
      <c r="H584" t="s">
        <v>3334</v>
      </c>
      <c r="I584" t="s">
        <v>3833</v>
      </c>
      <c r="J584" t="s">
        <v>3396</v>
      </c>
      <c r="K584" s="2">
        <v>11737</v>
      </c>
      <c r="L584" t="s">
        <v>6408</v>
      </c>
      <c r="M584" t="str" cm="1">
        <f t="array" ref="M584">INDEX('Org List'!$A$2:$C$1005,MATCH(Consolidated!I584&amp;Consolidated!J584,'Org List'!$A$2:$A$1005&amp;'Org List'!$B$2:$B$1005,0),3)</f>
        <v>NGOs: National</v>
      </c>
    </row>
    <row r="585" spans="1:13" x14ac:dyDescent="0.25">
      <c r="A585">
        <v>2022</v>
      </c>
      <c r="B585" t="s">
        <v>74</v>
      </c>
      <c r="C585" t="s">
        <v>75</v>
      </c>
      <c r="D585" t="s">
        <v>30</v>
      </c>
      <c r="E585" t="s">
        <v>3396</v>
      </c>
      <c r="F585">
        <v>4500227765</v>
      </c>
      <c r="G585" t="s">
        <v>4441</v>
      </c>
      <c r="H585" t="s">
        <v>3334</v>
      </c>
      <c r="I585" t="s">
        <v>3402</v>
      </c>
      <c r="J585" t="s">
        <v>3396</v>
      </c>
      <c r="K585" s="2">
        <v>12926</v>
      </c>
      <c r="L585" t="s">
        <v>6408</v>
      </c>
      <c r="M585" t="str" cm="1">
        <f t="array" ref="M585">INDEX('Org List'!$A$2:$C$1005,MATCH(Consolidated!I585&amp;Consolidated!J585,'Org List'!$A$2:$A$1005&amp;'Org List'!$B$2:$B$1005,0),3)</f>
        <v>NGOs: National</v>
      </c>
    </row>
    <row r="586" spans="1:13" x14ac:dyDescent="0.25">
      <c r="A586">
        <v>2022</v>
      </c>
      <c r="B586" t="s">
        <v>74</v>
      </c>
      <c r="C586" t="s">
        <v>75</v>
      </c>
      <c r="D586" t="s">
        <v>30</v>
      </c>
      <c r="E586" t="s">
        <v>3396</v>
      </c>
      <c r="F586">
        <v>4500236520</v>
      </c>
      <c r="G586" t="s">
        <v>4543</v>
      </c>
      <c r="H586" t="s">
        <v>3334</v>
      </c>
      <c r="I586" t="s">
        <v>3833</v>
      </c>
      <c r="J586" t="s">
        <v>3396</v>
      </c>
      <c r="K586" s="2">
        <v>10834</v>
      </c>
      <c r="L586" t="s">
        <v>6408</v>
      </c>
      <c r="M586" t="str" cm="1">
        <f t="array" ref="M586">INDEX('Org List'!$A$2:$C$1005,MATCH(Consolidated!I586&amp;Consolidated!J586,'Org List'!$A$2:$A$1005&amp;'Org List'!$B$2:$B$1005,0),3)</f>
        <v>NGOs: National</v>
      </c>
    </row>
    <row r="587" spans="1:13" x14ac:dyDescent="0.25">
      <c r="A587">
        <v>2022</v>
      </c>
      <c r="B587" t="s">
        <v>74</v>
      </c>
      <c r="C587" t="s">
        <v>75</v>
      </c>
      <c r="D587" t="s">
        <v>30</v>
      </c>
      <c r="E587" t="s">
        <v>3396</v>
      </c>
      <c r="F587">
        <v>4500242735</v>
      </c>
      <c r="G587" t="s">
        <v>4544</v>
      </c>
      <c r="H587" t="s">
        <v>3334</v>
      </c>
      <c r="I587" t="s">
        <v>3400</v>
      </c>
      <c r="J587" t="s">
        <v>3396</v>
      </c>
      <c r="K587" s="2">
        <v>40427</v>
      </c>
      <c r="L587" t="s">
        <v>6408</v>
      </c>
      <c r="M587" t="str" cm="1">
        <f t="array" ref="M587">INDEX('Org List'!$A$2:$C$1005,MATCH(Consolidated!I587&amp;Consolidated!J587,'Org List'!$A$2:$A$1005&amp;'Org List'!$B$2:$B$1005,0),3)</f>
        <v>Red Cross: National</v>
      </c>
    </row>
    <row r="588" spans="1:13" x14ac:dyDescent="0.25">
      <c r="A588">
        <v>2022</v>
      </c>
      <c r="B588" t="s">
        <v>74</v>
      </c>
      <c r="C588" t="s">
        <v>75</v>
      </c>
      <c r="D588" t="s">
        <v>30</v>
      </c>
      <c r="E588" t="s">
        <v>909</v>
      </c>
      <c r="F588">
        <v>4500256025</v>
      </c>
      <c r="G588" t="s">
        <v>5168</v>
      </c>
      <c r="H588" t="s">
        <v>3334</v>
      </c>
      <c r="I588" t="s">
        <v>2327</v>
      </c>
      <c r="J588" t="s">
        <v>909</v>
      </c>
      <c r="K588" s="2">
        <v>14173</v>
      </c>
      <c r="L588" t="s">
        <v>6408</v>
      </c>
      <c r="M588" t="str" cm="1">
        <f t="array" ref="M588">INDEX('Org List'!$A$2:$C$1005,MATCH(Consolidated!I588&amp;Consolidated!J588,'Org List'!$A$2:$A$1005&amp;'Org List'!$B$2:$B$1005,0),3)</f>
        <v>NGOs: Local</v>
      </c>
    </row>
    <row r="589" spans="1:13" x14ac:dyDescent="0.25">
      <c r="A589">
        <v>2022</v>
      </c>
      <c r="B589" t="s">
        <v>74</v>
      </c>
      <c r="C589" t="s">
        <v>75</v>
      </c>
      <c r="D589" t="s">
        <v>30</v>
      </c>
      <c r="E589" t="s">
        <v>909</v>
      </c>
      <c r="F589">
        <v>4500263584</v>
      </c>
      <c r="G589" t="s">
        <v>5169</v>
      </c>
      <c r="H589" t="s">
        <v>3334</v>
      </c>
      <c r="I589" t="s">
        <v>2700</v>
      </c>
      <c r="J589" t="s">
        <v>909</v>
      </c>
      <c r="K589" s="2">
        <v>17068</v>
      </c>
      <c r="L589" t="s">
        <v>6408</v>
      </c>
      <c r="M589" t="str" cm="1">
        <f t="array" ref="M589">INDEX('Org List'!$A$2:$C$1005,MATCH(Consolidated!I589&amp;Consolidated!J589,'Org List'!$A$2:$A$1005&amp;'Org List'!$B$2:$B$1005,0),3)</f>
        <v>NGOs: National</v>
      </c>
    </row>
    <row r="590" spans="1:13" x14ac:dyDescent="0.25">
      <c r="A590">
        <v>2022</v>
      </c>
      <c r="B590" t="s">
        <v>74</v>
      </c>
      <c r="C590" t="s">
        <v>75</v>
      </c>
      <c r="D590" t="s">
        <v>30</v>
      </c>
      <c r="E590" t="s">
        <v>909</v>
      </c>
      <c r="F590">
        <v>4500265679</v>
      </c>
      <c r="G590" t="s">
        <v>5170</v>
      </c>
      <c r="H590" t="s">
        <v>3334</v>
      </c>
      <c r="I590" t="s">
        <v>2327</v>
      </c>
      <c r="J590" t="s">
        <v>909</v>
      </c>
      <c r="K590" s="2">
        <v>4931</v>
      </c>
      <c r="L590" t="s">
        <v>6408</v>
      </c>
      <c r="M590" t="str" cm="1">
        <f t="array" ref="M590">INDEX('Org List'!$A$2:$C$1005,MATCH(Consolidated!I590&amp;Consolidated!J590,'Org List'!$A$2:$A$1005&amp;'Org List'!$B$2:$B$1005,0),3)</f>
        <v>NGOs: Local</v>
      </c>
    </row>
    <row r="591" spans="1:13" x14ac:dyDescent="0.25">
      <c r="A591">
        <v>2022</v>
      </c>
      <c r="B591" t="s">
        <v>74</v>
      </c>
      <c r="C591" t="s">
        <v>75</v>
      </c>
      <c r="D591" t="s">
        <v>30</v>
      </c>
      <c r="E591" t="s">
        <v>909</v>
      </c>
      <c r="F591">
        <v>4500266272</v>
      </c>
      <c r="G591" t="s">
        <v>5171</v>
      </c>
      <c r="H591" t="s">
        <v>3334</v>
      </c>
      <c r="I591" t="s">
        <v>1332</v>
      </c>
      <c r="J591" t="s">
        <v>909</v>
      </c>
      <c r="K591" s="2">
        <v>11502</v>
      </c>
      <c r="L591" t="s">
        <v>6408</v>
      </c>
      <c r="M591" t="str" cm="1">
        <f t="array" ref="M591">INDEX('Org List'!$A$2:$C$1005,MATCH(Consolidated!I591&amp;Consolidated!J591,'Org List'!$A$2:$A$1005&amp;'Org List'!$B$2:$B$1005,0),3)</f>
        <v>NGOs: National</v>
      </c>
    </row>
    <row r="592" spans="1:13" x14ac:dyDescent="0.25">
      <c r="A592">
        <v>2022</v>
      </c>
      <c r="B592" t="s">
        <v>74</v>
      </c>
      <c r="C592" t="s">
        <v>75</v>
      </c>
      <c r="D592" t="s">
        <v>30</v>
      </c>
      <c r="E592" t="s">
        <v>909</v>
      </c>
      <c r="F592">
        <v>4500266911</v>
      </c>
      <c r="G592" t="s">
        <v>5172</v>
      </c>
      <c r="H592" t="s">
        <v>3334</v>
      </c>
      <c r="I592" t="s">
        <v>2700</v>
      </c>
      <c r="J592" t="s">
        <v>909</v>
      </c>
      <c r="K592" s="2">
        <v>3071</v>
      </c>
      <c r="L592" t="s">
        <v>6408</v>
      </c>
      <c r="M592" t="str" cm="1">
        <f t="array" ref="M592">INDEX('Org List'!$A$2:$C$1005,MATCH(Consolidated!I592&amp;Consolidated!J592,'Org List'!$A$2:$A$1005&amp;'Org List'!$B$2:$B$1005,0),3)</f>
        <v>NGOs: National</v>
      </c>
    </row>
    <row r="593" spans="1:13" x14ac:dyDescent="0.25">
      <c r="A593">
        <v>2022</v>
      </c>
      <c r="B593" t="s">
        <v>74</v>
      </c>
      <c r="C593" t="s">
        <v>75</v>
      </c>
      <c r="D593" t="s">
        <v>30</v>
      </c>
      <c r="E593" t="s">
        <v>909</v>
      </c>
      <c r="F593">
        <v>4500268970</v>
      </c>
      <c r="G593" t="s">
        <v>5173</v>
      </c>
      <c r="H593" t="s">
        <v>3334</v>
      </c>
      <c r="I593" t="s">
        <v>1332</v>
      </c>
      <c r="J593" t="s">
        <v>909</v>
      </c>
      <c r="K593" s="2">
        <v>9111</v>
      </c>
      <c r="L593" t="s">
        <v>6408</v>
      </c>
      <c r="M593" t="str" cm="1">
        <f t="array" ref="M593">INDEX('Org List'!$A$2:$C$1005,MATCH(Consolidated!I593&amp;Consolidated!J593,'Org List'!$A$2:$A$1005&amp;'Org List'!$B$2:$B$1005,0),3)</f>
        <v>NGOs: National</v>
      </c>
    </row>
    <row r="594" spans="1:13" x14ac:dyDescent="0.25">
      <c r="A594">
        <v>2022</v>
      </c>
      <c r="B594" t="s">
        <v>74</v>
      </c>
      <c r="C594" t="s">
        <v>75</v>
      </c>
      <c r="D594" t="s">
        <v>30</v>
      </c>
      <c r="E594" t="s">
        <v>909</v>
      </c>
      <c r="F594">
        <v>4500269906</v>
      </c>
      <c r="G594" t="s">
        <v>5174</v>
      </c>
      <c r="H594" t="s">
        <v>3334</v>
      </c>
      <c r="I594" t="s">
        <v>2700</v>
      </c>
      <c r="J594" t="s">
        <v>909</v>
      </c>
      <c r="K594" s="2">
        <v>11308</v>
      </c>
      <c r="L594" t="s">
        <v>6408</v>
      </c>
      <c r="M594" t="str" cm="1">
        <f t="array" ref="M594">INDEX('Org List'!$A$2:$C$1005,MATCH(Consolidated!I594&amp;Consolidated!J594,'Org List'!$A$2:$A$1005&amp;'Org List'!$B$2:$B$1005,0),3)</f>
        <v>NGOs: National</v>
      </c>
    </row>
    <row r="595" spans="1:13" x14ac:dyDescent="0.25">
      <c r="A595">
        <v>2022</v>
      </c>
      <c r="B595" t="s">
        <v>74</v>
      </c>
      <c r="C595" t="s">
        <v>75</v>
      </c>
      <c r="D595" t="s">
        <v>30</v>
      </c>
      <c r="E595" t="s">
        <v>909</v>
      </c>
      <c r="F595">
        <v>4500271574</v>
      </c>
      <c r="G595" t="s">
        <v>5175</v>
      </c>
      <c r="H595" t="s">
        <v>3334</v>
      </c>
      <c r="I595" t="s">
        <v>1332</v>
      </c>
      <c r="J595" t="s">
        <v>909</v>
      </c>
      <c r="K595" s="2">
        <v>6035</v>
      </c>
      <c r="L595" t="s">
        <v>6408</v>
      </c>
      <c r="M595" t="str" cm="1">
        <f t="array" ref="M595">INDEX('Org List'!$A$2:$C$1005,MATCH(Consolidated!I595&amp;Consolidated!J595,'Org List'!$A$2:$A$1005&amp;'Org List'!$B$2:$B$1005,0),3)</f>
        <v>NGOs: National</v>
      </c>
    </row>
    <row r="596" spans="1:13" x14ac:dyDescent="0.25">
      <c r="A596">
        <v>2022</v>
      </c>
      <c r="B596" t="s">
        <v>74</v>
      </c>
      <c r="C596" t="s">
        <v>75</v>
      </c>
      <c r="D596" t="s">
        <v>30</v>
      </c>
      <c r="E596" t="s">
        <v>909</v>
      </c>
      <c r="F596">
        <v>4500274228</v>
      </c>
      <c r="G596" t="s">
        <v>5176</v>
      </c>
      <c r="H596" t="s">
        <v>3334</v>
      </c>
      <c r="I596" t="s">
        <v>2327</v>
      </c>
      <c r="J596" t="s">
        <v>909</v>
      </c>
      <c r="K596" s="2">
        <v>10612</v>
      </c>
      <c r="L596" t="s">
        <v>6408</v>
      </c>
      <c r="M596" t="str" cm="1">
        <f t="array" ref="M596">INDEX('Org List'!$A$2:$C$1005,MATCH(Consolidated!I596&amp;Consolidated!J596,'Org List'!$A$2:$A$1005&amp;'Org List'!$B$2:$B$1005,0),3)</f>
        <v>NGOs: Local</v>
      </c>
    </row>
    <row r="597" spans="1:13" x14ac:dyDescent="0.25">
      <c r="A597">
        <v>2022</v>
      </c>
      <c r="B597" t="s">
        <v>74</v>
      </c>
      <c r="C597" t="s">
        <v>75</v>
      </c>
      <c r="D597" t="s">
        <v>30</v>
      </c>
      <c r="E597" t="s">
        <v>909</v>
      </c>
      <c r="F597">
        <v>4500274229</v>
      </c>
      <c r="G597" t="s">
        <v>5177</v>
      </c>
      <c r="H597" t="s">
        <v>3334</v>
      </c>
      <c r="I597" t="s">
        <v>2700</v>
      </c>
      <c r="J597" t="s">
        <v>909</v>
      </c>
      <c r="K597" s="2">
        <v>1806</v>
      </c>
      <c r="L597" t="s">
        <v>6408</v>
      </c>
      <c r="M597" t="str" cm="1">
        <f t="array" ref="M597">INDEX('Org List'!$A$2:$C$1005,MATCH(Consolidated!I597&amp;Consolidated!J597,'Org List'!$A$2:$A$1005&amp;'Org List'!$B$2:$B$1005,0),3)</f>
        <v>NGOs: National</v>
      </c>
    </row>
    <row r="598" spans="1:13" x14ac:dyDescent="0.25">
      <c r="A598">
        <v>2022</v>
      </c>
      <c r="B598" t="s">
        <v>74</v>
      </c>
      <c r="C598" t="s">
        <v>75</v>
      </c>
      <c r="D598" t="s">
        <v>30</v>
      </c>
      <c r="E598" t="s">
        <v>54</v>
      </c>
      <c r="F598">
        <v>4500241416</v>
      </c>
      <c r="G598" t="s">
        <v>5178</v>
      </c>
      <c r="H598" t="s">
        <v>3334</v>
      </c>
      <c r="I598" t="s">
        <v>5179</v>
      </c>
      <c r="J598" t="s">
        <v>54</v>
      </c>
      <c r="K598" s="2">
        <v>269546</v>
      </c>
      <c r="L598" t="s">
        <v>6408</v>
      </c>
      <c r="M598" t="str" cm="1">
        <f t="array" ref="M598">INDEX('Org List'!$A$2:$C$1005,MATCH(Consolidated!I598&amp;Consolidated!J598,'Org List'!$A$2:$A$1005&amp;'Org List'!$B$2:$B$1005,0),3)</f>
        <v>NGOs: National</v>
      </c>
    </row>
    <row r="599" spans="1:13" x14ac:dyDescent="0.25">
      <c r="A599">
        <v>2022</v>
      </c>
      <c r="B599" t="s">
        <v>74</v>
      </c>
      <c r="C599" t="s">
        <v>75</v>
      </c>
      <c r="D599" t="s">
        <v>30</v>
      </c>
      <c r="E599" t="s">
        <v>54</v>
      </c>
      <c r="F599">
        <v>4500246770</v>
      </c>
      <c r="G599" t="s">
        <v>4450</v>
      </c>
      <c r="H599" t="s">
        <v>3334</v>
      </c>
      <c r="I599" t="s">
        <v>3261</v>
      </c>
      <c r="J599" t="s">
        <v>54</v>
      </c>
      <c r="K599" s="2">
        <v>47570</v>
      </c>
      <c r="L599" t="s">
        <v>6408</v>
      </c>
      <c r="M599" t="str" cm="1">
        <f t="array" ref="M599">INDEX('Org List'!$A$2:$C$1005,MATCH(Consolidated!I599&amp;Consolidated!J599,'Org List'!$A$2:$A$1005&amp;'Org List'!$B$2:$B$1005,0),3)</f>
        <v>NGOs: National</v>
      </c>
    </row>
    <row r="600" spans="1:13" x14ac:dyDescent="0.25">
      <c r="A600">
        <v>2022</v>
      </c>
      <c r="B600" t="s">
        <v>74</v>
      </c>
      <c r="C600" t="s">
        <v>75</v>
      </c>
      <c r="D600" t="s">
        <v>30</v>
      </c>
      <c r="E600" t="s">
        <v>54</v>
      </c>
      <c r="F600">
        <v>4500246876</v>
      </c>
      <c r="G600" t="s">
        <v>4573</v>
      </c>
      <c r="H600" t="s">
        <v>3334</v>
      </c>
      <c r="I600" t="s">
        <v>1858</v>
      </c>
      <c r="J600" t="s">
        <v>54</v>
      </c>
      <c r="K600" s="2">
        <v>42703</v>
      </c>
      <c r="L600" t="s">
        <v>6408</v>
      </c>
      <c r="M600" t="str" cm="1">
        <f t="array" ref="M600">INDEX('Org List'!$A$2:$C$1005,MATCH(Consolidated!I600&amp;Consolidated!J600,'Org List'!$A$2:$A$1005&amp;'Org List'!$B$2:$B$1005,0),3)</f>
        <v>NGOs: National</v>
      </c>
    </row>
    <row r="601" spans="1:13" x14ac:dyDescent="0.25">
      <c r="A601">
        <v>2022</v>
      </c>
      <c r="B601" t="s">
        <v>74</v>
      </c>
      <c r="C601" t="s">
        <v>75</v>
      </c>
      <c r="D601" t="s">
        <v>30</v>
      </c>
      <c r="E601" t="s">
        <v>54</v>
      </c>
      <c r="F601">
        <v>4500246901</v>
      </c>
      <c r="G601" t="s">
        <v>4574</v>
      </c>
      <c r="H601" t="s">
        <v>3334</v>
      </c>
      <c r="I601" t="s">
        <v>3251</v>
      </c>
      <c r="J601" t="s">
        <v>54</v>
      </c>
      <c r="K601" s="2">
        <v>38680</v>
      </c>
      <c r="L601" t="s">
        <v>6408</v>
      </c>
      <c r="M601" t="str" cm="1">
        <f t="array" ref="M601">INDEX('Org List'!$A$2:$C$1005,MATCH(Consolidated!I601&amp;Consolidated!J601,'Org List'!$A$2:$A$1005&amp;'Org List'!$B$2:$B$1005,0),3)</f>
        <v>NGOs: National</v>
      </c>
    </row>
    <row r="602" spans="1:13" x14ac:dyDescent="0.25">
      <c r="A602">
        <v>2022</v>
      </c>
      <c r="B602" t="s">
        <v>74</v>
      </c>
      <c r="C602" t="s">
        <v>75</v>
      </c>
      <c r="D602" t="s">
        <v>30</v>
      </c>
      <c r="E602" t="s">
        <v>54</v>
      </c>
      <c r="F602">
        <v>4500246907</v>
      </c>
      <c r="G602" t="s">
        <v>5180</v>
      </c>
      <c r="H602" t="s">
        <v>3334</v>
      </c>
      <c r="I602" t="s">
        <v>5181</v>
      </c>
      <c r="J602" t="s">
        <v>54</v>
      </c>
      <c r="K602" s="2">
        <v>104660</v>
      </c>
      <c r="L602" t="s">
        <v>6408</v>
      </c>
      <c r="M602" t="str" cm="1">
        <f t="array" ref="M602">INDEX('Org List'!$A$2:$C$1005,MATCH(Consolidated!I602&amp;Consolidated!J602,'Org List'!$A$2:$A$1005&amp;'Org List'!$B$2:$B$1005,0),3)</f>
        <v>NGOs: National</v>
      </c>
    </row>
    <row r="603" spans="1:13" x14ac:dyDescent="0.25">
      <c r="A603">
        <v>2022</v>
      </c>
      <c r="B603" t="s">
        <v>74</v>
      </c>
      <c r="C603" t="s">
        <v>75</v>
      </c>
      <c r="D603" t="s">
        <v>30</v>
      </c>
      <c r="E603" t="s">
        <v>54</v>
      </c>
      <c r="F603">
        <v>4500246911</v>
      </c>
      <c r="G603" t="s">
        <v>4575</v>
      </c>
      <c r="H603" t="s">
        <v>3334</v>
      </c>
      <c r="I603" t="s">
        <v>3253</v>
      </c>
      <c r="J603" t="s">
        <v>54</v>
      </c>
      <c r="K603" s="2">
        <v>40822</v>
      </c>
      <c r="L603" t="s">
        <v>6408</v>
      </c>
      <c r="M603" t="str" cm="1">
        <f t="array" ref="M603">INDEX('Org List'!$A$2:$C$1005,MATCH(Consolidated!I603&amp;Consolidated!J603,'Org List'!$A$2:$A$1005&amp;'Org List'!$B$2:$B$1005,0),3)</f>
        <v>NGOs: National</v>
      </c>
    </row>
    <row r="604" spans="1:13" x14ac:dyDescent="0.25">
      <c r="A604">
        <v>2022</v>
      </c>
      <c r="B604" t="s">
        <v>74</v>
      </c>
      <c r="C604" t="s">
        <v>75</v>
      </c>
      <c r="D604" t="s">
        <v>30</v>
      </c>
      <c r="E604" t="s">
        <v>54</v>
      </c>
      <c r="F604">
        <v>4500247137</v>
      </c>
      <c r="G604" t="s">
        <v>5182</v>
      </c>
      <c r="H604" t="s">
        <v>3334</v>
      </c>
      <c r="I604" t="s">
        <v>278</v>
      </c>
      <c r="J604" t="s">
        <v>54</v>
      </c>
      <c r="K604" s="2">
        <v>124365</v>
      </c>
      <c r="L604" t="s">
        <v>6408</v>
      </c>
      <c r="M604" t="str" cm="1">
        <f t="array" ref="M604">INDEX('Org List'!$A$2:$C$1005,MATCH(Consolidated!I604&amp;Consolidated!J604,'Org List'!$A$2:$A$1005&amp;'Org List'!$B$2:$B$1005,0),3)</f>
        <v>NGOs: Internationally affiliated</v>
      </c>
    </row>
    <row r="605" spans="1:13" x14ac:dyDescent="0.25">
      <c r="A605">
        <v>2022</v>
      </c>
      <c r="B605" t="s">
        <v>74</v>
      </c>
      <c r="C605" t="s">
        <v>75</v>
      </c>
      <c r="D605" t="s">
        <v>30</v>
      </c>
      <c r="E605" t="s">
        <v>54</v>
      </c>
      <c r="F605">
        <v>4500247185</v>
      </c>
      <c r="G605" t="s">
        <v>4451</v>
      </c>
      <c r="H605" t="s">
        <v>3334</v>
      </c>
      <c r="I605" t="s">
        <v>789</v>
      </c>
      <c r="J605" t="s">
        <v>54</v>
      </c>
      <c r="K605" s="2">
        <v>22550</v>
      </c>
      <c r="L605" t="s">
        <v>6408</v>
      </c>
      <c r="M605" t="str" cm="1">
        <f t="array" ref="M605">INDEX('Org List'!$A$2:$C$1005,MATCH(Consolidated!I605&amp;Consolidated!J605,'Org List'!$A$2:$A$1005&amp;'Org List'!$B$2:$B$1005,0),3)</f>
        <v>NGOs: National</v>
      </c>
    </row>
    <row r="606" spans="1:13" x14ac:dyDescent="0.25">
      <c r="A606">
        <v>2022</v>
      </c>
      <c r="B606" t="s">
        <v>74</v>
      </c>
      <c r="C606" t="s">
        <v>75</v>
      </c>
      <c r="D606" t="s">
        <v>30</v>
      </c>
      <c r="E606" t="s">
        <v>54</v>
      </c>
      <c r="F606">
        <v>4500247272</v>
      </c>
      <c r="G606" t="s">
        <v>5183</v>
      </c>
      <c r="H606" t="s">
        <v>3334</v>
      </c>
      <c r="I606" t="s">
        <v>2893</v>
      </c>
      <c r="J606" t="s">
        <v>54</v>
      </c>
      <c r="K606" s="2">
        <v>123367</v>
      </c>
      <c r="L606" t="s">
        <v>6408</v>
      </c>
      <c r="M606" t="str" cm="1">
        <f t="array" ref="M606">INDEX('Org List'!$A$2:$C$1005,MATCH(Consolidated!I606&amp;Consolidated!J606,'Org List'!$A$2:$A$1005&amp;'Org List'!$B$2:$B$1005,0),3)</f>
        <v>NGOs: National</v>
      </c>
    </row>
    <row r="607" spans="1:13" x14ac:dyDescent="0.25">
      <c r="A607">
        <v>2022</v>
      </c>
      <c r="B607" t="s">
        <v>74</v>
      </c>
      <c r="C607" t="s">
        <v>75</v>
      </c>
      <c r="D607" t="s">
        <v>30</v>
      </c>
      <c r="E607" t="s">
        <v>54</v>
      </c>
      <c r="F607">
        <v>4500248523</v>
      </c>
      <c r="G607" t="s">
        <v>4576</v>
      </c>
      <c r="H607" t="s">
        <v>3334</v>
      </c>
      <c r="I607" t="s">
        <v>3393</v>
      </c>
      <c r="J607" t="s">
        <v>54</v>
      </c>
      <c r="K607" s="2">
        <v>10543</v>
      </c>
      <c r="L607" t="s">
        <v>6408</v>
      </c>
      <c r="M607" t="str" cm="1">
        <f t="array" ref="M607">INDEX('Org List'!$A$2:$C$1005,MATCH(Consolidated!I607&amp;Consolidated!J607,'Org List'!$A$2:$A$1005&amp;'Org List'!$B$2:$B$1005,0),3)</f>
        <v>NGOs: National</v>
      </c>
    </row>
    <row r="608" spans="1:13" x14ac:dyDescent="0.25">
      <c r="A608">
        <v>2022</v>
      </c>
      <c r="B608" t="s">
        <v>74</v>
      </c>
      <c r="C608" t="s">
        <v>75</v>
      </c>
      <c r="D608" t="s">
        <v>30</v>
      </c>
      <c r="E608" t="s">
        <v>54</v>
      </c>
      <c r="F608">
        <v>4500249921</v>
      </c>
      <c r="G608" t="s">
        <v>5184</v>
      </c>
      <c r="H608" t="s">
        <v>3334</v>
      </c>
      <c r="I608" t="s">
        <v>280</v>
      </c>
      <c r="J608" t="s">
        <v>54</v>
      </c>
      <c r="K608" s="2">
        <v>12471</v>
      </c>
      <c r="L608" t="s">
        <v>6408</v>
      </c>
      <c r="M608" t="str" cm="1">
        <f t="array" ref="M608">INDEX('Org List'!$A$2:$C$1005,MATCH(Consolidated!I608&amp;Consolidated!J608,'Org List'!$A$2:$A$1005&amp;'Org List'!$B$2:$B$1005,0),3)</f>
        <v>NGOs: National</v>
      </c>
    </row>
    <row r="609" spans="1:13" x14ac:dyDescent="0.25">
      <c r="A609">
        <v>2022</v>
      </c>
      <c r="B609" t="s">
        <v>5185</v>
      </c>
      <c r="C609" t="s">
        <v>1995</v>
      </c>
      <c r="D609" t="s">
        <v>30</v>
      </c>
      <c r="E609" t="s">
        <v>175</v>
      </c>
      <c r="F609">
        <v>4500224239</v>
      </c>
      <c r="G609" t="s">
        <v>4445</v>
      </c>
      <c r="H609" t="s">
        <v>3334</v>
      </c>
      <c r="I609" t="s">
        <v>856</v>
      </c>
      <c r="J609" t="s">
        <v>175</v>
      </c>
      <c r="K609" s="2">
        <v>550544</v>
      </c>
      <c r="L609" t="s">
        <v>6408</v>
      </c>
      <c r="M609" t="str" cm="1">
        <f t="array" ref="M609">INDEX('Org List'!$A$2:$C$1005,MATCH(Consolidated!I609&amp;Consolidated!J609,'Org List'!$A$2:$A$1005&amp;'Org List'!$B$2:$B$1005,0),3)</f>
        <v>NGOs: National</v>
      </c>
    </row>
    <row r="610" spans="1:13" x14ac:dyDescent="0.25">
      <c r="A610">
        <v>2022</v>
      </c>
      <c r="B610" t="s">
        <v>5185</v>
      </c>
      <c r="C610" t="s">
        <v>1995</v>
      </c>
      <c r="D610" t="s">
        <v>30</v>
      </c>
      <c r="E610" t="s">
        <v>175</v>
      </c>
      <c r="F610">
        <v>4500253688</v>
      </c>
      <c r="G610" t="s">
        <v>5186</v>
      </c>
      <c r="H610" t="s">
        <v>3334</v>
      </c>
      <c r="I610" t="s">
        <v>856</v>
      </c>
      <c r="J610" t="s">
        <v>175</v>
      </c>
      <c r="K610" s="2">
        <v>1410505</v>
      </c>
      <c r="L610" t="s">
        <v>6408</v>
      </c>
      <c r="M610" t="str" cm="1">
        <f t="array" ref="M610">INDEX('Org List'!$A$2:$C$1005,MATCH(Consolidated!I610&amp;Consolidated!J610,'Org List'!$A$2:$A$1005&amp;'Org List'!$B$2:$B$1005,0),3)</f>
        <v>NGOs: National</v>
      </c>
    </row>
    <row r="611" spans="1:13" x14ac:dyDescent="0.25">
      <c r="A611">
        <v>2022</v>
      </c>
      <c r="B611" t="s">
        <v>5187</v>
      </c>
      <c r="C611" t="s">
        <v>5188</v>
      </c>
      <c r="D611" t="s">
        <v>30</v>
      </c>
      <c r="E611" t="s">
        <v>717</v>
      </c>
      <c r="F611">
        <v>4500226491</v>
      </c>
      <c r="G611" t="s">
        <v>4283</v>
      </c>
      <c r="H611" t="s">
        <v>3334</v>
      </c>
      <c r="I611" t="s">
        <v>1162</v>
      </c>
      <c r="J611" t="s">
        <v>717</v>
      </c>
      <c r="K611" s="2">
        <v>785880</v>
      </c>
      <c r="L611" t="s">
        <v>6408</v>
      </c>
      <c r="M611" t="str" cm="1">
        <f t="array" ref="M611">INDEX('Org List'!$A$2:$C$1005,MATCH(Consolidated!I611&amp;Consolidated!J611,'Org List'!$A$2:$A$1005&amp;'Org List'!$B$2:$B$1005,0),3)</f>
        <v>NGOs: International</v>
      </c>
    </row>
    <row r="612" spans="1:13" x14ac:dyDescent="0.25">
      <c r="A612">
        <v>2022</v>
      </c>
      <c r="B612" t="s">
        <v>5187</v>
      </c>
      <c r="C612" t="s">
        <v>5188</v>
      </c>
      <c r="D612" t="s">
        <v>30</v>
      </c>
      <c r="E612" t="s">
        <v>717</v>
      </c>
      <c r="F612">
        <v>4500226493</v>
      </c>
      <c r="G612" t="s">
        <v>5189</v>
      </c>
      <c r="H612" t="s">
        <v>3334</v>
      </c>
      <c r="I612" t="s">
        <v>4760</v>
      </c>
      <c r="J612" t="s">
        <v>717</v>
      </c>
      <c r="K612" s="2">
        <v>785880</v>
      </c>
      <c r="L612" t="s">
        <v>6408</v>
      </c>
      <c r="M612" t="str" cm="1">
        <f t="array" ref="M612">INDEX('Org List'!$A$2:$C$1005,MATCH(Consolidated!I612&amp;Consolidated!J612,'Org List'!$A$2:$A$1005&amp;'Org List'!$B$2:$B$1005,0),3)</f>
        <v>NGOs: International</v>
      </c>
    </row>
    <row r="613" spans="1:13" x14ac:dyDescent="0.25">
      <c r="A613">
        <v>2022</v>
      </c>
      <c r="B613" t="s">
        <v>5190</v>
      </c>
      <c r="C613" t="s">
        <v>5191</v>
      </c>
      <c r="D613" t="s">
        <v>30</v>
      </c>
      <c r="E613" t="s">
        <v>356</v>
      </c>
      <c r="F613">
        <v>4500234768</v>
      </c>
      <c r="G613" t="s">
        <v>3938</v>
      </c>
      <c r="H613" t="s">
        <v>3334</v>
      </c>
      <c r="I613" t="s">
        <v>1747</v>
      </c>
      <c r="J613" t="s">
        <v>356</v>
      </c>
      <c r="K613" s="2">
        <v>120000</v>
      </c>
      <c r="L613" t="s">
        <v>6408</v>
      </c>
      <c r="M613" t="str" cm="1">
        <f t="array" ref="M613">INDEX('Org List'!$A$2:$C$1005,MATCH(Consolidated!I613&amp;Consolidated!J613,'Org List'!$A$2:$A$1005&amp;'Org List'!$B$2:$B$1005,0),3)</f>
        <v>NGOs: National</v>
      </c>
    </row>
    <row r="614" spans="1:13" x14ac:dyDescent="0.25">
      <c r="A614">
        <v>2022</v>
      </c>
      <c r="B614" t="s">
        <v>5190</v>
      </c>
      <c r="C614" t="s">
        <v>5191</v>
      </c>
      <c r="D614" t="s">
        <v>30</v>
      </c>
      <c r="E614" t="s">
        <v>356</v>
      </c>
      <c r="F614">
        <v>4500245345</v>
      </c>
      <c r="G614" t="s">
        <v>4283</v>
      </c>
      <c r="H614" t="s">
        <v>3334</v>
      </c>
      <c r="I614" t="s">
        <v>5192</v>
      </c>
      <c r="J614" t="s">
        <v>356</v>
      </c>
      <c r="K614" s="2">
        <v>242689</v>
      </c>
      <c r="L614" t="s">
        <v>6408</v>
      </c>
      <c r="M614" t="str" cm="1">
        <f t="array" ref="M614">INDEX('Org List'!$A$2:$C$1005,MATCH(Consolidated!I614&amp;Consolidated!J614,'Org List'!$A$2:$A$1005&amp;'Org List'!$B$2:$B$1005,0),3)</f>
        <v>NGOs: International</v>
      </c>
    </row>
    <row r="615" spans="1:13" x14ac:dyDescent="0.25">
      <c r="A615">
        <v>2022</v>
      </c>
      <c r="B615" t="s">
        <v>1255</v>
      </c>
      <c r="C615" t="s">
        <v>1256</v>
      </c>
      <c r="D615" t="s">
        <v>30</v>
      </c>
      <c r="E615" t="s">
        <v>303</v>
      </c>
      <c r="F615">
        <v>4500263208</v>
      </c>
      <c r="G615" t="s">
        <v>5193</v>
      </c>
      <c r="H615" t="s">
        <v>3334</v>
      </c>
      <c r="I615" t="s">
        <v>5194</v>
      </c>
      <c r="J615" t="s">
        <v>303</v>
      </c>
      <c r="K615" s="2">
        <v>7988</v>
      </c>
      <c r="L615" t="s">
        <v>6408</v>
      </c>
      <c r="M615" t="str" cm="1">
        <f t="array" ref="M615">INDEX('Org List'!$A$2:$C$1005,MATCH(Consolidated!I615&amp;Consolidated!J615,'Org List'!$A$2:$A$1005&amp;'Org List'!$B$2:$B$1005,0),3)</f>
        <v>NGOs: National</v>
      </c>
    </row>
    <row r="616" spans="1:13" x14ac:dyDescent="0.25">
      <c r="A616">
        <v>2022</v>
      </c>
      <c r="B616" t="s">
        <v>1255</v>
      </c>
      <c r="C616" t="s">
        <v>1256</v>
      </c>
      <c r="D616" t="s">
        <v>30</v>
      </c>
      <c r="E616" t="s">
        <v>54</v>
      </c>
      <c r="F616">
        <v>4500259636</v>
      </c>
      <c r="G616" t="s">
        <v>4577</v>
      </c>
      <c r="H616" t="s">
        <v>3334</v>
      </c>
      <c r="I616" t="s">
        <v>1728</v>
      </c>
      <c r="J616" t="s">
        <v>54</v>
      </c>
      <c r="K616" s="2">
        <v>1928</v>
      </c>
      <c r="L616" t="s">
        <v>6408</v>
      </c>
      <c r="M616" t="str" cm="1">
        <f t="array" ref="M616">INDEX('Org List'!$A$2:$C$1005,MATCH(Consolidated!I616&amp;Consolidated!J616,'Org List'!$A$2:$A$1005&amp;'Org List'!$B$2:$B$1005,0),3)</f>
        <v>NGOs: National</v>
      </c>
    </row>
    <row r="617" spans="1:13" x14ac:dyDescent="0.25">
      <c r="A617">
        <v>2022</v>
      </c>
      <c r="B617" t="s">
        <v>1255</v>
      </c>
      <c r="C617" t="s">
        <v>1256</v>
      </c>
      <c r="D617" t="s">
        <v>30</v>
      </c>
      <c r="E617" t="s">
        <v>54</v>
      </c>
      <c r="F617">
        <v>4500259828</v>
      </c>
      <c r="G617" t="s">
        <v>5195</v>
      </c>
      <c r="H617" t="s">
        <v>3334</v>
      </c>
      <c r="I617" t="s">
        <v>2003</v>
      </c>
      <c r="J617" t="s">
        <v>54</v>
      </c>
      <c r="K617" s="2">
        <v>17159</v>
      </c>
      <c r="L617" t="s">
        <v>6408</v>
      </c>
      <c r="M617" t="str" cm="1">
        <f t="array" ref="M617">INDEX('Org List'!$A$2:$C$1005,MATCH(Consolidated!I617&amp;Consolidated!J617,'Org List'!$A$2:$A$1005&amp;'Org List'!$B$2:$B$1005,0),3)</f>
        <v>NGOs: National</v>
      </c>
    </row>
    <row r="618" spans="1:13" x14ac:dyDescent="0.25">
      <c r="A618">
        <v>2022</v>
      </c>
      <c r="B618" t="s">
        <v>1255</v>
      </c>
      <c r="C618" t="s">
        <v>1256</v>
      </c>
      <c r="D618" t="s">
        <v>30</v>
      </c>
      <c r="E618" t="s">
        <v>54</v>
      </c>
      <c r="F618">
        <v>4500272576</v>
      </c>
      <c r="G618" t="s">
        <v>5196</v>
      </c>
      <c r="H618" t="s">
        <v>3334</v>
      </c>
      <c r="I618" t="s">
        <v>1291</v>
      </c>
      <c r="J618" t="s">
        <v>54</v>
      </c>
      <c r="K618" s="2">
        <v>19566</v>
      </c>
      <c r="L618" t="s">
        <v>6408</v>
      </c>
      <c r="M618" t="str" cm="1">
        <f t="array" ref="M618">INDEX('Org List'!$A$2:$C$1005,MATCH(Consolidated!I618&amp;Consolidated!J618,'Org List'!$A$2:$A$1005&amp;'Org List'!$B$2:$B$1005,0),3)</f>
        <v>NGOs: National</v>
      </c>
    </row>
    <row r="619" spans="1:13" x14ac:dyDescent="0.25">
      <c r="A619">
        <v>2022</v>
      </c>
      <c r="B619" t="s">
        <v>1255</v>
      </c>
      <c r="C619" t="s">
        <v>1256</v>
      </c>
      <c r="D619" t="s">
        <v>30</v>
      </c>
      <c r="E619" t="s">
        <v>54</v>
      </c>
      <c r="F619">
        <v>4500272770</v>
      </c>
      <c r="G619" t="s">
        <v>5197</v>
      </c>
      <c r="H619" t="s">
        <v>3334</v>
      </c>
      <c r="I619" t="s">
        <v>5007</v>
      </c>
      <c r="J619" t="s">
        <v>54</v>
      </c>
      <c r="K619" s="2">
        <v>20185</v>
      </c>
      <c r="L619" t="s">
        <v>6408</v>
      </c>
      <c r="M619" t="str" cm="1">
        <f t="array" ref="M619">INDEX('Org List'!$A$2:$C$1005,MATCH(Consolidated!I619&amp;Consolidated!J619,'Org List'!$A$2:$A$1005&amp;'Org List'!$B$2:$B$1005,0),3)</f>
        <v>NGOs: National</v>
      </c>
    </row>
    <row r="620" spans="1:13" x14ac:dyDescent="0.25">
      <c r="A620">
        <v>2022</v>
      </c>
      <c r="B620" t="s">
        <v>5198</v>
      </c>
      <c r="C620" t="s">
        <v>5199</v>
      </c>
      <c r="D620" t="s">
        <v>30</v>
      </c>
      <c r="E620" t="s">
        <v>303</v>
      </c>
      <c r="F620">
        <v>4500240378</v>
      </c>
      <c r="G620" t="s">
        <v>5145</v>
      </c>
      <c r="H620" t="s">
        <v>3334</v>
      </c>
      <c r="I620" t="s">
        <v>869</v>
      </c>
      <c r="J620" t="s">
        <v>303</v>
      </c>
      <c r="K620" s="2">
        <v>223125</v>
      </c>
      <c r="L620" t="s">
        <v>6408</v>
      </c>
      <c r="M620" t="str" cm="1">
        <f t="array" ref="M620">INDEX('Org List'!$A$2:$C$1005,MATCH(Consolidated!I620&amp;Consolidated!J620,'Org List'!$A$2:$A$1005&amp;'Org List'!$B$2:$B$1005,0),3)</f>
        <v>NGOs: International</v>
      </c>
    </row>
    <row r="621" spans="1:13" x14ac:dyDescent="0.25">
      <c r="A621">
        <v>2022</v>
      </c>
      <c r="B621" t="s">
        <v>5198</v>
      </c>
      <c r="C621" t="s">
        <v>5199</v>
      </c>
      <c r="D621" t="s">
        <v>30</v>
      </c>
      <c r="E621" t="s">
        <v>303</v>
      </c>
      <c r="F621">
        <v>4500252401</v>
      </c>
      <c r="G621" t="s">
        <v>5200</v>
      </c>
      <c r="H621" t="s">
        <v>3334</v>
      </c>
      <c r="I621" t="s">
        <v>5201</v>
      </c>
      <c r="J621" t="s">
        <v>303</v>
      </c>
      <c r="K621" s="2">
        <v>69862</v>
      </c>
      <c r="L621" t="s">
        <v>6408</v>
      </c>
      <c r="M621" t="str" cm="1">
        <f t="array" ref="M621">INDEX('Org List'!$A$2:$C$1005,MATCH(Consolidated!I621&amp;Consolidated!J621,'Org List'!$A$2:$A$1005&amp;'Org List'!$B$2:$B$1005,0),3)</f>
        <v>NGOs: National</v>
      </c>
    </row>
    <row r="622" spans="1:13" x14ac:dyDescent="0.25">
      <c r="A622">
        <v>2022</v>
      </c>
      <c r="B622" t="s">
        <v>5198</v>
      </c>
      <c r="C622" t="s">
        <v>5199</v>
      </c>
      <c r="D622" t="s">
        <v>30</v>
      </c>
      <c r="E622" t="s">
        <v>305</v>
      </c>
      <c r="F622">
        <v>4500239510</v>
      </c>
      <c r="G622" t="s">
        <v>5149</v>
      </c>
      <c r="H622" t="s">
        <v>3334</v>
      </c>
      <c r="I622" t="s">
        <v>309</v>
      </c>
      <c r="J622" t="s">
        <v>305</v>
      </c>
      <c r="K622" s="2">
        <v>166623</v>
      </c>
      <c r="L622" t="s">
        <v>6408</v>
      </c>
      <c r="M622" t="str" cm="1">
        <f t="array" ref="M622">INDEX('Org List'!$A$2:$C$1005,MATCH(Consolidated!I622&amp;Consolidated!J622,'Org List'!$A$2:$A$1005&amp;'Org List'!$B$2:$B$1005,0),3)</f>
        <v>NGOs: National</v>
      </c>
    </row>
    <row r="623" spans="1:13" x14ac:dyDescent="0.25">
      <c r="A623">
        <v>2022</v>
      </c>
      <c r="B623" t="s">
        <v>5202</v>
      </c>
      <c r="C623" t="s">
        <v>5203</v>
      </c>
      <c r="D623" t="s">
        <v>30</v>
      </c>
      <c r="E623" t="s">
        <v>150</v>
      </c>
      <c r="F623">
        <v>4500266142</v>
      </c>
      <c r="G623" t="s">
        <v>4890</v>
      </c>
      <c r="H623" t="s">
        <v>3334</v>
      </c>
      <c r="I623" t="s">
        <v>4891</v>
      </c>
      <c r="J623" t="s">
        <v>150</v>
      </c>
      <c r="K623" s="2">
        <v>118432</v>
      </c>
      <c r="L623" t="s">
        <v>6408</v>
      </c>
      <c r="M623" t="str" cm="1">
        <f t="array" ref="M623">INDEX('Org List'!$A$2:$C$1005,MATCH(Consolidated!I623&amp;Consolidated!J623,'Org List'!$A$2:$A$1005&amp;'Org List'!$B$2:$B$1005,0),3)</f>
        <v>NGOs: International</v>
      </c>
    </row>
    <row r="624" spans="1:13" x14ac:dyDescent="0.25">
      <c r="A624">
        <v>2022</v>
      </c>
      <c r="B624" t="s">
        <v>5202</v>
      </c>
      <c r="C624" t="s">
        <v>5203</v>
      </c>
      <c r="D624" t="s">
        <v>30</v>
      </c>
      <c r="E624" t="s">
        <v>150</v>
      </c>
      <c r="F624">
        <v>4500266159</v>
      </c>
      <c r="G624" t="s">
        <v>4529</v>
      </c>
      <c r="H624" t="s">
        <v>3334</v>
      </c>
      <c r="I624" t="s">
        <v>4530</v>
      </c>
      <c r="J624" t="s">
        <v>150</v>
      </c>
      <c r="K624" s="2">
        <v>47990</v>
      </c>
      <c r="L624" t="s">
        <v>6408</v>
      </c>
      <c r="M624" t="str" cm="1">
        <f t="array" ref="M624">INDEX('Org List'!$A$2:$C$1005,MATCH(Consolidated!I624&amp;Consolidated!J624,'Org List'!$A$2:$A$1005&amp;'Org List'!$B$2:$B$1005,0),3)</f>
        <v>NGOs: National</v>
      </c>
    </row>
    <row r="625" spans="1:13" x14ac:dyDescent="0.25">
      <c r="A625">
        <v>2022</v>
      </c>
      <c r="B625" t="s">
        <v>5202</v>
      </c>
      <c r="C625" t="s">
        <v>5203</v>
      </c>
      <c r="D625" t="s">
        <v>30</v>
      </c>
      <c r="E625" t="s">
        <v>150</v>
      </c>
      <c r="F625">
        <v>4500266187</v>
      </c>
      <c r="G625" t="s">
        <v>4531</v>
      </c>
      <c r="H625" t="s">
        <v>3334</v>
      </c>
      <c r="I625" t="s">
        <v>2046</v>
      </c>
      <c r="J625" t="s">
        <v>150</v>
      </c>
      <c r="K625" s="2">
        <v>93441</v>
      </c>
      <c r="L625" t="s">
        <v>6408</v>
      </c>
      <c r="M625" t="str" cm="1">
        <f t="array" ref="M625">INDEX('Org List'!$A$2:$C$1005,MATCH(Consolidated!I625&amp;Consolidated!J625,'Org List'!$A$2:$A$1005&amp;'Org List'!$B$2:$B$1005,0),3)</f>
        <v>NGOs: National</v>
      </c>
    </row>
    <row r="626" spans="1:13" x14ac:dyDescent="0.25">
      <c r="A626">
        <v>2022</v>
      </c>
      <c r="B626" t="s">
        <v>5202</v>
      </c>
      <c r="C626" t="s">
        <v>5203</v>
      </c>
      <c r="D626" t="s">
        <v>30</v>
      </c>
      <c r="E626" t="s">
        <v>150</v>
      </c>
      <c r="F626">
        <v>4500266216</v>
      </c>
      <c r="G626" t="s">
        <v>4892</v>
      </c>
      <c r="H626" t="s">
        <v>3334</v>
      </c>
      <c r="I626" t="s">
        <v>4893</v>
      </c>
      <c r="J626" t="s">
        <v>150</v>
      </c>
      <c r="K626" s="2">
        <v>64655</v>
      </c>
      <c r="L626" t="s">
        <v>6408</v>
      </c>
      <c r="M626" t="str" cm="1">
        <f t="array" ref="M626">INDEX('Org List'!$A$2:$C$1005,MATCH(Consolidated!I626&amp;Consolidated!J626,'Org List'!$A$2:$A$1005&amp;'Org List'!$B$2:$B$1005,0),3)</f>
        <v>NGOs: National</v>
      </c>
    </row>
    <row r="627" spans="1:13" x14ac:dyDescent="0.25">
      <c r="A627">
        <v>2022</v>
      </c>
      <c r="B627" t="s">
        <v>5202</v>
      </c>
      <c r="C627" t="s">
        <v>5203</v>
      </c>
      <c r="D627" t="s">
        <v>30</v>
      </c>
      <c r="E627" t="s">
        <v>150</v>
      </c>
      <c r="F627">
        <v>4500266225</v>
      </c>
      <c r="G627" t="s">
        <v>4894</v>
      </c>
      <c r="H627" t="s">
        <v>3334</v>
      </c>
      <c r="I627" t="s">
        <v>2526</v>
      </c>
      <c r="J627" t="s">
        <v>150</v>
      </c>
      <c r="K627" s="2">
        <v>39295</v>
      </c>
      <c r="L627" t="s">
        <v>6408</v>
      </c>
      <c r="M627" t="str" cm="1">
        <f t="array" ref="M627">INDEX('Org List'!$A$2:$C$1005,MATCH(Consolidated!I627&amp;Consolidated!J627,'Org List'!$A$2:$A$1005&amp;'Org List'!$B$2:$B$1005,0),3)</f>
        <v>NGOs: National</v>
      </c>
    </row>
    <row r="628" spans="1:13" x14ac:dyDescent="0.25">
      <c r="A628">
        <v>2022</v>
      </c>
      <c r="B628" t="s">
        <v>5202</v>
      </c>
      <c r="C628" t="s">
        <v>5203</v>
      </c>
      <c r="D628" t="s">
        <v>30</v>
      </c>
      <c r="E628" t="s">
        <v>150</v>
      </c>
      <c r="F628">
        <v>4500274864</v>
      </c>
      <c r="G628" t="s">
        <v>5165</v>
      </c>
      <c r="H628" t="s">
        <v>3334</v>
      </c>
      <c r="I628" t="s">
        <v>832</v>
      </c>
      <c r="J628" t="s">
        <v>150</v>
      </c>
      <c r="K628" s="2">
        <v>379127</v>
      </c>
      <c r="L628" t="s">
        <v>6408</v>
      </c>
      <c r="M628" t="str" cm="1">
        <f t="array" ref="M628">INDEX('Org List'!$A$2:$C$1005,MATCH(Consolidated!I628&amp;Consolidated!J628,'Org List'!$A$2:$A$1005&amp;'Org List'!$B$2:$B$1005,0),3)</f>
        <v>NGOs: National</v>
      </c>
    </row>
    <row r="629" spans="1:13" x14ac:dyDescent="0.25">
      <c r="A629">
        <v>2022</v>
      </c>
      <c r="B629" t="s">
        <v>3500</v>
      </c>
      <c r="C629" t="s">
        <v>3501</v>
      </c>
      <c r="D629" t="s">
        <v>30</v>
      </c>
      <c r="E629" t="s">
        <v>167</v>
      </c>
      <c r="F629">
        <v>4500251897</v>
      </c>
      <c r="G629" t="s">
        <v>5204</v>
      </c>
      <c r="H629" t="s">
        <v>3334</v>
      </c>
      <c r="I629" t="s">
        <v>5205</v>
      </c>
      <c r="J629" t="s">
        <v>1494</v>
      </c>
      <c r="K629" s="2">
        <v>74645</v>
      </c>
      <c r="L629" t="s">
        <v>6408</v>
      </c>
      <c r="M629" t="str" cm="1">
        <f t="array" ref="M629">INDEX('Org List'!$A$2:$C$1005,MATCH(Consolidated!I629&amp;Consolidated!J629,'Org List'!$A$2:$A$1005&amp;'Org List'!$B$2:$B$1005,0),3)</f>
        <v>Other: National</v>
      </c>
    </row>
    <row r="630" spans="1:13" x14ac:dyDescent="0.25">
      <c r="A630">
        <v>2022</v>
      </c>
      <c r="B630" t="s">
        <v>2900</v>
      </c>
      <c r="C630" t="s">
        <v>3504</v>
      </c>
      <c r="D630" t="s">
        <v>30</v>
      </c>
      <c r="E630" t="s">
        <v>717</v>
      </c>
      <c r="F630">
        <v>4500252612</v>
      </c>
      <c r="G630" t="s">
        <v>5206</v>
      </c>
      <c r="H630" t="s">
        <v>3334</v>
      </c>
      <c r="I630" t="s">
        <v>720</v>
      </c>
      <c r="J630" t="s">
        <v>717</v>
      </c>
      <c r="K630" s="2">
        <v>15982</v>
      </c>
      <c r="L630" t="s">
        <v>6408</v>
      </c>
      <c r="M630" t="str" cm="1">
        <f t="array" ref="M630">INDEX('Org List'!$A$2:$C$1005,MATCH(Consolidated!I630&amp;Consolidated!J630,'Org List'!$A$2:$A$1005&amp;'Org List'!$B$2:$B$1005,0),3)</f>
        <v>NGOs: National</v>
      </c>
    </row>
    <row r="631" spans="1:13" x14ac:dyDescent="0.25">
      <c r="A631">
        <v>2022</v>
      </c>
      <c r="B631" t="s">
        <v>2900</v>
      </c>
      <c r="C631" t="s">
        <v>3504</v>
      </c>
      <c r="D631" t="s">
        <v>30</v>
      </c>
      <c r="E631" t="s">
        <v>717</v>
      </c>
      <c r="F631">
        <v>4500253056</v>
      </c>
      <c r="G631" t="s">
        <v>5207</v>
      </c>
      <c r="H631" t="s">
        <v>3334</v>
      </c>
      <c r="I631" t="s">
        <v>3233</v>
      </c>
      <c r="J631" t="s">
        <v>717</v>
      </c>
      <c r="K631" s="2">
        <v>14847</v>
      </c>
      <c r="L631" t="s">
        <v>6408</v>
      </c>
      <c r="M631" t="str" cm="1">
        <f t="array" ref="M631">INDEX('Org List'!$A$2:$C$1005,MATCH(Consolidated!I631&amp;Consolidated!J631,'Org List'!$A$2:$A$1005&amp;'Org List'!$B$2:$B$1005,0),3)</f>
        <v>NGOs: International</v>
      </c>
    </row>
    <row r="632" spans="1:13" x14ac:dyDescent="0.25">
      <c r="A632">
        <v>2022</v>
      </c>
      <c r="B632" t="s">
        <v>2900</v>
      </c>
      <c r="C632" t="s">
        <v>3504</v>
      </c>
      <c r="D632" t="s">
        <v>30</v>
      </c>
      <c r="E632" t="s">
        <v>155</v>
      </c>
      <c r="F632">
        <v>4500264577</v>
      </c>
      <c r="G632" t="s">
        <v>5208</v>
      </c>
      <c r="H632" t="s">
        <v>3334</v>
      </c>
      <c r="I632" t="s">
        <v>156</v>
      </c>
      <c r="J632" t="s">
        <v>155</v>
      </c>
      <c r="K632" s="2">
        <v>30000</v>
      </c>
      <c r="L632" t="s">
        <v>6408</v>
      </c>
      <c r="M632" t="str" cm="1">
        <f t="array" ref="M632">INDEX('Org List'!$A$2:$C$1005,MATCH(Consolidated!I632&amp;Consolidated!J632,'Org List'!$A$2:$A$1005&amp;'Org List'!$B$2:$B$1005,0),3)</f>
        <v>NGOs: International</v>
      </c>
    </row>
    <row r="633" spans="1:13" x14ac:dyDescent="0.25">
      <c r="A633">
        <v>2022</v>
      </c>
      <c r="B633" t="s">
        <v>3506</v>
      </c>
      <c r="C633" t="s">
        <v>3501</v>
      </c>
      <c r="D633" t="s">
        <v>30</v>
      </c>
      <c r="E633" t="s">
        <v>167</v>
      </c>
      <c r="F633">
        <v>4500251897</v>
      </c>
      <c r="G633" t="s">
        <v>5204</v>
      </c>
      <c r="H633" t="s">
        <v>3334</v>
      </c>
      <c r="I633" t="s">
        <v>5205</v>
      </c>
      <c r="J633" t="s">
        <v>1494</v>
      </c>
      <c r="K633" s="2">
        <v>95056</v>
      </c>
      <c r="L633" t="s">
        <v>6408</v>
      </c>
      <c r="M633" t="str" cm="1">
        <f t="array" ref="M633">INDEX('Org List'!$A$2:$C$1005,MATCH(Consolidated!I633&amp;Consolidated!J633,'Org List'!$A$2:$A$1005&amp;'Org List'!$B$2:$B$1005,0),3)</f>
        <v>Other: National</v>
      </c>
    </row>
    <row r="634" spans="1:13" x14ac:dyDescent="0.25">
      <c r="A634">
        <v>2022</v>
      </c>
      <c r="B634" t="s">
        <v>5209</v>
      </c>
      <c r="C634" t="s">
        <v>5210</v>
      </c>
      <c r="D634" t="s">
        <v>30</v>
      </c>
      <c r="E634" t="s">
        <v>205</v>
      </c>
      <c r="F634">
        <v>4500248302</v>
      </c>
      <c r="G634" t="s">
        <v>5211</v>
      </c>
      <c r="H634" t="s">
        <v>3334</v>
      </c>
      <c r="I634" t="s">
        <v>869</v>
      </c>
      <c r="J634" t="s">
        <v>205</v>
      </c>
      <c r="K634" s="2">
        <v>14634</v>
      </c>
      <c r="L634" t="s">
        <v>6408</v>
      </c>
      <c r="M634" t="str" cm="1">
        <f t="array" ref="M634">INDEX('Org List'!$A$2:$C$1005,MATCH(Consolidated!I634&amp;Consolidated!J634,'Org List'!$A$2:$A$1005&amp;'Org List'!$B$2:$B$1005,0),3)</f>
        <v>NGOs: International</v>
      </c>
    </row>
    <row r="635" spans="1:13" x14ac:dyDescent="0.25">
      <c r="A635">
        <v>2022</v>
      </c>
      <c r="B635" t="s">
        <v>5212</v>
      </c>
      <c r="C635" t="s">
        <v>3406</v>
      </c>
      <c r="D635" t="s">
        <v>30</v>
      </c>
      <c r="E635" t="s">
        <v>175</v>
      </c>
      <c r="F635">
        <v>4500254524</v>
      </c>
      <c r="G635" t="s">
        <v>4445</v>
      </c>
      <c r="H635" t="s">
        <v>3334</v>
      </c>
      <c r="I635" t="s">
        <v>887</v>
      </c>
      <c r="J635" t="s">
        <v>175</v>
      </c>
      <c r="K635" s="2">
        <v>45577</v>
      </c>
      <c r="L635" t="s">
        <v>6408</v>
      </c>
      <c r="M635" t="str" cm="1">
        <f t="array" ref="M635">INDEX('Org List'!$A$2:$C$1005,MATCH(Consolidated!I635&amp;Consolidated!J635,'Org List'!$A$2:$A$1005&amp;'Org List'!$B$2:$B$1005,0),3)</f>
        <v>NGOs: International</v>
      </c>
    </row>
    <row r="636" spans="1:13" x14ac:dyDescent="0.25">
      <c r="A636">
        <v>2022</v>
      </c>
      <c r="B636" t="s">
        <v>1257</v>
      </c>
      <c r="C636" t="s">
        <v>1258</v>
      </c>
      <c r="D636" t="s">
        <v>30</v>
      </c>
      <c r="E636" t="s">
        <v>940</v>
      </c>
      <c r="F636">
        <v>4500264195</v>
      </c>
      <c r="G636" t="s">
        <v>5213</v>
      </c>
      <c r="H636" t="s">
        <v>3334</v>
      </c>
      <c r="I636" t="s">
        <v>338</v>
      </c>
      <c r="J636" t="s">
        <v>940</v>
      </c>
      <c r="K636" s="2">
        <v>774680</v>
      </c>
      <c r="L636" t="s">
        <v>6408</v>
      </c>
      <c r="M636" t="str" cm="1">
        <f t="array" ref="M636">INDEX('Org List'!$A$2:$C$1005,MATCH(Consolidated!I636&amp;Consolidated!J636,'Org List'!$A$2:$A$1005&amp;'Org List'!$B$2:$B$1005,0),3)</f>
        <v>NGOs: National</v>
      </c>
    </row>
    <row r="637" spans="1:13" x14ac:dyDescent="0.25">
      <c r="A637">
        <v>2022</v>
      </c>
      <c r="B637" t="s">
        <v>2904</v>
      </c>
      <c r="C637" t="s">
        <v>5214</v>
      </c>
      <c r="D637" t="s">
        <v>30</v>
      </c>
      <c r="E637" t="s">
        <v>20</v>
      </c>
      <c r="F637">
        <v>4500262845</v>
      </c>
      <c r="G637" t="s">
        <v>5215</v>
      </c>
      <c r="H637" t="s">
        <v>3334</v>
      </c>
      <c r="I637" t="s">
        <v>5216</v>
      </c>
      <c r="J637" t="s">
        <v>20</v>
      </c>
      <c r="K637" s="2">
        <v>33044</v>
      </c>
      <c r="L637" t="s">
        <v>6408</v>
      </c>
      <c r="M637" t="str" cm="1">
        <f t="array" ref="M637">INDEX('Org List'!$A$2:$C$1005,MATCH(Consolidated!I637&amp;Consolidated!J637,'Org List'!$A$2:$A$1005&amp;'Org List'!$B$2:$B$1005,0),3)</f>
        <v>NGOs: National</v>
      </c>
    </row>
    <row r="638" spans="1:13" x14ac:dyDescent="0.25">
      <c r="A638">
        <v>2022</v>
      </c>
      <c r="B638" t="s">
        <v>2904</v>
      </c>
      <c r="C638" t="s">
        <v>5214</v>
      </c>
      <c r="D638" t="s">
        <v>30</v>
      </c>
      <c r="E638" t="s">
        <v>20</v>
      </c>
      <c r="F638">
        <v>4500263803</v>
      </c>
      <c r="G638" t="s">
        <v>5217</v>
      </c>
      <c r="H638" t="s">
        <v>3334</v>
      </c>
      <c r="I638" t="s">
        <v>852</v>
      </c>
      <c r="J638" t="s">
        <v>20</v>
      </c>
      <c r="K638" s="2">
        <v>110091</v>
      </c>
      <c r="L638" t="s">
        <v>6408</v>
      </c>
      <c r="M638" t="str" cm="1">
        <f t="array" ref="M638">INDEX('Org List'!$A$2:$C$1005,MATCH(Consolidated!I638&amp;Consolidated!J638,'Org List'!$A$2:$A$1005&amp;'Org List'!$B$2:$B$1005,0),3)</f>
        <v>NGOs: National</v>
      </c>
    </row>
    <row r="639" spans="1:13" x14ac:dyDescent="0.25">
      <c r="A639">
        <v>2022</v>
      </c>
      <c r="B639" t="s">
        <v>2904</v>
      </c>
      <c r="C639" t="s">
        <v>5214</v>
      </c>
      <c r="D639" t="s">
        <v>30</v>
      </c>
      <c r="E639" t="s">
        <v>20</v>
      </c>
      <c r="F639">
        <v>4500276284</v>
      </c>
      <c r="G639" t="s">
        <v>5218</v>
      </c>
      <c r="H639" t="s">
        <v>3334</v>
      </c>
      <c r="I639" t="s">
        <v>172</v>
      </c>
      <c r="J639" t="s">
        <v>20</v>
      </c>
      <c r="K639" s="2">
        <v>504633</v>
      </c>
      <c r="L639" t="s">
        <v>6408</v>
      </c>
      <c r="M639" t="str" cm="1">
        <f t="array" ref="M639">INDEX('Org List'!$A$2:$C$1005,MATCH(Consolidated!I639&amp;Consolidated!J639,'Org List'!$A$2:$A$1005&amp;'Org List'!$B$2:$B$1005,0),3)</f>
        <v>NGOs: National</v>
      </c>
    </row>
    <row r="640" spans="1:13" x14ac:dyDescent="0.25">
      <c r="A640">
        <v>2022</v>
      </c>
      <c r="B640" t="s">
        <v>2909</v>
      </c>
      <c r="C640" t="s">
        <v>3512</v>
      </c>
      <c r="D640" t="s">
        <v>30</v>
      </c>
      <c r="E640" t="s">
        <v>303</v>
      </c>
      <c r="F640">
        <v>4500265059</v>
      </c>
      <c r="G640" t="s">
        <v>4976</v>
      </c>
      <c r="H640" t="s">
        <v>3334</v>
      </c>
      <c r="I640" t="s">
        <v>4977</v>
      </c>
      <c r="J640" t="s">
        <v>303</v>
      </c>
      <c r="K640" s="2">
        <v>132356</v>
      </c>
      <c r="L640" t="s">
        <v>6408</v>
      </c>
      <c r="M640" t="str" cm="1">
        <f t="array" ref="M640">INDEX('Org List'!$A$2:$C$1005,MATCH(Consolidated!I640&amp;Consolidated!J640,'Org List'!$A$2:$A$1005&amp;'Org List'!$B$2:$B$1005,0),3)</f>
        <v>NGOs: National</v>
      </c>
    </row>
    <row r="641" spans="1:13" x14ac:dyDescent="0.25">
      <c r="A641">
        <v>2022</v>
      </c>
      <c r="B641" t="s">
        <v>5219</v>
      </c>
      <c r="C641" t="s">
        <v>5220</v>
      </c>
      <c r="D641" t="s">
        <v>30</v>
      </c>
      <c r="E641" t="s">
        <v>793</v>
      </c>
      <c r="F641">
        <v>4500273519</v>
      </c>
      <c r="G641" t="s">
        <v>5221</v>
      </c>
      <c r="H641" t="s">
        <v>3334</v>
      </c>
      <c r="I641" t="s">
        <v>1993</v>
      </c>
      <c r="J641" t="s">
        <v>793</v>
      </c>
      <c r="K641" s="2">
        <v>6000</v>
      </c>
      <c r="L641" t="s">
        <v>6408</v>
      </c>
      <c r="M641" t="str" cm="1">
        <f t="array" ref="M641">INDEX('Org List'!$A$2:$C$1005,MATCH(Consolidated!I641&amp;Consolidated!J641,'Org List'!$A$2:$A$1005&amp;'Org List'!$B$2:$B$1005,0),3)</f>
        <v>Multilateral: UN</v>
      </c>
    </row>
    <row r="642" spans="1:13" x14ac:dyDescent="0.25">
      <c r="A642">
        <v>2022</v>
      </c>
      <c r="B642" t="s">
        <v>3515</v>
      </c>
      <c r="C642" t="s">
        <v>3516</v>
      </c>
      <c r="D642" t="s">
        <v>30</v>
      </c>
      <c r="E642" t="s">
        <v>155</v>
      </c>
      <c r="F642">
        <v>4500264577</v>
      </c>
      <c r="G642" t="s">
        <v>5208</v>
      </c>
      <c r="H642" t="s">
        <v>3334</v>
      </c>
      <c r="I642" t="s">
        <v>156</v>
      </c>
      <c r="J642" t="s">
        <v>155</v>
      </c>
      <c r="K642" s="2">
        <v>50000</v>
      </c>
      <c r="L642" t="s">
        <v>6408</v>
      </c>
      <c r="M642" t="str" cm="1">
        <f t="array" ref="M642">INDEX('Org List'!$A$2:$C$1005,MATCH(Consolidated!I642&amp;Consolidated!J642,'Org List'!$A$2:$A$1005&amp;'Org List'!$B$2:$B$1005,0),3)</f>
        <v>NGOs: International</v>
      </c>
    </row>
    <row r="643" spans="1:13" x14ac:dyDescent="0.25">
      <c r="A643">
        <v>2022</v>
      </c>
      <c r="B643" t="s">
        <v>1957</v>
      </c>
      <c r="C643" t="s">
        <v>1958</v>
      </c>
      <c r="D643" t="s">
        <v>30</v>
      </c>
      <c r="E643" t="s">
        <v>356</v>
      </c>
      <c r="F643">
        <v>4500261601</v>
      </c>
      <c r="G643" t="s">
        <v>5222</v>
      </c>
      <c r="H643" t="s">
        <v>3334</v>
      </c>
      <c r="I643" t="s">
        <v>1575</v>
      </c>
      <c r="J643" t="s">
        <v>356</v>
      </c>
      <c r="K643" s="2">
        <v>102931</v>
      </c>
      <c r="L643" t="s">
        <v>6408</v>
      </c>
      <c r="M643" t="str" cm="1">
        <f t="array" ref="M643">INDEX('Org List'!$A$2:$C$1005,MATCH(Consolidated!I643&amp;Consolidated!J643,'Org List'!$A$2:$A$1005&amp;'Org List'!$B$2:$B$1005,0),3)</f>
        <v>NGOs: National</v>
      </c>
    </row>
    <row r="644" spans="1:13" x14ac:dyDescent="0.25">
      <c r="A644">
        <v>2022</v>
      </c>
      <c r="B644" t="s">
        <v>3517</v>
      </c>
      <c r="C644" t="s">
        <v>3518</v>
      </c>
      <c r="D644" t="s">
        <v>30</v>
      </c>
      <c r="E644" t="s">
        <v>132</v>
      </c>
      <c r="F644">
        <v>4500270801</v>
      </c>
      <c r="G644" t="s">
        <v>5223</v>
      </c>
      <c r="H644" t="s">
        <v>3334</v>
      </c>
      <c r="I644" t="s">
        <v>5224</v>
      </c>
      <c r="J644" t="s">
        <v>155</v>
      </c>
      <c r="K644" s="2">
        <v>340000</v>
      </c>
      <c r="L644" t="s">
        <v>6408</v>
      </c>
      <c r="M644" t="str" cm="1">
        <f t="array" ref="M644">INDEX('Org List'!$A$2:$C$1005,MATCH(Consolidated!I644&amp;Consolidated!J644,'Org List'!$A$2:$A$1005&amp;'Org List'!$B$2:$B$1005,0),3)</f>
        <v>Multilateral: UN</v>
      </c>
    </row>
    <row r="645" spans="1:13" x14ac:dyDescent="0.25">
      <c r="A645">
        <v>2022</v>
      </c>
      <c r="B645" t="s">
        <v>2911</v>
      </c>
      <c r="C645" t="s">
        <v>3521</v>
      </c>
      <c r="D645" t="s">
        <v>30</v>
      </c>
      <c r="E645" t="s">
        <v>356</v>
      </c>
      <c r="F645">
        <v>4500254530</v>
      </c>
      <c r="G645" t="s">
        <v>4928</v>
      </c>
      <c r="H645" t="s">
        <v>3334</v>
      </c>
      <c r="I645" t="s">
        <v>2015</v>
      </c>
      <c r="J645" t="s">
        <v>356</v>
      </c>
      <c r="K645" s="2">
        <v>46622</v>
      </c>
      <c r="L645" t="s">
        <v>6408</v>
      </c>
      <c r="M645" t="str" cm="1">
        <f t="array" ref="M645">INDEX('Org List'!$A$2:$C$1005,MATCH(Consolidated!I645&amp;Consolidated!J645,'Org List'!$A$2:$A$1005&amp;'Org List'!$B$2:$B$1005,0),3)</f>
        <v>NGOs: National</v>
      </c>
    </row>
    <row r="646" spans="1:13" x14ac:dyDescent="0.25">
      <c r="A646">
        <v>2022</v>
      </c>
      <c r="B646" t="s">
        <v>2911</v>
      </c>
      <c r="C646" t="s">
        <v>3521</v>
      </c>
      <c r="D646" t="s">
        <v>30</v>
      </c>
      <c r="E646" t="s">
        <v>356</v>
      </c>
      <c r="F646">
        <v>4500266759</v>
      </c>
      <c r="G646" t="s">
        <v>5225</v>
      </c>
      <c r="H646" t="s">
        <v>3334</v>
      </c>
      <c r="I646" t="s">
        <v>1314</v>
      </c>
      <c r="J646" t="s">
        <v>356</v>
      </c>
      <c r="K646" s="2">
        <v>107727</v>
      </c>
      <c r="L646" t="s">
        <v>6408</v>
      </c>
      <c r="M646" t="str" cm="1">
        <f t="array" ref="M646">INDEX('Org List'!$A$2:$C$1005,MATCH(Consolidated!I646&amp;Consolidated!J646,'Org List'!$A$2:$A$1005&amp;'Org List'!$B$2:$B$1005,0),3)</f>
        <v>NGOs: National</v>
      </c>
    </row>
    <row r="647" spans="1:13" x14ac:dyDescent="0.25">
      <c r="A647">
        <v>2022</v>
      </c>
      <c r="B647" t="s">
        <v>2911</v>
      </c>
      <c r="C647" t="s">
        <v>3521</v>
      </c>
      <c r="D647" t="s">
        <v>30</v>
      </c>
      <c r="E647" t="s">
        <v>356</v>
      </c>
      <c r="F647">
        <v>4500271543</v>
      </c>
      <c r="G647" t="s">
        <v>5226</v>
      </c>
      <c r="H647" t="s">
        <v>3334</v>
      </c>
      <c r="I647" t="s">
        <v>1315</v>
      </c>
      <c r="J647" t="s">
        <v>356</v>
      </c>
      <c r="K647" s="2">
        <v>355488</v>
      </c>
      <c r="L647" t="s">
        <v>6408</v>
      </c>
      <c r="M647" t="str" cm="1">
        <f t="array" ref="M647">INDEX('Org List'!$A$2:$C$1005,MATCH(Consolidated!I647&amp;Consolidated!J647,'Org List'!$A$2:$A$1005&amp;'Org List'!$B$2:$B$1005,0),3)</f>
        <v>NGOs: National</v>
      </c>
    </row>
    <row r="648" spans="1:13" x14ac:dyDescent="0.25">
      <c r="A648">
        <v>2022</v>
      </c>
      <c r="B648" t="s">
        <v>2911</v>
      </c>
      <c r="C648" t="s">
        <v>3521</v>
      </c>
      <c r="D648" t="s">
        <v>30</v>
      </c>
      <c r="E648" t="s">
        <v>356</v>
      </c>
      <c r="F648">
        <v>4500272104</v>
      </c>
      <c r="G648" t="s">
        <v>5227</v>
      </c>
      <c r="H648" t="s">
        <v>3334</v>
      </c>
      <c r="I648" t="s">
        <v>1744</v>
      </c>
      <c r="J648" t="s">
        <v>356</v>
      </c>
      <c r="K648" s="2">
        <v>236222</v>
      </c>
      <c r="L648" t="s">
        <v>6408</v>
      </c>
      <c r="M648" t="str" cm="1">
        <f t="array" ref="M648">INDEX('Org List'!$A$2:$C$1005,MATCH(Consolidated!I648&amp;Consolidated!J648,'Org List'!$A$2:$A$1005&amp;'Org List'!$B$2:$B$1005,0),3)</f>
        <v>NGOs: National</v>
      </c>
    </row>
    <row r="649" spans="1:13" x14ac:dyDescent="0.25">
      <c r="A649">
        <v>2022</v>
      </c>
      <c r="B649" t="s">
        <v>3558</v>
      </c>
      <c r="C649" t="s">
        <v>3559</v>
      </c>
      <c r="D649" t="s">
        <v>30</v>
      </c>
      <c r="E649" t="s">
        <v>54</v>
      </c>
      <c r="F649">
        <v>4500275142</v>
      </c>
      <c r="G649" t="s">
        <v>5228</v>
      </c>
      <c r="H649" t="s">
        <v>3334</v>
      </c>
      <c r="I649" t="s">
        <v>3790</v>
      </c>
      <c r="J649" t="s">
        <v>54</v>
      </c>
      <c r="K649" s="2">
        <v>99705</v>
      </c>
      <c r="L649" t="s">
        <v>6408</v>
      </c>
      <c r="M649" t="str" cm="1">
        <f t="array" ref="M649">INDEX('Org List'!$A$2:$C$1005,MATCH(Consolidated!I649&amp;Consolidated!J649,'Org List'!$A$2:$A$1005&amp;'Org List'!$B$2:$B$1005,0),3)</f>
        <v>NGOs: National</v>
      </c>
    </row>
    <row r="650" spans="1:13" x14ac:dyDescent="0.25">
      <c r="A650">
        <v>2022</v>
      </c>
      <c r="B650" t="s">
        <v>791</v>
      </c>
      <c r="C650" t="s">
        <v>792</v>
      </c>
      <c r="D650" t="s">
        <v>30</v>
      </c>
      <c r="E650" t="s">
        <v>793</v>
      </c>
      <c r="F650">
        <v>4500273519</v>
      </c>
      <c r="G650" t="s">
        <v>5221</v>
      </c>
      <c r="H650" t="s">
        <v>3334</v>
      </c>
      <c r="I650" t="s">
        <v>1993</v>
      </c>
      <c r="J650" t="s">
        <v>793</v>
      </c>
      <c r="K650" s="2">
        <v>14000</v>
      </c>
      <c r="L650" t="s">
        <v>6408</v>
      </c>
      <c r="M650" t="str" cm="1">
        <f t="array" ref="M650">INDEX('Org List'!$A$2:$C$1005,MATCH(Consolidated!I650&amp;Consolidated!J650,'Org List'!$A$2:$A$1005&amp;'Org List'!$B$2:$B$1005,0),3)</f>
        <v>Multilateral: UN</v>
      </c>
    </row>
    <row r="651" spans="1:13" x14ac:dyDescent="0.25">
      <c r="A651">
        <v>2022</v>
      </c>
      <c r="B651" t="s">
        <v>87</v>
      </c>
      <c r="C651" t="s">
        <v>88</v>
      </c>
      <c r="D651" t="s">
        <v>30</v>
      </c>
      <c r="E651" t="s">
        <v>32</v>
      </c>
      <c r="F651">
        <v>4500275570</v>
      </c>
      <c r="G651" t="s">
        <v>5229</v>
      </c>
      <c r="H651" t="s">
        <v>3334</v>
      </c>
      <c r="I651" t="s">
        <v>5230</v>
      </c>
      <c r="J651" t="s">
        <v>32</v>
      </c>
      <c r="K651" s="2">
        <v>473106</v>
      </c>
      <c r="L651" t="s">
        <v>6408</v>
      </c>
      <c r="M651" t="str" cm="1">
        <f t="array" ref="M651">INDEX('Org List'!$A$2:$C$1005,MATCH(Consolidated!I651&amp;Consolidated!J651,'Org List'!$A$2:$A$1005&amp;'Org List'!$B$2:$B$1005,0),3)</f>
        <v>NGOs: International</v>
      </c>
    </row>
    <row r="652" spans="1:13" x14ac:dyDescent="0.25">
      <c r="A652">
        <v>2022</v>
      </c>
      <c r="B652" t="s">
        <v>87</v>
      </c>
      <c r="C652" t="s">
        <v>88</v>
      </c>
      <c r="D652" t="s">
        <v>30</v>
      </c>
      <c r="E652" t="s">
        <v>32</v>
      </c>
      <c r="F652">
        <v>4500275576</v>
      </c>
      <c r="G652" t="s">
        <v>5229</v>
      </c>
      <c r="H652" t="s">
        <v>3334</v>
      </c>
      <c r="I652" t="s">
        <v>5231</v>
      </c>
      <c r="J652" t="s">
        <v>32</v>
      </c>
      <c r="K652" s="2">
        <v>500000</v>
      </c>
      <c r="L652" t="s">
        <v>6408</v>
      </c>
      <c r="M652" t="str" cm="1">
        <f t="array" ref="M652">INDEX('Org List'!$A$2:$C$1005,MATCH(Consolidated!I652&amp;Consolidated!J652,'Org List'!$A$2:$A$1005&amp;'Org List'!$B$2:$B$1005,0),3)</f>
        <v>NGOs: International</v>
      </c>
    </row>
    <row r="653" spans="1:13" x14ac:dyDescent="0.25">
      <c r="A653">
        <v>2022</v>
      </c>
      <c r="B653" t="s">
        <v>87</v>
      </c>
      <c r="C653" t="s">
        <v>88</v>
      </c>
      <c r="D653" t="s">
        <v>30</v>
      </c>
      <c r="E653" t="s">
        <v>32</v>
      </c>
      <c r="F653">
        <v>4500275582</v>
      </c>
      <c r="G653" t="s">
        <v>5229</v>
      </c>
      <c r="H653" t="s">
        <v>3334</v>
      </c>
      <c r="I653" t="s">
        <v>94</v>
      </c>
      <c r="J653" t="s">
        <v>32</v>
      </c>
      <c r="K653" s="2">
        <v>496240</v>
      </c>
      <c r="L653" t="s">
        <v>6408</v>
      </c>
      <c r="M653" t="str" cm="1">
        <f t="array" ref="M653">INDEX('Org List'!$A$2:$C$1005,MATCH(Consolidated!I653&amp;Consolidated!J653,'Org List'!$A$2:$A$1005&amp;'Org List'!$B$2:$B$1005,0),3)</f>
        <v>NGOs: National</v>
      </c>
    </row>
    <row r="654" spans="1:13" x14ac:dyDescent="0.25">
      <c r="A654">
        <v>2022</v>
      </c>
      <c r="B654" t="s">
        <v>3576</v>
      </c>
      <c r="C654" t="s">
        <v>3577</v>
      </c>
      <c r="D654" t="s">
        <v>30</v>
      </c>
      <c r="E654" t="s">
        <v>54</v>
      </c>
      <c r="F654">
        <v>4500275116</v>
      </c>
      <c r="G654" t="s">
        <v>5013</v>
      </c>
      <c r="H654" t="s">
        <v>3334</v>
      </c>
      <c r="I654" t="s">
        <v>3790</v>
      </c>
      <c r="J654" t="s">
        <v>54</v>
      </c>
      <c r="K654" s="2">
        <v>88084</v>
      </c>
      <c r="L654" t="s">
        <v>6408</v>
      </c>
      <c r="M654" t="str" cm="1">
        <f t="array" ref="M654">INDEX('Org List'!$A$2:$C$1005,MATCH(Consolidated!I654&amp;Consolidated!J654,'Org List'!$A$2:$A$1005&amp;'Org List'!$B$2:$B$1005,0),3)</f>
        <v>NGOs: National</v>
      </c>
    </row>
    <row r="655" spans="1:13" x14ac:dyDescent="0.25">
      <c r="A655">
        <v>2022</v>
      </c>
      <c r="B655" t="s">
        <v>3576</v>
      </c>
      <c r="C655" t="s">
        <v>3577</v>
      </c>
      <c r="D655" t="s">
        <v>30</v>
      </c>
      <c r="E655" t="s">
        <v>54</v>
      </c>
      <c r="F655">
        <v>4500275142</v>
      </c>
      <c r="G655" t="s">
        <v>5228</v>
      </c>
      <c r="H655" t="s">
        <v>3334</v>
      </c>
      <c r="I655" t="s">
        <v>3790</v>
      </c>
      <c r="J655" t="s">
        <v>54</v>
      </c>
      <c r="K655" s="2">
        <v>99705</v>
      </c>
      <c r="L655" t="s">
        <v>6408</v>
      </c>
      <c r="M655" t="str" cm="1">
        <f t="array" ref="M655">INDEX('Org List'!$A$2:$C$1005,MATCH(Consolidated!I655&amp;Consolidated!J655,'Org List'!$A$2:$A$1005&amp;'Org List'!$B$2:$B$1005,0),3)</f>
        <v>NGOs: National</v>
      </c>
    </row>
    <row r="656" spans="1:13" x14ac:dyDescent="0.25">
      <c r="A656">
        <v>2022</v>
      </c>
      <c r="B656" t="s">
        <v>3580</v>
      </c>
      <c r="C656" t="s">
        <v>3581</v>
      </c>
      <c r="D656" t="s">
        <v>30</v>
      </c>
      <c r="E656" t="s">
        <v>356</v>
      </c>
      <c r="F656">
        <v>4500276003</v>
      </c>
      <c r="G656" t="s">
        <v>5232</v>
      </c>
      <c r="H656" t="s">
        <v>3334</v>
      </c>
      <c r="I656" t="s">
        <v>1747</v>
      </c>
      <c r="J656" t="s">
        <v>356</v>
      </c>
      <c r="K656" s="2">
        <v>539763</v>
      </c>
      <c r="L656" t="s">
        <v>6408</v>
      </c>
      <c r="M656" t="str" cm="1">
        <f t="array" ref="M656">INDEX('Org List'!$A$2:$C$1005,MATCH(Consolidated!I656&amp;Consolidated!J656,'Org List'!$A$2:$A$1005&amp;'Org List'!$B$2:$B$1005,0),3)</f>
        <v>NGOs: National</v>
      </c>
    </row>
    <row r="657" spans="1:13" x14ac:dyDescent="0.25">
      <c r="A657">
        <v>2022</v>
      </c>
      <c r="B657" t="s">
        <v>3580</v>
      </c>
      <c r="C657" t="s">
        <v>3581</v>
      </c>
      <c r="D657" t="s">
        <v>30</v>
      </c>
      <c r="E657" t="s">
        <v>356</v>
      </c>
      <c r="F657">
        <v>4500276008</v>
      </c>
      <c r="G657" t="s">
        <v>5233</v>
      </c>
      <c r="H657" t="s">
        <v>3334</v>
      </c>
      <c r="I657" t="s">
        <v>357</v>
      </c>
      <c r="J657" t="s">
        <v>356</v>
      </c>
      <c r="K657" s="2">
        <v>572722</v>
      </c>
      <c r="L657" t="s">
        <v>6408</v>
      </c>
      <c r="M657" t="str" cm="1">
        <f t="array" ref="M657">INDEX('Org List'!$A$2:$C$1005,MATCH(Consolidated!I657&amp;Consolidated!J657,'Org List'!$A$2:$A$1005&amp;'Org List'!$B$2:$B$1005,0),3)</f>
        <v>NGOs: National</v>
      </c>
    </row>
    <row r="658" spans="1:13" x14ac:dyDescent="0.25">
      <c r="A658">
        <v>2022</v>
      </c>
      <c r="B658" t="s">
        <v>5234</v>
      </c>
      <c r="C658" t="s">
        <v>5235</v>
      </c>
      <c r="D658" t="s">
        <v>9</v>
      </c>
      <c r="E658" t="s">
        <v>1650</v>
      </c>
      <c r="F658">
        <v>4500215912</v>
      </c>
      <c r="G658" t="s">
        <v>5236</v>
      </c>
      <c r="H658" t="s">
        <v>3334</v>
      </c>
      <c r="I658" t="s">
        <v>5237</v>
      </c>
      <c r="J658" t="s">
        <v>1650</v>
      </c>
      <c r="K658" s="2">
        <v>449192</v>
      </c>
      <c r="L658" t="s">
        <v>6408</v>
      </c>
      <c r="M658" t="str" cm="1">
        <f t="array" ref="M658">INDEX('Org List'!$A$2:$C$1005,MATCH(Consolidated!I658&amp;Consolidated!J658,'Org List'!$A$2:$A$1005&amp;'Org List'!$B$2:$B$1005,0),3)</f>
        <v>NGOs: National</v>
      </c>
    </row>
    <row r="659" spans="1:13" x14ac:dyDescent="0.25">
      <c r="A659">
        <v>2022</v>
      </c>
      <c r="B659" t="s">
        <v>3020</v>
      </c>
      <c r="C659" t="s">
        <v>5238</v>
      </c>
      <c r="D659" t="s">
        <v>9</v>
      </c>
      <c r="E659" t="s">
        <v>253</v>
      </c>
      <c r="F659">
        <v>4500188498</v>
      </c>
      <c r="G659" t="s">
        <v>4627</v>
      </c>
      <c r="H659" t="s">
        <v>3334</v>
      </c>
      <c r="I659" t="s">
        <v>1362</v>
      </c>
      <c r="J659" t="s">
        <v>253</v>
      </c>
      <c r="K659" s="2">
        <v>45823</v>
      </c>
      <c r="L659" t="s">
        <v>6408</v>
      </c>
      <c r="M659" t="str" cm="1">
        <f t="array" ref="M659">INDEX('Org List'!$A$2:$C$1005,MATCH(Consolidated!I659&amp;Consolidated!J659,'Org List'!$A$2:$A$1005&amp;'Org List'!$B$2:$B$1005,0),3)</f>
        <v>Red Cross: National</v>
      </c>
    </row>
    <row r="660" spans="1:13" x14ac:dyDescent="0.25">
      <c r="A660">
        <v>2022</v>
      </c>
      <c r="B660" t="s">
        <v>5239</v>
      </c>
      <c r="C660" t="s">
        <v>5240</v>
      </c>
      <c r="D660" t="s">
        <v>9</v>
      </c>
      <c r="E660" t="s">
        <v>486</v>
      </c>
      <c r="F660">
        <v>4500260256</v>
      </c>
      <c r="G660" t="s">
        <v>5241</v>
      </c>
      <c r="H660" t="s">
        <v>3334</v>
      </c>
      <c r="I660" t="s">
        <v>5242</v>
      </c>
      <c r="J660" t="s">
        <v>486</v>
      </c>
      <c r="K660" s="2">
        <v>20514</v>
      </c>
      <c r="L660" t="s">
        <v>6408</v>
      </c>
      <c r="M660" t="str" cm="1">
        <f t="array" ref="M660">INDEX('Org List'!$A$2:$C$1005,MATCH(Consolidated!I660&amp;Consolidated!J660,'Org List'!$A$2:$A$1005&amp;'Org List'!$B$2:$B$1005,0),3)</f>
        <v>Red Cross: National</v>
      </c>
    </row>
    <row r="661" spans="1:13" x14ac:dyDescent="0.25">
      <c r="A661">
        <v>2022</v>
      </c>
      <c r="B661" t="s">
        <v>5243</v>
      </c>
      <c r="C661" t="s">
        <v>5244</v>
      </c>
      <c r="D661" t="s">
        <v>9</v>
      </c>
      <c r="E661" t="s">
        <v>175</v>
      </c>
      <c r="F661">
        <v>4500184490</v>
      </c>
      <c r="G661" t="s">
        <v>5245</v>
      </c>
      <c r="H661" t="s">
        <v>3334</v>
      </c>
      <c r="I661" t="s">
        <v>5246</v>
      </c>
      <c r="J661" t="s">
        <v>175</v>
      </c>
      <c r="K661" s="2">
        <v>880000</v>
      </c>
      <c r="L661" t="s">
        <v>6408</v>
      </c>
      <c r="M661" t="str" cm="1">
        <f t="array" ref="M661">INDEX('Org List'!$A$2:$C$1005,MATCH(Consolidated!I661&amp;Consolidated!J661,'Org List'!$A$2:$A$1005&amp;'Org List'!$B$2:$B$1005,0),3)</f>
        <v>Multilateral: UN</v>
      </c>
    </row>
    <row r="662" spans="1:13" x14ac:dyDescent="0.25">
      <c r="A662">
        <v>2022</v>
      </c>
      <c r="B662" t="s">
        <v>5247</v>
      </c>
      <c r="C662" t="s">
        <v>5248</v>
      </c>
      <c r="D662" t="s">
        <v>9</v>
      </c>
      <c r="E662" t="s">
        <v>594</v>
      </c>
      <c r="F662">
        <v>4500275932</v>
      </c>
      <c r="G662" t="s">
        <v>5249</v>
      </c>
      <c r="H662" t="s">
        <v>3334</v>
      </c>
      <c r="I662" t="s">
        <v>5250</v>
      </c>
      <c r="J662" t="s">
        <v>594</v>
      </c>
      <c r="K662" s="2">
        <v>5835</v>
      </c>
      <c r="L662" t="s">
        <v>6408</v>
      </c>
      <c r="M662" t="str" cm="1">
        <f t="array" ref="M662">INDEX('Org List'!$A$2:$C$1005,MATCH(Consolidated!I662&amp;Consolidated!J662,'Org List'!$A$2:$A$1005&amp;'Org List'!$B$2:$B$1005,0),3)</f>
        <v>Private Organisations: Local/National</v>
      </c>
    </row>
    <row r="663" spans="1:13" x14ac:dyDescent="0.25">
      <c r="A663">
        <v>2022</v>
      </c>
      <c r="B663" t="s">
        <v>5251</v>
      </c>
      <c r="C663" t="s">
        <v>5252</v>
      </c>
      <c r="D663" t="s">
        <v>9</v>
      </c>
      <c r="E663" t="s">
        <v>155</v>
      </c>
      <c r="F663">
        <v>4500243368</v>
      </c>
      <c r="G663" t="s">
        <v>5253</v>
      </c>
      <c r="H663" t="s">
        <v>3334</v>
      </c>
      <c r="I663" t="s">
        <v>1656</v>
      </c>
      <c r="J663" t="s">
        <v>155</v>
      </c>
      <c r="K663" s="2">
        <v>147081</v>
      </c>
      <c r="L663" t="s">
        <v>6408</v>
      </c>
      <c r="M663" t="str" cm="1">
        <f t="array" ref="M663">INDEX('Org List'!$A$2:$C$1005,MATCH(Consolidated!I663&amp;Consolidated!J663,'Org List'!$A$2:$A$1005&amp;'Org List'!$B$2:$B$1005,0),3)</f>
        <v>NGOs: International</v>
      </c>
    </row>
    <row r="664" spans="1:13" x14ac:dyDescent="0.25">
      <c r="A664">
        <v>2022</v>
      </c>
      <c r="B664" t="s">
        <v>5251</v>
      </c>
      <c r="C664" t="s">
        <v>5252</v>
      </c>
      <c r="D664" t="s">
        <v>9</v>
      </c>
      <c r="E664" t="s">
        <v>155</v>
      </c>
      <c r="F664">
        <v>4500272784</v>
      </c>
      <c r="G664" t="s">
        <v>5254</v>
      </c>
      <c r="H664" t="s">
        <v>3334</v>
      </c>
      <c r="I664" t="s">
        <v>1543</v>
      </c>
      <c r="J664" t="s">
        <v>155</v>
      </c>
      <c r="K664" s="2">
        <v>142378</v>
      </c>
      <c r="L664" t="s">
        <v>6408</v>
      </c>
      <c r="M664" t="str" cm="1">
        <f t="array" ref="M664">INDEX('Org List'!$A$2:$C$1005,MATCH(Consolidated!I664&amp;Consolidated!J664,'Org List'!$A$2:$A$1005&amp;'Org List'!$B$2:$B$1005,0),3)</f>
        <v>Red Cross: National</v>
      </c>
    </row>
    <row r="665" spans="1:13" x14ac:dyDescent="0.25">
      <c r="A665">
        <v>2022</v>
      </c>
      <c r="B665" t="s">
        <v>5263</v>
      </c>
      <c r="C665" t="s">
        <v>5264</v>
      </c>
      <c r="D665" t="s">
        <v>30</v>
      </c>
      <c r="E665" t="s">
        <v>814</v>
      </c>
      <c r="F665">
        <v>4500186980</v>
      </c>
      <c r="G665" t="s">
        <v>5265</v>
      </c>
      <c r="H665" t="s">
        <v>3334</v>
      </c>
      <c r="I665" t="s">
        <v>115</v>
      </c>
      <c r="J665" t="s">
        <v>3842</v>
      </c>
      <c r="K665" s="2">
        <v>1701</v>
      </c>
      <c r="L665" t="s">
        <v>6408</v>
      </c>
      <c r="M665" t="str" cm="1">
        <f t="array" ref="M665">INDEX('Org List'!$A$2:$C$1005,MATCH(Consolidated!I665&amp;Consolidated!J665,'Org List'!$A$2:$A$1005&amp;'Org List'!$B$2:$B$1005,0),3)</f>
        <v>NGOs: National</v>
      </c>
    </row>
    <row r="666" spans="1:13" x14ac:dyDescent="0.25">
      <c r="A666">
        <v>2022</v>
      </c>
      <c r="B666" t="s">
        <v>5263</v>
      </c>
      <c r="C666" t="s">
        <v>5264</v>
      </c>
      <c r="D666" t="s">
        <v>30</v>
      </c>
      <c r="E666" t="s">
        <v>814</v>
      </c>
      <c r="F666">
        <v>4500195774</v>
      </c>
      <c r="G666" t="s">
        <v>5266</v>
      </c>
      <c r="H666" t="s">
        <v>3334</v>
      </c>
      <c r="I666" t="s">
        <v>112</v>
      </c>
      <c r="J666" t="s">
        <v>3842</v>
      </c>
      <c r="K666" s="2">
        <v>2577</v>
      </c>
      <c r="L666" t="s">
        <v>6408</v>
      </c>
      <c r="M666" t="str" cm="1">
        <f t="array" ref="M666">INDEX('Org List'!$A$2:$C$1005,MATCH(Consolidated!I666&amp;Consolidated!J666,'Org List'!$A$2:$A$1005&amp;'Org List'!$B$2:$B$1005,0),3)</f>
        <v>NGOs: National</v>
      </c>
    </row>
    <row r="667" spans="1:13" x14ac:dyDescent="0.25">
      <c r="A667">
        <v>2022</v>
      </c>
      <c r="B667" t="s">
        <v>5263</v>
      </c>
      <c r="C667" t="s">
        <v>5264</v>
      </c>
      <c r="D667" t="s">
        <v>30</v>
      </c>
      <c r="E667" t="s">
        <v>814</v>
      </c>
      <c r="F667">
        <v>4500201322</v>
      </c>
      <c r="G667" t="s">
        <v>5267</v>
      </c>
      <c r="H667" t="s">
        <v>3334</v>
      </c>
      <c r="I667" t="s">
        <v>112</v>
      </c>
      <c r="J667" t="s">
        <v>3842</v>
      </c>
      <c r="K667" s="2">
        <v>14372</v>
      </c>
      <c r="L667" t="s">
        <v>6408</v>
      </c>
      <c r="M667" t="str" cm="1">
        <f t="array" ref="M667">INDEX('Org List'!$A$2:$C$1005,MATCH(Consolidated!I667&amp;Consolidated!J667,'Org List'!$A$2:$A$1005&amp;'Org List'!$B$2:$B$1005,0),3)</f>
        <v>NGOs: National</v>
      </c>
    </row>
    <row r="668" spans="1:13" x14ac:dyDescent="0.25">
      <c r="A668">
        <v>2022</v>
      </c>
      <c r="B668" t="s">
        <v>5263</v>
      </c>
      <c r="C668" t="s">
        <v>5264</v>
      </c>
      <c r="D668" t="s">
        <v>30</v>
      </c>
      <c r="E668" t="s">
        <v>814</v>
      </c>
      <c r="F668">
        <v>4500216358</v>
      </c>
      <c r="G668" t="s">
        <v>3911</v>
      </c>
      <c r="H668" t="s">
        <v>3334</v>
      </c>
      <c r="I668" t="s">
        <v>112</v>
      </c>
      <c r="J668" t="s">
        <v>3842</v>
      </c>
      <c r="K668" s="2">
        <v>13391</v>
      </c>
      <c r="L668" t="s">
        <v>6408</v>
      </c>
      <c r="M668" t="str" cm="1">
        <f t="array" ref="M668">INDEX('Org List'!$A$2:$C$1005,MATCH(Consolidated!I668&amp;Consolidated!J668,'Org List'!$A$2:$A$1005&amp;'Org List'!$B$2:$B$1005,0),3)</f>
        <v>NGOs: National</v>
      </c>
    </row>
    <row r="669" spans="1:13" x14ac:dyDescent="0.25">
      <c r="A669">
        <v>2022</v>
      </c>
      <c r="B669" t="s">
        <v>5263</v>
      </c>
      <c r="C669" t="s">
        <v>5264</v>
      </c>
      <c r="D669" t="s">
        <v>30</v>
      </c>
      <c r="E669" t="s">
        <v>814</v>
      </c>
      <c r="F669">
        <v>4500230940</v>
      </c>
      <c r="G669" t="s">
        <v>5268</v>
      </c>
      <c r="H669" t="s">
        <v>3334</v>
      </c>
      <c r="I669" t="s">
        <v>119</v>
      </c>
      <c r="J669" t="s">
        <v>3842</v>
      </c>
      <c r="K669" s="2">
        <v>4697</v>
      </c>
      <c r="L669" t="s">
        <v>6408</v>
      </c>
      <c r="M669" t="str" cm="1">
        <f t="array" ref="M669">INDEX('Org List'!$A$2:$C$1005,MATCH(Consolidated!I669&amp;Consolidated!J669,'Org List'!$A$2:$A$1005&amp;'Org List'!$B$2:$B$1005,0),3)</f>
        <v>NGOs: National</v>
      </c>
    </row>
    <row r="670" spans="1:13" x14ac:dyDescent="0.25">
      <c r="A670">
        <v>2022</v>
      </c>
      <c r="B670" t="s">
        <v>5263</v>
      </c>
      <c r="C670" t="s">
        <v>5264</v>
      </c>
      <c r="D670" t="s">
        <v>30</v>
      </c>
      <c r="E670" t="s">
        <v>814</v>
      </c>
      <c r="F670">
        <v>4500230950</v>
      </c>
      <c r="G670" t="s">
        <v>5269</v>
      </c>
      <c r="H670" t="s">
        <v>3334</v>
      </c>
      <c r="I670" t="s">
        <v>117</v>
      </c>
      <c r="J670" t="s">
        <v>3842</v>
      </c>
      <c r="K670" s="2">
        <v>6510</v>
      </c>
      <c r="L670" t="s">
        <v>6408</v>
      </c>
      <c r="M670" t="str" cm="1">
        <f t="array" ref="M670">INDEX('Org List'!$A$2:$C$1005,MATCH(Consolidated!I670&amp;Consolidated!J670,'Org List'!$A$2:$A$1005&amp;'Org List'!$B$2:$B$1005,0),3)</f>
        <v>NGOs: National</v>
      </c>
    </row>
    <row r="671" spans="1:13" x14ac:dyDescent="0.25">
      <c r="A671">
        <v>2022</v>
      </c>
      <c r="B671" t="s">
        <v>5263</v>
      </c>
      <c r="C671" t="s">
        <v>5264</v>
      </c>
      <c r="D671" t="s">
        <v>30</v>
      </c>
      <c r="E671" t="s">
        <v>814</v>
      </c>
      <c r="F671">
        <v>4500230953</v>
      </c>
      <c r="G671" t="s">
        <v>5270</v>
      </c>
      <c r="H671" t="s">
        <v>3334</v>
      </c>
      <c r="I671" t="s">
        <v>116</v>
      </c>
      <c r="J671" t="s">
        <v>3842</v>
      </c>
      <c r="K671" s="2">
        <v>4337</v>
      </c>
      <c r="L671" t="s">
        <v>6408</v>
      </c>
      <c r="M671" t="str" cm="1">
        <f t="array" ref="M671">INDEX('Org List'!$A$2:$C$1005,MATCH(Consolidated!I671&amp;Consolidated!J671,'Org List'!$A$2:$A$1005&amp;'Org List'!$B$2:$B$1005,0),3)</f>
        <v>NGOs: National</v>
      </c>
    </row>
    <row r="672" spans="1:13" x14ac:dyDescent="0.25">
      <c r="A672">
        <v>2022</v>
      </c>
      <c r="B672" t="s">
        <v>5263</v>
      </c>
      <c r="C672" t="s">
        <v>5264</v>
      </c>
      <c r="D672" t="s">
        <v>30</v>
      </c>
      <c r="E672" t="s">
        <v>814</v>
      </c>
      <c r="F672">
        <v>4500230962</v>
      </c>
      <c r="G672" t="s">
        <v>5271</v>
      </c>
      <c r="H672" t="s">
        <v>3334</v>
      </c>
      <c r="I672" t="s">
        <v>116</v>
      </c>
      <c r="J672" t="s">
        <v>3842</v>
      </c>
      <c r="K672" s="2">
        <v>4923</v>
      </c>
      <c r="L672" t="s">
        <v>6408</v>
      </c>
      <c r="M672" t="str" cm="1">
        <f t="array" ref="M672">INDEX('Org List'!$A$2:$C$1005,MATCH(Consolidated!I672&amp;Consolidated!J672,'Org List'!$A$2:$A$1005&amp;'Org List'!$B$2:$B$1005,0),3)</f>
        <v>NGOs: National</v>
      </c>
    </row>
    <row r="673" spans="1:13" x14ac:dyDescent="0.25">
      <c r="A673">
        <v>2022</v>
      </c>
      <c r="B673" t="s">
        <v>5263</v>
      </c>
      <c r="C673" t="s">
        <v>5264</v>
      </c>
      <c r="D673" t="s">
        <v>30</v>
      </c>
      <c r="E673" t="s">
        <v>814</v>
      </c>
      <c r="F673">
        <v>4500230975</v>
      </c>
      <c r="G673" t="s">
        <v>5272</v>
      </c>
      <c r="H673" t="s">
        <v>3334</v>
      </c>
      <c r="I673" t="s">
        <v>5273</v>
      </c>
      <c r="J673" t="s">
        <v>3842</v>
      </c>
      <c r="K673" s="2">
        <v>4519</v>
      </c>
      <c r="L673" t="s">
        <v>6408</v>
      </c>
      <c r="M673" t="str" cm="1">
        <f t="array" ref="M673">INDEX('Org List'!$A$2:$C$1005,MATCH(Consolidated!I673&amp;Consolidated!J673,'Org List'!$A$2:$A$1005&amp;'Org List'!$B$2:$B$1005,0),3)</f>
        <v>NGOs: National</v>
      </c>
    </row>
    <row r="674" spans="1:13" x14ac:dyDescent="0.25">
      <c r="A674">
        <v>2022</v>
      </c>
      <c r="B674" t="s">
        <v>5263</v>
      </c>
      <c r="C674" t="s">
        <v>5264</v>
      </c>
      <c r="D674" t="s">
        <v>30</v>
      </c>
      <c r="E674" t="s">
        <v>814</v>
      </c>
      <c r="F674">
        <v>4500230979</v>
      </c>
      <c r="G674" t="s">
        <v>5274</v>
      </c>
      <c r="H674" t="s">
        <v>3334</v>
      </c>
      <c r="I674" t="s">
        <v>115</v>
      </c>
      <c r="J674" t="s">
        <v>3842</v>
      </c>
      <c r="K674" s="2">
        <v>4555</v>
      </c>
      <c r="L674" t="s">
        <v>6408</v>
      </c>
      <c r="M674" t="str" cm="1">
        <f t="array" ref="M674">INDEX('Org List'!$A$2:$C$1005,MATCH(Consolidated!I674&amp;Consolidated!J674,'Org List'!$A$2:$A$1005&amp;'Org List'!$B$2:$B$1005,0),3)</f>
        <v>NGOs: National</v>
      </c>
    </row>
    <row r="675" spans="1:13" x14ac:dyDescent="0.25">
      <c r="A675">
        <v>2022</v>
      </c>
      <c r="B675" t="s">
        <v>5263</v>
      </c>
      <c r="C675" t="s">
        <v>5264</v>
      </c>
      <c r="D675" t="s">
        <v>30</v>
      </c>
      <c r="E675" t="s">
        <v>814</v>
      </c>
      <c r="F675">
        <v>4500230987</v>
      </c>
      <c r="G675" t="s">
        <v>5275</v>
      </c>
      <c r="H675" t="s">
        <v>3334</v>
      </c>
      <c r="I675" t="s">
        <v>115</v>
      </c>
      <c r="J675" t="s">
        <v>3842</v>
      </c>
      <c r="K675" s="2">
        <v>7785</v>
      </c>
      <c r="L675" t="s">
        <v>6408</v>
      </c>
      <c r="M675" t="str" cm="1">
        <f t="array" ref="M675">INDEX('Org List'!$A$2:$C$1005,MATCH(Consolidated!I675&amp;Consolidated!J675,'Org List'!$A$2:$A$1005&amp;'Org List'!$B$2:$B$1005,0),3)</f>
        <v>NGOs: National</v>
      </c>
    </row>
    <row r="676" spans="1:13" x14ac:dyDescent="0.25">
      <c r="A676">
        <v>2022</v>
      </c>
      <c r="B676" t="s">
        <v>5263</v>
      </c>
      <c r="C676" t="s">
        <v>5264</v>
      </c>
      <c r="D676" t="s">
        <v>30</v>
      </c>
      <c r="E676" t="s">
        <v>814</v>
      </c>
      <c r="F676">
        <v>4500230992</v>
      </c>
      <c r="G676" t="s">
        <v>5276</v>
      </c>
      <c r="H676" t="s">
        <v>3334</v>
      </c>
      <c r="I676" t="s">
        <v>118</v>
      </c>
      <c r="J676" t="s">
        <v>3842</v>
      </c>
      <c r="K676" s="2">
        <v>4481</v>
      </c>
      <c r="L676" t="s">
        <v>6408</v>
      </c>
      <c r="M676" t="str" cm="1">
        <f t="array" ref="M676">INDEX('Org List'!$A$2:$C$1005,MATCH(Consolidated!I676&amp;Consolidated!J676,'Org List'!$A$2:$A$1005&amp;'Org List'!$B$2:$B$1005,0),3)</f>
        <v>NGOs: National</v>
      </c>
    </row>
    <row r="677" spans="1:13" x14ac:dyDescent="0.25">
      <c r="A677">
        <v>2022</v>
      </c>
      <c r="B677" t="s">
        <v>5263</v>
      </c>
      <c r="C677" t="s">
        <v>5264</v>
      </c>
      <c r="D677" t="s">
        <v>30</v>
      </c>
      <c r="E677" t="s">
        <v>814</v>
      </c>
      <c r="F677">
        <v>4500232453</v>
      </c>
      <c r="G677" t="s">
        <v>5277</v>
      </c>
      <c r="H677" t="s">
        <v>3334</v>
      </c>
      <c r="I677" t="s">
        <v>112</v>
      </c>
      <c r="J677" t="s">
        <v>3842</v>
      </c>
      <c r="K677" s="2">
        <v>6212</v>
      </c>
      <c r="L677" t="s">
        <v>6408</v>
      </c>
      <c r="M677" t="str" cm="1">
        <f t="array" ref="M677">INDEX('Org List'!$A$2:$C$1005,MATCH(Consolidated!I677&amp;Consolidated!J677,'Org List'!$A$2:$A$1005&amp;'Org List'!$B$2:$B$1005,0),3)</f>
        <v>NGOs: National</v>
      </c>
    </row>
    <row r="678" spans="1:13" x14ac:dyDescent="0.25">
      <c r="A678">
        <v>2022</v>
      </c>
      <c r="B678" t="s">
        <v>5263</v>
      </c>
      <c r="C678" t="s">
        <v>5264</v>
      </c>
      <c r="D678" t="s">
        <v>30</v>
      </c>
      <c r="E678" t="s">
        <v>814</v>
      </c>
      <c r="F678">
        <v>4500232457</v>
      </c>
      <c r="G678" t="s">
        <v>5278</v>
      </c>
      <c r="H678" t="s">
        <v>3334</v>
      </c>
      <c r="I678" t="s">
        <v>112</v>
      </c>
      <c r="J678" t="s">
        <v>3842</v>
      </c>
      <c r="K678" s="2">
        <v>5822</v>
      </c>
      <c r="L678" t="s">
        <v>6408</v>
      </c>
      <c r="M678" t="str" cm="1">
        <f t="array" ref="M678">INDEX('Org List'!$A$2:$C$1005,MATCH(Consolidated!I678&amp;Consolidated!J678,'Org List'!$A$2:$A$1005&amp;'Org List'!$B$2:$B$1005,0),3)</f>
        <v>NGOs: National</v>
      </c>
    </row>
    <row r="679" spans="1:13" x14ac:dyDescent="0.25">
      <c r="A679">
        <v>2022</v>
      </c>
      <c r="B679" t="s">
        <v>5263</v>
      </c>
      <c r="C679" t="s">
        <v>5264</v>
      </c>
      <c r="D679" t="s">
        <v>30</v>
      </c>
      <c r="E679" t="s">
        <v>814</v>
      </c>
      <c r="F679">
        <v>4500234309</v>
      </c>
      <c r="G679" t="s">
        <v>5279</v>
      </c>
      <c r="H679" t="s">
        <v>3334</v>
      </c>
      <c r="I679" t="s">
        <v>117</v>
      </c>
      <c r="J679" t="s">
        <v>3842</v>
      </c>
      <c r="K679" s="2">
        <v>6185</v>
      </c>
      <c r="L679" t="s">
        <v>6408</v>
      </c>
      <c r="M679" t="str" cm="1">
        <f t="array" ref="M679">INDEX('Org List'!$A$2:$C$1005,MATCH(Consolidated!I679&amp;Consolidated!J679,'Org List'!$A$2:$A$1005&amp;'Org List'!$B$2:$B$1005,0),3)</f>
        <v>NGOs: National</v>
      </c>
    </row>
    <row r="680" spans="1:13" x14ac:dyDescent="0.25">
      <c r="A680">
        <v>2022</v>
      </c>
      <c r="B680" t="s">
        <v>5263</v>
      </c>
      <c r="C680" t="s">
        <v>5264</v>
      </c>
      <c r="D680" t="s">
        <v>30</v>
      </c>
      <c r="E680" t="s">
        <v>814</v>
      </c>
      <c r="F680">
        <v>4500234464</v>
      </c>
      <c r="G680" t="s">
        <v>5280</v>
      </c>
      <c r="H680" t="s">
        <v>3334</v>
      </c>
      <c r="I680" t="s">
        <v>112</v>
      </c>
      <c r="J680" t="s">
        <v>3842</v>
      </c>
      <c r="K680" s="2">
        <v>6956</v>
      </c>
      <c r="L680" t="s">
        <v>6408</v>
      </c>
      <c r="M680" t="str" cm="1">
        <f t="array" ref="M680">INDEX('Org List'!$A$2:$C$1005,MATCH(Consolidated!I680&amp;Consolidated!J680,'Org List'!$A$2:$A$1005&amp;'Org List'!$B$2:$B$1005,0),3)</f>
        <v>NGOs: National</v>
      </c>
    </row>
    <row r="681" spans="1:13" x14ac:dyDescent="0.25">
      <c r="A681">
        <v>2022</v>
      </c>
      <c r="B681" t="s">
        <v>5263</v>
      </c>
      <c r="C681" t="s">
        <v>5264</v>
      </c>
      <c r="D681" t="s">
        <v>30</v>
      </c>
      <c r="E681" t="s">
        <v>814</v>
      </c>
      <c r="F681">
        <v>4500235625</v>
      </c>
      <c r="G681" t="s">
        <v>5281</v>
      </c>
      <c r="H681" t="s">
        <v>3334</v>
      </c>
      <c r="I681" t="s">
        <v>1721</v>
      </c>
      <c r="J681" t="s">
        <v>3842</v>
      </c>
      <c r="K681" s="2">
        <v>3139</v>
      </c>
      <c r="L681" t="s">
        <v>6408</v>
      </c>
      <c r="M681" t="str" cm="1">
        <f t="array" ref="M681">INDEX('Org List'!$A$2:$C$1005,MATCH(Consolidated!I681&amp;Consolidated!J681,'Org List'!$A$2:$A$1005&amp;'Org List'!$B$2:$B$1005,0),3)</f>
        <v>NGOs: National</v>
      </c>
    </row>
    <row r="682" spans="1:13" x14ac:dyDescent="0.25">
      <c r="A682">
        <v>2022</v>
      </c>
      <c r="B682" t="s">
        <v>5263</v>
      </c>
      <c r="C682" t="s">
        <v>5264</v>
      </c>
      <c r="D682" t="s">
        <v>30</v>
      </c>
      <c r="E682" t="s">
        <v>814</v>
      </c>
      <c r="F682">
        <v>4500237450</v>
      </c>
      <c r="G682" t="s">
        <v>5282</v>
      </c>
      <c r="H682" t="s">
        <v>3334</v>
      </c>
      <c r="I682" t="s">
        <v>120</v>
      </c>
      <c r="J682" t="s">
        <v>3842</v>
      </c>
      <c r="K682" s="2">
        <v>10988</v>
      </c>
      <c r="L682" t="s">
        <v>6408</v>
      </c>
      <c r="M682" t="str" cm="1">
        <f t="array" ref="M682">INDEX('Org List'!$A$2:$C$1005,MATCH(Consolidated!I682&amp;Consolidated!J682,'Org List'!$A$2:$A$1005&amp;'Org List'!$B$2:$B$1005,0),3)</f>
        <v>NGOs: International</v>
      </c>
    </row>
    <row r="683" spans="1:13" x14ac:dyDescent="0.25">
      <c r="A683">
        <v>2022</v>
      </c>
      <c r="B683" t="s">
        <v>5263</v>
      </c>
      <c r="C683" t="s">
        <v>5264</v>
      </c>
      <c r="D683" t="s">
        <v>30</v>
      </c>
      <c r="E683" t="s">
        <v>814</v>
      </c>
      <c r="F683">
        <v>4500237462</v>
      </c>
      <c r="G683" t="s">
        <v>5283</v>
      </c>
      <c r="H683" t="s">
        <v>3334</v>
      </c>
      <c r="I683" t="s">
        <v>114</v>
      </c>
      <c r="J683" t="s">
        <v>3842</v>
      </c>
      <c r="K683" s="2">
        <v>3836</v>
      </c>
      <c r="L683" t="s">
        <v>6408</v>
      </c>
      <c r="M683" t="str" cm="1">
        <f t="array" ref="M683">INDEX('Org List'!$A$2:$C$1005,MATCH(Consolidated!I683&amp;Consolidated!J683,'Org List'!$A$2:$A$1005&amp;'Org List'!$B$2:$B$1005,0),3)</f>
        <v>NGOs: National</v>
      </c>
    </row>
    <row r="684" spans="1:13" x14ac:dyDescent="0.25">
      <c r="A684">
        <v>2022</v>
      </c>
      <c r="B684" t="s">
        <v>5263</v>
      </c>
      <c r="C684" t="s">
        <v>5264</v>
      </c>
      <c r="D684" t="s">
        <v>30</v>
      </c>
      <c r="E684" t="s">
        <v>814</v>
      </c>
      <c r="F684">
        <v>4500242636</v>
      </c>
      <c r="G684" t="s">
        <v>5284</v>
      </c>
      <c r="H684" t="s">
        <v>3334</v>
      </c>
      <c r="I684" t="s">
        <v>115</v>
      </c>
      <c r="J684" t="s">
        <v>3842</v>
      </c>
      <c r="K684" s="2">
        <v>5454</v>
      </c>
      <c r="L684" t="s">
        <v>6408</v>
      </c>
      <c r="M684" t="str" cm="1">
        <f t="array" ref="M684">INDEX('Org List'!$A$2:$C$1005,MATCH(Consolidated!I684&amp;Consolidated!J684,'Org List'!$A$2:$A$1005&amp;'Org List'!$B$2:$B$1005,0),3)</f>
        <v>NGOs: National</v>
      </c>
    </row>
    <row r="685" spans="1:13" x14ac:dyDescent="0.25">
      <c r="A685">
        <v>2022</v>
      </c>
      <c r="B685" t="s">
        <v>5285</v>
      </c>
      <c r="C685" t="s">
        <v>5286</v>
      </c>
      <c r="D685" t="s">
        <v>30</v>
      </c>
      <c r="E685" t="s">
        <v>132</v>
      </c>
      <c r="F685">
        <v>4500210702</v>
      </c>
      <c r="G685" t="s">
        <v>5287</v>
      </c>
      <c r="H685" t="s">
        <v>3334</v>
      </c>
      <c r="I685" t="s">
        <v>5288</v>
      </c>
      <c r="J685" t="s">
        <v>132</v>
      </c>
      <c r="K685" s="2">
        <v>72042</v>
      </c>
      <c r="L685" t="s">
        <v>6408</v>
      </c>
      <c r="M685" t="str" cm="1">
        <f t="array" ref="M685">INDEX('Org List'!$A$2:$C$1005,MATCH(Consolidated!I685&amp;Consolidated!J685,'Org List'!$A$2:$A$1005&amp;'Org List'!$B$2:$B$1005,0),3)</f>
        <v>NGOs: National</v>
      </c>
    </row>
    <row r="686" spans="1:13" x14ac:dyDescent="0.25">
      <c r="A686">
        <v>2022</v>
      </c>
      <c r="B686" t="s">
        <v>1411</v>
      </c>
      <c r="C686" t="s">
        <v>3623</v>
      </c>
      <c r="D686" t="s">
        <v>30</v>
      </c>
      <c r="E686" t="s">
        <v>257</v>
      </c>
      <c r="F686">
        <v>4500234848</v>
      </c>
      <c r="G686" t="s">
        <v>3938</v>
      </c>
      <c r="H686" t="s">
        <v>3334</v>
      </c>
      <c r="I686" t="s">
        <v>3625</v>
      </c>
      <c r="J686" t="s">
        <v>257</v>
      </c>
      <c r="K686" s="2">
        <v>116656</v>
      </c>
      <c r="L686" t="s">
        <v>6408</v>
      </c>
      <c r="M686" t="str" cm="1">
        <f t="array" ref="M686">INDEX('Org List'!$A$2:$C$1005,MATCH(Consolidated!I686&amp;Consolidated!J686,'Org List'!$A$2:$A$1005&amp;'Org List'!$B$2:$B$1005,0),3)</f>
        <v>NGOs: National</v>
      </c>
    </row>
    <row r="687" spans="1:13" x14ac:dyDescent="0.25">
      <c r="A687">
        <v>2022</v>
      </c>
      <c r="B687" t="s">
        <v>1415</v>
      </c>
      <c r="C687" t="s">
        <v>1416</v>
      </c>
      <c r="D687" t="s">
        <v>30</v>
      </c>
      <c r="E687" t="s">
        <v>814</v>
      </c>
      <c r="F687">
        <v>4500230940</v>
      </c>
      <c r="G687" t="s">
        <v>5268</v>
      </c>
      <c r="H687" t="s">
        <v>3334</v>
      </c>
      <c r="I687" t="s">
        <v>119</v>
      </c>
      <c r="J687" t="s">
        <v>3842</v>
      </c>
      <c r="K687" s="2">
        <v>3131</v>
      </c>
      <c r="L687" t="s">
        <v>6408</v>
      </c>
      <c r="M687" t="str" cm="1">
        <f t="array" ref="M687">INDEX('Org List'!$A$2:$C$1005,MATCH(Consolidated!I687&amp;Consolidated!J687,'Org List'!$A$2:$A$1005&amp;'Org List'!$B$2:$B$1005,0),3)</f>
        <v>NGOs: National</v>
      </c>
    </row>
    <row r="688" spans="1:13" x14ac:dyDescent="0.25">
      <c r="A688">
        <v>2022</v>
      </c>
      <c r="B688" t="s">
        <v>1415</v>
      </c>
      <c r="C688" t="s">
        <v>1416</v>
      </c>
      <c r="D688" t="s">
        <v>30</v>
      </c>
      <c r="E688" t="s">
        <v>814</v>
      </c>
      <c r="F688">
        <v>4500230950</v>
      </c>
      <c r="G688" t="s">
        <v>5269</v>
      </c>
      <c r="H688" t="s">
        <v>3334</v>
      </c>
      <c r="I688" t="s">
        <v>117</v>
      </c>
      <c r="J688" t="s">
        <v>3842</v>
      </c>
      <c r="K688" s="2">
        <v>4340</v>
      </c>
      <c r="L688" t="s">
        <v>6408</v>
      </c>
      <c r="M688" t="str" cm="1">
        <f t="array" ref="M688">INDEX('Org List'!$A$2:$C$1005,MATCH(Consolidated!I688&amp;Consolidated!J688,'Org List'!$A$2:$A$1005&amp;'Org List'!$B$2:$B$1005,0),3)</f>
        <v>NGOs: National</v>
      </c>
    </row>
    <row r="689" spans="1:13" x14ac:dyDescent="0.25">
      <c r="A689">
        <v>2022</v>
      </c>
      <c r="B689" t="s">
        <v>1415</v>
      </c>
      <c r="C689" t="s">
        <v>1416</v>
      </c>
      <c r="D689" t="s">
        <v>30</v>
      </c>
      <c r="E689" t="s">
        <v>814</v>
      </c>
      <c r="F689">
        <v>4500230953</v>
      </c>
      <c r="G689" t="s">
        <v>5270</v>
      </c>
      <c r="H689" t="s">
        <v>3334</v>
      </c>
      <c r="I689" t="s">
        <v>116</v>
      </c>
      <c r="J689" t="s">
        <v>3842</v>
      </c>
      <c r="K689" s="2">
        <v>2891</v>
      </c>
      <c r="L689" t="s">
        <v>6408</v>
      </c>
      <c r="M689" t="str" cm="1">
        <f t="array" ref="M689">INDEX('Org List'!$A$2:$C$1005,MATCH(Consolidated!I689&amp;Consolidated!J689,'Org List'!$A$2:$A$1005&amp;'Org List'!$B$2:$B$1005,0),3)</f>
        <v>NGOs: National</v>
      </c>
    </row>
    <row r="690" spans="1:13" x14ac:dyDescent="0.25">
      <c r="A690">
        <v>2022</v>
      </c>
      <c r="B690" t="s">
        <v>1415</v>
      </c>
      <c r="C690" t="s">
        <v>1416</v>
      </c>
      <c r="D690" t="s">
        <v>30</v>
      </c>
      <c r="E690" t="s">
        <v>814</v>
      </c>
      <c r="F690">
        <v>4500230962</v>
      </c>
      <c r="G690" t="s">
        <v>5271</v>
      </c>
      <c r="H690" t="s">
        <v>3334</v>
      </c>
      <c r="I690" t="s">
        <v>116</v>
      </c>
      <c r="J690" t="s">
        <v>3842</v>
      </c>
      <c r="K690" s="2">
        <v>3282</v>
      </c>
      <c r="L690" t="s">
        <v>6408</v>
      </c>
      <c r="M690" t="str" cm="1">
        <f t="array" ref="M690">INDEX('Org List'!$A$2:$C$1005,MATCH(Consolidated!I690&amp;Consolidated!J690,'Org List'!$A$2:$A$1005&amp;'Org List'!$B$2:$B$1005,0),3)</f>
        <v>NGOs: National</v>
      </c>
    </row>
    <row r="691" spans="1:13" x14ac:dyDescent="0.25">
      <c r="A691">
        <v>2022</v>
      </c>
      <c r="B691" t="s">
        <v>1415</v>
      </c>
      <c r="C691" t="s">
        <v>1416</v>
      </c>
      <c r="D691" t="s">
        <v>30</v>
      </c>
      <c r="E691" t="s">
        <v>814</v>
      </c>
      <c r="F691">
        <v>4500230975</v>
      </c>
      <c r="G691" t="s">
        <v>5272</v>
      </c>
      <c r="H691" t="s">
        <v>3334</v>
      </c>
      <c r="I691" t="s">
        <v>5273</v>
      </c>
      <c r="J691" t="s">
        <v>3842</v>
      </c>
      <c r="K691" s="2">
        <v>3013</v>
      </c>
      <c r="L691" t="s">
        <v>6408</v>
      </c>
      <c r="M691" t="str" cm="1">
        <f t="array" ref="M691">INDEX('Org List'!$A$2:$C$1005,MATCH(Consolidated!I691&amp;Consolidated!J691,'Org List'!$A$2:$A$1005&amp;'Org List'!$B$2:$B$1005,0),3)</f>
        <v>NGOs: National</v>
      </c>
    </row>
    <row r="692" spans="1:13" x14ac:dyDescent="0.25">
      <c r="A692">
        <v>2022</v>
      </c>
      <c r="B692" t="s">
        <v>1415</v>
      </c>
      <c r="C692" t="s">
        <v>1416</v>
      </c>
      <c r="D692" t="s">
        <v>30</v>
      </c>
      <c r="E692" t="s">
        <v>814</v>
      </c>
      <c r="F692">
        <v>4500230979</v>
      </c>
      <c r="G692" t="s">
        <v>5274</v>
      </c>
      <c r="H692" t="s">
        <v>3334</v>
      </c>
      <c r="I692" t="s">
        <v>115</v>
      </c>
      <c r="J692" t="s">
        <v>3842</v>
      </c>
      <c r="K692" s="2">
        <v>3037</v>
      </c>
      <c r="L692" t="s">
        <v>6408</v>
      </c>
      <c r="M692" t="str" cm="1">
        <f t="array" ref="M692">INDEX('Org List'!$A$2:$C$1005,MATCH(Consolidated!I692&amp;Consolidated!J692,'Org List'!$A$2:$A$1005&amp;'Org List'!$B$2:$B$1005,0),3)</f>
        <v>NGOs: National</v>
      </c>
    </row>
    <row r="693" spans="1:13" x14ac:dyDescent="0.25">
      <c r="A693">
        <v>2022</v>
      </c>
      <c r="B693" t="s">
        <v>1415</v>
      </c>
      <c r="C693" t="s">
        <v>1416</v>
      </c>
      <c r="D693" t="s">
        <v>30</v>
      </c>
      <c r="E693" t="s">
        <v>814</v>
      </c>
      <c r="F693">
        <v>4500230987</v>
      </c>
      <c r="G693" t="s">
        <v>5275</v>
      </c>
      <c r="H693" t="s">
        <v>3334</v>
      </c>
      <c r="I693" t="s">
        <v>115</v>
      </c>
      <c r="J693" t="s">
        <v>3842</v>
      </c>
      <c r="K693" s="2">
        <v>5190</v>
      </c>
      <c r="L693" t="s">
        <v>6408</v>
      </c>
      <c r="M693" t="str" cm="1">
        <f t="array" ref="M693">INDEX('Org List'!$A$2:$C$1005,MATCH(Consolidated!I693&amp;Consolidated!J693,'Org List'!$A$2:$A$1005&amp;'Org List'!$B$2:$B$1005,0),3)</f>
        <v>NGOs: National</v>
      </c>
    </row>
    <row r="694" spans="1:13" x14ac:dyDescent="0.25">
      <c r="A694">
        <v>2022</v>
      </c>
      <c r="B694" t="s">
        <v>1415</v>
      </c>
      <c r="C694" t="s">
        <v>1416</v>
      </c>
      <c r="D694" t="s">
        <v>30</v>
      </c>
      <c r="E694" t="s">
        <v>814</v>
      </c>
      <c r="F694">
        <v>4500230992</v>
      </c>
      <c r="G694" t="s">
        <v>5276</v>
      </c>
      <c r="H694" t="s">
        <v>3334</v>
      </c>
      <c r="I694" t="s">
        <v>118</v>
      </c>
      <c r="J694" t="s">
        <v>3842</v>
      </c>
      <c r="K694" s="2">
        <v>2987</v>
      </c>
      <c r="L694" t="s">
        <v>6408</v>
      </c>
      <c r="M694" t="str" cm="1">
        <f t="array" ref="M694">INDEX('Org List'!$A$2:$C$1005,MATCH(Consolidated!I694&amp;Consolidated!J694,'Org List'!$A$2:$A$1005&amp;'Org List'!$B$2:$B$1005,0),3)</f>
        <v>NGOs: National</v>
      </c>
    </row>
    <row r="695" spans="1:13" x14ac:dyDescent="0.25">
      <c r="A695">
        <v>2022</v>
      </c>
      <c r="B695" t="s">
        <v>1415</v>
      </c>
      <c r="C695" t="s">
        <v>1416</v>
      </c>
      <c r="D695" t="s">
        <v>30</v>
      </c>
      <c r="E695" t="s">
        <v>814</v>
      </c>
      <c r="F695">
        <v>4500232453</v>
      </c>
      <c r="G695" t="s">
        <v>5277</v>
      </c>
      <c r="H695" t="s">
        <v>3334</v>
      </c>
      <c r="I695" t="s">
        <v>112</v>
      </c>
      <c r="J695" t="s">
        <v>3842</v>
      </c>
      <c r="K695" s="2">
        <v>4141</v>
      </c>
      <c r="L695" t="s">
        <v>6408</v>
      </c>
      <c r="M695" t="str" cm="1">
        <f t="array" ref="M695">INDEX('Org List'!$A$2:$C$1005,MATCH(Consolidated!I695&amp;Consolidated!J695,'Org List'!$A$2:$A$1005&amp;'Org List'!$B$2:$B$1005,0),3)</f>
        <v>NGOs: National</v>
      </c>
    </row>
    <row r="696" spans="1:13" x14ac:dyDescent="0.25">
      <c r="A696">
        <v>2022</v>
      </c>
      <c r="B696" t="s">
        <v>1415</v>
      </c>
      <c r="C696" t="s">
        <v>1416</v>
      </c>
      <c r="D696" t="s">
        <v>30</v>
      </c>
      <c r="E696" t="s">
        <v>814</v>
      </c>
      <c r="F696">
        <v>4500232457</v>
      </c>
      <c r="G696" t="s">
        <v>5278</v>
      </c>
      <c r="H696" t="s">
        <v>3334</v>
      </c>
      <c r="I696" t="s">
        <v>112</v>
      </c>
      <c r="J696" t="s">
        <v>3842</v>
      </c>
      <c r="K696" s="2">
        <v>3882</v>
      </c>
      <c r="L696" t="s">
        <v>6408</v>
      </c>
      <c r="M696" t="str" cm="1">
        <f t="array" ref="M696">INDEX('Org List'!$A$2:$C$1005,MATCH(Consolidated!I696&amp;Consolidated!J696,'Org List'!$A$2:$A$1005&amp;'Org List'!$B$2:$B$1005,0),3)</f>
        <v>NGOs: National</v>
      </c>
    </row>
    <row r="697" spans="1:13" x14ac:dyDescent="0.25">
      <c r="A697">
        <v>2022</v>
      </c>
      <c r="B697" t="s">
        <v>1415</v>
      </c>
      <c r="C697" t="s">
        <v>1416</v>
      </c>
      <c r="D697" t="s">
        <v>30</v>
      </c>
      <c r="E697" t="s">
        <v>814</v>
      </c>
      <c r="F697">
        <v>4500235625</v>
      </c>
      <c r="G697" t="s">
        <v>5281</v>
      </c>
      <c r="H697" t="s">
        <v>3334</v>
      </c>
      <c r="I697" t="s">
        <v>1721</v>
      </c>
      <c r="J697" t="s">
        <v>3842</v>
      </c>
      <c r="K697" s="2">
        <v>2092</v>
      </c>
      <c r="L697" t="s">
        <v>6408</v>
      </c>
      <c r="M697" t="str" cm="1">
        <f t="array" ref="M697">INDEX('Org List'!$A$2:$C$1005,MATCH(Consolidated!I697&amp;Consolidated!J697,'Org List'!$A$2:$A$1005&amp;'Org List'!$B$2:$B$1005,0),3)</f>
        <v>NGOs: National</v>
      </c>
    </row>
    <row r="698" spans="1:13" x14ac:dyDescent="0.25">
      <c r="A698">
        <v>2022</v>
      </c>
      <c r="B698" t="s">
        <v>1415</v>
      </c>
      <c r="C698" t="s">
        <v>1416</v>
      </c>
      <c r="D698" t="s">
        <v>30</v>
      </c>
      <c r="E698" t="s">
        <v>814</v>
      </c>
      <c r="F698">
        <v>4500237450</v>
      </c>
      <c r="G698" t="s">
        <v>5282</v>
      </c>
      <c r="H698" t="s">
        <v>3334</v>
      </c>
      <c r="I698" t="s">
        <v>120</v>
      </c>
      <c r="J698" t="s">
        <v>3842</v>
      </c>
      <c r="K698" s="2">
        <v>7325</v>
      </c>
      <c r="L698" t="s">
        <v>6408</v>
      </c>
      <c r="M698" t="str" cm="1">
        <f t="array" ref="M698">INDEX('Org List'!$A$2:$C$1005,MATCH(Consolidated!I698&amp;Consolidated!J698,'Org List'!$A$2:$A$1005&amp;'Org List'!$B$2:$B$1005,0),3)</f>
        <v>NGOs: International</v>
      </c>
    </row>
    <row r="699" spans="1:13" x14ac:dyDescent="0.25">
      <c r="A699">
        <v>2022</v>
      </c>
      <c r="B699" t="s">
        <v>1415</v>
      </c>
      <c r="C699" t="s">
        <v>1416</v>
      </c>
      <c r="D699" t="s">
        <v>30</v>
      </c>
      <c r="E699" t="s">
        <v>814</v>
      </c>
      <c r="F699">
        <v>4500237462</v>
      </c>
      <c r="G699" t="s">
        <v>5283</v>
      </c>
      <c r="H699" t="s">
        <v>3334</v>
      </c>
      <c r="I699" t="s">
        <v>114</v>
      </c>
      <c r="J699" t="s">
        <v>3842</v>
      </c>
      <c r="K699" s="2">
        <v>2557</v>
      </c>
      <c r="L699" t="s">
        <v>6408</v>
      </c>
      <c r="M699" t="str" cm="1">
        <f t="array" ref="M699">INDEX('Org List'!$A$2:$C$1005,MATCH(Consolidated!I699&amp;Consolidated!J699,'Org List'!$A$2:$A$1005&amp;'Org List'!$B$2:$B$1005,0),3)</f>
        <v>NGOs: National</v>
      </c>
    </row>
    <row r="700" spans="1:13" x14ac:dyDescent="0.25">
      <c r="A700">
        <v>2022</v>
      </c>
      <c r="B700" t="s">
        <v>1415</v>
      </c>
      <c r="C700" t="s">
        <v>1416</v>
      </c>
      <c r="D700" t="s">
        <v>30</v>
      </c>
      <c r="E700" t="s">
        <v>814</v>
      </c>
      <c r="F700">
        <v>4500257385</v>
      </c>
      <c r="G700" t="s">
        <v>5289</v>
      </c>
      <c r="H700" t="s">
        <v>3334</v>
      </c>
      <c r="I700" t="s">
        <v>117</v>
      </c>
      <c r="J700" t="s">
        <v>3842</v>
      </c>
      <c r="K700" s="2">
        <v>24071</v>
      </c>
      <c r="L700" t="s">
        <v>6408</v>
      </c>
      <c r="M700" t="str" cm="1">
        <f t="array" ref="M700">INDEX('Org List'!$A$2:$C$1005,MATCH(Consolidated!I700&amp;Consolidated!J700,'Org List'!$A$2:$A$1005&amp;'Org List'!$B$2:$B$1005,0),3)</f>
        <v>NGOs: National</v>
      </c>
    </row>
    <row r="701" spans="1:13" x14ac:dyDescent="0.25">
      <c r="A701">
        <v>2022</v>
      </c>
      <c r="B701" t="s">
        <v>1415</v>
      </c>
      <c r="C701" t="s">
        <v>1416</v>
      </c>
      <c r="D701" t="s">
        <v>30</v>
      </c>
      <c r="E701" t="s">
        <v>814</v>
      </c>
      <c r="F701">
        <v>4500257387</v>
      </c>
      <c r="G701" t="s">
        <v>5290</v>
      </c>
      <c r="H701" t="s">
        <v>3334</v>
      </c>
      <c r="I701" t="s">
        <v>114</v>
      </c>
      <c r="J701" t="s">
        <v>3842</v>
      </c>
      <c r="K701" s="2">
        <v>16036</v>
      </c>
      <c r="L701" t="s">
        <v>6408</v>
      </c>
      <c r="M701" t="str" cm="1">
        <f t="array" ref="M701">INDEX('Org List'!$A$2:$C$1005,MATCH(Consolidated!I701&amp;Consolidated!J701,'Org List'!$A$2:$A$1005&amp;'Org List'!$B$2:$B$1005,0),3)</f>
        <v>NGOs: National</v>
      </c>
    </row>
    <row r="702" spans="1:13" x14ac:dyDescent="0.25">
      <c r="A702">
        <v>2022</v>
      </c>
      <c r="B702" t="s">
        <v>1415</v>
      </c>
      <c r="C702" t="s">
        <v>1416</v>
      </c>
      <c r="D702" t="s">
        <v>30</v>
      </c>
      <c r="E702" t="s">
        <v>814</v>
      </c>
      <c r="F702">
        <v>4500257388</v>
      </c>
      <c r="G702" t="s">
        <v>5291</v>
      </c>
      <c r="H702" t="s">
        <v>3334</v>
      </c>
      <c r="I702" t="s">
        <v>116</v>
      </c>
      <c r="J702" t="s">
        <v>3842</v>
      </c>
      <c r="K702" s="2">
        <v>17373</v>
      </c>
      <c r="L702" t="s">
        <v>6408</v>
      </c>
      <c r="M702" t="str" cm="1">
        <f t="array" ref="M702">INDEX('Org List'!$A$2:$C$1005,MATCH(Consolidated!I702&amp;Consolidated!J702,'Org List'!$A$2:$A$1005&amp;'Org List'!$B$2:$B$1005,0),3)</f>
        <v>NGOs: National</v>
      </c>
    </row>
    <row r="703" spans="1:13" x14ac:dyDescent="0.25">
      <c r="A703">
        <v>2022</v>
      </c>
      <c r="B703" t="s">
        <v>1415</v>
      </c>
      <c r="C703" t="s">
        <v>1416</v>
      </c>
      <c r="D703" t="s">
        <v>30</v>
      </c>
      <c r="E703" t="s">
        <v>814</v>
      </c>
      <c r="F703">
        <v>4500257389</v>
      </c>
      <c r="G703" t="s">
        <v>5292</v>
      </c>
      <c r="H703" t="s">
        <v>3334</v>
      </c>
      <c r="I703" t="s">
        <v>113</v>
      </c>
      <c r="J703" t="s">
        <v>3842</v>
      </c>
      <c r="K703" s="2">
        <v>16710</v>
      </c>
      <c r="L703" t="s">
        <v>6408</v>
      </c>
      <c r="M703" t="str" cm="1">
        <f t="array" ref="M703">INDEX('Org List'!$A$2:$C$1005,MATCH(Consolidated!I703&amp;Consolidated!J703,'Org List'!$A$2:$A$1005&amp;'Org List'!$B$2:$B$1005,0),3)</f>
        <v>NGOs: National</v>
      </c>
    </row>
    <row r="704" spans="1:13" x14ac:dyDescent="0.25">
      <c r="A704">
        <v>2022</v>
      </c>
      <c r="B704" t="s">
        <v>1415</v>
      </c>
      <c r="C704" t="s">
        <v>1416</v>
      </c>
      <c r="D704" t="s">
        <v>30</v>
      </c>
      <c r="E704" t="s">
        <v>814</v>
      </c>
      <c r="F704">
        <v>4500257393</v>
      </c>
      <c r="G704" t="s">
        <v>5293</v>
      </c>
      <c r="H704" t="s">
        <v>3334</v>
      </c>
      <c r="I704" t="s">
        <v>118</v>
      </c>
      <c r="J704" t="s">
        <v>3842</v>
      </c>
      <c r="K704" s="2">
        <v>16567</v>
      </c>
      <c r="L704" t="s">
        <v>6408</v>
      </c>
      <c r="M704" t="str" cm="1">
        <f t="array" ref="M704">INDEX('Org List'!$A$2:$C$1005,MATCH(Consolidated!I704&amp;Consolidated!J704,'Org List'!$A$2:$A$1005&amp;'Org List'!$B$2:$B$1005,0),3)</f>
        <v>NGOs: National</v>
      </c>
    </row>
    <row r="705" spans="1:13" x14ac:dyDescent="0.25">
      <c r="A705">
        <v>2022</v>
      </c>
      <c r="B705" t="s">
        <v>1415</v>
      </c>
      <c r="C705" t="s">
        <v>1416</v>
      </c>
      <c r="D705" t="s">
        <v>30</v>
      </c>
      <c r="E705" t="s">
        <v>814</v>
      </c>
      <c r="F705">
        <v>4500257394</v>
      </c>
      <c r="G705" t="s">
        <v>5294</v>
      </c>
      <c r="H705" t="s">
        <v>3334</v>
      </c>
      <c r="I705" t="s">
        <v>115</v>
      </c>
      <c r="J705" t="s">
        <v>3842</v>
      </c>
      <c r="K705" s="2">
        <v>28783</v>
      </c>
      <c r="L705" t="s">
        <v>6408</v>
      </c>
      <c r="M705" t="str" cm="1">
        <f t="array" ref="M705">INDEX('Org List'!$A$2:$C$1005,MATCH(Consolidated!I705&amp;Consolidated!J705,'Org List'!$A$2:$A$1005&amp;'Org List'!$B$2:$B$1005,0),3)</f>
        <v>NGOs: National</v>
      </c>
    </row>
    <row r="706" spans="1:13" x14ac:dyDescent="0.25">
      <c r="A706">
        <v>2022</v>
      </c>
      <c r="B706" t="s">
        <v>1415</v>
      </c>
      <c r="C706" t="s">
        <v>1416</v>
      </c>
      <c r="D706" t="s">
        <v>30</v>
      </c>
      <c r="E706" t="s">
        <v>814</v>
      </c>
      <c r="F706">
        <v>4500257397</v>
      </c>
      <c r="G706" t="s">
        <v>5295</v>
      </c>
      <c r="H706" t="s">
        <v>3334</v>
      </c>
      <c r="I706" t="s">
        <v>1721</v>
      </c>
      <c r="J706" t="s">
        <v>3842</v>
      </c>
      <c r="K706" s="2">
        <v>13862</v>
      </c>
      <c r="L706" t="s">
        <v>6408</v>
      </c>
      <c r="M706" t="str" cm="1">
        <f t="array" ref="M706">INDEX('Org List'!$A$2:$C$1005,MATCH(Consolidated!I706&amp;Consolidated!J706,'Org List'!$A$2:$A$1005&amp;'Org List'!$B$2:$B$1005,0),3)</f>
        <v>NGOs: National</v>
      </c>
    </row>
    <row r="707" spans="1:13" x14ac:dyDescent="0.25">
      <c r="A707">
        <v>2022</v>
      </c>
      <c r="B707" t="s">
        <v>1415</v>
      </c>
      <c r="C707" t="s">
        <v>1416</v>
      </c>
      <c r="D707" t="s">
        <v>30</v>
      </c>
      <c r="E707" t="s">
        <v>814</v>
      </c>
      <c r="F707">
        <v>4500257398</v>
      </c>
      <c r="G707" t="s">
        <v>5296</v>
      </c>
      <c r="H707" t="s">
        <v>3334</v>
      </c>
      <c r="I707" t="s">
        <v>112</v>
      </c>
      <c r="J707" t="s">
        <v>3842</v>
      </c>
      <c r="K707" s="2">
        <v>21528</v>
      </c>
      <c r="L707" t="s">
        <v>6408</v>
      </c>
      <c r="M707" t="str" cm="1">
        <f t="array" ref="M707">INDEX('Org List'!$A$2:$C$1005,MATCH(Consolidated!I707&amp;Consolidated!J707,'Org List'!$A$2:$A$1005&amp;'Org List'!$B$2:$B$1005,0),3)</f>
        <v>NGOs: National</v>
      </c>
    </row>
    <row r="708" spans="1:13" x14ac:dyDescent="0.25">
      <c r="A708">
        <v>2022</v>
      </c>
      <c r="B708" t="s">
        <v>1415</v>
      </c>
      <c r="C708" t="s">
        <v>1416</v>
      </c>
      <c r="D708" t="s">
        <v>30</v>
      </c>
      <c r="E708" t="s">
        <v>814</v>
      </c>
      <c r="F708">
        <v>4500257399</v>
      </c>
      <c r="G708" t="s">
        <v>5297</v>
      </c>
      <c r="H708" t="s">
        <v>3334</v>
      </c>
      <c r="I708" t="s">
        <v>120</v>
      </c>
      <c r="J708" t="s">
        <v>3842</v>
      </c>
      <c r="K708" s="2">
        <v>42230</v>
      </c>
      <c r="L708" t="s">
        <v>6408</v>
      </c>
      <c r="M708" t="str" cm="1">
        <f t="array" ref="M708">INDEX('Org List'!$A$2:$C$1005,MATCH(Consolidated!I708&amp;Consolidated!J708,'Org List'!$A$2:$A$1005&amp;'Org List'!$B$2:$B$1005,0),3)</f>
        <v>NGOs: International</v>
      </c>
    </row>
    <row r="709" spans="1:13" x14ac:dyDescent="0.25">
      <c r="A709">
        <v>2022</v>
      </c>
      <c r="B709" t="s">
        <v>1415</v>
      </c>
      <c r="C709" t="s">
        <v>1416</v>
      </c>
      <c r="D709" t="s">
        <v>30</v>
      </c>
      <c r="E709" t="s">
        <v>814</v>
      </c>
      <c r="F709">
        <v>4500257401</v>
      </c>
      <c r="G709" t="s">
        <v>5298</v>
      </c>
      <c r="H709" t="s">
        <v>3334</v>
      </c>
      <c r="I709" t="s">
        <v>119</v>
      </c>
      <c r="J709" t="s">
        <v>3842</v>
      </c>
      <c r="K709" s="2">
        <v>17366</v>
      </c>
      <c r="L709" t="s">
        <v>6408</v>
      </c>
      <c r="M709" t="str" cm="1">
        <f t="array" ref="M709">INDEX('Org List'!$A$2:$C$1005,MATCH(Consolidated!I709&amp;Consolidated!J709,'Org List'!$A$2:$A$1005&amp;'Org List'!$B$2:$B$1005,0),3)</f>
        <v>NGOs: National</v>
      </c>
    </row>
    <row r="710" spans="1:13" x14ac:dyDescent="0.25">
      <c r="A710">
        <v>2022</v>
      </c>
      <c r="B710" t="s">
        <v>1415</v>
      </c>
      <c r="C710" t="s">
        <v>1416</v>
      </c>
      <c r="D710" t="s">
        <v>30</v>
      </c>
      <c r="E710" t="s">
        <v>814</v>
      </c>
      <c r="F710">
        <v>4500257402</v>
      </c>
      <c r="G710" t="s">
        <v>3915</v>
      </c>
      <c r="H710" t="s">
        <v>3334</v>
      </c>
      <c r="I710" t="s">
        <v>115</v>
      </c>
      <c r="J710" t="s">
        <v>3842</v>
      </c>
      <c r="K710" s="2">
        <v>10563</v>
      </c>
      <c r="L710" t="s">
        <v>6408</v>
      </c>
      <c r="M710" t="str" cm="1">
        <f t="array" ref="M710">INDEX('Org List'!$A$2:$C$1005,MATCH(Consolidated!I710&amp;Consolidated!J710,'Org List'!$A$2:$A$1005&amp;'Org List'!$B$2:$B$1005,0),3)</f>
        <v>NGOs: National</v>
      </c>
    </row>
    <row r="711" spans="1:13" x14ac:dyDescent="0.25">
      <c r="A711">
        <v>2022</v>
      </c>
      <c r="B711" t="s">
        <v>1415</v>
      </c>
      <c r="C711" t="s">
        <v>1416</v>
      </c>
      <c r="D711" t="s">
        <v>30</v>
      </c>
      <c r="E711" t="s">
        <v>814</v>
      </c>
      <c r="F711">
        <v>4500257405</v>
      </c>
      <c r="G711" t="s">
        <v>5296</v>
      </c>
      <c r="H711" t="s">
        <v>3334</v>
      </c>
      <c r="I711" t="s">
        <v>112</v>
      </c>
      <c r="J711" t="s">
        <v>3842</v>
      </c>
      <c r="K711" s="2">
        <v>22967</v>
      </c>
      <c r="L711" t="s">
        <v>6408</v>
      </c>
      <c r="M711" t="str" cm="1">
        <f t="array" ref="M711">INDEX('Org List'!$A$2:$C$1005,MATCH(Consolidated!I711&amp;Consolidated!J711,'Org List'!$A$2:$A$1005&amp;'Org List'!$B$2:$B$1005,0),3)</f>
        <v>NGOs: National</v>
      </c>
    </row>
    <row r="712" spans="1:13" x14ac:dyDescent="0.25">
      <c r="A712">
        <v>2022</v>
      </c>
      <c r="B712" t="s">
        <v>1415</v>
      </c>
      <c r="C712" t="s">
        <v>1416</v>
      </c>
      <c r="D712" t="s">
        <v>30</v>
      </c>
      <c r="E712" t="s">
        <v>814</v>
      </c>
      <c r="F712">
        <v>4500257407</v>
      </c>
      <c r="G712" t="s">
        <v>5296</v>
      </c>
      <c r="H712" t="s">
        <v>3334</v>
      </c>
      <c r="I712" t="s">
        <v>116</v>
      </c>
      <c r="J712" t="s">
        <v>3842</v>
      </c>
      <c r="K712" s="2">
        <v>18201</v>
      </c>
      <c r="L712" t="s">
        <v>6408</v>
      </c>
      <c r="M712" t="str" cm="1">
        <f t="array" ref="M712">INDEX('Org List'!$A$2:$C$1005,MATCH(Consolidated!I712&amp;Consolidated!J712,'Org List'!$A$2:$A$1005&amp;'Org List'!$B$2:$B$1005,0),3)</f>
        <v>NGOs: National</v>
      </c>
    </row>
    <row r="713" spans="1:13" x14ac:dyDescent="0.25">
      <c r="A713">
        <v>2022</v>
      </c>
      <c r="B713" t="s">
        <v>3626</v>
      </c>
      <c r="C713" t="s">
        <v>3627</v>
      </c>
      <c r="D713" t="s">
        <v>30</v>
      </c>
      <c r="E713" t="s">
        <v>330</v>
      </c>
      <c r="F713">
        <v>4500216036</v>
      </c>
      <c r="G713" t="s">
        <v>5299</v>
      </c>
      <c r="H713" t="s">
        <v>3334</v>
      </c>
      <c r="I713" t="s">
        <v>2689</v>
      </c>
      <c r="J713" t="s">
        <v>330</v>
      </c>
      <c r="K713" s="2">
        <v>103156</v>
      </c>
      <c r="L713" t="s">
        <v>6408</v>
      </c>
      <c r="M713" t="str" cm="1">
        <f t="array" ref="M713">INDEX('Org List'!$A$2:$C$1005,MATCH(Consolidated!I713&amp;Consolidated!J713,'Org List'!$A$2:$A$1005&amp;'Org List'!$B$2:$B$1005,0),3)</f>
        <v>NGOs: National</v>
      </c>
    </row>
    <row r="714" spans="1:13" x14ac:dyDescent="0.25">
      <c r="A714">
        <v>2022</v>
      </c>
      <c r="B714" t="s">
        <v>2054</v>
      </c>
      <c r="C714" t="s">
        <v>446</v>
      </c>
      <c r="D714" t="s">
        <v>30</v>
      </c>
      <c r="E714" t="s">
        <v>257</v>
      </c>
      <c r="F714">
        <v>4500239543</v>
      </c>
      <c r="G714" t="s">
        <v>5300</v>
      </c>
      <c r="H714" t="s">
        <v>3334</v>
      </c>
      <c r="I714" t="s">
        <v>422</v>
      </c>
      <c r="J714" t="s">
        <v>257</v>
      </c>
      <c r="K714" s="2">
        <v>238872</v>
      </c>
      <c r="L714" t="s">
        <v>6408</v>
      </c>
      <c r="M714" t="str" cm="1">
        <f t="array" ref="M714">INDEX('Org List'!$A$2:$C$1005,MATCH(Consolidated!I714&amp;Consolidated!J714,'Org List'!$A$2:$A$1005&amp;'Org List'!$B$2:$B$1005,0),3)</f>
        <v>NGOs: Internationally affiliated</v>
      </c>
    </row>
    <row r="715" spans="1:13" x14ac:dyDescent="0.25">
      <c r="A715">
        <v>2022</v>
      </c>
      <c r="B715" t="s">
        <v>2054</v>
      </c>
      <c r="C715" t="s">
        <v>446</v>
      </c>
      <c r="D715" t="s">
        <v>30</v>
      </c>
      <c r="E715" t="s">
        <v>257</v>
      </c>
      <c r="F715">
        <v>4500239546</v>
      </c>
      <c r="G715" t="s">
        <v>5301</v>
      </c>
      <c r="H715" t="s">
        <v>3334</v>
      </c>
      <c r="I715" t="s">
        <v>421</v>
      </c>
      <c r="J715" t="s">
        <v>257</v>
      </c>
      <c r="K715" s="2">
        <v>276115</v>
      </c>
      <c r="L715" t="s">
        <v>6408</v>
      </c>
      <c r="M715" t="str" cm="1">
        <f t="array" ref="M715">INDEX('Org List'!$A$2:$C$1005,MATCH(Consolidated!I715&amp;Consolidated!J715,'Org List'!$A$2:$A$1005&amp;'Org List'!$B$2:$B$1005,0),3)</f>
        <v>NGOs: National</v>
      </c>
    </row>
    <row r="716" spans="1:13" x14ac:dyDescent="0.25">
      <c r="A716">
        <v>2022</v>
      </c>
      <c r="B716" t="s">
        <v>443</v>
      </c>
      <c r="C716" t="s">
        <v>444</v>
      </c>
      <c r="D716" t="s">
        <v>30</v>
      </c>
      <c r="E716" t="s">
        <v>155</v>
      </c>
      <c r="F716">
        <v>4500266887</v>
      </c>
      <c r="G716" t="s">
        <v>2806</v>
      </c>
      <c r="H716" t="s">
        <v>3334</v>
      </c>
      <c r="I716" t="s">
        <v>2956</v>
      </c>
      <c r="J716" t="s">
        <v>155</v>
      </c>
      <c r="K716" s="2">
        <v>61397</v>
      </c>
      <c r="L716" t="s">
        <v>6408</v>
      </c>
      <c r="M716" t="str" cm="1">
        <f t="array" ref="M716">INDEX('Org List'!$A$2:$C$1005,MATCH(Consolidated!I716&amp;Consolidated!J716,'Org List'!$A$2:$A$1005&amp;'Org List'!$B$2:$B$1005,0),3)</f>
        <v>NGOs: Local</v>
      </c>
    </row>
    <row r="717" spans="1:13" x14ac:dyDescent="0.25">
      <c r="A717">
        <v>2022</v>
      </c>
      <c r="B717" t="s">
        <v>5302</v>
      </c>
      <c r="C717" t="s">
        <v>5303</v>
      </c>
      <c r="D717" t="s">
        <v>30</v>
      </c>
      <c r="E717" t="s">
        <v>226</v>
      </c>
      <c r="F717">
        <v>4500264564</v>
      </c>
      <c r="G717" t="s">
        <v>5304</v>
      </c>
      <c r="H717" t="s">
        <v>3334</v>
      </c>
      <c r="I717" t="s">
        <v>842</v>
      </c>
      <c r="J717" t="s">
        <v>226</v>
      </c>
      <c r="K717" s="2">
        <v>509732</v>
      </c>
      <c r="L717" t="s">
        <v>6408</v>
      </c>
      <c r="M717" t="str" cm="1">
        <f t="array" ref="M717">INDEX('Org List'!$A$2:$C$1005,MATCH(Consolidated!I717&amp;Consolidated!J717,'Org List'!$A$2:$A$1005&amp;'Org List'!$B$2:$B$1005,0),3)</f>
        <v>NGOs: National</v>
      </c>
    </row>
    <row r="718" spans="1:13" x14ac:dyDescent="0.25">
      <c r="A718">
        <v>2022</v>
      </c>
      <c r="B718" t="s">
        <v>5305</v>
      </c>
      <c r="C718" t="s">
        <v>5306</v>
      </c>
      <c r="D718" t="s">
        <v>30</v>
      </c>
      <c r="E718" t="s">
        <v>1426</v>
      </c>
      <c r="F718">
        <v>4500212959</v>
      </c>
      <c r="G718" t="s">
        <v>5307</v>
      </c>
      <c r="H718" t="s">
        <v>3334</v>
      </c>
      <c r="I718" t="s">
        <v>5308</v>
      </c>
      <c r="J718" t="s">
        <v>5309</v>
      </c>
      <c r="K718" s="2">
        <v>10000</v>
      </c>
      <c r="L718" t="s">
        <v>6408</v>
      </c>
      <c r="M718" t="str" cm="1">
        <f t="array" ref="M718">INDEX('Org List'!$A$2:$C$1005,MATCH(Consolidated!I718&amp;Consolidated!J718,'Org List'!$A$2:$A$1005&amp;'Org List'!$B$2:$B$1005,0),3)</f>
        <v>NGOs: Internationally affiliated</v>
      </c>
    </row>
    <row r="719" spans="1:13" x14ac:dyDescent="0.25">
      <c r="A719">
        <v>2022</v>
      </c>
      <c r="B719" t="s">
        <v>5310</v>
      </c>
      <c r="C719" t="s">
        <v>5311</v>
      </c>
      <c r="D719" t="s">
        <v>30</v>
      </c>
      <c r="E719" t="s">
        <v>54</v>
      </c>
      <c r="F719">
        <v>4500211576</v>
      </c>
      <c r="G719" t="s">
        <v>4938</v>
      </c>
      <c r="H719" t="s">
        <v>3334</v>
      </c>
      <c r="I719" t="s">
        <v>3497</v>
      </c>
      <c r="J719" t="s">
        <v>54</v>
      </c>
      <c r="K719" s="2">
        <v>1936</v>
      </c>
      <c r="L719" t="s">
        <v>6408</v>
      </c>
      <c r="M719" t="str" cm="1">
        <f t="array" ref="M719">INDEX('Org List'!$A$2:$C$1005,MATCH(Consolidated!I719&amp;Consolidated!J719,'Org List'!$A$2:$A$1005&amp;'Org List'!$B$2:$B$1005,0),3)</f>
        <v>NGOs: National</v>
      </c>
    </row>
    <row r="720" spans="1:13" x14ac:dyDescent="0.25">
      <c r="A720">
        <v>2022</v>
      </c>
      <c r="B720" t="s">
        <v>5310</v>
      </c>
      <c r="C720" t="s">
        <v>5311</v>
      </c>
      <c r="D720" t="s">
        <v>30</v>
      </c>
      <c r="E720" t="s">
        <v>54</v>
      </c>
      <c r="F720">
        <v>4500211592</v>
      </c>
      <c r="G720" t="s">
        <v>5312</v>
      </c>
      <c r="H720" t="s">
        <v>3334</v>
      </c>
      <c r="I720" t="s">
        <v>5010</v>
      </c>
      <c r="J720" t="s">
        <v>54</v>
      </c>
      <c r="K720" s="2">
        <v>5988</v>
      </c>
      <c r="L720" t="s">
        <v>6408</v>
      </c>
      <c r="M720" t="str" cm="1">
        <f t="array" ref="M720">INDEX('Org List'!$A$2:$C$1005,MATCH(Consolidated!I720&amp;Consolidated!J720,'Org List'!$A$2:$A$1005&amp;'Org List'!$B$2:$B$1005,0),3)</f>
        <v>NGOs: National</v>
      </c>
    </row>
    <row r="721" spans="1:13" x14ac:dyDescent="0.25">
      <c r="A721">
        <v>2022</v>
      </c>
      <c r="B721" t="s">
        <v>5310</v>
      </c>
      <c r="C721" t="s">
        <v>5311</v>
      </c>
      <c r="D721" t="s">
        <v>30</v>
      </c>
      <c r="E721" t="s">
        <v>54</v>
      </c>
      <c r="F721">
        <v>4500214382</v>
      </c>
      <c r="G721" t="s">
        <v>4939</v>
      </c>
      <c r="H721" t="s">
        <v>3334</v>
      </c>
      <c r="I721" t="s">
        <v>3495</v>
      </c>
      <c r="J721" t="s">
        <v>54</v>
      </c>
      <c r="K721" s="2">
        <v>1170</v>
      </c>
      <c r="L721" t="s">
        <v>6408</v>
      </c>
      <c r="M721" t="str" cm="1">
        <f t="array" ref="M721">INDEX('Org List'!$A$2:$C$1005,MATCH(Consolidated!I721&amp;Consolidated!J721,'Org List'!$A$2:$A$1005&amp;'Org List'!$B$2:$B$1005,0),3)</f>
        <v>NGOs: National</v>
      </c>
    </row>
    <row r="722" spans="1:13" x14ac:dyDescent="0.25">
      <c r="A722">
        <v>2022</v>
      </c>
      <c r="B722" t="s">
        <v>5310</v>
      </c>
      <c r="C722" t="s">
        <v>5311</v>
      </c>
      <c r="D722" t="s">
        <v>30</v>
      </c>
      <c r="E722" t="s">
        <v>54</v>
      </c>
      <c r="F722">
        <v>4500214394</v>
      </c>
      <c r="G722" t="s">
        <v>4940</v>
      </c>
      <c r="H722" t="s">
        <v>3334</v>
      </c>
      <c r="I722" t="s">
        <v>1248</v>
      </c>
      <c r="J722" t="s">
        <v>54</v>
      </c>
      <c r="K722" s="2">
        <v>1111</v>
      </c>
      <c r="L722" t="s">
        <v>6408</v>
      </c>
      <c r="M722" t="str" cm="1">
        <f t="array" ref="M722">INDEX('Org List'!$A$2:$C$1005,MATCH(Consolidated!I722&amp;Consolidated!J722,'Org List'!$A$2:$A$1005&amp;'Org List'!$B$2:$B$1005,0),3)</f>
        <v>NGOs: National</v>
      </c>
    </row>
    <row r="723" spans="1:13" x14ac:dyDescent="0.25">
      <c r="A723">
        <v>2022</v>
      </c>
      <c r="B723" t="s">
        <v>5310</v>
      </c>
      <c r="C723" t="s">
        <v>5311</v>
      </c>
      <c r="D723" t="s">
        <v>30</v>
      </c>
      <c r="E723" t="s">
        <v>54</v>
      </c>
      <c r="F723">
        <v>4500215609</v>
      </c>
      <c r="G723" t="s">
        <v>5313</v>
      </c>
      <c r="H723" t="s">
        <v>3334</v>
      </c>
      <c r="I723" t="s">
        <v>278</v>
      </c>
      <c r="J723" t="s">
        <v>54</v>
      </c>
      <c r="K723" s="2">
        <v>4870</v>
      </c>
      <c r="L723" t="s">
        <v>6408</v>
      </c>
      <c r="M723" t="str" cm="1">
        <f t="array" ref="M723">INDEX('Org List'!$A$2:$C$1005,MATCH(Consolidated!I723&amp;Consolidated!J723,'Org List'!$A$2:$A$1005&amp;'Org List'!$B$2:$B$1005,0),3)</f>
        <v>NGOs: Internationally affiliated</v>
      </c>
    </row>
    <row r="724" spans="1:13" x14ac:dyDescent="0.25">
      <c r="A724">
        <v>2022</v>
      </c>
      <c r="B724" t="s">
        <v>5310</v>
      </c>
      <c r="C724" t="s">
        <v>5311</v>
      </c>
      <c r="D724" t="s">
        <v>30</v>
      </c>
      <c r="E724" t="s">
        <v>54</v>
      </c>
      <c r="F724">
        <v>4500218838</v>
      </c>
      <c r="G724" t="s">
        <v>4941</v>
      </c>
      <c r="H724" t="s">
        <v>3334</v>
      </c>
      <c r="I724" t="s">
        <v>4942</v>
      </c>
      <c r="J724" t="s">
        <v>54</v>
      </c>
      <c r="K724" s="2">
        <v>2459</v>
      </c>
      <c r="L724" t="s">
        <v>6408</v>
      </c>
      <c r="M724" t="str" cm="1">
        <f t="array" ref="M724">INDEX('Org List'!$A$2:$C$1005,MATCH(Consolidated!I724&amp;Consolidated!J724,'Org List'!$A$2:$A$1005&amp;'Org List'!$B$2:$B$1005,0),3)</f>
        <v>Unknown</v>
      </c>
    </row>
    <row r="725" spans="1:13" x14ac:dyDescent="0.25">
      <c r="A725">
        <v>2022</v>
      </c>
      <c r="B725" t="s">
        <v>5310</v>
      </c>
      <c r="C725" t="s">
        <v>5311</v>
      </c>
      <c r="D725" t="s">
        <v>30</v>
      </c>
      <c r="E725" t="s">
        <v>54</v>
      </c>
      <c r="F725">
        <v>4500221488</v>
      </c>
      <c r="G725" t="s">
        <v>4957</v>
      </c>
      <c r="H725" t="s">
        <v>3334</v>
      </c>
      <c r="I725" t="s">
        <v>4958</v>
      </c>
      <c r="J725" t="s">
        <v>54</v>
      </c>
      <c r="K725">
        <v>901</v>
      </c>
      <c r="L725" t="s">
        <v>6408</v>
      </c>
      <c r="M725" t="str" cm="1">
        <f t="array" ref="M725">INDEX('Org List'!$A$2:$C$1005,MATCH(Consolidated!I725&amp;Consolidated!J725,'Org List'!$A$2:$A$1005&amp;'Org List'!$B$2:$B$1005,0),3)</f>
        <v>NGOs: National</v>
      </c>
    </row>
    <row r="726" spans="1:13" x14ac:dyDescent="0.25">
      <c r="A726">
        <v>2022</v>
      </c>
      <c r="B726" t="s">
        <v>5310</v>
      </c>
      <c r="C726" t="s">
        <v>5311</v>
      </c>
      <c r="D726" t="s">
        <v>30</v>
      </c>
      <c r="E726" t="s">
        <v>54</v>
      </c>
      <c r="F726">
        <v>4500221500</v>
      </c>
      <c r="G726" t="s">
        <v>4959</v>
      </c>
      <c r="H726" t="s">
        <v>3334</v>
      </c>
      <c r="I726" t="s">
        <v>3790</v>
      </c>
      <c r="J726" t="s">
        <v>54</v>
      </c>
      <c r="K726" s="2">
        <v>16382</v>
      </c>
      <c r="L726" t="s">
        <v>6408</v>
      </c>
      <c r="M726" t="str" cm="1">
        <f t="array" ref="M726">INDEX('Org List'!$A$2:$C$1005,MATCH(Consolidated!I726&amp;Consolidated!J726,'Org List'!$A$2:$A$1005&amp;'Org List'!$B$2:$B$1005,0),3)</f>
        <v>NGOs: National</v>
      </c>
    </row>
    <row r="727" spans="1:13" x14ac:dyDescent="0.25">
      <c r="A727">
        <v>2022</v>
      </c>
      <c r="B727" t="s">
        <v>5310</v>
      </c>
      <c r="C727" t="s">
        <v>5311</v>
      </c>
      <c r="D727" t="s">
        <v>30</v>
      </c>
      <c r="E727" t="s">
        <v>54</v>
      </c>
      <c r="F727">
        <v>4500222876</v>
      </c>
      <c r="G727" t="s">
        <v>4960</v>
      </c>
      <c r="H727" t="s">
        <v>3334</v>
      </c>
      <c r="I727" t="s">
        <v>4961</v>
      </c>
      <c r="J727" t="s">
        <v>54</v>
      </c>
      <c r="K727" s="2">
        <v>1230</v>
      </c>
      <c r="L727" t="s">
        <v>6408</v>
      </c>
      <c r="M727" t="str" cm="1">
        <f t="array" ref="M727">INDEX('Org List'!$A$2:$C$1005,MATCH(Consolidated!I727&amp;Consolidated!J727,'Org List'!$A$2:$A$1005&amp;'Org List'!$B$2:$B$1005,0),3)</f>
        <v>NGOs: National</v>
      </c>
    </row>
    <row r="728" spans="1:13" x14ac:dyDescent="0.25">
      <c r="A728">
        <v>2022</v>
      </c>
      <c r="B728" t="s">
        <v>5310</v>
      </c>
      <c r="C728" t="s">
        <v>5311</v>
      </c>
      <c r="D728" t="s">
        <v>30</v>
      </c>
      <c r="E728" t="s">
        <v>54</v>
      </c>
      <c r="F728">
        <v>4500222879</v>
      </c>
      <c r="G728" t="s">
        <v>5314</v>
      </c>
      <c r="H728" t="s">
        <v>3334</v>
      </c>
      <c r="I728" t="s">
        <v>5315</v>
      </c>
      <c r="J728" t="s">
        <v>54</v>
      </c>
      <c r="K728">
        <v>383</v>
      </c>
      <c r="L728" t="s">
        <v>6408</v>
      </c>
      <c r="M728" t="str" cm="1">
        <f t="array" ref="M728">INDEX('Org List'!$A$2:$C$1005,MATCH(Consolidated!I728&amp;Consolidated!J728,'Org List'!$A$2:$A$1005&amp;'Org List'!$B$2:$B$1005,0),3)</f>
        <v>NGOs: National</v>
      </c>
    </row>
    <row r="729" spans="1:13" x14ac:dyDescent="0.25">
      <c r="A729">
        <v>2022</v>
      </c>
      <c r="B729" t="s">
        <v>5310</v>
      </c>
      <c r="C729" t="s">
        <v>5311</v>
      </c>
      <c r="D729" t="s">
        <v>30</v>
      </c>
      <c r="E729" t="s">
        <v>54</v>
      </c>
      <c r="F729">
        <v>4500227953</v>
      </c>
      <c r="G729" t="s">
        <v>5316</v>
      </c>
      <c r="H729" t="s">
        <v>3334</v>
      </c>
      <c r="I729" t="s">
        <v>1291</v>
      </c>
      <c r="J729" t="s">
        <v>54</v>
      </c>
      <c r="K729" s="2">
        <v>10032</v>
      </c>
      <c r="L729" t="s">
        <v>6408</v>
      </c>
      <c r="M729" t="str" cm="1">
        <f t="array" ref="M729">INDEX('Org List'!$A$2:$C$1005,MATCH(Consolidated!I729&amp;Consolidated!J729,'Org List'!$A$2:$A$1005&amp;'Org List'!$B$2:$B$1005,0),3)</f>
        <v>NGOs: National</v>
      </c>
    </row>
    <row r="730" spans="1:13" x14ac:dyDescent="0.25">
      <c r="A730">
        <v>2022</v>
      </c>
      <c r="B730" t="s">
        <v>5310</v>
      </c>
      <c r="C730" t="s">
        <v>5311</v>
      </c>
      <c r="D730" t="s">
        <v>30</v>
      </c>
      <c r="E730" t="s">
        <v>54</v>
      </c>
      <c r="F730">
        <v>4500230824</v>
      </c>
      <c r="G730" t="s">
        <v>5317</v>
      </c>
      <c r="H730" t="s">
        <v>3334</v>
      </c>
      <c r="I730" t="s">
        <v>5007</v>
      </c>
      <c r="J730" t="s">
        <v>54</v>
      </c>
      <c r="K730" s="2">
        <v>20180</v>
      </c>
      <c r="L730" t="s">
        <v>6408</v>
      </c>
      <c r="M730" t="str" cm="1">
        <f t="array" ref="M730">INDEX('Org List'!$A$2:$C$1005,MATCH(Consolidated!I730&amp;Consolidated!J730,'Org List'!$A$2:$A$1005&amp;'Org List'!$B$2:$B$1005,0),3)</f>
        <v>NGOs: National</v>
      </c>
    </row>
    <row r="731" spans="1:13" x14ac:dyDescent="0.25">
      <c r="A731">
        <v>2022</v>
      </c>
      <c r="B731" t="s">
        <v>5310</v>
      </c>
      <c r="C731" t="s">
        <v>5311</v>
      </c>
      <c r="D731" t="s">
        <v>30</v>
      </c>
      <c r="E731" t="s">
        <v>54</v>
      </c>
      <c r="F731">
        <v>4500230849</v>
      </c>
      <c r="G731" t="s">
        <v>5318</v>
      </c>
      <c r="H731" t="s">
        <v>3334</v>
      </c>
      <c r="I731" t="s">
        <v>3499</v>
      </c>
      <c r="J731" t="s">
        <v>54</v>
      </c>
      <c r="K731" s="2">
        <v>11101</v>
      </c>
      <c r="L731" t="s">
        <v>6408</v>
      </c>
      <c r="M731" t="str" cm="1">
        <f t="array" ref="M731">INDEX('Org List'!$A$2:$C$1005,MATCH(Consolidated!I731&amp;Consolidated!J731,'Org List'!$A$2:$A$1005&amp;'Org List'!$B$2:$B$1005,0),3)</f>
        <v>NGOs: National</v>
      </c>
    </row>
    <row r="732" spans="1:13" x14ac:dyDescent="0.25">
      <c r="A732">
        <v>2022</v>
      </c>
      <c r="B732" t="s">
        <v>5310</v>
      </c>
      <c r="C732" t="s">
        <v>5311</v>
      </c>
      <c r="D732" t="s">
        <v>30</v>
      </c>
      <c r="E732" t="s">
        <v>54</v>
      </c>
      <c r="F732">
        <v>4500232729</v>
      </c>
      <c r="G732" t="s">
        <v>5006</v>
      </c>
      <c r="H732" t="s">
        <v>3334</v>
      </c>
      <c r="I732" t="s">
        <v>5007</v>
      </c>
      <c r="J732" t="s">
        <v>54</v>
      </c>
      <c r="K732" s="2">
        <v>51040</v>
      </c>
      <c r="L732" t="s">
        <v>6408</v>
      </c>
      <c r="M732" t="str" cm="1">
        <f t="array" ref="M732">INDEX('Org List'!$A$2:$C$1005,MATCH(Consolidated!I732&amp;Consolidated!J732,'Org List'!$A$2:$A$1005&amp;'Org List'!$B$2:$B$1005,0),3)</f>
        <v>NGOs: National</v>
      </c>
    </row>
    <row r="733" spans="1:13" x14ac:dyDescent="0.25">
      <c r="A733">
        <v>2022</v>
      </c>
      <c r="B733" t="s">
        <v>5310</v>
      </c>
      <c r="C733" t="s">
        <v>5311</v>
      </c>
      <c r="D733" t="s">
        <v>30</v>
      </c>
      <c r="E733" t="s">
        <v>54</v>
      </c>
      <c r="F733">
        <v>4500232945</v>
      </c>
      <c r="G733" t="s">
        <v>5319</v>
      </c>
      <c r="H733" t="s">
        <v>3334</v>
      </c>
      <c r="I733" t="s">
        <v>3497</v>
      </c>
      <c r="J733" t="s">
        <v>54</v>
      </c>
      <c r="K733" s="2">
        <v>16542</v>
      </c>
      <c r="L733" t="s">
        <v>6408</v>
      </c>
      <c r="M733" t="str" cm="1">
        <f t="array" ref="M733">INDEX('Org List'!$A$2:$C$1005,MATCH(Consolidated!I733&amp;Consolidated!J733,'Org List'!$A$2:$A$1005&amp;'Org List'!$B$2:$B$1005,0),3)</f>
        <v>NGOs: National</v>
      </c>
    </row>
    <row r="734" spans="1:13" x14ac:dyDescent="0.25">
      <c r="A734">
        <v>2022</v>
      </c>
      <c r="B734" t="s">
        <v>5310</v>
      </c>
      <c r="C734" t="s">
        <v>5311</v>
      </c>
      <c r="D734" t="s">
        <v>30</v>
      </c>
      <c r="E734" t="s">
        <v>54</v>
      </c>
      <c r="F734">
        <v>4500235383</v>
      </c>
      <c r="G734" t="s">
        <v>5008</v>
      </c>
      <c r="H734" t="s">
        <v>3334</v>
      </c>
      <c r="I734" t="s">
        <v>3497</v>
      </c>
      <c r="J734" t="s">
        <v>54</v>
      </c>
      <c r="K734" s="2">
        <v>66560</v>
      </c>
      <c r="L734" t="s">
        <v>6408</v>
      </c>
      <c r="M734" t="str" cm="1">
        <f t="array" ref="M734">INDEX('Org List'!$A$2:$C$1005,MATCH(Consolidated!I734&amp;Consolidated!J734,'Org List'!$A$2:$A$1005&amp;'Org List'!$B$2:$B$1005,0),3)</f>
        <v>NGOs: National</v>
      </c>
    </row>
    <row r="735" spans="1:13" x14ac:dyDescent="0.25">
      <c r="A735">
        <v>2022</v>
      </c>
      <c r="B735" t="s">
        <v>5310</v>
      </c>
      <c r="C735" t="s">
        <v>5311</v>
      </c>
      <c r="D735" t="s">
        <v>30</v>
      </c>
      <c r="E735" t="s">
        <v>54</v>
      </c>
      <c r="F735">
        <v>4500235747</v>
      </c>
      <c r="G735" t="s">
        <v>5320</v>
      </c>
      <c r="H735" t="s">
        <v>3334</v>
      </c>
      <c r="I735" t="s">
        <v>5321</v>
      </c>
      <c r="J735" t="s">
        <v>54</v>
      </c>
      <c r="K735" s="2">
        <v>6130</v>
      </c>
      <c r="L735" t="s">
        <v>6408</v>
      </c>
      <c r="M735" t="str" cm="1">
        <f t="array" ref="M735">INDEX('Org List'!$A$2:$C$1005,MATCH(Consolidated!I735&amp;Consolidated!J735,'Org List'!$A$2:$A$1005&amp;'Org List'!$B$2:$B$1005,0),3)</f>
        <v>NGOs: National</v>
      </c>
    </row>
    <row r="736" spans="1:13" x14ac:dyDescent="0.25">
      <c r="A736">
        <v>2022</v>
      </c>
      <c r="B736" t="s">
        <v>5310</v>
      </c>
      <c r="C736" t="s">
        <v>5311</v>
      </c>
      <c r="D736" t="s">
        <v>30</v>
      </c>
      <c r="E736" t="s">
        <v>54</v>
      </c>
      <c r="F736">
        <v>4500235778</v>
      </c>
      <c r="G736" t="s">
        <v>4947</v>
      </c>
      <c r="H736" t="s">
        <v>3334</v>
      </c>
      <c r="I736" t="s">
        <v>4948</v>
      </c>
      <c r="J736" t="s">
        <v>54</v>
      </c>
      <c r="K736" s="2">
        <v>5445</v>
      </c>
      <c r="L736" t="s">
        <v>6408</v>
      </c>
      <c r="M736" t="str" cm="1">
        <f t="array" ref="M736">INDEX('Org List'!$A$2:$C$1005,MATCH(Consolidated!I736&amp;Consolidated!J736,'Org List'!$A$2:$A$1005&amp;'Org List'!$B$2:$B$1005,0),3)</f>
        <v>NGOs: National</v>
      </c>
    </row>
    <row r="737" spans="1:13" x14ac:dyDescent="0.25">
      <c r="A737">
        <v>2022</v>
      </c>
      <c r="B737" t="s">
        <v>5310</v>
      </c>
      <c r="C737" t="s">
        <v>5311</v>
      </c>
      <c r="D737" t="s">
        <v>30</v>
      </c>
      <c r="E737" t="s">
        <v>54</v>
      </c>
      <c r="F737">
        <v>4500235825</v>
      </c>
      <c r="G737" t="s">
        <v>5322</v>
      </c>
      <c r="H737" t="s">
        <v>3334</v>
      </c>
      <c r="I737" t="s">
        <v>5323</v>
      </c>
      <c r="J737" t="s">
        <v>54</v>
      </c>
      <c r="K737" s="2">
        <v>3561</v>
      </c>
      <c r="L737" t="s">
        <v>6408</v>
      </c>
      <c r="M737" t="str" cm="1">
        <f t="array" ref="M737">INDEX('Org List'!$A$2:$C$1005,MATCH(Consolidated!I737&amp;Consolidated!J737,'Org List'!$A$2:$A$1005&amp;'Org List'!$B$2:$B$1005,0),3)</f>
        <v>Unknown</v>
      </c>
    </row>
    <row r="738" spans="1:13" x14ac:dyDescent="0.25">
      <c r="A738">
        <v>2022</v>
      </c>
      <c r="B738" t="s">
        <v>5310</v>
      </c>
      <c r="C738" t="s">
        <v>5311</v>
      </c>
      <c r="D738" t="s">
        <v>30</v>
      </c>
      <c r="E738" t="s">
        <v>54</v>
      </c>
      <c r="F738">
        <v>4500238402</v>
      </c>
      <c r="G738" t="s">
        <v>4963</v>
      </c>
      <c r="H738" t="s">
        <v>3334</v>
      </c>
      <c r="I738" t="s">
        <v>1728</v>
      </c>
      <c r="J738" t="s">
        <v>54</v>
      </c>
      <c r="K738" s="2">
        <v>2678</v>
      </c>
      <c r="L738" t="s">
        <v>6408</v>
      </c>
      <c r="M738" t="str" cm="1">
        <f t="array" ref="M738">INDEX('Org List'!$A$2:$C$1005,MATCH(Consolidated!I738&amp;Consolidated!J738,'Org List'!$A$2:$A$1005&amp;'Org List'!$B$2:$B$1005,0),3)</f>
        <v>NGOs: National</v>
      </c>
    </row>
    <row r="739" spans="1:13" x14ac:dyDescent="0.25">
      <c r="A739">
        <v>2022</v>
      </c>
      <c r="B739" t="s">
        <v>5310</v>
      </c>
      <c r="C739" t="s">
        <v>5311</v>
      </c>
      <c r="D739" t="s">
        <v>30</v>
      </c>
      <c r="E739" t="s">
        <v>54</v>
      </c>
      <c r="F739">
        <v>4500238689</v>
      </c>
      <c r="G739" t="s">
        <v>5324</v>
      </c>
      <c r="H739" t="s">
        <v>3334</v>
      </c>
      <c r="I739" t="s">
        <v>2003</v>
      </c>
      <c r="J739" t="s">
        <v>54</v>
      </c>
      <c r="K739" s="2">
        <v>11718</v>
      </c>
      <c r="L739" t="s">
        <v>6408</v>
      </c>
      <c r="M739" t="str" cm="1">
        <f t="array" ref="M739">INDEX('Org List'!$A$2:$C$1005,MATCH(Consolidated!I739&amp;Consolidated!J739,'Org List'!$A$2:$A$1005&amp;'Org List'!$B$2:$B$1005,0),3)</f>
        <v>NGOs: National</v>
      </c>
    </row>
    <row r="740" spans="1:13" x14ac:dyDescent="0.25">
      <c r="A740">
        <v>2022</v>
      </c>
      <c r="B740" t="s">
        <v>5310</v>
      </c>
      <c r="C740" t="s">
        <v>5311</v>
      </c>
      <c r="D740" t="s">
        <v>30</v>
      </c>
      <c r="E740" t="s">
        <v>54</v>
      </c>
      <c r="F740">
        <v>4500239883</v>
      </c>
      <c r="G740" t="s">
        <v>5325</v>
      </c>
      <c r="H740" t="s">
        <v>3334</v>
      </c>
      <c r="I740" t="s">
        <v>3790</v>
      </c>
      <c r="J740" t="s">
        <v>54</v>
      </c>
      <c r="K740" s="2">
        <v>3600</v>
      </c>
      <c r="L740" t="s">
        <v>6408</v>
      </c>
      <c r="M740" t="str" cm="1">
        <f t="array" ref="M740">INDEX('Org List'!$A$2:$C$1005,MATCH(Consolidated!I740&amp;Consolidated!J740,'Org List'!$A$2:$A$1005&amp;'Org List'!$B$2:$B$1005,0),3)</f>
        <v>NGOs: National</v>
      </c>
    </row>
    <row r="741" spans="1:13" x14ac:dyDescent="0.25">
      <c r="A741">
        <v>2022</v>
      </c>
      <c r="B741" t="s">
        <v>5310</v>
      </c>
      <c r="C741" t="s">
        <v>5311</v>
      </c>
      <c r="D741" t="s">
        <v>30</v>
      </c>
      <c r="E741" t="s">
        <v>54</v>
      </c>
      <c r="F741">
        <v>4500246484</v>
      </c>
      <c r="G741" t="s">
        <v>5009</v>
      </c>
      <c r="H741" t="s">
        <v>3334</v>
      </c>
      <c r="I741" t="s">
        <v>5010</v>
      </c>
      <c r="J741" t="s">
        <v>54</v>
      </c>
      <c r="K741" s="2">
        <v>70925</v>
      </c>
      <c r="L741" t="s">
        <v>6408</v>
      </c>
      <c r="M741" t="str" cm="1">
        <f t="array" ref="M741">INDEX('Org List'!$A$2:$C$1005,MATCH(Consolidated!I741&amp;Consolidated!J741,'Org List'!$A$2:$A$1005&amp;'Org List'!$B$2:$B$1005,0),3)</f>
        <v>NGOs: National</v>
      </c>
    </row>
    <row r="742" spans="1:13" x14ac:dyDescent="0.25">
      <c r="A742">
        <v>2022</v>
      </c>
      <c r="B742" t="s">
        <v>5310</v>
      </c>
      <c r="C742" t="s">
        <v>5311</v>
      </c>
      <c r="D742" t="s">
        <v>30</v>
      </c>
      <c r="E742" t="s">
        <v>54</v>
      </c>
      <c r="F742">
        <v>4500247615</v>
      </c>
      <c r="G742" t="s">
        <v>5326</v>
      </c>
      <c r="H742" t="s">
        <v>3334</v>
      </c>
      <c r="I742" t="s">
        <v>271</v>
      </c>
      <c r="J742" t="s">
        <v>54</v>
      </c>
      <c r="K742" s="2">
        <v>26774</v>
      </c>
      <c r="L742" t="s">
        <v>6408</v>
      </c>
      <c r="M742" t="str" cm="1">
        <f t="array" ref="M742">INDEX('Org List'!$A$2:$C$1005,MATCH(Consolidated!I742&amp;Consolidated!J742,'Org List'!$A$2:$A$1005&amp;'Org List'!$B$2:$B$1005,0),3)</f>
        <v>NGOs: National</v>
      </c>
    </row>
    <row r="743" spans="1:13" x14ac:dyDescent="0.25">
      <c r="A743">
        <v>2022</v>
      </c>
      <c r="B743" t="s">
        <v>5310</v>
      </c>
      <c r="C743" t="s">
        <v>5311</v>
      </c>
      <c r="D743" t="s">
        <v>30</v>
      </c>
      <c r="E743" t="s">
        <v>54</v>
      </c>
      <c r="F743">
        <v>4500247935</v>
      </c>
      <c r="G743" t="s">
        <v>5327</v>
      </c>
      <c r="H743" t="s">
        <v>3334</v>
      </c>
      <c r="I743" t="s">
        <v>5328</v>
      </c>
      <c r="J743" t="s">
        <v>54</v>
      </c>
      <c r="K743" s="2">
        <v>3133</v>
      </c>
      <c r="L743" t="s">
        <v>6408</v>
      </c>
      <c r="M743" t="str" cm="1">
        <f t="array" ref="M743">INDEX('Org List'!$A$2:$C$1005,MATCH(Consolidated!I743&amp;Consolidated!J743,'Org List'!$A$2:$A$1005&amp;'Org List'!$B$2:$B$1005,0),3)</f>
        <v>NGOs: Local</v>
      </c>
    </row>
    <row r="744" spans="1:13" x14ac:dyDescent="0.25">
      <c r="A744">
        <v>2022</v>
      </c>
      <c r="B744" t="s">
        <v>5310</v>
      </c>
      <c r="C744" t="s">
        <v>5311</v>
      </c>
      <c r="D744" t="s">
        <v>30</v>
      </c>
      <c r="E744" t="s">
        <v>54</v>
      </c>
      <c r="F744">
        <v>4500248523</v>
      </c>
      <c r="G744" t="s">
        <v>4576</v>
      </c>
      <c r="H744" t="s">
        <v>3334</v>
      </c>
      <c r="I744" t="s">
        <v>3393</v>
      </c>
      <c r="J744" t="s">
        <v>54</v>
      </c>
      <c r="K744" s="2">
        <v>24248</v>
      </c>
      <c r="L744" t="s">
        <v>6408</v>
      </c>
      <c r="M744" t="str" cm="1">
        <f t="array" ref="M744">INDEX('Org List'!$A$2:$C$1005,MATCH(Consolidated!I744&amp;Consolidated!J744,'Org List'!$A$2:$A$1005&amp;'Org List'!$B$2:$B$1005,0),3)</f>
        <v>NGOs: National</v>
      </c>
    </row>
    <row r="745" spans="1:13" x14ac:dyDescent="0.25">
      <c r="A745">
        <v>2022</v>
      </c>
      <c r="B745" t="s">
        <v>5310</v>
      </c>
      <c r="C745" t="s">
        <v>5311</v>
      </c>
      <c r="D745" t="s">
        <v>30</v>
      </c>
      <c r="E745" t="s">
        <v>54</v>
      </c>
      <c r="F745">
        <v>4500248975</v>
      </c>
      <c r="G745" t="s">
        <v>5329</v>
      </c>
      <c r="H745" t="s">
        <v>3334</v>
      </c>
      <c r="I745" t="s">
        <v>5330</v>
      </c>
      <c r="J745" t="s">
        <v>54</v>
      </c>
      <c r="K745" s="2">
        <v>25792</v>
      </c>
      <c r="L745" t="s">
        <v>6408</v>
      </c>
      <c r="M745" t="str" cm="1">
        <f t="array" ref="M745">INDEX('Org List'!$A$2:$C$1005,MATCH(Consolidated!I745&amp;Consolidated!J745,'Org List'!$A$2:$A$1005&amp;'Org List'!$B$2:$B$1005,0),3)</f>
        <v>NGOs: Internationally affiliated</v>
      </c>
    </row>
    <row r="746" spans="1:13" x14ac:dyDescent="0.25">
      <c r="A746">
        <v>2022</v>
      </c>
      <c r="B746" t="s">
        <v>5310</v>
      </c>
      <c r="C746" t="s">
        <v>5311</v>
      </c>
      <c r="D746" t="s">
        <v>30</v>
      </c>
      <c r="E746" t="s">
        <v>54</v>
      </c>
      <c r="F746">
        <v>4500249545</v>
      </c>
      <c r="G746" t="s">
        <v>5331</v>
      </c>
      <c r="H746" t="s">
        <v>3334</v>
      </c>
      <c r="I746" t="s">
        <v>3790</v>
      </c>
      <c r="J746" t="s">
        <v>54</v>
      </c>
      <c r="K746" s="2">
        <v>95054</v>
      </c>
      <c r="L746" t="s">
        <v>6408</v>
      </c>
      <c r="M746" t="str" cm="1">
        <f t="array" ref="M746">INDEX('Org List'!$A$2:$C$1005,MATCH(Consolidated!I746&amp;Consolidated!J746,'Org List'!$A$2:$A$1005&amp;'Org List'!$B$2:$B$1005,0),3)</f>
        <v>NGOs: National</v>
      </c>
    </row>
    <row r="747" spans="1:13" x14ac:dyDescent="0.25">
      <c r="A747">
        <v>2022</v>
      </c>
      <c r="B747" t="s">
        <v>5310</v>
      </c>
      <c r="C747" t="s">
        <v>5311</v>
      </c>
      <c r="D747" t="s">
        <v>30</v>
      </c>
      <c r="E747" t="s">
        <v>54</v>
      </c>
      <c r="F747">
        <v>4500249921</v>
      </c>
      <c r="G747" t="s">
        <v>5184</v>
      </c>
      <c r="H747" t="s">
        <v>3334</v>
      </c>
      <c r="I747" t="s">
        <v>280</v>
      </c>
      <c r="J747" t="s">
        <v>54</v>
      </c>
      <c r="K747" s="2">
        <v>28682</v>
      </c>
      <c r="L747" t="s">
        <v>6408</v>
      </c>
      <c r="M747" t="str" cm="1">
        <f t="array" ref="M747">INDEX('Org List'!$A$2:$C$1005,MATCH(Consolidated!I747&amp;Consolidated!J747,'Org List'!$A$2:$A$1005&amp;'Org List'!$B$2:$B$1005,0),3)</f>
        <v>NGOs: National</v>
      </c>
    </row>
    <row r="748" spans="1:13" x14ac:dyDescent="0.25">
      <c r="A748">
        <v>2022</v>
      </c>
      <c r="B748" t="s">
        <v>5310</v>
      </c>
      <c r="C748" t="s">
        <v>5311</v>
      </c>
      <c r="D748" t="s">
        <v>30</v>
      </c>
      <c r="E748" t="s">
        <v>54</v>
      </c>
      <c r="F748">
        <v>4500251584</v>
      </c>
      <c r="G748" t="s">
        <v>5332</v>
      </c>
      <c r="H748" t="s">
        <v>3334</v>
      </c>
      <c r="I748" t="s">
        <v>5315</v>
      </c>
      <c r="J748" t="s">
        <v>54</v>
      </c>
      <c r="K748" s="2">
        <v>21588</v>
      </c>
      <c r="L748" t="s">
        <v>6408</v>
      </c>
      <c r="M748" t="str" cm="1">
        <f t="array" ref="M748">INDEX('Org List'!$A$2:$C$1005,MATCH(Consolidated!I748&amp;Consolidated!J748,'Org List'!$A$2:$A$1005&amp;'Org List'!$B$2:$B$1005,0),3)</f>
        <v>NGOs: National</v>
      </c>
    </row>
    <row r="749" spans="1:13" x14ac:dyDescent="0.25">
      <c r="A749">
        <v>2022</v>
      </c>
      <c r="B749" t="s">
        <v>5310</v>
      </c>
      <c r="C749" t="s">
        <v>5311</v>
      </c>
      <c r="D749" t="s">
        <v>30</v>
      </c>
      <c r="E749" t="s">
        <v>54</v>
      </c>
      <c r="F749">
        <v>4500255732</v>
      </c>
      <c r="G749" t="s">
        <v>5333</v>
      </c>
      <c r="H749" t="s">
        <v>3334</v>
      </c>
      <c r="I749" t="s">
        <v>5334</v>
      </c>
      <c r="J749" t="s">
        <v>54</v>
      </c>
      <c r="K749" s="2">
        <v>5298</v>
      </c>
      <c r="L749" t="s">
        <v>6408</v>
      </c>
      <c r="M749" t="str" cm="1">
        <f t="array" ref="M749">INDEX('Org List'!$A$2:$C$1005,MATCH(Consolidated!I749&amp;Consolidated!J749,'Org List'!$A$2:$A$1005&amp;'Org List'!$B$2:$B$1005,0),3)</f>
        <v>NGOs: National</v>
      </c>
    </row>
    <row r="750" spans="1:13" x14ac:dyDescent="0.25">
      <c r="A750">
        <v>2022</v>
      </c>
      <c r="B750" t="s">
        <v>5310</v>
      </c>
      <c r="C750" t="s">
        <v>5311</v>
      </c>
      <c r="D750" t="s">
        <v>30</v>
      </c>
      <c r="E750" t="s">
        <v>54</v>
      </c>
      <c r="F750">
        <v>4500261416</v>
      </c>
      <c r="G750" t="s">
        <v>5335</v>
      </c>
      <c r="H750" t="s">
        <v>3334</v>
      </c>
      <c r="I750" t="s">
        <v>4946</v>
      </c>
      <c r="J750" t="s">
        <v>54</v>
      </c>
      <c r="K750" s="2">
        <v>55000</v>
      </c>
      <c r="L750" t="s">
        <v>6408</v>
      </c>
      <c r="M750" t="str" cm="1">
        <f t="array" ref="M750">INDEX('Org List'!$A$2:$C$1005,MATCH(Consolidated!I750&amp;Consolidated!J750,'Org List'!$A$2:$A$1005&amp;'Org List'!$B$2:$B$1005,0),3)</f>
        <v>NGOs: National</v>
      </c>
    </row>
    <row r="751" spans="1:13" x14ac:dyDescent="0.25">
      <c r="A751">
        <v>2022</v>
      </c>
      <c r="B751" t="s">
        <v>5310</v>
      </c>
      <c r="C751" t="s">
        <v>5311</v>
      </c>
      <c r="D751" t="s">
        <v>30</v>
      </c>
      <c r="E751" t="s">
        <v>54</v>
      </c>
      <c r="F751">
        <v>4500275116</v>
      </c>
      <c r="G751" t="s">
        <v>5013</v>
      </c>
      <c r="H751" t="s">
        <v>3334</v>
      </c>
      <c r="I751" t="s">
        <v>3790</v>
      </c>
      <c r="J751" t="s">
        <v>54</v>
      </c>
      <c r="K751" s="2">
        <v>217273</v>
      </c>
      <c r="L751" t="s">
        <v>6408</v>
      </c>
      <c r="M751" t="str" cm="1">
        <f t="array" ref="M751">INDEX('Org List'!$A$2:$C$1005,MATCH(Consolidated!I751&amp;Consolidated!J751,'Org List'!$A$2:$A$1005&amp;'Org List'!$B$2:$B$1005,0),3)</f>
        <v>NGOs: National</v>
      </c>
    </row>
    <row r="752" spans="1:13" x14ac:dyDescent="0.25">
      <c r="A752">
        <v>2022</v>
      </c>
      <c r="B752" t="s">
        <v>5336</v>
      </c>
      <c r="C752" t="s">
        <v>5337</v>
      </c>
      <c r="D752" t="s">
        <v>30</v>
      </c>
      <c r="E752" t="s">
        <v>54</v>
      </c>
      <c r="F752">
        <v>4500213017</v>
      </c>
      <c r="G752" t="s">
        <v>5338</v>
      </c>
      <c r="H752" t="s">
        <v>3334</v>
      </c>
      <c r="I752" t="s">
        <v>278</v>
      </c>
      <c r="J752" t="s">
        <v>54</v>
      </c>
      <c r="K752" s="2">
        <v>4990</v>
      </c>
      <c r="L752" t="s">
        <v>6408</v>
      </c>
      <c r="M752" t="str" cm="1">
        <f t="array" ref="M752">INDEX('Org List'!$A$2:$C$1005,MATCH(Consolidated!I752&amp;Consolidated!J752,'Org List'!$A$2:$A$1005&amp;'Org List'!$B$2:$B$1005,0),3)</f>
        <v>NGOs: Internationally affiliated</v>
      </c>
    </row>
    <row r="753" spans="1:13" x14ac:dyDescent="0.25">
      <c r="A753">
        <v>2022</v>
      </c>
      <c r="B753" t="s">
        <v>5686</v>
      </c>
      <c r="C753" t="s">
        <v>5687</v>
      </c>
      <c r="D753" t="s">
        <v>512</v>
      </c>
      <c r="E753" t="s">
        <v>205</v>
      </c>
      <c r="F753">
        <v>4500212014</v>
      </c>
      <c r="G753" t="s">
        <v>5688</v>
      </c>
      <c r="H753" t="s">
        <v>3334</v>
      </c>
      <c r="I753" t="s">
        <v>2407</v>
      </c>
      <c r="J753" t="s">
        <v>205</v>
      </c>
      <c r="K753" s="2">
        <v>126752</v>
      </c>
      <c r="L753" t="s">
        <v>6408</v>
      </c>
      <c r="M753" t="str" cm="1">
        <f t="array" ref="M753">INDEX('Org List'!$A$2:$C$1005,MATCH(Consolidated!I753&amp;Consolidated!J753,'Org List'!$A$2:$A$1005&amp;'Org List'!$B$2:$B$1005,0),3)</f>
        <v>NGOs: International</v>
      </c>
    </row>
    <row r="754" spans="1:13" x14ac:dyDescent="0.25">
      <c r="A754">
        <v>2022</v>
      </c>
      <c r="B754" t="s">
        <v>5686</v>
      </c>
      <c r="C754" t="s">
        <v>5687</v>
      </c>
      <c r="D754" t="s">
        <v>512</v>
      </c>
      <c r="E754" t="s">
        <v>205</v>
      </c>
      <c r="F754">
        <v>4500237635</v>
      </c>
      <c r="G754" t="s">
        <v>5689</v>
      </c>
      <c r="H754" t="s">
        <v>3334</v>
      </c>
      <c r="I754" t="s">
        <v>5071</v>
      </c>
      <c r="J754" t="s">
        <v>205</v>
      </c>
      <c r="K754" s="2">
        <v>26000</v>
      </c>
      <c r="L754" t="s">
        <v>6408</v>
      </c>
      <c r="M754" t="str" cm="1">
        <f t="array" ref="M754">INDEX('Org List'!$A$2:$C$1005,MATCH(Consolidated!I754&amp;Consolidated!J754,'Org List'!$A$2:$A$1005&amp;'Org List'!$B$2:$B$1005,0),3)</f>
        <v>NGOs: Internationally affiliated</v>
      </c>
    </row>
    <row r="755" spans="1:13" x14ac:dyDescent="0.25">
      <c r="A755">
        <v>2022</v>
      </c>
      <c r="B755" t="s">
        <v>5686</v>
      </c>
      <c r="C755" t="s">
        <v>5687</v>
      </c>
      <c r="D755" t="s">
        <v>512</v>
      </c>
      <c r="E755" t="s">
        <v>205</v>
      </c>
      <c r="F755">
        <v>4500240465</v>
      </c>
      <c r="G755" t="s">
        <v>5072</v>
      </c>
      <c r="H755" t="s">
        <v>3334</v>
      </c>
      <c r="I755" t="s">
        <v>869</v>
      </c>
      <c r="J755" t="s">
        <v>205</v>
      </c>
      <c r="K755" s="2">
        <v>5000</v>
      </c>
      <c r="L755" t="s">
        <v>6408</v>
      </c>
      <c r="M755" t="str" cm="1">
        <f t="array" ref="M755">INDEX('Org List'!$A$2:$C$1005,MATCH(Consolidated!I755&amp;Consolidated!J755,'Org List'!$A$2:$A$1005&amp;'Org List'!$B$2:$B$1005,0),3)</f>
        <v>NGOs: International</v>
      </c>
    </row>
    <row r="756" spans="1:13" x14ac:dyDescent="0.25">
      <c r="A756">
        <v>2022</v>
      </c>
      <c r="B756" t="s">
        <v>5686</v>
      </c>
      <c r="C756" t="s">
        <v>5687</v>
      </c>
      <c r="D756" t="s">
        <v>512</v>
      </c>
      <c r="E756" t="s">
        <v>676</v>
      </c>
      <c r="F756">
        <v>4500200473</v>
      </c>
      <c r="G756" t="s">
        <v>5690</v>
      </c>
      <c r="H756" t="s">
        <v>3334</v>
      </c>
      <c r="I756" t="s">
        <v>1834</v>
      </c>
      <c r="J756" t="s">
        <v>751</v>
      </c>
      <c r="K756" s="2">
        <v>14000</v>
      </c>
      <c r="L756" t="s">
        <v>6408</v>
      </c>
      <c r="M756" t="str" cm="1">
        <f t="array" ref="M756">INDEX('Org List'!$A$2:$C$1005,MATCH(Consolidated!I756&amp;Consolidated!J756,'Org List'!$A$2:$A$1005&amp;'Org List'!$B$2:$B$1005,0),3)</f>
        <v>NGOs: International</v>
      </c>
    </row>
    <row r="757" spans="1:13" x14ac:dyDescent="0.25">
      <c r="A757">
        <v>2022</v>
      </c>
      <c r="B757" t="s">
        <v>5686</v>
      </c>
      <c r="C757" t="s">
        <v>5687</v>
      </c>
      <c r="D757" t="s">
        <v>512</v>
      </c>
      <c r="E757" t="s">
        <v>676</v>
      </c>
      <c r="F757">
        <v>4500201854</v>
      </c>
      <c r="G757" t="s">
        <v>5691</v>
      </c>
      <c r="H757" t="s">
        <v>3334</v>
      </c>
      <c r="I757" t="s">
        <v>1834</v>
      </c>
      <c r="J757" t="s">
        <v>751</v>
      </c>
      <c r="K757" s="2">
        <v>20000</v>
      </c>
      <c r="L757" t="s">
        <v>6408</v>
      </c>
      <c r="M757" t="str" cm="1">
        <f t="array" ref="M757">INDEX('Org List'!$A$2:$C$1005,MATCH(Consolidated!I757&amp;Consolidated!J757,'Org List'!$A$2:$A$1005&amp;'Org List'!$B$2:$B$1005,0),3)</f>
        <v>NGOs: International</v>
      </c>
    </row>
    <row r="758" spans="1:13" x14ac:dyDescent="0.25">
      <c r="A758">
        <v>2022</v>
      </c>
      <c r="B758" t="s">
        <v>5686</v>
      </c>
      <c r="C758" t="s">
        <v>5687</v>
      </c>
      <c r="D758" t="s">
        <v>512</v>
      </c>
      <c r="E758" t="s">
        <v>890</v>
      </c>
      <c r="F758">
        <v>4500221379</v>
      </c>
      <c r="G758" t="s">
        <v>5692</v>
      </c>
      <c r="H758" t="s">
        <v>3334</v>
      </c>
      <c r="I758" t="s">
        <v>247</v>
      </c>
      <c r="J758" t="s">
        <v>4686</v>
      </c>
      <c r="K758" s="2">
        <v>16800</v>
      </c>
      <c r="L758" t="s">
        <v>6408</v>
      </c>
      <c r="M758" t="str" cm="1">
        <f t="array" ref="M758">INDEX('Org List'!$A$2:$C$1005,MATCH(Consolidated!I758&amp;Consolidated!J758,'Org List'!$A$2:$A$1005&amp;'Org List'!$B$2:$B$1005,0),3)</f>
        <v>Other: Local</v>
      </c>
    </row>
    <row r="759" spans="1:13" x14ac:dyDescent="0.25">
      <c r="A759">
        <v>2022</v>
      </c>
      <c r="B759" t="s">
        <v>5686</v>
      </c>
      <c r="C759" t="s">
        <v>5687</v>
      </c>
      <c r="D759" t="s">
        <v>512</v>
      </c>
      <c r="E759" t="s">
        <v>890</v>
      </c>
      <c r="F759">
        <v>4500221810</v>
      </c>
      <c r="G759" t="s">
        <v>5693</v>
      </c>
      <c r="H759" t="s">
        <v>3334</v>
      </c>
      <c r="I759" t="s">
        <v>1088</v>
      </c>
      <c r="J759" t="s">
        <v>4686</v>
      </c>
      <c r="K759" s="2">
        <v>19032</v>
      </c>
      <c r="L759" t="s">
        <v>6408</v>
      </c>
      <c r="M759" t="str" cm="1">
        <f t="array" ref="M759">INDEX('Org List'!$A$2:$C$1005,MATCH(Consolidated!I759&amp;Consolidated!J759,'Org List'!$A$2:$A$1005&amp;'Org List'!$B$2:$B$1005,0),3)</f>
        <v>NGOs: Internationally affiliated</v>
      </c>
    </row>
    <row r="760" spans="1:13" x14ac:dyDescent="0.25">
      <c r="A760">
        <v>2022</v>
      </c>
      <c r="B760" t="s">
        <v>3679</v>
      </c>
      <c r="C760" t="s">
        <v>3680</v>
      </c>
      <c r="D760" t="s">
        <v>512</v>
      </c>
      <c r="E760" t="s">
        <v>132</v>
      </c>
      <c r="F760">
        <v>4500244683</v>
      </c>
      <c r="G760" t="s">
        <v>4793</v>
      </c>
      <c r="H760" t="s">
        <v>3334</v>
      </c>
      <c r="I760" t="s">
        <v>3520</v>
      </c>
      <c r="J760" t="s">
        <v>132</v>
      </c>
      <c r="K760" s="2">
        <v>6323</v>
      </c>
      <c r="L760" t="s">
        <v>6408</v>
      </c>
      <c r="M760" t="str" cm="1">
        <f t="array" ref="M760">INDEX('Org List'!$A$2:$C$1005,MATCH(Consolidated!I760&amp;Consolidated!J760,'Org List'!$A$2:$A$1005&amp;'Org List'!$B$2:$B$1005,0),3)</f>
        <v>Other: National</v>
      </c>
    </row>
    <row r="761" spans="1:13" x14ac:dyDescent="0.25">
      <c r="A761">
        <v>2022</v>
      </c>
      <c r="B761" t="s">
        <v>5694</v>
      </c>
      <c r="C761" t="s">
        <v>5695</v>
      </c>
      <c r="D761" t="s">
        <v>512</v>
      </c>
      <c r="E761" t="s">
        <v>123</v>
      </c>
      <c r="F761">
        <v>4600629156</v>
      </c>
      <c r="G761" t="s">
        <v>5696</v>
      </c>
      <c r="H761" t="s">
        <v>3334</v>
      </c>
      <c r="I761" t="s">
        <v>5697</v>
      </c>
      <c r="J761" t="s">
        <v>123</v>
      </c>
      <c r="K761" s="2">
        <v>95233</v>
      </c>
      <c r="L761" t="s">
        <v>6408</v>
      </c>
      <c r="M761" t="str" cm="1">
        <f t="array" ref="M761">INDEX('Org List'!$A$2:$C$1005,MATCH(Consolidated!I761&amp;Consolidated!J761,'Org List'!$A$2:$A$1005&amp;'Org List'!$B$2:$B$1005,0),3)</f>
        <v>NGOs: International</v>
      </c>
    </row>
    <row r="762" spans="1:13" x14ac:dyDescent="0.25">
      <c r="A762">
        <v>2022</v>
      </c>
      <c r="B762" t="s">
        <v>5698</v>
      </c>
      <c r="C762" t="s">
        <v>5699</v>
      </c>
      <c r="D762" t="s">
        <v>512</v>
      </c>
      <c r="E762" t="s">
        <v>717</v>
      </c>
      <c r="F762">
        <v>4500271891</v>
      </c>
      <c r="G762" t="s">
        <v>5700</v>
      </c>
      <c r="H762" t="s">
        <v>3334</v>
      </c>
      <c r="I762" t="s">
        <v>5701</v>
      </c>
      <c r="J762" t="s">
        <v>717</v>
      </c>
      <c r="K762" s="2">
        <v>220338</v>
      </c>
      <c r="L762" t="s">
        <v>6408</v>
      </c>
      <c r="M762" t="str" cm="1">
        <f t="array" ref="M762">INDEX('Org List'!$A$2:$C$1005,MATCH(Consolidated!I762&amp;Consolidated!J762,'Org List'!$A$2:$A$1005&amp;'Org List'!$B$2:$B$1005,0),3)</f>
        <v>NGOs: National</v>
      </c>
    </row>
    <row r="763" spans="1:13" x14ac:dyDescent="0.25">
      <c r="A763">
        <v>2022</v>
      </c>
      <c r="B763" t="s">
        <v>5698</v>
      </c>
      <c r="C763" t="s">
        <v>5699</v>
      </c>
      <c r="D763" t="s">
        <v>512</v>
      </c>
      <c r="E763" t="s">
        <v>210</v>
      </c>
      <c r="F763">
        <v>4500229050</v>
      </c>
      <c r="G763" t="s">
        <v>5702</v>
      </c>
      <c r="H763" t="s">
        <v>3334</v>
      </c>
      <c r="I763" t="s">
        <v>5703</v>
      </c>
      <c r="J763" t="s">
        <v>210</v>
      </c>
      <c r="K763" s="2">
        <v>140605</v>
      </c>
      <c r="L763" t="s">
        <v>6408</v>
      </c>
      <c r="M763" t="str" cm="1">
        <f t="array" ref="M763">INDEX('Org List'!$A$2:$C$1005,MATCH(Consolidated!I763&amp;Consolidated!J763,'Org List'!$A$2:$A$1005&amp;'Org List'!$B$2:$B$1005,0),3)</f>
        <v>NGOs: International</v>
      </c>
    </row>
    <row r="764" spans="1:13" x14ac:dyDescent="0.25">
      <c r="A764">
        <v>2022</v>
      </c>
      <c r="B764" t="s">
        <v>5698</v>
      </c>
      <c r="C764" t="s">
        <v>5699</v>
      </c>
      <c r="D764" t="s">
        <v>512</v>
      </c>
      <c r="E764" t="s">
        <v>477</v>
      </c>
      <c r="F764">
        <v>4500212551</v>
      </c>
      <c r="G764" t="s">
        <v>5704</v>
      </c>
      <c r="H764" t="s">
        <v>3334</v>
      </c>
      <c r="I764" t="s">
        <v>1566</v>
      </c>
      <c r="J764" t="s">
        <v>477</v>
      </c>
      <c r="K764">
        <v>522</v>
      </c>
      <c r="L764" t="s">
        <v>6408</v>
      </c>
      <c r="M764" t="str" cm="1">
        <f t="array" ref="M764">INDEX('Org List'!$A$2:$C$1005,MATCH(Consolidated!I764&amp;Consolidated!J764,'Org List'!$A$2:$A$1005&amp;'Org List'!$B$2:$B$1005,0),3)</f>
        <v>NGOs: National</v>
      </c>
    </row>
    <row r="765" spans="1:13" x14ac:dyDescent="0.25">
      <c r="A765">
        <v>2022</v>
      </c>
      <c r="B765" t="s">
        <v>5698</v>
      </c>
      <c r="C765" t="s">
        <v>5699</v>
      </c>
      <c r="D765" t="s">
        <v>512</v>
      </c>
      <c r="E765" t="s">
        <v>477</v>
      </c>
      <c r="F765">
        <v>4500212553</v>
      </c>
      <c r="G765" t="s">
        <v>5705</v>
      </c>
      <c r="H765" t="s">
        <v>3334</v>
      </c>
      <c r="I765" t="s">
        <v>612</v>
      </c>
      <c r="J765" t="s">
        <v>477</v>
      </c>
      <c r="K765">
        <v>215</v>
      </c>
      <c r="L765" t="s">
        <v>6408</v>
      </c>
      <c r="M765" t="str" cm="1">
        <f t="array" ref="M765">INDEX('Org List'!$A$2:$C$1005,MATCH(Consolidated!I765&amp;Consolidated!J765,'Org List'!$A$2:$A$1005&amp;'Org List'!$B$2:$B$1005,0),3)</f>
        <v>NGOs: National</v>
      </c>
    </row>
    <row r="766" spans="1:13" x14ac:dyDescent="0.25">
      <c r="A766">
        <v>2022</v>
      </c>
      <c r="B766" t="s">
        <v>5698</v>
      </c>
      <c r="C766" t="s">
        <v>5699</v>
      </c>
      <c r="D766" t="s">
        <v>512</v>
      </c>
      <c r="E766" t="s">
        <v>167</v>
      </c>
      <c r="F766">
        <v>4500212986</v>
      </c>
      <c r="G766" t="s">
        <v>5706</v>
      </c>
      <c r="H766" t="s">
        <v>3334</v>
      </c>
      <c r="I766" t="s">
        <v>516</v>
      </c>
      <c r="J766" t="s">
        <v>167</v>
      </c>
      <c r="K766" s="2">
        <v>6967</v>
      </c>
      <c r="L766" t="s">
        <v>6408</v>
      </c>
      <c r="M766" t="str" cm="1">
        <f t="array" ref="M766">INDEX('Org List'!$A$2:$C$1005,MATCH(Consolidated!I766&amp;Consolidated!J766,'Org List'!$A$2:$A$1005&amp;'Org List'!$B$2:$B$1005,0),3)</f>
        <v>NGOs: International</v>
      </c>
    </row>
    <row r="767" spans="1:13" x14ac:dyDescent="0.25">
      <c r="A767">
        <v>2022</v>
      </c>
      <c r="B767" t="s">
        <v>1513</v>
      </c>
      <c r="C767" t="s">
        <v>1514</v>
      </c>
      <c r="D767" t="s">
        <v>512</v>
      </c>
      <c r="E767" t="s">
        <v>545</v>
      </c>
      <c r="F767">
        <v>4500190416</v>
      </c>
      <c r="G767" t="s">
        <v>5707</v>
      </c>
      <c r="H767" t="s">
        <v>3334</v>
      </c>
      <c r="I767" t="s">
        <v>5708</v>
      </c>
      <c r="J767" t="s">
        <v>534</v>
      </c>
      <c r="K767" s="2">
        <v>1316408</v>
      </c>
      <c r="L767" t="s">
        <v>6408</v>
      </c>
      <c r="M767" t="str" cm="1">
        <f t="array" ref="M767">INDEX('Org List'!$A$2:$C$1005,MATCH(Consolidated!I767&amp;Consolidated!J767,'Org List'!$A$2:$A$1005&amp;'Org List'!$B$2:$B$1005,0),3)</f>
        <v>Multilateral: UN</v>
      </c>
    </row>
    <row r="768" spans="1:13" x14ac:dyDescent="0.25">
      <c r="A768">
        <v>2022</v>
      </c>
      <c r="B768" t="s">
        <v>1513</v>
      </c>
      <c r="C768" t="s">
        <v>1514</v>
      </c>
      <c r="D768" t="s">
        <v>512</v>
      </c>
      <c r="E768" t="s">
        <v>545</v>
      </c>
      <c r="F768">
        <v>4500200960</v>
      </c>
      <c r="G768" t="s">
        <v>5709</v>
      </c>
      <c r="H768" t="s">
        <v>3334</v>
      </c>
      <c r="I768" t="s">
        <v>5710</v>
      </c>
      <c r="J768" t="s">
        <v>534</v>
      </c>
      <c r="K768" s="2">
        <v>2795160</v>
      </c>
      <c r="L768" t="s">
        <v>6408</v>
      </c>
      <c r="M768" t="str" cm="1">
        <f t="array" ref="M768">INDEX('Org List'!$A$2:$C$1005,MATCH(Consolidated!I768&amp;Consolidated!J768,'Org List'!$A$2:$A$1005&amp;'Org List'!$B$2:$B$1005,0),3)</f>
        <v>Multilateral: UN</v>
      </c>
    </row>
    <row r="769" spans="1:13" x14ac:dyDescent="0.25">
      <c r="A769">
        <v>2022</v>
      </c>
      <c r="B769" t="s">
        <v>1513</v>
      </c>
      <c r="C769" t="s">
        <v>1514</v>
      </c>
      <c r="D769" t="s">
        <v>512</v>
      </c>
      <c r="E769" t="s">
        <v>545</v>
      </c>
      <c r="F769">
        <v>4500205253</v>
      </c>
      <c r="G769" t="s">
        <v>5711</v>
      </c>
      <c r="H769" t="s">
        <v>3334</v>
      </c>
      <c r="I769" t="s">
        <v>5712</v>
      </c>
      <c r="J769" t="s">
        <v>545</v>
      </c>
      <c r="K769" s="2">
        <v>359996</v>
      </c>
      <c r="L769" t="s">
        <v>6408</v>
      </c>
      <c r="M769" t="str" cm="1">
        <f t="array" ref="M769">INDEX('Org List'!$A$2:$C$1005,MATCH(Consolidated!I769&amp;Consolidated!J769,'Org List'!$A$2:$A$1005&amp;'Org List'!$B$2:$B$1005,0),3)</f>
        <v>NGOs: National</v>
      </c>
    </row>
    <row r="770" spans="1:13" x14ac:dyDescent="0.25">
      <c r="A770">
        <v>2022</v>
      </c>
      <c r="B770" t="s">
        <v>1513</v>
      </c>
      <c r="C770" t="s">
        <v>1514</v>
      </c>
      <c r="D770" t="s">
        <v>512</v>
      </c>
      <c r="E770" t="s">
        <v>45</v>
      </c>
      <c r="F770">
        <v>4500195004</v>
      </c>
      <c r="G770" t="s">
        <v>5713</v>
      </c>
      <c r="H770" t="s">
        <v>3334</v>
      </c>
      <c r="I770" t="s">
        <v>5714</v>
      </c>
      <c r="J770" t="s">
        <v>45</v>
      </c>
      <c r="K770" s="2">
        <v>777399</v>
      </c>
      <c r="L770" t="s">
        <v>6408</v>
      </c>
      <c r="M770" t="str" cm="1">
        <f t="array" ref="M770">INDEX('Org List'!$A$2:$C$1005,MATCH(Consolidated!I770&amp;Consolidated!J770,'Org List'!$A$2:$A$1005&amp;'Org List'!$B$2:$B$1005,0),3)</f>
        <v>Multilateral: UN</v>
      </c>
    </row>
    <row r="771" spans="1:13" x14ac:dyDescent="0.25">
      <c r="A771">
        <v>2022</v>
      </c>
      <c r="B771" t="s">
        <v>1515</v>
      </c>
      <c r="C771" t="s">
        <v>1516</v>
      </c>
      <c r="D771" t="s">
        <v>512</v>
      </c>
      <c r="E771" t="s">
        <v>175</v>
      </c>
      <c r="F771">
        <v>4500183469</v>
      </c>
      <c r="G771" t="s">
        <v>5715</v>
      </c>
      <c r="H771" t="s">
        <v>3334</v>
      </c>
      <c r="I771" t="s">
        <v>1833</v>
      </c>
      <c r="J771" t="s">
        <v>175</v>
      </c>
      <c r="K771" s="2">
        <v>500000</v>
      </c>
      <c r="L771" t="s">
        <v>6408</v>
      </c>
      <c r="M771" t="str" cm="1">
        <f t="array" ref="M771">INDEX('Org List'!$A$2:$C$1005,MATCH(Consolidated!I771&amp;Consolidated!J771,'Org List'!$A$2:$A$1005&amp;'Org List'!$B$2:$B$1005,0),3)</f>
        <v>NGOs: Local</v>
      </c>
    </row>
    <row r="772" spans="1:13" x14ac:dyDescent="0.25">
      <c r="A772">
        <v>2022</v>
      </c>
      <c r="B772" t="s">
        <v>1515</v>
      </c>
      <c r="C772" t="s">
        <v>1516</v>
      </c>
      <c r="D772" t="s">
        <v>512</v>
      </c>
      <c r="E772" t="s">
        <v>175</v>
      </c>
      <c r="F772">
        <v>4500183470</v>
      </c>
      <c r="G772" t="s">
        <v>5716</v>
      </c>
      <c r="H772" t="s">
        <v>3334</v>
      </c>
      <c r="I772" t="s">
        <v>1831</v>
      </c>
      <c r="J772" t="s">
        <v>175</v>
      </c>
      <c r="K772" s="2">
        <v>350000</v>
      </c>
      <c r="L772" t="s">
        <v>6408</v>
      </c>
      <c r="M772" t="str" cm="1">
        <f t="array" ref="M772">INDEX('Org List'!$A$2:$C$1005,MATCH(Consolidated!I772&amp;Consolidated!J772,'Org List'!$A$2:$A$1005&amp;'Org List'!$B$2:$B$1005,0),3)</f>
        <v>NGOs: National</v>
      </c>
    </row>
    <row r="773" spans="1:13" x14ac:dyDescent="0.25">
      <c r="A773">
        <v>2022</v>
      </c>
      <c r="B773" t="s">
        <v>1515</v>
      </c>
      <c r="C773" t="s">
        <v>1516</v>
      </c>
      <c r="D773" t="s">
        <v>512</v>
      </c>
      <c r="E773" t="s">
        <v>175</v>
      </c>
      <c r="F773">
        <v>4500234657</v>
      </c>
      <c r="G773" t="s">
        <v>4616</v>
      </c>
      <c r="H773" t="s">
        <v>3334</v>
      </c>
      <c r="I773" t="s">
        <v>1832</v>
      </c>
      <c r="J773" t="s">
        <v>175</v>
      </c>
      <c r="K773" s="2">
        <v>39678</v>
      </c>
      <c r="L773" t="s">
        <v>6408</v>
      </c>
      <c r="M773" t="str" cm="1">
        <f t="array" ref="M773">INDEX('Org List'!$A$2:$C$1005,MATCH(Consolidated!I773&amp;Consolidated!J773,'Org List'!$A$2:$A$1005&amp;'Org List'!$B$2:$B$1005,0),3)</f>
        <v>NGOs: National</v>
      </c>
    </row>
    <row r="774" spans="1:13" x14ac:dyDescent="0.25">
      <c r="A774">
        <v>2022</v>
      </c>
      <c r="B774" t="s">
        <v>5717</v>
      </c>
      <c r="C774" t="s">
        <v>5718</v>
      </c>
      <c r="D774" t="s">
        <v>512</v>
      </c>
      <c r="E774" t="s">
        <v>253</v>
      </c>
      <c r="F774">
        <v>4500188498</v>
      </c>
      <c r="G774" t="s">
        <v>4627</v>
      </c>
      <c r="H774" t="s">
        <v>3334</v>
      </c>
      <c r="I774" t="s">
        <v>1362</v>
      </c>
      <c r="J774" t="s">
        <v>253</v>
      </c>
      <c r="K774" s="2">
        <v>17427</v>
      </c>
      <c r="L774" t="s">
        <v>6408</v>
      </c>
      <c r="M774" t="str" cm="1">
        <f t="array" ref="M774">INDEX('Org List'!$A$2:$C$1005,MATCH(Consolidated!I774&amp;Consolidated!J774,'Org List'!$A$2:$A$1005&amp;'Org List'!$B$2:$B$1005,0),3)</f>
        <v>Red Cross: National</v>
      </c>
    </row>
    <row r="775" spans="1:13" x14ac:dyDescent="0.25">
      <c r="A775">
        <v>2022</v>
      </c>
      <c r="B775" t="s">
        <v>5719</v>
      </c>
      <c r="C775" t="s">
        <v>5720</v>
      </c>
      <c r="D775" t="s">
        <v>512</v>
      </c>
      <c r="E775" t="s">
        <v>518</v>
      </c>
      <c r="F775">
        <v>4500238843</v>
      </c>
      <c r="G775" t="s">
        <v>5721</v>
      </c>
      <c r="H775" t="s">
        <v>3334</v>
      </c>
      <c r="I775" t="s">
        <v>5722</v>
      </c>
      <c r="J775" t="s">
        <v>518</v>
      </c>
      <c r="K775" s="2">
        <v>49022</v>
      </c>
      <c r="L775" t="s">
        <v>6408</v>
      </c>
      <c r="M775" t="str" cm="1">
        <f t="array" ref="M775">INDEX('Org List'!$A$2:$C$1005,MATCH(Consolidated!I775&amp;Consolidated!J775,'Org List'!$A$2:$A$1005&amp;'Org List'!$B$2:$B$1005,0),3)</f>
        <v>NGOs: National</v>
      </c>
    </row>
    <row r="776" spans="1:13" x14ac:dyDescent="0.25">
      <c r="A776">
        <v>2022</v>
      </c>
      <c r="B776" t="s">
        <v>5719</v>
      </c>
      <c r="C776" t="s">
        <v>5720</v>
      </c>
      <c r="D776" t="s">
        <v>512</v>
      </c>
      <c r="E776" t="s">
        <v>518</v>
      </c>
      <c r="F776">
        <v>4500239752</v>
      </c>
      <c r="G776" t="s">
        <v>5723</v>
      </c>
      <c r="H776" t="s">
        <v>3334</v>
      </c>
      <c r="I776" t="s">
        <v>5724</v>
      </c>
      <c r="J776" t="s">
        <v>518</v>
      </c>
      <c r="K776" s="2">
        <v>27841</v>
      </c>
      <c r="L776" t="s">
        <v>6408</v>
      </c>
      <c r="M776" t="str" cm="1">
        <f t="array" ref="M776">INDEX('Org List'!$A$2:$C$1005,MATCH(Consolidated!I776&amp;Consolidated!J776,'Org List'!$A$2:$A$1005&amp;'Org List'!$B$2:$B$1005,0),3)</f>
        <v>NGOs: Local</v>
      </c>
    </row>
    <row r="777" spans="1:13" x14ac:dyDescent="0.25">
      <c r="A777">
        <v>2022</v>
      </c>
      <c r="B777" t="s">
        <v>5719</v>
      </c>
      <c r="C777" t="s">
        <v>5720</v>
      </c>
      <c r="D777" t="s">
        <v>512</v>
      </c>
      <c r="E777" t="s">
        <v>518</v>
      </c>
      <c r="F777">
        <v>4500239815</v>
      </c>
      <c r="G777" t="s">
        <v>5725</v>
      </c>
      <c r="H777" t="s">
        <v>3334</v>
      </c>
      <c r="I777" t="s">
        <v>5726</v>
      </c>
      <c r="J777" t="s">
        <v>518</v>
      </c>
      <c r="K777" s="2">
        <v>148912</v>
      </c>
      <c r="L777" t="s">
        <v>6408</v>
      </c>
      <c r="M777" t="str" cm="1">
        <f t="array" ref="M777">INDEX('Org List'!$A$2:$C$1005,MATCH(Consolidated!I777&amp;Consolidated!J777,'Org List'!$A$2:$A$1005&amp;'Org List'!$B$2:$B$1005,0),3)</f>
        <v>NGOs: Local</v>
      </c>
    </row>
    <row r="778" spans="1:13" x14ac:dyDescent="0.25">
      <c r="A778">
        <v>2022</v>
      </c>
      <c r="B778" t="s">
        <v>5719</v>
      </c>
      <c r="C778" t="s">
        <v>5720</v>
      </c>
      <c r="D778" t="s">
        <v>512</v>
      </c>
      <c r="E778" t="s">
        <v>518</v>
      </c>
      <c r="F778">
        <v>4500240960</v>
      </c>
      <c r="G778" t="s">
        <v>5727</v>
      </c>
      <c r="H778" t="s">
        <v>3334</v>
      </c>
      <c r="I778" t="s">
        <v>5728</v>
      </c>
      <c r="J778" t="s">
        <v>518</v>
      </c>
      <c r="K778" s="2">
        <v>105908</v>
      </c>
      <c r="L778" t="s">
        <v>6408</v>
      </c>
      <c r="M778" t="str" cm="1">
        <f t="array" ref="M778">INDEX('Org List'!$A$2:$C$1005,MATCH(Consolidated!I778&amp;Consolidated!J778,'Org List'!$A$2:$A$1005&amp;'Org List'!$B$2:$B$1005,0),3)</f>
        <v>NGOs: Local</v>
      </c>
    </row>
    <row r="779" spans="1:13" x14ac:dyDescent="0.25">
      <c r="A779">
        <v>2022</v>
      </c>
      <c r="B779" t="s">
        <v>5719</v>
      </c>
      <c r="C779" t="s">
        <v>5720</v>
      </c>
      <c r="D779" t="s">
        <v>512</v>
      </c>
      <c r="E779" t="s">
        <v>518</v>
      </c>
      <c r="F779">
        <v>4500241315</v>
      </c>
      <c r="G779" t="s">
        <v>5729</v>
      </c>
      <c r="H779" t="s">
        <v>3334</v>
      </c>
      <c r="I779" t="s">
        <v>5730</v>
      </c>
      <c r="J779" t="s">
        <v>167</v>
      </c>
      <c r="K779" s="2">
        <v>168345</v>
      </c>
      <c r="L779" t="s">
        <v>6408</v>
      </c>
      <c r="M779" t="str" cm="1">
        <f t="array" ref="M779">INDEX('Org List'!$A$2:$C$1005,MATCH(Consolidated!I779&amp;Consolidated!J779,'Org List'!$A$2:$A$1005&amp;'Org List'!$B$2:$B$1005,0),3)</f>
        <v>NGOs: Local</v>
      </c>
    </row>
    <row r="780" spans="1:13" x14ac:dyDescent="0.25">
      <c r="A780">
        <v>2022</v>
      </c>
      <c r="B780" t="s">
        <v>5719</v>
      </c>
      <c r="C780" t="s">
        <v>5720</v>
      </c>
      <c r="D780" t="s">
        <v>512</v>
      </c>
      <c r="E780" t="s">
        <v>518</v>
      </c>
      <c r="F780">
        <v>4500247444</v>
      </c>
      <c r="G780" t="s">
        <v>5731</v>
      </c>
      <c r="H780" t="s">
        <v>3334</v>
      </c>
      <c r="I780" t="s">
        <v>5724</v>
      </c>
      <c r="J780" t="s">
        <v>518</v>
      </c>
      <c r="K780" s="2">
        <v>50514</v>
      </c>
      <c r="L780" t="s">
        <v>6408</v>
      </c>
      <c r="M780" t="str" cm="1">
        <f t="array" ref="M780">INDEX('Org List'!$A$2:$C$1005,MATCH(Consolidated!I780&amp;Consolidated!J780,'Org List'!$A$2:$A$1005&amp;'Org List'!$B$2:$B$1005,0),3)</f>
        <v>NGOs: Local</v>
      </c>
    </row>
    <row r="781" spans="1:13" x14ac:dyDescent="0.25">
      <c r="A781">
        <v>2022</v>
      </c>
      <c r="B781" t="s">
        <v>5732</v>
      </c>
      <c r="C781" t="s">
        <v>5733</v>
      </c>
      <c r="D781" t="s">
        <v>512</v>
      </c>
      <c r="E781" t="s">
        <v>123</v>
      </c>
      <c r="F781">
        <v>4600628438</v>
      </c>
      <c r="G781" t="s">
        <v>5734</v>
      </c>
      <c r="H781" t="s">
        <v>3334</v>
      </c>
      <c r="I781" t="s">
        <v>813</v>
      </c>
      <c r="J781" t="s">
        <v>123</v>
      </c>
      <c r="K781" s="2">
        <v>193175</v>
      </c>
      <c r="L781" t="s">
        <v>6408</v>
      </c>
      <c r="M781" t="str" cm="1">
        <f t="array" ref="M781">INDEX('Org List'!$A$2:$C$1005,MATCH(Consolidated!I781&amp;Consolidated!J781,'Org List'!$A$2:$A$1005&amp;'Org List'!$B$2:$B$1005,0),3)</f>
        <v>NGOs: National</v>
      </c>
    </row>
    <row r="782" spans="1:13" x14ac:dyDescent="0.25">
      <c r="A782">
        <v>2022</v>
      </c>
      <c r="B782" t="s">
        <v>5735</v>
      </c>
      <c r="C782" t="s">
        <v>5736</v>
      </c>
      <c r="D782" t="s">
        <v>512</v>
      </c>
      <c r="E782" t="s">
        <v>751</v>
      </c>
      <c r="F782">
        <v>4500236375</v>
      </c>
      <c r="G782" t="s">
        <v>5737</v>
      </c>
      <c r="H782" t="s">
        <v>3334</v>
      </c>
      <c r="I782" t="s">
        <v>5738</v>
      </c>
      <c r="J782" t="s">
        <v>985</v>
      </c>
      <c r="K782" s="2">
        <v>79488</v>
      </c>
      <c r="L782" t="s">
        <v>6408</v>
      </c>
      <c r="M782" t="str" cm="1">
        <f t="array" ref="M782">INDEX('Org List'!$A$2:$C$1005,MATCH(Consolidated!I782&amp;Consolidated!J782,'Org List'!$A$2:$A$1005&amp;'Org List'!$B$2:$B$1005,0),3)</f>
        <v>NGOs: National</v>
      </c>
    </row>
    <row r="783" spans="1:13" x14ac:dyDescent="0.25">
      <c r="A783">
        <v>2022</v>
      </c>
      <c r="B783" t="s">
        <v>5735</v>
      </c>
      <c r="C783" t="s">
        <v>5736</v>
      </c>
      <c r="D783" t="s">
        <v>512</v>
      </c>
      <c r="E783" t="s">
        <v>751</v>
      </c>
      <c r="F783">
        <v>4500236378</v>
      </c>
      <c r="G783" t="s">
        <v>5739</v>
      </c>
      <c r="H783" t="s">
        <v>3334</v>
      </c>
      <c r="I783" t="s">
        <v>5740</v>
      </c>
      <c r="J783" t="s">
        <v>49</v>
      </c>
      <c r="K783" s="2">
        <v>62402</v>
      </c>
      <c r="L783" t="s">
        <v>6408</v>
      </c>
      <c r="M783" t="str" cm="1">
        <f t="array" ref="M783">INDEX('Org List'!$A$2:$C$1005,MATCH(Consolidated!I783&amp;Consolidated!J783,'Org List'!$A$2:$A$1005&amp;'Org List'!$B$2:$B$1005,0),3)</f>
        <v>NGOs: National</v>
      </c>
    </row>
    <row r="784" spans="1:13" x14ac:dyDescent="0.25">
      <c r="A784">
        <v>2022</v>
      </c>
      <c r="B784" t="s">
        <v>5735</v>
      </c>
      <c r="C784" t="s">
        <v>5736</v>
      </c>
      <c r="D784" t="s">
        <v>512</v>
      </c>
      <c r="E784" t="s">
        <v>751</v>
      </c>
      <c r="F784">
        <v>4500236380</v>
      </c>
      <c r="G784" t="s">
        <v>5741</v>
      </c>
      <c r="H784" t="s">
        <v>3334</v>
      </c>
      <c r="I784" t="s">
        <v>5742</v>
      </c>
      <c r="J784" t="s">
        <v>751</v>
      </c>
      <c r="K784" s="2">
        <v>77602</v>
      </c>
      <c r="L784" t="s">
        <v>6408</v>
      </c>
      <c r="M784" t="str" cm="1">
        <f t="array" ref="M784">INDEX('Org List'!$A$2:$C$1005,MATCH(Consolidated!I784&amp;Consolidated!J784,'Org List'!$A$2:$A$1005&amp;'Org List'!$B$2:$B$1005,0),3)</f>
        <v>NGOs: National</v>
      </c>
    </row>
    <row r="785" spans="1:13" x14ac:dyDescent="0.25">
      <c r="A785">
        <v>2022</v>
      </c>
      <c r="B785" t="s">
        <v>5735</v>
      </c>
      <c r="C785" t="s">
        <v>5736</v>
      </c>
      <c r="D785" t="s">
        <v>512</v>
      </c>
      <c r="E785" t="s">
        <v>751</v>
      </c>
      <c r="F785">
        <v>4500236387</v>
      </c>
      <c r="G785" t="s">
        <v>5743</v>
      </c>
      <c r="H785" t="s">
        <v>3334</v>
      </c>
      <c r="I785" t="s">
        <v>5744</v>
      </c>
      <c r="J785" t="s">
        <v>751</v>
      </c>
      <c r="K785" s="2">
        <v>85127</v>
      </c>
      <c r="L785" t="s">
        <v>6408</v>
      </c>
      <c r="M785" t="str" cm="1">
        <f t="array" ref="M785">INDEX('Org List'!$A$2:$C$1005,MATCH(Consolidated!I785&amp;Consolidated!J785,'Org List'!$A$2:$A$1005&amp;'Org List'!$B$2:$B$1005,0),3)</f>
        <v>NGOs: National</v>
      </c>
    </row>
    <row r="786" spans="1:13" x14ac:dyDescent="0.25">
      <c r="A786">
        <v>2022</v>
      </c>
      <c r="B786" t="s">
        <v>5735</v>
      </c>
      <c r="C786" t="s">
        <v>5736</v>
      </c>
      <c r="D786" t="s">
        <v>512</v>
      </c>
      <c r="E786" t="s">
        <v>751</v>
      </c>
      <c r="F786">
        <v>4500236391</v>
      </c>
      <c r="G786" t="s">
        <v>5745</v>
      </c>
      <c r="H786" t="s">
        <v>3334</v>
      </c>
      <c r="I786" t="s">
        <v>5746</v>
      </c>
      <c r="J786" t="s">
        <v>751</v>
      </c>
      <c r="K786" s="2">
        <v>89900</v>
      </c>
      <c r="L786" t="s">
        <v>6408</v>
      </c>
      <c r="M786" t="str" cm="1">
        <f t="array" ref="M786">INDEX('Org List'!$A$2:$C$1005,MATCH(Consolidated!I786&amp;Consolidated!J786,'Org List'!$A$2:$A$1005&amp;'Org List'!$B$2:$B$1005,0),3)</f>
        <v>NGOs: National</v>
      </c>
    </row>
    <row r="787" spans="1:13" x14ac:dyDescent="0.25">
      <c r="A787">
        <v>2022</v>
      </c>
      <c r="B787" t="s">
        <v>5735</v>
      </c>
      <c r="C787" t="s">
        <v>5736</v>
      </c>
      <c r="D787" t="s">
        <v>512</v>
      </c>
      <c r="E787" t="s">
        <v>751</v>
      </c>
      <c r="F787">
        <v>4500237226</v>
      </c>
      <c r="G787" t="s">
        <v>5747</v>
      </c>
      <c r="H787" t="s">
        <v>3334</v>
      </c>
      <c r="I787" t="s">
        <v>5748</v>
      </c>
      <c r="J787" t="s">
        <v>402</v>
      </c>
      <c r="K787" s="2">
        <v>92896</v>
      </c>
      <c r="L787" t="s">
        <v>6408</v>
      </c>
      <c r="M787" t="str" cm="1">
        <f t="array" ref="M787">INDEX('Org List'!$A$2:$C$1005,MATCH(Consolidated!I787&amp;Consolidated!J787,'Org List'!$A$2:$A$1005&amp;'Org List'!$B$2:$B$1005,0),3)</f>
        <v>NGOs: National</v>
      </c>
    </row>
    <row r="788" spans="1:13" x14ac:dyDescent="0.25">
      <c r="A788">
        <v>2022</v>
      </c>
      <c r="B788" t="s">
        <v>5735</v>
      </c>
      <c r="C788" t="s">
        <v>5736</v>
      </c>
      <c r="D788" t="s">
        <v>512</v>
      </c>
      <c r="E788" t="s">
        <v>751</v>
      </c>
      <c r="F788">
        <v>4500237612</v>
      </c>
      <c r="G788" t="s">
        <v>5749</v>
      </c>
      <c r="H788" t="s">
        <v>3334</v>
      </c>
      <c r="I788" t="s">
        <v>5750</v>
      </c>
      <c r="J788" t="s">
        <v>751</v>
      </c>
      <c r="K788" s="2">
        <v>88707</v>
      </c>
      <c r="L788" t="s">
        <v>6408</v>
      </c>
      <c r="M788" t="str" cm="1">
        <f t="array" ref="M788">INDEX('Org List'!$A$2:$C$1005,MATCH(Consolidated!I788&amp;Consolidated!J788,'Org List'!$A$2:$A$1005&amp;'Org List'!$B$2:$B$1005,0),3)</f>
        <v>NGOs: National</v>
      </c>
    </row>
    <row r="789" spans="1:13" x14ac:dyDescent="0.25">
      <c r="A789">
        <v>2022</v>
      </c>
      <c r="B789" t="s">
        <v>5751</v>
      </c>
      <c r="C789" t="s">
        <v>5752</v>
      </c>
      <c r="D789" t="s">
        <v>512</v>
      </c>
      <c r="E789" t="s">
        <v>890</v>
      </c>
      <c r="F789">
        <v>4500186566</v>
      </c>
      <c r="G789" t="s">
        <v>5753</v>
      </c>
      <c r="H789" t="s">
        <v>3334</v>
      </c>
      <c r="I789" t="s">
        <v>5754</v>
      </c>
      <c r="J789" t="s">
        <v>4686</v>
      </c>
      <c r="K789" s="2">
        <v>180894</v>
      </c>
      <c r="L789" t="s">
        <v>6408</v>
      </c>
      <c r="M789" t="str" cm="1">
        <f t="array" ref="M789">INDEX('Org List'!$A$2:$C$1005,MATCH(Consolidated!I789&amp;Consolidated!J789,'Org List'!$A$2:$A$1005&amp;'Org List'!$B$2:$B$1005,0),3)</f>
        <v>Other: Local</v>
      </c>
    </row>
    <row r="790" spans="1:13" x14ac:dyDescent="0.25">
      <c r="A790">
        <v>2022</v>
      </c>
      <c r="B790" t="s">
        <v>5755</v>
      </c>
      <c r="C790" t="s">
        <v>5756</v>
      </c>
      <c r="D790" t="s">
        <v>512</v>
      </c>
      <c r="E790" t="s">
        <v>523</v>
      </c>
      <c r="F790">
        <v>4500274478</v>
      </c>
      <c r="G790" t="s">
        <v>5757</v>
      </c>
      <c r="H790" t="s">
        <v>3334</v>
      </c>
      <c r="I790" t="s">
        <v>5758</v>
      </c>
      <c r="J790" t="s">
        <v>523</v>
      </c>
      <c r="K790" s="2">
        <v>6419</v>
      </c>
      <c r="L790" t="s">
        <v>6408</v>
      </c>
      <c r="M790" t="str" cm="1">
        <f t="array" ref="M790">INDEX('Org List'!$A$2:$C$1005,MATCH(Consolidated!I790&amp;Consolidated!J790,'Org List'!$A$2:$A$1005&amp;'Org List'!$B$2:$B$1005,0),3)</f>
        <v>Governments: National</v>
      </c>
    </row>
    <row r="791" spans="1:13" x14ac:dyDescent="0.25">
      <c r="A791">
        <v>2022</v>
      </c>
      <c r="B791" t="s">
        <v>5759</v>
      </c>
      <c r="C791" t="s">
        <v>5760</v>
      </c>
      <c r="D791" t="s">
        <v>512</v>
      </c>
      <c r="E791" t="s">
        <v>1453</v>
      </c>
      <c r="F791">
        <v>4500219357</v>
      </c>
      <c r="G791" t="s">
        <v>5761</v>
      </c>
      <c r="H791" t="s">
        <v>3334</v>
      </c>
      <c r="I791" t="s">
        <v>5762</v>
      </c>
      <c r="J791" t="s">
        <v>1453</v>
      </c>
      <c r="K791" s="2">
        <v>115988</v>
      </c>
      <c r="L791" t="s">
        <v>6408</v>
      </c>
      <c r="M791" t="str" cm="1">
        <f t="array" ref="M791">INDEX('Org List'!$A$2:$C$1005,MATCH(Consolidated!I791&amp;Consolidated!J791,'Org List'!$A$2:$A$1005&amp;'Org List'!$B$2:$B$1005,0),3)</f>
        <v>Multilateral: UN</v>
      </c>
    </row>
    <row r="792" spans="1:13" x14ac:dyDescent="0.25">
      <c r="A792">
        <v>2022</v>
      </c>
      <c r="B792" t="s">
        <v>5759</v>
      </c>
      <c r="C792" t="s">
        <v>5760</v>
      </c>
      <c r="D792" t="s">
        <v>512</v>
      </c>
      <c r="E792" t="s">
        <v>1453</v>
      </c>
      <c r="F792">
        <v>4500219371</v>
      </c>
      <c r="G792" t="s">
        <v>5763</v>
      </c>
      <c r="H792" t="s">
        <v>3334</v>
      </c>
      <c r="I792" t="s">
        <v>771</v>
      </c>
      <c r="J792" t="s">
        <v>1453</v>
      </c>
      <c r="K792" s="2">
        <v>104135</v>
      </c>
      <c r="L792" t="s">
        <v>6408</v>
      </c>
      <c r="M792" t="str" cm="1">
        <f t="array" ref="M792">INDEX('Org List'!$A$2:$C$1005,MATCH(Consolidated!I792&amp;Consolidated!J792,'Org List'!$A$2:$A$1005&amp;'Org List'!$B$2:$B$1005,0),3)</f>
        <v>Multilateral: UN</v>
      </c>
    </row>
    <row r="793" spans="1:13" x14ac:dyDescent="0.25">
      <c r="A793">
        <v>2022</v>
      </c>
      <c r="B793" t="s">
        <v>5759</v>
      </c>
      <c r="C793" t="s">
        <v>5760</v>
      </c>
      <c r="D793" t="s">
        <v>512</v>
      </c>
      <c r="E793" t="s">
        <v>1453</v>
      </c>
      <c r="F793">
        <v>4500224897</v>
      </c>
      <c r="G793" t="s">
        <v>5764</v>
      </c>
      <c r="H793" t="s">
        <v>3334</v>
      </c>
      <c r="I793" t="s">
        <v>5765</v>
      </c>
      <c r="J793" t="s">
        <v>1453</v>
      </c>
      <c r="K793" s="2">
        <v>128400</v>
      </c>
      <c r="L793" t="s">
        <v>6408</v>
      </c>
      <c r="M793" t="str" cm="1">
        <f t="array" ref="M793">INDEX('Org List'!$A$2:$C$1005,MATCH(Consolidated!I793&amp;Consolidated!J793,'Org List'!$A$2:$A$1005&amp;'Org List'!$B$2:$B$1005,0),3)</f>
        <v>Multilateral: UN</v>
      </c>
    </row>
    <row r="794" spans="1:13" x14ac:dyDescent="0.25">
      <c r="A794">
        <v>2022</v>
      </c>
      <c r="B794" t="s">
        <v>5766</v>
      </c>
      <c r="C794" t="s">
        <v>5767</v>
      </c>
      <c r="D794" t="s">
        <v>512</v>
      </c>
      <c r="E794" t="s">
        <v>909</v>
      </c>
      <c r="F794">
        <v>4500232718</v>
      </c>
      <c r="G794" t="s">
        <v>5768</v>
      </c>
      <c r="H794" t="s">
        <v>3334</v>
      </c>
      <c r="I794" t="s">
        <v>2700</v>
      </c>
      <c r="J794" t="s">
        <v>909</v>
      </c>
      <c r="K794" s="2">
        <v>15693</v>
      </c>
      <c r="L794" t="s">
        <v>6408</v>
      </c>
      <c r="M794" t="str" cm="1">
        <f t="array" ref="M794">INDEX('Org List'!$A$2:$C$1005,MATCH(Consolidated!I794&amp;Consolidated!J794,'Org List'!$A$2:$A$1005&amp;'Org List'!$B$2:$B$1005,0),3)</f>
        <v>NGOs: National</v>
      </c>
    </row>
    <row r="795" spans="1:13" x14ac:dyDescent="0.25">
      <c r="A795">
        <v>2022</v>
      </c>
      <c r="B795" t="s">
        <v>5766</v>
      </c>
      <c r="C795" t="s">
        <v>5767</v>
      </c>
      <c r="D795" t="s">
        <v>512</v>
      </c>
      <c r="E795" t="s">
        <v>909</v>
      </c>
      <c r="F795">
        <v>4500240114</v>
      </c>
      <c r="G795" t="s">
        <v>5769</v>
      </c>
      <c r="H795" t="s">
        <v>3334</v>
      </c>
      <c r="I795" t="s">
        <v>2700</v>
      </c>
      <c r="J795" t="s">
        <v>909</v>
      </c>
      <c r="K795" s="2">
        <v>23019</v>
      </c>
      <c r="L795" t="s">
        <v>6408</v>
      </c>
      <c r="M795" t="str" cm="1">
        <f t="array" ref="M795">INDEX('Org List'!$A$2:$C$1005,MATCH(Consolidated!I795&amp;Consolidated!J795,'Org List'!$A$2:$A$1005&amp;'Org List'!$B$2:$B$1005,0),3)</f>
        <v>NGOs: National</v>
      </c>
    </row>
    <row r="796" spans="1:13" x14ac:dyDescent="0.25">
      <c r="A796">
        <v>2022</v>
      </c>
      <c r="B796" t="s">
        <v>5766</v>
      </c>
      <c r="C796" t="s">
        <v>5767</v>
      </c>
      <c r="D796" t="s">
        <v>512</v>
      </c>
      <c r="E796" t="s">
        <v>909</v>
      </c>
      <c r="F796">
        <v>4500250559</v>
      </c>
      <c r="G796" t="s">
        <v>5770</v>
      </c>
      <c r="H796" t="s">
        <v>3334</v>
      </c>
      <c r="I796" t="s">
        <v>2700</v>
      </c>
      <c r="J796" t="s">
        <v>909</v>
      </c>
      <c r="K796" s="2">
        <v>30724</v>
      </c>
      <c r="L796" t="s">
        <v>6408</v>
      </c>
      <c r="M796" t="str" cm="1">
        <f t="array" ref="M796">INDEX('Org List'!$A$2:$C$1005,MATCH(Consolidated!I796&amp;Consolidated!J796,'Org List'!$A$2:$A$1005&amp;'Org List'!$B$2:$B$1005,0),3)</f>
        <v>NGOs: National</v>
      </c>
    </row>
    <row r="797" spans="1:13" x14ac:dyDescent="0.25">
      <c r="A797">
        <v>2022</v>
      </c>
      <c r="B797" t="s">
        <v>5766</v>
      </c>
      <c r="C797" t="s">
        <v>5767</v>
      </c>
      <c r="D797" t="s">
        <v>512</v>
      </c>
      <c r="E797" t="s">
        <v>909</v>
      </c>
      <c r="F797">
        <v>4500252865</v>
      </c>
      <c r="G797" t="s">
        <v>5771</v>
      </c>
      <c r="H797" t="s">
        <v>3334</v>
      </c>
      <c r="I797" t="s">
        <v>2700</v>
      </c>
      <c r="J797" t="s">
        <v>909</v>
      </c>
      <c r="K797" s="2">
        <v>30724</v>
      </c>
      <c r="L797" t="s">
        <v>6408</v>
      </c>
      <c r="M797" t="str" cm="1">
        <f t="array" ref="M797">INDEX('Org List'!$A$2:$C$1005,MATCH(Consolidated!I797&amp;Consolidated!J797,'Org List'!$A$2:$A$1005&amp;'Org List'!$B$2:$B$1005,0),3)</f>
        <v>NGOs: National</v>
      </c>
    </row>
    <row r="798" spans="1:13" x14ac:dyDescent="0.25">
      <c r="A798">
        <v>2022</v>
      </c>
      <c r="B798" t="s">
        <v>5766</v>
      </c>
      <c r="C798" t="s">
        <v>5767</v>
      </c>
      <c r="D798" t="s">
        <v>512</v>
      </c>
      <c r="E798" t="s">
        <v>909</v>
      </c>
      <c r="F798">
        <v>4500264154</v>
      </c>
      <c r="G798" t="s">
        <v>5772</v>
      </c>
      <c r="H798" t="s">
        <v>3334</v>
      </c>
      <c r="I798" t="s">
        <v>2700</v>
      </c>
      <c r="J798" t="s">
        <v>909</v>
      </c>
      <c r="K798">
        <v>236</v>
      </c>
      <c r="L798" t="s">
        <v>6408</v>
      </c>
      <c r="M798" t="str" cm="1">
        <f t="array" ref="M798">INDEX('Org List'!$A$2:$C$1005,MATCH(Consolidated!I798&amp;Consolidated!J798,'Org List'!$A$2:$A$1005&amp;'Org List'!$B$2:$B$1005,0),3)</f>
        <v>NGOs: National</v>
      </c>
    </row>
    <row r="799" spans="1:13" x14ac:dyDescent="0.25">
      <c r="A799">
        <v>2022</v>
      </c>
      <c r="B799" t="s">
        <v>5766</v>
      </c>
      <c r="C799" t="s">
        <v>5767</v>
      </c>
      <c r="D799" t="s">
        <v>512</v>
      </c>
      <c r="E799" t="s">
        <v>909</v>
      </c>
      <c r="F799">
        <v>4500266908</v>
      </c>
      <c r="G799" t="s">
        <v>5773</v>
      </c>
      <c r="H799" t="s">
        <v>3334</v>
      </c>
      <c r="I799" t="s">
        <v>2700</v>
      </c>
      <c r="J799" t="s">
        <v>909</v>
      </c>
      <c r="K799" s="2">
        <v>3613</v>
      </c>
      <c r="L799" t="s">
        <v>6408</v>
      </c>
      <c r="M799" t="str" cm="1">
        <f t="array" ref="M799">INDEX('Org List'!$A$2:$C$1005,MATCH(Consolidated!I799&amp;Consolidated!J799,'Org List'!$A$2:$A$1005&amp;'Org List'!$B$2:$B$1005,0),3)</f>
        <v>NGOs: National</v>
      </c>
    </row>
    <row r="800" spans="1:13" x14ac:dyDescent="0.25">
      <c r="A800">
        <v>2022</v>
      </c>
      <c r="B800" t="s">
        <v>5774</v>
      </c>
      <c r="C800" t="s">
        <v>5775</v>
      </c>
      <c r="D800" t="s">
        <v>512</v>
      </c>
      <c r="E800" t="s">
        <v>940</v>
      </c>
      <c r="F800">
        <v>4500244315</v>
      </c>
      <c r="G800" t="s">
        <v>5776</v>
      </c>
      <c r="H800" t="s">
        <v>3334</v>
      </c>
      <c r="I800" t="s">
        <v>5777</v>
      </c>
      <c r="J800" t="s">
        <v>940</v>
      </c>
      <c r="K800" s="2">
        <v>25896</v>
      </c>
      <c r="L800" t="s">
        <v>6408</v>
      </c>
      <c r="M800" t="str" cm="1">
        <f t="array" ref="M800">INDEX('Org List'!$A$2:$C$1005,MATCH(Consolidated!I800&amp;Consolidated!J800,'Org List'!$A$2:$A$1005&amp;'Org List'!$B$2:$B$1005,0),3)</f>
        <v>Red Cross: National</v>
      </c>
    </row>
    <row r="801" spans="1:13" x14ac:dyDescent="0.25">
      <c r="A801">
        <v>2022</v>
      </c>
      <c r="B801" t="s">
        <v>1602</v>
      </c>
      <c r="C801" t="s">
        <v>1603</v>
      </c>
      <c r="D801" t="s">
        <v>30</v>
      </c>
      <c r="E801" t="s">
        <v>793</v>
      </c>
      <c r="F801">
        <v>4500273519</v>
      </c>
      <c r="G801" t="s">
        <v>5221</v>
      </c>
      <c r="H801" t="s">
        <v>3334</v>
      </c>
      <c r="I801" t="s">
        <v>1993</v>
      </c>
      <c r="J801" t="s">
        <v>793</v>
      </c>
      <c r="K801" s="2">
        <v>8000</v>
      </c>
      <c r="L801" t="s">
        <v>6408</v>
      </c>
      <c r="M801" t="str" cm="1">
        <f t="array" ref="M801">INDEX('Org List'!$A$2:$C$1005,MATCH(Consolidated!I801&amp;Consolidated!J801,'Org List'!$A$2:$A$1005&amp;'Org List'!$B$2:$B$1005,0),3)</f>
        <v>Multilateral: UN</v>
      </c>
    </row>
    <row r="802" spans="1:13" x14ac:dyDescent="0.25">
      <c r="A802">
        <v>2022</v>
      </c>
      <c r="B802" t="s">
        <v>6289</v>
      </c>
      <c r="C802" t="s">
        <v>6290</v>
      </c>
      <c r="D802" t="s">
        <v>30</v>
      </c>
      <c r="E802" t="s">
        <v>123</v>
      </c>
      <c r="F802">
        <v>4600628972</v>
      </c>
      <c r="G802" t="s">
        <v>4706</v>
      </c>
      <c r="H802" t="s">
        <v>3334</v>
      </c>
      <c r="I802" t="s">
        <v>4707</v>
      </c>
      <c r="J802" t="s">
        <v>123</v>
      </c>
      <c r="K802" s="2">
        <v>3759</v>
      </c>
      <c r="L802" t="s">
        <v>6408</v>
      </c>
      <c r="M802" t="str" cm="1">
        <f t="array" ref="M802">INDEX('Org List'!$A$2:$C$1005,MATCH(Consolidated!I802&amp;Consolidated!J802,'Org List'!$A$2:$A$1005&amp;'Org List'!$B$2:$B$1005,0),3)</f>
        <v>NGOs: National</v>
      </c>
    </row>
    <row r="803" spans="1:13" x14ac:dyDescent="0.25">
      <c r="A803">
        <v>2022</v>
      </c>
      <c r="B803" t="s">
        <v>6291</v>
      </c>
      <c r="C803" t="s">
        <v>6292</v>
      </c>
      <c r="D803" t="s">
        <v>30</v>
      </c>
      <c r="E803" t="s">
        <v>72</v>
      </c>
      <c r="F803">
        <v>4500224976</v>
      </c>
      <c r="G803" t="s">
        <v>4549</v>
      </c>
      <c r="H803" t="s">
        <v>3334</v>
      </c>
      <c r="I803" t="s">
        <v>4550</v>
      </c>
      <c r="J803" t="s">
        <v>72</v>
      </c>
      <c r="K803" s="2">
        <v>171763</v>
      </c>
      <c r="L803" t="s">
        <v>6408</v>
      </c>
      <c r="M803" t="str" cm="1">
        <f t="array" ref="M803">INDEX('Org List'!$A$2:$C$1005,MATCH(Consolidated!I803&amp;Consolidated!J803,'Org List'!$A$2:$A$1005&amp;'Org List'!$B$2:$B$1005,0),3)</f>
        <v>NGOs: National</v>
      </c>
    </row>
    <row r="804" spans="1:13" x14ac:dyDescent="0.25">
      <c r="A804">
        <v>2022</v>
      </c>
      <c r="B804" t="s">
        <v>6291</v>
      </c>
      <c r="C804" t="s">
        <v>6292</v>
      </c>
      <c r="D804" t="s">
        <v>30</v>
      </c>
      <c r="E804" t="s">
        <v>72</v>
      </c>
      <c r="F804">
        <v>4500224978</v>
      </c>
      <c r="G804" t="s">
        <v>4551</v>
      </c>
      <c r="H804" t="s">
        <v>3334</v>
      </c>
      <c r="I804" t="s">
        <v>4552</v>
      </c>
      <c r="J804" t="s">
        <v>72</v>
      </c>
      <c r="K804" s="2">
        <v>286487</v>
      </c>
      <c r="L804" t="s">
        <v>6408</v>
      </c>
      <c r="M804" t="str" cm="1">
        <f t="array" ref="M804">INDEX('Org List'!$A$2:$C$1005,MATCH(Consolidated!I804&amp;Consolidated!J804,'Org List'!$A$2:$A$1005&amp;'Org List'!$B$2:$B$1005,0),3)</f>
        <v>NGOs: National</v>
      </c>
    </row>
    <row r="805" spans="1:13" x14ac:dyDescent="0.25">
      <c r="A805">
        <v>2022</v>
      </c>
      <c r="B805" t="s">
        <v>6293</v>
      </c>
      <c r="C805" t="s">
        <v>6294</v>
      </c>
      <c r="D805" t="s">
        <v>30</v>
      </c>
      <c r="E805" t="s">
        <v>561</v>
      </c>
      <c r="F805">
        <v>4500227325</v>
      </c>
      <c r="G805" t="s">
        <v>6295</v>
      </c>
      <c r="H805" t="s">
        <v>3334</v>
      </c>
      <c r="I805" t="s">
        <v>6277</v>
      </c>
      <c r="J805" t="s">
        <v>561</v>
      </c>
      <c r="K805" s="2">
        <v>165165</v>
      </c>
      <c r="L805" t="s">
        <v>6408</v>
      </c>
      <c r="M805" t="str" cm="1">
        <f t="array" ref="M805">INDEX('Org List'!$A$2:$C$1005,MATCH(Consolidated!I805&amp;Consolidated!J805,'Org List'!$A$2:$A$1005&amp;'Org List'!$B$2:$B$1005,0),3)</f>
        <v>NGOs: Local</v>
      </c>
    </row>
    <row r="806" spans="1:13" x14ac:dyDescent="0.25">
      <c r="A806">
        <v>2022</v>
      </c>
      <c r="B806" t="s">
        <v>6296</v>
      </c>
      <c r="C806" t="s">
        <v>6297</v>
      </c>
      <c r="D806" t="s">
        <v>30</v>
      </c>
      <c r="E806" t="s">
        <v>320</v>
      </c>
      <c r="F806">
        <v>4500179864</v>
      </c>
      <c r="G806" t="s">
        <v>3938</v>
      </c>
      <c r="H806" t="s">
        <v>3334</v>
      </c>
      <c r="I806" t="s">
        <v>6298</v>
      </c>
      <c r="J806" t="s">
        <v>320</v>
      </c>
      <c r="K806" s="2">
        <v>2131</v>
      </c>
      <c r="L806" t="s">
        <v>6408</v>
      </c>
      <c r="M806" t="str" cm="1">
        <f t="array" ref="M806">INDEX('Org List'!$A$2:$C$1005,MATCH(Consolidated!I806&amp;Consolidated!J806,'Org List'!$A$2:$A$1005&amp;'Org List'!$B$2:$B$1005,0),3)</f>
        <v>NGOs: National</v>
      </c>
    </row>
    <row r="807" spans="1:13" x14ac:dyDescent="0.25">
      <c r="A807">
        <v>2022</v>
      </c>
      <c r="B807" t="s">
        <v>6299</v>
      </c>
      <c r="C807" t="s">
        <v>6300</v>
      </c>
      <c r="D807" t="s">
        <v>30</v>
      </c>
      <c r="E807" t="s">
        <v>1987</v>
      </c>
      <c r="F807">
        <v>4500188549</v>
      </c>
      <c r="G807" t="s">
        <v>6301</v>
      </c>
      <c r="H807" t="s">
        <v>3334</v>
      </c>
      <c r="I807" t="s">
        <v>6302</v>
      </c>
      <c r="J807" t="s">
        <v>751</v>
      </c>
      <c r="K807" s="2">
        <v>64494</v>
      </c>
      <c r="L807" t="s">
        <v>6408</v>
      </c>
      <c r="M807" t="str" cm="1">
        <f t="array" ref="M807">INDEX('Org List'!$A$2:$C$1005,MATCH(Consolidated!I807&amp;Consolidated!J807,'Org List'!$A$2:$A$1005&amp;'Org List'!$B$2:$B$1005,0),3)</f>
        <v>NGOs: International</v>
      </c>
    </row>
    <row r="808" spans="1:13" x14ac:dyDescent="0.25">
      <c r="A808">
        <v>2022</v>
      </c>
      <c r="B808" t="s">
        <v>6303</v>
      </c>
      <c r="C808" t="s">
        <v>6304</v>
      </c>
      <c r="D808" t="s">
        <v>30</v>
      </c>
      <c r="E808" t="s">
        <v>940</v>
      </c>
      <c r="F808">
        <v>4500182133</v>
      </c>
      <c r="G808" t="s">
        <v>6305</v>
      </c>
      <c r="H808" t="s">
        <v>3334</v>
      </c>
      <c r="I808" t="s">
        <v>338</v>
      </c>
      <c r="J808" t="s">
        <v>940</v>
      </c>
      <c r="K808" s="2">
        <v>44100</v>
      </c>
      <c r="L808" t="s">
        <v>6408</v>
      </c>
      <c r="M808" t="str" cm="1">
        <f t="array" ref="M808">INDEX('Org List'!$A$2:$C$1005,MATCH(Consolidated!I808&amp;Consolidated!J808,'Org List'!$A$2:$A$1005&amp;'Org List'!$B$2:$B$1005,0),3)</f>
        <v>NGOs: National</v>
      </c>
    </row>
    <row r="809" spans="1:13" x14ac:dyDescent="0.25">
      <c r="A809">
        <v>2022</v>
      </c>
      <c r="B809" t="s">
        <v>6303</v>
      </c>
      <c r="C809" t="s">
        <v>6304</v>
      </c>
      <c r="D809" t="s">
        <v>30</v>
      </c>
      <c r="E809" t="s">
        <v>940</v>
      </c>
      <c r="F809">
        <v>4500227442</v>
      </c>
      <c r="G809" t="s">
        <v>6306</v>
      </c>
      <c r="H809" t="s">
        <v>3334</v>
      </c>
      <c r="I809" t="s">
        <v>6307</v>
      </c>
      <c r="J809" t="s">
        <v>940</v>
      </c>
      <c r="K809" s="2">
        <v>580218</v>
      </c>
      <c r="L809" t="s">
        <v>6408</v>
      </c>
      <c r="M809" t="str" cm="1">
        <f t="array" ref="M809">INDEX('Org List'!$A$2:$C$1005,MATCH(Consolidated!I809&amp;Consolidated!J809,'Org List'!$A$2:$A$1005&amp;'Org List'!$B$2:$B$1005,0),3)</f>
        <v>NGOs: International</v>
      </c>
    </row>
    <row r="810" spans="1:13" x14ac:dyDescent="0.25">
      <c r="A810">
        <v>2022</v>
      </c>
      <c r="B810" t="s">
        <v>6308</v>
      </c>
      <c r="C810" t="s">
        <v>6309</v>
      </c>
      <c r="D810" t="s">
        <v>30</v>
      </c>
      <c r="E810" t="s">
        <v>20</v>
      </c>
      <c r="F810">
        <v>4500201250</v>
      </c>
      <c r="G810" t="s">
        <v>6310</v>
      </c>
      <c r="H810" t="s">
        <v>3334</v>
      </c>
      <c r="I810" t="s">
        <v>5216</v>
      </c>
      <c r="J810" t="s">
        <v>20</v>
      </c>
      <c r="K810" s="2">
        <v>44754</v>
      </c>
      <c r="L810" t="s">
        <v>6408</v>
      </c>
      <c r="M810" t="str" cm="1">
        <f t="array" ref="M810">INDEX('Org List'!$A$2:$C$1005,MATCH(Consolidated!I810&amp;Consolidated!J810,'Org List'!$A$2:$A$1005&amp;'Org List'!$B$2:$B$1005,0),3)</f>
        <v>NGOs: National</v>
      </c>
    </row>
    <row r="811" spans="1:13" x14ac:dyDescent="0.25">
      <c r="A811">
        <v>2022</v>
      </c>
      <c r="B811" t="s">
        <v>6311</v>
      </c>
      <c r="C811" t="s">
        <v>6312</v>
      </c>
      <c r="D811" t="s">
        <v>30</v>
      </c>
      <c r="E811" t="s">
        <v>54</v>
      </c>
      <c r="F811">
        <v>4500250820</v>
      </c>
      <c r="G811" t="s">
        <v>6313</v>
      </c>
      <c r="H811" t="s">
        <v>3334</v>
      </c>
      <c r="I811" t="s">
        <v>277</v>
      </c>
      <c r="J811" t="s">
        <v>54</v>
      </c>
      <c r="K811" s="2">
        <v>4425</v>
      </c>
      <c r="L811" t="s">
        <v>6408</v>
      </c>
      <c r="M811" t="str" cm="1">
        <f t="array" ref="M811">INDEX('Org List'!$A$2:$C$1005,MATCH(Consolidated!I811&amp;Consolidated!J811,'Org List'!$A$2:$A$1005&amp;'Org List'!$B$2:$B$1005,0),3)</f>
        <v>NGOs: National</v>
      </c>
    </row>
    <row r="812" spans="1:13" x14ac:dyDescent="0.25">
      <c r="A812">
        <v>2022</v>
      </c>
      <c r="B812" t="s">
        <v>6311</v>
      </c>
      <c r="C812" t="s">
        <v>6312</v>
      </c>
      <c r="D812" t="s">
        <v>30</v>
      </c>
      <c r="E812" t="s">
        <v>54</v>
      </c>
      <c r="F812">
        <v>4500250836</v>
      </c>
      <c r="G812" t="s">
        <v>6314</v>
      </c>
      <c r="H812" t="s">
        <v>3334</v>
      </c>
      <c r="I812" t="s">
        <v>277</v>
      </c>
      <c r="J812" t="s">
        <v>54</v>
      </c>
      <c r="K812" s="2">
        <v>2950</v>
      </c>
      <c r="L812" t="s">
        <v>6408</v>
      </c>
      <c r="M812" t="str" cm="1">
        <f t="array" ref="M812">INDEX('Org List'!$A$2:$C$1005,MATCH(Consolidated!I812&amp;Consolidated!J812,'Org List'!$A$2:$A$1005&amp;'Org List'!$B$2:$B$1005,0),3)</f>
        <v>NGOs: National</v>
      </c>
    </row>
    <row r="813" spans="1:13" x14ac:dyDescent="0.25">
      <c r="A813">
        <v>2022</v>
      </c>
      <c r="B813" t="s">
        <v>6311</v>
      </c>
      <c r="C813" t="s">
        <v>6312</v>
      </c>
      <c r="D813" t="s">
        <v>30</v>
      </c>
      <c r="E813" t="s">
        <v>54</v>
      </c>
      <c r="F813">
        <v>4500250862</v>
      </c>
      <c r="G813" t="s">
        <v>6315</v>
      </c>
      <c r="H813" t="s">
        <v>3334</v>
      </c>
      <c r="I813" t="s">
        <v>5321</v>
      </c>
      <c r="J813" t="s">
        <v>54</v>
      </c>
      <c r="K813" s="2">
        <v>3062</v>
      </c>
      <c r="L813" t="s">
        <v>6408</v>
      </c>
      <c r="M813" t="str" cm="1">
        <f t="array" ref="M813">INDEX('Org List'!$A$2:$C$1005,MATCH(Consolidated!I813&amp;Consolidated!J813,'Org List'!$A$2:$A$1005&amp;'Org List'!$B$2:$B$1005,0),3)</f>
        <v>NGOs: National</v>
      </c>
    </row>
    <row r="814" spans="1:13" x14ac:dyDescent="0.25">
      <c r="A814">
        <v>2022</v>
      </c>
      <c r="B814" t="s">
        <v>6311</v>
      </c>
      <c r="C814" t="s">
        <v>6312</v>
      </c>
      <c r="D814" t="s">
        <v>30</v>
      </c>
      <c r="E814" t="s">
        <v>54</v>
      </c>
      <c r="F814">
        <v>4500257170</v>
      </c>
      <c r="G814" t="s">
        <v>6316</v>
      </c>
      <c r="H814" t="s">
        <v>3334</v>
      </c>
      <c r="I814" t="s">
        <v>5334</v>
      </c>
      <c r="J814" t="s">
        <v>54</v>
      </c>
      <c r="K814" s="2">
        <v>2130</v>
      </c>
      <c r="L814" t="s">
        <v>6408</v>
      </c>
      <c r="M814" t="str" cm="1">
        <f t="array" ref="M814">INDEX('Org List'!$A$2:$C$1005,MATCH(Consolidated!I814&amp;Consolidated!J814,'Org List'!$A$2:$A$1005&amp;'Org List'!$B$2:$B$1005,0),3)</f>
        <v>NGOs: National</v>
      </c>
    </row>
    <row r="815" spans="1:13" x14ac:dyDescent="0.25">
      <c r="A815">
        <v>2022</v>
      </c>
      <c r="B815" t="s">
        <v>6317</v>
      </c>
      <c r="C815" t="s">
        <v>6318</v>
      </c>
      <c r="D815" t="s">
        <v>30</v>
      </c>
      <c r="E815" t="s">
        <v>717</v>
      </c>
      <c r="F815">
        <v>4500189431</v>
      </c>
      <c r="G815" t="s">
        <v>6319</v>
      </c>
      <c r="H815" t="s">
        <v>3334</v>
      </c>
      <c r="I815" t="s">
        <v>2796</v>
      </c>
      <c r="J815" t="s">
        <v>717</v>
      </c>
      <c r="K815" s="2">
        <v>64008</v>
      </c>
      <c r="L815" t="s">
        <v>6408</v>
      </c>
      <c r="M815" t="str" cm="1">
        <f t="array" ref="M815">INDEX('Org List'!$A$2:$C$1005,MATCH(Consolidated!I815&amp;Consolidated!J815,'Org List'!$A$2:$A$1005&amp;'Org List'!$B$2:$B$1005,0),3)</f>
        <v>NGOs: Local</v>
      </c>
    </row>
    <row r="816" spans="1:13" x14ac:dyDescent="0.25">
      <c r="A816">
        <v>2022</v>
      </c>
      <c r="B816" t="s">
        <v>6320</v>
      </c>
      <c r="C816" t="s">
        <v>6321</v>
      </c>
      <c r="D816" t="s">
        <v>30</v>
      </c>
      <c r="E816" t="s">
        <v>594</v>
      </c>
      <c r="F816">
        <v>4500182010</v>
      </c>
      <c r="G816" t="s">
        <v>6322</v>
      </c>
      <c r="H816" t="s">
        <v>3334</v>
      </c>
      <c r="I816" t="s">
        <v>4536</v>
      </c>
      <c r="J816" t="s">
        <v>594</v>
      </c>
      <c r="K816" s="2">
        <v>471290</v>
      </c>
      <c r="L816" t="s">
        <v>6408</v>
      </c>
      <c r="M816" t="str" cm="1">
        <f t="array" ref="M816">INDEX('Org List'!$A$2:$C$1005,MATCH(Consolidated!I816&amp;Consolidated!J816,'Org List'!$A$2:$A$1005&amp;'Org List'!$B$2:$B$1005,0),3)</f>
        <v>NGOs: International</v>
      </c>
    </row>
    <row r="817" spans="1:13" x14ac:dyDescent="0.25">
      <c r="A817">
        <v>2022</v>
      </c>
      <c r="B817" t="s">
        <v>6320</v>
      </c>
      <c r="C817" t="s">
        <v>6321</v>
      </c>
      <c r="D817" t="s">
        <v>30</v>
      </c>
      <c r="E817" t="s">
        <v>594</v>
      </c>
      <c r="F817">
        <v>4500189116</v>
      </c>
      <c r="G817" t="s">
        <v>6323</v>
      </c>
      <c r="H817" t="s">
        <v>3334</v>
      </c>
      <c r="I817" t="s">
        <v>4538</v>
      </c>
      <c r="J817" t="s">
        <v>594</v>
      </c>
      <c r="K817" s="2">
        <v>326000</v>
      </c>
      <c r="L817" t="s">
        <v>6408</v>
      </c>
      <c r="M817" t="str" cm="1">
        <f t="array" ref="M817">INDEX('Org List'!$A$2:$C$1005,MATCH(Consolidated!I817&amp;Consolidated!J817,'Org List'!$A$2:$A$1005&amp;'Org List'!$B$2:$B$1005,0),3)</f>
        <v>NGOs: International</v>
      </c>
    </row>
    <row r="818" spans="1:13" x14ac:dyDescent="0.25">
      <c r="A818">
        <v>2022</v>
      </c>
      <c r="B818" t="s">
        <v>2730</v>
      </c>
      <c r="C818" t="s">
        <v>2731</v>
      </c>
      <c r="D818" t="s">
        <v>30</v>
      </c>
      <c r="E818" t="s">
        <v>814</v>
      </c>
      <c r="F818">
        <v>4500198867</v>
      </c>
      <c r="G818" t="s">
        <v>6324</v>
      </c>
      <c r="H818" t="s">
        <v>3334</v>
      </c>
      <c r="I818" t="s">
        <v>117</v>
      </c>
      <c r="J818" t="s">
        <v>3842</v>
      </c>
      <c r="K818" s="2">
        <v>14786</v>
      </c>
      <c r="L818" t="s">
        <v>6408</v>
      </c>
      <c r="M818" t="str" cm="1">
        <f t="array" ref="M818">INDEX('Org List'!$A$2:$C$1005,MATCH(Consolidated!I818&amp;Consolidated!J818,'Org List'!$A$2:$A$1005&amp;'Org List'!$B$2:$B$1005,0),3)</f>
        <v>NGOs: National</v>
      </c>
    </row>
    <row r="819" spans="1:13" x14ac:dyDescent="0.25">
      <c r="A819">
        <v>2022</v>
      </c>
      <c r="B819" t="s">
        <v>2730</v>
      </c>
      <c r="C819" t="s">
        <v>2731</v>
      </c>
      <c r="D819" t="s">
        <v>30</v>
      </c>
      <c r="E819" t="s">
        <v>814</v>
      </c>
      <c r="F819">
        <v>4500198877</v>
      </c>
      <c r="G819" t="s">
        <v>6325</v>
      </c>
      <c r="H819" t="s">
        <v>3334</v>
      </c>
      <c r="I819" t="s">
        <v>118</v>
      </c>
      <c r="J819" t="s">
        <v>3842</v>
      </c>
      <c r="K819" s="2">
        <v>10618</v>
      </c>
      <c r="L819" t="s">
        <v>6408</v>
      </c>
      <c r="M819" t="str" cm="1">
        <f t="array" ref="M819">INDEX('Org List'!$A$2:$C$1005,MATCH(Consolidated!I819&amp;Consolidated!J819,'Org List'!$A$2:$A$1005&amp;'Org List'!$B$2:$B$1005,0),3)</f>
        <v>NGOs: National</v>
      </c>
    </row>
    <row r="820" spans="1:13" x14ac:dyDescent="0.25">
      <c r="A820">
        <v>2022</v>
      </c>
      <c r="B820" t="s">
        <v>2730</v>
      </c>
      <c r="C820" t="s">
        <v>2731</v>
      </c>
      <c r="D820" t="s">
        <v>30</v>
      </c>
      <c r="E820" t="s">
        <v>814</v>
      </c>
      <c r="F820">
        <v>4500198883</v>
      </c>
      <c r="G820" t="s">
        <v>6326</v>
      </c>
      <c r="H820" t="s">
        <v>3334</v>
      </c>
      <c r="I820" t="s">
        <v>119</v>
      </c>
      <c r="J820" t="s">
        <v>3842</v>
      </c>
      <c r="K820" s="2">
        <v>11130</v>
      </c>
      <c r="L820" t="s">
        <v>6408</v>
      </c>
      <c r="M820" t="str" cm="1">
        <f t="array" ref="M820">INDEX('Org List'!$A$2:$C$1005,MATCH(Consolidated!I820&amp;Consolidated!J820,'Org List'!$A$2:$A$1005&amp;'Org List'!$B$2:$B$1005,0),3)</f>
        <v>NGOs: National</v>
      </c>
    </row>
    <row r="821" spans="1:13" x14ac:dyDescent="0.25">
      <c r="A821">
        <v>2022</v>
      </c>
      <c r="B821" t="s">
        <v>2730</v>
      </c>
      <c r="C821" t="s">
        <v>2731</v>
      </c>
      <c r="D821" t="s">
        <v>30</v>
      </c>
      <c r="E821" t="s">
        <v>814</v>
      </c>
      <c r="F821">
        <v>4500198891</v>
      </c>
      <c r="G821" t="s">
        <v>6327</v>
      </c>
      <c r="H821" t="s">
        <v>3334</v>
      </c>
      <c r="I821" t="s">
        <v>115</v>
      </c>
      <c r="J821" t="s">
        <v>3842</v>
      </c>
      <c r="K821" s="2">
        <v>10796</v>
      </c>
      <c r="L821" t="s">
        <v>6408</v>
      </c>
      <c r="M821" t="str" cm="1">
        <f t="array" ref="M821">INDEX('Org List'!$A$2:$C$1005,MATCH(Consolidated!I821&amp;Consolidated!J821,'Org List'!$A$2:$A$1005&amp;'Org List'!$B$2:$B$1005,0),3)</f>
        <v>NGOs: National</v>
      </c>
    </row>
    <row r="822" spans="1:13" x14ac:dyDescent="0.25">
      <c r="A822">
        <v>2022</v>
      </c>
      <c r="B822" t="s">
        <v>2730</v>
      </c>
      <c r="C822" t="s">
        <v>2731</v>
      </c>
      <c r="D822" t="s">
        <v>30</v>
      </c>
      <c r="E822" t="s">
        <v>814</v>
      </c>
      <c r="F822">
        <v>4500198898</v>
      </c>
      <c r="G822" t="s">
        <v>6328</v>
      </c>
      <c r="H822" t="s">
        <v>3334</v>
      </c>
      <c r="I822" t="s">
        <v>113</v>
      </c>
      <c r="J822" t="s">
        <v>3842</v>
      </c>
      <c r="K822" s="2">
        <v>10710</v>
      </c>
      <c r="L822" t="s">
        <v>6408</v>
      </c>
      <c r="M822" t="str" cm="1">
        <f t="array" ref="M822">INDEX('Org List'!$A$2:$C$1005,MATCH(Consolidated!I822&amp;Consolidated!J822,'Org List'!$A$2:$A$1005&amp;'Org List'!$B$2:$B$1005,0),3)</f>
        <v>NGOs: National</v>
      </c>
    </row>
    <row r="823" spans="1:13" x14ac:dyDescent="0.25">
      <c r="A823">
        <v>2022</v>
      </c>
      <c r="B823" t="s">
        <v>2730</v>
      </c>
      <c r="C823" t="s">
        <v>2731</v>
      </c>
      <c r="D823" t="s">
        <v>30</v>
      </c>
      <c r="E823" t="s">
        <v>814</v>
      </c>
      <c r="F823">
        <v>4500198905</v>
      </c>
      <c r="G823" t="s">
        <v>6329</v>
      </c>
      <c r="H823" t="s">
        <v>3334</v>
      </c>
      <c r="I823" t="s">
        <v>116</v>
      </c>
      <c r="J823" t="s">
        <v>3842</v>
      </c>
      <c r="K823" s="2">
        <v>10638</v>
      </c>
      <c r="L823" t="s">
        <v>6408</v>
      </c>
      <c r="M823" t="str" cm="1">
        <f t="array" ref="M823">INDEX('Org List'!$A$2:$C$1005,MATCH(Consolidated!I823&amp;Consolidated!J823,'Org List'!$A$2:$A$1005&amp;'Org List'!$B$2:$B$1005,0),3)</f>
        <v>NGOs: National</v>
      </c>
    </row>
    <row r="824" spans="1:13" x14ac:dyDescent="0.25">
      <c r="A824">
        <v>2022</v>
      </c>
      <c r="B824" t="s">
        <v>2730</v>
      </c>
      <c r="C824" t="s">
        <v>2731</v>
      </c>
      <c r="D824" t="s">
        <v>30</v>
      </c>
      <c r="E824" t="s">
        <v>814</v>
      </c>
      <c r="F824">
        <v>4500201319</v>
      </c>
      <c r="G824" t="s">
        <v>6330</v>
      </c>
      <c r="H824" t="s">
        <v>3334</v>
      </c>
      <c r="I824" t="s">
        <v>115</v>
      </c>
      <c r="J824" t="s">
        <v>3842</v>
      </c>
      <c r="K824" s="2">
        <v>18448</v>
      </c>
      <c r="L824" t="s">
        <v>6408</v>
      </c>
      <c r="M824" t="str" cm="1">
        <f t="array" ref="M824">INDEX('Org List'!$A$2:$C$1005,MATCH(Consolidated!I824&amp;Consolidated!J824,'Org List'!$A$2:$A$1005&amp;'Org List'!$B$2:$B$1005,0),3)</f>
        <v>NGOs: National</v>
      </c>
    </row>
    <row r="825" spans="1:13" x14ac:dyDescent="0.25">
      <c r="A825">
        <v>2022</v>
      </c>
      <c r="B825" t="s">
        <v>2730</v>
      </c>
      <c r="C825" t="s">
        <v>2731</v>
      </c>
      <c r="D825" t="s">
        <v>30</v>
      </c>
      <c r="E825" t="s">
        <v>814</v>
      </c>
      <c r="F825">
        <v>4500215124</v>
      </c>
      <c r="G825" t="s">
        <v>6331</v>
      </c>
      <c r="H825" t="s">
        <v>3334</v>
      </c>
      <c r="I825" t="s">
        <v>117</v>
      </c>
      <c r="J825" t="s">
        <v>3842</v>
      </c>
      <c r="K825" s="2">
        <v>4408</v>
      </c>
      <c r="L825" t="s">
        <v>6408</v>
      </c>
      <c r="M825" t="str" cm="1">
        <f t="array" ref="M825">INDEX('Org List'!$A$2:$C$1005,MATCH(Consolidated!I825&amp;Consolidated!J825,'Org List'!$A$2:$A$1005&amp;'Org List'!$B$2:$B$1005,0),3)</f>
        <v>NGOs: National</v>
      </c>
    </row>
    <row r="826" spans="1:13" x14ac:dyDescent="0.25">
      <c r="A826">
        <v>2022</v>
      </c>
      <c r="B826" t="s">
        <v>2730</v>
      </c>
      <c r="C826" t="s">
        <v>2731</v>
      </c>
      <c r="D826" t="s">
        <v>30</v>
      </c>
      <c r="E826" t="s">
        <v>814</v>
      </c>
      <c r="F826">
        <v>4500216370</v>
      </c>
      <c r="G826" t="s">
        <v>6332</v>
      </c>
      <c r="H826" t="s">
        <v>3334</v>
      </c>
      <c r="I826" t="s">
        <v>112</v>
      </c>
      <c r="J826" t="s">
        <v>3842</v>
      </c>
      <c r="K826" s="2">
        <v>13761</v>
      </c>
      <c r="L826" t="s">
        <v>6408</v>
      </c>
      <c r="M826" t="str" cm="1">
        <f t="array" ref="M826">INDEX('Org List'!$A$2:$C$1005,MATCH(Consolidated!I826&amp;Consolidated!J826,'Org List'!$A$2:$A$1005&amp;'Org List'!$B$2:$B$1005,0),3)</f>
        <v>NGOs: National</v>
      </c>
    </row>
    <row r="827" spans="1:13" x14ac:dyDescent="0.25">
      <c r="A827">
        <v>2022</v>
      </c>
      <c r="B827" t="s">
        <v>2730</v>
      </c>
      <c r="C827" t="s">
        <v>2731</v>
      </c>
      <c r="D827" t="s">
        <v>30</v>
      </c>
      <c r="E827" t="s">
        <v>814</v>
      </c>
      <c r="F827">
        <v>4500230940</v>
      </c>
      <c r="G827" t="s">
        <v>5268</v>
      </c>
      <c r="H827" t="s">
        <v>3334</v>
      </c>
      <c r="I827" t="s">
        <v>119</v>
      </c>
      <c r="J827" t="s">
        <v>3842</v>
      </c>
      <c r="K827" s="2">
        <v>2609</v>
      </c>
      <c r="L827" t="s">
        <v>6408</v>
      </c>
      <c r="M827" t="str" cm="1">
        <f t="array" ref="M827">INDEX('Org List'!$A$2:$C$1005,MATCH(Consolidated!I827&amp;Consolidated!J827,'Org List'!$A$2:$A$1005&amp;'Org List'!$B$2:$B$1005,0),3)</f>
        <v>NGOs: National</v>
      </c>
    </row>
    <row r="828" spans="1:13" x14ac:dyDescent="0.25">
      <c r="A828">
        <v>2022</v>
      </c>
      <c r="B828" t="s">
        <v>2730</v>
      </c>
      <c r="C828" t="s">
        <v>2731</v>
      </c>
      <c r="D828" t="s">
        <v>30</v>
      </c>
      <c r="E828" t="s">
        <v>814</v>
      </c>
      <c r="F828">
        <v>4500230950</v>
      </c>
      <c r="G828" t="s">
        <v>5269</v>
      </c>
      <c r="H828" t="s">
        <v>3334</v>
      </c>
      <c r="I828" t="s">
        <v>117</v>
      </c>
      <c r="J828" t="s">
        <v>3842</v>
      </c>
      <c r="K828" s="2">
        <v>3617</v>
      </c>
      <c r="L828" t="s">
        <v>6408</v>
      </c>
      <c r="M828" t="str" cm="1">
        <f t="array" ref="M828">INDEX('Org List'!$A$2:$C$1005,MATCH(Consolidated!I828&amp;Consolidated!J828,'Org List'!$A$2:$A$1005&amp;'Org List'!$B$2:$B$1005,0),3)</f>
        <v>NGOs: National</v>
      </c>
    </row>
    <row r="829" spans="1:13" x14ac:dyDescent="0.25">
      <c r="A829">
        <v>2022</v>
      </c>
      <c r="B829" t="s">
        <v>2730</v>
      </c>
      <c r="C829" t="s">
        <v>2731</v>
      </c>
      <c r="D829" t="s">
        <v>30</v>
      </c>
      <c r="E829" t="s">
        <v>814</v>
      </c>
      <c r="F829">
        <v>4500230953</v>
      </c>
      <c r="G829" t="s">
        <v>5270</v>
      </c>
      <c r="H829" t="s">
        <v>3334</v>
      </c>
      <c r="I829" t="s">
        <v>116</v>
      </c>
      <c r="J829" t="s">
        <v>3842</v>
      </c>
      <c r="K829" s="2">
        <v>2410</v>
      </c>
      <c r="L829" t="s">
        <v>6408</v>
      </c>
      <c r="M829" t="str" cm="1">
        <f t="array" ref="M829">INDEX('Org List'!$A$2:$C$1005,MATCH(Consolidated!I829&amp;Consolidated!J829,'Org List'!$A$2:$A$1005&amp;'Org List'!$B$2:$B$1005,0),3)</f>
        <v>NGOs: National</v>
      </c>
    </row>
    <row r="830" spans="1:13" x14ac:dyDescent="0.25">
      <c r="A830">
        <v>2022</v>
      </c>
      <c r="B830" t="s">
        <v>2730</v>
      </c>
      <c r="C830" t="s">
        <v>2731</v>
      </c>
      <c r="D830" t="s">
        <v>30</v>
      </c>
      <c r="E830" t="s">
        <v>814</v>
      </c>
      <c r="F830">
        <v>4500230962</v>
      </c>
      <c r="G830" t="s">
        <v>5271</v>
      </c>
      <c r="H830" t="s">
        <v>3334</v>
      </c>
      <c r="I830" t="s">
        <v>116</v>
      </c>
      <c r="J830" t="s">
        <v>3842</v>
      </c>
      <c r="K830" s="2">
        <v>2735</v>
      </c>
      <c r="L830" t="s">
        <v>6408</v>
      </c>
      <c r="M830" t="str" cm="1">
        <f t="array" ref="M830">INDEX('Org List'!$A$2:$C$1005,MATCH(Consolidated!I830&amp;Consolidated!J830,'Org List'!$A$2:$A$1005&amp;'Org List'!$B$2:$B$1005,0),3)</f>
        <v>NGOs: National</v>
      </c>
    </row>
    <row r="831" spans="1:13" x14ac:dyDescent="0.25">
      <c r="A831">
        <v>2022</v>
      </c>
      <c r="B831" t="s">
        <v>2730</v>
      </c>
      <c r="C831" t="s">
        <v>2731</v>
      </c>
      <c r="D831" t="s">
        <v>30</v>
      </c>
      <c r="E831" t="s">
        <v>814</v>
      </c>
      <c r="F831">
        <v>4500230975</v>
      </c>
      <c r="G831" t="s">
        <v>5272</v>
      </c>
      <c r="H831" t="s">
        <v>3334</v>
      </c>
      <c r="I831" t="s">
        <v>5273</v>
      </c>
      <c r="J831" t="s">
        <v>3842</v>
      </c>
      <c r="K831" s="2">
        <v>2511</v>
      </c>
      <c r="L831" t="s">
        <v>6408</v>
      </c>
      <c r="M831" t="str" cm="1">
        <f t="array" ref="M831">INDEX('Org List'!$A$2:$C$1005,MATCH(Consolidated!I831&amp;Consolidated!J831,'Org List'!$A$2:$A$1005&amp;'Org List'!$B$2:$B$1005,0),3)</f>
        <v>NGOs: National</v>
      </c>
    </row>
    <row r="832" spans="1:13" x14ac:dyDescent="0.25">
      <c r="A832">
        <v>2022</v>
      </c>
      <c r="B832" t="s">
        <v>2730</v>
      </c>
      <c r="C832" t="s">
        <v>2731</v>
      </c>
      <c r="D832" t="s">
        <v>30</v>
      </c>
      <c r="E832" t="s">
        <v>814</v>
      </c>
      <c r="F832">
        <v>4500230979</v>
      </c>
      <c r="G832" t="s">
        <v>5274</v>
      </c>
      <c r="H832" t="s">
        <v>3334</v>
      </c>
      <c r="I832" t="s">
        <v>115</v>
      </c>
      <c r="J832" t="s">
        <v>3842</v>
      </c>
      <c r="K832" s="2">
        <v>2531</v>
      </c>
      <c r="L832" t="s">
        <v>6408</v>
      </c>
      <c r="M832" t="str" cm="1">
        <f t="array" ref="M832">INDEX('Org List'!$A$2:$C$1005,MATCH(Consolidated!I832&amp;Consolidated!J832,'Org List'!$A$2:$A$1005&amp;'Org List'!$B$2:$B$1005,0),3)</f>
        <v>NGOs: National</v>
      </c>
    </row>
    <row r="833" spans="1:13" x14ac:dyDescent="0.25">
      <c r="A833">
        <v>2022</v>
      </c>
      <c r="B833" t="s">
        <v>2730</v>
      </c>
      <c r="C833" t="s">
        <v>2731</v>
      </c>
      <c r="D833" t="s">
        <v>30</v>
      </c>
      <c r="E833" t="s">
        <v>814</v>
      </c>
      <c r="F833">
        <v>4500230987</v>
      </c>
      <c r="G833" t="s">
        <v>5275</v>
      </c>
      <c r="H833" t="s">
        <v>3334</v>
      </c>
      <c r="I833" t="s">
        <v>115</v>
      </c>
      <c r="J833" t="s">
        <v>3842</v>
      </c>
      <c r="K833" s="2">
        <v>4325</v>
      </c>
      <c r="L833" t="s">
        <v>6408</v>
      </c>
      <c r="M833" t="str" cm="1">
        <f t="array" ref="M833">INDEX('Org List'!$A$2:$C$1005,MATCH(Consolidated!I833&amp;Consolidated!J833,'Org List'!$A$2:$A$1005&amp;'Org List'!$B$2:$B$1005,0),3)</f>
        <v>NGOs: National</v>
      </c>
    </row>
    <row r="834" spans="1:13" x14ac:dyDescent="0.25">
      <c r="A834">
        <v>2022</v>
      </c>
      <c r="B834" t="s">
        <v>2730</v>
      </c>
      <c r="C834" t="s">
        <v>2731</v>
      </c>
      <c r="D834" t="s">
        <v>30</v>
      </c>
      <c r="E834" t="s">
        <v>814</v>
      </c>
      <c r="F834">
        <v>4500230992</v>
      </c>
      <c r="G834" t="s">
        <v>5276</v>
      </c>
      <c r="H834" t="s">
        <v>3334</v>
      </c>
      <c r="I834" t="s">
        <v>118</v>
      </c>
      <c r="J834" t="s">
        <v>3842</v>
      </c>
      <c r="K834" s="2">
        <v>2489</v>
      </c>
      <c r="L834" t="s">
        <v>6408</v>
      </c>
      <c r="M834" t="str" cm="1">
        <f t="array" ref="M834">INDEX('Org List'!$A$2:$C$1005,MATCH(Consolidated!I834&amp;Consolidated!J834,'Org List'!$A$2:$A$1005&amp;'Org List'!$B$2:$B$1005,0),3)</f>
        <v>NGOs: National</v>
      </c>
    </row>
    <row r="835" spans="1:13" x14ac:dyDescent="0.25">
      <c r="A835">
        <v>2022</v>
      </c>
      <c r="B835" t="s">
        <v>2730</v>
      </c>
      <c r="C835" t="s">
        <v>2731</v>
      </c>
      <c r="D835" t="s">
        <v>30</v>
      </c>
      <c r="E835" t="s">
        <v>814</v>
      </c>
      <c r="F835">
        <v>4500232453</v>
      </c>
      <c r="G835" t="s">
        <v>5277</v>
      </c>
      <c r="H835" t="s">
        <v>3334</v>
      </c>
      <c r="I835" t="s">
        <v>112</v>
      </c>
      <c r="J835" t="s">
        <v>3842</v>
      </c>
      <c r="K835" s="2">
        <v>3451</v>
      </c>
      <c r="L835" t="s">
        <v>6408</v>
      </c>
      <c r="M835" t="str" cm="1">
        <f t="array" ref="M835">INDEX('Org List'!$A$2:$C$1005,MATCH(Consolidated!I835&amp;Consolidated!J835,'Org List'!$A$2:$A$1005&amp;'Org List'!$B$2:$B$1005,0),3)</f>
        <v>NGOs: National</v>
      </c>
    </row>
    <row r="836" spans="1:13" x14ac:dyDescent="0.25">
      <c r="A836">
        <v>2022</v>
      </c>
      <c r="B836" t="s">
        <v>2730</v>
      </c>
      <c r="C836" t="s">
        <v>2731</v>
      </c>
      <c r="D836" t="s">
        <v>30</v>
      </c>
      <c r="E836" t="s">
        <v>814</v>
      </c>
      <c r="F836">
        <v>4500232457</v>
      </c>
      <c r="G836" t="s">
        <v>5278</v>
      </c>
      <c r="H836" t="s">
        <v>3334</v>
      </c>
      <c r="I836" t="s">
        <v>112</v>
      </c>
      <c r="J836" t="s">
        <v>3842</v>
      </c>
      <c r="K836" s="2">
        <v>3235</v>
      </c>
      <c r="L836" t="s">
        <v>6408</v>
      </c>
      <c r="M836" t="str" cm="1">
        <f t="array" ref="M836">INDEX('Org List'!$A$2:$C$1005,MATCH(Consolidated!I836&amp;Consolidated!J836,'Org List'!$A$2:$A$1005&amp;'Org List'!$B$2:$B$1005,0),3)</f>
        <v>NGOs: National</v>
      </c>
    </row>
    <row r="837" spans="1:13" x14ac:dyDescent="0.25">
      <c r="A837">
        <v>2022</v>
      </c>
      <c r="B837" t="s">
        <v>2730</v>
      </c>
      <c r="C837" t="s">
        <v>2731</v>
      </c>
      <c r="D837" t="s">
        <v>30</v>
      </c>
      <c r="E837" t="s">
        <v>814</v>
      </c>
      <c r="F837">
        <v>4500235625</v>
      </c>
      <c r="G837" t="s">
        <v>5281</v>
      </c>
      <c r="H837" t="s">
        <v>3334</v>
      </c>
      <c r="I837" t="s">
        <v>1721</v>
      </c>
      <c r="J837" t="s">
        <v>3842</v>
      </c>
      <c r="K837" s="2">
        <v>1744</v>
      </c>
      <c r="L837" t="s">
        <v>6408</v>
      </c>
      <c r="M837" t="str" cm="1">
        <f t="array" ref="M837">INDEX('Org List'!$A$2:$C$1005,MATCH(Consolidated!I837&amp;Consolidated!J837,'Org List'!$A$2:$A$1005&amp;'Org List'!$B$2:$B$1005,0),3)</f>
        <v>NGOs: National</v>
      </c>
    </row>
    <row r="838" spans="1:13" x14ac:dyDescent="0.25">
      <c r="A838">
        <v>2022</v>
      </c>
      <c r="B838" t="s">
        <v>2730</v>
      </c>
      <c r="C838" t="s">
        <v>2731</v>
      </c>
      <c r="D838" t="s">
        <v>30</v>
      </c>
      <c r="E838" t="s">
        <v>814</v>
      </c>
      <c r="F838">
        <v>4500237450</v>
      </c>
      <c r="G838" t="s">
        <v>5282</v>
      </c>
      <c r="H838" t="s">
        <v>3334</v>
      </c>
      <c r="I838" t="s">
        <v>120</v>
      </c>
      <c r="J838" t="s">
        <v>3842</v>
      </c>
      <c r="K838" s="2">
        <v>6104</v>
      </c>
      <c r="L838" t="s">
        <v>6408</v>
      </c>
      <c r="M838" t="str" cm="1">
        <f t="array" ref="M838">INDEX('Org List'!$A$2:$C$1005,MATCH(Consolidated!I838&amp;Consolidated!J838,'Org List'!$A$2:$A$1005&amp;'Org List'!$B$2:$B$1005,0),3)</f>
        <v>NGOs: International</v>
      </c>
    </row>
    <row r="839" spans="1:13" x14ac:dyDescent="0.25">
      <c r="A839">
        <v>2022</v>
      </c>
      <c r="B839" t="s">
        <v>2730</v>
      </c>
      <c r="C839" t="s">
        <v>2731</v>
      </c>
      <c r="D839" t="s">
        <v>30</v>
      </c>
      <c r="E839" t="s">
        <v>814</v>
      </c>
      <c r="F839">
        <v>4500237462</v>
      </c>
      <c r="G839" t="s">
        <v>5283</v>
      </c>
      <c r="H839" t="s">
        <v>3334</v>
      </c>
      <c r="I839" t="s">
        <v>114</v>
      </c>
      <c r="J839" t="s">
        <v>3842</v>
      </c>
      <c r="K839" s="2">
        <v>2131</v>
      </c>
      <c r="L839" t="s">
        <v>6408</v>
      </c>
      <c r="M839" t="str" cm="1">
        <f t="array" ref="M839">INDEX('Org List'!$A$2:$C$1005,MATCH(Consolidated!I839&amp;Consolidated!J839,'Org List'!$A$2:$A$1005&amp;'Org List'!$B$2:$B$1005,0),3)</f>
        <v>NGOs: National</v>
      </c>
    </row>
    <row r="840" spans="1:13" x14ac:dyDescent="0.25">
      <c r="A840">
        <v>2022</v>
      </c>
      <c r="B840" t="s">
        <v>2730</v>
      </c>
      <c r="C840" t="s">
        <v>2731</v>
      </c>
      <c r="D840" t="s">
        <v>30</v>
      </c>
      <c r="E840" t="s">
        <v>814</v>
      </c>
      <c r="F840">
        <v>4500257385</v>
      </c>
      <c r="G840" t="s">
        <v>5289</v>
      </c>
      <c r="H840" t="s">
        <v>3334</v>
      </c>
      <c r="I840" t="s">
        <v>117</v>
      </c>
      <c r="J840" t="s">
        <v>3842</v>
      </c>
      <c r="K840" s="2">
        <v>2675</v>
      </c>
      <c r="L840" t="s">
        <v>6408</v>
      </c>
      <c r="M840" t="str" cm="1">
        <f t="array" ref="M840">INDEX('Org List'!$A$2:$C$1005,MATCH(Consolidated!I840&amp;Consolidated!J840,'Org List'!$A$2:$A$1005&amp;'Org List'!$B$2:$B$1005,0),3)</f>
        <v>NGOs: National</v>
      </c>
    </row>
    <row r="841" spans="1:13" x14ac:dyDescent="0.25">
      <c r="A841">
        <v>2022</v>
      </c>
      <c r="B841" t="s">
        <v>2730</v>
      </c>
      <c r="C841" t="s">
        <v>2731</v>
      </c>
      <c r="D841" t="s">
        <v>30</v>
      </c>
      <c r="E841" t="s">
        <v>814</v>
      </c>
      <c r="F841">
        <v>4500257387</v>
      </c>
      <c r="G841" t="s">
        <v>5290</v>
      </c>
      <c r="H841" t="s">
        <v>3334</v>
      </c>
      <c r="I841" t="s">
        <v>114</v>
      </c>
      <c r="J841" t="s">
        <v>3842</v>
      </c>
      <c r="K841" s="2">
        <v>1782</v>
      </c>
      <c r="L841" t="s">
        <v>6408</v>
      </c>
      <c r="M841" t="str" cm="1">
        <f t="array" ref="M841">INDEX('Org List'!$A$2:$C$1005,MATCH(Consolidated!I841&amp;Consolidated!J841,'Org List'!$A$2:$A$1005&amp;'Org List'!$B$2:$B$1005,0),3)</f>
        <v>NGOs: National</v>
      </c>
    </row>
    <row r="842" spans="1:13" x14ac:dyDescent="0.25">
      <c r="A842">
        <v>2022</v>
      </c>
      <c r="B842" t="s">
        <v>2730</v>
      </c>
      <c r="C842" t="s">
        <v>2731</v>
      </c>
      <c r="D842" t="s">
        <v>30</v>
      </c>
      <c r="E842" t="s">
        <v>814</v>
      </c>
      <c r="F842">
        <v>4500257388</v>
      </c>
      <c r="G842" t="s">
        <v>5291</v>
      </c>
      <c r="H842" t="s">
        <v>3334</v>
      </c>
      <c r="I842" t="s">
        <v>116</v>
      </c>
      <c r="J842" t="s">
        <v>3842</v>
      </c>
      <c r="K842" s="2">
        <v>1930</v>
      </c>
      <c r="L842" t="s">
        <v>6408</v>
      </c>
      <c r="M842" t="str" cm="1">
        <f t="array" ref="M842">INDEX('Org List'!$A$2:$C$1005,MATCH(Consolidated!I842&amp;Consolidated!J842,'Org List'!$A$2:$A$1005&amp;'Org List'!$B$2:$B$1005,0),3)</f>
        <v>NGOs: National</v>
      </c>
    </row>
    <row r="843" spans="1:13" x14ac:dyDescent="0.25">
      <c r="A843">
        <v>2022</v>
      </c>
      <c r="B843" t="s">
        <v>2730</v>
      </c>
      <c r="C843" t="s">
        <v>2731</v>
      </c>
      <c r="D843" t="s">
        <v>30</v>
      </c>
      <c r="E843" t="s">
        <v>814</v>
      </c>
      <c r="F843">
        <v>4500257389</v>
      </c>
      <c r="G843" t="s">
        <v>5292</v>
      </c>
      <c r="H843" t="s">
        <v>3334</v>
      </c>
      <c r="I843" t="s">
        <v>113</v>
      </c>
      <c r="J843" t="s">
        <v>3842</v>
      </c>
      <c r="K843" s="2">
        <v>1857</v>
      </c>
      <c r="L843" t="s">
        <v>6408</v>
      </c>
      <c r="M843" t="str" cm="1">
        <f t="array" ref="M843">INDEX('Org List'!$A$2:$C$1005,MATCH(Consolidated!I843&amp;Consolidated!J843,'Org List'!$A$2:$A$1005&amp;'Org List'!$B$2:$B$1005,0),3)</f>
        <v>NGOs: National</v>
      </c>
    </row>
    <row r="844" spans="1:13" x14ac:dyDescent="0.25">
      <c r="A844">
        <v>2022</v>
      </c>
      <c r="B844" t="s">
        <v>2730</v>
      </c>
      <c r="C844" t="s">
        <v>2731</v>
      </c>
      <c r="D844" t="s">
        <v>30</v>
      </c>
      <c r="E844" t="s">
        <v>814</v>
      </c>
      <c r="F844">
        <v>4500257393</v>
      </c>
      <c r="G844" t="s">
        <v>5293</v>
      </c>
      <c r="H844" t="s">
        <v>3334</v>
      </c>
      <c r="I844" t="s">
        <v>118</v>
      </c>
      <c r="J844" t="s">
        <v>3842</v>
      </c>
      <c r="K844" s="2">
        <v>1841</v>
      </c>
      <c r="L844" t="s">
        <v>6408</v>
      </c>
      <c r="M844" t="str" cm="1">
        <f t="array" ref="M844">INDEX('Org List'!$A$2:$C$1005,MATCH(Consolidated!I844&amp;Consolidated!J844,'Org List'!$A$2:$A$1005&amp;'Org List'!$B$2:$B$1005,0),3)</f>
        <v>NGOs: National</v>
      </c>
    </row>
    <row r="845" spans="1:13" x14ac:dyDescent="0.25">
      <c r="A845">
        <v>2022</v>
      </c>
      <c r="B845" t="s">
        <v>2730</v>
      </c>
      <c r="C845" t="s">
        <v>2731</v>
      </c>
      <c r="D845" t="s">
        <v>30</v>
      </c>
      <c r="E845" t="s">
        <v>814</v>
      </c>
      <c r="F845">
        <v>4500257394</v>
      </c>
      <c r="G845" t="s">
        <v>5294</v>
      </c>
      <c r="H845" t="s">
        <v>3334</v>
      </c>
      <c r="I845" t="s">
        <v>115</v>
      </c>
      <c r="J845" t="s">
        <v>3842</v>
      </c>
      <c r="K845" s="2">
        <v>3198</v>
      </c>
      <c r="L845" t="s">
        <v>6408</v>
      </c>
      <c r="M845" t="str" cm="1">
        <f t="array" ref="M845">INDEX('Org List'!$A$2:$C$1005,MATCH(Consolidated!I845&amp;Consolidated!J845,'Org List'!$A$2:$A$1005&amp;'Org List'!$B$2:$B$1005,0),3)</f>
        <v>NGOs: National</v>
      </c>
    </row>
    <row r="846" spans="1:13" x14ac:dyDescent="0.25">
      <c r="A846">
        <v>2022</v>
      </c>
      <c r="B846" t="s">
        <v>2730</v>
      </c>
      <c r="C846" t="s">
        <v>2731</v>
      </c>
      <c r="D846" t="s">
        <v>30</v>
      </c>
      <c r="E846" t="s">
        <v>814</v>
      </c>
      <c r="F846">
        <v>4500257397</v>
      </c>
      <c r="G846" t="s">
        <v>5295</v>
      </c>
      <c r="H846" t="s">
        <v>3334</v>
      </c>
      <c r="I846" t="s">
        <v>1721</v>
      </c>
      <c r="J846" t="s">
        <v>3842</v>
      </c>
      <c r="K846" s="2">
        <v>1540</v>
      </c>
      <c r="L846" t="s">
        <v>6408</v>
      </c>
      <c r="M846" t="str" cm="1">
        <f t="array" ref="M846">INDEX('Org List'!$A$2:$C$1005,MATCH(Consolidated!I846&amp;Consolidated!J846,'Org List'!$A$2:$A$1005&amp;'Org List'!$B$2:$B$1005,0),3)</f>
        <v>NGOs: National</v>
      </c>
    </row>
    <row r="847" spans="1:13" x14ac:dyDescent="0.25">
      <c r="A847">
        <v>2022</v>
      </c>
      <c r="B847" t="s">
        <v>2730</v>
      </c>
      <c r="C847" t="s">
        <v>2731</v>
      </c>
      <c r="D847" t="s">
        <v>30</v>
      </c>
      <c r="E847" t="s">
        <v>814</v>
      </c>
      <c r="F847">
        <v>4500257398</v>
      </c>
      <c r="G847" t="s">
        <v>5296</v>
      </c>
      <c r="H847" t="s">
        <v>3334</v>
      </c>
      <c r="I847" t="s">
        <v>112</v>
      </c>
      <c r="J847" t="s">
        <v>3842</v>
      </c>
      <c r="K847" s="2">
        <v>2392</v>
      </c>
      <c r="L847" t="s">
        <v>6408</v>
      </c>
      <c r="M847" t="str" cm="1">
        <f t="array" ref="M847">INDEX('Org List'!$A$2:$C$1005,MATCH(Consolidated!I847&amp;Consolidated!J847,'Org List'!$A$2:$A$1005&amp;'Org List'!$B$2:$B$1005,0),3)</f>
        <v>NGOs: National</v>
      </c>
    </row>
    <row r="848" spans="1:13" x14ac:dyDescent="0.25">
      <c r="A848">
        <v>2022</v>
      </c>
      <c r="B848" t="s">
        <v>2730</v>
      </c>
      <c r="C848" t="s">
        <v>2731</v>
      </c>
      <c r="D848" t="s">
        <v>30</v>
      </c>
      <c r="E848" t="s">
        <v>814</v>
      </c>
      <c r="F848">
        <v>4500257399</v>
      </c>
      <c r="G848" t="s">
        <v>5297</v>
      </c>
      <c r="H848" t="s">
        <v>3334</v>
      </c>
      <c r="I848" t="s">
        <v>120</v>
      </c>
      <c r="J848" t="s">
        <v>3842</v>
      </c>
      <c r="K848" s="2">
        <v>4692</v>
      </c>
      <c r="L848" t="s">
        <v>6408</v>
      </c>
      <c r="M848" t="str" cm="1">
        <f t="array" ref="M848">INDEX('Org List'!$A$2:$C$1005,MATCH(Consolidated!I848&amp;Consolidated!J848,'Org List'!$A$2:$A$1005&amp;'Org List'!$B$2:$B$1005,0),3)</f>
        <v>NGOs: International</v>
      </c>
    </row>
    <row r="849" spans="1:13" x14ac:dyDescent="0.25">
      <c r="A849">
        <v>2022</v>
      </c>
      <c r="B849" t="s">
        <v>2730</v>
      </c>
      <c r="C849" t="s">
        <v>2731</v>
      </c>
      <c r="D849" t="s">
        <v>30</v>
      </c>
      <c r="E849" t="s">
        <v>814</v>
      </c>
      <c r="F849">
        <v>4500257401</v>
      </c>
      <c r="G849" t="s">
        <v>5298</v>
      </c>
      <c r="H849" t="s">
        <v>3334</v>
      </c>
      <c r="I849" t="s">
        <v>119</v>
      </c>
      <c r="J849" t="s">
        <v>3842</v>
      </c>
      <c r="K849" s="2">
        <v>1930</v>
      </c>
      <c r="L849" t="s">
        <v>6408</v>
      </c>
      <c r="M849" t="str" cm="1">
        <f t="array" ref="M849">INDEX('Org List'!$A$2:$C$1005,MATCH(Consolidated!I849&amp;Consolidated!J849,'Org List'!$A$2:$A$1005&amp;'Org List'!$B$2:$B$1005,0),3)</f>
        <v>NGOs: National</v>
      </c>
    </row>
    <row r="850" spans="1:13" x14ac:dyDescent="0.25">
      <c r="A850">
        <v>2022</v>
      </c>
      <c r="B850" t="s">
        <v>2730</v>
      </c>
      <c r="C850" t="s">
        <v>2731</v>
      </c>
      <c r="D850" t="s">
        <v>30</v>
      </c>
      <c r="E850" t="s">
        <v>814</v>
      </c>
      <c r="F850">
        <v>4500257402</v>
      </c>
      <c r="G850" t="s">
        <v>3915</v>
      </c>
      <c r="H850" t="s">
        <v>3334</v>
      </c>
      <c r="I850" t="s">
        <v>115</v>
      </c>
      <c r="J850" t="s">
        <v>3842</v>
      </c>
      <c r="K850" s="2">
        <v>1174</v>
      </c>
      <c r="L850" t="s">
        <v>6408</v>
      </c>
      <c r="M850" t="str" cm="1">
        <f t="array" ref="M850">INDEX('Org List'!$A$2:$C$1005,MATCH(Consolidated!I850&amp;Consolidated!J850,'Org List'!$A$2:$A$1005&amp;'Org List'!$B$2:$B$1005,0),3)</f>
        <v>NGOs: National</v>
      </c>
    </row>
    <row r="851" spans="1:13" x14ac:dyDescent="0.25">
      <c r="A851">
        <v>2022</v>
      </c>
      <c r="B851" t="s">
        <v>2730</v>
      </c>
      <c r="C851" t="s">
        <v>2731</v>
      </c>
      <c r="D851" t="s">
        <v>30</v>
      </c>
      <c r="E851" t="s">
        <v>814</v>
      </c>
      <c r="F851">
        <v>4500257405</v>
      </c>
      <c r="G851" t="s">
        <v>5296</v>
      </c>
      <c r="H851" t="s">
        <v>3334</v>
      </c>
      <c r="I851" t="s">
        <v>112</v>
      </c>
      <c r="J851" t="s">
        <v>3842</v>
      </c>
      <c r="K851" s="2">
        <v>2552</v>
      </c>
      <c r="L851" t="s">
        <v>6408</v>
      </c>
      <c r="M851" t="str" cm="1">
        <f t="array" ref="M851">INDEX('Org List'!$A$2:$C$1005,MATCH(Consolidated!I851&amp;Consolidated!J851,'Org List'!$A$2:$A$1005&amp;'Org List'!$B$2:$B$1005,0),3)</f>
        <v>NGOs: National</v>
      </c>
    </row>
    <row r="852" spans="1:13" x14ac:dyDescent="0.25">
      <c r="A852">
        <v>2022</v>
      </c>
      <c r="B852" t="s">
        <v>2730</v>
      </c>
      <c r="C852" t="s">
        <v>2731</v>
      </c>
      <c r="D852" t="s">
        <v>30</v>
      </c>
      <c r="E852" t="s">
        <v>814</v>
      </c>
      <c r="F852">
        <v>4500257407</v>
      </c>
      <c r="G852" t="s">
        <v>5296</v>
      </c>
      <c r="H852" t="s">
        <v>3334</v>
      </c>
      <c r="I852" t="s">
        <v>116</v>
      </c>
      <c r="J852" t="s">
        <v>3842</v>
      </c>
      <c r="K852" s="2">
        <v>2022</v>
      </c>
      <c r="L852" t="s">
        <v>6408</v>
      </c>
      <c r="M852" t="str" cm="1">
        <f t="array" ref="M852">INDEX('Org List'!$A$2:$C$1005,MATCH(Consolidated!I852&amp;Consolidated!J852,'Org List'!$A$2:$A$1005&amp;'Org List'!$B$2:$B$1005,0),3)</f>
        <v>NGOs: National</v>
      </c>
    </row>
    <row r="853" spans="1:13" x14ac:dyDescent="0.25">
      <c r="A853">
        <v>2022</v>
      </c>
      <c r="B853" t="s">
        <v>3284</v>
      </c>
      <c r="C853" t="s">
        <v>3783</v>
      </c>
      <c r="D853" t="s">
        <v>30</v>
      </c>
      <c r="E853" t="s">
        <v>320</v>
      </c>
      <c r="F853">
        <v>4500181266</v>
      </c>
      <c r="G853" t="s">
        <v>4746</v>
      </c>
      <c r="H853" t="s">
        <v>3334</v>
      </c>
      <c r="I853" t="s">
        <v>4747</v>
      </c>
      <c r="J853" t="s">
        <v>320</v>
      </c>
      <c r="K853" s="2">
        <v>29963</v>
      </c>
      <c r="L853" t="s">
        <v>6408</v>
      </c>
      <c r="M853" t="str" cm="1">
        <f t="array" ref="M853">INDEX('Org List'!$A$2:$C$1005,MATCH(Consolidated!I853&amp;Consolidated!J853,'Org List'!$A$2:$A$1005&amp;'Org List'!$B$2:$B$1005,0),3)</f>
        <v>NGOs: National</v>
      </c>
    </row>
    <row r="854" spans="1:13" x14ac:dyDescent="0.25">
      <c r="A854">
        <v>2022</v>
      </c>
      <c r="B854" t="s">
        <v>3284</v>
      </c>
      <c r="C854" t="s">
        <v>3783</v>
      </c>
      <c r="D854" t="s">
        <v>30</v>
      </c>
      <c r="E854" t="s">
        <v>320</v>
      </c>
      <c r="F854">
        <v>4500211577</v>
      </c>
      <c r="G854" t="s">
        <v>6333</v>
      </c>
      <c r="H854" t="s">
        <v>3334</v>
      </c>
      <c r="I854" t="s">
        <v>6334</v>
      </c>
      <c r="J854" t="s">
        <v>320</v>
      </c>
      <c r="K854" s="2">
        <v>10363</v>
      </c>
      <c r="L854" t="s">
        <v>6408</v>
      </c>
      <c r="M854" t="str" cm="1">
        <f t="array" ref="M854">INDEX('Org List'!$A$2:$C$1005,MATCH(Consolidated!I854&amp;Consolidated!J854,'Org List'!$A$2:$A$1005&amp;'Org List'!$B$2:$B$1005,0),3)</f>
        <v>NGOs: National</v>
      </c>
    </row>
    <row r="855" spans="1:13" x14ac:dyDescent="0.25">
      <c r="A855">
        <v>2022</v>
      </c>
      <c r="B855" t="s">
        <v>3284</v>
      </c>
      <c r="C855" t="s">
        <v>3783</v>
      </c>
      <c r="D855" t="s">
        <v>30</v>
      </c>
      <c r="E855" t="s">
        <v>320</v>
      </c>
      <c r="F855">
        <v>4500211620</v>
      </c>
      <c r="G855" t="s">
        <v>6335</v>
      </c>
      <c r="H855" t="s">
        <v>3334</v>
      </c>
      <c r="I855" t="s">
        <v>6334</v>
      </c>
      <c r="J855" t="s">
        <v>320</v>
      </c>
      <c r="K855" s="2">
        <v>9900</v>
      </c>
      <c r="L855" t="s">
        <v>6408</v>
      </c>
      <c r="M855" t="str" cm="1">
        <f t="array" ref="M855">INDEX('Org List'!$A$2:$C$1005,MATCH(Consolidated!I855&amp;Consolidated!J855,'Org List'!$A$2:$A$1005&amp;'Org List'!$B$2:$B$1005,0),3)</f>
        <v>NGOs: National</v>
      </c>
    </row>
    <row r="856" spans="1:13" x14ac:dyDescent="0.25">
      <c r="A856">
        <v>2022</v>
      </c>
      <c r="B856" t="s">
        <v>3284</v>
      </c>
      <c r="C856" t="s">
        <v>3783</v>
      </c>
      <c r="D856" t="s">
        <v>30</v>
      </c>
      <c r="E856" t="s">
        <v>320</v>
      </c>
      <c r="F856">
        <v>4500235373</v>
      </c>
      <c r="G856" t="s">
        <v>6336</v>
      </c>
      <c r="H856" t="s">
        <v>3334</v>
      </c>
      <c r="I856" t="s">
        <v>851</v>
      </c>
      <c r="J856" t="s">
        <v>320</v>
      </c>
      <c r="K856" s="2">
        <v>17920</v>
      </c>
      <c r="L856" t="s">
        <v>6408</v>
      </c>
      <c r="M856" t="str" cm="1">
        <f t="array" ref="M856">INDEX('Org List'!$A$2:$C$1005,MATCH(Consolidated!I856&amp;Consolidated!J856,'Org List'!$A$2:$A$1005&amp;'Org List'!$B$2:$B$1005,0),3)</f>
        <v>NGOs: National</v>
      </c>
    </row>
    <row r="857" spans="1:13" x14ac:dyDescent="0.25">
      <c r="A857">
        <v>2022</v>
      </c>
      <c r="B857" t="s">
        <v>6337</v>
      </c>
      <c r="C857" t="s">
        <v>6338</v>
      </c>
      <c r="D857" t="s">
        <v>30</v>
      </c>
      <c r="E857" t="s">
        <v>493</v>
      </c>
      <c r="F857">
        <v>4500190200</v>
      </c>
      <c r="G857" t="s">
        <v>6339</v>
      </c>
      <c r="H857" t="s">
        <v>3334</v>
      </c>
      <c r="I857" t="s">
        <v>6340</v>
      </c>
      <c r="J857" t="s">
        <v>493</v>
      </c>
      <c r="K857" s="2">
        <v>389608</v>
      </c>
      <c r="L857" t="s">
        <v>6408</v>
      </c>
      <c r="M857" t="str" cm="1">
        <f t="array" ref="M857">INDEX('Org List'!$A$2:$C$1005,MATCH(Consolidated!I857&amp;Consolidated!J857,'Org List'!$A$2:$A$1005&amp;'Org List'!$B$2:$B$1005,0),3)</f>
        <v>NGOs: National</v>
      </c>
    </row>
    <row r="858" spans="1:13" x14ac:dyDescent="0.25">
      <c r="A858">
        <v>2022</v>
      </c>
      <c r="B858" t="s">
        <v>6341</v>
      </c>
      <c r="C858" t="s">
        <v>6342</v>
      </c>
      <c r="D858" t="s">
        <v>30</v>
      </c>
      <c r="E858" t="s">
        <v>54</v>
      </c>
      <c r="F858">
        <v>4500211576</v>
      </c>
      <c r="G858" t="s">
        <v>4938</v>
      </c>
      <c r="H858" t="s">
        <v>3334</v>
      </c>
      <c r="I858" t="s">
        <v>3497</v>
      </c>
      <c r="J858" t="s">
        <v>54</v>
      </c>
      <c r="K858">
        <v>968</v>
      </c>
      <c r="L858" t="s">
        <v>6408</v>
      </c>
      <c r="M858" t="str" cm="1">
        <f t="array" ref="M858">INDEX('Org List'!$A$2:$C$1005,MATCH(Consolidated!I858&amp;Consolidated!J858,'Org List'!$A$2:$A$1005&amp;'Org List'!$B$2:$B$1005,0),3)</f>
        <v>NGOs: National</v>
      </c>
    </row>
    <row r="859" spans="1:13" x14ac:dyDescent="0.25">
      <c r="A859">
        <v>2022</v>
      </c>
      <c r="B859" t="s">
        <v>6341</v>
      </c>
      <c r="C859" t="s">
        <v>6342</v>
      </c>
      <c r="D859" t="s">
        <v>30</v>
      </c>
      <c r="E859" t="s">
        <v>54</v>
      </c>
      <c r="F859">
        <v>4500214382</v>
      </c>
      <c r="G859" t="s">
        <v>4939</v>
      </c>
      <c r="H859" t="s">
        <v>3334</v>
      </c>
      <c r="I859" t="s">
        <v>3495</v>
      </c>
      <c r="J859" t="s">
        <v>54</v>
      </c>
      <c r="K859">
        <v>585</v>
      </c>
      <c r="L859" t="s">
        <v>6408</v>
      </c>
      <c r="M859" t="str" cm="1">
        <f t="array" ref="M859">INDEX('Org List'!$A$2:$C$1005,MATCH(Consolidated!I859&amp;Consolidated!J859,'Org List'!$A$2:$A$1005&amp;'Org List'!$B$2:$B$1005,0),3)</f>
        <v>NGOs: National</v>
      </c>
    </row>
    <row r="860" spans="1:13" x14ac:dyDescent="0.25">
      <c r="A860">
        <v>2022</v>
      </c>
      <c r="B860" t="s">
        <v>6341</v>
      </c>
      <c r="C860" t="s">
        <v>6342</v>
      </c>
      <c r="D860" t="s">
        <v>30</v>
      </c>
      <c r="E860" t="s">
        <v>54</v>
      </c>
      <c r="F860">
        <v>4500214394</v>
      </c>
      <c r="G860" t="s">
        <v>4940</v>
      </c>
      <c r="H860" t="s">
        <v>3334</v>
      </c>
      <c r="I860" t="s">
        <v>1248</v>
      </c>
      <c r="J860" t="s">
        <v>54</v>
      </c>
      <c r="K860">
        <v>555</v>
      </c>
      <c r="L860" t="s">
        <v>6408</v>
      </c>
      <c r="M860" t="str" cm="1">
        <f t="array" ref="M860">INDEX('Org List'!$A$2:$C$1005,MATCH(Consolidated!I860&amp;Consolidated!J860,'Org List'!$A$2:$A$1005&amp;'Org List'!$B$2:$B$1005,0),3)</f>
        <v>NGOs: National</v>
      </c>
    </row>
    <row r="861" spans="1:13" x14ac:dyDescent="0.25">
      <c r="A861">
        <v>2022</v>
      </c>
      <c r="B861" t="s">
        <v>6341</v>
      </c>
      <c r="C861" t="s">
        <v>6342</v>
      </c>
      <c r="D861" t="s">
        <v>30</v>
      </c>
      <c r="E861" t="s">
        <v>54</v>
      </c>
      <c r="F861">
        <v>4500218838</v>
      </c>
      <c r="G861" t="s">
        <v>4941</v>
      </c>
      <c r="H861" t="s">
        <v>3334</v>
      </c>
      <c r="I861" t="s">
        <v>4942</v>
      </c>
      <c r="J861" t="s">
        <v>54</v>
      </c>
      <c r="K861" s="2">
        <v>2459</v>
      </c>
      <c r="L861" t="s">
        <v>6408</v>
      </c>
      <c r="M861" t="str" cm="1">
        <f t="array" ref="M861">INDEX('Org List'!$A$2:$C$1005,MATCH(Consolidated!I861&amp;Consolidated!J861,'Org List'!$A$2:$A$1005&amp;'Org List'!$B$2:$B$1005,0),3)</f>
        <v>Unknown</v>
      </c>
    </row>
    <row r="862" spans="1:13" x14ac:dyDescent="0.25">
      <c r="A862">
        <v>2022</v>
      </c>
      <c r="B862" t="s">
        <v>6341</v>
      </c>
      <c r="C862" t="s">
        <v>6342</v>
      </c>
      <c r="D862" t="s">
        <v>30</v>
      </c>
      <c r="E862" t="s">
        <v>54</v>
      </c>
      <c r="F862">
        <v>4500221500</v>
      </c>
      <c r="G862" t="s">
        <v>4959</v>
      </c>
      <c r="H862" t="s">
        <v>3334</v>
      </c>
      <c r="I862" t="s">
        <v>3790</v>
      </c>
      <c r="J862" t="s">
        <v>54</v>
      </c>
      <c r="K862" s="2">
        <v>5461</v>
      </c>
      <c r="L862" t="s">
        <v>6408</v>
      </c>
      <c r="M862" t="str" cm="1">
        <f t="array" ref="M862">INDEX('Org List'!$A$2:$C$1005,MATCH(Consolidated!I862&amp;Consolidated!J862,'Org List'!$A$2:$A$1005&amp;'Org List'!$B$2:$B$1005,0),3)</f>
        <v>NGOs: National</v>
      </c>
    </row>
    <row r="863" spans="1:13" x14ac:dyDescent="0.25">
      <c r="A863">
        <v>2022</v>
      </c>
      <c r="B863" t="s">
        <v>6341</v>
      </c>
      <c r="C863" t="s">
        <v>6342</v>
      </c>
      <c r="D863" t="s">
        <v>30</v>
      </c>
      <c r="E863" t="s">
        <v>54</v>
      </c>
      <c r="F863">
        <v>4500222876</v>
      </c>
      <c r="G863" t="s">
        <v>4960</v>
      </c>
      <c r="H863" t="s">
        <v>3334</v>
      </c>
      <c r="I863" t="s">
        <v>4961</v>
      </c>
      <c r="J863" t="s">
        <v>54</v>
      </c>
      <c r="K863">
        <v>410</v>
      </c>
      <c r="L863" t="s">
        <v>6408</v>
      </c>
      <c r="M863" t="str" cm="1">
        <f t="array" ref="M863">INDEX('Org List'!$A$2:$C$1005,MATCH(Consolidated!I863&amp;Consolidated!J863,'Org List'!$A$2:$A$1005&amp;'Org List'!$B$2:$B$1005,0),3)</f>
        <v>NGOs: National</v>
      </c>
    </row>
    <row r="864" spans="1:13" x14ac:dyDescent="0.25">
      <c r="A864">
        <v>2022</v>
      </c>
      <c r="B864" t="s">
        <v>6341</v>
      </c>
      <c r="C864" t="s">
        <v>6342</v>
      </c>
      <c r="D864" t="s">
        <v>30</v>
      </c>
      <c r="E864" t="s">
        <v>54</v>
      </c>
      <c r="F864">
        <v>4500227752</v>
      </c>
      <c r="G864" t="s">
        <v>4962</v>
      </c>
      <c r="H864" t="s">
        <v>3334</v>
      </c>
      <c r="I864" t="s">
        <v>3497</v>
      </c>
      <c r="J864" t="s">
        <v>54</v>
      </c>
      <c r="K864" s="2">
        <v>6670</v>
      </c>
      <c r="L864" t="s">
        <v>6408</v>
      </c>
      <c r="M864" t="str" cm="1">
        <f t="array" ref="M864">INDEX('Org List'!$A$2:$C$1005,MATCH(Consolidated!I864&amp;Consolidated!J864,'Org List'!$A$2:$A$1005&amp;'Org List'!$B$2:$B$1005,0),3)</f>
        <v>NGOs: National</v>
      </c>
    </row>
    <row r="865" spans="1:13" x14ac:dyDescent="0.25">
      <c r="A865">
        <v>2022</v>
      </c>
      <c r="B865" t="s">
        <v>6341</v>
      </c>
      <c r="C865" t="s">
        <v>6342</v>
      </c>
      <c r="D865" t="s">
        <v>30</v>
      </c>
      <c r="E865" t="s">
        <v>54</v>
      </c>
      <c r="F865">
        <v>4500235778</v>
      </c>
      <c r="G865" t="s">
        <v>4947</v>
      </c>
      <c r="H865" t="s">
        <v>3334</v>
      </c>
      <c r="I865" t="s">
        <v>4948</v>
      </c>
      <c r="J865" t="s">
        <v>54</v>
      </c>
      <c r="K865" s="2">
        <v>5445</v>
      </c>
      <c r="L865" t="s">
        <v>6408</v>
      </c>
      <c r="M865" t="str" cm="1">
        <f t="array" ref="M865">INDEX('Org List'!$A$2:$C$1005,MATCH(Consolidated!I865&amp;Consolidated!J865,'Org List'!$A$2:$A$1005&amp;'Org List'!$B$2:$B$1005,0),3)</f>
        <v>NGOs: National</v>
      </c>
    </row>
    <row r="866" spans="1:13" x14ac:dyDescent="0.25">
      <c r="A866">
        <v>2022</v>
      </c>
      <c r="B866" t="s">
        <v>6341</v>
      </c>
      <c r="C866" t="s">
        <v>6342</v>
      </c>
      <c r="D866" t="s">
        <v>30</v>
      </c>
      <c r="E866" t="s">
        <v>54</v>
      </c>
      <c r="F866">
        <v>4500238402</v>
      </c>
      <c r="G866" t="s">
        <v>4963</v>
      </c>
      <c r="H866" t="s">
        <v>3334</v>
      </c>
      <c r="I866" t="s">
        <v>1728</v>
      </c>
      <c r="J866" t="s">
        <v>54</v>
      </c>
      <c r="K866">
        <v>893</v>
      </c>
      <c r="L866" t="s">
        <v>6408</v>
      </c>
      <c r="M866" t="str" cm="1">
        <f t="array" ref="M866">INDEX('Org List'!$A$2:$C$1005,MATCH(Consolidated!I866&amp;Consolidated!J866,'Org List'!$A$2:$A$1005&amp;'Org List'!$B$2:$B$1005,0),3)</f>
        <v>NGOs: National</v>
      </c>
    </row>
    <row r="867" spans="1:13" x14ac:dyDescent="0.25">
      <c r="A867">
        <v>2022</v>
      </c>
      <c r="B867" t="s">
        <v>6343</v>
      </c>
      <c r="C867" t="s">
        <v>6344</v>
      </c>
      <c r="D867" t="s">
        <v>30</v>
      </c>
      <c r="E867" t="s">
        <v>717</v>
      </c>
      <c r="F867">
        <v>4500219556</v>
      </c>
      <c r="G867" t="s">
        <v>6345</v>
      </c>
      <c r="H867" t="s">
        <v>3334</v>
      </c>
      <c r="I867" t="s">
        <v>3235</v>
      </c>
      <c r="J867" t="s">
        <v>717</v>
      </c>
      <c r="K867" s="2">
        <v>30000</v>
      </c>
      <c r="L867" t="s">
        <v>6408</v>
      </c>
      <c r="M867" t="str" cm="1">
        <f t="array" ref="M867">INDEX('Org List'!$A$2:$C$1005,MATCH(Consolidated!I867&amp;Consolidated!J867,'Org List'!$A$2:$A$1005&amp;'Org List'!$B$2:$B$1005,0),3)</f>
        <v>Other: Local</v>
      </c>
    </row>
    <row r="868" spans="1:13" x14ac:dyDescent="0.25">
      <c r="A868">
        <v>2022</v>
      </c>
      <c r="B868" t="s">
        <v>6346</v>
      </c>
      <c r="C868" t="s">
        <v>6347</v>
      </c>
      <c r="D868" t="s">
        <v>30</v>
      </c>
      <c r="E868" t="s">
        <v>992</v>
      </c>
      <c r="F868">
        <v>4500209050</v>
      </c>
      <c r="G868" t="s">
        <v>3935</v>
      </c>
      <c r="H868" t="s">
        <v>3334</v>
      </c>
      <c r="I868" t="s">
        <v>2423</v>
      </c>
      <c r="J868" t="s">
        <v>992</v>
      </c>
      <c r="K868" s="2">
        <v>360495</v>
      </c>
      <c r="L868" t="s">
        <v>6408</v>
      </c>
      <c r="M868" t="str" cm="1">
        <f t="array" ref="M868">INDEX('Org List'!$A$2:$C$1005,MATCH(Consolidated!I868&amp;Consolidated!J868,'Org List'!$A$2:$A$1005&amp;'Org List'!$B$2:$B$1005,0),3)</f>
        <v>Red Cross: National</v>
      </c>
    </row>
    <row r="869" spans="1:13" x14ac:dyDescent="0.25">
      <c r="A869">
        <v>2022</v>
      </c>
      <c r="B869" t="s">
        <v>6348</v>
      </c>
      <c r="C869" t="s">
        <v>6349</v>
      </c>
      <c r="D869" t="s">
        <v>30</v>
      </c>
      <c r="E869" t="s">
        <v>303</v>
      </c>
      <c r="F869">
        <v>4500221528</v>
      </c>
      <c r="G869" t="s">
        <v>4969</v>
      </c>
      <c r="H869" t="s">
        <v>3334</v>
      </c>
      <c r="I869" t="s">
        <v>869</v>
      </c>
      <c r="J869" t="s">
        <v>303</v>
      </c>
      <c r="K869" s="2">
        <v>54395</v>
      </c>
      <c r="L869" t="s">
        <v>6408</v>
      </c>
      <c r="M869" t="str" cm="1">
        <f t="array" ref="M869">INDEX('Org List'!$A$2:$C$1005,MATCH(Consolidated!I869&amp;Consolidated!J869,'Org List'!$A$2:$A$1005&amp;'Org List'!$B$2:$B$1005,0),3)</f>
        <v>NGOs: International</v>
      </c>
    </row>
    <row r="870" spans="1:13" x14ac:dyDescent="0.25">
      <c r="A870">
        <v>2022</v>
      </c>
      <c r="B870" t="s">
        <v>6348</v>
      </c>
      <c r="C870" t="s">
        <v>6349</v>
      </c>
      <c r="D870" t="s">
        <v>30</v>
      </c>
      <c r="E870" t="s">
        <v>305</v>
      </c>
      <c r="F870">
        <v>4500238822</v>
      </c>
      <c r="G870" t="s">
        <v>5148</v>
      </c>
      <c r="H870" t="s">
        <v>3334</v>
      </c>
      <c r="I870" t="s">
        <v>905</v>
      </c>
      <c r="J870" t="s">
        <v>305</v>
      </c>
      <c r="K870" s="2">
        <v>55951</v>
      </c>
      <c r="L870" t="s">
        <v>6408</v>
      </c>
      <c r="M870" t="str" cm="1">
        <f t="array" ref="M870">INDEX('Org List'!$A$2:$C$1005,MATCH(Consolidated!I870&amp;Consolidated!J870,'Org List'!$A$2:$A$1005&amp;'Org List'!$B$2:$B$1005,0),3)</f>
        <v>NGOs: International</v>
      </c>
    </row>
    <row r="871" spans="1:13" x14ac:dyDescent="0.25">
      <c r="A871">
        <v>2022</v>
      </c>
      <c r="B871" t="s">
        <v>6348</v>
      </c>
      <c r="C871" t="s">
        <v>6349</v>
      </c>
      <c r="D871" t="s">
        <v>30</v>
      </c>
      <c r="E871" t="s">
        <v>305</v>
      </c>
      <c r="F871">
        <v>4500243531</v>
      </c>
      <c r="G871" t="s">
        <v>6350</v>
      </c>
      <c r="H871" t="s">
        <v>3334</v>
      </c>
      <c r="I871" t="s">
        <v>6351</v>
      </c>
      <c r="J871" t="s">
        <v>305</v>
      </c>
      <c r="K871" s="2">
        <v>48907</v>
      </c>
      <c r="L871" t="s">
        <v>6408</v>
      </c>
      <c r="M871" t="str" cm="1">
        <f t="array" ref="M871">INDEX('Org List'!$A$2:$C$1005,MATCH(Consolidated!I871&amp;Consolidated!J871,'Org List'!$A$2:$A$1005&amp;'Org List'!$B$2:$B$1005,0),3)</f>
        <v>NGOs: National</v>
      </c>
    </row>
    <row r="872" spans="1:13" x14ac:dyDescent="0.25">
      <c r="A872">
        <v>2022</v>
      </c>
      <c r="B872" t="s">
        <v>6348</v>
      </c>
      <c r="C872" t="s">
        <v>6349</v>
      </c>
      <c r="D872" t="s">
        <v>30</v>
      </c>
      <c r="E872" t="s">
        <v>911</v>
      </c>
      <c r="F872">
        <v>4500245855</v>
      </c>
      <c r="G872" t="s">
        <v>5002</v>
      </c>
      <c r="H872" t="s">
        <v>3334</v>
      </c>
      <c r="I872" t="s">
        <v>3491</v>
      </c>
      <c r="J872" t="s">
        <v>911</v>
      </c>
      <c r="K872" s="2">
        <v>45298</v>
      </c>
      <c r="L872" t="s">
        <v>6408</v>
      </c>
      <c r="M872" t="str" cm="1">
        <f t="array" ref="M872">INDEX('Org List'!$A$2:$C$1005,MATCH(Consolidated!I872&amp;Consolidated!J872,'Org List'!$A$2:$A$1005&amp;'Org List'!$B$2:$B$1005,0),3)</f>
        <v>NGOs: National</v>
      </c>
    </row>
    <row r="873" spans="1:13" x14ac:dyDescent="0.25">
      <c r="A873">
        <v>2022</v>
      </c>
      <c r="B873" t="s">
        <v>6348</v>
      </c>
      <c r="C873" t="s">
        <v>6349</v>
      </c>
      <c r="D873" t="s">
        <v>30</v>
      </c>
      <c r="E873" t="s">
        <v>54</v>
      </c>
      <c r="F873">
        <v>4500220202</v>
      </c>
      <c r="G873" t="s">
        <v>6352</v>
      </c>
      <c r="H873" t="s">
        <v>3334</v>
      </c>
      <c r="I873" t="s">
        <v>3790</v>
      </c>
      <c r="J873" t="s">
        <v>54</v>
      </c>
      <c r="K873" s="2">
        <v>5025</v>
      </c>
      <c r="L873" t="s">
        <v>6408</v>
      </c>
      <c r="M873" t="str" cm="1">
        <f t="array" ref="M873">INDEX('Org List'!$A$2:$C$1005,MATCH(Consolidated!I873&amp;Consolidated!J873,'Org List'!$A$2:$A$1005&amp;'Org List'!$B$2:$B$1005,0),3)</f>
        <v>NGOs: National</v>
      </c>
    </row>
    <row r="874" spans="1:13" x14ac:dyDescent="0.25">
      <c r="A874">
        <v>2022</v>
      </c>
      <c r="B874" t="s">
        <v>6348</v>
      </c>
      <c r="C874" t="s">
        <v>6349</v>
      </c>
      <c r="D874" t="s">
        <v>30</v>
      </c>
      <c r="E874" t="s">
        <v>54</v>
      </c>
      <c r="F874">
        <v>4500223321</v>
      </c>
      <c r="G874" t="s">
        <v>5003</v>
      </c>
      <c r="H874" t="s">
        <v>3334</v>
      </c>
      <c r="I874" t="s">
        <v>1405</v>
      </c>
      <c r="J874" t="s">
        <v>972</v>
      </c>
      <c r="K874" s="2">
        <v>1500900</v>
      </c>
      <c r="L874" t="s">
        <v>6408</v>
      </c>
      <c r="M874" t="str" cm="1">
        <f t="array" ref="M874">INDEX('Org List'!$A$2:$C$1005,MATCH(Consolidated!I874&amp;Consolidated!J874,'Org List'!$A$2:$A$1005&amp;'Org List'!$B$2:$B$1005,0),3)</f>
        <v>NGOs: International</v>
      </c>
    </row>
    <row r="875" spans="1:13" x14ac:dyDescent="0.25">
      <c r="A875">
        <v>2022</v>
      </c>
      <c r="B875" t="s">
        <v>6348</v>
      </c>
      <c r="C875" t="s">
        <v>6349</v>
      </c>
      <c r="D875" t="s">
        <v>30</v>
      </c>
      <c r="E875" t="s">
        <v>54</v>
      </c>
      <c r="F875">
        <v>4500226765</v>
      </c>
      <c r="G875" t="s">
        <v>6353</v>
      </c>
      <c r="H875" t="s">
        <v>3334</v>
      </c>
      <c r="I875" t="s">
        <v>3790</v>
      </c>
      <c r="J875" t="s">
        <v>54</v>
      </c>
      <c r="K875" s="2">
        <v>31650</v>
      </c>
      <c r="L875" t="s">
        <v>6408</v>
      </c>
      <c r="M875" t="str" cm="1">
        <f t="array" ref="M875">INDEX('Org List'!$A$2:$C$1005,MATCH(Consolidated!I875&amp;Consolidated!J875,'Org List'!$A$2:$A$1005&amp;'Org List'!$B$2:$B$1005,0),3)</f>
        <v>NGOs: National</v>
      </c>
    </row>
    <row r="876" spans="1:13" x14ac:dyDescent="0.25">
      <c r="A876">
        <v>2022</v>
      </c>
      <c r="B876" t="s">
        <v>6348</v>
      </c>
      <c r="C876" t="s">
        <v>6349</v>
      </c>
      <c r="D876" t="s">
        <v>30</v>
      </c>
      <c r="E876" t="s">
        <v>54</v>
      </c>
      <c r="F876">
        <v>4500235815</v>
      </c>
      <c r="G876" t="s">
        <v>6354</v>
      </c>
      <c r="H876" t="s">
        <v>3334</v>
      </c>
      <c r="I876" t="s">
        <v>5010</v>
      </c>
      <c r="J876" t="s">
        <v>54</v>
      </c>
      <c r="K876" s="2">
        <v>4400</v>
      </c>
      <c r="L876" t="s">
        <v>6408</v>
      </c>
      <c r="M876" t="str" cm="1">
        <f t="array" ref="M876">INDEX('Org List'!$A$2:$C$1005,MATCH(Consolidated!I876&amp;Consolidated!J876,'Org List'!$A$2:$A$1005&amp;'Org List'!$B$2:$B$1005,0),3)</f>
        <v>NGOs: National</v>
      </c>
    </row>
    <row r="877" spans="1:13" x14ac:dyDescent="0.25">
      <c r="A877">
        <v>2022</v>
      </c>
      <c r="B877" t="s">
        <v>2736</v>
      </c>
      <c r="C877" t="s">
        <v>2737</v>
      </c>
      <c r="D877" t="s">
        <v>30</v>
      </c>
      <c r="E877" t="s">
        <v>54</v>
      </c>
      <c r="F877">
        <v>4500210822</v>
      </c>
      <c r="G877" t="s">
        <v>6355</v>
      </c>
      <c r="H877" t="s">
        <v>3334</v>
      </c>
      <c r="I877" t="s">
        <v>277</v>
      </c>
      <c r="J877" t="s">
        <v>54</v>
      </c>
      <c r="K877" s="2">
        <v>2950</v>
      </c>
      <c r="L877" t="s">
        <v>6408</v>
      </c>
      <c r="M877" t="str" cm="1">
        <f t="array" ref="M877">INDEX('Org List'!$A$2:$C$1005,MATCH(Consolidated!I877&amp;Consolidated!J877,'Org List'!$A$2:$A$1005&amp;'Org List'!$B$2:$B$1005,0),3)</f>
        <v>NGOs: National</v>
      </c>
    </row>
    <row r="878" spans="1:13" x14ac:dyDescent="0.25">
      <c r="A878">
        <v>2022</v>
      </c>
      <c r="B878" t="s">
        <v>2736</v>
      </c>
      <c r="C878" t="s">
        <v>2737</v>
      </c>
      <c r="D878" t="s">
        <v>30</v>
      </c>
      <c r="E878" t="s">
        <v>54</v>
      </c>
      <c r="F878">
        <v>4500211576</v>
      </c>
      <c r="G878" t="s">
        <v>4938</v>
      </c>
      <c r="H878" t="s">
        <v>3334</v>
      </c>
      <c r="I878" t="s">
        <v>3497</v>
      </c>
      <c r="J878" t="s">
        <v>54</v>
      </c>
      <c r="K878">
        <v>645</v>
      </c>
      <c r="L878" t="s">
        <v>6408</v>
      </c>
      <c r="M878" t="str" cm="1">
        <f t="array" ref="M878">INDEX('Org List'!$A$2:$C$1005,MATCH(Consolidated!I878&amp;Consolidated!J878,'Org List'!$A$2:$A$1005&amp;'Org List'!$B$2:$B$1005,0),3)</f>
        <v>NGOs: National</v>
      </c>
    </row>
    <row r="879" spans="1:13" x14ac:dyDescent="0.25">
      <c r="A879">
        <v>2022</v>
      </c>
      <c r="B879" t="s">
        <v>2736</v>
      </c>
      <c r="C879" t="s">
        <v>2737</v>
      </c>
      <c r="D879" t="s">
        <v>30</v>
      </c>
      <c r="E879" t="s">
        <v>54</v>
      </c>
      <c r="F879">
        <v>4500214382</v>
      </c>
      <c r="G879" t="s">
        <v>4939</v>
      </c>
      <c r="H879" t="s">
        <v>3334</v>
      </c>
      <c r="I879" t="s">
        <v>3495</v>
      </c>
      <c r="J879" t="s">
        <v>54</v>
      </c>
      <c r="K879">
        <v>390</v>
      </c>
      <c r="L879" t="s">
        <v>6408</v>
      </c>
      <c r="M879" t="str" cm="1">
        <f t="array" ref="M879">INDEX('Org List'!$A$2:$C$1005,MATCH(Consolidated!I879&amp;Consolidated!J879,'Org List'!$A$2:$A$1005&amp;'Org List'!$B$2:$B$1005,0),3)</f>
        <v>NGOs: National</v>
      </c>
    </row>
    <row r="880" spans="1:13" x14ac:dyDescent="0.25">
      <c r="A880">
        <v>2022</v>
      </c>
      <c r="B880" t="s">
        <v>2736</v>
      </c>
      <c r="C880" t="s">
        <v>2737</v>
      </c>
      <c r="D880" t="s">
        <v>30</v>
      </c>
      <c r="E880" t="s">
        <v>54</v>
      </c>
      <c r="F880">
        <v>4500214394</v>
      </c>
      <c r="G880" t="s">
        <v>4940</v>
      </c>
      <c r="H880" t="s">
        <v>3334</v>
      </c>
      <c r="I880" t="s">
        <v>1248</v>
      </c>
      <c r="J880" t="s">
        <v>54</v>
      </c>
      <c r="K880">
        <v>370</v>
      </c>
      <c r="L880" t="s">
        <v>6408</v>
      </c>
      <c r="M880" t="str" cm="1">
        <f t="array" ref="M880">INDEX('Org List'!$A$2:$C$1005,MATCH(Consolidated!I880&amp;Consolidated!J880,'Org List'!$A$2:$A$1005&amp;'Org List'!$B$2:$B$1005,0),3)</f>
        <v>NGOs: National</v>
      </c>
    </row>
    <row r="881" spans="1:13" x14ac:dyDescent="0.25">
      <c r="A881">
        <v>2022</v>
      </c>
      <c r="B881" t="s">
        <v>2736</v>
      </c>
      <c r="C881" t="s">
        <v>2737</v>
      </c>
      <c r="D881" t="s">
        <v>30</v>
      </c>
      <c r="E881" t="s">
        <v>54</v>
      </c>
      <c r="F881">
        <v>4500221488</v>
      </c>
      <c r="G881" t="s">
        <v>4957</v>
      </c>
      <c r="H881" t="s">
        <v>3334</v>
      </c>
      <c r="I881" t="s">
        <v>4958</v>
      </c>
      <c r="J881" t="s">
        <v>54</v>
      </c>
      <c r="K881">
        <v>501</v>
      </c>
      <c r="L881" t="s">
        <v>6408</v>
      </c>
      <c r="M881" t="str" cm="1">
        <f t="array" ref="M881">INDEX('Org List'!$A$2:$C$1005,MATCH(Consolidated!I881&amp;Consolidated!J881,'Org List'!$A$2:$A$1005&amp;'Org List'!$B$2:$B$1005,0),3)</f>
        <v>NGOs: National</v>
      </c>
    </row>
    <row r="882" spans="1:13" x14ac:dyDescent="0.25">
      <c r="A882">
        <v>2022</v>
      </c>
      <c r="B882" t="s">
        <v>2736</v>
      </c>
      <c r="C882" t="s">
        <v>2737</v>
      </c>
      <c r="D882" t="s">
        <v>30</v>
      </c>
      <c r="E882" t="s">
        <v>54</v>
      </c>
      <c r="F882">
        <v>4500221500</v>
      </c>
      <c r="G882" t="s">
        <v>4959</v>
      </c>
      <c r="H882" t="s">
        <v>3334</v>
      </c>
      <c r="I882" t="s">
        <v>3790</v>
      </c>
      <c r="J882" t="s">
        <v>54</v>
      </c>
      <c r="K882" s="2">
        <v>3640</v>
      </c>
      <c r="L882" t="s">
        <v>6408</v>
      </c>
      <c r="M882" t="str" cm="1">
        <f t="array" ref="M882">INDEX('Org List'!$A$2:$C$1005,MATCH(Consolidated!I882&amp;Consolidated!J882,'Org List'!$A$2:$A$1005&amp;'Org List'!$B$2:$B$1005,0),3)</f>
        <v>NGOs: National</v>
      </c>
    </row>
    <row r="883" spans="1:13" x14ac:dyDescent="0.25">
      <c r="A883">
        <v>2022</v>
      </c>
      <c r="B883" t="s">
        <v>2736</v>
      </c>
      <c r="C883" t="s">
        <v>2737</v>
      </c>
      <c r="D883" t="s">
        <v>30</v>
      </c>
      <c r="E883" t="s">
        <v>54</v>
      </c>
      <c r="F883">
        <v>4500222876</v>
      </c>
      <c r="G883" t="s">
        <v>4960</v>
      </c>
      <c r="H883" t="s">
        <v>3334</v>
      </c>
      <c r="I883" t="s">
        <v>4961</v>
      </c>
      <c r="J883" t="s">
        <v>54</v>
      </c>
      <c r="K883">
        <v>273</v>
      </c>
      <c r="L883" t="s">
        <v>6408</v>
      </c>
      <c r="M883" t="str" cm="1">
        <f t="array" ref="M883">INDEX('Org List'!$A$2:$C$1005,MATCH(Consolidated!I883&amp;Consolidated!J883,'Org List'!$A$2:$A$1005&amp;'Org List'!$B$2:$B$1005,0),3)</f>
        <v>NGOs: National</v>
      </c>
    </row>
    <row r="884" spans="1:13" x14ac:dyDescent="0.25">
      <c r="A884">
        <v>2022</v>
      </c>
      <c r="B884" t="s">
        <v>2736</v>
      </c>
      <c r="C884" t="s">
        <v>2737</v>
      </c>
      <c r="D884" t="s">
        <v>30</v>
      </c>
      <c r="E884" t="s">
        <v>54</v>
      </c>
      <c r="F884">
        <v>4500238402</v>
      </c>
      <c r="G884" t="s">
        <v>4963</v>
      </c>
      <c r="H884" t="s">
        <v>3334</v>
      </c>
      <c r="I884" t="s">
        <v>1728</v>
      </c>
      <c r="J884" t="s">
        <v>54</v>
      </c>
      <c r="K884">
        <v>595</v>
      </c>
      <c r="L884" t="s">
        <v>6408</v>
      </c>
      <c r="M884" t="str" cm="1">
        <f t="array" ref="M884">INDEX('Org List'!$A$2:$C$1005,MATCH(Consolidated!I884&amp;Consolidated!J884,'Org List'!$A$2:$A$1005&amp;'Org List'!$B$2:$B$1005,0),3)</f>
        <v>NGOs: National</v>
      </c>
    </row>
    <row r="885" spans="1:13" x14ac:dyDescent="0.25">
      <c r="A885">
        <v>2022</v>
      </c>
      <c r="B885" t="s">
        <v>2736</v>
      </c>
      <c r="C885" t="s">
        <v>2737</v>
      </c>
      <c r="D885" t="s">
        <v>30</v>
      </c>
      <c r="E885" t="s">
        <v>54</v>
      </c>
      <c r="F885">
        <v>4500247012</v>
      </c>
      <c r="G885" t="s">
        <v>6356</v>
      </c>
      <c r="H885" t="s">
        <v>3334</v>
      </c>
      <c r="I885" t="s">
        <v>2878</v>
      </c>
      <c r="J885" t="s">
        <v>54</v>
      </c>
      <c r="K885" s="2">
        <v>167095</v>
      </c>
      <c r="L885" t="s">
        <v>6408</v>
      </c>
      <c r="M885" t="str" cm="1">
        <f t="array" ref="M885">INDEX('Org List'!$A$2:$C$1005,MATCH(Consolidated!I885&amp;Consolidated!J885,'Org List'!$A$2:$A$1005&amp;'Org List'!$B$2:$B$1005,0),3)</f>
        <v>NGOs: National</v>
      </c>
    </row>
    <row r="886" spans="1:13" x14ac:dyDescent="0.25">
      <c r="A886">
        <v>2022</v>
      </c>
      <c r="B886" t="s">
        <v>2736</v>
      </c>
      <c r="C886" t="s">
        <v>2737</v>
      </c>
      <c r="D886" t="s">
        <v>30</v>
      </c>
      <c r="E886" t="s">
        <v>54</v>
      </c>
      <c r="F886">
        <v>4500247935</v>
      </c>
      <c r="G886" t="s">
        <v>5327</v>
      </c>
      <c r="H886" t="s">
        <v>3334</v>
      </c>
      <c r="I886" t="s">
        <v>5328</v>
      </c>
      <c r="J886" t="s">
        <v>54</v>
      </c>
      <c r="K886" s="2">
        <v>14273</v>
      </c>
      <c r="L886" t="s">
        <v>6408</v>
      </c>
      <c r="M886" t="str" cm="1">
        <f t="array" ref="M886">INDEX('Org List'!$A$2:$C$1005,MATCH(Consolidated!I886&amp;Consolidated!J886,'Org List'!$A$2:$A$1005&amp;'Org List'!$B$2:$B$1005,0),3)</f>
        <v>NGOs: Local</v>
      </c>
    </row>
    <row r="887" spans="1:13" x14ac:dyDescent="0.25">
      <c r="A887">
        <v>2022</v>
      </c>
      <c r="B887" t="s">
        <v>2736</v>
      </c>
      <c r="C887" t="s">
        <v>2737</v>
      </c>
      <c r="D887" t="s">
        <v>30</v>
      </c>
      <c r="E887" t="s">
        <v>54</v>
      </c>
      <c r="F887">
        <v>4500249545</v>
      </c>
      <c r="G887" t="s">
        <v>5331</v>
      </c>
      <c r="H887" t="s">
        <v>3334</v>
      </c>
      <c r="I887" t="s">
        <v>3790</v>
      </c>
      <c r="J887" t="s">
        <v>54</v>
      </c>
      <c r="K887" s="2">
        <v>45486</v>
      </c>
      <c r="L887" t="s">
        <v>6408</v>
      </c>
      <c r="M887" t="str" cm="1">
        <f t="array" ref="M887">INDEX('Org List'!$A$2:$C$1005,MATCH(Consolidated!I887&amp;Consolidated!J887,'Org List'!$A$2:$A$1005&amp;'Org List'!$B$2:$B$1005,0),3)</f>
        <v>NGOs: National</v>
      </c>
    </row>
    <row r="888" spans="1:13" x14ac:dyDescent="0.25">
      <c r="A888">
        <v>2022</v>
      </c>
      <c r="B888" t="s">
        <v>2736</v>
      </c>
      <c r="C888" t="s">
        <v>2737</v>
      </c>
      <c r="D888" t="s">
        <v>30</v>
      </c>
      <c r="E888" t="s">
        <v>54</v>
      </c>
      <c r="F888">
        <v>4500250066</v>
      </c>
      <c r="G888" t="s">
        <v>6357</v>
      </c>
      <c r="H888" t="s">
        <v>3334</v>
      </c>
      <c r="I888" t="s">
        <v>6358</v>
      </c>
      <c r="J888" t="s">
        <v>54</v>
      </c>
      <c r="K888" s="2">
        <v>150000</v>
      </c>
      <c r="L888" t="s">
        <v>6408</v>
      </c>
      <c r="M888" t="str" cm="1">
        <f t="array" ref="M888">INDEX('Org List'!$A$2:$C$1005,MATCH(Consolidated!I888&amp;Consolidated!J888,'Org List'!$A$2:$A$1005&amp;'Org List'!$B$2:$B$1005,0),3)</f>
        <v>NGOs: National</v>
      </c>
    </row>
    <row r="889" spans="1:13" x14ac:dyDescent="0.25">
      <c r="A889">
        <v>2022</v>
      </c>
      <c r="B889" t="s">
        <v>2736</v>
      </c>
      <c r="C889" t="s">
        <v>2737</v>
      </c>
      <c r="D889" t="s">
        <v>30</v>
      </c>
      <c r="E889" t="s">
        <v>54</v>
      </c>
      <c r="F889">
        <v>4500250875</v>
      </c>
      <c r="G889" t="s">
        <v>3938</v>
      </c>
      <c r="H889" t="s">
        <v>3334</v>
      </c>
      <c r="I889" t="s">
        <v>277</v>
      </c>
      <c r="J889" t="s">
        <v>54</v>
      </c>
      <c r="K889" s="2">
        <v>5100</v>
      </c>
      <c r="L889" t="s">
        <v>6408</v>
      </c>
      <c r="M889" t="str" cm="1">
        <f t="array" ref="M889">INDEX('Org List'!$A$2:$C$1005,MATCH(Consolidated!I889&amp;Consolidated!J889,'Org List'!$A$2:$A$1005&amp;'Org List'!$B$2:$B$1005,0),3)</f>
        <v>NGOs: National</v>
      </c>
    </row>
    <row r="890" spans="1:13" x14ac:dyDescent="0.25">
      <c r="A890">
        <v>2022</v>
      </c>
      <c r="B890" t="s">
        <v>2736</v>
      </c>
      <c r="C890" t="s">
        <v>2737</v>
      </c>
      <c r="D890" t="s">
        <v>30</v>
      </c>
      <c r="E890" t="s">
        <v>54</v>
      </c>
      <c r="F890">
        <v>4500250884</v>
      </c>
      <c r="G890" t="s">
        <v>6359</v>
      </c>
      <c r="H890" t="s">
        <v>3334</v>
      </c>
      <c r="I890" t="s">
        <v>3495</v>
      </c>
      <c r="J890" t="s">
        <v>54</v>
      </c>
      <c r="K890" s="2">
        <v>8748</v>
      </c>
      <c r="L890" t="s">
        <v>6408</v>
      </c>
      <c r="M890" t="str" cm="1">
        <f t="array" ref="M890">INDEX('Org List'!$A$2:$C$1005,MATCH(Consolidated!I890&amp;Consolidated!J890,'Org List'!$A$2:$A$1005&amp;'Org List'!$B$2:$B$1005,0),3)</f>
        <v>NGOs: National</v>
      </c>
    </row>
    <row r="891" spans="1:13" x14ac:dyDescent="0.25">
      <c r="A891">
        <v>2022</v>
      </c>
      <c r="B891" t="s">
        <v>2736</v>
      </c>
      <c r="C891" t="s">
        <v>2737</v>
      </c>
      <c r="D891" t="s">
        <v>30</v>
      </c>
      <c r="E891" t="s">
        <v>54</v>
      </c>
      <c r="F891">
        <v>4500274173</v>
      </c>
      <c r="G891" t="s">
        <v>6154</v>
      </c>
      <c r="H891" t="s">
        <v>3334</v>
      </c>
      <c r="I891" t="s">
        <v>790</v>
      </c>
      <c r="J891" t="s">
        <v>54</v>
      </c>
      <c r="K891" s="2">
        <v>199941</v>
      </c>
      <c r="L891" t="s">
        <v>6408</v>
      </c>
      <c r="M891" t="str" cm="1">
        <f t="array" ref="M891">INDEX('Org List'!$A$2:$C$1005,MATCH(Consolidated!I891&amp;Consolidated!J891,'Org List'!$A$2:$A$1005&amp;'Org List'!$B$2:$B$1005,0),3)</f>
        <v>NGOs: National</v>
      </c>
    </row>
    <row r="892" spans="1:13" x14ac:dyDescent="0.25">
      <c r="A892">
        <v>2022</v>
      </c>
      <c r="B892" t="s">
        <v>2736</v>
      </c>
      <c r="C892" t="s">
        <v>2737</v>
      </c>
      <c r="D892" t="s">
        <v>30</v>
      </c>
      <c r="E892" t="s">
        <v>54</v>
      </c>
      <c r="F892">
        <v>4500275116</v>
      </c>
      <c r="G892" t="s">
        <v>5013</v>
      </c>
      <c r="H892" t="s">
        <v>3334</v>
      </c>
      <c r="I892" t="s">
        <v>3790</v>
      </c>
      <c r="J892" t="s">
        <v>54</v>
      </c>
      <c r="K892" s="2">
        <v>76339</v>
      </c>
      <c r="L892" t="s">
        <v>6408</v>
      </c>
      <c r="M892" t="str" cm="1">
        <f t="array" ref="M892">INDEX('Org List'!$A$2:$C$1005,MATCH(Consolidated!I892&amp;Consolidated!J892,'Org List'!$A$2:$A$1005&amp;'Org List'!$B$2:$B$1005,0),3)</f>
        <v>NGOs: National</v>
      </c>
    </row>
    <row r="893" spans="1:13" x14ac:dyDescent="0.25">
      <c r="A893">
        <v>2022</v>
      </c>
      <c r="B893" t="s">
        <v>2736</v>
      </c>
      <c r="C893" t="s">
        <v>2737</v>
      </c>
      <c r="D893" t="s">
        <v>30</v>
      </c>
      <c r="E893" t="s">
        <v>54</v>
      </c>
      <c r="F893">
        <v>4500275775</v>
      </c>
      <c r="G893" t="s">
        <v>6360</v>
      </c>
      <c r="H893" t="s">
        <v>3334</v>
      </c>
      <c r="I893" t="s">
        <v>3790</v>
      </c>
      <c r="J893" t="s">
        <v>54</v>
      </c>
      <c r="K893" s="2">
        <v>6610135</v>
      </c>
      <c r="L893" t="s">
        <v>6408</v>
      </c>
      <c r="M893" t="str" cm="1">
        <f t="array" ref="M893">INDEX('Org List'!$A$2:$C$1005,MATCH(Consolidated!I893&amp;Consolidated!J893,'Org List'!$A$2:$A$1005&amp;'Org List'!$B$2:$B$1005,0),3)</f>
        <v>NGOs: National</v>
      </c>
    </row>
    <row r="894" spans="1:13" x14ac:dyDescent="0.25">
      <c r="A894">
        <v>2022</v>
      </c>
      <c r="B894" t="s">
        <v>6361</v>
      </c>
      <c r="C894" t="s">
        <v>6362</v>
      </c>
      <c r="D894" t="s">
        <v>30</v>
      </c>
      <c r="E894" t="s">
        <v>1554</v>
      </c>
      <c r="F894">
        <v>4500220160</v>
      </c>
      <c r="G894" t="s">
        <v>6363</v>
      </c>
      <c r="H894" t="s">
        <v>3334</v>
      </c>
      <c r="I894" t="s">
        <v>6364</v>
      </c>
      <c r="J894" t="s">
        <v>1554</v>
      </c>
      <c r="K894" s="2">
        <v>303080</v>
      </c>
      <c r="L894" t="s">
        <v>6408</v>
      </c>
      <c r="M894" t="str" cm="1">
        <f t="array" ref="M894">INDEX('Org List'!$A$2:$C$1005,MATCH(Consolidated!I894&amp;Consolidated!J894,'Org List'!$A$2:$A$1005&amp;'Org List'!$B$2:$B$1005,0),3)</f>
        <v>NGOs: International</v>
      </c>
    </row>
    <row r="895" spans="1:13" x14ac:dyDescent="0.25">
      <c r="A895">
        <v>2022</v>
      </c>
      <c r="B895" t="s">
        <v>6361</v>
      </c>
      <c r="C895" t="s">
        <v>6362</v>
      </c>
      <c r="D895" t="s">
        <v>30</v>
      </c>
      <c r="E895" t="s">
        <v>1554</v>
      </c>
      <c r="F895">
        <v>4500220168</v>
      </c>
      <c r="G895" t="s">
        <v>6363</v>
      </c>
      <c r="H895" t="s">
        <v>3334</v>
      </c>
      <c r="I895" t="s">
        <v>2435</v>
      </c>
      <c r="J895" t="s">
        <v>1554</v>
      </c>
      <c r="K895" s="2">
        <v>117965</v>
      </c>
      <c r="L895" t="s">
        <v>6408</v>
      </c>
      <c r="M895" t="str" cm="1">
        <f t="array" ref="M895">INDEX('Org List'!$A$2:$C$1005,MATCH(Consolidated!I895&amp;Consolidated!J895,'Org List'!$A$2:$A$1005&amp;'Org List'!$B$2:$B$1005,0),3)</f>
        <v>Red Cross: National</v>
      </c>
    </row>
    <row r="896" spans="1:13" x14ac:dyDescent="0.25">
      <c r="A896">
        <v>2022</v>
      </c>
      <c r="B896" t="s">
        <v>6365</v>
      </c>
      <c r="C896" t="s">
        <v>6366</v>
      </c>
      <c r="D896" t="s">
        <v>30</v>
      </c>
      <c r="E896" t="s">
        <v>717</v>
      </c>
      <c r="F896">
        <v>4500224040</v>
      </c>
      <c r="G896" t="s">
        <v>6367</v>
      </c>
      <c r="H896" t="s">
        <v>3334</v>
      </c>
      <c r="I896" t="s">
        <v>728</v>
      </c>
      <c r="J896" t="s">
        <v>717</v>
      </c>
      <c r="K896" s="2">
        <v>970000</v>
      </c>
      <c r="L896" t="s">
        <v>6408</v>
      </c>
      <c r="M896" t="str" cm="1">
        <f t="array" ref="M896">INDEX('Org List'!$A$2:$C$1005,MATCH(Consolidated!I896&amp;Consolidated!J896,'Org List'!$A$2:$A$1005&amp;'Org List'!$B$2:$B$1005,0),3)</f>
        <v>NGOs: National</v>
      </c>
    </row>
    <row r="897" spans="1:13" x14ac:dyDescent="0.25">
      <c r="A897">
        <v>2022</v>
      </c>
      <c r="B897" t="s">
        <v>6368</v>
      </c>
      <c r="C897" t="s">
        <v>6369</v>
      </c>
      <c r="D897" t="s">
        <v>30</v>
      </c>
      <c r="E897" t="s">
        <v>20</v>
      </c>
      <c r="F897">
        <v>4500232537</v>
      </c>
      <c r="G897" t="s">
        <v>6370</v>
      </c>
      <c r="H897" t="s">
        <v>3334</v>
      </c>
      <c r="I897" t="s">
        <v>5216</v>
      </c>
      <c r="J897" t="s">
        <v>20</v>
      </c>
      <c r="K897" s="2">
        <v>107104</v>
      </c>
      <c r="L897" t="s">
        <v>6408</v>
      </c>
      <c r="M897" t="str" cm="1">
        <f t="array" ref="M897">INDEX('Org List'!$A$2:$C$1005,MATCH(Consolidated!I897&amp;Consolidated!J897,'Org List'!$A$2:$A$1005&amp;'Org List'!$B$2:$B$1005,0),3)</f>
        <v>NGOs: National</v>
      </c>
    </row>
    <row r="898" spans="1:13" x14ac:dyDescent="0.25">
      <c r="A898">
        <v>2022</v>
      </c>
      <c r="B898" t="s">
        <v>6368</v>
      </c>
      <c r="C898" t="s">
        <v>6369</v>
      </c>
      <c r="D898" t="s">
        <v>30</v>
      </c>
      <c r="E898" t="s">
        <v>20</v>
      </c>
      <c r="F898">
        <v>4500232540</v>
      </c>
      <c r="G898" t="s">
        <v>6371</v>
      </c>
      <c r="H898" t="s">
        <v>3334</v>
      </c>
      <c r="I898" t="s">
        <v>852</v>
      </c>
      <c r="J898" t="s">
        <v>20</v>
      </c>
      <c r="K898" s="2">
        <v>51434</v>
      </c>
      <c r="L898" t="s">
        <v>6408</v>
      </c>
      <c r="M898" t="str" cm="1">
        <f t="array" ref="M898">INDEX('Org List'!$A$2:$C$1005,MATCH(Consolidated!I898&amp;Consolidated!J898,'Org List'!$A$2:$A$1005&amp;'Org List'!$B$2:$B$1005,0),3)</f>
        <v>NGOs: National</v>
      </c>
    </row>
    <row r="899" spans="1:13" x14ac:dyDescent="0.25">
      <c r="A899">
        <v>2022</v>
      </c>
      <c r="B899" t="s">
        <v>6368</v>
      </c>
      <c r="C899" t="s">
        <v>6369</v>
      </c>
      <c r="D899" t="s">
        <v>30</v>
      </c>
      <c r="E899" t="s">
        <v>20</v>
      </c>
      <c r="F899">
        <v>4500263803</v>
      </c>
      <c r="G899" t="s">
        <v>5217</v>
      </c>
      <c r="H899" t="s">
        <v>3334</v>
      </c>
      <c r="I899" t="s">
        <v>852</v>
      </c>
      <c r="J899" t="s">
        <v>20</v>
      </c>
      <c r="K899" s="2">
        <v>12280</v>
      </c>
      <c r="L899" t="s">
        <v>6408</v>
      </c>
      <c r="M899" t="str" cm="1">
        <f t="array" ref="M899">INDEX('Org List'!$A$2:$C$1005,MATCH(Consolidated!I899&amp;Consolidated!J899,'Org List'!$A$2:$A$1005&amp;'Org List'!$B$2:$B$1005,0),3)</f>
        <v>NGOs: National</v>
      </c>
    </row>
    <row r="900" spans="1:13" x14ac:dyDescent="0.25">
      <c r="A900">
        <v>2022</v>
      </c>
      <c r="B900" t="s">
        <v>3291</v>
      </c>
      <c r="C900" t="s">
        <v>3792</v>
      </c>
      <c r="D900" t="s">
        <v>30</v>
      </c>
      <c r="E900" t="s">
        <v>54</v>
      </c>
      <c r="F900">
        <v>4500275142</v>
      </c>
      <c r="G900" t="s">
        <v>5228</v>
      </c>
      <c r="H900" t="s">
        <v>3334</v>
      </c>
      <c r="I900" t="s">
        <v>3790</v>
      </c>
      <c r="J900" t="s">
        <v>54</v>
      </c>
      <c r="K900" s="2">
        <v>132940</v>
      </c>
      <c r="L900" t="s">
        <v>6408</v>
      </c>
      <c r="M900" t="str" cm="1">
        <f t="array" ref="M900">INDEX('Org List'!$A$2:$C$1005,MATCH(Consolidated!I900&amp;Consolidated!J900,'Org List'!$A$2:$A$1005&amp;'Org List'!$B$2:$B$1005,0),3)</f>
        <v>NGOs: National</v>
      </c>
    </row>
    <row r="901" spans="1:13" x14ac:dyDescent="0.25">
      <c r="A901">
        <v>2022</v>
      </c>
      <c r="B901" t="s">
        <v>3291</v>
      </c>
      <c r="C901" t="s">
        <v>3792</v>
      </c>
      <c r="D901" t="s">
        <v>30</v>
      </c>
      <c r="E901" t="s">
        <v>54</v>
      </c>
      <c r="F901">
        <v>4500275775</v>
      </c>
      <c r="G901" t="s">
        <v>6360</v>
      </c>
      <c r="H901" t="s">
        <v>3334</v>
      </c>
      <c r="I901" t="s">
        <v>3790</v>
      </c>
      <c r="J901" t="s">
        <v>54</v>
      </c>
      <c r="K901" s="2">
        <v>3629094</v>
      </c>
      <c r="L901" t="s">
        <v>6408</v>
      </c>
      <c r="M901" t="str" cm="1">
        <f t="array" ref="M901">INDEX('Org List'!$A$2:$C$1005,MATCH(Consolidated!I901&amp;Consolidated!J901,'Org List'!$A$2:$A$1005&amp;'Org List'!$B$2:$B$1005,0),3)</f>
        <v>NGOs: National</v>
      </c>
    </row>
    <row r="902" spans="1:13" x14ac:dyDescent="0.25">
      <c r="A902">
        <v>2022</v>
      </c>
      <c r="B902" t="s">
        <v>3795</v>
      </c>
      <c r="C902" t="s">
        <v>3796</v>
      </c>
      <c r="D902" t="s">
        <v>30</v>
      </c>
      <c r="E902" t="s">
        <v>54</v>
      </c>
      <c r="F902">
        <v>4500275775</v>
      </c>
      <c r="G902" t="s">
        <v>6360</v>
      </c>
      <c r="H902" t="s">
        <v>3334</v>
      </c>
      <c r="I902" t="s">
        <v>3790</v>
      </c>
      <c r="J902" t="s">
        <v>54</v>
      </c>
      <c r="K902" s="2">
        <v>2721820</v>
      </c>
      <c r="L902" t="s">
        <v>6408</v>
      </c>
      <c r="M902" t="str" cm="1">
        <f t="array" ref="M902">INDEX('Org List'!$A$2:$C$1005,MATCH(Consolidated!I902&amp;Consolidated!J902,'Org List'!$A$2:$A$1005&amp;'Org List'!$B$2:$B$1005,0),3)</f>
        <v>NGOs: National</v>
      </c>
    </row>
    <row r="903" spans="1:13" x14ac:dyDescent="0.25">
      <c r="A903">
        <v>2022</v>
      </c>
      <c r="B903" t="s">
        <v>6372</v>
      </c>
      <c r="C903" t="s">
        <v>6373</v>
      </c>
      <c r="D903" t="s">
        <v>30</v>
      </c>
      <c r="E903" t="s">
        <v>940</v>
      </c>
      <c r="F903">
        <v>4500255920</v>
      </c>
      <c r="G903" t="s">
        <v>6374</v>
      </c>
      <c r="H903" t="s">
        <v>3334</v>
      </c>
      <c r="I903" t="s">
        <v>338</v>
      </c>
      <c r="J903" t="s">
        <v>940</v>
      </c>
      <c r="K903" s="2">
        <v>429200</v>
      </c>
      <c r="L903" t="s">
        <v>6408</v>
      </c>
      <c r="M903" t="str" cm="1">
        <f t="array" ref="M903">INDEX('Org List'!$A$2:$C$1005,MATCH(Consolidated!I903&amp;Consolidated!J903,'Org List'!$A$2:$A$1005&amp;'Org List'!$B$2:$B$1005,0),3)</f>
        <v>NGOs: National</v>
      </c>
    </row>
    <row r="904" spans="1:13" x14ac:dyDescent="0.25">
      <c r="A904">
        <v>2022</v>
      </c>
      <c r="B904" t="s">
        <v>6372</v>
      </c>
      <c r="C904" t="s">
        <v>6373</v>
      </c>
      <c r="D904" t="s">
        <v>30</v>
      </c>
      <c r="E904" t="s">
        <v>940</v>
      </c>
      <c r="F904">
        <v>4500256245</v>
      </c>
      <c r="G904" t="s">
        <v>6375</v>
      </c>
      <c r="H904" t="s">
        <v>3334</v>
      </c>
      <c r="I904" t="s">
        <v>6376</v>
      </c>
      <c r="J904" t="s">
        <v>940</v>
      </c>
      <c r="K904" s="2">
        <v>299874</v>
      </c>
      <c r="L904" t="s">
        <v>6408</v>
      </c>
      <c r="M904" t="str" cm="1">
        <f t="array" ref="M904">INDEX('Org List'!$A$2:$C$1005,MATCH(Consolidated!I904&amp;Consolidated!J904,'Org List'!$A$2:$A$1005&amp;'Org List'!$B$2:$B$1005,0),3)</f>
        <v>NGOs: National</v>
      </c>
    </row>
    <row r="905" spans="1:13" x14ac:dyDescent="0.25">
      <c r="A905" t="s">
        <v>2171</v>
      </c>
      <c r="B905" t="s">
        <v>722</v>
      </c>
      <c r="C905" t="s">
        <v>723</v>
      </c>
      <c r="D905" t="s">
        <v>30</v>
      </c>
      <c r="E905" t="s">
        <v>717</v>
      </c>
      <c r="F905">
        <v>4500364246</v>
      </c>
      <c r="H905" t="s">
        <v>713</v>
      </c>
      <c r="I905" t="s">
        <v>1907</v>
      </c>
      <c r="J905" t="s">
        <v>717</v>
      </c>
      <c r="K905">
        <v>29267</v>
      </c>
      <c r="L905" t="s">
        <v>6408</v>
      </c>
      <c r="M905" t="str" cm="1">
        <f t="array" ref="M905">INDEX('Org List'!$A$2:$C$1005,MATCH(Consolidated!I905&amp;Consolidated!J905,'Org List'!$A$2:$A$1005&amp;'Org List'!$B$2:$B$1005,0),3)</f>
        <v>NGOs: Local</v>
      </c>
    </row>
    <row r="906" spans="1:13" x14ac:dyDescent="0.25">
      <c r="A906" t="s">
        <v>2171</v>
      </c>
      <c r="B906" t="s">
        <v>130</v>
      </c>
      <c r="C906" t="s">
        <v>131</v>
      </c>
      <c r="D906" t="s">
        <v>30</v>
      </c>
      <c r="E906" t="s">
        <v>132</v>
      </c>
      <c r="F906">
        <v>4500359162</v>
      </c>
      <c r="H906" t="s">
        <v>713</v>
      </c>
      <c r="I906" t="s">
        <v>1909</v>
      </c>
      <c r="J906" t="s">
        <v>132</v>
      </c>
      <c r="K906">
        <v>57366</v>
      </c>
      <c r="L906" t="s">
        <v>6408</v>
      </c>
      <c r="M906" t="str" cm="1">
        <f t="array" ref="M906">INDEX('Org List'!$A$2:$C$1005,MATCH(Consolidated!I906&amp;Consolidated!J906,'Org List'!$A$2:$A$1005&amp;'Org List'!$B$2:$B$1005,0),3)</f>
        <v>NGOs: National</v>
      </c>
    </row>
    <row r="907" spans="1:13" x14ac:dyDescent="0.25">
      <c r="A907" t="s">
        <v>2171</v>
      </c>
      <c r="B907" t="s">
        <v>722</v>
      </c>
      <c r="C907" t="s">
        <v>723</v>
      </c>
      <c r="D907" t="s">
        <v>30</v>
      </c>
      <c r="E907" t="s">
        <v>717</v>
      </c>
      <c r="F907">
        <v>4500358307</v>
      </c>
      <c r="H907" t="s">
        <v>713</v>
      </c>
      <c r="I907" t="s">
        <v>1910</v>
      </c>
      <c r="J907" t="s">
        <v>717</v>
      </c>
      <c r="K907">
        <v>101100</v>
      </c>
      <c r="L907" t="s">
        <v>6408</v>
      </c>
      <c r="M907" t="str" cm="1">
        <f t="array" ref="M907">INDEX('Org List'!$A$2:$C$1005,MATCH(Consolidated!I907&amp;Consolidated!J907,'Org List'!$A$2:$A$1005&amp;'Org List'!$B$2:$B$1005,0),3)</f>
        <v>NGOs: National</v>
      </c>
    </row>
    <row r="908" spans="1:13" x14ac:dyDescent="0.25">
      <c r="A908" t="s">
        <v>2171</v>
      </c>
      <c r="B908" t="s">
        <v>722</v>
      </c>
      <c r="C908" t="s">
        <v>723</v>
      </c>
      <c r="D908" t="s">
        <v>30</v>
      </c>
      <c r="E908" t="s">
        <v>717</v>
      </c>
      <c r="F908">
        <v>4500371516</v>
      </c>
      <c r="H908" t="s">
        <v>713</v>
      </c>
      <c r="I908" t="s">
        <v>1160</v>
      </c>
      <c r="J908" t="s">
        <v>717</v>
      </c>
      <c r="K908">
        <v>130213</v>
      </c>
      <c r="L908" t="s">
        <v>6408</v>
      </c>
      <c r="M908" t="str" cm="1">
        <f t="array" ref="M908">INDEX('Org List'!$A$2:$C$1005,MATCH(Consolidated!I908&amp;Consolidated!J908,'Org List'!$A$2:$A$1005&amp;'Org List'!$B$2:$B$1005,0),3)</f>
        <v>NGOs: National</v>
      </c>
    </row>
    <row r="909" spans="1:13" x14ac:dyDescent="0.25">
      <c r="A909" t="s">
        <v>2171</v>
      </c>
      <c r="B909" t="s">
        <v>722</v>
      </c>
      <c r="C909" t="s">
        <v>723</v>
      </c>
      <c r="D909" t="s">
        <v>30</v>
      </c>
      <c r="E909" t="s">
        <v>717</v>
      </c>
      <c r="F909">
        <v>4500371470</v>
      </c>
      <c r="H909" t="s">
        <v>713</v>
      </c>
      <c r="I909" t="s">
        <v>1912</v>
      </c>
      <c r="J909" t="s">
        <v>717</v>
      </c>
      <c r="K909">
        <v>145087</v>
      </c>
      <c r="L909" t="s">
        <v>6408</v>
      </c>
      <c r="M909" t="str" cm="1">
        <f t="array" ref="M909">INDEX('Org List'!$A$2:$C$1005,MATCH(Consolidated!I909&amp;Consolidated!J909,'Org List'!$A$2:$A$1005&amp;'Org List'!$B$2:$B$1005,0),3)</f>
        <v>NGOs: National</v>
      </c>
    </row>
    <row r="910" spans="1:13" x14ac:dyDescent="0.25">
      <c r="A910" t="s">
        <v>2171</v>
      </c>
      <c r="B910" t="s">
        <v>1913</v>
      </c>
      <c r="C910" t="s">
        <v>1914</v>
      </c>
      <c r="D910" t="s">
        <v>30</v>
      </c>
      <c r="E910" t="s">
        <v>226</v>
      </c>
      <c r="F910">
        <v>4500359121</v>
      </c>
      <c r="H910" t="s">
        <v>12</v>
      </c>
      <c r="I910" t="s">
        <v>842</v>
      </c>
      <c r="J910" t="s">
        <v>226</v>
      </c>
      <c r="K910">
        <v>133352</v>
      </c>
      <c r="L910" t="s">
        <v>6408</v>
      </c>
      <c r="M910" t="str" cm="1">
        <f t="array" ref="M910">INDEX('Org List'!$A$2:$C$1005,MATCH(Consolidated!I910&amp;Consolidated!J910,'Org List'!$A$2:$A$1005&amp;'Org List'!$B$2:$B$1005,0),3)</f>
        <v>NGOs: National</v>
      </c>
    </row>
    <row r="911" spans="1:13" x14ac:dyDescent="0.25">
      <c r="A911" t="s">
        <v>2171</v>
      </c>
      <c r="B911" t="s">
        <v>1941</v>
      </c>
      <c r="C911" t="s">
        <v>1942</v>
      </c>
      <c r="D911" t="s">
        <v>30</v>
      </c>
      <c r="E911" t="s">
        <v>474</v>
      </c>
      <c r="F911">
        <v>4500373603</v>
      </c>
      <c r="H911" t="s">
        <v>12</v>
      </c>
      <c r="I911" t="s">
        <v>1943</v>
      </c>
      <c r="J911" t="s">
        <v>474</v>
      </c>
      <c r="K911">
        <v>24254</v>
      </c>
      <c r="L911" t="s">
        <v>6408</v>
      </c>
      <c r="M911" t="str" cm="1">
        <f t="array" ref="M911">INDEX('Org List'!$A$2:$C$1005,MATCH(Consolidated!I911&amp;Consolidated!J911,'Org List'!$A$2:$A$1005&amp;'Org List'!$B$2:$B$1005,0),3)</f>
        <v>NGOs: National</v>
      </c>
    </row>
    <row r="912" spans="1:13" x14ac:dyDescent="0.25">
      <c r="A912" t="s">
        <v>2171</v>
      </c>
      <c r="B912" t="s">
        <v>1941</v>
      </c>
      <c r="C912" t="s">
        <v>1942</v>
      </c>
      <c r="D912" t="s">
        <v>30</v>
      </c>
      <c r="E912" t="s">
        <v>474</v>
      </c>
      <c r="F912">
        <v>4500371601</v>
      </c>
      <c r="H912" t="s">
        <v>12</v>
      </c>
      <c r="I912" t="s">
        <v>1944</v>
      </c>
      <c r="J912" t="s">
        <v>474</v>
      </c>
      <c r="K912">
        <v>11907</v>
      </c>
      <c r="L912" t="s">
        <v>6408</v>
      </c>
      <c r="M912" t="str" cm="1">
        <f t="array" ref="M912">INDEX('Org List'!$A$2:$C$1005,MATCH(Consolidated!I912&amp;Consolidated!J912,'Org List'!$A$2:$A$1005&amp;'Org List'!$B$2:$B$1005,0),3)</f>
        <v>Unknown</v>
      </c>
    </row>
    <row r="913" spans="1:13" x14ac:dyDescent="0.25">
      <c r="A913" t="s">
        <v>2171</v>
      </c>
      <c r="B913" t="s">
        <v>66</v>
      </c>
      <c r="C913" t="s">
        <v>67</v>
      </c>
      <c r="D913" t="s">
        <v>30</v>
      </c>
      <c r="E913" t="s">
        <v>1166</v>
      </c>
      <c r="F913">
        <v>4500380275</v>
      </c>
      <c r="H913" t="s">
        <v>12</v>
      </c>
      <c r="I913" t="s">
        <v>1945</v>
      </c>
      <c r="J913" t="s">
        <v>1166</v>
      </c>
      <c r="K913">
        <v>21352</v>
      </c>
      <c r="L913" t="s">
        <v>6408</v>
      </c>
      <c r="M913" t="str" cm="1">
        <f t="array" ref="M913">INDEX('Org List'!$A$2:$C$1005,MATCH(Consolidated!I913&amp;Consolidated!J913,'Org List'!$A$2:$A$1005&amp;'Org List'!$B$2:$B$1005,0),3)</f>
        <v>NGOs: National</v>
      </c>
    </row>
    <row r="914" spans="1:13" x14ac:dyDescent="0.25">
      <c r="A914" t="s">
        <v>2171</v>
      </c>
      <c r="B914" t="s">
        <v>1946</v>
      </c>
      <c r="C914" t="s">
        <v>1947</v>
      </c>
      <c r="D914" t="s">
        <v>30</v>
      </c>
      <c r="E914" t="s">
        <v>83</v>
      </c>
      <c r="F914">
        <v>4500375071</v>
      </c>
      <c r="H914" t="s">
        <v>12</v>
      </c>
      <c r="I914" t="s">
        <v>86</v>
      </c>
      <c r="J914" t="s">
        <v>83</v>
      </c>
      <c r="K914">
        <v>78814</v>
      </c>
      <c r="L914" t="s">
        <v>6408</v>
      </c>
      <c r="M914" t="str" cm="1">
        <f t="array" ref="M914">INDEX('Org List'!$A$2:$C$1005,MATCH(Consolidated!I914&amp;Consolidated!J914,'Org List'!$A$2:$A$1005&amp;'Org List'!$B$2:$B$1005,0),3)</f>
        <v>NGOs: International</v>
      </c>
    </row>
    <row r="915" spans="1:13" x14ac:dyDescent="0.25">
      <c r="A915" t="s">
        <v>2171</v>
      </c>
      <c r="B915" t="s">
        <v>1946</v>
      </c>
      <c r="C915" t="s">
        <v>1947</v>
      </c>
      <c r="D915" t="s">
        <v>30</v>
      </c>
      <c r="E915" t="s">
        <v>83</v>
      </c>
      <c r="F915">
        <v>4500367297</v>
      </c>
      <c r="H915" t="s">
        <v>12</v>
      </c>
      <c r="I915" t="s">
        <v>84</v>
      </c>
      <c r="J915" t="s">
        <v>83</v>
      </c>
      <c r="K915">
        <v>232575</v>
      </c>
      <c r="L915" t="s">
        <v>6408</v>
      </c>
      <c r="M915" t="str" cm="1">
        <f t="array" ref="M915">INDEX('Org List'!$A$2:$C$1005,MATCH(Consolidated!I915&amp;Consolidated!J915,'Org List'!$A$2:$A$1005&amp;'Org List'!$B$2:$B$1005,0),3)</f>
        <v>NGOs: National</v>
      </c>
    </row>
    <row r="916" spans="1:13" x14ac:dyDescent="0.25">
      <c r="A916" t="s">
        <v>2171</v>
      </c>
      <c r="B916" t="s">
        <v>1948</v>
      </c>
      <c r="C916" t="s">
        <v>1949</v>
      </c>
      <c r="D916" t="s">
        <v>30</v>
      </c>
      <c r="E916" t="s">
        <v>1650</v>
      </c>
      <c r="F916">
        <v>4500366851</v>
      </c>
      <c r="H916" t="s">
        <v>12</v>
      </c>
      <c r="I916" t="s">
        <v>1950</v>
      </c>
      <c r="J916" t="s">
        <v>1650</v>
      </c>
      <c r="K916">
        <v>9132</v>
      </c>
      <c r="L916" t="s">
        <v>6408</v>
      </c>
      <c r="M916" t="str" cm="1">
        <f t="array" ref="M916">INDEX('Org List'!$A$2:$C$1005,MATCH(Consolidated!I916&amp;Consolidated!J916,'Org List'!$A$2:$A$1005&amp;'Org List'!$B$2:$B$1005,0),3)</f>
        <v>NGOs: International</v>
      </c>
    </row>
    <row r="917" spans="1:13" x14ac:dyDescent="0.25">
      <c r="A917" t="s">
        <v>2171</v>
      </c>
      <c r="B917" t="s">
        <v>1243</v>
      </c>
      <c r="C917" t="s">
        <v>1244</v>
      </c>
      <c r="D917" t="s">
        <v>30</v>
      </c>
      <c r="E917" t="s">
        <v>32</v>
      </c>
      <c r="F917">
        <v>4500352307</v>
      </c>
      <c r="H917" t="s">
        <v>12</v>
      </c>
      <c r="I917" t="s">
        <v>1951</v>
      </c>
      <c r="J917" t="s">
        <v>32</v>
      </c>
      <c r="K917">
        <v>168174</v>
      </c>
      <c r="L917" t="s">
        <v>6408</v>
      </c>
      <c r="M917" t="str" cm="1">
        <f t="array" ref="M917">INDEX('Org List'!$A$2:$C$1005,MATCH(Consolidated!I917&amp;Consolidated!J917,'Org List'!$A$2:$A$1005&amp;'Org List'!$B$2:$B$1005,0),3)</f>
        <v>NGOs: National</v>
      </c>
    </row>
    <row r="918" spans="1:13" x14ac:dyDescent="0.25">
      <c r="A918" t="s">
        <v>2171</v>
      </c>
      <c r="B918" t="s">
        <v>1243</v>
      </c>
      <c r="C918" t="s">
        <v>1244</v>
      </c>
      <c r="D918" t="s">
        <v>30</v>
      </c>
      <c r="E918" t="s">
        <v>32</v>
      </c>
      <c r="F918">
        <v>4500360329</v>
      </c>
      <c r="H918" t="s">
        <v>12</v>
      </c>
      <c r="I918" t="s">
        <v>37</v>
      </c>
      <c r="J918" t="s">
        <v>32</v>
      </c>
      <c r="K918">
        <v>182301</v>
      </c>
      <c r="L918" t="s">
        <v>6408</v>
      </c>
      <c r="M918" t="str" cm="1">
        <f t="array" ref="M918">INDEX('Org List'!$A$2:$C$1005,MATCH(Consolidated!I918&amp;Consolidated!J918,'Org List'!$A$2:$A$1005&amp;'Org List'!$B$2:$B$1005,0),3)</f>
        <v>NGOs: National</v>
      </c>
    </row>
    <row r="919" spans="1:13" x14ac:dyDescent="0.25">
      <c r="A919" t="s">
        <v>2171</v>
      </c>
      <c r="B919" t="s">
        <v>1243</v>
      </c>
      <c r="C919" t="s">
        <v>1244</v>
      </c>
      <c r="D919" t="s">
        <v>30</v>
      </c>
      <c r="E919" t="s">
        <v>32</v>
      </c>
      <c r="F919">
        <v>4500380466</v>
      </c>
      <c r="H919" t="s">
        <v>12</v>
      </c>
      <c r="I919" t="s">
        <v>61</v>
      </c>
      <c r="J919" t="s">
        <v>32</v>
      </c>
      <c r="K919">
        <v>93813</v>
      </c>
      <c r="L919" t="s">
        <v>6408</v>
      </c>
      <c r="M919" t="str" cm="1">
        <f t="array" ref="M919">INDEX('Org List'!$A$2:$C$1005,MATCH(Consolidated!I919&amp;Consolidated!J919,'Org List'!$A$2:$A$1005&amp;'Org List'!$B$2:$B$1005,0),3)</f>
        <v>NGOs: Local</v>
      </c>
    </row>
    <row r="920" spans="1:13" x14ac:dyDescent="0.25">
      <c r="A920" t="s">
        <v>2171</v>
      </c>
      <c r="B920" t="s">
        <v>1243</v>
      </c>
      <c r="C920" t="s">
        <v>1244</v>
      </c>
      <c r="D920" t="s">
        <v>30</v>
      </c>
      <c r="E920" t="s">
        <v>32</v>
      </c>
      <c r="F920">
        <v>4500360373</v>
      </c>
      <c r="H920" t="s">
        <v>12</v>
      </c>
      <c r="I920" t="s">
        <v>1952</v>
      </c>
      <c r="J920" t="s">
        <v>32</v>
      </c>
      <c r="K920">
        <v>186860</v>
      </c>
      <c r="L920" t="s">
        <v>6408</v>
      </c>
      <c r="M920" t="str" cm="1">
        <f t="array" ref="M920">INDEX('Org List'!$A$2:$C$1005,MATCH(Consolidated!I920&amp;Consolidated!J920,'Org List'!$A$2:$A$1005&amp;'Org List'!$B$2:$B$1005,0),3)</f>
        <v>NGOs: National</v>
      </c>
    </row>
    <row r="921" spans="1:13" x14ac:dyDescent="0.25">
      <c r="A921" t="s">
        <v>2171</v>
      </c>
      <c r="B921" t="s">
        <v>1243</v>
      </c>
      <c r="C921" t="s">
        <v>1244</v>
      </c>
      <c r="D921" t="s">
        <v>30</v>
      </c>
      <c r="E921" t="s">
        <v>32</v>
      </c>
      <c r="F921">
        <v>4500355912</v>
      </c>
      <c r="H921" t="s">
        <v>12</v>
      </c>
      <c r="I921" t="s">
        <v>1691</v>
      </c>
      <c r="J921" t="s">
        <v>32</v>
      </c>
      <c r="K921">
        <v>45781</v>
      </c>
      <c r="L921" t="s">
        <v>6408</v>
      </c>
      <c r="M921" t="str" cm="1">
        <f t="array" ref="M921">INDEX('Org List'!$A$2:$C$1005,MATCH(Consolidated!I921&amp;Consolidated!J921,'Org List'!$A$2:$A$1005&amp;'Org List'!$B$2:$B$1005,0),3)</f>
        <v>NGOs: National</v>
      </c>
    </row>
    <row r="922" spans="1:13" x14ac:dyDescent="0.25">
      <c r="A922" t="s">
        <v>2171</v>
      </c>
      <c r="B922" t="s">
        <v>1243</v>
      </c>
      <c r="C922" t="s">
        <v>1244</v>
      </c>
      <c r="D922" t="s">
        <v>30</v>
      </c>
      <c r="E922" t="s">
        <v>32</v>
      </c>
      <c r="F922">
        <v>4500379649</v>
      </c>
      <c r="H922" t="s">
        <v>12</v>
      </c>
      <c r="I922" t="s">
        <v>1953</v>
      </c>
      <c r="J922" t="s">
        <v>32</v>
      </c>
      <c r="K922">
        <v>33635</v>
      </c>
      <c r="L922" t="s">
        <v>6408</v>
      </c>
      <c r="M922" t="str" cm="1">
        <f t="array" ref="M922">INDEX('Org List'!$A$2:$C$1005,MATCH(Consolidated!I922&amp;Consolidated!J922,'Org List'!$A$2:$A$1005&amp;'Org List'!$B$2:$B$1005,0),3)</f>
        <v>NGOs: National</v>
      </c>
    </row>
    <row r="923" spans="1:13" x14ac:dyDescent="0.25">
      <c r="A923" t="s">
        <v>2171</v>
      </c>
      <c r="B923" t="s">
        <v>1243</v>
      </c>
      <c r="C923" t="s">
        <v>1244</v>
      </c>
      <c r="D923" t="s">
        <v>30</v>
      </c>
      <c r="E923" t="s">
        <v>32</v>
      </c>
      <c r="F923">
        <v>4500374667</v>
      </c>
      <c r="H923" t="s">
        <v>12</v>
      </c>
      <c r="I923" t="s">
        <v>1693</v>
      </c>
      <c r="J923" t="s">
        <v>32</v>
      </c>
      <c r="K923">
        <v>412349</v>
      </c>
      <c r="L923" t="s">
        <v>6408</v>
      </c>
      <c r="M923" t="str" cm="1">
        <f t="array" ref="M923">INDEX('Org List'!$A$2:$C$1005,MATCH(Consolidated!I923&amp;Consolidated!J923,'Org List'!$A$2:$A$1005&amp;'Org List'!$B$2:$B$1005,0),3)</f>
        <v>NGOs: International</v>
      </c>
    </row>
    <row r="924" spans="1:13" x14ac:dyDescent="0.25">
      <c r="A924" t="s">
        <v>2171</v>
      </c>
      <c r="B924" t="s">
        <v>1243</v>
      </c>
      <c r="C924" t="s">
        <v>1244</v>
      </c>
      <c r="D924" t="s">
        <v>30</v>
      </c>
      <c r="E924" t="s">
        <v>32</v>
      </c>
      <c r="F924">
        <v>4500367017</v>
      </c>
      <c r="H924" t="s">
        <v>12</v>
      </c>
      <c r="I924" t="s">
        <v>1954</v>
      </c>
      <c r="J924" t="s">
        <v>32</v>
      </c>
      <c r="K924">
        <v>222561</v>
      </c>
      <c r="L924" t="s">
        <v>6408</v>
      </c>
      <c r="M924" t="str" cm="1">
        <f t="array" ref="M924">INDEX('Org List'!$A$2:$C$1005,MATCH(Consolidated!I924&amp;Consolidated!J924,'Org List'!$A$2:$A$1005&amp;'Org List'!$B$2:$B$1005,0),3)</f>
        <v>NGOs: National</v>
      </c>
    </row>
    <row r="925" spans="1:13" x14ac:dyDescent="0.25">
      <c r="A925" t="s">
        <v>2171</v>
      </c>
      <c r="B925" t="s">
        <v>70</v>
      </c>
      <c r="C925" t="s">
        <v>71</v>
      </c>
      <c r="D925" t="s">
        <v>30</v>
      </c>
      <c r="E925" t="s">
        <v>150</v>
      </c>
      <c r="F925">
        <v>4500373197</v>
      </c>
      <c r="H925" t="s">
        <v>12</v>
      </c>
      <c r="I925" t="s">
        <v>832</v>
      </c>
      <c r="J925" t="s">
        <v>150</v>
      </c>
      <c r="K925">
        <v>212723</v>
      </c>
      <c r="L925" t="s">
        <v>6408</v>
      </c>
      <c r="M925" t="str" cm="1">
        <f t="array" ref="M925">INDEX('Org List'!$A$2:$C$1005,MATCH(Consolidated!I925&amp;Consolidated!J925,'Org List'!$A$2:$A$1005&amp;'Org List'!$B$2:$B$1005,0),3)</f>
        <v>NGOs: National</v>
      </c>
    </row>
    <row r="926" spans="1:13" x14ac:dyDescent="0.25">
      <c r="A926" t="s">
        <v>2171</v>
      </c>
      <c r="B926" t="s">
        <v>70</v>
      </c>
      <c r="C926" t="s">
        <v>71</v>
      </c>
      <c r="D926" t="s">
        <v>30</v>
      </c>
      <c r="E926" t="s">
        <v>477</v>
      </c>
      <c r="F926">
        <v>4500362339</v>
      </c>
      <c r="H926" t="s">
        <v>12</v>
      </c>
      <c r="I926" t="s">
        <v>745</v>
      </c>
      <c r="J926" t="s">
        <v>477</v>
      </c>
      <c r="K926">
        <v>4702</v>
      </c>
      <c r="L926" t="s">
        <v>6408</v>
      </c>
      <c r="M926" t="str" cm="1">
        <f t="array" ref="M926">INDEX('Org List'!$A$2:$C$1005,MATCH(Consolidated!I926&amp;Consolidated!J926,'Org List'!$A$2:$A$1005&amp;'Org List'!$B$2:$B$1005,0),3)</f>
        <v>NGOs: National</v>
      </c>
    </row>
    <row r="927" spans="1:13" x14ac:dyDescent="0.25">
      <c r="A927" t="s">
        <v>2171</v>
      </c>
      <c r="B927" t="s">
        <v>70</v>
      </c>
      <c r="C927" t="s">
        <v>71</v>
      </c>
      <c r="D927" t="s">
        <v>30</v>
      </c>
      <c r="E927" t="s">
        <v>477</v>
      </c>
      <c r="F927">
        <v>4500362338</v>
      </c>
      <c r="H927" t="s">
        <v>12</v>
      </c>
      <c r="I927" t="s">
        <v>611</v>
      </c>
      <c r="J927" t="s">
        <v>477</v>
      </c>
      <c r="K927">
        <v>4228</v>
      </c>
      <c r="L927" t="s">
        <v>6408</v>
      </c>
      <c r="M927" t="str" cm="1">
        <f t="array" ref="M927">INDEX('Org List'!$A$2:$C$1005,MATCH(Consolidated!I927&amp;Consolidated!J927,'Org List'!$A$2:$A$1005&amp;'Org List'!$B$2:$B$1005,0),3)</f>
        <v>NGOs: National</v>
      </c>
    </row>
    <row r="928" spans="1:13" x14ac:dyDescent="0.25">
      <c r="A928" t="s">
        <v>2171</v>
      </c>
      <c r="B928" t="s">
        <v>70</v>
      </c>
      <c r="C928" t="s">
        <v>71</v>
      </c>
      <c r="D928" t="s">
        <v>30</v>
      </c>
      <c r="E928" t="s">
        <v>477</v>
      </c>
      <c r="F928">
        <v>4500362337</v>
      </c>
      <c r="H928" t="s">
        <v>12</v>
      </c>
      <c r="I928" t="s">
        <v>744</v>
      </c>
      <c r="J928" t="s">
        <v>477</v>
      </c>
      <c r="K928">
        <v>4761</v>
      </c>
      <c r="L928" t="s">
        <v>6408</v>
      </c>
      <c r="M928" t="str" cm="1">
        <f t="array" ref="M928">INDEX('Org List'!$A$2:$C$1005,MATCH(Consolidated!I928&amp;Consolidated!J928,'Org List'!$A$2:$A$1005&amp;'Org List'!$B$2:$B$1005,0),3)</f>
        <v>NGOs: National</v>
      </c>
    </row>
    <row r="929" spans="1:13" x14ac:dyDescent="0.25">
      <c r="A929" t="s">
        <v>2171</v>
      </c>
      <c r="B929" t="s">
        <v>70</v>
      </c>
      <c r="C929" t="s">
        <v>71</v>
      </c>
      <c r="D929" t="s">
        <v>30</v>
      </c>
      <c r="E929" t="s">
        <v>477</v>
      </c>
      <c r="F929">
        <v>4500364566</v>
      </c>
      <c r="H929" t="s">
        <v>12</v>
      </c>
      <c r="I929" t="s">
        <v>1567</v>
      </c>
      <c r="J929" t="s">
        <v>477</v>
      </c>
      <c r="K929">
        <v>4397</v>
      </c>
      <c r="L929" t="s">
        <v>6408</v>
      </c>
      <c r="M929" t="str" cm="1">
        <f t="array" ref="M929">INDEX('Org List'!$A$2:$C$1005,MATCH(Consolidated!I929&amp;Consolidated!J929,'Org List'!$A$2:$A$1005&amp;'Org List'!$B$2:$B$1005,0),3)</f>
        <v>NGOs: National</v>
      </c>
    </row>
    <row r="930" spans="1:13" x14ac:dyDescent="0.25">
      <c r="A930" t="s">
        <v>2171</v>
      </c>
      <c r="B930" t="s">
        <v>70</v>
      </c>
      <c r="C930" t="s">
        <v>71</v>
      </c>
      <c r="D930" t="s">
        <v>30</v>
      </c>
      <c r="E930" t="s">
        <v>477</v>
      </c>
      <c r="F930">
        <v>4500362065</v>
      </c>
      <c r="H930" t="s">
        <v>12</v>
      </c>
      <c r="I930" t="s">
        <v>506</v>
      </c>
      <c r="J930" t="s">
        <v>477</v>
      </c>
      <c r="K930">
        <v>4708</v>
      </c>
      <c r="L930" t="s">
        <v>6408</v>
      </c>
      <c r="M930" t="str" cm="1">
        <f t="array" ref="M930">INDEX('Org List'!$A$2:$C$1005,MATCH(Consolidated!I930&amp;Consolidated!J930,'Org List'!$A$2:$A$1005&amp;'Org List'!$B$2:$B$1005,0),3)</f>
        <v>NGOs: National</v>
      </c>
    </row>
    <row r="931" spans="1:13" x14ac:dyDescent="0.25">
      <c r="A931" t="s">
        <v>2171</v>
      </c>
      <c r="B931" t="s">
        <v>1246</v>
      </c>
      <c r="C931" t="s">
        <v>1247</v>
      </c>
      <c r="D931" t="s">
        <v>30</v>
      </c>
      <c r="E931" t="s">
        <v>54</v>
      </c>
      <c r="F931">
        <v>4500376404</v>
      </c>
      <c r="H931" t="s">
        <v>12</v>
      </c>
      <c r="I931" t="s">
        <v>55</v>
      </c>
      <c r="J931" t="s">
        <v>54</v>
      </c>
      <c r="K931">
        <v>74149</v>
      </c>
      <c r="L931" t="s">
        <v>6408</v>
      </c>
      <c r="M931" t="str" cm="1">
        <f t="array" ref="M931">INDEX('Org List'!$A$2:$C$1005,MATCH(Consolidated!I931&amp;Consolidated!J931,'Org List'!$A$2:$A$1005&amp;'Org List'!$B$2:$B$1005,0),3)</f>
        <v>NGOs: National</v>
      </c>
    </row>
    <row r="932" spans="1:13" x14ac:dyDescent="0.25">
      <c r="A932" t="s">
        <v>2171</v>
      </c>
      <c r="B932" t="s">
        <v>1246</v>
      </c>
      <c r="C932" t="s">
        <v>1247</v>
      </c>
      <c r="D932" t="s">
        <v>30</v>
      </c>
      <c r="E932" t="s">
        <v>54</v>
      </c>
      <c r="F932">
        <v>4500376418</v>
      </c>
      <c r="H932" t="s">
        <v>12</v>
      </c>
      <c r="I932" t="s">
        <v>1955</v>
      </c>
      <c r="J932" t="s">
        <v>54</v>
      </c>
      <c r="K932">
        <v>61108</v>
      </c>
      <c r="L932" t="s">
        <v>6408</v>
      </c>
      <c r="M932" t="str" cm="1">
        <f t="array" ref="M932">INDEX('Org List'!$A$2:$C$1005,MATCH(Consolidated!I932&amp;Consolidated!J932,'Org List'!$A$2:$A$1005&amp;'Org List'!$B$2:$B$1005,0),3)</f>
        <v>NGOs: National</v>
      </c>
    </row>
    <row r="933" spans="1:13" x14ac:dyDescent="0.25">
      <c r="A933" t="s">
        <v>2171</v>
      </c>
      <c r="B933" t="s">
        <v>1246</v>
      </c>
      <c r="C933" t="s">
        <v>1247</v>
      </c>
      <c r="D933" t="s">
        <v>30</v>
      </c>
      <c r="E933" t="s">
        <v>54</v>
      </c>
      <c r="F933">
        <v>4500376415</v>
      </c>
      <c r="H933" t="s">
        <v>12</v>
      </c>
      <c r="I933" t="s">
        <v>1292</v>
      </c>
      <c r="J933" t="s">
        <v>54</v>
      </c>
      <c r="K933">
        <v>28957</v>
      </c>
      <c r="L933" t="s">
        <v>6408</v>
      </c>
      <c r="M933" t="str" cm="1">
        <f t="array" ref="M933">INDEX('Org List'!$A$2:$C$1005,MATCH(Consolidated!I933&amp;Consolidated!J933,'Org List'!$A$2:$A$1005&amp;'Org List'!$B$2:$B$1005,0),3)</f>
        <v>NGOs: National</v>
      </c>
    </row>
    <row r="934" spans="1:13" x14ac:dyDescent="0.25">
      <c r="A934" t="s">
        <v>2171</v>
      </c>
      <c r="B934" t="s">
        <v>1255</v>
      </c>
      <c r="C934" t="s">
        <v>1256</v>
      </c>
      <c r="D934" t="s">
        <v>30</v>
      </c>
      <c r="E934" t="s">
        <v>303</v>
      </c>
      <c r="F934">
        <v>4500352317</v>
      </c>
      <c r="H934" t="s">
        <v>12</v>
      </c>
      <c r="I934" t="s">
        <v>1323</v>
      </c>
      <c r="J934" t="s">
        <v>303</v>
      </c>
      <c r="K934">
        <v>42323</v>
      </c>
      <c r="L934" t="s">
        <v>6408</v>
      </c>
      <c r="M934" t="str" cm="1">
        <f t="array" ref="M934">INDEX('Org List'!$A$2:$C$1005,MATCH(Consolidated!I934&amp;Consolidated!J934,'Org List'!$A$2:$A$1005&amp;'Org List'!$B$2:$B$1005,0),3)</f>
        <v>NGOs: National</v>
      </c>
    </row>
    <row r="935" spans="1:13" x14ac:dyDescent="0.25">
      <c r="A935" t="s">
        <v>2171</v>
      </c>
      <c r="B935" t="s">
        <v>1255</v>
      </c>
      <c r="C935" t="s">
        <v>1256</v>
      </c>
      <c r="D935" t="s">
        <v>30</v>
      </c>
      <c r="E935" t="s">
        <v>303</v>
      </c>
      <c r="F935">
        <v>4500352315</v>
      </c>
      <c r="H935" t="s">
        <v>12</v>
      </c>
      <c r="I935" t="s">
        <v>1956</v>
      </c>
      <c r="J935" t="s">
        <v>303</v>
      </c>
      <c r="K935">
        <v>13607</v>
      </c>
      <c r="L935" t="s">
        <v>6408</v>
      </c>
      <c r="M935" t="str" cm="1">
        <f t="array" ref="M935">INDEX('Org List'!$A$2:$C$1005,MATCH(Consolidated!I935&amp;Consolidated!J935,'Org List'!$A$2:$A$1005&amp;'Org List'!$B$2:$B$1005,0),3)</f>
        <v>NGOs: National</v>
      </c>
    </row>
    <row r="936" spans="1:13" x14ac:dyDescent="0.25">
      <c r="A936" t="s">
        <v>2171</v>
      </c>
      <c r="B936" t="s">
        <v>81</v>
      </c>
      <c r="C936" t="s">
        <v>82</v>
      </c>
      <c r="D936" t="s">
        <v>30</v>
      </c>
      <c r="E936" t="s">
        <v>83</v>
      </c>
      <c r="F936">
        <v>4500375071</v>
      </c>
      <c r="H936" t="s">
        <v>12</v>
      </c>
      <c r="I936" t="s">
        <v>86</v>
      </c>
      <c r="J936" t="s">
        <v>83</v>
      </c>
      <c r="K936">
        <v>78814</v>
      </c>
      <c r="L936" t="s">
        <v>6408</v>
      </c>
      <c r="M936" t="str" cm="1">
        <f t="array" ref="M936">INDEX('Org List'!$A$2:$C$1005,MATCH(Consolidated!I936&amp;Consolidated!J936,'Org List'!$A$2:$A$1005&amp;'Org List'!$B$2:$B$1005,0),3)</f>
        <v>NGOs: International</v>
      </c>
    </row>
    <row r="937" spans="1:13" x14ac:dyDescent="0.25">
      <c r="A937" t="s">
        <v>2171</v>
      </c>
      <c r="B937" t="s">
        <v>1957</v>
      </c>
      <c r="C937" t="s">
        <v>1958</v>
      </c>
      <c r="D937" t="s">
        <v>30</v>
      </c>
      <c r="E937" t="s">
        <v>356</v>
      </c>
      <c r="F937">
        <v>4500370255</v>
      </c>
      <c r="H937" t="s">
        <v>12</v>
      </c>
      <c r="I937" t="s">
        <v>1368</v>
      </c>
      <c r="J937" t="s">
        <v>356</v>
      </c>
      <c r="K937">
        <v>11212</v>
      </c>
      <c r="L937" t="s">
        <v>6408</v>
      </c>
      <c r="M937" t="str" cm="1">
        <f t="array" ref="M937">INDEX('Org List'!$A$2:$C$1005,MATCH(Consolidated!I937&amp;Consolidated!J937,'Org List'!$A$2:$A$1005&amp;'Org List'!$B$2:$B$1005,0),3)</f>
        <v>NGOs: National</v>
      </c>
    </row>
    <row r="938" spans="1:13" x14ac:dyDescent="0.25">
      <c r="A938" t="s">
        <v>2171</v>
      </c>
      <c r="B938" t="s">
        <v>87</v>
      </c>
      <c r="C938" t="s">
        <v>88</v>
      </c>
      <c r="D938" t="s">
        <v>30</v>
      </c>
      <c r="E938" t="s">
        <v>32</v>
      </c>
      <c r="F938">
        <v>4500366687</v>
      </c>
      <c r="H938" t="s">
        <v>12</v>
      </c>
      <c r="I938" t="s">
        <v>1959</v>
      </c>
      <c r="J938" t="s">
        <v>32</v>
      </c>
      <c r="K938">
        <v>137468</v>
      </c>
      <c r="L938" t="s">
        <v>6408</v>
      </c>
      <c r="M938" t="str" cm="1">
        <f t="array" ref="M938">INDEX('Org List'!$A$2:$C$1005,MATCH(Consolidated!I938&amp;Consolidated!J938,'Org List'!$A$2:$A$1005&amp;'Org List'!$B$2:$B$1005,0),3)</f>
        <v>NGOs: National</v>
      </c>
    </row>
    <row r="939" spans="1:13" x14ac:dyDescent="0.25">
      <c r="A939" t="s">
        <v>2171</v>
      </c>
      <c r="B939" t="s">
        <v>87</v>
      </c>
      <c r="C939" t="s">
        <v>88</v>
      </c>
      <c r="D939" t="s">
        <v>30</v>
      </c>
      <c r="E939" t="s">
        <v>32</v>
      </c>
      <c r="F939">
        <v>4500371973</v>
      </c>
      <c r="H939" t="s">
        <v>12</v>
      </c>
      <c r="I939" t="s">
        <v>1960</v>
      </c>
      <c r="J939" t="s">
        <v>32</v>
      </c>
      <c r="K939">
        <v>220658</v>
      </c>
      <c r="L939" t="s">
        <v>6408</v>
      </c>
      <c r="M939" t="str" cm="1">
        <f t="array" ref="M939">INDEX('Org List'!$A$2:$C$1005,MATCH(Consolidated!I939&amp;Consolidated!J939,'Org List'!$A$2:$A$1005&amp;'Org List'!$B$2:$B$1005,0),3)</f>
        <v>NGOs: National</v>
      </c>
    </row>
    <row r="940" spans="1:13" x14ac:dyDescent="0.25">
      <c r="A940" t="s">
        <v>2171</v>
      </c>
      <c r="B940" t="s">
        <v>87</v>
      </c>
      <c r="C940" t="s">
        <v>88</v>
      </c>
      <c r="D940" t="s">
        <v>30</v>
      </c>
      <c r="E940" t="s">
        <v>32</v>
      </c>
      <c r="F940">
        <v>4500373887</v>
      </c>
      <c r="H940" t="s">
        <v>12</v>
      </c>
      <c r="I940" t="s">
        <v>101</v>
      </c>
      <c r="J940" t="s">
        <v>32</v>
      </c>
      <c r="K940">
        <v>233575</v>
      </c>
      <c r="L940" t="s">
        <v>6408</v>
      </c>
      <c r="M940" t="str" cm="1">
        <f t="array" ref="M940">INDEX('Org List'!$A$2:$C$1005,MATCH(Consolidated!I940&amp;Consolidated!J940,'Org List'!$A$2:$A$1005&amp;'Org List'!$B$2:$B$1005,0),3)</f>
        <v>NGOs: International</v>
      </c>
    </row>
    <row r="941" spans="1:13" x14ac:dyDescent="0.25">
      <c r="A941" t="s">
        <v>2171</v>
      </c>
      <c r="B941" t="s">
        <v>87</v>
      </c>
      <c r="C941" t="s">
        <v>88</v>
      </c>
      <c r="D941" t="s">
        <v>30</v>
      </c>
      <c r="E941" t="s">
        <v>32</v>
      </c>
      <c r="F941">
        <v>4500374881</v>
      </c>
      <c r="H941" t="s">
        <v>12</v>
      </c>
      <c r="I941" t="s">
        <v>1961</v>
      </c>
      <c r="J941" t="s">
        <v>32</v>
      </c>
      <c r="K941">
        <v>216657</v>
      </c>
      <c r="L941" t="s">
        <v>6408</v>
      </c>
      <c r="M941" t="str" cm="1">
        <f t="array" ref="M941">INDEX('Org List'!$A$2:$C$1005,MATCH(Consolidated!I941&amp;Consolidated!J941,'Org List'!$A$2:$A$1005&amp;'Org List'!$B$2:$B$1005,0),3)</f>
        <v>NGOs: International</v>
      </c>
    </row>
    <row r="942" spans="1:13" x14ac:dyDescent="0.25">
      <c r="A942" t="s">
        <v>2171</v>
      </c>
      <c r="B942" t="s">
        <v>87</v>
      </c>
      <c r="C942" t="s">
        <v>88</v>
      </c>
      <c r="D942" t="s">
        <v>30</v>
      </c>
      <c r="E942" t="s">
        <v>32</v>
      </c>
      <c r="F942">
        <v>4500362292</v>
      </c>
      <c r="H942" t="s">
        <v>12</v>
      </c>
      <c r="I942" t="s">
        <v>89</v>
      </c>
      <c r="J942" t="s">
        <v>32</v>
      </c>
      <c r="K942">
        <v>139398</v>
      </c>
      <c r="L942" t="s">
        <v>6408</v>
      </c>
      <c r="M942" t="str" cm="1">
        <f t="array" ref="M942">INDEX('Org List'!$A$2:$C$1005,MATCH(Consolidated!I942&amp;Consolidated!J942,'Org List'!$A$2:$A$1005&amp;'Org List'!$B$2:$B$1005,0),3)</f>
        <v>NGOs: National</v>
      </c>
    </row>
    <row r="943" spans="1:13" x14ac:dyDescent="0.25">
      <c r="A943" t="s">
        <v>2171</v>
      </c>
      <c r="B943" t="s">
        <v>87</v>
      </c>
      <c r="C943" t="s">
        <v>88</v>
      </c>
      <c r="D943" t="s">
        <v>30</v>
      </c>
      <c r="E943" t="s">
        <v>32</v>
      </c>
      <c r="F943">
        <v>4500378069</v>
      </c>
      <c r="H943" t="s">
        <v>12</v>
      </c>
      <c r="I943" t="s">
        <v>89</v>
      </c>
      <c r="J943" t="s">
        <v>32</v>
      </c>
      <c r="K943">
        <v>16761</v>
      </c>
      <c r="L943" t="s">
        <v>6408</v>
      </c>
      <c r="M943" t="str" cm="1">
        <f t="array" ref="M943">INDEX('Org List'!$A$2:$C$1005,MATCH(Consolidated!I943&amp;Consolidated!J943,'Org List'!$A$2:$A$1005&amp;'Org List'!$B$2:$B$1005,0),3)</f>
        <v>NGOs: National</v>
      </c>
    </row>
    <row r="944" spans="1:13" x14ac:dyDescent="0.25">
      <c r="A944" t="s">
        <v>2171</v>
      </c>
      <c r="B944" t="s">
        <v>1702</v>
      </c>
      <c r="C944" t="s">
        <v>1703</v>
      </c>
      <c r="D944" t="s">
        <v>30</v>
      </c>
      <c r="E944" t="s">
        <v>257</v>
      </c>
      <c r="F944">
        <v>4500380071</v>
      </c>
      <c r="H944" t="s">
        <v>12</v>
      </c>
      <c r="I944" t="s">
        <v>424</v>
      </c>
      <c r="J944" t="s">
        <v>257</v>
      </c>
      <c r="K944">
        <v>28060</v>
      </c>
      <c r="L944" t="s">
        <v>6408</v>
      </c>
      <c r="M944" t="str" cm="1">
        <f t="array" ref="M944">INDEX('Org List'!$A$2:$C$1005,MATCH(Consolidated!I944&amp;Consolidated!J944,'Org List'!$A$2:$A$1005&amp;'Org List'!$B$2:$B$1005,0),3)</f>
        <v>NGOs: National</v>
      </c>
    </row>
    <row r="945" spans="1:13" x14ac:dyDescent="0.25">
      <c r="A945" t="s">
        <v>2171</v>
      </c>
      <c r="B945" t="s">
        <v>1702</v>
      </c>
      <c r="C945" t="s">
        <v>1703</v>
      </c>
      <c r="D945" t="s">
        <v>30</v>
      </c>
      <c r="E945" t="s">
        <v>257</v>
      </c>
      <c r="F945">
        <v>4500352319</v>
      </c>
      <c r="H945" t="s">
        <v>12</v>
      </c>
      <c r="I945" t="s">
        <v>1931</v>
      </c>
      <c r="J945" t="s">
        <v>257</v>
      </c>
      <c r="K945">
        <v>96912</v>
      </c>
      <c r="L945" t="s">
        <v>6408</v>
      </c>
      <c r="M945" t="str" cm="1">
        <f t="array" ref="M945">INDEX('Org List'!$A$2:$C$1005,MATCH(Consolidated!I945&amp;Consolidated!J945,'Org List'!$A$2:$A$1005&amp;'Org List'!$B$2:$B$1005,0),3)</f>
        <v>Private Organisations: Local/National</v>
      </c>
    </row>
    <row r="946" spans="1:13" x14ac:dyDescent="0.25">
      <c r="A946" t="s">
        <v>2171</v>
      </c>
      <c r="B946" t="s">
        <v>1702</v>
      </c>
      <c r="C946" t="s">
        <v>1703</v>
      </c>
      <c r="D946" t="s">
        <v>30</v>
      </c>
      <c r="E946" t="s">
        <v>257</v>
      </c>
      <c r="F946">
        <v>4500367532</v>
      </c>
      <c r="H946" t="s">
        <v>12</v>
      </c>
      <c r="I946" t="s">
        <v>422</v>
      </c>
      <c r="J946" t="s">
        <v>257</v>
      </c>
      <c r="K946">
        <v>152587</v>
      </c>
      <c r="L946" t="s">
        <v>6408</v>
      </c>
      <c r="M946" t="str" cm="1">
        <f t="array" ref="M946">INDEX('Org List'!$A$2:$C$1005,MATCH(Consolidated!I946&amp;Consolidated!J946,'Org List'!$A$2:$A$1005&amp;'Org List'!$B$2:$B$1005,0),3)</f>
        <v>NGOs: Internationally affiliated</v>
      </c>
    </row>
    <row r="947" spans="1:13" x14ac:dyDescent="0.25">
      <c r="A947" t="s">
        <v>2171</v>
      </c>
      <c r="B947" t="s">
        <v>1702</v>
      </c>
      <c r="C947" t="s">
        <v>1703</v>
      </c>
      <c r="D947" t="s">
        <v>30</v>
      </c>
      <c r="E947" t="s">
        <v>257</v>
      </c>
      <c r="F947">
        <v>4500375875</v>
      </c>
      <c r="H947" t="s">
        <v>12</v>
      </c>
      <c r="I947" t="s">
        <v>423</v>
      </c>
      <c r="J947" t="s">
        <v>257</v>
      </c>
      <c r="K947">
        <v>28060</v>
      </c>
      <c r="L947" t="s">
        <v>6408</v>
      </c>
      <c r="M947" t="str" cm="1">
        <f t="array" ref="M947">INDEX('Org List'!$A$2:$C$1005,MATCH(Consolidated!I947&amp;Consolidated!J947,'Org List'!$A$2:$A$1005&amp;'Org List'!$B$2:$B$1005,0),3)</f>
        <v>NGOs: Local</v>
      </c>
    </row>
    <row r="948" spans="1:13" x14ac:dyDescent="0.25">
      <c r="A948" t="s">
        <v>2171</v>
      </c>
      <c r="B948" t="s">
        <v>1702</v>
      </c>
      <c r="C948" t="s">
        <v>1703</v>
      </c>
      <c r="D948" t="s">
        <v>30</v>
      </c>
      <c r="E948" t="s">
        <v>257</v>
      </c>
      <c r="F948">
        <v>4500373387</v>
      </c>
      <c r="H948" t="s">
        <v>12</v>
      </c>
      <c r="I948" t="s">
        <v>421</v>
      </c>
      <c r="J948" t="s">
        <v>257</v>
      </c>
      <c r="K948">
        <v>96532</v>
      </c>
      <c r="L948" t="s">
        <v>6408</v>
      </c>
      <c r="M948" t="str" cm="1">
        <f t="array" ref="M948">INDEX('Org List'!$A$2:$C$1005,MATCH(Consolidated!I948&amp;Consolidated!J948,'Org List'!$A$2:$A$1005&amp;'Org List'!$B$2:$B$1005,0),3)</f>
        <v>NGOs: National</v>
      </c>
    </row>
    <row r="949" spans="1:13" x14ac:dyDescent="0.25">
      <c r="A949" t="s">
        <v>2171</v>
      </c>
      <c r="B949" t="s">
        <v>1702</v>
      </c>
      <c r="C949" t="s">
        <v>1703</v>
      </c>
      <c r="D949" t="s">
        <v>30</v>
      </c>
      <c r="E949" t="s">
        <v>257</v>
      </c>
      <c r="F949">
        <v>4500352340</v>
      </c>
      <c r="H949" t="s">
        <v>12</v>
      </c>
      <c r="I949" t="s">
        <v>1672</v>
      </c>
      <c r="J949" t="s">
        <v>257</v>
      </c>
      <c r="K949">
        <v>84911</v>
      </c>
      <c r="L949" t="s">
        <v>6408</v>
      </c>
      <c r="M949" t="str" cm="1">
        <f t="array" ref="M949">INDEX('Org List'!$A$2:$C$1005,MATCH(Consolidated!I949&amp;Consolidated!J949,'Org List'!$A$2:$A$1005&amp;'Org List'!$B$2:$B$1005,0),3)</f>
        <v>NGOs: Local</v>
      </c>
    </row>
    <row r="950" spans="1:13" x14ac:dyDescent="0.25">
      <c r="A950" t="s">
        <v>2171</v>
      </c>
      <c r="B950" t="s">
        <v>1962</v>
      </c>
      <c r="C950" t="s">
        <v>1963</v>
      </c>
      <c r="D950" t="s">
        <v>30</v>
      </c>
      <c r="E950" t="s">
        <v>83</v>
      </c>
      <c r="F950">
        <v>4500375071</v>
      </c>
      <c r="H950" t="s">
        <v>12</v>
      </c>
      <c r="I950" t="s">
        <v>86</v>
      </c>
      <c r="J950" t="s">
        <v>83</v>
      </c>
      <c r="K950">
        <v>78814</v>
      </c>
      <c r="L950" t="s">
        <v>6408</v>
      </c>
      <c r="M950" t="str" cm="1">
        <f t="array" ref="M950">INDEX('Org List'!$A$2:$C$1005,MATCH(Consolidated!I950&amp;Consolidated!J950,'Org List'!$A$2:$A$1005&amp;'Org List'!$B$2:$B$1005,0),3)</f>
        <v>NGOs: International</v>
      </c>
    </row>
    <row r="951" spans="1:13" x14ac:dyDescent="0.25">
      <c r="A951" t="s">
        <v>2171</v>
      </c>
      <c r="B951" t="s">
        <v>1962</v>
      </c>
      <c r="C951" t="s">
        <v>1963</v>
      </c>
      <c r="D951" t="s">
        <v>30</v>
      </c>
      <c r="E951" t="s">
        <v>83</v>
      </c>
      <c r="F951">
        <v>4500367297</v>
      </c>
      <c r="H951" t="s">
        <v>12</v>
      </c>
      <c r="I951" t="s">
        <v>84</v>
      </c>
      <c r="J951" t="s">
        <v>83</v>
      </c>
      <c r="K951">
        <v>232575</v>
      </c>
      <c r="L951" t="s">
        <v>6408</v>
      </c>
      <c r="M951" t="str" cm="1">
        <f t="array" ref="M951">INDEX('Org List'!$A$2:$C$1005,MATCH(Consolidated!I951&amp;Consolidated!J951,'Org List'!$A$2:$A$1005&amp;'Org List'!$B$2:$B$1005,0),3)</f>
        <v>NGOs: National</v>
      </c>
    </row>
    <row r="952" spans="1:13" x14ac:dyDescent="0.25">
      <c r="A952" t="s">
        <v>2171</v>
      </c>
      <c r="B952" t="s">
        <v>1964</v>
      </c>
      <c r="C952" t="s">
        <v>1965</v>
      </c>
      <c r="D952" t="s">
        <v>30</v>
      </c>
      <c r="E952" t="s">
        <v>83</v>
      </c>
      <c r="F952">
        <v>4500367297</v>
      </c>
      <c r="H952" t="s">
        <v>12</v>
      </c>
      <c r="I952" t="s">
        <v>84</v>
      </c>
      <c r="J952" t="s">
        <v>83</v>
      </c>
      <c r="K952">
        <v>232575</v>
      </c>
      <c r="L952" t="s">
        <v>6408</v>
      </c>
      <c r="M952" t="str" cm="1">
        <f t="array" ref="M952">INDEX('Org List'!$A$2:$C$1005,MATCH(Consolidated!I952&amp;Consolidated!J952,'Org List'!$A$2:$A$1005&amp;'Org List'!$B$2:$B$1005,0),3)</f>
        <v>NGOs: National</v>
      </c>
    </row>
    <row r="953" spans="1:13" x14ac:dyDescent="0.25">
      <c r="A953" t="s">
        <v>2171</v>
      </c>
      <c r="B953" t="s">
        <v>1966</v>
      </c>
      <c r="C953" t="s">
        <v>1967</v>
      </c>
      <c r="D953" t="s">
        <v>30</v>
      </c>
      <c r="E953" t="s">
        <v>175</v>
      </c>
      <c r="F953">
        <v>4500364486</v>
      </c>
      <c r="H953" t="s">
        <v>12</v>
      </c>
      <c r="I953" t="s">
        <v>887</v>
      </c>
      <c r="J953" t="s">
        <v>175</v>
      </c>
      <c r="K953">
        <v>122202</v>
      </c>
      <c r="L953" t="s">
        <v>6408</v>
      </c>
      <c r="M953" t="str" cm="1">
        <f t="array" ref="M953">INDEX('Org List'!$A$2:$C$1005,MATCH(Consolidated!I953&amp;Consolidated!J953,'Org List'!$A$2:$A$1005&amp;'Org List'!$B$2:$B$1005,0),3)</f>
        <v>NGOs: International</v>
      </c>
    </row>
    <row r="954" spans="1:13" x14ac:dyDescent="0.25">
      <c r="A954" t="s">
        <v>2171</v>
      </c>
      <c r="B954" t="s">
        <v>1966</v>
      </c>
      <c r="C954" t="s">
        <v>1967</v>
      </c>
      <c r="D954" t="s">
        <v>30</v>
      </c>
      <c r="E954" t="s">
        <v>175</v>
      </c>
      <c r="F954">
        <v>4500364511</v>
      </c>
      <c r="H954" t="s">
        <v>12</v>
      </c>
      <c r="I954" t="s">
        <v>186</v>
      </c>
      <c r="J954" t="s">
        <v>175</v>
      </c>
      <c r="K954">
        <v>62511</v>
      </c>
      <c r="L954" t="s">
        <v>6408</v>
      </c>
      <c r="M954" t="str" cm="1">
        <f t="array" ref="M954">INDEX('Org List'!$A$2:$C$1005,MATCH(Consolidated!I954&amp;Consolidated!J954,'Org List'!$A$2:$A$1005&amp;'Org List'!$B$2:$B$1005,0),3)</f>
        <v>NGOs: National</v>
      </c>
    </row>
    <row r="955" spans="1:13" x14ac:dyDescent="0.25">
      <c r="A955" t="s">
        <v>2171</v>
      </c>
      <c r="B955" t="s">
        <v>1966</v>
      </c>
      <c r="C955" t="s">
        <v>1967</v>
      </c>
      <c r="D955" t="s">
        <v>30</v>
      </c>
      <c r="E955" t="s">
        <v>159</v>
      </c>
      <c r="F955">
        <v>4500352875</v>
      </c>
      <c r="H955" t="s">
        <v>12</v>
      </c>
      <c r="I955" t="s">
        <v>1968</v>
      </c>
      <c r="J955" t="s">
        <v>159</v>
      </c>
      <c r="K955">
        <v>149488</v>
      </c>
      <c r="L955" t="s">
        <v>6408</v>
      </c>
      <c r="M955" t="str" cm="1">
        <f t="array" ref="M955">INDEX('Org List'!$A$2:$C$1005,MATCH(Consolidated!I955&amp;Consolidated!J955,'Org List'!$A$2:$A$1005&amp;'Org List'!$B$2:$B$1005,0),3)</f>
        <v>NGOs: International</v>
      </c>
    </row>
    <row r="956" spans="1:13" x14ac:dyDescent="0.25">
      <c r="A956" t="s">
        <v>2171</v>
      </c>
      <c r="B956" t="s">
        <v>1966</v>
      </c>
      <c r="C956" t="s">
        <v>1967</v>
      </c>
      <c r="D956" t="s">
        <v>30</v>
      </c>
      <c r="E956" t="s">
        <v>890</v>
      </c>
      <c r="F956">
        <v>4500353715</v>
      </c>
      <c r="H956" t="s">
        <v>12</v>
      </c>
      <c r="I956" t="s">
        <v>892</v>
      </c>
      <c r="J956" t="s">
        <v>890</v>
      </c>
      <c r="K956">
        <v>64228</v>
      </c>
      <c r="L956" t="s">
        <v>6408</v>
      </c>
      <c r="M956" t="str" cm="1">
        <f t="array" ref="M956">INDEX('Org List'!$A$2:$C$1005,MATCH(Consolidated!I956&amp;Consolidated!J956,'Org List'!$A$2:$A$1005&amp;'Org List'!$B$2:$B$1005,0),3)</f>
        <v>NGOs: National</v>
      </c>
    </row>
    <row r="957" spans="1:13" x14ac:dyDescent="0.25">
      <c r="A957" t="s">
        <v>2171</v>
      </c>
      <c r="B957" t="s">
        <v>1262</v>
      </c>
      <c r="C957" t="s">
        <v>1263</v>
      </c>
      <c r="D957" t="s">
        <v>30</v>
      </c>
      <c r="E957" t="s">
        <v>167</v>
      </c>
      <c r="F957">
        <v>4500358905</v>
      </c>
      <c r="H957" t="s">
        <v>12</v>
      </c>
      <c r="I957" t="s">
        <v>1969</v>
      </c>
      <c r="J957" t="s">
        <v>167</v>
      </c>
      <c r="K957">
        <v>254786</v>
      </c>
      <c r="L957" t="s">
        <v>6408</v>
      </c>
      <c r="M957" t="str" cm="1">
        <f t="array" ref="M957">INDEX('Org List'!$A$2:$C$1005,MATCH(Consolidated!I957&amp;Consolidated!J957,'Org List'!$A$2:$A$1005&amp;'Org List'!$B$2:$B$1005,0),3)</f>
        <v>NGOs: International</v>
      </c>
    </row>
    <row r="958" spans="1:13" x14ac:dyDescent="0.25">
      <c r="A958" t="s">
        <v>2171</v>
      </c>
      <c r="B958" t="s">
        <v>1970</v>
      </c>
      <c r="C958" t="s">
        <v>1971</v>
      </c>
      <c r="D958" t="s">
        <v>30</v>
      </c>
      <c r="E958" t="s">
        <v>155</v>
      </c>
      <c r="F958">
        <v>4500356190</v>
      </c>
      <c r="H958" t="s">
        <v>12</v>
      </c>
      <c r="I958" t="s">
        <v>1972</v>
      </c>
      <c r="J958" t="s">
        <v>155</v>
      </c>
      <c r="K958">
        <v>32873</v>
      </c>
      <c r="L958" t="s">
        <v>6408</v>
      </c>
      <c r="M958" t="str" cm="1">
        <f t="array" ref="M958">INDEX('Org List'!$A$2:$C$1005,MATCH(Consolidated!I958&amp;Consolidated!J958,'Org List'!$A$2:$A$1005&amp;'Org List'!$B$2:$B$1005,0),3)</f>
        <v>NGOs: Local</v>
      </c>
    </row>
    <row r="959" spans="1:13" x14ac:dyDescent="0.25">
      <c r="A959" t="s">
        <v>2171</v>
      </c>
      <c r="B959" t="s">
        <v>1970</v>
      </c>
      <c r="C959" t="s">
        <v>1971</v>
      </c>
      <c r="D959" t="s">
        <v>30</v>
      </c>
      <c r="E959" t="s">
        <v>155</v>
      </c>
      <c r="F959">
        <v>4500356445</v>
      </c>
      <c r="H959" t="s">
        <v>12</v>
      </c>
      <c r="I959" t="s">
        <v>1973</v>
      </c>
      <c r="J959" t="s">
        <v>155</v>
      </c>
      <c r="K959">
        <v>32895</v>
      </c>
      <c r="L959" t="s">
        <v>6408</v>
      </c>
      <c r="M959" t="str" cm="1">
        <f t="array" ref="M959">INDEX('Org List'!$A$2:$C$1005,MATCH(Consolidated!I959&amp;Consolidated!J959,'Org List'!$A$2:$A$1005&amp;'Org List'!$B$2:$B$1005,0),3)</f>
        <v>NGOs: Local</v>
      </c>
    </row>
    <row r="960" spans="1:13" x14ac:dyDescent="0.25">
      <c r="A960" t="s">
        <v>2171</v>
      </c>
      <c r="B960" t="s">
        <v>1974</v>
      </c>
      <c r="C960" t="s">
        <v>1975</v>
      </c>
      <c r="D960" t="s">
        <v>30</v>
      </c>
      <c r="E960" t="s">
        <v>123</v>
      </c>
      <c r="F960">
        <v>4500379541</v>
      </c>
      <c r="H960" t="s">
        <v>12</v>
      </c>
      <c r="I960" t="s">
        <v>1976</v>
      </c>
      <c r="J960" t="s">
        <v>123</v>
      </c>
      <c r="K960">
        <v>278644</v>
      </c>
      <c r="L960" t="s">
        <v>6408</v>
      </c>
      <c r="M960" t="str" cm="1">
        <f t="array" ref="M960">INDEX('Org List'!$A$2:$C$1005,MATCH(Consolidated!I960&amp;Consolidated!J960,'Org List'!$A$2:$A$1005&amp;'Org List'!$B$2:$B$1005,0),3)</f>
        <v>NGOs: National</v>
      </c>
    </row>
    <row r="961" spans="1:13" x14ac:dyDescent="0.25">
      <c r="A961" t="s">
        <v>2171</v>
      </c>
      <c r="B961" t="s">
        <v>1974</v>
      </c>
      <c r="C961" t="s">
        <v>1975</v>
      </c>
      <c r="D961" t="s">
        <v>30</v>
      </c>
      <c r="E961" t="s">
        <v>123</v>
      </c>
      <c r="F961">
        <v>4500379535</v>
      </c>
      <c r="H961" t="s">
        <v>12</v>
      </c>
      <c r="I961" t="s">
        <v>1977</v>
      </c>
      <c r="J961" t="s">
        <v>123</v>
      </c>
      <c r="K961">
        <v>28570</v>
      </c>
      <c r="L961" t="s">
        <v>6408</v>
      </c>
      <c r="M961" t="str" cm="1">
        <f t="array" ref="M961">INDEX('Org List'!$A$2:$C$1005,MATCH(Consolidated!I961&amp;Consolidated!J961,'Org List'!$A$2:$A$1005&amp;'Org List'!$B$2:$B$1005,0),3)</f>
        <v>NGOs: International</v>
      </c>
    </row>
    <row r="962" spans="1:13" x14ac:dyDescent="0.25">
      <c r="A962" t="s">
        <v>2171</v>
      </c>
      <c r="B962" t="s">
        <v>1974</v>
      </c>
      <c r="C962" t="s">
        <v>1975</v>
      </c>
      <c r="D962" t="s">
        <v>30</v>
      </c>
      <c r="E962" t="s">
        <v>123</v>
      </c>
      <c r="F962">
        <v>4500356013</v>
      </c>
      <c r="H962" t="s">
        <v>12</v>
      </c>
      <c r="I962" t="s">
        <v>124</v>
      </c>
      <c r="J962" t="s">
        <v>123</v>
      </c>
      <c r="K962">
        <v>149366</v>
      </c>
      <c r="L962" t="s">
        <v>6408</v>
      </c>
      <c r="M962" t="str" cm="1">
        <f t="array" ref="M962">INDEX('Org List'!$A$2:$C$1005,MATCH(Consolidated!I962&amp;Consolidated!J962,'Org List'!$A$2:$A$1005&amp;'Org List'!$B$2:$B$1005,0),3)</f>
        <v>NGOs: National</v>
      </c>
    </row>
    <row r="963" spans="1:13" x14ac:dyDescent="0.25">
      <c r="A963" t="s">
        <v>2171</v>
      </c>
      <c r="B963" t="s">
        <v>1974</v>
      </c>
      <c r="C963" t="s">
        <v>1975</v>
      </c>
      <c r="D963" t="s">
        <v>30</v>
      </c>
      <c r="E963" t="s">
        <v>123</v>
      </c>
      <c r="F963">
        <v>4500379527</v>
      </c>
      <c r="H963" t="s">
        <v>12</v>
      </c>
      <c r="I963" t="s">
        <v>1886</v>
      </c>
      <c r="J963" t="s">
        <v>123</v>
      </c>
      <c r="K963">
        <v>231311</v>
      </c>
      <c r="L963" t="s">
        <v>6408</v>
      </c>
      <c r="M963" t="str" cm="1">
        <f t="array" ref="M963">INDEX('Org List'!$A$2:$C$1005,MATCH(Consolidated!I963&amp;Consolidated!J963,'Org List'!$A$2:$A$1005&amp;'Org List'!$B$2:$B$1005,0),3)</f>
        <v>NGOs: National</v>
      </c>
    </row>
    <row r="964" spans="1:13" x14ac:dyDescent="0.25">
      <c r="A964" t="s">
        <v>2171</v>
      </c>
      <c r="B964" t="s">
        <v>1974</v>
      </c>
      <c r="C964" t="s">
        <v>1975</v>
      </c>
      <c r="D964" t="s">
        <v>30</v>
      </c>
      <c r="E964" t="s">
        <v>123</v>
      </c>
      <c r="F964">
        <v>4500355636</v>
      </c>
      <c r="H964" t="s">
        <v>12</v>
      </c>
      <c r="I964" t="s">
        <v>1280</v>
      </c>
      <c r="J964" t="s">
        <v>123</v>
      </c>
      <c r="K964">
        <v>48394</v>
      </c>
      <c r="L964" t="s">
        <v>6408</v>
      </c>
      <c r="M964" t="str" cm="1">
        <f t="array" ref="M964">INDEX('Org List'!$A$2:$C$1005,MATCH(Consolidated!I964&amp;Consolidated!J964,'Org List'!$A$2:$A$1005&amp;'Org List'!$B$2:$B$1005,0),3)</f>
        <v>NGOs: International</v>
      </c>
    </row>
    <row r="965" spans="1:13" x14ac:dyDescent="0.25">
      <c r="A965" t="s">
        <v>2171</v>
      </c>
      <c r="B965" t="s">
        <v>1974</v>
      </c>
      <c r="C965" t="s">
        <v>1975</v>
      </c>
      <c r="D965" t="s">
        <v>30</v>
      </c>
      <c r="E965" t="s">
        <v>123</v>
      </c>
      <c r="F965">
        <v>4500379549</v>
      </c>
      <c r="H965" t="s">
        <v>12</v>
      </c>
      <c r="I965" t="s">
        <v>1978</v>
      </c>
      <c r="J965" t="s">
        <v>123</v>
      </c>
      <c r="K965">
        <v>201464</v>
      </c>
      <c r="L965" t="s">
        <v>6408</v>
      </c>
      <c r="M965" t="str" cm="1">
        <f t="array" ref="M965">INDEX('Org List'!$A$2:$C$1005,MATCH(Consolidated!I965&amp;Consolidated!J965,'Org List'!$A$2:$A$1005&amp;'Org List'!$B$2:$B$1005,0),3)</f>
        <v>NGOs: International</v>
      </c>
    </row>
    <row r="966" spans="1:13" x14ac:dyDescent="0.25">
      <c r="A966" t="s">
        <v>2171</v>
      </c>
      <c r="B966" t="s">
        <v>1974</v>
      </c>
      <c r="C966" t="s">
        <v>1975</v>
      </c>
      <c r="D966" t="s">
        <v>30</v>
      </c>
      <c r="E966" t="s">
        <v>123</v>
      </c>
      <c r="F966">
        <v>4500357594</v>
      </c>
      <c r="H966" t="s">
        <v>12</v>
      </c>
      <c r="I966" t="s">
        <v>1979</v>
      </c>
      <c r="J966" t="s">
        <v>123</v>
      </c>
      <c r="K966">
        <v>57282</v>
      </c>
      <c r="L966" t="s">
        <v>6408</v>
      </c>
      <c r="M966" t="str" cm="1">
        <f t="array" ref="M966">INDEX('Org List'!$A$2:$C$1005,MATCH(Consolidated!I966&amp;Consolidated!J966,'Org List'!$A$2:$A$1005&amp;'Org List'!$B$2:$B$1005,0),3)</f>
        <v>NGOs: National</v>
      </c>
    </row>
    <row r="967" spans="1:13" x14ac:dyDescent="0.25">
      <c r="A967" t="s">
        <v>2171</v>
      </c>
      <c r="B967" t="s">
        <v>1974</v>
      </c>
      <c r="C967" t="s">
        <v>1975</v>
      </c>
      <c r="D967" t="s">
        <v>30</v>
      </c>
      <c r="E967" t="s">
        <v>123</v>
      </c>
      <c r="F967">
        <v>4500357606</v>
      </c>
      <c r="H967" t="s">
        <v>12</v>
      </c>
      <c r="I967" t="s">
        <v>1979</v>
      </c>
      <c r="J967" t="s">
        <v>123</v>
      </c>
      <c r="K967">
        <v>246291</v>
      </c>
      <c r="L967" t="s">
        <v>6408</v>
      </c>
      <c r="M967" t="str" cm="1">
        <f t="array" ref="M967">INDEX('Org List'!$A$2:$C$1005,MATCH(Consolidated!I967&amp;Consolidated!J967,'Org List'!$A$2:$A$1005&amp;'Org List'!$B$2:$B$1005,0),3)</f>
        <v>NGOs: National</v>
      </c>
    </row>
    <row r="968" spans="1:13" x14ac:dyDescent="0.25">
      <c r="A968" t="s">
        <v>2171</v>
      </c>
      <c r="B968" t="s">
        <v>1974</v>
      </c>
      <c r="C968" t="s">
        <v>1975</v>
      </c>
      <c r="D968" t="s">
        <v>30</v>
      </c>
      <c r="E968" t="s">
        <v>123</v>
      </c>
      <c r="F968">
        <v>4500357233</v>
      </c>
      <c r="H968" t="s">
        <v>12</v>
      </c>
      <c r="I968" t="s">
        <v>1980</v>
      </c>
      <c r="J968" t="s">
        <v>123</v>
      </c>
      <c r="K968">
        <v>68405</v>
      </c>
      <c r="L968" t="s">
        <v>6408</v>
      </c>
      <c r="M968" t="str" cm="1">
        <f t="array" ref="M968">INDEX('Org List'!$A$2:$C$1005,MATCH(Consolidated!I968&amp;Consolidated!J968,'Org List'!$A$2:$A$1005&amp;'Org List'!$B$2:$B$1005,0),3)</f>
        <v>NGOs: National</v>
      </c>
    </row>
    <row r="969" spans="1:13" x14ac:dyDescent="0.25">
      <c r="A969" t="s">
        <v>2171</v>
      </c>
      <c r="B969" t="s">
        <v>1974</v>
      </c>
      <c r="C969" t="s">
        <v>1975</v>
      </c>
      <c r="D969" t="s">
        <v>30</v>
      </c>
      <c r="E969" t="s">
        <v>123</v>
      </c>
      <c r="F969">
        <v>4500379606</v>
      </c>
      <c r="H969" t="s">
        <v>12</v>
      </c>
      <c r="I969" t="s">
        <v>366</v>
      </c>
      <c r="J969" t="s">
        <v>123</v>
      </c>
      <c r="K969">
        <v>1359617</v>
      </c>
      <c r="L969" t="s">
        <v>6408</v>
      </c>
      <c r="M969" t="str" cm="1">
        <f t="array" ref="M969">INDEX('Org List'!$A$2:$C$1005,MATCH(Consolidated!I969&amp;Consolidated!J969,'Org List'!$A$2:$A$1005&amp;'Org List'!$B$2:$B$1005,0),3)</f>
        <v>NGOs: National</v>
      </c>
    </row>
    <row r="970" spans="1:13" x14ac:dyDescent="0.25">
      <c r="A970" t="s">
        <v>2171</v>
      </c>
      <c r="B970" t="s">
        <v>1266</v>
      </c>
      <c r="C970" t="s">
        <v>1267</v>
      </c>
      <c r="D970" t="s">
        <v>30</v>
      </c>
      <c r="E970" t="s">
        <v>150</v>
      </c>
      <c r="F970">
        <v>4500355198</v>
      </c>
      <c r="H970" t="s">
        <v>12</v>
      </c>
      <c r="I970" t="s">
        <v>1981</v>
      </c>
      <c r="J970" t="s">
        <v>150</v>
      </c>
      <c r="K970">
        <v>81187</v>
      </c>
      <c r="L970" t="s">
        <v>6408</v>
      </c>
      <c r="M970" t="str" cm="1">
        <f t="array" ref="M970">INDEX('Org List'!$A$2:$C$1005,MATCH(Consolidated!I970&amp;Consolidated!J970,'Org List'!$A$2:$A$1005&amp;'Org List'!$B$2:$B$1005,0),3)</f>
        <v>NGOs: International</v>
      </c>
    </row>
    <row r="971" spans="1:13" x14ac:dyDescent="0.25">
      <c r="A971" t="s">
        <v>2171</v>
      </c>
      <c r="B971" t="s">
        <v>1266</v>
      </c>
      <c r="C971" t="s">
        <v>1267</v>
      </c>
      <c r="D971" t="s">
        <v>30</v>
      </c>
      <c r="E971" t="s">
        <v>150</v>
      </c>
      <c r="F971">
        <v>4500371447</v>
      </c>
      <c r="H971" t="s">
        <v>12</v>
      </c>
      <c r="I971" t="s">
        <v>832</v>
      </c>
      <c r="J971" t="s">
        <v>150</v>
      </c>
      <c r="K971">
        <v>94829</v>
      </c>
      <c r="L971" t="s">
        <v>6408</v>
      </c>
      <c r="M971" t="str" cm="1">
        <f t="array" ref="M971">INDEX('Org List'!$A$2:$C$1005,MATCH(Consolidated!I971&amp;Consolidated!J971,'Org List'!$A$2:$A$1005&amp;'Org List'!$B$2:$B$1005,0),3)</f>
        <v>NGOs: National</v>
      </c>
    </row>
    <row r="972" spans="1:13" x14ac:dyDescent="0.25">
      <c r="A972" t="s">
        <v>2171</v>
      </c>
      <c r="B972" t="s">
        <v>1266</v>
      </c>
      <c r="C972" t="s">
        <v>1267</v>
      </c>
      <c r="D972" t="s">
        <v>30</v>
      </c>
      <c r="E972" t="s">
        <v>150</v>
      </c>
      <c r="F972">
        <v>4500367564</v>
      </c>
      <c r="H972" t="s">
        <v>12</v>
      </c>
      <c r="I972" t="s">
        <v>1982</v>
      </c>
      <c r="J972" t="s">
        <v>150</v>
      </c>
      <c r="K972">
        <v>421926</v>
      </c>
      <c r="L972" t="s">
        <v>6408</v>
      </c>
      <c r="M972" t="str" cm="1">
        <f t="array" ref="M972">INDEX('Org List'!$A$2:$C$1005,MATCH(Consolidated!I972&amp;Consolidated!J972,'Org List'!$A$2:$A$1005&amp;'Org List'!$B$2:$B$1005,0),3)</f>
        <v>NGOs: National</v>
      </c>
    </row>
    <row r="973" spans="1:13" x14ac:dyDescent="0.25">
      <c r="A973" t="s">
        <v>2171</v>
      </c>
      <c r="B973" t="s">
        <v>811</v>
      </c>
      <c r="C973" t="s">
        <v>812</v>
      </c>
      <c r="D973" t="s">
        <v>30</v>
      </c>
      <c r="E973" t="s">
        <v>545</v>
      </c>
      <c r="F973">
        <v>4500358195</v>
      </c>
      <c r="H973" t="s">
        <v>12</v>
      </c>
      <c r="I973" t="s">
        <v>1983</v>
      </c>
      <c r="J973" t="s">
        <v>545</v>
      </c>
      <c r="K973">
        <v>56058</v>
      </c>
      <c r="L973" t="s">
        <v>6408</v>
      </c>
      <c r="M973" t="str" cm="1">
        <f t="array" ref="M973">INDEX('Org List'!$A$2:$C$1005,MATCH(Consolidated!I973&amp;Consolidated!J973,'Org List'!$A$2:$A$1005&amp;'Org List'!$B$2:$B$1005,0),3)</f>
        <v>NGOs: International</v>
      </c>
    </row>
    <row r="974" spans="1:13" x14ac:dyDescent="0.25">
      <c r="A974" t="s">
        <v>2171</v>
      </c>
      <c r="B974" t="s">
        <v>811</v>
      </c>
      <c r="C974" t="s">
        <v>812</v>
      </c>
      <c r="D974" t="s">
        <v>30</v>
      </c>
      <c r="E974" t="s">
        <v>123</v>
      </c>
      <c r="F974">
        <v>4500357233</v>
      </c>
      <c r="H974" t="s">
        <v>12</v>
      </c>
      <c r="I974" t="s">
        <v>1980</v>
      </c>
      <c r="J974" t="s">
        <v>123</v>
      </c>
      <c r="K974">
        <v>68405</v>
      </c>
      <c r="L974" t="s">
        <v>6408</v>
      </c>
      <c r="M974" t="str" cm="1">
        <f t="array" ref="M974">INDEX('Org List'!$A$2:$C$1005,MATCH(Consolidated!I974&amp;Consolidated!J974,'Org List'!$A$2:$A$1005&amp;'Org List'!$B$2:$B$1005,0),3)</f>
        <v>NGOs: National</v>
      </c>
    </row>
    <row r="975" spans="1:13" x14ac:dyDescent="0.25">
      <c r="A975" t="s">
        <v>2171</v>
      </c>
      <c r="B975" t="s">
        <v>811</v>
      </c>
      <c r="C975" t="s">
        <v>812</v>
      </c>
      <c r="D975" t="s">
        <v>30</v>
      </c>
      <c r="E975" t="s">
        <v>123</v>
      </c>
      <c r="F975">
        <v>4500363002</v>
      </c>
      <c r="H975" t="s">
        <v>12</v>
      </c>
      <c r="I975" t="s">
        <v>368</v>
      </c>
      <c r="J975" t="s">
        <v>123</v>
      </c>
      <c r="K975">
        <v>65296</v>
      </c>
      <c r="L975" t="s">
        <v>6408</v>
      </c>
      <c r="M975" t="str" cm="1">
        <f t="array" ref="M975">INDEX('Org List'!$A$2:$C$1005,MATCH(Consolidated!I975&amp;Consolidated!J975,'Org List'!$A$2:$A$1005&amp;'Org List'!$B$2:$B$1005,0),3)</f>
        <v>NGOs: National</v>
      </c>
    </row>
    <row r="976" spans="1:13" x14ac:dyDescent="0.25">
      <c r="A976" t="s">
        <v>2171</v>
      </c>
      <c r="B976" t="s">
        <v>1268</v>
      </c>
      <c r="C976" t="s">
        <v>1269</v>
      </c>
      <c r="D976" t="s">
        <v>30</v>
      </c>
      <c r="E976" t="s">
        <v>175</v>
      </c>
      <c r="F976">
        <v>4500369764</v>
      </c>
      <c r="H976" t="s">
        <v>12</v>
      </c>
      <c r="I976" t="s">
        <v>185</v>
      </c>
      <c r="J976" t="s">
        <v>175</v>
      </c>
      <c r="K976">
        <v>65401</v>
      </c>
      <c r="L976" t="s">
        <v>6408</v>
      </c>
      <c r="M976" t="str" cm="1">
        <f t="array" ref="M976">INDEX('Org List'!$A$2:$C$1005,MATCH(Consolidated!I976&amp;Consolidated!J976,'Org List'!$A$2:$A$1005&amp;'Org List'!$B$2:$B$1005,0),3)</f>
        <v>NGOs: National</v>
      </c>
    </row>
    <row r="977" spans="1:13" x14ac:dyDescent="0.25">
      <c r="A977" t="s">
        <v>2171</v>
      </c>
      <c r="B977" t="s">
        <v>1708</v>
      </c>
      <c r="C977" t="s">
        <v>1709</v>
      </c>
      <c r="D977" t="s">
        <v>30</v>
      </c>
      <c r="E977" t="s">
        <v>289</v>
      </c>
      <c r="F977">
        <v>4500377054</v>
      </c>
      <c r="H977" t="s">
        <v>12</v>
      </c>
      <c r="I977" t="s">
        <v>1984</v>
      </c>
      <c r="J977" t="s">
        <v>289</v>
      </c>
      <c r="K977">
        <v>74269</v>
      </c>
      <c r="L977" t="s">
        <v>6408</v>
      </c>
      <c r="M977" t="str" cm="1">
        <f t="array" ref="M977">INDEX('Org List'!$A$2:$C$1005,MATCH(Consolidated!I977&amp;Consolidated!J977,'Org List'!$A$2:$A$1005&amp;'Org List'!$B$2:$B$1005,0),3)</f>
        <v>NGOs: National</v>
      </c>
    </row>
    <row r="978" spans="1:13" x14ac:dyDescent="0.25">
      <c r="A978" t="s">
        <v>2171</v>
      </c>
      <c r="B978" t="s">
        <v>1708</v>
      </c>
      <c r="C978" t="s">
        <v>1709</v>
      </c>
      <c r="D978" t="s">
        <v>30</v>
      </c>
      <c r="E978" t="s">
        <v>289</v>
      </c>
      <c r="F978">
        <v>4500369635</v>
      </c>
      <c r="H978" t="s">
        <v>12</v>
      </c>
      <c r="I978" t="s">
        <v>1985</v>
      </c>
      <c r="J978" t="s">
        <v>289</v>
      </c>
      <c r="K978">
        <v>12279</v>
      </c>
      <c r="L978" t="s">
        <v>6408</v>
      </c>
      <c r="M978" t="str" cm="1">
        <f t="array" ref="M978">INDEX('Org List'!$A$2:$C$1005,MATCH(Consolidated!I978&amp;Consolidated!J978,'Org List'!$A$2:$A$1005&amp;'Org List'!$B$2:$B$1005,0),3)</f>
        <v>NGOs: National</v>
      </c>
    </row>
    <row r="979" spans="1:13" x14ac:dyDescent="0.25">
      <c r="A979" t="s">
        <v>2171</v>
      </c>
      <c r="B979" t="s">
        <v>1708</v>
      </c>
      <c r="C979" t="s">
        <v>1709</v>
      </c>
      <c r="D979" t="s">
        <v>30</v>
      </c>
      <c r="E979" t="s">
        <v>289</v>
      </c>
      <c r="F979">
        <v>4500377070</v>
      </c>
      <c r="H979" t="s">
        <v>12</v>
      </c>
      <c r="I979" t="s">
        <v>1754</v>
      </c>
      <c r="J979" t="s">
        <v>289</v>
      </c>
      <c r="K979">
        <v>8670</v>
      </c>
      <c r="L979" t="s">
        <v>6408</v>
      </c>
      <c r="M979" t="str" cm="1">
        <f t="array" ref="M979">INDEX('Org List'!$A$2:$C$1005,MATCH(Consolidated!I979&amp;Consolidated!J979,'Org List'!$A$2:$A$1005&amp;'Org List'!$B$2:$B$1005,0),3)</f>
        <v>NGOs: Local</v>
      </c>
    </row>
    <row r="980" spans="1:13" x14ac:dyDescent="0.25">
      <c r="A980" t="s">
        <v>2171</v>
      </c>
      <c r="B980" t="s">
        <v>1275</v>
      </c>
      <c r="C980" t="s">
        <v>1276</v>
      </c>
      <c r="D980" t="s">
        <v>30</v>
      </c>
      <c r="E980" t="s">
        <v>197</v>
      </c>
      <c r="F980">
        <v>4500356734</v>
      </c>
      <c r="H980" t="s">
        <v>12</v>
      </c>
      <c r="I980" t="s">
        <v>1712</v>
      </c>
      <c r="J980" t="s">
        <v>197</v>
      </c>
      <c r="K980">
        <v>4814</v>
      </c>
      <c r="L980" t="s">
        <v>6408</v>
      </c>
      <c r="M980" t="str" cm="1">
        <f t="array" ref="M980">INDEX('Org List'!$A$2:$C$1005,MATCH(Consolidated!I980&amp;Consolidated!J980,'Org List'!$A$2:$A$1005&amp;'Org List'!$B$2:$B$1005,0),3)</f>
        <v>NGOs: National</v>
      </c>
    </row>
    <row r="981" spans="1:13" x14ac:dyDescent="0.25">
      <c r="A981" t="s">
        <v>2171</v>
      </c>
      <c r="B981" t="s">
        <v>1275</v>
      </c>
      <c r="C981" t="s">
        <v>1276</v>
      </c>
      <c r="D981" t="s">
        <v>30</v>
      </c>
      <c r="E981" t="s">
        <v>864</v>
      </c>
      <c r="F981">
        <v>4500352451</v>
      </c>
      <c r="H981" t="s">
        <v>12</v>
      </c>
      <c r="I981" t="s">
        <v>866</v>
      </c>
      <c r="J981" t="s">
        <v>864</v>
      </c>
      <c r="K981">
        <v>24131</v>
      </c>
      <c r="L981" t="s">
        <v>6408</v>
      </c>
      <c r="M981" t="str" cm="1">
        <f t="array" ref="M981">INDEX('Org List'!$A$2:$C$1005,MATCH(Consolidated!I981&amp;Consolidated!J981,'Org List'!$A$2:$A$1005&amp;'Org List'!$B$2:$B$1005,0),3)</f>
        <v>NGOs: Internationally affiliated</v>
      </c>
    </row>
    <row r="982" spans="1:13" x14ac:dyDescent="0.25">
      <c r="A982" t="s">
        <v>2171</v>
      </c>
      <c r="B982" t="s">
        <v>1275</v>
      </c>
      <c r="C982" t="s">
        <v>1276</v>
      </c>
      <c r="D982" t="s">
        <v>30</v>
      </c>
      <c r="E982" t="s">
        <v>831</v>
      </c>
      <c r="F982">
        <v>4500376154</v>
      </c>
      <c r="H982" t="s">
        <v>12</v>
      </c>
      <c r="I982" t="s">
        <v>1715</v>
      </c>
      <c r="J982" t="s">
        <v>831</v>
      </c>
      <c r="K982">
        <v>81473</v>
      </c>
      <c r="L982" t="s">
        <v>6408</v>
      </c>
      <c r="M982" t="str" cm="1">
        <f t="array" ref="M982">INDEX('Org List'!$A$2:$C$1005,MATCH(Consolidated!I982&amp;Consolidated!J982,'Org List'!$A$2:$A$1005&amp;'Org List'!$B$2:$B$1005,0),3)</f>
        <v>Private Organisations: Local/National</v>
      </c>
    </row>
    <row r="983" spans="1:13" x14ac:dyDescent="0.25">
      <c r="A983" t="s">
        <v>2171</v>
      </c>
      <c r="B983" t="s">
        <v>1275</v>
      </c>
      <c r="C983" t="s">
        <v>1276</v>
      </c>
      <c r="D983" t="s">
        <v>30</v>
      </c>
      <c r="E983" t="s">
        <v>205</v>
      </c>
      <c r="F983">
        <v>4500373526</v>
      </c>
      <c r="H983" t="s">
        <v>12</v>
      </c>
      <c r="I983" t="s">
        <v>1986</v>
      </c>
      <c r="J983" t="s">
        <v>205</v>
      </c>
      <c r="K983">
        <v>37372</v>
      </c>
      <c r="L983" t="s">
        <v>6408</v>
      </c>
      <c r="M983" t="str" cm="1">
        <f t="array" ref="M983">INDEX('Org List'!$A$2:$C$1005,MATCH(Consolidated!I983&amp;Consolidated!J983,'Org List'!$A$2:$A$1005&amp;'Org List'!$B$2:$B$1005,0),3)</f>
        <v>NGOs: National</v>
      </c>
    </row>
    <row r="984" spans="1:13" x14ac:dyDescent="0.25">
      <c r="A984" t="s">
        <v>2171</v>
      </c>
      <c r="B984" t="s">
        <v>1275</v>
      </c>
      <c r="C984" t="s">
        <v>1276</v>
      </c>
      <c r="D984" t="s">
        <v>30</v>
      </c>
      <c r="E984" t="s">
        <v>205</v>
      </c>
      <c r="F984">
        <v>4500372405</v>
      </c>
      <c r="H984" t="s">
        <v>12</v>
      </c>
      <c r="I984" t="s">
        <v>872</v>
      </c>
      <c r="J984" t="s">
        <v>205</v>
      </c>
      <c r="K984">
        <v>42044</v>
      </c>
      <c r="L984" t="s">
        <v>6408</v>
      </c>
      <c r="M984" t="str" cm="1">
        <f t="array" ref="M984">INDEX('Org List'!$A$2:$C$1005,MATCH(Consolidated!I984&amp;Consolidated!J984,'Org List'!$A$2:$A$1005&amp;'Org List'!$B$2:$B$1005,0),3)</f>
        <v>NGOs: National</v>
      </c>
    </row>
    <row r="985" spans="1:13" x14ac:dyDescent="0.25">
      <c r="A985" t="s">
        <v>2171</v>
      </c>
      <c r="B985" t="s">
        <v>1275</v>
      </c>
      <c r="C985" t="s">
        <v>1276</v>
      </c>
      <c r="D985" t="s">
        <v>30</v>
      </c>
      <c r="E985" t="s">
        <v>1987</v>
      </c>
      <c r="F985">
        <v>4500365683</v>
      </c>
      <c r="H985" t="s">
        <v>12</v>
      </c>
      <c r="I985" t="s">
        <v>1988</v>
      </c>
      <c r="J985" t="s">
        <v>1987</v>
      </c>
      <c r="K985">
        <v>7170</v>
      </c>
      <c r="L985" t="s">
        <v>6408</v>
      </c>
      <c r="M985" t="str" cm="1">
        <f t="array" ref="M985">INDEX('Org List'!$A$2:$C$1005,MATCH(Consolidated!I985&amp;Consolidated!J985,'Org List'!$A$2:$A$1005&amp;'Org List'!$B$2:$B$1005,0),3)</f>
        <v>NGOs: National</v>
      </c>
    </row>
    <row r="986" spans="1:13" x14ac:dyDescent="0.25">
      <c r="A986" t="s">
        <v>2171</v>
      </c>
      <c r="B986" t="s">
        <v>1275</v>
      </c>
      <c r="C986" t="s">
        <v>1276</v>
      </c>
      <c r="D986" t="s">
        <v>30</v>
      </c>
      <c r="E986" t="s">
        <v>210</v>
      </c>
      <c r="F986">
        <v>4500378267</v>
      </c>
      <c r="H986" t="s">
        <v>12</v>
      </c>
      <c r="I986" t="s">
        <v>1989</v>
      </c>
      <c r="J986" t="s">
        <v>210</v>
      </c>
      <c r="K986">
        <v>45336</v>
      </c>
      <c r="L986" t="s">
        <v>6408</v>
      </c>
      <c r="M986" t="str" cm="1">
        <f t="array" ref="M986">INDEX('Org List'!$A$2:$C$1005,MATCH(Consolidated!I986&amp;Consolidated!J986,'Org List'!$A$2:$A$1005&amp;'Org List'!$B$2:$B$1005,0),3)</f>
        <v>NGOs: International</v>
      </c>
    </row>
    <row r="987" spans="1:13" x14ac:dyDescent="0.25">
      <c r="A987" t="s">
        <v>2171</v>
      </c>
      <c r="B987" t="s">
        <v>1275</v>
      </c>
      <c r="C987" t="s">
        <v>1276</v>
      </c>
      <c r="D987" t="s">
        <v>30</v>
      </c>
      <c r="E987" t="s">
        <v>210</v>
      </c>
      <c r="F987">
        <v>4500380130</v>
      </c>
      <c r="H987" t="s">
        <v>12</v>
      </c>
      <c r="I987" t="s">
        <v>627</v>
      </c>
      <c r="J987" t="s">
        <v>210</v>
      </c>
      <c r="K987">
        <v>38183</v>
      </c>
      <c r="L987" t="s">
        <v>6408</v>
      </c>
      <c r="M987" t="str" cm="1">
        <f t="array" ref="M987">INDEX('Org List'!$A$2:$C$1005,MATCH(Consolidated!I987&amp;Consolidated!J987,'Org List'!$A$2:$A$1005&amp;'Org List'!$B$2:$B$1005,0),3)</f>
        <v>NGOs: National</v>
      </c>
    </row>
    <row r="988" spans="1:13" x14ac:dyDescent="0.25">
      <c r="A988" t="s">
        <v>2171</v>
      </c>
      <c r="B988" t="s">
        <v>1275</v>
      </c>
      <c r="C988" t="s">
        <v>1276</v>
      </c>
      <c r="D988" t="s">
        <v>30</v>
      </c>
      <c r="E988" t="s">
        <v>210</v>
      </c>
      <c r="F988">
        <v>4500380118</v>
      </c>
      <c r="H988" t="s">
        <v>12</v>
      </c>
      <c r="I988" t="s">
        <v>468</v>
      </c>
      <c r="J988" t="s">
        <v>210</v>
      </c>
      <c r="K988">
        <v>91739</v>
      </c>
      <c r="L988" t="s">
        <v>6408</v>
      </c>
      <c r="M988" t="str" cm="1">
        <f t="array" ref="M988">INDEX('Org List'!$A$2:$C$1005,MATCH(Consolidated!I988&amp;Consolidated!J988,'Org List'!$A$2:$A$1005&amp;'Org List'!$B$2:$B$1005,0),3)</f>
        <v>NGOs: National</v>
      </c>
    </row>
    <row r="989" spans="1:13" x14ac:dyDescent="0.25">
      <c r="A989" t="s">
        <v>2171</v>
      </c>
      <c r="B989" t="s">
        <v>121</v>
      </c>
      <c r="C989" t="s">
        <v>122</v>
      </c>
      <c r="D989" t="s">
        <v>30</v>
      </c>
      <c r="E989" t="s">
        <v>123</v>
      </c>
      <c r="F989">
        <v>4500370668</v>
      </c>
      <c r="H989" t="s">
        <v>12</v>
      </c>
      <c r="I989" t="s">
        <v>1977</v>
      </c>
      <c r="J989" t="s">
        <v>123</v>
      </c>
      <c r="K989">
        <v>31126</v>
      </c>
      <c r="L989" t="s">
        <v>6408</v>
      </c>
      <c r="M989" t="str" cm="1">
        <f t="array" ref="M989">INDEX('Org List'!$A$2:$C$1005,MATCH(Consolidated!I989&amp;Consolidated!J989,'Org List'!$A$2:$A$1005&amp;'Org List'!$B$2:$B$1005,0),3)</f>
        <v>NGOs: International</v>
      </c>
    </row>
    <row r="990" spans="1:13" x14ac:dyDescent="0.25">
      <c r="A990" t="s">
        <v>2171</v>
      </c>
      <c r="B990" t="s">
        <v>121</v>
      </c>
      <c r="C990" t="s">
        <v>122</v>
      </c>
      <c r="D990" t="s">
        <v>30</v>
      </c>
      <c r="E990" t="s">
        <v>123</v>
      </c>
      <c r="F990">
        <v>4500355434</v>
      </c>
      <c r="H990" t="s">
        <v>12</v>
      </c>
      <c r="I990" t="s">
        <v>124</v>
      </c>
      <c r="J990" t="s">
        <v>123</v>
      </c>
      <c r="K990">
        <v>69153</v>
      </c>
      <c r="L990" t="s">
        <v>6408</v>
      </c>
      <c r="M990" t="str" cm="1">
        <f t="array" ref="M990">INDEX('Org List'!$A$2:$C$1005,MATCH(Consolidated!I990&amp;Consolidated!J990,'Org List'!$A$2:$A$1005&amp;'Org List'!$B$2:$B$1005,0),3)</f>
        <v>NGOs: National</v>
      </c>
    </row>
    <row r="991" spans="1:13" x14ac:dyDescent="0.25">
      <c r="A991" t="s">
        <v>2171</v>
      </c>
      <c r="B991" t="s">
        <v>1990</v>
      </c>
      <c r="C991" t="s">
        <v>1991</v>
      </c>
      <c r="D991" t="s">
        <v>30</v>
      </c>
      <c r="E991" t="s">
        <v>545</v>
      </c>
      <c r="F991">
        <v>4500358195</v>
      </c>
      <c r="H991" t="s">
        <v>12</v>
      </c>
      <c r="I991" t="s">
        <v>1983</v>
      </c>
      <c r="J991" t="s">
        <v>545</v>
      </c>
      <c r="K991">
        <v>56058</v>
      </c>
      <c r="L991" t="s">
        <v>6408</v>
      </c>
      <c r="M991" t="str" cm="1">
        <f t="array" ref="M991">INDEX('Org List'!$A$2:$C$1005,MATCH(Consolidated!I991&amp;Consolidated!J991,'Org List'!$A$2:$A$1005&amp;'Org List'!$B$2:$B$1005,0),3)</f>
        <v>NGOs: International</v>
      </c>
    </row>
    <row r="992" spans="1:13" x14ac:dyDescent="0.25">
      <c r="A992" t="s">
        <v>2171</v>
      </c>
      <c r="B992" t="s">
        <v>1724</v>
      </c>
      <c r="C992" t="s">
        <v>1725</v>
      </c>
      <c r="D992" t="s">
        <v>30</v>
      </c>
      <c r="E992" t="s">
        <v>175</v>
      </c>
      <c r="F992">
        <v>4500364491</v>
      </c>
      <c r="H992" t="s">
        <v>12</v>
      </c>
      <c r="I992" t="s">
        <v>232</v>
      </c>
      <c r="J992" t="s">
        <v>175</v>
      </c>
      <c r="K992">
        <v>98644</v>
      </c>
      <c r="L992" t="s">
        <v>6408</v>
      </c>
      <c r="M992" t="str" cm="1">
        <f t="array" ref="M992">INDEX('Org List'!$A$2:$C$1005,MATCH(Consolidated!I992&amp;Consolidated!J992,'Org List'!$A$2:$A$1005&amp;'Org List'!$B$2:$B$1005,0),3)</f>
        <v>NGOs: International</v>
      </c>
    </row>
    <row r="993" spans="1:13" x14ac:dyDescent="0.25">
      <c r="A993" t="s">
        <v>2171</v>
      </c>
      <c r="B993" t="s">
        <v>1724</v>
      </c>
      <c r="C993" t="s">
        <v>1725</v>
      </c>
      <c r="D993" t="s">
        <v>30</v>
      </c>
      <c r="E993" t="s">
        <v>175</v>
      </c>
      <c r="F993">
        <v>4500365165</v>
      </c>
      <c r="H993" t="s">
        <v>12</v>
      </c>
      <c r="I993" t="s">
        <v>685</v>
      </c>
      <c r="J993" t="s">
        <v>175</v>
      </c>
      <c r="K993">
        <v>67209</v>
      </c>
      <c r="L993" t="s">
        <v>6408</v>
      </c>
      <c r="M993" t="str" cm="1">
        <f t="array" ref="M993">INDEX('Org List'!$A$2:$C$1005,MATCH(Consolidated!I993&amp;Consolidated!J993,'Org List'!$A$2:$A$1005&amp;'Org List'!$B$2:$B$1005,0),3)</f>
        <v>NGOs: National</v>
      </c>
    </row>
    <row r="994" spans="1:13" x14ac:dyDescent="0.25">
      <c r="A994" t="s">
        <v>2171</v>
      </c>
      <c r="B994" t="s">
        <v>1724</v>
      </c>
      <c r="C994" t="s">
        <v>1725</v>
      </c>
      <c r="D994" t="s">
        <v>30</v>
      </c>
      <c r="E994" t="s">
        <v>175</v>
      </c>
      <c r="F994">
        <v>4500366005</v>
      </c>
      <c r="H994" t="s">
        <v>12</v>
      </c>
      <c r="I994" t="s">
        <v>183</v>
      </c>
      <c r="J994" t="s">
        <v>184</v>
      </c>
      <c r="K994">
        <v>262701</v>
      </c>
      <c r="L994" t="s">
        <v>6408</v>
      </c>
      <c r="M994" t="str" cm="1">
        <f t="array" ref="M994">INDEX('Org List'!$A$2:$C$1005,MATCH(Consolidated!I994&amp;Consolidated!J994,'Org List'!$A$2:$A$1005&amp;'Org List'!$B$2:$B$1005,0),3)</f>
        <v>NGOs: International</v>
      </c>
    </row>
    <row r="995" spans="1:13" x14ac:dyDescent="0.25">
      <c r="A995" t="s">
        <v>2171</v>
      </c>
      <c r="B995" t="s">
        <v>1724</v>
      </c>
      <c r="C995" t="s">
        <v>1725</v>
      </c>
      <c r="D995" t="s">
        <v>30</v>
      </c>
      <c r="E995" t="s">
        <v>175</v>
      </c>
      <c r="F995">
        <v>4500364502</v>
      </c>
      <c r="H995" t="s">
        <v>12</v>
      </c>
      <c r="I995" t="s">
        <v>187</v>
      </c>
      <c r="J995" t="s">
        <v>175</v>
      </c>
      <c r="K995">
        <v>52120</v>
      </c>
      <c r="L995" t="s">
        <v>6408</v>
      </c>
      <c r="M995" t="str" cm="1">
        <f t="array" ref="M995">INDEX('Org List'!$A$2:$C$1005,MATCH(Consolidated!I995&amp;Consolidated!J995,'Org List'!$A$2:$A$1005&amp;'Org List'!$B$2:$B$1005,0),3)</f>
        <v>NGOs: National</v>
      </c>
    </row>
    <row r="996" spans="1:13" x14ac:dyDescent="0.25">
      <c r="A996" t="s">
        <v>2171</v>
      </c>
      <c r="B996" t="s">
        <v>1724</v>
      </c>
      <c r="C996" t="s">
        <v>1725</v>
      </c>
      <c r="D996" t="s">
        <v>30</v>
      </c>
      <c r="E996" t="s">
        <v>175</v>
      </c>
      <c r="F996">
        <v>4500364497</v>
      </c>
      <c r="H996" t="s">
        <v>12</v>
      </c>
      <c r="I996" t="s">
        <v>176</v>
      </c>
      <c r="J996" t="s">
        <v>175</v>
      </c>
      <c r="K996">
        <v>101155</v>
      </c>
      <c r="L996" t="s">
        <v>6408</v>
      </c>
      <c r="M996" t="str" cm="1">
        <f t="array" ref="M996">INDEX('Org List'!$A$2:$C$1005,MATCH(Consolidated!I996&amp;Consolidated!J996,'Org List'!$A$2:$A$1005&amp;'Org List'!$B$2:$B$1005,0),3)</f>
        <v>NGOs: National</v>
      </c>
    </row>
    <row r="997" spans="1:13" x14ac:dyDescent="0.25">
      <c r="A997" t="s">
        <v>2171</v>
      </c>
      <c r="B997" t="s">
        <v>1724</v>
      </c>
      <c r="C997" t="s">
        <v>1725</v>
      </c>
      <c r="D997" t="s">
        <v>30</v>
      </c>
      <c r="E997" t="s">
        <v>175</v>
      </c>
      <c r="F997">
        <v>4500372066</v>
      </c>
      <c r="H997" t="s">
        <v>12</v>
      </c>
      <c r="I997" t="s">
        <v>182</v>
      </c>
      <c r="J997" t="s">
        <v>175</v>
      </c>
      <c r="K997">
        <v>93763</v>
      </c>
      <c r="L997" t="s">
        <v>6408</v>
      </c>
      <c r="M997" t="str" cm="1">
        <f t="array" ref="M997">INDEX('Org List'!$A$2:$C$1005,MATCH(Consolidated!I997&amp;Consolidated!J997,'Org List'!$A$2:$A$1005&amp;'Org List'!$B$2:$B$1005,0),3)</f>
        <v>NGOs: Local</v>
      </c>
    </row>
    <row r="998" spans="1:13" x14ac:dyDescent="0.25">
      <c r="A998" t="s">
        <v>2171</v>
      </c>
      <c r="B998" t="s">
        <v>1724</v>
      </c>
      <c r="C998" t="s">
        <v>1725</v>
      </c>
      <c r="D998" t="s">
        <v>30</v>
      </c>
      <c r="E998" t="s">
        <v>175</v>
      </c>
      <c r="F998">
        <v>4500365083</v>
      </c>
      <c r="H998" t="s">
        <v>12</v>
      </c>
      <c r="I998" t="s">
        <v>1992</v>
      </c>
      <c r="J998" t="s">
        <v>175</v>
      </c>
      <c r="K998">
        <v>59024</v>
      </c>
      <c r="L998" t="s">
        <v>6408</v>
      </c>
      <c r="M998" t="str" cm="1">
        <f t="array" ref="M998">INDEX('Org List'!$A$2:$C$1005,MATCH(Consolidated!I998&amp;Consolidated!J998,'Org List'!$A$2:$A$1005&amp;'Org List'!$B$2:$B$1005,0),3)</f>
        <v>NGOs: National</v>
      </c>
    </row>
    <row r="999" spans="1:13" x14ac:dyDescent="0.25">
      <c r="A999" t="s">
        <v>2171</v>
      </c>
      <c r="B999" t="s">
        <v>1724</v>
      </c>
      <c r="C999" t="s">
        <v>1725</v>
      </c>
      <c r="D999" t="s">
        <v>30</v>
      </c>
      <c r="E999" t="s">
        <v>175</v>
      </c>
      <c r="F999">
        <v>4500365133</v>
      </c>
      <c r="H999" t="s">
        <v>12</v>
      </c>
      <c r="I999" t="s">
        <v>1992</v>
      </c>
      <c r="J999" t="s">
        <v>175</v>
      </c>
      <c r="K999">
        <v>115773</v>
      </c>
      <c r="L999" t="s">
        <v>6408</v>
      </c>
      <c r="M999" t="str" cm="1">
        <f t="array" ref="M999">INDEX('Org List'!$A$2:$C$1005,MATCH(Consolidated!I999&amp;Consolidated!J999,'Org List'!$A$2:$A$1005&amp;'Org List'!$B$2:$B$1005,0),3)</f>
        <v>NGOs: National</v>
      </c>
    </row>
    <row r="1000" spans="1:13" x14ac:dyDescent="0.25">
      <c r="A1000" t="s">
        <v>2171</v>
      </c>
      <c r="B1000" t="s">
        <v>1724</v>
      </c>
      <c r="C1000" t="s">
        <v>1725</v>
      </c>
      <c r="D1000" t="s">
        <v>30</v>
      </c>
      <c r="E1000" t="s">
        <v>175</v>
      </c>
      <c r="F1000">
        <v>4500378087</v>
      </c>
      <c r="H1000" t="s">
        <v>12</v>
      </c>
      <c r="I1000" t="s">
        <v>1993</v>
      </c>
      <c r="J1000" t="s">
        <v>175</v>
      </c>
      <c r="K1000">
        <v>75089</v>
      </c>
      <c r="L1000" t="s">
        <v>6408</v>
      </c>
      <c r="M1000" t="str" cm="1">
        <f t="array" ref="M1000">INDEX('Org List'!$A$2:$C$1005,MATCH(Consolidated!I1000&amp;Consolidated!J1000,'Org List'!$A$2:$A$1005&amp;'Org List'!$B$2:$B$1005,0),3)</f>
        <v>Multilateral: UN</v>
      </c>
    </row>
    <row r="1001" spans="1:13" x14ac:dyDescent="0.25">
      <c r="A1001" t="s">
        <v>2171</v>
      </c>
      <c r="B1001" t="s">
        <v>1994</v>
      </c>
      <c r="C1001" t="s">
        <v>1995</v>
      </c>
      <c r="D1001" t="s">
        <v>30</v>
      </c>
      <c r="E1001" t="s">
        <v>175</v>
      </c>
      <c r="F1001">
        <v>4500362555</v>
      </c>
      <c r="H1001" t="s">
        <v>12</v>
      </c>
      <c r="I1001" t="s">
        <v>1996</v>
      </c>
      <c r="J1001" t="s">
        <v>175</v>
      </c>
      <c r="K1001">
        <v>17858</v>
      </c>
      <c r="L1001" t="s">
        <v>6408</v>
      </c>
      <c r="M1001" t="str" cm="1">
        <f t="array" ref="M1001">INDEX('Org List'!$A$2:$C$1005,MATCH(Consolidated!I1001&amp;Consolidated!J1001,'Org List'!$A$2:$A$1005&amp;'Org List'!$B$2:$B$1005,0),3)</f>
        <v>Private Organisations: Local/National</v>
      </c>
    </row>
    <row r="1002" spans="1:13" x14ac:dyDescent="0.25">
      <c r="A1002" t="s">
        <v>2171</v>
      </c>
      <c r="B1002" t="s">
        <v>1997</v>
      </c>
      <c r="C1002" t="s">
        <v>1998</v>
      </c>
      <c r="D1002" t="s">
        <v>30</v>
      </c>
      <c r="E1002" t="s">
        <v>940</v>
      </c>
      <c r="F1002">
        <v>4500355258</v>
      </c>
      <c r="H1002" t="s">
        <v>12</v>
      </c>
      <c r="I1002" t="s">
        <v>1999</v>
      </c>
      <c r="J1002" t="s">
        <v>940</v>
      </c>
      <c r="K1002">
        <v>98102</v>
      </c>
      <c r="L1002" t="s">
        <v>6408</v>
      </c>
      <c r="M1002" t="str" cm="1">
        <f t="array" ref="M1002">INDEX('Org List'!$A$2:$C$1005,MATCH(Consolidated!I1002&amp;Consolidated!J1002,'Org List'!$A$2:$A$1005&amp;'Org List'!$B$2:$B$1005,0),3)</f>
        <v>NGOs: National</v>
      </c>
    </row>
    <row r="1003" spans="1:13" x14ac:dyDescent="0.25">
      <c r="A1003" t="s">
        <v>2171</v>
      </c>
      <c r="B1003" t="s">
        <v>1997</v>
      </c>
      <c r="C1003" t="s">
        <v>1998</v>
      </c>
      <c r="D1003" t="s">
        <v>30</v>
      </c>
      <c r="E1003" t="s">
        <v>940</v>
      </c>
      <c r="F1003">
        <v>4500354721</v>
      </c>
      <c r="H1003" t="s">
        <v>12</v>
      </c>
      <c r="I1003" t="s">
        <v>1259</v>
      </c>
      <c r="J1003" t="s">
        <v>940</v>
      </c>
      <c r="K1003">
        <v>278403</v>
      </c>
      <c r="L1003" t="s">
        <v>6408</v>
      </c>
      <c r="M1003" t="str" cm="1">
        <f t="array" ref="M1003">INDEX('Org List'!$A$2:$C$1005,MATCH(Consolidated!I1003&amp;Consolidated!J1003,'Org List'!$A$2:$A$1005&amp;'Org List'!$B$2:$B$1005,0),3)</f>
        <v>NGOs: National</v>
      </c>
    </row>
    <row r="1004" spans="1:13" x14ac:dyDescent="0.25">
      <c r="A1004" t="s">
        <v>2171</v>
      </c>
      <c r="B1004" t="s">
        <v>126</v>
      </c>
      <c r="C1004" t="s">
        <v>127</v>
      </c>
      <c r="D1004" t="s">
        <v>30</v>
      </c>
      <c r="E1004" t="s">
        <v>128</v>
      </c>
      <c r="F1004">
        <v>4500364985</v>
      </c>
      <c r="H1004" t="s">
        <v>12</v>
      </c>
      <c r="I1004" t="s">
        <v>2000</v>
      </c>
      <c r="J1004" t="s">
        <v>128</v>
      </c>
      <c r="K1004">
        <v>46715</v>
      </c>
      <c r="L1004" t="s">
        <v>6408</v>
      </c>
      <c r="M1004" t="str" cm="1">
        <f t="array" ref="M1004">INDEX('Org List'!$A$2:$C$1005,MATCH(Consolidated!I1004&amp;Consolidated!J1004,'Org List'!$A$2:$A$1005&amp;'Org List'!$B$2:$B$1005,0),3)</f>
        <v>NGOs: National</v>
      </c>
    </row>
    <row r="1005" spans="1:13" x14ac:dyDescent="0.25">
      <c r="A1005" t="s">
        <v>2171</v>
      </c>
      <c r="B1005" t="s">
        <v>722</v>
      </c>
      <c r="C1005" t="s">
        <v>723</v>
      </c>
      <c r="D1005" t="s">
        <v>30</v>
      </c>
      <c r="E1005" t="s">
        <v>717</v>
      </c>
      <c r="F1005">
        <v>4500354562</v>
      </c>
      <c r="H1005" t="s">
        <v>12</v>
      </c>
      <c r="I1005" t="s">
        <v>727</v>
      </c>
      <c r="J1005" t="s">
        <v>717</v>
      </c>
      <c r="K1005">
        <v>111671</v>
      </c>
      <c r="L1005" t="s">
        <v>6408</v>
      </c>
      <c r="M1005" t="str" cm="1">
        <f t="array" ref="M1005">INDEX('Org List'!$A$2:$C$1005,MATCH(Consolidated!I1005&amp;Consolidated!J1005,'Org List'!$A$2:$A$1005&amp;'Org List'!$B$2:$B$1005,0),3)</f>
        <v>NGOs: International</v>
      </c>
    </row>
    <row r="1006" spans="1:13" x14ac:dyDescent="0.25">
      <c r="A1006" t="s">
        <v>2171</v>
      </c>
      <c r="B1006" t="s">
        <v>1284</v>
      </c>
      <c r="C1006" t="s">
        <v>1285</v>
      </c>
      <c r="D1006" t="s">
        <v>30</v>
      </c>
      <c r="E1006" t="s">
        <v>132</v>
      </c>
      <c r="F1006">
        <v>4500372868</v>
      </c>
      <c r="H1006" t="s">
        <v>12</v>
      </c>
      <c r="I1006" t="s">
        <v>1301</v>
      </c>
      <c r="J1006" t="s">
        <v>132</v>
      </c>
      <c r="K1006">
        <v>12071</v>
      </c>
      <c r="L1006" t="s">
        <v>6408</v>
      </c>
      <c r="M1006" t="str" cm="1">
        <f t="array" ref="M1006">INDEX('Org List'!$A$2:$C$1005,MATCH(Consolidated!I1006&amp;Consolidated!J1006,'Org List'!$A$2:$A$1005&amp;'Org List'!$B$2:$B$1005,0),3)</f>
        <v>NGOs: National</v>
      </c>
    </row>
    <row r="1007" spans="1:13" x14ac:dyDescent="0.25">
      <c r="A1007" t="s">
        <v>2171</v>
      </c>
      <c r="B1007" t="s">
        <v>1284</v>
      </c>
      <c r="C1007" t="s">
        <v>1285</v>
      </c>
      <c r="D1007" t="s">
        <v>30</v>
      </c>
      <c r="E1007" t="s">
        <v>132</v>
      </c>
      <c r="F1007">
        <v>4500370162</v>
      </c>
      <c r="H1007" t="s">
        <v>12</v>
      </c>
      <c r="I1007" t="s">
        <v>134</v>
      </c>
      <c r="J1007" t="s">
        <v>132</v>
      </c>
      <c r="K1007">
        <v>12415</v>
      </c>
      <c r="L1007" t="s">
        <v>6408</v>
      </c>
      <c r="M1007" t="str" cm="1">
        <f t="array" ref="M1007">INDEX('Org List'!$A$2:$C$1005,MATCH(Consolidated!I1007&amp;Consolidated!J1007,'Org List'!$A$2:$A$1005&amp;'Org List'!$B$2:$B$1005,0),3)</f>
        <v>NGOs: Local</v>
      </c>
    </row>
    <row r="1008" spans="1:13" x14ac:dyDescent="0.25">
      <c r="A1008" t="s">
        <v>2171</v>
      </c>
      <c r="B1008" t="s">
        <v>1286</v>
      </c>
      <c r="C1008" t="s">
        <v>1287</v>
      </c>
      <c r="D1008" t="s">
        <v>30</v>
      </c>
      <c r="E1008" t="s">
        <v>205</v>
      </c>
      <c r="F1008">
        <v>4500357485</v>
      </c>
      <c r="H1008" t="s">
        <v>12</v>
      </c>
      <c r="I1008" t="s">
        <v>2001</v>
      </c>
      <c r="J1008" t="s">
        <v>1354</v>
      </c>
      <c r="K1008">
        <v>280881</v>
      </c>
      <c r="L1008" t="s">
        <v>6408</v>
      </c>
      <c r="M1008" t="str" cm="1">
        <f t="array" ref="M1008">INDEX('Org List'!$A$2:$C$1005,MATCH(Consolidated!I1008&amp;Consolidated!J1008,'Org List'!$A$2:$A$1005&amp;'Org List'!$B$2:$B$1005,0),3)</f>
        <v>NGOs: International</v>
      </c>
    </row>
    <row r="1009" spans="1:13" x14ac:dyDescent="0.25">
      <c r="A1009" t="s">
        <v>2171</v>
      </c>
      <c r="B1009" t="s">
        <v>1286</v>
      </c>
      <c r="C1009" t="s">
        <v>1287</v>
      </c>
      <c r="D1009" t="s">
        <v>30</v>
      </c>
      <c r="E1009" t="s">
        <v>676</v>
      </c>
      <c r="F1009">
        <v>4500372349</v>
      </c>
      <c r="H1009" t="s">
        <v>12</v>
      </c>
      <c r="I1009" t="s">
        <v>2002</v>
      </c>
      <c r="J1009" t="s">
        <v>616</v>
      </c>
      <c r="K1009">
        <v>76834</v>
      </c>
      <c r="L1009" t="s">
        <v>6408</v>
      </c>
      <c r="M1009" t="str" cm="1">
        <f t="array" ref="M1009">INDEX('Org List'!$A$2:$C$1005,MATCH(Consolidated!I1009&amp;Consolidated!J1009,'Org List'!$A$2:$A$1005&amp;'Org List'!$B$2:$B$1005,0),3)</f>
        <v>Multilateral: UN</v>
      </c>
    </row>
    <row r="1010" spans="1:13" x14ac:dyDescent="0.25">
      <c r="A1010" t="s">
        <v>2171</v>
      </c>
      <c r="B1010" t="s">
        <v>1288</v>
      </c>
      <c r="C1010" t="s">
        <v>1289</v>
      </c>
      <c r="D1010" t="s">
        <v>30</v>
      </c>
      <c r="E1010" t="s">
        <v>54</v>
      </c>
      <c r="F1010">
        <v>4500356884</v>
      </c>
      <c r="H1010" t="s">
        <v>12</v>
      </c>
      <c r="I1010" t="s">
        <v>1248</v>
      </c>
      <c r="J1010" t="s">
        <v>54</v>
      </c>
      <c r="K1010">
        <v>337242</v>
      </c>
      <c r="L1010" t="s">
        <v>6408</v>
      </c>
      <c r="M1010" t="str" cm="1">
        <f t="array" ref="M1010">INDEX('Org List'!$A$2:$C$1005,MATCH(Consolidated!I1010&amp;Consolidated!J1010,'Org List'!$A$2:$A$1005&amp;'Org List'!$B$2:$B$1005,0),3)</f>
        <v>NGOs: National</v>
      </c>
    </row>
    <row r="1011" spans="1:13" x14ac:dyDescent="0.25">
      <c r="A1011" t="s">
        <v>2171</v>
      </c>
      <c r="B1011" t="s">
        <v>1288</v>
      </c>
      <c r="C1011" t="s">
        <v>1289</v>
      </c>
      <c r="D1011" t="s">
        <v>30</v>
      </c>
      <c r="E1011" t="s">
        <v>54</v>
      </c>
      <c r="F1011">
        <v>4500371643</v>
      </c>
      <c r="H1011" t="s">
        <v>12</v>
      </c>
      <c r="I1011" t="s">
        <v>2003</v>
      </c>
      <c r="J1011" t="s">
        <v>54</v>
      </c>
      <c r="K1011">
        <v>82802</v>
      </c>
      <c r="L1011" t="s">
        <v>6408</v>
      </c>
      <c r="M1011" t="str" cm="1">
        <f t="array" ref="M1011">INDEX('Org List'!$A$2:$C$1005,MATCH(Consolidated!I1011&amp;Consolidated!J1011,'Org List'!$A$2:$A$1005&amp;'Org List'!$B$2:$B$1005,0),3)</f>
        <v>NGOs: National</v>
      </c>
    </row>
    <row r="1012" spans="1:13" x14ac:dyDescent="0.25">
      <c r="A1012" t="s">
        <v>2171</v>
      </c>
      <c r="B1012" t="s">
        <v>1288</v>
      </c>
      <c r="C1012" t="s">
        <v>1289</v>
      </c>
      <c r="D1012" t="s">
        <v>30</v>
      </c>
      <c r="E1012" t="s">
        <v>54</v>
      </c>
      <c r="F1012">
        <v>4500377090</v>
      </c>
      <c r="H1012" t="s">
        <v>12</v>
      </c>
      <c r="I1012" t="s">
        <v>2004</v>
      </c>
      <c r="J1012" t="s">
        <v>54</v>
      </c>
      <c r="K1012">
        <v>468798</v>
      </c>
      <c r="L1012" t="s">
        <v>6408</v>
      </c>
      <c r="M1012" t="str" cm="1">
        <f t="array" ref="M1012">INDEX('Org List'!$A$2:$C$1005,MATCH(Consolidated!I1012&amp;Consolidated!J1012,'Org List'!$A$2:$A$1005&amp;'Org List'!$B$2:$B$1005,0),3)</f>
        <v>NGOs: National</v>
      </c>
    </row>
    <row r="1013" spans="1:13" x14ac:dyDescent="0.25">
      <c r="A1013" t="s">
        <v>2171</v>
      </c>
      <c r="B1013" t="s">
        <v>1288</v>
      </c>
      <c r="C1013" t="s">
        <v>1289</v>
      </c>
      <c r="D1013" t="s">
        <v>30</v>
      </c>
      <c r="E1013" t="s">
        <v>54</v>
      </c>
      <c r="F1013">
        <v>4500375960</v>
      </c>
      <c r="H1013" t="s">
        <v>12</v>
      </c>
      <c r="I1013" t="s">
        <v>1291</v>
      </c>
      <c r="J1013" t="s">
        <v>54</v>
      </c>
      <c r="K1013">
        <v>157399</v>
      </c>
      <c r="L1013" t="s">
        <v>6408</v>
      </c>
      <c r="M1013" t="str" cm="1">
        <f t="array" ref="M1013">INDEX('Org List'!$A$2:$C$1005,MATCH(Consolidated!I1013&amp;Consolidated!J1013,'Org List'!$A$2:$A$1005&amp;'Org List'!$B$2:$B$1005,0),3)</f>
        <v>NGOs: National</v>
      </c>
    </row>
    <row r="1014" spans="1:13" x14ac:dyDescent="0.25">
      <c r="A1014" t="s">
        <v>2171</v>
      </c>
      <c r="B1014" t="s">
        <v>1288</v>
      </c>
      <c r="C1014" t="s">
        <v>1289</v>
      </c>
      <c r="D1014" t="s">
        <v>30</v>
      </c>
      <c r="E1014" t="s">
        <v>54</v>
      </c>
      <c r="F1014">
        <v>4500376011</v>
      </c>
      <c r="H1014" t="s">
        <v>12</v>
      </c>
      <c r="I1014" t="s">
        <v>1291</v>
      </c>
      <c r="J1014" t="s">
        <v>54</v>
      </c>
      <c r="K1014">
        <v>115033</v>
      </c>
      <c r="L1014" t="s">
        <v>6408</v>
      </c>
      <c r="M1014" t="str" cm="1">
        <f t="array" ref="M1014">INDEX('Org List'!$A$2:$C$1005,MATCH(Consolidated!I1014&amp;Consolidated!J1014,'Org List'!$A$2:$A$1005&amp;'Org List'!$B$2:$B$1005,0),3)</f>
        <v>NGOs: National</v>
      </c>
    </row>
    <row r="1015" spans="1:13" x14ac:dyDescent="0.25">
      <c r="A1015" t="s">
        <v>2171</v>
      </c>
      <c r="B1015" t="s">
        <v>1288</v>
      </c>
      <c r="C1015" t="s">
        <v>1289</v>
      </c>
      <c r="D1015" t="s">
        <v>30</v>
      </c>
      <c r="E1015" t="s">
        <v>54</v>
      </c>
      <c r="F1015">
        <v>4500366411</v>
      </c>
      <c r="H1015" t="s">
        <v>12</v>
      </c>
      <c r="I1015" t="s">
        <v>1292</v>
      </c>
      <c r="J1015" t="s">
        <v>54</v>
      </c>
      <c r="K1015">
        <v>82973</v>
      </c>
      <c r="L1015" t="s">
        <v>6408</v>
      </c>
      <c r="M1015" t="str" cm="1">
        <f t="array" ref="M1015">INDEX('Org List'!$A$2:$C$1005,MATCH(Consolidated!I1015&amp;Consolidated!J1015,'Org List'!$A$2:$A$1005&amp;'Org List'!$B$2:$B$1005,0),3)</f>
        <v>NGOs: National</v>
      </c>
    </row>
    <row r="1016" spans="1:13" x14ac:dyDescent="0.25">
      <c r="A1016" t="s">
        <v>2171</v>
      </c>
      <c r="B1016" t="s">
        <v>1293</v>
      </c>
      <c r="C1016" t="s">
        <v>1294</v>
      </c>
      <c r="D1016" t="s">
        <v>30</v>
      </c>
      <c r="E1016" t="s">
        <v>123</v>
      </c>
      <c r="F1016">
        <v>4500363111</v>
      </c>
      <c r="H1016" t="s">
        <v>12</v>
      </c>
      <c r="I1016" t="s">
        <v>1295</v>
      </c>
      <c r="J1016" t="s">
        <v>123</v>
      </c>
      <c r="K1016">
        <v>218127</v>
      </c>
      <c r="L1016" t="s">
        <v>6408</v>
      </c>
      <c r="M1016" t="str" cm="1">
        <f t="array" ref="M1016">INDEX('Org List'!$A$2:$C$1005,MATCH(Consolidated!I1016&amp;Consolidated!J1016,'Org List'!$A$2:$A$1005&amp;'Org List'!$B$2:$B$1005,0),3)</f>
        <v>NGOs: National</v>
      </c>
    </row>
    <row r="1017" spans="1:13" x14ac:dyDescent="0.25">
      <c r="A1017" t="s">
        <v>2171</v>
      </c>
      <c r="B1017" t="s">
        <v>1297</v>
      </c>
      <c r="C1017" t="s">
        <v>1298</v>
      </c>
      <c r="D1017" t="s">
        <v>30</v>
      </c>
      <c r="E1017" t="s">
        <v>239</v>
      </c>
      <c r="F1017">
        <v>4500371221</v>
      </c>
      <c r="H1017" t="s">
        <v>12</v>
      </c>
      <c r="I1017" t="s">
        <v>2005</v>
      </c>
      <c r="J1017" t="s">
        <v>239</v>
      </c>
      <c r="K1017">
        <v>308210</v>
      </c>
      <c r="L1017" t="s">
        <v>6408</v>
      </c>
      <c r="M1017" t="str" cm="1">
        <f t="array" ref="M1017">INDEX('Org List'!$A$2:$C$1005,MATCH(Consolidated!I1017&amp;Consolidated!J1017,'Org List'!$A$2:$A$1005&amp;'Org List'!$B$2:$B$1005,0),3)</f>
        <v>Red Cross: National</v>
      </c>
    </row>
    <row r="1018" spans="1:13" x14ac:dyDescent="0.25">
      <c r="A1018" t="s">
        <v>2171</v>
      </c>
      <c r="B1018" t="s">
        <v>1297</v>
      </c>
      <c r="C1018" t="s">
        <v>1298</v>
      </c>
      <c r="D1018" t="s">
        <v>30</v>
      </c>
      <c r="E1018" t="s">
        <v>239</v>
      </c>
      <c r="F1018">
        <v>4500369344</v>
      </c>
      <c r="H1018" t="s">
        <v>12</v>
      </c>
      <c r="I1018" t="s">
        <v>888</v>
      </c>
      <c r="J1018" t="s">
        <v>239</v>
      </c>
      <c r="K1018">
        <v>251819</v>
      </c>
      <c r="L1018" t="s">
        <v>6408</v>
      </c>
      <c r="M1018" t="str" cm="1">
        <f t="array" ref="M1018">INDEX('Org List'!$A$2:$C$1005,MATCH(Consolidated!I1018&amp;Consolidated!J1018,'Org List'!$A$2:$A$1005&amp;'Org List'!$B$2:$B$1005,0),3)</f>
        <v>NGOs: National</v>
      </c>
    </row>
    <row r="1019" spans="1:13" x14ac:dyDescent="0.25">
      <c r="A1019" t="s">
        <v>2171</v>
      </c>
      <c r="B1019" t="s">
        <v>130</v>
      </c>
      <c r="C1019" t="s">
        <v>131</v>
      </c>
      <c r="D1019" t="s">
        <v>30</v>
      </c>
      <c r="E1019" t="s">
        <v>132</v>
      </c>
      <c r="F1019">
        <v>4500378808</v>
      </c>
      <c r="H1019" t="s">
        <v>12</v>
      </c>
      <c r="I1019" t="s">
        <v>2006</v>
      </c>
      <c r="J1019" t="s">
        <v>132</v>
      </c>
      <c r="K1019">
        <v>109168</v>
      </c>
      <c r="L1019" t="s">
        <v>6408</v>
      </c>
      <c r="M1019" t="str" cm="1">
        <f t="array" ref="M1019">INDEX('Org List'!$A$2:$C$1005,MATCH(Consolidated!I1019&amp;Consolidated!J1019,'Org List'!$A$2:$A$1005&amp;'Org List'!$B$2:$B$1005,0),3)</f>
        <v>NGOs: National</v>
      </c>
    </row>
    <row r="1020" spans="1:13" x14ac:dyDescent="0.25">
      <c r="A1020" t="s">
        <v>2171</v>
      </c>
      <c r="B1020" t="s">
        <v>130</v>
      </c>
      <c r="C1020" t="s">
        <v>131</v>
      </c>
      <c r="D1020" t="s">
        <v>30</v>
      </c>
      <c r="E1020" t="s">
        <v>132</v>
      </c>
      <c r="F1020">
        <v>4500378442</v>
      </c>
      <c r="H1020" t="s">
        <v>12</v>
      </c>
      <c r="I1020" t="s">
        <v>2007</v>
      </c>
      <c r="J1020" t="s">
        <v>132</v>
      </c>
      <c r="K1020">
        <v>97381</v>
      </c>
      <c r="L1020" t="s">
        <v>6408</v>
      </c>
      <c r="M1020" t="str" cm="1">
        <f t="array" ref="M1020">INDEX('Org List'!$A$2:$C$1005,MATCH(Consolidated!I1020&amp;Consolidated!J1020,'Org List'!$A$2:$A$1005&amp;'Org List'!$B$2:$B$1005,0),3)</f>
        <v>NGOs: National</v>
      </c>
    </row>
    <row r="1021" spans="1:13" x14ac:dyDescent="0.25">
      <c r="A1021" t="s">
        <v>2171</v>
      </c>
      <c r="B1021" t="s">
        <v>130</v>
      </c>
      <c r="C1021" t="s">
        <v>131</v>
      </c>
      <c r="D1021" t="s">
        <v>30</v>
      </c>
      <c r="E1021" t="s">
        <v>132</v>
      </c>
      <c r="F1021">
        <v>4500374817</v>
      </c>
      <c r="H1021" t="s">
        <v>12</v>
      </c>
      <c r="I1021" t="s">
        <v>2008</v>
      </c>
      <c r="J1021" t="s">
        <v>132</v>
      </c>
      <c r="K1021">
        <v>99908</v>
      </c>
      <c r="L1021" t="s">
        <v>6408</v>
      </c>
      <c r="M1021" t="str" cm="1">
        <f t="array" ref="M1021">INDEX('Org List'!$A$2:$C$1005,MATCH(Consolidated!I1021&amp;Consolidated!J1021,'Org List'!$A$2:$A$1005&amp;'Org List'!$B$2:$B$1005,0),3)</f>
        <v>NGOs: International</v>
      </c>
    </row>
    <row r="1022" spans="1:13" x14ac:dyDescent="0.25">
      <c r="A1022" t="s">
        <v>2171</v>
      </c>
      <c r="B1022" t="s">
        <v>130</v>
      </c>
      <c r="C1022" t="s">
        <v>131</v>
      </c>
      <c r="D1022" t="s">
        <v>30</v>
      </c>
      <c r="E1022" t="s">
        <v>132</v>
      </c>
      <c r="F1022">
        <v>4500355856</v>
      </c>
      <c r="H1022" t="s">
        <v>12</v>
      </c>
      <c r="I1022" t="s">
        <v>134</v>
      </c>
      <c r="J1022" t="s">
        <v>132</v>
      </c>
      <c r="K1022">
        <v>80691</v>
      </c>
      <c r="L1022" t="s">
        <v>6408</v>
      </c>
      <c r="M1022" t="str" cm="1">
        <f t="array" ref="M1022">INDEX('Org List'!$A$2:$C$1005,MATCH(Consolidated!I1022&amp;Consolidated!J1022,'Org List'!$A$2:$A$1005&amp;'Org List'!$B$2:$B$1005,0),3)</f>
        <v>NGOs: Local</v>
      </c>
    </row>
    <row r="1023" spans="1:13" x14ac:dyDescent="0.25">
      <c r="A1023" t="s">
        <v>2171</v>
      </c>
      <c r="B1023" t="s">
        <v>130</v>
      </c>
      <c r="C1023" t="s">
        <v>131</v>
      </c>
      <c r="D1023" t="s">
        <v>30</v>
      </c>
      <c r="E1023" t="s">
        <v>132</v>
      </c>
      <c r="F1023">
        <v>4500378707</v>
      </c>
      <c r="H1023" t="s">
        <v>12</v>
      </c>
      <c r="I1023" t="s">
        <v>819</v>
      </c>
      <c r="J1023" t="s">
        <v>132</v>
      </c>
      <c r="K1023">
        <v>24987</v>
      </c>
      <c r="L1023" t="s">
        <v>6408</v>
      </c>
      <c r="M1023" t="str" cm="1">
        <f t="array" ref="M1023">INDEX('Org List'!$A$2:$C$1005,MATCH(Consolidated!I1023&amp;Consolidated!J1023,'Org List'!$A$2:$A$1005&amp;'Org List'!$B$2:$B$1005,0),3)</f>
        <v>NGOs: National</v>
      </c>
    </row>
    <row r="1024" spans="1:13" x14ac:dyDescent="0.25">
      <c r="A1024" t="s">
        <v>2171</v>
      </c>
      <c r="B1024" t="s">
        <v>2009</v>
      </c>
      <c r="C1024" t="s">
        <v>2010</v>
      </c>
      <c r="D1024" t="s">
        <v>30</v>
      </c>
      <c r="E1024" t="s">
        <v>289</v>
      </c>
      <c r="F1024">
        <v>4500367675</v>
      </c>
      <c r="H1024" t="s">
        <v>12</v>
      </c>
      <c r="I1024" t="s">
        <v>1710</v>
      </c>
      <c r="J1024" t="s">
        <v>289</v>
      </c>
      <c r="K1024">
        <v>102979</v>
      </c>
      <c r="L1024" t="s">
        <v>6408</v>
      </c>
      <c r="M1024" t="str" cm="1">
        <f t="array" ref="M1024">INDEX('Org List'!$A$2:$C$1005,MATCH(Consolidated!I1024&amp;Consolidated!J1024,'Org List'!$A$2:$A$1005&amp;'Org List'!$B$2:$B$1005,0),3)</f>
        <v>NGOs: International</v>
      </c>
    </row>
    <row r="1025" spans="1:13" x14ac:dyDescent="0.25">
      <c r="A1025" t="s">
        <v>2171</v>
      </c>
      <c r="B1025" t="s">
        <v>2009</v>
      </c>
      <c r="C1025" t="s">
        <v>2010</v>
      </c>
      <c r="D1025" t="s">
        <v>30</v>
      </c>
      <c r="E1025" t="s">
        <v>289</v>
      </c>
      <c r="F1025">
        <v>4500361907</v>
      </c>
      <c r="H1025" t="s">
        <v>12</v>
      </c>
      <c r="I1025" t="s">
        <v>2011</v>
      </c>
      <c r="J1025" t="s">
        <v>289</v>
      </c>
      <c r="K1025">
        <v>277120</v>
      </c>
      <c r="L1025" t="s">
        <v>6408</v>
      </c>
      <c r="M1025" t="str" cm="1">
        <f t="array" ref="M1025">INDEX('Org List'!$A$2:$C$1005,MATCH(Consolidated!I1025&amp;Consolidated!J1025,'Org List'!$A$2:$A$1005&amp;'Org List'!$B$2:$B$1005,0),3)</f>
        <v>NGOs: National</v>
      </c>
    </row>
    <row r="1026" spans="1:13" x14ac:dyDescent="0.25">
      <c r="A1026" t="s">
        <v>2171</v>
      </c>
      <c r="B1026" t="s">
        <v>2009</v>
      </c>
      <c r="C1026" t="s">
        <v>2010</v>
      </c>
      <c r="D1026" t="s">
        <v>30</v>
      </c>
      <c r="E1026" t="s">
        <v>305</v>
      </c>
      <c r="F1026">
        <v>4500360085</v>
      </c>
      <c r="H1026" t="s">
        <v>12</v>
      </c>
      <c r="I1026" t="s">
        <v>1328</v>
      </c>
      <c r="J1026" t="s">
        <v>305</v>
      </c>
      <c r="K1026">
        <v>58152</v>
      </c>
      <c r="L1026" t="s">
        <v>6408</v>
      </c>
      <c r="M1026" t="str" cm="1">
        <f t="array" ref="M1026">INDEX('Org List'!$A$2:$C$1005,MATCH(Consolidated!I1026&amp;Consolidated!J1026,'Org List'!$A$2:$A$1005&amp;'Org List'!$B$2:$B$1005,0),3)</f>
        <v>NGOs: National</v>
      </c>
    </row>
    <row r="1027" spans="1:13" x14ac:dyDescent="0.25">
      <c r="A1027" t="s">
        <v>2171</v>
      </c>
      <c r="B1027" t="s">
        <v>2009</v>
      </c>
      <c r="C1027" t="s">
        <v>2010</v>
      </c>
      <c r="D1027" t="s">
        <v>30</v>
      </c>
      <c r="E1027" t="s">
        <v>54</v>
      </c>
      <c r="F1027">
        <v>4500360908</v>
      </c>
      <c r="H1027" t="s">
        <v>12</v>
      </c>
      <c r="I1027" t="s">
        <v>1771</v>
      </c>
      <c r="J1027" t="s">
        <v>54</v>
      </c>
      <c r="K1027">
        <v>48519</v>
      </c>
      <c r="L1027" t="s">
        <v>6408</v>
      </c>
      <c r="M1027" t="str" cm="1">
        <f t="array" ref="M1027">INDEX('Org List'!$A$2:$C$1005,MATCH(Consolidated!I1027&amp;Consolidated!J1027,'Org List'!$A$2:$A$1005&amp;'Org List'!$B$2:$B$1005,0),3)</f>
        <v>NGOs: International</v>
      </c>
    </row>
    <row r="1028" spans="1:13" x14ac:dyDescent="0.25">
      <c r="A1028" t="s">
        <v>2171</v>
      </c>
      <c r="B1028" t="s">
        <v>2009</v>
      </c>
      <c r="C1028" t="s">
        <v>2010</v>
      </c>
      <c r="D1028" t="s">
        <v>30</v>
      </c>
      <c r="E1028" t="s">
        <v>54</v>
      </c>
      <c r="F1028">
        <v>4500369237</v>
      </c>
      <c r="H1028" t="s">
        <v>12</v>
      </c>
      <c r="I1028" t="s">
        <v>2012</v>
      </c>
      <c r="J1028" t="s">
        <v>54</v>
      </c>
      <c r="K1028">
        <v>544331</v>
      </c>
      <c r="L1028" t="s">
        <v>6408</v>
      </c>
      <c r="M1028" t="str" cm="1">
        <f t="array" ref="M1028">INDEX('Org List'!$A$2:$C$1005,MATCH(Consolidated!I1028&amp;Consolidated!J1028,'Org List'!$A$2:$A$1005&amp;'Org List'!$B$2:$B$1005,0),3)</f>
        <v>Red Cross: National</v>
      </c>
    </row>
    <row r="1029" spans="1:13" x14ac:dyDescent="0.25">
      <c r="A1029" t="s">
        <v>2171</v>
      </c>
      <c r="B1029" t="s">
        <v>2009</v>
      </c>
      <c r="C1029" t="s">
        <v>2010</v>
      </c>
      <c r="D1029" t="s">
        <v>30</v>
      </c>
      <c r="E1029" t="s">
        <v>54</v>
      </c>
      <c r="F1029">
        <v>4500376463</v>
      </c>
      <c r="H1029" t="s">
        <v>12</v>
      </c>
      <c r="I1029" t="s">
        <v>1406</v>
      </c>
      <c r="J1029" t="s">
        <v>54</v>
      </c>
      <c r="K1029">
        <v>93239</v>
      </c>
      <c r="L1029" t="s">
        <v>6408</v>
      </c>
      <c r="M1029" t="str" cm="1">
        <f t="array" ref="M1029">INDEX('Org List'!$A$2:$C$1005,MATCH(Consolidated!I1029&amp;Consolidated!J1029,'Org List'!$A$2:$A$1005&amp;'Org List'!$B$2:$B$1005,0),3)</f>
        <v>NGOs: National</v>
      </c>
    </row>
    <row r="1030" spans="1:13" x14ac:dyDescent="0.25">
      <c r="A1030" t="s">
        <v>2171</v>
      </c>
      <c r="B1030" t="s">
        <v>1302</v>
      </c>
      <c r="C1030" t="s">
        <v>1303</v>
      </c>
      <c r="D1030" t="s">
        <v>30</v>
      </c>
      <c r="E1030" t="s">
        <v>534</v>
      </c>
      <c r="F1030">
        <v>4500374875</v>
      </c>
      <c r="H1030" t="s">
        <v>12</v>
      </c>
      <c r="I1030" t="s">
        <v>1123</v>
      </c>
      <c r="J1030" t="s">
        <v>534</v>
      </c>
      <c r="K1030">
        <v>6519</v>
      </c>
      <c r="L1030" t="s">
        <v>6408</v>
      </c>
      <c r="M1030" t="str" cm="1">
        <f t="array" ref="M1030">INDEX('Org List'!$A$2:$C$1005,MATCH(Consolidated!I1030&amp;Consolidated!J1030,'Org List'!$A$2:$A$1005&amp;'Org List'!$B$2:$B$1005,0),3)</f>
        <v>NGOs: Internationally affiliated</v>
      </c>
    </row>
    <row r="1031" spans="1:13" x14ac:dyDescent="0.25">
      <c r="A1031" t="s">
        <v>2171</v>
      </c>
      <c r="B1031" t="s">
        <v>1302</v>
      </c>
      <c r="C1031" t="s">
        <v>1303</v>
      </c>
      <c r="D1031" t="s">
        <v>30</v>
      </c>
      <c r="E1031" t="s">
        <v>534</v>
      </c>
      <c r="F1031">
        <v>4500359578</v>
      </c>
      <c r="H1031" t="s">
        <v>12</v>
      </c>
      <c r="I1031" t="s">
        <v>2013</v>
      </c>
      <c r="J1031" t="s">
        <v>534</v>
      </c>
      <c r="K1031">
        <v>143094</v>
      </c>
      <c r="L1031" t="s">
        <v>6408</v>
      </c>
      <c r="M1031" t="str" cm="1">
        <f t="array" ref="M1031">INDEX('Org List'!$A$2:$C$1005,MATCH(Consolidated!I1031&amp;Consolidated!J1031,'Org List'!$A$2:$A$1005&amp;'Org List'!$B$2:$B$1005,0),3)</f>
        <v>Unknown</v>
      </c>
    </row>
    <row r="1032" spans="1:13" x14ac:dyDescent="0.25">
      <c r="A1032" t="s">
        <v>2171</v>
      </c>
      <c r="B1032" t="s">
        <v>1302</v>
      </c>
      <c r="C1032" t="s">
        <v>1303</v>
      </c>
      <c r="D1032" t="s">
        <v>30</v>
      </c>
      <c r="E1032" t="s">
        <v>534</v>
      </c>
      <c r="F1032">
        <v>4500371348</v>
      </c>
      <c r="H1032" t="s">
        <v>12</v>
      </c>
      <c r="I1032" t="s">
        <v>2014</v>
      </c>
      <c r="J1032" t="s">
        <v>534</v>
      </c>
      <c r="K1032">
        <v>35250</v>
      </c>
      <c r="L1032" t="s">
        <v>6408</v>
      </c>
      <c r="M1032" t="str" cm="1">
        <f t="array" ref="M1032">INDEX('Org List'!$A$2:$C$1005,MATCH(Consolidated!I1032&amp;Consolidated!J1032,'Org List'!$A$2:$A$1005&amp;'Org List'!$B$2:$B$1005,0),3)</f>
        <v>NGOs: International</v>
      </c>
    </row>
    <row r="1033" spans="1:13" x14ac:dyDescent="0.25">
      <c r="A1033" t="s">
        <v>2171</v>
      </c>
      <c r="B1033" t="s">
        <v>1302</v>
      </c>
      <c r="C1033" t="s">
        <v>1303</v>
      </c>
      <c r="D1033" t="s">
        <v>30</v>
      </c>
      <c r="E1033" t="s">
        <v>534</v>
      </c>
      <c r="F1033">
        <v>4500366561</v>
      </c>
      <c r="H1033" t="s">
        <v>12</v>
      </c>
      <c r="I1033" t="s">
        <v>1993</v>
      </c>
      <c r="J1033" t="s">
        <v>534</v>
      </c>
      <c r="K1033">
        <v>513865</v>
      </c>
      <c r="L1033" t="s">
        <v>6408</v>
      </c>
      <c r="M1033" t="str" cm="1">
        <f t="array" ref="M1033">INDEX('Org List'!$A$2:$C$1005,MATCH(Consolidated!I1033&amp;Consolidated!J1033,'Org List'!$A$2:$A$1005&amp;'Org List'!$B$2:$B$1005,0),3)</f>
        <v>Multilateral: UN</v>
      </c>
    </row>
    <row r="1034" spans="1:13" x14ac:dyDescent="0.25">
      <c r="A1034" t="s">
        <v>2171</v>
      </c>
      <c r="B1034" t="s">
        <v>822</v>
      </c>
      <c r="C1034" t="s">
        <v>823</v>
      </c>
      <c r="D1034" t="s">
        <v>30</v>
      </c>
      <c r="E1034" t="s">
        <v>356</v>
      </c>
      <c r="F1034">
        <v>4500354582</v>
      </c>
      <c r="H1034" t="s">
        <v>12</v>
      </c>
      <c r="I1034" t="s">
        <v>2015</v>
      </c>
      <c r="J1034" t="s">
        <v>356</v>
      </c>
      <c r="K1034">
        <v>213849</v>
      </c>
      <c r="L1034" t="s">
        <v>6408</v>
      </c>
      <c r="M1034" t="str" cm="1">
        <f t="array" ref="M1034">INDEX('Org List'!$A$2:$C$1005,MATCH(Consolidated!I1034&amp;Consolidated!J1034,'Org List'!$A$2:$A$1005&amp;'Org List'!$B$2:$B$1005,0),3)</f>
        <v>NGOs: National</v>
      </c>
    </row>
    <row r="1035" spans="1:13" x14ac:dyDescent="0.25">
      <c r="A1035" t="s">
        <v>2171</v>
      </c>
      <c r="B1035" t="s">
        <v>822</v>
      </c>
      <c r="C1035" t="s">
        <v>823</v>
      </c>
      <c r="D1035" t="s">
        <v>30</v>
      </c>
      <c r="E1035" t="s">
        <v>356</v>
      </c>
      <c r="F1035">
        <v>4500368158</v>
      </c>
      <c r="H1035" t="s">
        <v>12</v>
      </c>
      <c r="I1035" t="s">
        <v>1308</v>
      </c>
      <c r="J1035" t="s">
        <v>356</v>
      </c>
      <c r="K1035">
        <v>59352</v>
      </c>
      <c r="L1035" t="s">
        <v>6408</v>
      </c>
      <c r="M1035" t="str" cm="1">
        <f t="array" ref="M1035">INDEX('Org List'!$A$2:$C$1005,MATCH(Consolidated!I1035&amp;Consolidated!J1035,'Org List'!$A$2:$A$1005&amp;'Org List'!$B$2:$B$1005,0),3)</f>
        <v>NGOs: National</v>
      </c>
    </row>
    <row r="1036" spans="1:13" x14ac:dyDescent="0.25">
      <c r="A1036" t="s">
        <v>2171</v>
      </c>
      <c r="B1036" t="s">
        <v>822</v>
      </c>
      <c r="C1036" t="s">
        <v>823</v>
      </c>
      <c r="D1036" t="s">
        <v>30</v>
      </c>
      <c r="E1036" t="s">
        <v>356</v>
      </c>
      <c r="F1036">
        <v>4500365445</v>
      </c>
      <c r="H1036" t="s">
        <v>12</v>
      </c>
      <c r="I1036" t="s">
        <v>2016</v>
      </c>
      <c r="J1036" t="s">
        <v>356</v>
      </c>
      <c r="K1036">
        <v>99355</v>
      </c>
      <c r="L1036" t="s">
        <v>6408</v>
      </c>
      <c r="M1036" t="str" cm="1">
        <f t="array" ref="M1036">INDEX('Org List'!$A$2:$C$1005,MATCH(Consolidated!I1036&amp;Consolidated!J1036,'Org List'!$A$2:$A$1005&amp;'Org List'!$B$2:$B$1005,0),3)</f>
        <v>NGOs: National</v>
      </c>
    </row>
    <row r="1037" spans="1:13" x14ac:dyDescent="0.25">
      <c r="A1037" t="s">
        <v>2171</v>
      </c>
      <c r="B1037" t="s">
        <v>822</v>
      </c>
      <c r="C1037" t="s">
        <v>823</v>
      </c>
      <c r="D1037" t="s">
        <v>30</v>
      </c>
      <c r="E1037" t="s">
        <v>356</v>
      </c>
      <c r="F1037">
        <v>4500365395</v>
      </c>
      <c r="H1037" t="s">
        <v>12</v>
      </c>
      <c r="I1037" t="s">
        <v>2017</v>
      </c>
      <c r="J1037" t="s">
        <v>356</v>
      </c>
      <c r="K1037">
        <v>104923</v>
      </c>
      <c r="L1037" t="s">
        <v>6408</v>
      </c>
      <c r="M1037" t="str" cm="1">
        <f t="array" ref="M1037">INDEX('Org List'!$A$2:$C$1005,MATCH(Consolidated!I1037&amp;Consolidated!J1037,'Org List'!$A$2:$A$1005&amp;'Org List'!$B$2:$B$1005,0),3)</f>
        <v>NGOs: National</v>
      </c>
    </row>
    <row r="1038" spans="1:13" x14ac:dyDescent="0.25">
      <c r="A1038" t="s">
        <v>2171</v>
      </c>
      <c r="B1038" t="s">
        <v>822</v>
      </c>
      <c r="C1038" t="s">
        <v>823</v>
      </c>
      <c r="D1038" t="s">
        <v>30</v>
      </c>
      <c r="E1038" t="s">
        <v>356</v>
      </c>
      <c r="F1038">
        <v>4500365457</v>
      </c>
      <c r="H1038" t="s">
        <v>12</v>
      </c>
      <c r="I1038" t="s">
        <v>827</v>
      </c>
      <c r="J1038" t="s">
        <v>356</v>
      </c>
      <c r="K1038">
        <v>70157</v>
      </c>
      <c r="L1038" t="s">
        <v>6408</v>
      </c>
      <c r="M1038" t="str" cm="1">
        <f t="array" ref="M1038">INDEX('Org List'!$A$2:$C$1005,MATCH(Consolidated!I1038&amp;Consolidated!J1038,'Org List'!$A$2:$A$1005&amp;'Org List'!$B$2:$B$1005,0),3)</f>
        <v>NGOs: National</v>
      </c>
    </row>
    <row r="1039" spans="1:13" x14ac:dyDescent="0.25">
      <c r="A1039" t="s">
        <v>2171</v>
      </c>
      <c r="B1039" t="s">
        <v>822</v>
      </c>
      <c r="C1039" t="s">
        <v>823</v>
      </c>
      <c r="D1039" t="s">
        <v>30</v>
      </c>
      <c r="E1039" t="s">
        <v>356</v>
      </c>
      <c r="F1039">
        <v>4500375288</v>
      </c>
      <c r="H1039" t="s">
        <v>12</v>
      </c>
      <c r="I1039" t="s">
        <v>2018</v>
      </c>
      <c r="J1039" t="s">
        <v>356</v>
      </c>
      <c r="K1039">
        <v>147501</v>
      </c>
      <c r="L1039" t="s">
        <v>6408</v>
      </c>
      <c r="M1039" t="str" cm="1">
        <f t="array" ref="M1039">INDEX('Org List'!$A$2:$C$1005,MATCH(Consolidated!I1039&amp;Consolidated!J1039,'Org List'!$A$2:$A$1005&amp;'Org List'!$B$2:$B$1005,0),3)</f>
        <v>NGOs: National</v>
      </c>
    </row>
    <row r="1040" spans="1:13" x14ac:dyDescent="0.25">
      <c r="A1040" t="s">
        <v>2171</v>
      </c>
      <c r="B1040" t="s">
        <v>822</v>
      </c>
      <c r="C1040" t="s">
        <v>823</v>
      </c>
      <c r="D1040" t="s">
        <v>30</v>
      </c>
      <c r="E1040" t="s">
        <v>356</v>
      </c>
      <c r="F1040">
        <v>4500361089</v>
      </c>
      <c r="H1040" t="s">
        <v>12</v>
      </c>
      <c r="I1040" t="s">
        <v>1367</v>
      </c>
      <c r="J1040" t="s">
        <v>356</v>
      </c>
      <c r="K1040">
        <v>106470</v>
      </c>
      <c r="L1040" t="s">
        <v>6408</v>
      </c>
      <c r="M1040" t="str" cm="1">
        <f t="array" ref="M1040">INDEX('Org List'!$A$2:$C$1005,MATCH(Consolidated!I1040&amp;Consolidated!J1040,'Org List'!$A$2:$A$1005&amp;'Org List'!$B$2:$B$1005,0),3)</f>
        <v>NGOs: National</v>
      </c>
    </row>
    <row r="1041" spans="1:13" x14ac:dyDescent="0.25">
      <c r="A1041" t="s">
        <v>2171</v>
      </c>
      <c r="B1041" t="s">
        <v>822</v>
      </c>
      <c r="C1041" t="s">
        <v>823</v>
      </c>
      <c r="D1041" t="s">
        <v>30</v>
      </c>
      <c r="E1041" t="s">
        <v>356</v>
      </c>
      <c r="F1041">
        <v>4500367251</v>
      </c>
      <c r="H1041" t="s">
        <v>12</v>
      </c>
      <c r="I1041" t="s">
        <v>2019</v>
      </c>
      <c r="J1041" t="s">
        <v>356</v>
      </c>
      <c r="K1041">
        <v>96314</v>
      </c>
      <c r="L1041" t="s">
        <v>6408</v>
      </c>
      <c r="M1041" t="str" cm="1">
        <f t="array" ref="M1041">INDEX('Org List'!$A$2:$C$1005,MATCH(Consolidated!I1041&amp;Consolidated!J1041,'Org List'!$A$2:$A$1005&amp;'Org List'!$B$2:$B$1005,0),3)</f>
        <v>NGOs: National</v>
      </c>
    </row>
    <row r="1042" spans="1:13" x14ac:dyDescent="0.25">
      <c r="A1042" t="s">
        <v>2171</v>
      </c>
      <c r="B1042" t="s">
        <v>822</v>
      </c>
      <c r="C1042" t="s">
        <v>823</v>
      </c>
      <c r="D1042" t="s">
        <v>30</v>
      </c>
      <c r="E1042" t="s">
        <v>356</v>
      </c>
      <c r="F1042">
        <v>4500352352</v>
      </c>
      <c r="H1042" t="s">
        <v>12</v>
      </c>
      <c r="I1042" t="s">
        <v>2020</v>
      </c>
      <c r="J1042" t="s">
        <v>356</v>
      </c>
      <c r="K1042">
        <v>116713</v>
      </c>
      <c r="L1042" t="s">
        <v>6408</v>
      </c>
      <c r="M1042" t="str" cm="1">
        <f t="array" ref="M1042">INDEX('Org List'!$A$2:$C$1005,MATCH(Consolidated!I1042&amp;Consolidated!J1042,'Org List'!$A$2:$A$1005&amp;'Org List'!$B$2:$B$1005,0),3)</f>
        <v>NGOs: National</v>
      </c>
    </row>
    <row r="1043" spans="1:13" x14ac:dyDescent="0.25">
      <c r="A1043" t="s">
        <v>2171</v>
      </c>
      <c r="B1043" t="s">
        <v>822</v>
      </c>
      <c r="C1043" t="s">
        <v>823</v>
      </c>
      <c r="D1043" t="s">
        <v>30</v>
      </c>
      <c r="E1043" t="s">
        <v>356</v>
      </c>
      <c r="F1043">
        <v>4500361095</v>
      </c>
      <c r="H1043" t="s">
        <v>12</v>
      </c>
      <c r="I1043" t="s">
        <v>2021</v>
      </c>
      <c r="J1043" t="s">
        <v>356</v>
      </c>
      <c r="K1043">
        <v>83281</v>
      </c>
      <c r="L1043" t="s">
        <v>6408</v>
      </c>
      <c r="M1043" t="str" cm="1">
        <f t="array" ref="M1043">INDEX('Org List'!$A$2:$C$1005,MATCH(Consolidated!I1043&amp;Consolidated!J1043,'Org List'!$A$2:$A$1005&amp;'Org List'!$B$2:$B$1005,0),3)</f>
        <v>NGOs: National</v>
      </c>
    </row>
    <row r="1044" spans="1:13" x14ac:dyDescent="0.25">
      <c r="A1044" t="s">
        <v>2171</v>
      </c>
      <c r="B1044" t="s">
        <v>822</v>
      </c>
      <c r="C1044" t="s">
        <v>823</v>
      </c>
      <c r="D1044" t="s">
        <v>30</v>
      </c>
      <c r="E1044" t="s">
        <v>356</v>
      </c>
      <c r="F1044">
        <v>4500354629</v>
      </c>
      <c r="H1044" t="s">
        <v>12</v>
      </c>
      <c r="I1044" t="s">
        <v>2022</v>
      </c>
      <c r="J1044" t="s">
        <v>356</v>
      </c>
      <c r="K1044">
        <v>140051</v>
      </c>
      <c r="L1044" t="s">
        <v>6408</v>
      </c>
      <c r="M1044" t="str" cm="1">
        <f t="array" ref="M1044">INDEX('Org List'!$A$2:$C$1005,MATCH(Consolidated!I1044&amp;Consolidated!J1044,'Org List'!$A$2:$A$1005&amp;'Org List'!$B$2:$B$1005,0),3)</f>
        <v>NGOs: Local</v>
      </c>
    </row>
    <row r="1045" spans="1:13" x14ac:dyDescent="0.25">
      <c r="A1045" t="s">
        <v>2171</v>
      </c>
      <c r="B1045" t="s">
        <v>822</v>
      </c>
      <c r="C1045" t="s">
        <v>823</v>
      </c>
      <c r="D1045" t="s">
        <v>30</v>
      </c>
      <c r="E1045" t="s">
        <v>356</v>
      </c>
      <c r="F1045">
        <v>4500365649</v>
      </c>
      <c r="H1045" t="s">
        <v>12</v>
      </c>
      <c r="I1045" t="s">
        <v>2023</v>
      </c>
      <c r="J1045" t="s">
        <v>356</v>
      </c>
      <c r="K1045">
        <v>93057</v>
      </c>
      <c r="L1045" t="s">
        <v>6408</v>
      </c>
      <c r="M1045" t="str" cm="1">
        <f t="array" ref="M1045">INDEX('Org List'!$A$2:$C$1005,MATCH(Consolidated!I1045&amp;Consolidated!J1045,'Org List'!$A$2:$A$1005&amp;'Org List'!$B$2:$B$1005,0),3)</f>
        <v>NGOs: National</v>
      </c>
    </row>
    <row r="1046" spans="1:13" x14ac:dyDescent="0.25">
      <c r="A1046" t="s">
        <v>2171</v>
      </c>
      <c r="B1046" t="s">
        <v>822</v>
      </c>
      <c r="C1046" t="s">
        <v>823</v>
      </c>
      <c r="D1046" t="s">
        <v>30</v>
      </c>
      <c r="E1046" t="s">
        <v>356</v>
      </c>
      <c r="F1046">
        <v>4500352343</v>
      </c>
      <c r="H1046" t="s">
        <v>12</v>
      </c>
      <c r="I1046" t="s">
        <v>2024</v>
      </c>
      <c r="J1046" t="s">
        <v>356</v>
      </c>
      <c r="K1046">
        <v>42044</v>
      </c>
      <c r="L1046" t="s">
        <v>6408</v>
      </c>
      <c r="M1046" t="str" cm="1">
        <f t="array" ref="M1046">INDEX('Org List'!$A$2:$C$1005,MATCH(Consolidated!I1046&amp;Consolidated!J1046,'Org List'!$A$2:$A$1005&amp;'Org List'!$B$2:$B$1005,0),3)</f>
        <v>NGOs: National</v>
      </c>
    </row>
    <row r="1047" spans="1:13" x14ac:dyDescent="0.25">
      <c r="A1047" t="s">
        <v>2171</v>
      </c>
      <c r="B1047" t="s">
        <v>822</v>
      </c>
      <c r="C1047" t="s">
        <v>823</v>
      </c>
      <c r="D1047" t="s">
        <v>30</v>
      </c>
      <c r="E1047" t="s">
        <v>356</v>
      </c>
      <c r="F1047">
        <v>4500365629</v>
      </c>
      <c r="H1047" t="s">
        <v>12</v>
      </c>
      <c r="I1047" t="s">
        <v>2025</v>
      </c>
      <c r="J1047" t="s">
        <v>356</v>
      </c>
      <c r="K1047">
        <v>62563</v>
      </c>
      <c r="L1047" t="s">
        <v>6408</v>
      </c>
      <c r="M1047" t="str" cm="1">
        <f t="array" ref="M1047">INDEX('Org List'!$A$2:$C$1005,MATCH(Consolidated!I1047&amp;Consolidated!J1047,'Org List'!$A$2:$A$1005&amp;'Org List'!$B$2:$B$1005,0),3)</f>
        <v>NGOs: National</v>
      </c>
    </row>
    <row r="1048" spans="1:13" x14ac:dyDescent="0.25">
      <c r="A1048" t="s">
        <v>2171</v>
      </c>
      <c r="B1048" t="s">
        <v>822</v>
      </c>
      <c r="C1048" t="s">
        <v>823</v>
      </c>
      <c r="D1048" t="s">
        <v>30</v>
      </c>
      <c r="E1048" t="s">
        <v>356</v>
      </c>
      <c r="F1048">
        <v>4500354616</v>
      </c>
      <c r="H1048" t="s">
        <v>12</v>
      </c>
      <c r="I1048" t="s">
        <v>825</v>
      </c>
      <c r="J1048" t="s">
        <v>356</v>
      </c>
      <c r="K1048">
        <v>137668</v>
      </c>
      <c r="L1048" t="s">
        <v>6408</v>
      </c>
      <c r="M1048" t="str" cm="1">
        <f t="array" ref="M1048">INDEX('Org List'!$A$2:$C$1005,MATCH(Consolidated!I1048&amp;Consolidated!J1048,'Org List'!$A$2:$A$1005&amp;'Org List'!$B$2:$B$1005,0),3)</f>
        <v>NGOs: Local</v>
      </c>
    </row>
    <row r="1049" spans="1:13" x14ac:dyDescent="0.25">
      <c r="A1049" t="s">
        <v>2171</v>
      </c>
      <c r="B1049" t="s">
        <v>822</v>
      </c>
      <c r="C1049" t="s">
        <v>823</v>
      </c>
      <c r="D1049" t="s">
        <v>30</v>
      </c>
      <c r="E1049" t="s">
        <v>356</v>
      </c>
      <c r="F1049">
        <v>4500365655</v>
      </c>
      <c r="H1049" t="s">
        <v>12</v>
      </c>
      <c r="I1049" t="s">
        <v>2026</v>
      </c>
      <c r="J1049" t="s">
        <v>356</v>
      </c>
      <c r="K1049">
        <v>58527</v>
      </c>
      <c r="L1049" t="s">
        <v>6408</v>
      </c>
      <c r="M1049" t="str" cm="1">
        <f t="array" ref="M1049">INDEX('Org List'!$A$2:$C$1005,MATCH(Consolidated!I1049&amp;Consolidated!J1049,'Org List'!$A$2:$A$1005&amp;'Org List'!$B$2:$B$1005,0),3)</f>
        <v>NGOs: National</v>
      </c>
    </row>
    <row r="1050" spans="1:13" x14ac:dyDescent="0.25">
      <c r="A1050" t="s">
        <v>2171</v>
      </c>
      <c r="B1050" t="s">
        <v>822</v>
      </c>
      <c r="C1050" t="s">
        <v>823</v>
      </c>
      <c r="D1050" t="s">
        <v>30</v>
      </c>
      <c r="E1050" t="s">
        <v>356</v>
      </c>
      <c r="F1050">
        <v>4500352329</v>
      </c>
      <c r="H1050" t="s">
        <v>12</v>
      </c>
      <c r="I1050" t="s">
        <v>2027</v>
      </c>
      <c r="J1050" t="s">
        <v>356</v>
      </c>
      <c r="K1050">
        <v>90801</v>
      </c>
      <c r="L1050" t="s">
        <v>6408</v>
      </c>
      <c r="M1050" t="str" cm="1">
        <f t="array" ref="M1050">INDEX('Org List'!$A$2:$C$1005,MATCH(Consolidated!I1050&amp;Consolidated!J1050,'Org List'!$A$2:$A$1005&amp;'Org List'!$B$2:$B$1005,0),3)</f>
        <v>NGOs: National</v>
      </c>
    </row>
    <row r="1051" spans="1:13" x14ac:dyDescent="0.25">
      <c r="A1051" t="s">
        <v>2171</v>
      </c>
      <c r="B1051" t="s">
        <v>2028</v>
      </c>
      <c r="C1051" t="s">
        <v>2029</v>
      </c>
      <c r="D1051" t="s">
        <v>30</v>
      </c>
      <c r="E1051" t="s">
        <v>32</v>
      </c>
      <c r="F1051">
        <v>4500352307</v>
      </c>
      <c r="H1051" t="s">
        <v>12</v>
      </c>
      <c r="I1051" t="s">
        <v>1951</v>
      </c>
      <c r="J1051" t="s">
        <v>32</v>
      </c>
      <c r="K1051">
        <v>168174</v>
      </c>
      <c r="L1051" t="s">
        <v>6408</v>
      </c>
      <c r="M1051" t="str" cm="1">
        <f t="array" ref="M1051">INDEX('Org List'!$A$2:$C$1005,MATCH(Consolidated!I1051&amp;Consolidated!J1051,'Org List'!$A$2:$A$1005&amp;'Org List'!$B$2:$B$1005,0),3)</f>
        <v>NGOs: National</v>
      </c>
    </row>
    <row r="1052" spans="1:13" x14ac:dyDescent="0.25">
      <c r="A1052" t="s">
        <v>2171</v>
      </c>
      <c r="B1052" t="s">
        <v>2028</v>
      </c>
      <c r="C1052" t="s">
        <v>2029</v>
      </c>
      <c r="D1052" t="s">
        <v>30</v>
      </c>
      <c r="E1052" t="s">
        <v>32</v>
      </c>
      <c r="F1052">
        <v>4500374667</v>
      </c>
      <c r="H1052" t="s">
        <v>12</v>
      </c>
      <c r="I1052" t="s">
        <v>1693</v>
      </c>
      <c r="J1052" t="s">
        <v>32</v>
      </c>
      <c r="K1052">
        <v>412349</v>
      </c>
      <c r="L1052" t="s">
        <v>6408</v>
      </c>
      <c r="M1052" t="str" cm="1">
        <f t="array" ref="M1052">INDEX('Org List'!$A$2:$C$1005,MATCH(Consolidated!I1052&amp;Consolidated!J1052,'Org List'!$A$2:$A$1005&amp;'Org List'!$B$2:$B$1005,0),3)</f>
        <v>NGOs: International</v>
      </c>
    </row>
    <row r="1053" spans="1:13" x14ac:dyDescent="0.25">
      <c r="A1053" t="s">
        <v>2171</v>
      </c>
      <c r="B1053" t="s">
        <v>2028</v>
      </c>
      <c r="C1053" t="s">
        <v>2029</v>
      </c>
      <c r="D1053" t="s">
        <v>30</v>
      </c>
      <c r="E1053" t="s">
        <v>32</v>
      </c>
      <c r="F1053">
        <v>4500367017</v>
      </c>
      <c r="H1053" t="s">
        <v>12</v>
      </c>
      <c r="I1053" t="s">
        <v>1954</v>
      </c>
      <c r="J1053" t="s">
        <v>32</v>
      </c>
      <c r="K1053">
        <v>222561</v>
      </c>
      <c r="L1053" t="s">
        <v>6408</v>
      </c>
      <c r="M1053" t="str" cm="1">
        <f t="array" ref="M1053">INDEX('Org List'!$A$2:$C$1005,MATCH(Consolidated!I1053&amp;Consolidated!J1053,'Org List'!$A$2:$A$1005&amp;'Org List'!$B$2:$B$1005,0),3)</f>
        <v>NGOs: National</v>
      </c>
    </row>
    <row r="1054" spans="1:13" x14ac:dyDescent="0.25">
      <c r="A1054" t="s">
        <v>2171</v>
      </c>
      <c r="B1054" t="s">
        <v>2030</v>
      </c>
      <c r="C1054" t="s">
        <v>2031</v>
      </c>
      <c r="D1054" t="s">
        <v>30</v>
      </c>
      <c r="E1054" t="s">
        <v>155</v>
      </c>
      <c r="F1054">
        <v>4500377637</v>
      </c>
      <c r="H1054" t="s">
        <v>12</v>
      </c>
      <c r="I1054" t="s">
        <v>2032</v>
      </c>
      <c r="J1054" t="s">
        <v>155</v>
      </c>
      <c r="K1054">
        <v>75120</v>
      </c>
      <c r="L1054" t="s">
        <v>6408</v>
      </c>
      <c r="M1054" t="str" cm="1">
        <f t="array" ref="M1054">INDEX('Org List'!$A$2:$C$1005,MATCH(Consolidated!I1054&amp;Consolidated!J1054,'Org List'!$A$2:$A$1005&amp;'Org List'!$B$2:$B$1005,0),3)</f>
        <v>NGOs: National</v>
      </c>
    </row>
    <row r="1055" spans="1:13" x14ac:dyDescent="0.25">
      <c r="A1055" t="s">
        <v>2171</v>
      </c>
      <c r="B1055" t="s">
        <v>2030</v>
      </c>
      <c r="C1055" t="s">
        <v>2031</v>
      </c>
      <c r="D1055" t="s">
        <v>30</v>
      </c>
      <c r="E1055" t="s">
        <v>155</v>
      </c>
      <c r="F1055">
        <v>4500369193</v>
      </c>
      <c r="H1055" t="s">
        <v>12</v>
      </c>
      <c r="I1055" t="s">
        <v>2033</v>
      </c>
      <c r="J1055" t="s">
        <v>155</v>
      </c>
      <c r="K1055">
        <v>278609</v>
      </c>
      <c r="L1055" t="s">
        <v>6408</v>
      </c>
      <c r="M1055" t="str" cm="1">
        <f t="array" ref="M1055">INDEX('Org List'!$A$2:$C$1005,MATCH(Consolidated!I1055&amp;Consolidated!J1055,'Org List'!$A$2:$A$1005&amp;'Org List'!$B$2:$B$1005,0),3)</f>
        <v>NGOs: Local</v>
      </c>
    </row>
    <row r="1056" spans="1:13" x14ac:dyDescent="0.25">
      <c r="A1056" t="s">
        <v>2171</v>
      </c>
      <c r="B1056" t="s">
        <v>2030</v>
      </c>
      <c r="C1056" t="s">
        <v>2031</v>
      </c>
      <c r="D1056" t="s">
        <v>30</v>
      </c>
      <c r="E1056" t="s">
        <v>155</v>
      </c>
      <c r="F1056">
        <v>4500371970</v>
      </c>
      <c r="H1056" t="s">
        <v>12</v>
      </c>
      <c r="I1056" t="s">
        <v>1772</v>
      </c>
      <c r="J1056" t="s">
        <v>155</v>
      </c>
      <c r="K1056">
        <v>106510</v>
      </c>
      <c r="L1056" t="s">
        <v>6408</v>
      </c>
      <c r="M1056" t="str" cm="1">
        <f t="array" ref="M1056">INDEX('Org List'!$A$2:$C$1005,MATCH(Consolidated!I1056&amp;Consolidated!J1056,'Org List'!$A$2:$A$1005&amp;'Org List'!$B$2:$B$1005,0),3)</f>
        <v>NGOs: Local</v>
      </c>
    </row>
    <row r="1057" spans="1:13" x14ac:dyDescent="0.25">
      <c r="A1057" t="s">
        <v>2171</v>
      </c>
      <c r="B1057" t="s">
        <v>2030</v>
      </c>
      <c r="C1057" t="s">
        <v>2031</v>
      </c>
      <c r="D1057" t="s">
        <v>30</v>
      </c>
      <c r="E1057" t="s">
        <v>155</v>
      </c>
      <c r="F1057">
        <v>4500372069</v>
      </c>
      <c r="H1057" t="s">
        <v>12</v>
      </c>
      <c r="I1057" t="s">
        <v>2034</v>
      </c>
      <c r="J1057" t="s">
        <v>155</v>
      </c>
      <c r="K1057">
        <v>230772</v>
      </c>
      <c r="L1057" t="s">
        <v>6408</v>
      </c>
      <c r="M1057" t="str" cm="1">
        <f t="array" ref="M1057">INDEX('Org List'!$A$2:$C$1005,MATCH(Consolidated!I1057&amp;Consolidated!J1057,'Org List'!$A$2:$A$1005&amp;'Org List'!$B$2:$B$1005,0),3)</f>
        <v>NGOs: Local</v>
      </c>
    </row>
    <row r="1058" spans="1:13" x14ac:dyDescent="0.25">
      <c r="A1058" t="s">
        <v>2171</v>
      </c>
      <c r="B1058" t="s">
        <v>2030</v>
      </c>
      <c r="C1058" t="s">
        <v>2031</v>
      </c>
      <c r="D1058" t="s">
        <v>30</v>
      </c>
      <c r="E1058" t="s">
        <v>155</v>
      </c>
      <c r="F1058">
        <v>4500370975</v>
      </c>
      <c r="H1058" t="s">
        <v>12</v>
      </c>
      <c r="I1058" t="s">
        <v>2035</v>
      </c>
      <c r="J1058" t="s">
        <v>155</v>
      </c>
      <c r="K1058">
        <v>176146</v>
      </c>
      <c r="L1058" t="s">
        <v>6408</v>
      </c>
      <c r="M1058" t="str" cm="1">
        <f t="array" ref="M1058">INDEX('Org List'!$A$2:$C$1005,MATCH(Consolidated!I1058&amp;Consolidated!J1058,'Org List'!$A$2:$A$1005&amp;'Org List'!$B$2:$B$1005,0),3)</f>
        <v>NGOs: National</v>
      </c>
    </row>
    <row r="1059" spans="1:13" x14ac:dyDescent="0.25">
      <c r="A1059" t="s">
        <v>2171</v>
      </c>
      <c r="B1059" t="s">
        <v>1318</v>
      </c>
      <c r="C1059" t="s">
        <v>1319</v>
      </c>
      <c r="D1059" t="s">
        <v>30</v>
      </c>
      <c r="E1059" t="s">
        <v>289</v>
      </c>
      <c r="F1059">
        <v>4500352631</v>
      </c>
      <c r="H1059" t="s">
        <v>12</v>
      </c>
      <c r="I1059" t="s">
        <v>1748</v>
      </c>
      <c r="J1059" t="s">
        <v>289</v>
      </c>
      <c r="K1059">
        <v>49949</v>
      </c>
      <c r="L1059" t="s">
        <v>6408</v>
      </c>
      <c r="M1059" t="str" cm="1">
        <f t="array" ref="M1059">INDEX('Org List'!$A$2:$C$1005,MATCH(Consolidated!I1059&amp;Consolidated!J1059,'Org List'!$A$2:$A$1005&amp;'Org List'!$B$2:$B$1005,0),3)</f>
        <v>Private Organisations: Local/National</v>
      </c>
    </row>
    <row r="1060" spans="1:13" x14ac:dyDescent="0.25">
      <c r="A1060" t="s">
        <v>2171</v>
      </c>
      <c r="B1060" t="s">
        <v>1318</v>
      </c>
      <c r="C1060" t="s">
        <v>1319</v>
      </c>
      <c r="D1060" t="s">
        <v>30</v>
      </c>
      <c r="E1060" t="s">
        <v>289</v>
      </c>
      <c r="F1060">
        <v>4500358198</v>
      </c>
      <c r="H1060" t="s">
        <v>12</v>
      </c>
      <c r="I1060" t="s">
        <v>2036</v>
      </c>
      <c r="J1060" t="s">
        <v>289</v>
      </c>
      <c r="K1060">
        <v>46715</v>
      </c>
      <c r="L1060" t="s">
        <v>6408</v>
      </c>
      <c r="M1060" t="str" cm="1">
        <f t="array" ref="M1060">INDEX('Org List'!$A$2:$C$1005,MATCH(Consolidated!I1060&amp;Consolidated!J1060,'Org List'!$A$2:$A$1005&amp;'Org List'!$B$2:$B$1005,0),3)</f>
        <v>NGOs: National</v>
      </c>
    </row>
    <row r="1061" spans="1:13" x14ac:dyDescent="0.25">
      <c r="A1061" t="s">
        <v>2171</v>
      </c>
      <c r="B1061" t="s">
        <v>1318</v>
      </c>
      <c r="C1061" t="s">
        <v>1319</v>
      </c>
      <c r="D1061" t="s">
        <v>30</v>
      </c>
      <c r="E1061" t="s">
        <v>289</v>
      </c>
      <c r="F1061">
        <v>4500353821</v>
      </c>
      <c r="H1061" t="s">
        <v>12</v>
      </c>
      <c r="I1061" t="s">
        <v>300</v>
      </c>
      <c r="J1061" t="s">
        <v>289</v>
      </c>
      <c r="K1061">
        <v>33467</v>
      </c>
      <c r="L1061" t="s">
        <v>6408</v>
      </c>
      <c r="M1061" t="str" cm="1">
        <f t="array" ref="M1061">INDEX('Org List'!$A$2:$C$1005,MATCH(Consolidated!I1061&amp;Consolidated!J1061,'Org List'!$A$2:$A$1005&amp;'Org List'!$B$2:$B$1005,0),3)</f>
        <v>NGOs: National</v>
      </c>
    </row>
    <row r="1062" spans="1:13" x14ac:dyDescent="0.25">
      <c r="A1062" t="s">
        <v>2171</v>
      </c>
      <c r="B1062" t="s">
        <v>1318</v>
      </c>
      <c r="C1062" t="s">
        <v>1319</v>
      </c>
      <c r="D1062" t="s">
        <v>30</v>
      </c>
      <c r="E1062" t="s">
        <v>903</v>
      </c>
      <c r="F1062">
        <v>4500370401</v>
      </c>
      <c r="H1062" t="s">
        <v>12</v>
      </c>
      <c r="I1062" t="s">
        <v>1761</v>
      </c>
      <c r="J1062" t="s">
        <v>903</v>
      </c>
      <c r="K1062">
        <v>4291</v>
      </c>
      <c r="L1062" t="s">
        <v>6408</v>
      </c>
      <c r="M1062" t="str" cm="1">
        <f t="array" ref="M1062">INDEX('Org List'!$A$2:$C$1005,MATCH(Consolidated!I1062&amp;Consolidated!J1062,'Org List'!$A$2:$A$1005&amp;'Org List'!$B$2:$B$1005,0),3)</f>
        <v>NGOs: National</v>
      </c>
    </row>
    <row r="1063" spans="1:13" x14ac:dyDescent="0.25">
      <c r="A1063" t="s">
        <v>2171</v>
      </c>
      <c r="B1063" t="s">
        <v>1318</v>
      </c>
      <c r="C1063" t="s">
        <v>1319</v>
      </c>
      <c r="D1063" t="s">
        <v>30</v>
      </c>
      <c r="E1063" t="s">
        <v>305</v>
      </c>
      <c r="F1063">
        <v>4500375045</v>
      </c>
      <c r="H1063" t="s">
        <v>12</v>
      </c>
      <c r="I1063" t="s">
        <v>2037</v>
      </c>
      <c r="J1063" t="s">
        <v>305</v>
      </c>
      <c r="K1063">
        <v>196887</v>
      </c>
      <c r="L1063" t="s">
        <v>6408</v>
      </c>
      <c r="M1063" t="str" cm="1">
        <f t="array" ref="M1063">INDEX('Org List'!$A$2:$C$1005,MATCH(Consolidated!I1063&amp;Consolidated!J1063,'Org List'!$A$2:$A$1005&amp;'Org List'!$B$2:$B$1005,0),3)</f>
        <v>NGOs: National</v>
      </c>
    </row>
    <row r="1064" spans="1:13" x14ac:dyDescent="0.25">
      <c r="A1064" t="s">
        <v>2171</v>
      </c>
      <c r="B1064" t="s">
        <v>1318</v>
      </c>
      <c r="C1064" t="s">
        <v>1319</v>
      </c>
      <c r="D1064" t="s">
        <v>30</v>
      </c>
      <c r="E1064" t="s">
        <v>305</v>
      </c>
      <c r="F1064">
        <v>4500362955</v>
      </c>
      <c r="H1064" t="s">
        <v>12</v>
      </c>
      <c r="I1064" t="s">
        <v>905</v>
      </c>
      <c r="J1064" t="s">
        <v>305</v>
      </c>
      <c r="K1064">
        <v>700725</v>
      </c>
      <c r="L1064" t="s">
        <v>6408</v>
      </c>
      <c r="M1064" t="str" cm="1">
        <f t="array" ref="M1064">INDEX('Org List'!$A$2:$C$1005,MATCH(Consolidated!I1064&amp;Consolidated!J1064,'Org List'!$A$2:$A$1005&amp;'Org List'!$B$2:$B$1005,0),3)</f>
        <v>NGOs: International</v>
      </c>
    </row>
    <row r="1065" spans="1:13" x14ac:dyDescent="0.25">
      <c r="A1065" t="s">
        <v>2171</v>
      </c>
      <c r="B1065" t="s">
        <v>1318</v>
      </c>
      <c r="C1065" t="s">
        <v>1319</v>
      </c>
      <c r="D1065" t="s">
        <v>30</v>
      </c>
      <c r="E1065" t="s">
        <v>305</v>
      </c>
      <c r="F1065">
        <v>4500360085</v>
      </c>
      <c r="H1065" t="s">
        <v>12</v>
      </c>
      <c r="I1065" t="s">
        <v>1328</v>
      </c>
      <c r="J1065" t="s">
        <v>305</v>
      </c>
      <c r="K1065">
        <v>58152</v>
      </c>
      <c r="L1065" t="s">
        <v>6408</v>
      </c>
      <c r="M1065" t="str" cm="1">
        <f t="array" ref="M1065">INDEX('Org List'!$A$2:$C$1005,MATCH(Consolidated!I1065&amp;Consolidated!J1065,'Org List'!$A$2:$A$1005&amp;'Org List'!$B$2:$B$1005,0),3)</f>
        <v>NGOs: National</v>
      </c>
    </row>
    <row r="1066" spans="1:13" x14ac:dyDescent="0.25">
      <c r="A1066" t="s">
        <v>2171</v>
      </c>
      <c r="B1066" t="s">
        <v>1318</v>
      </c>
      <c r="C1066" t="s">
        <v>1319</v>
      </c>
      <c r="D1066" t="s">
        <v>30</v>
      </c>
      <c r="E1066" t="s">
        <v>305</v>
      </c>
      <c r="F1066">
        <v>4500366847</v>
      </c>
      <c r="H1066" t="s">
        <v>12</v>
      </c>
      <c r="I1066" t="s">
        <v>2038</v>
      </c>
      <c r="J1066" t="s">
        <v>305</v>
      </c>
      <c r="K1066">
        <v>78262</v>
      </c>
      <c r="L1066" t="s">
        <v>6408</v>
      </c>
      <c r="M1066" t="str" cm="1">
        <f t="array" ref="M1066">INDEX('Org List'!$A$2:$C$1005,MATCH(Consolidated!I1066&amp;Consolidated!J1066,'Org List'!$A$2:$A$1005&amp;'Org List'!$B$2:$B$1005,0),3)</f>
        <v>NGOs: National</v>
      </c>
    </row>
    <row r="1067" spans="1:13" x14ac:dyDescent="0.25">
      <c r="A1067" t="s">
        <v>2171</v>
      </c>
      <c r="B1067" t="s">
        <v>1333</v>
      </c>
      <c r="C1067" t="s">
        <v>1334</v>
      </c>
      <c r="D1067" t="s">
        <v>30</v>
      </c>
      <c r="E1067" t="s">
        <v>54</v>
      </c>
      <c r="F1067">
        <v>4500369237</v>
      </c>
      <c r="H1067" t="s">
        <v>12</v>
      </c>
      <c r="I1067" t="s">
        <v>2012</v>
      </c>
      <c r="J1067" t="s">
        <v>54</v>
      </c>
      <c r="K1067">
        <v>544331</v>
      </c>
      <c r="L1067" t="s">
        <v>6408</v>
      </c>
      <c r="M1067" t="str" cm="1">
        <f t="array" ref="M1067">INDEX('Org List'!$A$2:$C$1005,MATCH(Consolidated!I1067&amp;Consolidated!J1067,'Org List'!$A$2:$A$1005&amp;'Org List'!$B$2:$B$1005,0),3)</f>
        <v>Red Cross: National</v>
      </c>
    </row>
    <row r="1068" spans="1:13" x14ac:dyDescent="0.25">
      <c r="A1068" t="s">
        <v>2171</v>
      </c>
      <c r="B1068" t="s">
        <v>1335</v>
      </c>
      <c r="C1068" t="s">
        <v>1336</v>
      </c>
      <c r="D1068" t="s">
        <v>30</v>
      </c>
      <c r="E1068" t="s">
        <v>83</v>
      </c>
      <c r="F1068">
        <v>4500375071</v>
      </c>
      <c r="H1068" t="s">
        <v>12</v>
      </c>
      <c r="I1068" t="s">
        <v>86</v>
      </c>
      <c r="J1068" t="s">
        <v>83</v>
      </c>
      <c r="K1068">
        <v>78814</v>
      </c>
      <c r="L1068" t="s">
        <v>6408</v>
      </c>
      <c r="M1068" t="str" cm="1">
        <f t="array" ref="M1068">INDEX('Org List'!$A$2:$C$1005,MATCH(Consolidated!I1068&amp;Consolidated!J1068,'Org List'!$A$2:$A$1005&amp;'Org List'!$B$2:$B$1005,0),3)</f>
        <v>NGOs: International</v>
      </c>
    </row>
    <row r="1069" spans="1:13" x14ac:dyDescent="0.25">
      <c r="A1069" t="s">
        <v>2171</v>
      </c>
      <c r="B1069" t="s">
        <v>1335</v>
      </c>
      <c r="C1069" t="s">
        <v>1336</v>
      </c>
      <c r="D1069" t="s">
        <v>30</v>
      </c>
      <c r="E1069" t="s">
        <v>83</v>
      </c>
      <c r="F1069">
        <v>4500367297</v>
      </c>
      <c r="H1069" t="s">
        <v>12</v>
      </c>
      <c r="I1069" t="s">
        <v>84</v>
      </c>
      <c r="J1069" t="s">
        <v>83</v>
      </c>
      <c r="K1069">
        <v>232575</v>
      </c>
      <c r="L1069" t="s">
        <v>6408</v>
      </c>
      <c r="M1069" t="str" cm="1">
        <f t="array" ref="M1069">INDEX('Org List'!$A$2:$C$1005,MATCH(Consolidated!I1069&amp;Consolidated!J1069,'Org List'!$A$2:$A$1005&amp;'Org List'!$B$2:$B$1005,0),3)</f>
        <v>NGOs: National</v>
      </c>
    </row>
    <row r="1070" spans="1:13" x14ac:dyDescent="0.25">
      <c r="A1070" t="s">
        <v>2171</v>
      </c>
      <c r="B1070" t="s">
        <v>1340</v>
      </c>
      <c r="C1070" t="s">
        <v>1341</v>
      </c>
      <c r="D1070" t="s">
        <v>30</v>
      </c>
      <c r="E1070" t="s">
        <v>54</v>
      </c>
      <c r="F1070">
        <v>4500371643</v>
      </c>
      <c r="H1070" t="s">
        <v>12</v>
      </c>
      <c r="I1070" t="s">
        <v>2003</v>
      </c>
      <c r="J1070" t="s">
        <v>54</v>
      </c>
      <c r="K1070">
        <v>82802</v>
      </c>
      <c r="L1070" t="s">
        <v>6408</v>
      </c>
      <c r="M1070" t="str" cm="1">
        <f t="array" ref="M1070">INDEX('Org List'!$A$2:$C$1005,MATCH(Consolidated!I1070&amp;Consolidated!J1070,'Org List'!$A$2:$A$1005&amp;'Org List'!$B$2:$B$1005,0),3)</f>
        <v>NGOs: National</v>
      </c>
    </row>
    <row r="1071" spans="1:13" x14ac:dyDescent="0.25">
      <c r="A1071" t="s">
        <v>2171</v>
      </c>
      <c r="B1071" t="s">
        <v>1340</v>
      </c>
      <c r="C1071" t="s">
        <v>1341</v>
      </c>
      <c r="D1071" t="s">
        <v>30</v>
      </c>
      <c r="E1071" t="s">
        <v>54</v>
      </c>
      <c r="F1071">
        <v>4500375960</v>
      </c>
      <c r="H1071" t="s">
        <v>12</v>
      </c>
      <c r="I1071" t="s">
        <v>1291</v>
      </c>
      <c r="J1071" t="s">
        <v>54</v>
      </c>
      <c r="K1071">
        <v>157399</v>
      </c>
      <c r="L1071" t="s">
        <v>6408</v>
      </c>
      <c r="M1071" t="str" cm="1">
        <f t="array" ref="M1071">INDEX('Org List'!$A$2:$C$1005,MATCH(Consolidated!I1071&amp;Consolidated!J1071,'Org List'!$A$2:$A$1005&amp;'Org List'!$B$2:$B$1005,0),3)</f>
        <v>NGOs: National</v>
      </c>
    </row>
    <row r="1072" spans="1:13" x14ac:dyDescent="0.25">
      <c r="A1072" t="s">
        <v>2171</v>
      </c>
      <c r="B1072" t="s">
        <v>2039</v>
      </c>
      <c r="C1072" t="s">
        <v>2040</v>
      </c>
      <c r="D1072" t="s">
        <v>30</v>
      </c>
      <c r="E1072" t="s">
        <v>155</v>
      </c>
      <c r="F1072">
        <v>4500370978</v>
      </c>
      <c r="H1072" t="s">
        <v>12</v>
      </c>
      <c r="I1072" t="s">
        <v>156</v>
      </c>
      <c r="J1072" t="s">
        <v>155</v>
      </c>
      <c r="K1072">
        <v>56058</v>
      </c>
      <c r="L1072" t="s">
        <v>6408</v>
      </c>
      <c r="M1072" t="str" cm="1">
        <f t="array" ref="M1072">INDEX('Org List'!$A$2:$C$1005,MATCH(Consolidated!I1072&amp;Consolidated!J1072,'Org List'!$A$2:$A$1005&amp;'Org List'!$B$2:$B$1005,0),3)</f>
        <v>NGOs: International</v>
      </c>
    </row>
    <row r="1073" spans="1:13" x14ac:dyDescent="0.25">
      <c r="A1073" t="s">
        <v>2171</v>
      </c>
      <c r="B1073" t="s">
        <v>1344</v>
      </c>
      <c r="C1073" t="s">
        <v>1345</v>
      </c>
      <c r="D1073" t="s">
        <v>30</v>
      </c>
      <c r="E1073" t="s">
        <v>1346</v>
      </c>
      <c r="F1073">
        <v>4500366529</v>
      </c>
      <c r="H1073" t="s">
        <v>12</v>
      </c>
      <c r="I1073" t="s">
        <v>2041</v>
      </c>
      <c r="J1073" t="s">
        <v>1346</v>
      </c>
      <c r="K1073">
        <v>195281</v>
      </c>
      <c r="L1073" t="s">
        <v>6408</v>
      </c>
      <c r="M1073" t="str" cm="1">
        <f t="array" ref="M1073">INDEX('Org List'!$A$2:$C$1005,MATCH(Consolidated!I1073&amp;Consolidated!J1073,'Org List'!$A$2:$A$1005&amp;'Org List'!$B$2:$B$1005,0),3)</f>
        <v>Red Cross: National</v>
      </c>
    </row>
    <row r="1074" spans="1:13" x14ac:dyDescent="0.25">
      <c r="A1074" t="s">
        <v>2171</v>
      </c>
      <c r="B1074" t="s">
        <v>1769</v>
      </c>
      <c r="C1074" t="s">
        <v>1770</v>
      </c>
      <c r="D1074" t="s">
        <v>30</v>
      </c>
      <c r="E1074" t="s">
        <v>54</v>
      </c>
      <c r="F1074">
        <v>4500377673</v>
      </c>
      <c r="H1074" t="s">
        <v>12</v>
      </c>
      <c r="I1074" t="s">
        <v>2042</v>
      </c>
      <c r="J1074" t="s">
        <v>54</v>
      </c>
      <c r="K1074">
        <v>465281</v>
      </c>
      <c r="L1074" t="s">
        <v>6408</v>
      </c>
      <c r="M1074" t="str" cm="1">
        <f t="array" ref="M1074">INDEX('Org List'!$A$2:$C$1005,MATCH(Consolidated!I1074&amp;Consolidated!J1074,'Org List'!$A$2:$A$1005&amp;'Org List'!$B$2:$B$1005,0),3)</f>
        <v>NGOs: National</v>
      </c>
    </row>
    <row r="1075" spans="1:13" x14ac:dyDescent="0.25">
      <c r="A1075" t="s">
        <v>2171</v>
      </c>
      <c r="B1075" t="s">
        <v>1769</v>
      </c>
      <c r="C1075" t="s">
        <v>1770</v>
      </c>
      <c r="D1075" t="s">
        <v>30</v>
      </c>
      <c r="E1075" t="s">
        <v>54</v>
      </c>
      <c r="F1075">
        <v>4500377090</v>
      </c>
      <c r="H1075" t="s">
        <v>12</v>
      </c>
      <c r="I1075" t="s">
        <v>2004</v>
      </c>
      <c r="J1075" t="s">
        <v>54</v>
      </c>
      <c r="K1075">
        <v>468798</v>
      </c>
      <c r="L1075" t="s">
        <v>6408</v>
      </c>
      <c r="M1075" t="str" cm="1">
        <f t="array" ref="M1075">INDEX('Org List'!$A$2:$C$1005,MATCH(Consolidated!I1075&amp;Consolidated!J1075,'Org List'!$A$2:$A$1005&amp;'Org List'!$B$2:$B$1005,0),3)</f>
        <v>NGOs: National</v>
      </c>
    </row>
    <row r="1076" spans="1:13" x14ac:dyDescent="0.25">
      <c r="A1076" t="s">
        <v>2171</v>
      </c>
      <c r="B1076" t="s">
        <v>1769</v>
      </c>
      <c r="C1076" t="s">
        <v>1770</v>
      </c>
      <c r="D1076" t="s">
        <v>30</v>
      </c>
      <c r="E1076" t="s">
        <v>54</v>
      </c>
      <c r="F1076">
        <v>4500360908</v>
      </c>
      <c r="H1076" t="s">
        <v>12</v>
      </c>
      <c r="I1076" t="s">
        <v>1771</v>
      </c>
      <c r="J1076" t="s">
        <v>54</v>
      </c>
      <c r="K1076">
        <v>48519</v>
      </c>
      <c r="L1076" t="s">
        <v>6408</v>
      </c>
      <c r="M1076" t="str" cm="1">
        <f t="array" ref="M1076">INDEX('Org List'!$A$2:$C$1005,MATCH(Consolidated!I1076&amp;Consolidated!J1076,'Org List'!$A$2:$A$1005&amp;'Org List'!$B$2:$B$1005,0),3)</f>
        <v>NGOs: International</v>
      </c>
    </row>
    <row r="1077" spans="1:13" x14ac:dyDescent="0.25">
      <c r="A1077" t="s">
        <v>2171</v>
      </c>
      <c r="B1077" t="s">
        <v>1769</v>
      </c>
      <c r="C1077" t="s">
        <v>1770</v>
      </c>
      <c r="D1077" t="s">
        <v>30</v>
      </c>
      <c r="E1077" t="s">
        <v>54</v>
      </c>
      <c r="F1077">
        <v>4500378724</v>
      </c>
      <c r="H1077" t="s">
        <v>12</v>
      </c>
      <c r="I1077" t="s">
        <v>2043</v>
      </c>
      <c r="J1077" t="s">
        <v>972</v>
      </c>
      <c r="K1077">
        <v>373720</v>
      </c>
      <c r="L1077" t="s">
        <v>6408</v>
      </c>
      <c r="M1077" t="str" cm="1">
        <f t="array" ref="M1077">INDEX('Org List'!$A$2:$C$1005,MATCH(Consolidated!I1077&amp;Consolidated!J1077,'Org List'!$A$2:$A$1005&amp;'Org List'!$B$2:$B$1005,0),3)</f>
        <v>Unknown</v>
      </c>
    </row>
    <row r="1078" spans="1:13" x14ac:dyDescent="0.25">
      <c r="A1078" t="s">
        <v>2171</v>
      </c>
      <c r="B1078" t="s">
        <v>1769</v>
      </c>
      <c r="C1078" t="s">
        <v>1770</v>
      </c>
      <c r="D1078" t="s">
        <v>30</v>
      </c>
      <c r="E1078" t="s">
        <v>54</v>
      </c>
      <c r="F1078">
        <v>4500376463</v>
      </c>
      <c r="H1078" t="s">
        <v>12</v>
      </c>
      <c r="I1078" t="s">
        <v>1406</v>
      </c>
      <c r="J1078" t="s">
        <v>54</v>
      </c>
      <c r="K1078">
        <v>93239</v>
      </c>
      <c r="L1078" t="s">
        <v>6408</v>
      </c>
      <c r="M1078" t="str" cm="1">
        <f t="array" ref="M1078">INDEX('Org List'!$A$2:$C$1005,MATCH(Consolidated!I1078&amp;Consolidated!J1078,'Org List'!$A$2:$A$1005&amp;'Org List'!$B$2:$B$1005,0),3)</f>
        <v>NGOs: National</v>
      </c>
    </row>
    <row r="1079" spans="1:13" x14ac:dyDescent="0.25">
      <c r="A1079" t="s">
        <v>2171</v>
      </c>
      <c r="B1079" t="s">
        <v>2044</v>
      </c>
      <c r="C1079" t="s">
        <v>1995</v>
      </c>
      <c r="D1079" t="s">
        <v>30</v>
      </c>
      <c r="E1079" t="s">
        <v>175</v>
      </c>
      <c r="F1079">
        <v>4500364505</v>
      </c>
      <c r="H1079" t="s">
        <v>12</v>
      </c>
      <c r="I1079" t="s">
        <v>856</v>
      </c>
      <c r="J1079" t="s">
        <v>175</v>
      </c>
      <c r="K1079">
        <v>877728</v>
      </c>
      <c r="L1079" t="s">
        <v>6408</v>
      </c>
      <c r="M1079" t="str" cm="1">
        <f t="array" ref="M1079">INDEX('Org List'!$A$2:$C$1005,MATCH(Consolidated!I1079&amp;Consolidated!J1079,'Org List'!$A$2:$A$1005&amp;'Org List'!$B$2:$B$1005,0),3)</f>
        <v>NGOs: National</v>
      </c>
    </row>
    <row r="1080" spans="1:13" x14ac:dyDescent="0.25">
      <c r="A1080" t="s">
        <v>2171</v>
      </c>
      <c r="B1080" t="s">
        <v>1351</v>
      </c>
      <c r="C1080" t="s">
        <v>1352</v>
      </c>
      <c r="D1080" t="s">
        <v>30</v>
      </c>
      <c r="E1080" t="s">
        <v>150</v>
      </c>
      <c r="F1080">
        <v>4500364579</v>
      </c>
      <c r="H1080" t="s">
        <v>12</v>
      </c>
      <c r="I1080" t="s">
        <v>2045</v>
      </c>
      <c r="J1080" t="s">
        <v>150</v>
      </c>
      <c r="K1080">
        <v>86759</v>
      </c>
      <c r="L1080" t="s">
        <v>6408</v>
      </c>
      <c r="M1080" t="str" cm="1">
        <f t="array" ref="M1080">INDEX('Org List'!$A$2:$C$1005,MATCH(Consolidated!I1080&amp;Consolidated!J1080,'Org List'!$A$2:$A$1005&amp;'Org List'!$B$2:$B$1005,0),3)</f>
        <v>NGOs: National</v>
      </c>
    </row>
    <row r="1081" spans="1:13" x14ac:dyDescent="0.25">
      <c r="A1081" t="s">
        <v>2171</v>
      </c>
      <c r="B1081" t="s">
        <v>1351</v>
      </c>
      <c r="C1081" t="s">
        <v>1352</v>
      </c>
      <c r="D1081" t="s">
        <v>30</v>
      </c>
      <c r="E1081" t="s">
        <v>150</v>
      </c>
      <c r="F1081">
        <v>4500364568</v>
      </c>
      <c r="H1081" t="s">
        <v>12</v>
      </c>
      <c r="I1081" t="s">
        <v>2046</v>
      </c>
      <c r="J1081" t="s">
        <v>150</v>
      </c>
      <c r="K1081">
        <v>109959</v>
      </c>
      <c r="L1081" t="s">
        <v>6408</v>
      </c>
      <c r="M1081" t="str" cm="1">
        <f t="array" ref="M1081">INDEX('Org List'!$A$2:$C$1005,MATCH(Consolidated!I1081&amp;Consolidated!J1081,'Org List'!$A$2:$A$1005&amp;'Org List'!$B$2:$B$1005,0),3)</f>
        <v>NGOs: National</v>
      </c>
    </row>
    <row r="1082" spans="1:13" x14ac:dyDescent="0.25">
      <c r="A1082" t="s">
        <v>2171</v>
      </c>
      <c r="B1082" t="s">
        <v>1351</v>
      </c>
      <c r="C1082" t="s">
        <v>1352</v>
      </c>
      <c r="D1082" t="s">
        <v>30</v>
      </c>
      <c r="E1082" t="s">
        <v>150</v>
      </c>
      <c r="F1082">
        <v>4500373197</v>
      </c>
      <c r="H1082" t="s">
        <v>12</v>
      </c>
      <c r="I1082" t="s">
        <v>832</v>
      </c>
      <c r="J1082" t="s">
        <v>150</v>
      </c>
      <c r="K1082">
        <v>212723</v>
      </c>
      <c r="L1082" t="s">
        <v>6408</v>
      </c>
      <c r="M1082" t="str" cm="1">
        <f t="array" ref="M1082">INDEX('Org List'!$A$2:$C$1005,MATCH(Consolidated!I1082&amp;Consolidated!J1082,'Org List'!$A$2:$A$1005&amp;'Org List'!$B$2:$B$1005,0),3)</f>
        <v>NGOs: National</v>
      </c>
    </row>
    <row r="1083" spans="1:13" x14ac:dyDescent="0.25">
      <c r="A1083" t="s">
        <v>2171</v>
      </c>
      <c r="B1083" t="s">
        <v>1415</v>
      </c>
      <c r="C1083" t="s">
        <v>1416</v>
      </c>
      <c r="D1083" t="s">
        <v>30</v>
      </c>
      <c r="E1083" t="s">
        <v>814</v>
      </c>
      <c r="F1083">
        <v>4500368311</v>
      </c>
      <c r="H1083" t="s">
        <v>12</v>
      </c>
      <c r="I1083" t="s">
        <v>115</v>
      </c>
      <c r="J1083" t="s">
        <v>814</v>
      </c>
      <c r="K1083">
        <v>15112</v>
      </c>
      <c r="L1083" t="s">
        <v>6408</v>
      </c>
      <c r="M1083" t="str" cm="1">
        <f t="array" ref="M1083">INDEX('Org List'!$A$2:$C$1005,MATCH(Consolidated!I1083&amp;Consolidated!J1083,'Org List'!$A$2:$A$1005&amp;'Org List'!$B$2:$B$1005,0),3)</f>
        <v>NGOs: National</v>
      </c>
    </row>
    <row r="1084" spans="1:13" x14ac:dyDescent="0.25">
      <c r="A1084" t="s">
        <v>2171</v>
      </c>
      <c r="B1084" t="s">
        <v>2054</v>
      </c>
      <c r="C1084" t="s">
        <v>446</v>
      </c>
      <c r="D1084" t="s">
        <v>30</v>
      </c>
      <c r="E1084" t="s">
        <v>257</v>
      </c>
      <c r="F1084">
        <v>4500367532</v>
      </c>
      <c r="H1084" t="s">
        <v>12</v>
      </c>
      <c r="I1084" t="s">
        <v>422</v>
      </c>
      <c r="J1084" t="s">
        <v>257</v>
      </c>
      <c r="K1084">
        <v>152587</v>
      </c>
      <c r="L1084" t="s">
        <v>6408</v>
      </c>
      <c r="M1084" t="str" cm="1">
        <f t="array" ref="M1084">INDEX('Org List'!$A$2:$C$1005,MATCH(Consolidated!I1084&amp;Consolidated!J1084,'Org List'!$A$2:$A$1005&amp;'Org List'!$B$2:$B$1005,0),3)</f>
        <v>NGOs: Internationally affiliated</v>
      </c>
    </row>
    <row r="1085" spans="1:13" x14ac:dyDescent="0.25">
      <c r="A1085" t="s">
        <v>2171</v>
      </c>
      <c r="B1085" t="s">
        <v>2054</v>
      </c>
      <c r="C1085" t="s">
        <v>446</v>
      </c>
      <c r="D1085" t="s">
        <v>30</v>
      </c>
      <c r="E1085" t="s">
        <v>257</v>
      </c>
      <c r="F1085">
        <v>4500367530</v>
      </c>
      <c r="H1085" t="s">
        <v>12</v>
      </c>
      <c r="I1085" t="s">
        <v>421</v>
      </c>
      <c r="J1085" t="s">
        <v>257</v>
      </c>
      <c r="K1085">
        <v>34364</v>
      </c>
      <c r="L1085" t="s">
        <v>6408</v>
      </c>
      <c r="M1085" t="str" cm="1">
        <f t="array" ref="M1085">INDEX('Org List'!$A$2:$C$1005,MATCH(Consolidated!I1085&amp;Consolidated!J1085,'Org List'!$A$2:$A$1005&amp;'Org List'!$B$2:$B$1005,0),3)</f>
        <v>NGOs: National</v>
      </c>
    </row>
    <row r="1086" spans="1:13" x14ac:dyDescent="0.25">
      <c r="A1086" t="s">
        <v>2171</v>
      </c>
      <c r="B1086" t="s">
        <v>2054</v>
      </c>
      <c r="C1086" t="s">
        <v>446</v>
      </c>
      <c r="D1086" t="s">
        <v>30</v>
      </c>
      <c r="E1086" t="s">
        <v>257</v>
      </c>
      <c r="F1086">
        <v>4500373387</v>
      </c>
      <c r="H1086" t="s">
        <v>12</v>
      </c>
      <c r="I1086" t="s">
        <v>421</v>
      </c>
      <c r="J1086" t="s">
        <v>257</v>
      </c>
      <c r="K1086">
        <v>96532</v>
      </c>
      <c r="L1086" t="s">
        <v>6408</v>
      </c>
      <c r="M1086" t="str" cm="1">
        <f t="array" ref="M1086">INDEX('Org List'!$A$2:$C$1005,MATCH(Consolidated!I1086&amp;Consolidated!J1086,'Org List'!$A$2:$A$1005&amp;'Org List'!$B$2:$B$1005,0),3)</f>
        <v>NGOs: National</v>
      </c>
    </row>
    <row r="1087" spans="1:13" x14ac:dyDescent="0.25">
      <c r="A1087" t="s">
        <v>2171</v>
      </c>
      <c r="B1087" t="s">
        <v>443</v>
      </c>
      <c r="C1087" t="s">
        <v>444</v>
      </c>
      <c r="D1087" t="s">
        <v>30</v>
      </c>
      <c r="E1087" t="s">
        <v>155</v>
      </c>
      <c r="F1087">
        <v>4500362119</v>
      </c>
      <c r="H1087" t="s">
        <v>12</v>
      </c>
      <c r="I1087" t="s">
        <v>335</v>
      </c>
      <c r="J1087" t="s">
        <v>155</v>
      </c>
      <c r="K1087">
        <v>54775</v>
      </c>
      <c r="L1087" t="s">
        <v>6408</v>
      </c>
      <c r="M1087" t="str" cm="1">
        <f t="array" ref="M1087">INDEX('Org List'!$A$2:$C$1005,MATCH(Consolidated!I1087&amp;Consolidated!J1087,'Org List'!$A$2:$A$1005&amp;'Org List'!$B$2:$B$1005,0),3)</f>
        <v>NGOs: Local</v>
      </c>
    </row>
    <row r="1088" spans="1:13" x14ac:dyDescent="0.25">
      <c r="A1088" t="s">
        <v>2171</v>
      </c>
      <c r="B1088" t="s">
        <v>1602</v>
      </c>
      <c r="C1088" t="s">
        <v>1603</v>
      </c>
      <c r="D1088" t="s">
        <v>30</v>
      </c>
      <c r="E1088" t="s">
        <v>793</v>
      </c>
      <c r="F1088">
        <v>4500368359</v>
      </c>
      <c r="H1088" t="s">
        <v>12</v>
      </c>
      <c r="I1088" t="s">
        <v>1993</v>
      </c>
      <c r="J1088" t="s">
        <v>793</v>
      </c>
      <c r="K1088">
        <v>28440</v>
      </c>
      <c r="L1088" t="s">
        <v>6408</v>
      </c>
      <c r="M1088" t="str" cm="1">
        <f t="array" ref="M1088">INDEX('Org List'!$A$2:$C$1005,MATCH(Consolidated!I1088&amp;Consolidated!J1088,'Org List'!$A$2:$A$1005&amp;'Org List'!$B$2:$B$1005,0),3)</f>
        <v>Multilateral: UN</v>
      </c>
    </row>
    <row r="1089" spans="1:13" x14ac:dyDescent="0.25">
      <c r="A1089" t="s">
        <v>2171</v>
      </c>
      <c r="B1089" t="s">
        <v>1141</v>
      </c>
      <c r="C1089" t="s">
        <v>1142</v>
      </c>
      <c r="D1089" t="s">
        <v>30</v>
      </c>
      <c r="E1089" t="s">
        <v>123</v>
      </c>
      <c r="F1089">
        <v>4500355434</v>
      </c>
      <c r="H1089" t="s">
        <v>12</v>
      </c>
      <c r="I1089" t="s">
        <v>124</v>
      </c>
      <c r="J1089" t="s">
        <v>123</v>
      </c>
      <c r="K1089">
        <v>69153</v>
      </c>
      <c r="L1089" t="s">
        <v>6408</v>
      </c>
      <c r="M1089" t="str" cm="1">
        <f t="array" ref="M1089">INDEX('Org List'!$A$2:$C$1005,MATCH(Consolidated!I1089&amp;Consolidated!J1089,'Org List'!$A$2:$A$1005&amp;'Org List'!$B$2:$B$1005,0),3)</f>
        <v>NGOs: National</v>
      </c>
    </row>
    <row r="1090" spans="1:13" x14ac:dyDescent="0.25">
      <c r="A1090" t="s">
        <v>2171</v>
      </c>
      <c r="B1090" t="s">
        <v>1141</v>
      </c>
      <c r="C1090" t="s">
        <v>1142</v>
      </c>
      <c r="D1090" t="s">
        <v>30</v>
      </c>
      <c r="E1090" t="s">
        <v>123</v>
      </c>
      <c r="F1090">
        <v>4500363002</v>
      </c>
      <c r="H1090" t="s">
        <v>12</v>
      </c>
      <c r="I1090" t="s">
        <v>368</v>
      </c>
      <c r="J1090" t="s">
        <v>123</v>
      </c>
      <c r="K1090">
        <v>65296</v>
      </c>
      <c r="L1090" t="s">
        <v>6408</v>
      </c>
      <c r="M1090" t="str" cm="1">
        <f t="array" ref="M1090">INDEX('Org List'!$A$2:$C$1005,MATCH(Consolidated!I1090&amp;Consolidated!J1090,'Org List'!$A$2:$A$1005&amp;'Org List'!$B$2:$B$1005,0),3)</f>
        <v>NGOs: National</v>
      </c>
    </row>
    <row r="1091" spans="1:13" x14ac:dyDescent="0.25">
      <c r="A1091" t="s">
        <v>2171</v>
      </c>
      <c r="B1091" t="s">
        <v>2158</v>
      </c>
      <c r="C1091" t="s">
        <v>2159</v>
      </c>
      <c r="D1091" t="s">
        <v>30</v>
      </c>
      <c r="E1091" t="s">
        <v>123</v>
      </c>
      <c r="F1091">
        <v>4500356605</v>
      </c>
      <c r="H1091" t="s">
        <v>12</v>
      </c>
      <c r="I1091" t="s">
        <v>813</v>
      </c>
      <c r="J1091" t="s">
        <v>123</v>
      </c>
      <c r="K1091">
        <v>39742</v>
      </c>
      <c r="L1091" t="s">
        <v>6408</v>
      </c>
      <c r="M1091" t="str" cm="1">
        <f t="array" ref="M1091">INDEX('Org List'!$A$2:$C$1005,MATCH(Consolidated!I1091&amp;Consolidated!J1091,'Org List'!$A$2:$A$1005&amp;'Org List'!$B$2:$B$1005,0),3)</f>
        <v>NGOs: National</v>
      </c>
    </row>
    <row r="1092" spans="1:13" x14ac:dyDescent="0.25">
      <c r="A1092" t="s">
        <v>2171</v>
      </c>
      <c r="B1092" t="s">
        <v>2158</v>
      </c>
      <c r="C1092" t="s">
        <v>2159</v>
      </c>
      <c r="D1092" t="s">
        <v>30</v>
      </c>
      <c r="E1092" t="s">
        <v>123</v>
      </c>
      <c r="F1092">
        <v>4500355459</v>
      </c>
      <c r="H1092" t="s">
        <v>12</v>
      </c>
      <c r="I1092" t="s">
        <v>1979</v>
      </c>
      <c r="J1092" t="s">
        <v>123</v>
      </c>
      <c r="K1092">
        <v>30249</v>
      </c>
      <c r="L1092" t="s">
        <v>6408</v>
      </c>
      <c r="M1092" t="str" cm="1">
        <f t="array" ref="M1092">INDEX('Org List'!$A$2:$C$1005,MATCH(Consolidated!I1092&amp;Consolidated!J1092,'Org List'!$A$2:$A$1005&amp;'Org List'!$B$2:$B$1005,0),3)</f>
        <v>NGOs: National</v>
      </c>
    </row>
    <row r="1093" spans="1:13" x14ac:dyDescent="0.25">
      <c r="A1093" t="s">
        <v>2171</v>
      </c>
      <c r="B1093" t="s">
        <v>696</v>
      </c>
      <c r="C1093" t="s">
        <v>697</v>
      </c>
      <c r="D1093" t="s">
        <v>30</v>
      </c>
      <c r="E1093" t="s">
        <v>159</v>
      </c>
      <c r="F1093">
        <v>4500352874</v>
      </c>
      <c r="H1093" t="s">
        <v>12</v>
      </c>
      <c r="I1093" t="s">
        <v>2160</v>
      </c>
      <c r="J1093" t="s">
        <v>159</v>
      </c>
      <c r="K1093">
        <v>44846</v>
      </c>
      <c r="L1093" t="s">
        <v>6408</v>
      </c>
      <c r="M1093" t="str" cm="1">
        <f t="array" ref="M1093">INDEX('Org List'!$A$2:$C$1005,MATCH(Consolidated!I1093&amp;Consolidated!J1093,'Org List'!$A$2:$A$1005&amp;'Org List'!$B$2:$B$1005,0),3)</f>
        <v>NGOs: National</v>
      </c>
    </row>
    <row r="1094" spans="1:13" x14ac:dyDescent="0.25">
      <c r="A1094" t="s">
        <v>2171</v>
      </c>
      <c r="B1094" t="s">
        <v>696</v>
      </c>
      <c r="C1094" t="s">
        <v>697</v>
      </c>
      <c r="D1094" t="s">
        <v>30</v>
      </c>
      <c r="E1094" t="s">
        <v>159</v>
      </c>
      <c r="F1094">
        <v>4500352875</v>
      </c>
      <c r="H1094" t="s">
        <v>12</v>
      </c>
      <c r="I1094" t="s">
        <v>1968</v>
      </c>
      <c r="J1094" t="s">
        <v>159</v>
      </c>
      <c r="K1094">
        <v>149488</v>
      </c>
      <c r="L1094" t="s">
        <v>6408</v>
      </c>
      <c r="M1094" t="str" cm="1">
        <f t="array" ref="M1094">INDEX('Org List'!$A$2:$C$1005,MATCH(Consolidated!I1094&amp;Consolidated!J1094,'Org List'!$A$2:$A$1005&amp;'Org List'!$B$2:$B$1005,0),3)</f>
        <v>NGOs: International</v>
      </c>
    </row>
    <row r="1095" spans="1:13" x14ac:dyDescent="0.25">
      <c r="A1095" t="s">
        <v>2171</v>
      </c>
      <c r="B1095" t="s">
        <v>2161</v>
      </c>
      <c r="C1095" t="s">
        <v>2162</v>
      </c>
      <c r="D1095" t="s">
        <v>30</v>
      </c>
      <c r="E1095" t="s">
        <v>83</v>
      </c>
      <c r="F1095">
        <v>4500373336</v>
      </c>
      <c r="H1095" t="s">
        <v>12</v>
      </c>
      <c r="I1095" t="s">
        <v>2163</v>
      </c>
      <c r="J1095" t="s">
        <v>83</v>
      </c>
      <c r="K1095">
        <v>161591</v>
      </c>
      <c r="L1095" t="s">
        <v>6408</v>
      </c>
      <c r="M1095" t="str" cm="1">
        <f t="array" ref="M1095">INDEX('Org List'!$A$2:$C$1005,MATCH(Consolidated!I1095&amp;Consolidated!J1095,'Org List'!$A$2:$A$1005&amp;'Org List'!$B$2:$B$1005,0),3)</f>
        <v>NGOs: National</v>
      </c>
    </row>
    <row r="1096" spans="1:13" x14ac:dyDescent="0.25">
      <c r="A1096" t="s">
        <v>2171</v>
      </c>
      <c r="B1096" t="s">
        <v>1884</v>
      </c>
      <c r="C1096" t="s">
        <v>1885</v>
      </c>
      <c r="D1096" t="s">
        <v>30</v>
      </c>
      <c r="E1096" t="s">
        <v>123</v>
      </c>
      <c r="F1096">
        <v>4500355434</v>
      </c>
      <c r="H1096" t="s">
        <v>12</v>
      </c>
      <c r="I1096" t="s">
        <v>124</v>
      </c>
      <c r="J1096" t="s">
        <v>123</v>
      </c>
      <c r="K1096">
        <v>69153</v>
      </c>
      <c r="L1096" t="s">
        <v>6408</v>
      </c>
      <c r="M1096" t="str" cm="1">
        <f t="array" ref="M1096">INDEX('Org List'!$A$2:$C$1005,MATCH(Consolidated!I1096&amp;Consolidated!J1096,'Org List'!$A$2:$A$1005&amp;'Org List'!$B$2:$B$1005,0),3)</f>
        <v>NGOs: National</v>
      </c>
    </row>
    <row r="1097" spans="1:13" x14ac:dyDescent="0.25">
      <c r="A1097" t="s">
        <v>2171</v>
      </c>
      <c r="B1097" t="s">
        <v>2164</v>
      </c>
      <c r="C1097" t="s">
        <v>2165</v>
      </c>
      <c r="D1097" t="s">
        <v>30</v>
      </c>
      <c r="E1097" t="s">
        <v>123</v>
      </c>
      <c r="F1097">
        <v>4500355434</v>
      </c>
      <c r="H1097" t="s">
        <v>12</v>
      </c>
      <c r="I1097" t="s">
        <v>124</v>
      </c>
      <c r="J1097" t="s">
        <v>123</v>
      </c>
      <c r="K1097">
        <v>69153</v>
      </c>
      <c r="L1097" t="s">
        <v>6408</v>
      </c>
      <c r="M1097" t="str" cm="1">
        <f t="array" ref="M1097">INDEX('Org List'!$A$2:$C$1005,MATCH(Consolidated!I1097&amp;Consolidated!J1097,'Org List'!$A$2:$A$1005&amp;'Org List'!$B$2:$B$1005,0),3)</f>
        <v>NGOs: National</v>
      </c>
    </row>
    <row r="1098" spans="1:13" x14ac:dyDescent="0.25">
      <c r="A1098" t="s">
        <v>2171</v>
      </c>
      <c r="B1098" t="s">
        <v>1143</v>
      </c>
      <c r="C1098" t="s">
        <v>1144</v>
      </c>
      <c r="D1098" t="s">
        <v>30</v>
      </c>
      <c r="E1098" t="s">
        <v>54</v>
      </c>
      <c r="F1098">
        <v>4500357267</v>
      </c>
      <c r="H1098" t="s">
        <v>12</v>
      </c>
      <c r="I1098" t="s">
        <v>1248</v>
      </c>
      <c r="J1098" t="s">
        <v>54</v>
      </c>
      <c r="K1098">
        <v>192476</v>
      </c>
      <c r="L1098" t="s">
        <v>6408</v>
      </c>
      <c r="M1098" t="str" cm="1">
        <f t="array" ref="M1098">INDEX('Org List'!$A$2:$C$1005,MATCH(Consolidated!I1098&amp;Consolidated!J1098,'Org List'!$A$2:$A$1005&amp;'Org List'!$B$2:$B$1005,0),3)</f>
        <v>NGOs: National</v>
      </c>
    </row>
    <row r="1099" spans="1:13" x14ac:dyDescent="0.25">
      <c r="A1099" t="s">
        <v>2171</v>
      </c>
      <c r="B1099" t="s">
        <v>1143</v>
      </c>
      <c r="C1099" t="s">
        <v>1144</v>
      </c>
      <c r="D1099" t="s">
        <v>30</v>
      </c>
      <c r="E1099" t="s">
        <v>54</v>
      </c>
      <c r="F1099">
        <v>4500371643</v>
      </c>
      <c r="H1099" t="s">
        <v>12</v>
      </c>
      <c r="I1099" t="s">
        <v>2003</v>
      </c>
      <c r="J1099" t="s">
        <v>54</v>
      </c>
      <c r="K1099">
        <v>82802</v>
      </c>
      <c r="L1099" t="s">
        <v>6408</v>
      </c>
      <c r="M1099" t="str" cm="1">
        <f t="array" ref="M1099">INDEX('Org List'!$A$2:$C$1005,MATCH(Consolidated!I1099&amp;Consolidated!J1099,'Org List'!$A$2:$A$1005&amp;'Org List'!$B$2:$B$1005,0),3)</f>
        <v>NGOs: National</v>
      </c>
    </row>
    <row r="1100" spans="1:13" x14ac:dyDescent="0.25">
      <c r="A1100" t="s">
        <v>2171</v>
      </c>
      <c r="B1100" t="s">
        <v>1143</v>
      </c>
      <c r="C1100" t="s">
        <v>1144</v>
      </c>
      <c r="D1100" t="s">
        <v>30</v>
      </c>
      <c r="E1100" t="s">
        <v>54</v>
      </c>
      <c r="F1100">
        <v>4500377090</v>
      </c>
      <c r="H1100" t="s">
        <v>12</v>
      </c>
      <c r="I1100" t="s">
        <v>2004</v>
      </c>
      <c r="J1100" t="s">
        <v>54</v>
      </c>
      <c r="K1100">
        <v>468798</v>
      </c>
      <c r="L1100" t="s">
        <v>6408</v>
      </c>
      <c r="M1100" t="str" cm="1">
        <f t="array" ref="M1100">INDEX('Org List'!$A$2:$C$1005,MATCH(Consolidated!I1100&amp;Consolidated!J1100,'Org List'!$A$2:$A$1005&amp;'Org List'!$B$2:$B$1005,0),3)</f>
        <v>NGOs: National</v>
      </c>
    </row>
    <row r="1101" spans="1:13" x14ac:dyDescent="0.25">
      <c r="A1101" t="s">
        <v>2171</v>
      </c>
      <c r="B1101" t="s">
        <v>1143</v>
      </c>
      <c r="C1101" t="s">
        <v>1144</v>
      </c>
      <c r="D1101" t="s">
        <v>30</v>
      </c>
      <c r="E1101" t="s">
        <v>54</v>
      </c>
      <c r="F1101">
        <v>4500375960</v>
      </c>
      <c r="H1101" t="s">
        <v>12</v>
      </c>
      <c r="I1101" t="s">
        <v>1291</v>
      </c>
      <c r="J1101" t="s">
        <v>54</v>
      </c>
      <c r="K1101">
        <v>157399</v>
      </c>
      <c r="L1101" t="s">
        <v>6408</v>
      </c>
      <c r="M1101" t="str" cm="1">
        <f t="array" ref="M1101">INDEX('Org List'!$A$2:$C$1005,MATCH(Consolidated!I1101&amp;Consolidated!J1101,'Org List'!$A$2:$A$1005&amp;'Org List'!$B$2:$B$1005,0),3)</f>
        <v>NGOs: National</v>
      </c>
    </row>
    <row r="1102" spans="1:13" x14ac:dyDescent="0.25">
      <c r="A1102" t="s">
        <v>2171</v>
      </c>
      <c r="B1102" t="s">
        <v>2166</v>
      </c>
      <c r="C1102" t="s">
        <v>2167</v>
      </c>
      <c r="D1102" t="s">
        <v>30</v>
      </c>
      <c r="E1102" t="s">
        <v>150</v>
      </c>
      <c r="F1102">
        <v>4500367564</v>
      </c>
      <c r="H1102" t="s">
        <v>12</v>
      </c>
      <c r="I1102" t="s">
        <v>1982</v>
      </c>
      <c r="J1102" t="s">
        <v>150</v>
      </c>
      <c r="K1102">
        <v>421926</v>
      </c>
      <c r="L1102" t="s">
        <v>6408</v>
      </c>
      <c r="M1102" t="str" cm="1">
        <f t="array" ref="M1102">INDEX('Org List'!$A$2:$C$1005,MATCH(Consolidated!I1102&amp;Consolidated!J1102,'Org List'!$A$2:$A$1005&amp;'Org List'!$B$2:$B$1005,0),3)</f>
        <v>NGOs: National</v>
      </c>
    </row>
    <row r="1103" spans="1:13" x14ac:dyDescent="0.25">
      <c r="A1103" t="s">
        <v>2171</v>
      </c>
      <c r="B1103" t="s">
        <v>1640</v>
      </c>
      <c r="C1103" t="s">
        <v>1641</v>
      </c>
      <c r="D1103" t="s">
        <v>30</v>
      </c>
      <c r="E1103" t="s">
        <v>54</v>
      </c>
      <c r="F1103">
        <v>4500377090</v>
      </c>
      <c r="H1103" t="s">
        <v>12</v>
      </c>
      <c r="I1103" t="s">
        <v>2004</v>
      </c>
      <c r="J1103" t="s">
        <v>54</v>
      </c>
      <c r="K1103">
        <v>468798</v>
      </c>
      <c r="L1103" t="s">
        <v>6408</v>
      </c>
      <c r="M1103" t="str" cm="1">
        <f t="array" ref="M1103">INDEX('Org List'!$A$2:$C$1005,MATCH(Consolidated!I1103&amp;Consolidated!J1103,'Org List'!$A$2:$A$1005&amp;'Org List'!$B$2:$B$1005,0),3)</f>
        <v>NGOs: National</v>
      </c>
    </row>
    <row r="1104" spans="1:13" x14ac:dyDescent="0.25">
      <c r="A1104" t="s">
        <v>2171</v>
      </c>
      <c r="B1104" t="s">
        <v>1640</v>
      </c>
      <c r="C1104" t="s">
        <v>1641</v>
      </c>
      <c r="D1104" t="s">
        <v>30</v>
      </c>
      <c r="E1104" t="s">
        <v>54</v>
      </c>
      <c r="F1104">
        <v>4500376011</v>
      </c>
      <c r="H1104" t="s">
        <v>12</v>
      </c>
      <c r="I1104" t="s">
        <v>1291</v>
      </c>
      <c r="J1104" t="s">
        <v>54</v>
      </c>
      <c r="K1104">
        <v>115033</v>
      </c>
      <c r="L1104" t="s">
        <v>6408</v>
      </c>
      <c r="M1104" t="str" cm="1">
        <f t="array" ref="M1104">INDEX('Org List'!$A$2:$C$1005,MATCH(Consolidated!I1104&amp;Consolidated!J1104,'Org List'!$A$2:$A$1005&amp;'Org List'!$B$2:$B$1005,0),3)</f>
        <v>NGOs: National</v>
      </c>
    </row>
    <row r="1105" spans="1:13" x14ac:dyDescent="0.25">
      <c r="A1105" t="s">
        <v>2196</v>
      </c>
      <c r="B1105" t="s">
        <v>2198</v>
      </c>
      <c r="C1105" t="s">
        <v>2199</v>
      </c>
      <c r="D1105" t="s">
        <v>30</v>
      </c>
      <c r="E1105" t="s">
        <v>940</v>
      </c>
      <c r="F1105">
        <v>4500332030</v>
      </c>
      <c r="G1105" t="s">
        <v>2200</v>
      </c>
      <c r="H1105" t="s">
        <v>12</v>
      </c>
      <c r="I1105" t="s">
        <v>1259</v>
      </c>
      <c r="J1105" t="s">
        <v>940</v>
      </c>
      <c r="K1105" s="2">
        <v>17577</v>
      </c>
      <c r="L1105" t="s">
        <v>6408</v>
      </c>
      <c r="M1105" t="str" cm="1">
        <f t="array" ref="M1105">INDEX('Org List'!$A$2:$C$1005,MATCH(Consolidated!I1105&amp;Consolidated!J1105,'Org List'!$A$2:$A$1005&amp;'Org List'!$B$2:$B$1005,0),3)</f>
        <v>NGOs: National</v>
      </c>
    </row>
    <row r="1106" spans="1:13" x14ac:dyDescent="0.25">
      <c r="A1106" t="s">
        <v>2196</v>
      </c>
      <c r="B1106" t="s">
        <v>2198</v>
      </c>
      <c r="C1106" t="s">
        <v>2199</v>
      </c>
      <c r="D1106" t="s">
        <v>30</v>
      </c>
      <c r="E1106" t="s">
        <v>940</v>
      </c>
      <c r="F1106">
        <v>4500332036</v>
      </c>
      <c r="G1106" t="s">
        <v>2200</v>
      </c>
      <c r="H1106" t="s">
        <v>12</v>
      </c>
      <c r="I1106" t="s">
        <v>2201</v>
      </c>
      <c r="J1106" t="s">
        <v>940</v>
      </c>
      <c r="K1106" s="2">
        <v>17390</v>
      </c>
      <c r="L1106" t="s">
        <v>6408</v>
      </c>
      <c r="M1106" t="str" cm="1">
        <f t="array" ref="M1106">INDEX('Org List'!$A$2:$C$1005,MATCH(Consolidated!I1106&amp;Consolidated!J1106,'Org List'!$A$2:$A$1005&amp;'Org List'!$B$2:$B$1005,0),3)</f>
        <v>NGOs: National</v>
      </c>
    </row>
    <row r="1107" spans="1:13" x14ac:dyDescent="0.25">
      <c r="A1107" t="s">
        <v>2196</v>
      </c>
      <c r="B1107" t="s">
        <v>2198</v>
      </c>
      <c r="C1107" t="s">
        <v>2199</v>
      </c>
      <c r="D1107" t="s">
        <v>30</v>
      </c>
      <c r="E1107" t="s">
        <v>940</v>
      </c>
      <c r="F1107">
        <v>4500332042</v>
      </c>
      <c r="G1107" t="s">
        <v>2200</v>
      </c>
      <c r="H1107" t="s">
        <v>12</v>
      </c>
      <c r="I1107" t="s">
        <v>1260</v>
      </c>
      <c r="J1107" t="s">
        <v>940</v>
      </c>
      <c r="K1107" s="2">
        <v>16232</v>
      </c>
      <c r="L1107" t="s">
        <v>6408</v>
      </c>
      <c r="M1107" t="str" cm="1">
        <f t="array" ref="M1107">INDEX('Org List'!$A$2:$C$1005,MATCH(Consolidated!I1107&amp;Consolidated!J1107,'Org List'!$A$2:$A$1005&amp;'Org List'!$B$2:$B$1005,0),3)</f>
        <v>NGOs: National</v>
      </c>
    </row>
    <row r="1108" spans="1:13" x14ac:dyDescent="0.25">
      <c r="A1108" t="s">
        <v>2196</v>
      </c>
      <c r="B1108" t="s">
        <v>2198</v>
      </c>
      <c r="C1108" t="s">
        <v>2199</v>
      </c>
      <c r="D1108" t="s">
        <v>30</v>
      </c>
      <c r="E1108" t="s">
        <v>940</v>
      </c>
      <c r="F1108">
        <v>4500332045</v>
      </c>
      <c r="G1108" t="s">
        <v>2200</v>
      </c>
      <c r="H1108" t="s">
        <v>12</v>
      </c>
      <c r="I1108" t="s">
        <v>1260</v>
      </c>
      <c r="J1108" t="s">
        <v>940</v>
      </c>
      <c r="K1108" s="2">
        <v>15864</v>
      </c>
      <c r="L1108" t="s">
        <v>6408</v>
      </c>
      <c r="M1108" t="str" cm="1">
        <f t="array" ref="M1108">INDEX('Org List'!$A$2:$C$1005,MATCH(Consolidated!I1108&amp;Consolidated!J1108,'Org List'!$A$2:$A$1005&amp;'Org List'!$B$2:$B$1005,0),3)</f>
        <v>NGOs: National</v>
      </c>
    </row>
    <row r="1109" spans="1:13" x14ac:dyDescent="0.25">
      <c r="A1109" t="s">
        <v>2196</v>
      </c>
      <c r="B1109" t="s">
        <v>2202</v>
      </c>
      <c r="C1109" t="s">
        <v>2203</v>
      </c>
      <c r="D1109" t="s">
        <v>30</v>
      </c>
      <c r="E1109" t="s">
        <v>175</v>
      </c>
      <c r="F1109">
        <v>4500344022</v>
      </c>
      <c r="G1109" t="s">
        <v>2204</v>
      </c>
      <c r="H1109" t="s">
        <v>12</v>
      </c>
      <c r="I1109" t="s">
        <v>183</v>
      </c>
      <c r="J1109" t="s">
        <v>184</v>
      </c>
      <c r="K1109" s="2">
        <v>58628</v>
      </c>
      <c r="L1109" t="s">
        <v>6408</v>
      </c>
      <c r="M1109" t="str" cm="1">
        <f t="array" ref="M1109">INDEX('Org List'!$A$2:$C$1005,MATCH(Consolidated!I1109&amp;Consolidated!J1109,'Org List'!$A$2:$A$1005&amp;'Org List'!$B$2:$B$1005,0),3)</f>
        <v>NGOs: International</v>
      </c>
    </row>
    <row r="1110" spans="1:13" x14ac:dyDescent="0.25">
      <c r="A1110" t="s">
        <v>2196</v>
      </c>
      <c r="B1110" t="s">
        <v>2202</v>
      </c>
      <c r="C1110" t="s">
        <v>2203</v>
      </c>
      <c r="D1110" t="s">
        <v>30</v>
      </c>
      <c r="E1110" t="s">
        <v>175</v>
      </c>
      <c r="F1110">
        <v>4500347926</v>
      </c>
      <c r="G1110" t="s">
        <v>2205</v>
      </c>
      <c r="H1110" t="s">
        <v>12</v>
      </c>
      <c r="I1110" t="s">
        <v>887</v>
      </c>
      <c r="J1110" t="s">
        <v>175</v>
      </c>
      <c r="K1110" s="2">
        <v>29022</v>
      </c>
      <c r="L1110" t="s">
        <v>6408</v>
      </c>
      <c r="M1110" t="str" cm="1">
        <f t="array" ref="M1110">INDEX('Org List'!$A$2:$C$1005,MATCH(Consolidated!I1110&amp;Consolidated!J1110,'Org List'!$A$2:$A$1005&amp;'Org List'!$B$2:$B$1005,0),3)</f>
        <v>NGOs: International</v>
      </c>
    </row>
    <row r="1111" spans="1:13" x14ac:dyDescent="0.25">
      <c r="A1111" t="s">
        <v>2196</v>
      </c>
      <c r="B1111" t="s">
        <v>1913</v>
      </c>
      <c r="C1111" t="s">
        <v>1914</v>
      </c>
      <c r="D1111" t="s">
        <v>30</v>
      </c>
      <c r="E1111" t="s">
        <v>226</v>
      </c>
      <c r="F1111">
        <v>4500350515</v>
      </c>
      <c r="G1111" t="s">
        <v>2206</v>
      </c>
      <c r="H1111" t="s">
        <v>12</v>
      </c>
      <c r="I1111" t="s">
        <v>842</v>
      </c>
      <c r="J1111" t="s">
        <v>226</v>
      </c>
      <c r="K1111" s="2">
        <v>132349</v>
      </c>
      <c r="L1111" t="s">
        <v>6408</v>
      </c>
      <c r="M1111" t="str" cm="1">
        <f t="array" ref="M1111">INDEX('Org List'!$A$2:$C$1005,MATCH(Consolidated!I1111&amp;Consolidated!J1111,'Org List'!$A$2:$A$1005&amp;'Org List'!$B$2:$B$1005,0),3)</f>
        <v>NGOs: National</v>
      </c>
    </row>
    <row r="1112" spans="1:13" x14ac:dyDescent="0.25">
      <c r="A1112" t="s">
        <v>2196</v>
      </c>
      <c r="B1112" t="s">
        <v>2298</v>
      </c>
      <c r="C1112" t="s">
        <v>2299</v>
      </c>
      <c r="D1112" t="s">
        <v>30</v>
      </c>
      <c r="E1112" t="s">
        <v>1166</v>
      </c>
      <c r="F1112">
        <v>4500341324</v>
      </c>
      <c r="G1112" t="s">
        <v>2300</v>
      </c>
      <c r="H1112" t="s">
        <v>12</v>
      </c>
      <c r="I1112" t="s">
        <v>2301</v>
      </c>
      <c r="J1112" t="s">
        <v>1166</v>
      </c>
      <c r="K1112" s="2">
        <v>16124</v>
      </c>
      <c r="L1112" t="s">
        <v>6408</v>
      </c>
      <c r="M1112" t="str" cm="1">
        <f t="array" ref="M1112">INDEX('Org List'!$A$2:$C$1005,MATCH(Consolidated!I1112&amp;Consolidated!J1112,'Org List'!$A$2:$A$1005&amp;'Org List'!$B$2:$B$1005,0),3)</f>
        <v>Red Cross: National</v>
      </c>
    </row>
    <row r="1113" spans="1:13" x14ac:dyDescent="0.25">
      <c r="A1113" t="s">
        <v>2196</v>
      </c>
      <c r="B1113" t="s">
        <v>2298</v>
      </c>
      <c r="C1113" t="s">
        <v>2299</v>
      </c>
      <c r="D1113" t="s">
        <v>30</v>
      </c>
      <c r="E1113" t="s">
        <v>1166</v>
      </c>
      <c r="F1113">
        <v>4500341332</v>
      </c>
      <c r="G1113" t="s">
        <v>2302</v>
      </c>
      <c r="H1113" t="s">
        <v>12</v>
      </c>
      <c r="I1113" t="s">
        <v>2303</v>
      </c>
      <c r="J1113" t="s">
        <v>1166</v>
      </c>
      <c r="K1113" s="2">
        <v>10124</v>
      </c>
      <c r="L1113" t="s">
        <v>6408</v>
      </c>
      <c r="M1113" t="str" cm="1">
        <f t="array" ref="M1113">INDEX('Org List'!$A$2:$C$1005,MATCH(Consolidated!I1113&amp;Consolidated!J1113,'Org List'!$A$2:$A$1005&amp;'Org List'!$B$2:$B$1005,0),3)</f>
        <v>Red Cross: National</v>
      </c>
    </row>
    <row r="1114" spans="1:13" x14ac:dyDescent="0.25">
      <c r="A1114" t="s">
        <v>2196</v>
      </c>
      <c r="B1114" t="s">
        <v>66</v>
      </c>
      <c r="C1114" t="s">
        <v>67</v>
      </c>
      <c r="D1114" t="s">
        <v>30</v>
      </c>
      <c r="E1114" t="s">
        <v>1166</v>
      </c>
      <c r="F1114">
        <v>4500342660</v>
      </c>
      <c r="G1114" t="s">
        <v>2304</v>
      </c>
      <c r="H1114" t="s">
        <v>12</v>
      </c>
      <c r="I1114" t="s">
        <v>2305</v>
      </c>
      <c r="J1114" t="s">
        <v>1166</v>
      </c>
      <c r="K1114" s="2">
        <v>819558</v>
      </c>
      <c r="L1114" t="s">
        <v>6408</v>
      </c>
      <c r="M1114" t="str" cm="1">
        <f t="array" ref="M1114">INDEX('Org List'!$A$2:$C$1005,MATCH(Consolidated!I1114&amp;Consolidated!J1114,'Org List'!$A$2:$A$1005&amp;'Org List'!$B$2:$B$1005,0),3)</f>
        <v>NGOs: International</v>
      </c>
    </row>
    <row r="1115" spans="1:13" x14ac:dyDescent="0.25">
      <c r="A1115" t="s">
        <v>2196</v>
      </c>
      <c r="B1115" t="s">
        <v>66</v>
      </c>
      <c r="C1115" t="s">
        <v>67</v>
      </c>
      <c r="D1115" t="s">
        <v>30</v>
      </c>
      <c r="E1115" t="s">
        <v>1166</v>
      </c>
      <c r="F1115">
        <v>4500344593</v>
      </c>
      <c r="G1115" t="s">
        <v>2306</v>
      </c>
      <c r="H1115" t="s">
        <v>12</v>
      </c>
      <c r="I1115" t="s">
        <v>2307</v>
      </c>
      <c r="J1115" t="s">
        <v>1166</v>
      </c>
      <c r="K1115" s="2">
        <v>52949</v>
      </c>
      <c r="L1115" t="s">
        <v>6408</v>
      </c>
      <c r="M1115" t="str" cm="1">
        <f t="array" ref="M1115">INDEX('Org List'!$A$2:$C$1005,MATCH(Consolidated!I1115&amp;Consolidated!J1115,'Org List'!$A$2:$A$1005&amp;'Org List'!$B$2:$B$1005,0),3)</f>
        <v>Governments: National</v>
      </c>
    </row>
    <row r="1116" spans="1:13" x14ac:dyDescent="0.25">
      <c r="A1116" t="s">
        <v>2196</v>
      </c>
      <c r="B1116" t="s">
        <v>2308</v>
      </c>
      <c r="C1116" t="s">
        <v>2309</v>
      </c>
      <c r="D1116" t="s">
        <v>30</v>
      </c>
      <c r="E1116" t="s">
        <v>253</v>
      </c>
      <c r="F1116">
        <v>4500345198</v>
      </c>
      <c r="G1116" t="s">
        <v>2310</v>
      </c>
      <c r="H1116" t="s">
        <v>12</v>
      </c>
      <c r="I1116" t="s">
        <v>1362</v>
      </c>
      <c r="J1116" t="s">
        <v>253</v>
      </c>
      <c r="K1116" s="2">
        <v>20896</v>
      </c>
      <c r="L1116" t="s">
        <v>6408</v>
      </c>
      <c r="M1116" t="str" cm="1">
        <f t="array" ref="M1116">INDEX('Org List'!$A$2:$C$1005,MATCH(Consolidated!I1116&amp;Consolidated!J1116,'Org List'!$A$2:$A$1005&amp;'Org List'!$B$2:$B$1005,0),3)</f>
        <v>Red Cross: National</v>
      </c>
    </row>
    <row r="1117" spans="1:13" x14ac:dyDescent="0.25">
      <c r="A1117" t="s">
        <v>2196</v>
      </c>
      <c r="B1117" t="s">
        <v>2311</v>
      </c>
      <c r="C1117" t="s">
        <v>2312</v>
      </c>
      <c r="D1117" t="s">
        <v>30</v>
      </c>
      <c r="E1117" t="s">
        <v>175</v>
      </c>
      <c r="F1117">
        <v>4500341929</v>
      </c>
      <c r="G1117" t="s">
        <v>2313</v>
      </c>
      <c r="H1117" t="s">
        <v>12</v>
      </c>
      <c r="I1117" t="s">
        <v>390</v>
      </c>
      <c r="J1117" t="s">
        <v>175</v>
      </c>
      <c r="K1117" s="2">
        <v>150563</v>
      </c>
      <c r="L1117" t="s">
        <v>6408</v>
      </c>
      <c r="M1117" t="str" cm="1">
        <f t="array" ref="M1117">INDEX('Org List'!$A$2:$C$1005,MATCH(Consolidated!I1117&amp;Consolidated!J1117,'Org List'!$A$2:$A$1005&amp;'Org List'!$B$2:$B$1005,0),3)</f>
        <v>NGOs: Local</v>
      </c>
    </row>
    <row r="1118" spans="1:13" x14ac:dyDescent="0.25">
      <c r="A1118" t="s">
        <v>2196</v>
      </c>
      <c r="B1118" t="s">
        <v>1243</v>
      </c>
      <c r="C1118" t="s">
        <v>1244</v>
      </c>
      <c r="D1118" t="s">
        <v>30</v>
      </c>
      <c r="E1118" t="s">
        <v>32</v>
      </c>
      <c r="F1118">
        <v>4500330024</v>
      </c>
      <c r="G1118" t="s">
        <v>2200</v>
      </c>
      <c r="H1118" t="s">
        <v>12</v>
      </c>
      <c r="I1118" t="s">
        <v>2314</v>
      </c>
      <c r="J1118" t="s">
        <v>32</v>
      </c>
      <c r="K1118" s="2">
        <v>4859</v>
      </c>
      <c r="L1118" t="s">
        <v>6408</v>
      </c>
      <c r="M1118" t="str" cm="1">
        <f t="array" ref="M1118">INDEX('Org List'!$A$2:$C$1005,MATCH(Consolidated!I1118&amp;Consolidated!J1118,'Org List'!$A$2:$A$1005&amp;'Org List'!$B$2:$B$1005,0),3)</f>
        <v>Red Cross: National</v>
      </c>
    </row>
    <row r="1119" spans="1:13" x14ac:dyDescent="0.25">
      <c r="A1119" t="s">
        <v>2196</v>
      </c>
      <c r="B1119" t="s">
        <v>70</v>
      </c>
      <c r="C1119" t="s">
        <v>71</v>
      </c>
      <c r="D1119" t="s">
        <v>30</v>
      </c>
      <c r="E1119" t="s">
        <v>150</v>
      </c>
      <c r="F1119">
        <v>4500344062</v>
      </c>
      <c r="G1119" t="s">
        <v>2315</v>
      </c>
      <c r="H1119" t="s">
        <v>12</v>
      </c>
      <c r="I1119" t="s">
        <v>2316</v>
      </c>
      <c r="J1119" t="s">
        <v>150</v>
      </c>
      <c r="K1119" s="2">
        <v>279655</v>
      </c>
      <c r="L1119" t="s">
        <v>6408</v>
      </c>
      <c r="M1119" t="str" cm="1">
        <f t="array" ref="M1119">INDEX('Org List'!$A$2:$C$1005,MATCH(Consolidated!I1119&amp;Consolidated!J1119,'Org List'!$A$2:$A$1005&amp;'Org List'!$B$2:$B$1005,0),3)</f>
        <v>NGOs: Local</v>
      </c>
    </row>
    <row r="1120" spans="1:13" x14ac:dyDescent="0.25">
      <c r="A1120" t="s">
        <v>2196</v>
      </c>
      <c r="B1120" t="s">
        <v>74</v>
      </c>
      <c r="C1120" t="s">
        <v>75</v>
      </c>
      <c r="D1120" t="s">
        <v>30</v>
      </c>
      <c r="E1120" t="s">
        <v>903</v>
      </c>
      <c r="F1120">
        <v>4500328416</v>
      </c>
      <c r="G1120" t="s">
        <v>2317</v>
      </c>
      <c r="H1120" t="s">
        <v>12</v>
      </c>
      <c r="I1120" t="s">
        <v>1759</v>
      </c>
      <c r="J1120" t="s">
        <v>903</v>
      </c>
      <c r="K1120" s="2">
        <v>24920</v>
      </c>
      <c r="L1120" t="s">
        <v>6408</v>
      </c>
      <c r="M1120" t="str" cm="1">
        <f t="array" ref="M1120">INDEX('Org List'!$A$2:$C$1005,MATCH(Consolidated!I1120&amp;Consolidated!J1120,'Org List'!$A$2:$A$1005&amp;'Org List'!$B$2:$B$1005,0),3)</f>
        <v>NGOs: Local</v>
      </c>
    </row>
    <row r="1121" spans="1:13" x14ac:dyDescent="0.25">
      <c r="A1121" t="s">
        <v>2196</v>
      </c>
      <c r="B1121" t="s">
        <v>74</v>
      </c>
      <c r="C1121" t="s">
        <v>75</v>
      </c>
      <c r="D1121" t="s">
        <v>30</v>
      </c>
      <c r="E1121" t="s">
        <v>903</v>
      </c>
      <c r="F1121">
        <v>4500331215</v>
      </c>
      <c r="G1121" t="s">
        <v>2318</v>
      </c>
      <c r="H1121" t="s">
        <v>12</v>
      </c>
      <c r="I1121" t="s">
        <v>77</v>
      </c>
      <c r="J1121" t="s">
        <v>903</v>
      </c>
      <c r="K1121" s="2">
        <v>102597</v>
      </c>
      <c r="L1121" t="s">
        <v>6408</v>
      </c>
      <c r="M1121" t="str" cm="1">
        <f t="array" ref="M1121">INDEX('Org List'!$A$2:$C$1005,MATCH(Consolidated!I1121&amp;Consolidated!J1121,'Org List'!$A$2:$A$1005&amp;'Org List'!$B$2:$B$1005,0),3)</f>
        <v>NGOs: National</v>
      </c>
    </row>
    <row r="1122" spans="1:13" x14ac:dyDescent="0.25">
      <c r="A1122" t="s">
        <v>2196</v>
      </c>
      <c r="B1122" t="s">
        <v>74</v>
      </c>
      <c r="C1122" t="s">
        <v>75</v>
      </c>
      <c r="D1122" t="s">
        <v>30</v>
      </c>
      <c r="E1122" t="s">
        <v>903</v>
      </c>
      <c r="F1122">
        <v>4500332238</v>
      </c>
      <c r="G1122" t="s">
        <v>2319</v>
      </c>
      <c r="H1122" t="s">
        <v>12</v>
      </c>
      <c r="I1122" t="s">
        <v>80</v>
      </c>
      <c r="J1122" t="s">
        <v>903</v>
      </c>
      <c r="K1122" s="2">
        <v>11311</v>
      </c>
      <c r="L1122" t="s">
        <v>6408</v>
      </c>
      <c r="M1122" t="str" cm="1">
        <f t="array" ref="M1122">INDEX('Org List'!$A$2:$C$1005,MATCH(Consolidated!I1122&amp;Consolidated!J1122,'Org List'!$A$2:$A$1005&amp;'Org List'!$B$2:$B$1005,0),3)</f>
        <v>NGOs: National</v>
      </c>
    </row>
    <row r="1123" spans="1:13" x14ac:dyDescent="0.25">
      <c r="A1123" t="s">
        <v>2196</v>
      </c>
      <c r="B1123" t="s">
        <v>74</v>
      </c>
      <c r="C1123" t="s">
        <v>75</v>
      </c>
      <c r="D1123" t="s">
        <v>30</v>
      </c>
      <c r="E1123" t="s">
        <v>903</v>
      </c>
      <c r="F1123">
        <v>4500332911</v>
      </c>
      <c r="G1123" t="s">
        <v>2320</v>
      </c>
      <c r="H1123" t="s">
        <v>12</v>
      </c>
      <c r="I1123" t="s">
        <v>950</v>
      </c>
      <c r="J1123" t="s">
        <v>903</v>
      </c>
      <c r="K1123" s="2">
        <v>10227</v>
      </c>
      <c r="L1123" t="s">
        <v>6408</v>
      </c>
      <c r="M1123" t="str" cm="1">
        <f t="array" ref="M1123">INDEX('Org List'!$A$2:$C$1005,MATCH(Consolidated!I1123&amp;Consolidated!J1123,'Org List'!$A$2:$A$1005&amp;'Org List'!$B$2:$B$1005,0),3)</f>
        <v>NGOs: National</v>
      </c>
    </row>
    <row r="1124" spans="1:13" x14ac:dyDescent="0.25">
      <c r="A1124" t="s">
        <v>2196</v>
      </c>
      <c r="B1124" t="s">
        <v>74</v>
      </c>
      <c r="C1124" t="s">
        <v>75</v>
      </c>
      <c r="D1124" t="s">
        <v>30</v>
      </c>
      <c r="E1124" t="s">
        <v>903</v>
      </c>
      <c r="F1124">
        <v>4500334631</v>
      </c>
      <c r="G1124" t="s">
        <v>2321</v>
      </c>
      <c r="H1124" t="s">
        <v>12</v>
      </c>
      <c r="I1124" t="s">
        <v>1760</v>
      </c>
      <c r="J1124" t="s">
        <v>903</v>
      </c>
      <c r="K1124" s="2">
        <v>6476</v>
      </c>
      <c r="L1124" t="s">
        <v>6408</v>
      </c>
      <c r="M1124" t="str" cm="1">
        <f t="array" ref="M1124">INDEX('Org List'!$A$2:$C$1005,MATCH(Consolidated!I1124&amp;Consolidated!J1124,'Org List'!$A$2:$A$1005&amp;'Org List'!$B$2:$B$1005,0),3)</f>
        <v>NGOs: National</v>
      </c>
    </row>
    <row r="1125" spans="1:13" x14ac:dyDescent="0.25">
      <c r="A1125" t="s">
        <v>2196</v>
      </c>
      <c r="B1125" t="s">
        <v>74</v>
      </c>
      <c r="C1125" t="s">
        <v>75</v>
      </c>
      <c r="D1125" t="s">
        <v>30</v>
      </c>
      <c r="E1125" t="s">
        <v>903</v>
      </c>
      <c r="F1125">
        <v>4500335022</v>
      </c>
      <c r="G1125" t="s">
        <v>2322</v>
      </c>
      <c r="H1125" t="s">
        <v>12</v>
      </c>
      <c r="I1125" t="s">
        <v>1761</v>
      </c>
      <c r="J1125" t="s">
        <v>903</v>
      </c>
      <c r="K1125" s="2">
        <v>9350</v>
      </c>
      <c r="L1125" t="s">
        <v>6408</v>
      </c>
      <c r="M1125" t="str" cm="1">
        <f t="array" ref="M1125">INDEX('Org List'!$A$2:$C$1005,MATCH(Consolidated!I1125&amp;Consolidated!J1125,'Org List'!$A$2:$A$1005&amp;'Org List'!$B$2:$B$1005,0),3)</f>
        <v>NGOs: National</v>
      </c>
    </row>
    <row r="1126" spans="1:13" x14ac:dyDescent="0.25">
      <c r="A1126" t="s">
        <v>2196</v>
      </c>
      <c r="B1126" t="s">
        <v>74</v>
      </c>
      <c r="C1126" t="s">
        <v>75</v>
      </c>
      <c r="D1126" t="s">
        <v>30</v>
      </c>
      <c r="E1126" t="s">
        <v>903</v>
      </c>
      <c r="F1126">
        <v>4500341241</v>
      </c>
      <c r="G1126" t="s">
        <v>2323</v>
      </c>
      <c r="H1126" t="s">
        <v>12</v>
      </c>
      <c r="I1126" t="s">
        <v>2324</v>
      </c>
      <c r="J1126" t="s">
        <v>903</v>
      </c>
      <c r="K1126" s="2">
        <v>5612</v>
      </c>
      <c r="L1126" t="s">
        <v>6408</v>
      </c>
      <c r="M1126" t="str" cm="1">
        <f t="array" ref="M1126">INDEX('Org List'!$A$2:$C$1005,MATCH(Consolidated!I1126&amp;Consolidated!J1126,'Org List'!$A$2:$A$1005&amp;'Org List'!$B$2:$B$1005,0),3)</f>
        <v>NGOs: National</v>
      </c>
    </row>
    <row r="1127" spans="1:13" x14ac:dyDescent="0.25">
      <c r="A1127" t="s">
        <v>2196</v>
      </c>
      <c r="B1127" t="s">
        <v>1257</v>
      </c>
      <c r="C1127" t="s">
        <v>1258</v>
      </c>
      <c r="D1127" t="s">
        <v>30</v>
      </c>
      <c r="E1127" t="s">
        <v>940</v>
      </c>
      <c r="F1127">
        <v>4500332030</v>
      </c>
      <c r="G1127" t="s">
        <v>2200</v>
      </c>
      <c r="H1127" t="s">
        <v>12</v>
      </c>
      <c r="I1127" t="s">
        <v>1259</v>
      </c>
      <c r="J1127" t="s">
        <v>940</v>
      </c>
      <c r="K1127" s="2">
        <v>99603</v>
      </c>
      <c r="L1127" t="s">
        <v>6408</v>
      </c>
      <c r="M1127" t="str" cm="1">
        <f t="array" ref="M1127">INDEX('Org List'!$A$2:$C$1005,MATCH(Consolidated!I1127&amp;Consolidated!J1127,'Org List'!$A$2:$A$1005&amp;'Org List'!$B$2:$B$1005,0),3)</f>
        <v>NGOs: National</v>
      </c>
    </row>
    <row r="1128" spans="1:13" x14ac:dyDescent="0.25">
      <c r="A1128" t="s">
        <v>2196</v>
      </c>
      <c r="B1128" t="s">
        <v>1257</v>
      </c>
      <c r="C1128" t="s">
        <v>1258</v>
      </c>
      <c r="D1128" t="s">
        <v>30</v>
      </c>
      <c r="E1128" t="s">
        <v>940</v>
      </c>
      <c r="F1128">
        <v>4500332036</v>
      </c>
      <c r="G1128" t="s">
        <v>2200</v>
      </c>
      <c r="H1128" t="s">
        <v>12</v>
      </c>
      <c r="I1128" t="s">
        <v>2201</v>
      </c>
      <c r="J1128" t="s">
        <v>940</v>
      </c>
      <c r="K1128" s="2">
        <v>98541</v>
      </c>
      <c r="L1128" t="s">
        <v>6408</v>
      </c>
      <c r="M1128" t="str" cm="1">
        <f t="array" ref="M1128">INDEX('Org List'!$A$2:$C$1005,MATCH(Consolidated!I1128&amp;Consolidated!J1128,'Org List'!$A$2:$A$1005&amp;'Org List'!$B$2:$B$1005,0),3)</f>
        <v>NGOs: National</v>
      </c>
    </row>
    <row r="1129" spans="1:13" x14ac:dyDescent="0.25">
      <c r="A1129" t="s">
        <v>2196</v>
      </c>
      <c r="B1129" t="s">
        <v>1257</v>
      </c>
      <c r="C1129" t="s">
        <v>1258</v>
      </c>
      <c r="D1129" t="s">
        <v>30</v>
      </c>
      <c r="E1129" t="s">
        <v>940</v>
      </c>
      <c r="F1129">
        <v>4500332042</v>
      </c>
      <c r="G1129" t="s">
        <v>2200</v>
      </c>
      <c r="H1129" t="s">
        <v>12</v>
      </c>
      <c r="I1129" t="s">
        <v>1260</v>
      </c>
      <c r="J1129" t="s">
        <v>940</v>
      </c>
      <c r="K1129" s="2">
        <v>91981</v>
      </c>
      <c r="L1129" t="s">
        <v>6408</v>
      </c>
      <c r="M1129" t="str" cm="1">
        <f t="array" ref="M1129">INDEX('Org List'!$A$2:$C$1005,MATCH(Consolidated!I1129&amp;Consolidated!J1129,'Org List'!$A$2:$A$1005&amp;'Org List'!$B$2:$B$1005,0),3)</f>
        <v>NGOs: National</v>
      </c>
    </row>
    <row r="1130" spans="1:13" x14ac:dyDescent="0.25">
      <c r="A1130" t="s">
        <v>2196</v>
      </c>
      <c r="B1130" t="s">
        <v>1257</v>
      </c>
      <c r="C1130" t="s">
        <v>1258</v>
      </c>
      <c r="D1130" t="s">
        <v>30</v>
      </c>
      <c r="E1130" t="s">
        <v>940</v>
      </c>
      <c r="F1130">
        <v>4500332045</v>
      </c>
      <c r="G1130" t="s">
        <v>2200</v>
      </c>
      <c r="H1130" t="s">
        <v>12</v>
      </c>
      <c r="I1130" t="s">
        <v>1260</v>
      </c>
      <c r="J1130" t="s">
        <v>940</v>
      </c>
      <c r="K1130" s="2">
        <v>89896</v>
      </c>
      <c r="L1130" t="s">
        <v>6408</v>
      </c>
      <c r="M1130" t="str" cm="1">
        <f t="array" ref="M1130">INDEX('Org List'!$A$2:$C$1005,MATCH(Consolidated!I1130&amp;Consolidated!J1130,'Org List'!$A$2:$A$1005&amp;'Org List'!$B$2:$B$1005,0),3)</f>
        <v>NGOs: National</v>
      </c>
    </row>
    <row r="1131" spans="1:13" x14ac:dyDescent="0.25">
      <c r="A1131" t="s">
        <v>2196</v>
      </c>
      <c r="B1131" t="s">
        <v>2325</v>
      </c>
      <c r="C1131" t="s">
        <v>2326</v>
      </c>
      <c r="D1131" t="s">
        <v>30</v>
      </c>
      <c r="E1131" t="s">
        <v>909</v>
      </c>
      <c r="F1131">
        <v>4500351097</v>
      </c>
      <c r="G1131" t="s">
        <v>2200</v>
      </c>
      <c r="H1131" t="s">
        <v>12</v>
      </c>
      <c r="I1131" t="s">
        <v>1331</v>
      </c>
      <c r="J1131" t="s">
        <v>909</v>
      </c>
      <c r="K1131" s="2">
        <v>1107</v>
      </c>
      <c r="L1131" t="s">
        <v>6408</v>
      </c>
      <c r="M1131" t="str" cm="1">
        <f t="array" ref="M1131">INDEX('Org List'!$A$2:$C$1005,MATCH(Consolidated!I1131&amp;Consolidated!J1131,'Org List'!$A$2:$A$1005&amp;'Org List'!$B$2:$B$1005,0),3)</f>
        <v>NGOs: National</v>
      </c>
    </row>
    <row r="1132" spans="1:13" x14ac:dyDescent="0.25">
      <c r="A1132" t="s">
        <v>2196</v>
      </c>
      <c r="B1132" t="s">
        <v>2325</v>
      </c>
      <c r="C1132" t="s">
        <v>2326</v>
      </c>
      <c r="D1132" t="s">
        <v>30</v>
      </c>
      <c r="E1132" t="s">
        <v>909</v>
      </c>
      <c r="F1132">
        <v>4500351214</v>
      </c>
      <c r="G1132" t="s">
        <v>2200</v>
      </c>
      <c r="H1132" t="s">
        <v>12</v>
      </c>
      <c r="I1132" t="s">
        <v>2327</v>
      </c>
      <c r="J1132" t="s">
        <v>909</v>
      </c>
      <c r="K1132">
        <v>313</v>
      </c>
      <c r="L1132" t="s">
        <v>6408</v>
      </c>
      <c r="M1132" t="str" cm="1">
        <f t="array" ref="M1132">INDEX('Org List'!$A$2:$C$1005,MATCH(Consolidated!I1132&amp;Consolidated!J1132,'Org List'!$A$2:$A$1005&amp;'Org List'!$B$2:$B$1005,0),3)</f>
        <v>NGOs: Local</v>
      </c>
    </row>
    <row r="1133" spans="1:13" x14ac:dyDescent="0.25">
      <c r="A1133" t="s">
        <v>2196</v>
      </c>
      <c r="B1133" t="s">
        <v>2325</v>
      </c>
      <c r="C1133" t="s">
        <v>2326</v>
      </c>
      <c r="D1133" t="s">
        <v>30</v>
      </c>
      <c r="E1133" t="s">
        <v>909</v>
      </c>
      <c r="F1133">
        <v>4500351869</v>
      </c>
      <c r="G1133" t="s">
        <v>2200</v>
      </c>
      <c r="H1133" t="s">
        <v>12</v>
      </c>
      <c r="I1133" t="s">
        <v>1331</v>
      </c>
      <c r="J1133" t="s">
        <v>909</v>
      </c>
      <c r="K1133">
        <v>446</v>
      </c>
      <c r="L1133" t="s">
        <v>6408</v>
      </c>
      <c r="M1133" t="str" cm="1">
        <f t="array" ref="M1133">INDEX('Org List'!$A$2:$C$1005,MATCH(Consolidated!I1133&amp;Consolidated!J1133,'Org List'!$A$2:$A$1005&amp;'Org List'!$B$2:$B$1005,0),3)</f>
        <v>NGOs: National</v>
      </c>
    </row>
    <row r="1134" spans="1:13" x14ac:dyDescent="0.25">
      <c r="A1134" t="s">
        <v>2196</v>
      </c>
      <c r="B1134" t="s">
        <v>791</v>
      </c>
      <c r="C1134" t="s">
        <v>792</v>
      </c>
      <c r="D1134" t="s">
        <v>30</v>
      </c>
      <c r="E1134" t="s">
        <v>793</v>
      </c>
      <c r="F1134">
        <v>4500334019</v>
      </c>
      <c r="G1134" t="s">
        <v>2328</v>
      </c>
      <c r="H1134" t="s">
        <v>12</v>
      </c>
      <c r="I1134" t="s">
        <v>796</v>
      </c>
      <c r="J1134" t="s">
        <v>793</v>
      </c>
      <c r="K1134" s="2">
        <v>71646</v>
      </c>
      <c r="L1134" t="s">
        <v>6408</v>
      </c>
      <c r="M1134" t="str" cm="1">
        <f t="array" ref="M1134">INDEX('Org List'!$A$2:$C$1005,MATCH(Consolidated!I1134&amp;Consolidated!J1134,'Org List'!$A$2:$A$1005&amp;'Org List'!$B$2:$B$1005,0),3)</f>
        <v>NGOs: National</v>
      </c>
    </row>
    <row r="1135" spans="1:13" x14ac:dyDescent="0.25">
      <c r="A1135" t="s">
        <v>2196</v>
      </c>
      <c r="B1135" t="s">
        <v>791</v>
      </c>
      <c r="C1135" t="s">
        <v>792</v>
      </c>
      <c r="D1135" t="s">
        <v>30</v>
      </c>
      <c r="E1135" t="s">
        <v>793</v>
      </c>
      <c r="F1135">
        <v>4500336517</v>
      </c>
      <c r="G1135" t="s">
        <v>2329</v>
      </c>
      <c r="H1135" t="s">
        <v>12</v>
      </c>
      <c r="I1135" t="s">
        <v>795</v>
      </c>
      <c r="J1135" t="s">
        <v>793</v>
      </c>
      <c r="K1135" s="2">
        <v>66504</v>
      </c>
      <c r="L1135" t="s">
        <v>6408</v>
      </c>
      <c r="M1135" t="str" cm="1">
        <f t="array" ref="M1135">INDEX('Org List'!$A$2:$C$1005,MATCH(Consolidated!I1135&amp;Consolidated!J1135,'Org List'!$A$2:$A$1005&amp;'Org List'!$B$2:$B$1005,0),3)</f>
        <v>NGOs: National</v>
      </c>
    </row>
    <row r="1136" spans="1:13" x14ac:dyDescent="0.25">
      <c r="A1136" t="s">
        <v>2196</v>
      </c>
      <c r="B1136" t="s">
        <v>791</v>
      </c>
      <c r="C1136" t="s">
        <v>792</v>
      </c>
      <c r="D1136" t="s">
        <v>30</v>
      </c>
      <c r="E1136" t="s">
        <v>793</v>
      </c>
      <c r="F1136">
        <v>4500336525</v>
      </c>
      <c r="G1136" t="s">
        <v>2200</v>
      </c>
      <c r="H1136" t="s">
        <v>12</v>
      </c>
      <c r="I1136" t="s">
        <v>797</v>
      </c>
      <c r="J1136" t="s">
        <v>798</v>
      </c>
      <c r="K1136" s="2">
        <v>58622</v>
      </c>
      <c r="L1136" t="s">
        <v>6408</v>
      </c>
      <c r="M1136" t="str" cm="1">
        <f t="array" ref="M1136">INDEX('Org List'!$A$2:$C$1005,MATCH(Consolidated!I1136&amp;Consolidated!J1136,'Org List'!$A$2:$A$1005&amp;'Org List'!$B$2:$B$1005,0),3)</f>
        <v>Unknown</v>
      </c>
    </row>
    <row r="1137" spans="1:13" x14ac:dyDescent="0.25">
      <c r="A1137" t="s">
        <v>2196</v>
      </c>
      <c r="B1137" t="s">
        <v>791</v>
      </c>
      <c r="C1137" t="s">
        <v>792</v>
      </c>
      <c r="D1137" t="s">
        <v>30</v>
      </c>
      <c r="E1137" t="s">
        <v>793</v>
      </c>
      <c r="F1137">
        <v>4500337349</v>
      </c>
      <c r="G1137" t="s">
        <v>2330</v>
      </c>
      <c r="H1137" t="s">
        <v>12</v>
      </c>
      <c r="I1137" t="s">
        <v>794</v>
      </c>
      <c r="J1137" t="s">
        <v>793</v>
      </c>
      <c r="K1137" s="2">
        <v>66588</v>
      </c>
      <c r="L1137" t="s">
        <v>6408</v>
      </c>
      <c r="M1137" t="str" cm="1">
        <f t="array" ref="M1137">INDEX('Org List'!$A$2:$C$1005,MATCH(Consolidated!I1137&amp;Consolidated!J1137,'Org List'!$A$2:$A$1005&amp;'Org List'!$B$2:$B$1005,0),3)</f>
        <v>NGOs: National</v>
      </c>
    </row>
    <row r="1138" spans="1:13" x14ac:dyDescent="0.25">
      <c r="A1138" t="s">
        <v>2196</v>
      </c>
      <c r="B1138" t="s">
        <v>87</v>
      </c>
      <c r="C1138" t="s">
        <v>88</v>
      </c>
      <c r="D1138" t="s">
        <v>30</v>
      </c>
      <c r="E1138" t="s">
        <v>32</v>
      </c>
      <c r="F1138">
        <v>4500334410</v>
      </c>
      <c r="G1138" t="s">
        <v>2200</v>
      </c>
      <c r="H1138" t="s">
        <v>12</v>
      </c>
      <c r="I1138" t="s">
        <v>2331</v>
      </c>
      <c r="J1138" t="s">
        <v>32</v>
      </c>
      <c r="K1138" s="2">
        <v>340710</v>
      </c>
      <c r="L1138" t="s">
        <v>6408</v>
      </c>
      <c r="M1138" t="str" cm="1">
        <f t="array" ref="M1138">INDEX('Org List'!$A$2:$C$1005,MATCH(Consolidated!I1138&amp;Consolidated!J1138,'Org List'!$A$2:$A$1005&amp;'Org List'!$B$2:$B$1005,0),3)</f>
        <v>NGOs: Internationally affiliated</v>
      </c>
    </row>
    <row r="1139" spans="1:13" x14ac:dyDescent="0.25">
      <c r="A1139" t="s">
        <v>2196</v>
      </c>
      <c r="B1139" t="s">
        <v>87</v>
      </c>
      <c r="C1139" t="s">
        <v>88</v>
      </c>
      <c r="D1139" t="s">
        <v>30</v>
      </c>
      <c r="E1139" t="s">
        <v>32</v>
      </c>
      <c r="F1139">
        <v>4500335427</v>
      </c>
      <c r="G1139" t="s">
        <v>2200</v>
      </c>
      <c r="H1139" t="s">
        <v>12</v>
      </c>
      <c r="I1139" t="s">
        <v>802</v>
      </c>
      <c r="J1139" t="s">
        <v>32</v>
      </c>
      <c r="K1139" s="2">
        <v>241760</v>
      </c>
      <c r="L1139" t="s">
        <v>6408</v>
      </c>
      <c r="M1139" t="str" cm="1">
        <f t="array" ref="M1139">INDEX('Org List'!$A$2:$C$1005,MATCH(Consolidated!I1139&amp;Consolidated!J1139,'Org List'!$A$2:$A$1005&amp;'Org List'!$B$2:$B$1005,0),3)</f>
        <v>NGOs: National</v>
      </c>
    </row>
    <row r="1140" spans="1:13" x14ac:dyDescent="0.25">
      <c r="A1140" t="s">
        <v>2196</v>
      </c>
      <c r="B1140" t="s">
        <v>87</v>
      </c>
      <c r="C1140" t="s">
        <v>88</v>
      </c>
      <c r="D1140" t="s">
        <v>30</v>
      </c>
      <c r="E1140" t="s">
        <v>32</v>
      </c>
      <c r="F1140">
        <v>4500336591</v>
      </c>
      <c r="G1140" t="s">
        <v>2332</v>
      </c>
      <c r="H1140" t="s">
        <v>12</v>
      </c>
      <c r="I1140" t="s">
        <v>94</v>
      </c>
      <c r="J1140" t="s">
        <v>32</v>
      </c>
      <c r="K1140" s="2">
        <v>250000</v>
      </c>
      <c r="L1140" t="s">
        <v>6408</v>
      </c>
      <c r="M1140" t="str" cm="1">
        <f t="array" ref="M1140">INDEX('Org List'!$A$2:$C$1005,MATCH(Consolidated!I1140&amp;Consolidated!J1140,'Org List'!$A$2:$A$1005&amp;'Org List'!$B$2:$B$1005,0),3)</f>
        <v>NGOs: National</v>
      </c>
    </row>
    <row r="1141" spans="1:13" x14ac:dyDescent="0.25">
      <c r="A1141" t="s">
        <v>2196</v>
      </c>
      <c r="B1141" t="s">
        <v>87</v>
      </c>
      <c r="C1141" t="s">
        <v>88</v>
      </c>
      <c r="D1141" t="s">
        <v>30</v>
      </c>
      <c r="E1141" t="s">
        <v>32</v>
      </c>
      <c r="F1141">
        <v>4500341803</v>
      </c>
      <c r="G1141" t="s">
        <v>2333</v>
      </c>
      <c r="H1141" t="s">
        <v>12</v>
      </c>
      <c r="I1141" t="s">
        <v>800</v>
      </c>
      <c r="J1141" t="s">
        <v>32</v>
      </c>
      <c r="K1141" s="2">
        <v>308363</v>
      </c>
      <c r="L1141" t="s">
        <v>6408</v>
      </c>
      <c r="M1141" t="str" cm="1">
        <f t="array" ref="M1141">INDEX('Org List'!$A$2:$C$1005,MATCH(Consolidated!I1141&amp;Consolidated!J1141,'Org List'!$A$2:$A$1005&amp;'Org List'!$B$2:$B$1005,0),3)</f>
        <v>NGOs: International</v>
      </c>
    </row>
    <row r="1142" spans="1:13" x14ac:dyDescent="0.25">
      <c r="A1142" t="s">
        <v>2196</v>
      </c>
      <c r="B1142" t="s">
        <v>87</v>
      </c>
      <c r="C1142" t="s">
        <v>88</v>
      </c>
      <c r="D1142" t="s">
        <v>30</v>
      </c>
      <c r="E1142" t="s">
        <v>32</v>
      </c>
      <c r="F1142">
        <v>4500345918</v>
      </c>
      <c r="G1142" t="s">
        <v>2334</v>
      </c>
      <c r="H1142" t="s">
        <v>12</v>
      </c>
      <c r="I1142" t="s">
        <v>2335</v>
      </c>
      <c r="J1142" t="s">
        <v>32</v>
      </c>
      <c r="K1142" s="2">
        <v>250000</v>
      </c>
      <c r="L1142" t="s">
        <v>6408</v>
      </c>
      <c r="M1142" t="str" cm="1">
        <f t="array" ref="M1142">INDEX('Org List'!$A$2:$C$1005,MATCH(Consolidated!I1142&amp;Consolidated!J1142,'Org List'!$A$2:$A$1005&amp;'Org List'!$B$2:$B$1005,0),3)</f>
        <v>NGOs: International</v>
      </c>
    </row>
    <row r="1143" spans="1:13" x14ac:dyDescent="0.25">
      <c r="A1143" t="s">
        <v>2196</v>
      </c>
      <c r="B1143" t="s">
        <v>87</v>
      </c>
      <c r="C1143" t="s">
        <v>88</v>
      </c>
      <c r="D1143" t="s">
        <v>30</v>
      </c>
      <c r="E1143" t="s">
        <v>32</v>
      </c>
      <c r="F1143">
        <v>4500346050</v>
      </c>
      <c r="G1143" t="s">
        <v>2336</v>
      </c>
      <c r="H1143" t="s">
        <v>12</v>
      </c>
      <c r="I1143" t="s">
        <v>89</v>
      </c>
      <c r="J1143" t="s">
        <v>32</v>
      </c>
      <c r="K1143" s="2">
        <v>149830</v>
      </c>
      <c r="L1143" t="s">
        <v>6408</v>
      </c>
      <c r="M1143" t="str" cm="1">
        <f t="array" ref="M1143">INDEX('Org List'!$A$2:$C$1005,MATCH(Consolidated!I1143&amp;Consolidated!J1143,'Org List'!$A$2:$A$1005&amp;'Org List'!$B$2:$B$1005,0),3)</f>
        <v>NGOs: National</v>
      </c>
    </row>
    <row r="1144" spans="1:13" x14ac:dyDescent="0.25">
      <c r="A1144" t="s">
        <v>2196</v>
      </c>
      <c r="B1144" t="s">
        <v>1702</v>
      </c>
      <c r="C1144" t="s">
        <v>1703</v>
      </c>
      <c r="D1144" t="s">
        <v>30</v>
      </c>
      <c r="E1144" t="s">
        <v>257</v>
      </c>
      <c r="F1144">
        <v>4500336447</v>
      </c>
      <c r="G1144" t="s">
        <v>2337</v>
      </c>
      <c r="H1144" t="s">
        <v>12</v>
      </c>
      <c r="I1144" t="s">
        <v>2338</v>
      </c>
      <c r="J1144" t="s">
        <v>257</v>
      </c>
      <c r="K1144" s="2">
        <v>67497</v>
      </c>
      <c r="L1144" t="s">
        <v>6408</v>
      </c>
      <c r="M1144" t="str" cm="1">
        <f t="array" ref="M1144">INDEX('Org List'!$A$2:$C$1005,MATCH(Consolidated!I1144&amp;Consolidated!J1144,'Org List'!$A$2:$A$1005&amp;'Org List'!$B$2:$B$1005,0),3)</f>
        <v>NGOs: National</v>
      </c>
    </row>
    <row r="1145" spans="1:13" x14ac:dyDescent="0.25">
      <c r="A1145" t="s">
        <v>2196</v>
      </c>
      <c r="B1145" t="s">
        <v>1702</v>
      </c>
      <c r="C1145" t="s">
        <v>1703</v>
      </c>
      <c r="D1145" t="s">
        <v>30</v>
      </c>
      <c r="E1145" t="s">
        <v>257</v>
      </c>
      <c r="F1145">
        <v>4500336506</v>
      </c>
      <c r="G1145" t="s">
        <v>2200</v>
      </c>
      <c r="H1145" t="s">
        <v>12</v>
      </c>
      <c r="I1145" t="s">
        <v>1931</v>
      </c>
      <c r="J1145" t="s">
        <v>257</v>
      </c>
      <c r="K1145" s="2">
        <v>26934</v>
      </c>
      <c r="L1145" t="s">
        <v>6408</v>
      </c>
      <c r="M1145" t="str" cm="1">
        <f t="array" ref="M1145">INDEX('Org List'!$A$2:$C$1005,MATCH(Consolidated!I1145&amp;Consolidated!J1145,'Org List'!$A$2:$A$1005&amp;'Org List'!$B$2:$B$1005,0),3)</f>
        <v>Private Organisations: Local/National</v>
      </c>
    </row>
    <row r="1146" spans="1:13" x14ac:dyDescent="0.25">
      <c r="A1146" t="s">
        <v>2196</v>
      </c>
      <c r="B1146" t="s">
        <v>1702</v>
      </c>
      <c r="C1146" t="s">
        <v>1703</v>
      </c>
      <c r="D1146" t="s">
        <v>30</v>
      </c>
      <c r="E1146" t="s">
        <v>257</v>
      </c>
      <c r="F1146">
        <v>4500340425</v>
      </c>
      <c r="G1146" t="s">
        <v>2339</v>
      </c>
      <c r="H1146" t="s">
        <v>12</v>
      </c>
      <c r="I1146" t="s">
        <v>1414</v>
      </c>
      <c r="J1146" t="s">
        <v>257</v>
      </c>
      <c r="K1146" s="2">
        <v>160541</v>
      </c>
      <c r="L1146" t="s">
        <v>6408</v>
      </c>
      <c r="M1146" t="str" cm="1">
        <f t="array" ref="M1146">INDEX('Org List'!$A$2:$C$1005,MATCH(Consolidated!I1146&amp;Consolidated!J1146,'Org List'!$A$2:$A$1005&amp;'Org List'!$B$2:$B$1005,0),3)</f>
        <v>NGOs: National</v>
      </c>
    </row>
    <row r="1147" spans="1:13" x14ac:dyDescent="0.25">
      <c r="A1147" t="s">
        <v>2196</v>
      </c>
      <c r="B1147" t="s">
        <v>1964</v>
      </c>
      <c r="C1147" t="s">
        <v>1965</v>
      </c>
      <c r="D1147" t="s">
        <v>30</v>
      </c>
      <c r="E1147" t="s">
        <v>717</v>
      </c>
      <c r="F1147">
        <v>4500335267</v>
      </c>
      <c r="G1147" t="s">
        <v>2340</v>
      </c>
      <c r="H1147" t="s">
        <v>12</v>
      </c>
      <c r="I1147" t="s">
        <v>1283</v>
      </c>
      <c r="J1147" t="s">
        <v>717</v>
      </c>
      <c r="K1147" s="2">
        <v>116037</v>
      </c>
      <c r="L1147" t="s">
        <v>6408</v>
      </c>
      <c r="M1147" t="str" cm="1">
        <f t="array" ref="M1147">INDEX('Org List'!$A$2:$C$1005,MATCH(Consolidated!I1147&amp;Consolidated!J1147,'Org List'!$A$2:$A$1005&amp;'Org List'!$B$2:$B$1005,0),3)</f>
        <v>NGOs: National</v>
      </c>
    </row>
    <row r="1148" spans="1:13" x14ac:dyDescent="0.25">
      <c r="A1148" t="s">
        <v>2196</v>
      </c>
      <c r="B1148" t="s">
        <v>1705</v>
      </c>
      <c r="C1148" t="s">
        <v>1706</v>
      </c>
      <c r="D1148" t="s">
        <v>30</v>
      </c>
      <c r="E1148" t="s">
        <v>54</v>
      </c>
      <c r="F1148">
        <v>4500340766</v>
      </c>
      <c r="G1148" t="s">
        <v>2341</v>
      </c>
      <c r="H1148" t="s">
        <v>12</v>
      </c>
      <c r="I1148" t="s">
        <v>2012</v>
      </c>
      <c r="J1148" t="s">
        <v>54</v>
      </c>
      <c r="K1148" s="2">
        <v>551181</v>
      </c>
      <c r="L1148" t="s">
        <v>6408</v>
      </c>
      <c r="M1148" t="str" cm="1">
        <f t="array" ref="M1148">INDEX('Org List'!$A$2:$C$1005,MATCH(Consolidated!I1148&amp;Consolidated!J1148,'Org List'!$A$2:$A$1005&amp;'Org List'!$B$2:$B$1005,0),3)</f>
        <v>Red Cross: National</v>
      </c>
    </row>
    <row r="1149" spans="1:13" x14ac:dyDescent="0.25">
      <c r="A1149" t="s">
        <v>2196</v>
      </c>
      <c r="B1149" t="s">
        <v>1705</v>
      </c>
      <c r="C1149" t="s">
        <v>1706</v>
      </c>
      <c r="D1149" t="s">
        <v>30</v>
      </c>
      <c r="E1149" t="s">
        <v>54</v>
      </c>
      <c r="F1149">
        <v>4500345506</v>
      </c>
      <c r="G1149" t="s">
        <v>2268</v>
      </c>
      <c r="H1149" t="s">
        <v>12</v>
      </c>
      <c r="I1149" t="s">
        <v>2269</v>
      </c>
      <c r="J1149" t="s">
        <v>54</v>
      </c>
      <c r="K1149" s="2">
        <v>18183</v>
      </c>
      <c r="L1149" t="s">
        <v>6408</v>
      </c>
      <c r="M1149" t="str" cm="1">
        <f t="array" ref="M1149">INDEX('Org List'!$A$2:$C$1005,MATCH(Consolidated!I1149&amp;Consolidated!J1149,'Org List'!$A$2:$A$1005&amp;'Org List'!$B$2:$B$1005,0),3)</f>
        <v>NGOs: National</v>
      </c>
    </row>
    <row r="1150" spans="1:13" x14ac:dyDescent="0.25">
      <c r="A1150" t="s">
        <v>2196</v>
      </c>
      <c r="B1150" t="s">
        <v>2342</v>
      </c>
      <c r="C1150" t="s">
        <v>2343</v>
      </c>
      <c r="D1150" t="s">
        <v>30</v>
      </c>
      <c r="E1150" t="s">
        <v>890</v>
      </c>
      <c r="F1150">
        <v>4500342746</v>
      </c>
      <c r="G1150" t="s">
        <v>2344</v>
      </c>
      <c r="H1150" t="s">
        <v>12</v>
      </c>
      <c r="I1150" t="s">
        <v>1088</v>
      </c>
      <c r="J1150" t="s">
        <v>890</v>
      </c>
      <c r="K1150" s="2">
        <v>13705</v>
      </c>
      <c r="L1150" t="s">
        <v>6408</v>
      </c>
      <c r="M1150" t="str" cm="1">
        <f t="array" ref="M1150">INDEX('Org List'!$A$2:$C$1005,MATCH(Consolidated!I1150&amp;Consolidated!J1150,'Org List'!$A$2:$A$1005&amp;'Org List'!$B$2:$B$1005,0),3)</f>
        <v>NGOs: Internationally affiliated</v>
      </c>
    </row>
    <row r="1151" spans="1:13" x14ac:dyDescent="0.25">
      <c r="A1151" t="s">
        <v>2196</v>
      </c>
      <c r="B1151" t="s">
        <v>2342</v>
      </c>
      <c r="C1151" t="s">
        <v>2343</v>
      </c>
      <c r="D1151" t="s">
        <v>30</v>
      </c>
      <c r="E1151" t="s">
        <v>890</v>
      </c>
      <c r="F1151">
        <v>4500342748</v>
      </c>
      <c r="G1151" t="s">
        <v>2345</v>
      </c>
      <c r="H1151" t="s">
        <v>12</v>
      </c>
      <c r="I1151" t="s">
        <v>1088</v>
      </c>
      <c r="J1151" t="s">
        <v>890</v>
      </c>
      <c r="K1151" s="2">
        <v>25124</v>
      </c>
      <c r="L1151" t="s">
        <v>6408</v>
      </c>
      <c r="M1151" t="str" cm="1">
        <f t="array" ref="M1151">INDEX('Org List'!$A$2:$C$1005,MATCH(Consolidated!I1151&amp;Consolidated!J1151,'Org List'!$A$2:$A$1005&amp;'Org List'!$B$2:$B$1005,0),3)</f>
        <v>NGOs: Internationally affiliated</v>
      </c>
    </row>
    <row r="1152" spans="1:13" x14ac:dyDescent="0.25">
      <c r="A1152" t="s">
        <v>2196</v>
      </c>
      <c r="B1152" t="s">
        <v>2342</v>
      </c>
      <c r="C1152" t="s">
        <v>2343</v>
      </c>
      <c r="D1152" t="s">
        <v>30</v>
      </c>
      <c r="E1152" t="s">
        <v>890</v>
      </c>
      <c r="F1152">
        <v>4500342753</v>
      </c>
      <c r="G1152" t="s">
        <v>2346</v>
      </c>
      <c r="H1152" t="s">
        <v>12</v>
      </c>
      <c r="I1152" t="s">
        <v>245</v>
      </c>
      <c r="J1152" t="s">
        <v>890</v>
      </c>
      <c r="K1152" s="2">
        <v>12413</v>
      </c>
      <c r="L1152" t="s">
        <v>6408</v>
      </c>
      <c r="M1152" t="str" cm="1">
        <f t="array" ref="M1152">INDEX('Org List'!$A$2:$C$1005,MATCH(Consolidated!I1152&amp;Consolidated!J1152,'Org List'!$A$2:$A$1005&amp;'Org List'!$B$2:$B$1005,0),3)</f>
        <v>Red Cross: National</v>
      </c>
    </row>
    <row r="1153" spans="1:13" x14ac:dyDescent="0.25">
      <c r="A1153" t="s">
        <v>2196</v>
      </c>
      <c r="B1153" t="s">
        <v>2342</v>
      </c>
      <c r="C1153" t="s">
        <v>2343</v>
      </c>
      <c r="D1153" t="s">
        <v>30</v>
      </c>
      <c r="E1153" t="s">
        <v>890</v>
      </c>
      <c r="F1153">
        <v>4500342755</v>
      </c>
      <c r="G1153" t="s">
        <v>2347</v>
      </c>
      <c r="H1153" t="s">
        <v>12</v>
      </c>
      <c r="I1153" t="s">
        <v>247</v>
      </c>
      <c r="J1153" t="s">
        <v>890</v>
      </c>
      <c r="K1153" s="2">
        <v>209116</v>
      </c>
      <c r="L1153" t="s">
        <v>6408</v>
      </c>
      <c r="M1153" t="str" cm="1">
        <f t="array" ref="M1153">INDEX('Org List'!$A$2:$C$1005,MATCH(Consolidated!I1153&amp;Consolidated!J1153,'Org List'!$A$2:$A$1005&amp;'Org List'!$B$2:$B$1005,0),3)</f>
        <v>Other: Local</v>
      </c>
    </row>
    <row r="1154" spans="1:13" x14ac:dyDescent="0.25">
      <c r="A1154" t="s">
        <v>2196</v>
      </c>
      <c r="B1154" t="s">
        <v>2342</v>
      </c>
      <c r="C1154" t="s">
        <v>2343</v>
      </c>
      <c r="D1154" t="s">
        <v>30</v>
      </c>
      <c r="E1154" t="s">
        <v>890</v>
      </c>
      <c r="F1154">
        <v>4500342760</v>
      </c>
      <c r="G1154" t="s">
        <v>2348</v>
      </c>
      <c r="H1154" t="s">
        <v>12</v>
      </c>
      <c r="I1154" t="s">
        <v>1088</v>
      </c>
      <c r="J1154" t="s">
        <v>890</v>
      </c>
      <c r="K1154" s="2">
        <v>14649</v>
      </c>
      <c r="L1154" t="s">
        <v>6408</v>
      </c>
      <c r="M1154" t="str" cm="1">
        <f t="array" ref="M1154">INDEX('Org List'!$A$2:$C$1005,MATCH(Consolidated!I1154&amp;Consolidated!J1154,'Org List'!$A$2:$A$1005&amp;'Org List'!$B$2:$B$1005,0),3)</f>
        <v>NGOs: Internationally affiliated</v>
      </c>
    </row>
    <row r="1155" spans="1:13" x14ac:dyDescent="0.25">
      <c r="A1155" t="s">
        <v>2196</v>
      </c>
      <c r="B1155" t="s">
        <v>2342</v>
      </c>
      <c r="C1155" t="s">
        <v>2343</v>
      </c>
      <c r="D1155" t="s">
        <v>30</v>
      </c>
      <c r="E1155" t="s">
        <v>890</v>
      </c>
      <c r="F1155">
        <v>4500342766</v>
      </c>
      <c r="G1155" t="s">
        <v>2349</v>
      </c>
      <c r="H1155" t="s">
        <v>12</v>
      </c>
      <c r="I1155" t="s">
        <v>246</v>
      </c>
      <c r="J1155" t="s">
        <v>890</v>
      </c>
      <c r="K1155" s="2">
        <v>18404</v>
      </c>
      <c r="L1155" t="s">
        <v>6408</v>
      </c>
      <c r="M1155" t="str" cm="1">
        <f t="array" ref="M1155">INDEX('Org List'!$A$2:$C$1005,MATCH(Consolidated!I1155&amp;Consolidated!J1155,'Org List'!$A$2:$A$1005&amp;'Org List'!$B$2:$B$1005,0),3)</f>
        <v>NGOs: National</v>
      </c>
    </row>
    <row r="1156" spans="1:13" x14ac:dyDescent="0.25">
      <c r="A1156" t="s">
        <v>2196</v>
      </c>
      <c r="B1156" t="s">
        <v>2342</v>
      </c>
      <c r="C1156" t="s">
        <v>2343</v>
      </c>
      <c r="D1156" t="s">
        <v>30</v>
      </c>
      <c r="E1156" t="s">
        <v>890</v>
      </c>
      <c r="F1156">
        <v>4500342773</v>
      </c>
      <c r="G1156" t="s">
        <v>2350</v>
      </c>
      <c r="H1156" t="s">
        <v>12</v>
      </c>
      <c r="I1156" t="s">
        <v>891</v>
      </c>
      <c r="J1156" t="s">
        <v>890</v>
      </c>
      <c r="K1156" s="2">
        <v>32789</v>
      </c>
      <c r="L1156" t="s">
        <v>6408</v>
      </c>
      <c r="M1156" t="str" cm="1">
        <f t="array" ref="M1156">INDEX('Org List'!$A$2:$C$1005,MATCH(Consolidated!I1156&amp;Consolidated!J1156,'Org List'!$A$2:$A$1005&amp;'Org List'!$B$2:$B$1005,0),3)</f>
        <v>NGOs: Internationally affiliated</v>
      </c>
    </row>
    <row r="1157" spans="1:13" x14ac:dyDescent="0.25">
      <c r="A1157" t="s">
        <v>2196</v>
      </c>
      <c r="B1157" t="s">
        <v>2342</v>
      </c>
      <c r="C1157" t="s">
        <v>2343</v>
      </c>
      <c r="D1157" t="s">
        <v>30</v>
      </c>
      <c r="E1157" t="s">
        <v>890</v>
      </c>
      <c r="F1157">
        <v>4500342780</v>
      </c>
      <c r="G1157" t="s">
        <v>2351</v>
      </c>
      <c r="H1157" t="s">
        <v>12</v>
      </c>
      <c r="I1157" t="s">
        <v>244</v>
      </c>
      <c r="J1157" t="s">
        <v>890</v>
      </c>
      <c r="K1157" s="2">
        <v>7932</v>
      </c>
      <c r="L1157" t="s">
        <v>6408</v>
      </c>
      <c r="M1157" t="str" cm="1">
        <f t="array" ref="M1157">INDEX('Org List'!$A$2:$C$1005,MATCH(Consolidated!I1157&amp;Consolidated!J1157,'Org List'!$A$2:$A$1005&amp;'Org List'!$B$2:$B$1005,0),3)</f>
        <v>Red Cross: National</v>
      </c>
    </row>
    <row r="1158" spans="1:13" x14ac:dyDescent="0.25">
      <c r="A1158" t="s">
        <v>2196</v>
      </c>
      <c r="B1158" t="s">
        <v>2342</v>
      </c>
      <c r="C1158" t="s">
        <v>2343</v>
      </c>
      <c r="D1158" t="s">
        <v>30</v>
      </c>
      <c r="E1158" t="s">
        <v>890</v>
      </c>
      <c r="F1158">
        <v>4500342785</v>
      </c>
      <c r="G1158" t="s">
        <v>2352</v>
      </c>
      <c r="H1158" t="s">
        <v>12</v>
      </c>
      <c r="I1158" t="s">
        <v>892</v>
      </c>
      <c r="J1158" t="s">
        <v>890</v>
      </c>
      <c r="K1158" s="2">
        <v>4013</v>
      </c>
      <c r="L1158" t="s">
        <v>6408</v>
      </c>
      <c r="M1158" t="str" cm="1">
        <f t="array" ref="M1158">INDEX('Org List'!$A$2:$C$1005,MATCH(Consolidated!I1158&amp;Consolidated!J1158,'Org List'!$A$2:$A$1005&amp;'Org List'!$B$2:$B$1005,0),3)</f>
        <v>NGOs: National</v>
      </c>
    </row>
    <row r="1159" spans="1:13" x14ac:dyDescent="0.25">
      <c r="A1159" t="s">
        <v>2196</v>
      </c>
      <c r="B1159" t="s">
        <v>1262</v>
      </c>
      <c r="C1159" t="s">
        <v>1263</v>
      </c>
      <c r="D1159" t="s">
        <v>30</v>
      </c>
      <c r="E1159" t="s">
        <v>167</v>
      </c>
      <c r="F1159">
        <v>4500331979</v>
      </c>
      <c r="G1159" t="s">
        <v>2353</v>
      </c>
      <c r="H1159" t="s">
        <v>12</v>
      </c>
      <c r="I1159" t="s">
        <v>2354</v>
      </c>
      <c r="J1159" t="s">
        <v>167</v>
      </c>
      <c r="K1159" s="2">
        <v>47201</v>
      </c>
      <c r="L1159" t="s">
        <v>6408</v>
      </c>
      <c r="M1159" t="str" cm="1">
        <f t="array" ref="M1159">INDEX('Org List'!$A$2:$C$1005,MATCH(Consolidated!I1159&amp;Consolidated!J1159,'Org List'!$A$2:$A$1005&amp;'Org List'!$B$2:$B$1005,0),3)</f>
        <v>NGOs: National</v>
      </c>
    </row>
    <row r="1160" spans="1:13" x14ac:dyDescent="0.25">
      <c r="A1160" t="s">
        <v>2196</v>
      </c>
      <c r="B1160" t="s">
        <v>1262</v>
      </c>
      <c r="C1160" t="s">
        <v>1263</v>
      </c>
      <c r="D1160" t="s">
        <v>30</v>
      </c>
      <c r="E1160" t="s">
        <v>167</v>
      </c>
      <c r="F1160">
        <v>4500331980</v>
      </c>
      <c r="G1160" t="s">
        <v>2355</v>
      </c>
      <c r="H1160" t="s">
        <v>12</v>
      </c>
      <c r="I1160" t="s">
        <v>2356</v>
      </c>
      <c r="J1160" t="s">
        <v>167</v>
      </c>
      <c r="K1160" s="2">
        <v>36485</v>
      </c>
      <c r="L1160" t="s">
        <v>6408</v>
      </c>
      <c r="M1160" t="str" cm="1">
        <f t="array" ref="M1160">INDEX('Org List'!$A$2:$C$1005,MATCH(Consolidated!I1160&amp;Consolidated!J1160,'Org List'!$A$2:$A$1005&amp;'Org List'!$B$2:$B$1005,0),3)</f>
        <v>NGOs: Local</v>
      </c>
    </row>
    <row r="1161" spans="1:13" x14ac:dyDescent="0.25">
      <c r="A1161" t="s">
        <v>2196</v>
      </c>
      <c r="B1161" t="s">
        <v>1970</v>
      </c>
      <c r="C1161" t="s">
        <v>1971</v>
      </c>
      <c r="D1161" t="s">
        <v>30</v>
      </c>
      <c r="E1161" t="s">
        <v>155</v>
      </c>
      <c r="F1161">
        <v>4500332541</v>
      </c>
      <c r="G1161" t="s">
        <v>2357</v>
      </c>
      <c r="H1161" t="s">
        <v>12</v>
      </c>
      <c r="I1161" t="s">
        <v>2358</v>
      </c>
      <c r="J1161" t="s">
        <v>155</v>
      </c>
      <c r="K1161" s="2">
        <v>106235</v>
      </c>
      <c r="L1161" t="s">
        <v>6408</v>
      </c>
      <c r="M1161" t="str" cm="1">
        <f t="array" ref="M1161">INDEX('Org List'!$A$2:$C$1005,MATCH(Consolidated!I1161&amp;Consolidated!J1161,'Org List'!$A$2:$A$1005&amp;'Org List'!$B$2:$B$1005,0),3)</f>
        <v>NGOs: International</v>
      </c>
    </row>
    <row r="1162" spans="1:13" x14ac:dyDescent="0.25">
      <c r="A1162" t="s">
        <v>2196</v>
      </c>
      <c r="B1162" t="s">
        <v>2359</v>
      </c>
      <c r="C1162" t="s">
        <v>2360</v>
      </c>
      <c r="D1162" t="s">
        <v>30</v>
      </c>
      <c r="E1162" t="s">
        <v>500</v>
      </c>
      <c r="F1162">
        <v>4500336011</v>
      </c>
      <c r="G1162" t="s">
        <v>2200</v>
      </c>
      <c r="H1162" t="s">
        <v>12</v>
      </c>
      <c r="I1162" t="s">
        <v>779</v>
      </c>
      <c r="J1162" t="s">
        <v>500</v>
      </c>
      <c r="K1162" s="2">
        <v>12219</v>
      </c>
      <c r="L1162" t="s">
        <v>6408</v>
      </c>
      <c r="M1162" t="str" cm="1">
        <f t="array" ref="M1162">INDEX('Org List'!$A$2:$C$1005,MATCH(Consolidated!I1162&amp;Consolidated!J1162,'Org List'!$A$2:$A$1005&amp;'Org List'!$B$2:$B$1005,0),3)</f>
        <v>Governments: Local</v>
      </c>
    </row>
    <row r="1163" spans="1:13" x14ac:dyDescent="0.25">
      <c r="A1163" t="s">
        <v>2196</v>
      </c>
      <c r="B1163" t="s">
        <v>2361</v>
      </c>
      <c r="C1163" t="s">
        <v>2362</v>
      </c>
      <c r="D1163" t="s">
        <v>30</v>
      </c>
      <c r="E1163" t="s">
        <v>717</v>
      </c>
      <c r="F1163">
        <v>4500326163</v>
      </c>
      <c r="G1163" t="s">
        <v>2363</v>
      </c>
      <c r="H1163" t="s">
        <v>12</v>
      </c>
      <c r="I1163" t="s">
        <v>2364</v>
      </c>
      <c r="J1163" t="s">
        <v>717</v>
      </c>
      <c r="K1163" s="2">
        <v>20657</v>
      </c>
      <c r="L1163" t="s">
        <v>6408</v>
      </c>
      <c r="M1163" t="str" cm="1">
        <f t="array" ref="M1163">INDEX('Org List'!$A$2:$C$1005,MATCH(Consolidated!I1163&amp;Consolidated!J1163,'Org List'!$A$2:$A$1005&amp;'Org List'!$B$2:$B$1005,0),3)</f>
        <v>NGOs: National</v>
      </c>
    </row>
    <row r="1164" spans="1:13" x14ac:dyDescent="0.25">
      <c r="A1164" t="s">
        <v>2196</v>
      </c>
      <c r="B1164" t="s">
        <v>1974</v>
      </c>
      <c r="C1164" t="s">
        <v>1975</v>
      </c>
      <c r="D1164" t="s">
        <v>30</v>
      </c>
      <c r="E1164" t="s">
        <v>123</v>
      </c>
      <c r="F1164">
        <v>4500332711</v>
      </c>
      <c r="G1164" t="s">
        <v>2200</v>
      </c>
      <c r="H1164" t="s">
        <v>12</v>
      </c>
      <c r="I1164" t="s">
        <v>2365</v>
      </c>
      <c r="J1164" t="s">
        <v>123</v>
      </c>
      <c r="K1164" s="2">
        <v>164400</v>
      </c>
      <c r="L1164" t="s">
        <v>6408</v>
      </c>
      <c r="M1164" t="str" cm="1">
        <f t="array" ref="M1164">INDEX('Org List'!$A$2:$C$1005,MATCH(Consolidated!I1164&amp;Consolidated!J1164,'Org List'!$A$2:$A$1005&amp;'Org List'!$B$2:$B$1005,0),3)</f>
        <v>NGOs: National</v>
      </c>
    </row>
    <row r="1165" spans="1:13" x14ac:dyDescent="0.25">
      <c r="A1165" t="s">
        <v>2196</v>
      </c>
      <c r="B1165" t="s">
        <v>1974</v>
      </c>
      <c r="C1165" t="s">
        <v>1975</v>
      </c>
      <c r="D1165" t="s">
        <v>30</v>
      </c>
      <c r="E1165" t="s">
        <v>123</v>
      </c>
      <c r="F1165">
        <v>4500338913</v>
      </c>
      <c r="G1165" t="s">
        <v>2200</v>
      </c>
      <c r="H1165" t="s">
        <v>12</v>
      </c>
      <c r="I1165" t="s">
        <v>73</v>
      </c>
      <c r="J1165" t="s">
        <v>123</v>
      </c>
      <c r="K1165" s="2">
        <v>300000</v>
      </c>
      <c r="L1165" t="s">
        <v>6408</v>
      </c>
      <c r="M1165" t="str" cm="1">
        <f t="array" ref="M1165">INDEX('Org List'!$A$2:$C$1005,MATCH(Consolidated!I1165&amp;Consolidated!J1165,'Org List'!$A$2:$A$1005&amp;'Org List'!$B$2:$B$1005,0),3)</f>
        <v>NGOs: International</v>
      </c>
    </row>
    <row r="1166" spans="1:13" x14ac:dyDescent="0.25">
      <c r="A1166" t="s">
        <v>2196</v>
      </c>
      <c r="B1166" t="s">
        <v>1974</v>
      </c>
      <c r="C1166" t="s">
        <v>1975</v>
      </c>
      <c r="D1166" t="s">
        <v>30</v>
      </c>
      <c r="E1166" t="s">
        <v>123</v>
      </c>
      <c r="F1166">
        <v>4500339494</v>
      </c>
      <c r="G1166" t="s">
        <v>2200</v>
      </c>
      <c r="H1166" t="s">
        <v>12</v>
      </c>
      <c r="I1166" t="s">
        <v>1296</v>
      </c>
      <c r="J1166" t="s">
        <v>123</v>
      </c>
      <c r="K1166" s="2">
        <v>349610</v>
      </c>
      <c r="L1166" t="s">
        <v>6408</v>
      </c>
      <c r="M1166" t="str" cm="1">
        <f t="array" ref="M1166">INDEX('Org List'!$A$2:$C$1005,MATCH(Consolidated!I1166&amp;Consolidated!J1166,'Org List'!$A$2:$A$1005&amp;'Org List'!$B$2:$B$1005,0),3)</f>
        <v>NGOs: National</v>
      </c>
    </row>
    <row r="1167" spans="1:13" x14ac:dyDescent="0.25">
      <c r="A1167" t="s">
        <v>2196</v>
      </c>
      <c r="B1167" t="s">
        <v>1974</v>
      </c>
      <c r="C1167" t="s">
        <v>1975</v>
      </c>
      <c r="D1167" t="s">
        <v>30</v>
      </c>
      <c r="E1167" t="s">
        <v>123</v>
      </c>
      <c r="F1167">
        <v>4500349404</v>
      </c>
      <c r="G1167" t="s">
        <v>2200</v>
      </c>
      <c r="H1167" t="s">
        <v>12</v>
      </c>
      <c r="I1167" t="s">
        <v>2366</v>
      </c>
      <c r="J1167" t="s">
        <v>123</v>
      </c>
      <c r="K1167" s="2">
        <v>157647</v>
      </c>
      <c r="L1167" t="s">
        <v>6408</v>
      </c>
      <c r="M1167" t="str" cm="1">
        <f t="array" ref="M1167">INDEX('Org List'!$A$2:$C$1005,MATCH(Consolidated!I1167&amp;Consolidated!J1167,'Org List'!$A$2:$A$1005&amp;'Org List'!$B$2:$B$1005,0),3)</f>
        <v>NGOs: National</v>
      </c>
    </row>
    <row r="1168" spans="1:13" x14ac:dyDescent="0.25">
      <c r="A1168" t="s">
        <v>2196</v>
      </c>
      <c r="B1168" t="s">
        <v>2367</v>
      </c>
      <c r="C1168" t="s">
        <v>2368</v>
      </c>
      <c r="D1168" t="s">
        <v>30</v>
      </c>
      <c r="E1168" t="s">
        <v>123</v>
      </c>
      <c r="F1168">
        <v>4500335203</v>
      </c>
      <c r="G1168" t="s">
        <v>2200</v>
      </c>
      <c r="H1168" t="s">
        <v>12</v>
      </c>
      <c r="I1168" t="s">
        <v>366</v>
      </c>
      <c r="J1168" t="s">
        <v>123</v>
      </c>
      <c r="K1168" s="2">
        <v>1937</v>
      </c>
      <c r="L1168" t="s">
        <v>6408</v>
      </c>
      <c r="M1168" t="str" cm="1">
        <f t="array" ref="M1168">INDEX('Org List'!$A$2:$C$1005,MATCH(Consolidated!I1168&amp;Consolidated!J1168,'Org List'!$A$2:$A$1005&amp;'Org List'!$B$2:$B$1005,0),3)</f>
        <v>NGOs: National</v>
      </c>
    </row>
    <row r="1169" spans="1:13" x14ac:dyDescent="0.25">
      <c r="A1169" t="s">
        <v>2196</v>
      </c>
      <c r="B1169" t="s">
        <v>2369</v>
      </c>
      <c r="C1169" t="s">
        <v>2370</v>
      </c>
      <c r="D1169" t="s">
        <v>30</v>
      </c>
      <c r="E1169" t="s">
        <v>305</v>
      </c>
      <c r="F1169">
        <v>4500333477</v>
      </c>
      <c r="G1169" t="s">
        <v>2371</v>
      </c>
      <c r="H1169" t="s">
        <v>12</v>
      </c>
      <c r="I1169" t="s">
        <v>310</v>
      </c>
      <c r="J1169" t="s">
        <v>305</v>
      </c>
      <c r="K1169" s="2">
        <v>49371</v>
      </c>
      <c r="L1169" t="s">
        <v>6408</v>
      </c>
      <c r="M1169" t="str" cm="1">
        <f t="array" ref="M1169">INDEX('Org List'!$A$2:$C$1005,MATCH(Consolidated!I1169&amp;Consolidated!J1169,'Org List'!$A$2:$A$1005&amp;'Org List'!$B$2:$B$1005,0),3)</f>
        <v>NGOs: National</v>
      </c>
    </row>
    <row r="1170" spans="1:13" x14ac:dyDescent="0.25">
      <c r="A1170" t="s">
        <v>2196</v>
      </c>
      <c r="B1170" t="s">
        <v>811</v>
      </c>
      <c r="C1170" t="s">
        <v>812</v>
      </c>
      <c r="D1170" t="s">
        <v>30</v>
      </c>
      <c r="E1170" t="s">
        <v>545</v>
      </c>
      <c r="F1170">
        <v>4500337977</v>
      </c>
      <c r="G1170" t="s">
        <v>2372</v>
      </c>
      <c r="H1170" t="s">
        <v>12</v>
      </c>
      <c r="I1170" t="s">
        <v>2373</v>
      </c>
      <c r="J1170" t="s">
        <v>128</v>
      </c>
      <c r="K1170" s="2">
        <v>49092</v>
      </c>
      <c r="L1170" t="s">
        <v>6408</v>
      </c>
      <c r="M1170" t="str" cm="1">
        <f t="array" ref="M1170">INDEX('Org List'!$A$2:$C$1005,MATCH(Consolidated!I1170&amp;Consolidated!J1170,'Org List'!$A$2:$A$1005&amp;'Org List'!$B$2:$B$1005,0),3)</f>
        <v>NGOs: National</v>
      </c>
    </row>
    <row r="1171" spans="1:13" x14ac:dyDescent="0.25">
      <c r="A1171" t="s">
        <v>2196</v>
      </c>
      <c r="B1171" t="s">
        <v>811</v>
      </c>
      <c r="C1171" t="s">
        <v>812</v>
      </c>
      <c r="D1171" t="s">
        <v>30</v>
      </c>
      <c r="E1171" t="s">
        <v>123</v>
      </c>
      <c r="F1171">
        <v>4500331029</v>
      </c>
      <c r="G1171" t="s">
        <v>2200</v>
      </c>
      <c r="H1171" t="s">
        <v>12</v>
      </c>
      <c r="I1171" t="s">
        <v>2366</v>
      </c>
      <c r="J1171" t="s">
        <v>123</v>
      </c>
      <c r="K1171" s="2">
        <v>11846</v>
      </c>
      <c r="L1171" t="s">
        <v>6408</v>
      </c>
      <c r="M1171" t="str" cm="1">
        <f t="array" ref="M1171">INDEX('Org List'!$A$2:$C$1005,MATCH(Consolidated!I1171&amp;Consolidated!J1171,'Org List'!$A$2:$A$1005&amp;'Org List'!$B$2:$B$1005,0),3)</f>
        <v>NGOs: National</v>
      </c>
    </row>
    <row r="1172" spans="1:13" x14ac:dyDescent="0.25">
      <c r="A1172" t="s">
        <v>2196</v>
      </c>
      <c r="B1172" t="s">
        <v>811</v>
      </c>
      <c r="C1172" t="s">
        <v>812</v>
      </c>
      <c r="D1172" t="s">
        <v>30</v>
      </c>
      <c r="E1172" t="s">
        <v>123</v>
      </c>
      <c r="F1172">
        <v>4500335203</v>
      </c>
      <c r="G1172" t="s">
        <v>2200</v>
      </c>
      <c r="H1172" t="s">
        <v>12</v>
      </c>
      <c r="I1172" t="s">
        <v>366</v>
      </c>
      <c r="J1172" t="s">
        <v>123</v>
      </c>
      <c r="K1172" s="2">
        <v>8420</v>
      </c>
      <c r="L1172" t="s">
        <v>6408</v>
      </c>
      <c r="M1172" t="str" cm="1">
        <f t="array" ref="M1172">INDEX('Org List'!$A$2:$C$1005,MATCH(Consolidated!I1172&amp;Consolidated!J1172,'Org List'!$A$2:$A$1005&amp;'Org List'!$B$2:$B$1005,0),3)</f>
        <v>NGOs: National</v>
      </c>
    </row>
    <row r="1173" spans="1:13" x14ac:dyDescent="0.25">
      <c r="A1173" t="s">
        <v>2196</v>
      </c>
      <c r="B1173" t="s">
        <v>2374</v>
      </c>
      <c r="C1173" t="s">
        <v>2375</v>
      </c>
      <c r="D1173" t="s">
        <v>30</v>
      </c>
      <c r="E1173" t="s">
        <v>486</v>
      </c>
      <c r="F1173">
        <v>4500347020</v>
      </c>
      <c r="G1173" t="s">
        <v>2357</v>
      </c>
      <c r="H1173" t="s">
        <v>12</v>
      </c>
      <c r="I1173" t="s">
        <v>2376</v>
      </c>
      <c r="J1173" t="s">
        <v>751</v>
      </c>
      <c r="K1173" s="2">
        <v>40388</v>
      </c>
      <c r="L1173" t="s">
        <v>6408</v>
      </c>
      <c r="M1173" t="str" cm="1">
        <f t="array" ref="M1173">INDEX('Org List'!$A$2:$C$1005,MATCH(Consolidated!I1173&amp;Consolidated!J1173,'Org List'!$A$2:$A$1005&amp;'Org List'!$B$2:$B$1005,0),3)</f>
        <v>NGOs: International</v>
      </c>
    </row>
    <row r="1174" spans="1:13" x14ac:dyDescent="0.25">
      <c r="A1174" t="s">
        <v>2196</v>
      </c>
      <c r="B1174" t="s">
        <v>2377</v>
      </c>
      <c r="C1174" t="s">
        <v>2378</v>
      </c>
      <c r="D1174" t="s">
        <v>30</v>
      </c>
      <c r="E1174" t="s">
        <v>123</v>
      </c>
      <c r="F1174">
        <v>4500331029</v>
      </c>
      <c r="G1174" t="s">
        <v>2200</v>
      </c>
      <c r="H1174" t="s">
        <v>12</v>
      </c>
      <c r="I1174" t="s">
        <v>2366</v>
      </c>
      <c r="J1174" t="s">
        <v>123</v>
      </c>
      <c r="K1174" s="2">
        <v>18365</v>
      </c>
      <c r="L1174" t="s">
        <v>6408</v>
      </c>
      <c r="M1174" t="str" cm="1">
        <f t="array" ref="M1174">INDEX('Org List'!$A$2:$C$1005,MATCH(Consolidated!I1174&amp;Consolidated!J1174,'Org List'!$A$2:$A$1005&amp;'Org List'!$B$2:$B$1005,0),3)</f>
        <v>NGOs: National</v>
      </c>
    </row>
    <row r="1175" spans="1:13" x14ac:dyDescent="0.25">
      <c r="A1175" t="s">
        <v>2196</v>
      </c>
      <c r="B1175" t="s">
        <v>2379</v>
      </c>
      <c r="C1175" t="s">
        <v>2380</v>
      </c>
      <c r="D1175" t="s">
        <v>30</v>
      </c>
      <c r="E1175" t="s">
        <v>123</v>
      </c>
      <c r="F1175">
        <v>4500332601</v>
      </c>
      <c r="G1175" t="s">
        <v>2200</v>
      </c>
      <c r="H1175" t="s">
        <v>12</v>
      </c>
      <c r="I1175" t="s">
        <v>1980</v>
      </c>
      <c r="J1175" t="s">
        <v>123</v>
      </c>
      <c r="K1175" s="2">
        <v>319372</v>
      </c>
      <c r="L1175" t="s">
        <v>6408</v>
      </c>
      <c r="M1175" t="str" cm="1">
        <f t="array" ref="M1175">INDEX('Org List'!$A$2:$C$1005,MATCH(Consolidated!I1175&amp;Consolidated!J1175,'Org List'!$A$2:$A$1005&amp;'Org List'!$B$2:$B$1005,0),3)</f>
        <v>NGOs: National</v>
      </c>
    </row>
    <row r="1176" spans="1:13" x14ac:dyDescent="0.25">
      <c r="A1176" t="s">
        <v>2196</v>
      </c>
      <c r="B1176" t="s">
        <v>1270</v>
      </c>
      <c r="C1176" t="s">
        <v>1271</v>
      </c>
      <c r="D1176" t="s">
        <v>30</v>
      </c>
      <c r="E1176" t="s">
        <v>751</v>
      </c>
      <c r="F1176">
        <v>4500334771</v>
      </c>
      <c r="G1176" t="s">
        <v>2381</v>
      </c>
      <c r="H1176" t="s">
        <v>12</v>
      </c>
      <c r="I1176" t="s">
        <v>2382</v>
      </c>
      <c r="J1176" t="s">
        <v>581</v>
      </c>
      <c r="K1176" s="2">
        <v>62780</v>
      </c>
      <c r="L1176" t="s">
        <v>6408</v>
      </c>
      <c r="M1176" t="str" cm="1">
        <f t="array" ref="M1176">INDEX('Org List'!$A$2:$C$1005,MATCH(Consolidated!I1176&amp;Consolidated!J1176,'Org List'!$A$2:$A$1005&amp;'Org List'!$B$2:$B$1005,0),3)</f>
        <v>NGOs: International</v>
      </c>
    </row>
    <row r="1177" spans="1:13" x14ac:dyDescent="0.25">
      <c r="A1177" t="s">
        <v>2196</v>
      </c>
      <c r="B1177" t="s">
        <v>1273</v>
      </c>
      <c r="C1177" t="s">
        <v>1274</v>
      </c>
      <c r="D1177" t="s">
        <v>30</v>
      </c>
      <c r="E1177" t="s">
        <v>261</v>
      </c>
      <c r="F1177">
        <v>4500328978</v>
      </c>
      <c r="G1177" t="s">
        <v>2383</v>
      </c>
      <c r="H1177" t="s">
        <v>12</v>
      </c>
      <c r="I1177" t="s">
        <v>2384</v>
      </c>
      <c r="J1177" t="s">
        <v>261</v>
      </c>
      <c r="K1177" s="2">
        <v>38797</v>
      </c>
      <c r="L1177" t="s">
        <v>6408</v>
      </c>
      <c r="M1177" t="str" cm="1">
        <f t="array" ref="M1177">INDEX('Org List'!$A$2:$C$1005,MATCH(Consolidated!I1177&amp;Consolidated!J1177,'Org List'!$A$2:$A$1005&amp;'Org List'!$B$2:$B$1005,0),3)</f>
        <v>NGOs: National</v>
      </c>
    </row>
    <row r="1178" spans="1:13" x14ac:dyDescent="0.25">
      <c r="A1178" t="s">
        <v>2196</v>
      </c>
      <c r="B1178" t="s">
        <v>1275</v>
      </c>
      <c r="C1178" t="s">
        <v>1276</v>
      </c>
      <c r="D1178" t="s">
        <v>30</v>
      </c>
      <c r="E1178" t="s">
        <v>197</v>
      </c>
      <c r="F1178">
        <v>4500328563</v>
      </c>
      <c r="G1178" t="s">
        <v>2385</v>
      </c>
      <c r="H1178" t="s">
        <v>12</v>
      </c>
      <c r="I1178" t="s">
        <v>860</v>
      </c>
      <c r="J1178" t="s">
        <v>197</v>
      </c>
      <c r="K1178" s="2">
        <v>73181</v>
      </c>
      <c r="L1178" t="s">
        <v>6408</v>
      </c>
      <c r="M1178" t="str" cm="1">
        <f t="array" ref="M1178">INDEX('Org List'!$A$2:$C$1005,MATCH(Consolidated!I1178&amp;Consolidated!J1178,'Org List'!$A$2:$A$1005&amp;'Org List'!$B$2:$B$1005,0),3)</f>
        <v>NGOs: National</v>
      </c>
    </row>
    <row r="1179" spans="1:13" x14ac:dyDescent="0.25">
      <c r="A1179" t="s">
        <v>2196</v>
      </c>
      <c r="B1179" t="s">
        <v>1275</v>
      </c>
      <c r="C1179" t="s">
        <v>1276</v>
      </c>
      <c r="D1179" t="s">
        <v>30</v>
      </c>
      <c r="E1179" t="s">
        <v>197</v>
      </c>
      <c r="F1179">
        <v>4500337080</v>
      </c>
      <c r="G1179" t="s">
        <v>2386</v>
      </c>
      <c r="H1179" t="s">
        <v>12</v>
      </c>
      <c r="I1179" t="s">
        <v>1373</v>
      </c>
      <c r="J1179" t="s">
        <v>197</v>
      </c>
      <c r="K1179" s="2">
        <v>37044</v>
      </c>
      <c r="L1179" t="s">
        <v>6408</v>
      </c>
      <c r="M1179" t="str" cm="1">
        <f t="array" ref="M1179">INDEX('Org List'!$A$2:$C$1005,MATCH(Consolidated!I1179&amp;Consolidated!J1179,'Org List'!$A$2:$A$1005&amp;'Org List'!$B$2:$B$1005,0),3)</f>
        <v>NGOs: National</v>
      </c>
    </row>
    <row r="1180" spans="1:13" x14ac:dyDescent="0.25">
      <c r="A1180" t="s">
        <v>2196</v>
      </c>
      <c r="B1180" t="s">
        <v>1275</v>
      </c>
      <c r="C1180" t="s">
        <v>1276</v>
      </c>
      <c r="D1180" t="s">
        <v>30</v>
      </c>
      <c r="E1180" t="s">
        <v>197</v>
      </c>
      <c r="F1180">
        <v>4500337082</v>
      </c>
      <c r="G1180" t="s">
        <v>2387</v>
      </c>
      <c r="H1180" t="s">
        <v>12</v>
      </c>
      <c r="I1180" t="s">
        <v>861</v>
      </c>
      <c r="J1180" t="s">
        <v>197</v>
      </c>
      <c r="K1180" s="2">
        <v>61732</v>
      </c>
      <c r="L1180" t="s">
        <v>6408</v>
      </c>
      <c r="M1180" t="str" cm="1">
        <f t="array" ref="M1180">INDEX('Org List'!$A$2:$C$1005,MATCH(Consolidated!I1180&amp;Consolidated!J1180,'Org List'!$A$2:$A$1005&amp;'Org List'!$B$2:$B$1005,0),3)</f>
        <v>NGOs: National</v>
      </c>
    </row>
    <row r="1181" spans="1:13" x14ac:dyDescent="0.25">
      <c r="A1181" t="s">
        <v>2196</v>
      </c>
      <c r="B1181" t="s">
        <v>1275</v>
      </c>
      <c r="C1181" t="s">
        <v>1276</v>
      </c>
      <c r="D1181" t="s">
        <v>30</v>
      </c>
      <c r="E1181" t="s">
        <v>197</v>
      </c>
      <c r="F1181">
        <v>4500337085</v>
      </c>
      <c r="G1181" t="s">
        <v>2388</v>
      </c>
      <c r="H1181" t="s">
        <v>12</v>
      </c>
      <c r="I1181" t="s">
        <v>2389</v>
      </c>
      <c r="J1181" t="s">
        <v>197</v>
      </c>
      <c r="K1181" s="2">
        <v>20996</v>
      </c>
      <c r="L1181" t="s">
        <v>6408</v>
      </c>
      <c r="M1181" t="str" cm="1">
        <f t="array" ref="M1181">INDEX('Org List'!$A$2:$C$1005,MATCH(Consolidated!I1181&amp;Consolidated!J1181,'Org List'!$A$2:$A$1005&amp;'Org List'!$B$2:$B$1005,0),3)</f>
        <v>NGOs: National</v>
      </c>
    </row>
    <row r="1182" spans="1:13" x14ac:dyDescent="0.25">
      <c r="A1182" t="s">
        <v>2196</v>
      </c>
      <c r="B1182" t="s">
        <v>1275</v>
      </c>
      <c r="C1182" t="s">
        <v>1276</v>
      </c>
      <c r="D1182" t="s">
        <v>30</v>
      </c>
      <c r="E1182" t="s">
        <v>197</v>
      </c>
      <c r="F1182">
        <v>4500338568</v>
      </c>
      <c r="G1182" t="s">
        <v>2390</v>
      </c>
      <c r="H1182" t="s">
        <v>12</v>
      </c>
      <c r="I1182" t="s">
        <v>1277</v>
      </c>
      <c r="J1182" t="s">
        <v>197</v>
      </c>
      <c r="K1182" s="2">
        <v>36433</v>
      </c>
      <c r="L1182" t="s">
        <v>6408</v>
      </c>
      <c r="M1182" t="str" cm="1">
        <f t="array" ref="M1182">INDEX('Org List'!$A$2:$C$1005,MATCH(Consolidated!I1182&amp;Consolidated!J1182,'Org List'!$A$2:$A$1005&amp;'Org List'!$B$2:$B$1005,0),3)</f>
        <v>Red Cross: National</v>
      </c>
    </row>
    <row r="1183" spans="1:13" x14ac:dyDescent="0.25">
      <c r="A1183" t="s">
        <v>2196</v>
      </c>
      <c r="B1183" t="s">
        <v>1275</v>
      </c>
      <c r="C1183" t="s">
        <v>1276</v>
      </c>
      <c r="D1183" t="s">
        <v>30</v>
      </c>
      <c r="E1183" t="s">
        <v>197</v>
      </c>
      <c r="F1183">
        <v>4500338576</v>
      </c>
      <c r="G1183" t="s">
        <v>2391</v>
      </c>
      <c r="H1183" t="s">
        <v>12</v>
      </c>
      <c r="I1183" t="s">
        <v>863</v>
      </c>
      <c r="J1183" t="s">
        <v>197</v>
      </c>
      <c r="K1183" s="2">
        <v>42477</v>
      </c>
      <c r="L1183" t="s">
        <v>6408</v>
      </c>
      <c r="M1183" t="str" cm="1">
        <f t="array" ref="M1183">INDEX('Org List'!$A$2:$C$1005,MATCH(Consolidated!I1183&amp;Consolidated!J1183,'Org List'!$A$2:$A$1005&amp;'Org List'!$B$2:$B$1005,0),3)</f>
        <v>NGOs: National</v>
      </c>
    </row>
    <row r="1184" spans="1:13" x14ac:dyDescent="0.25">
      <c r="A1184" t="s">
        <v>2196</v>
      </c>
      <c r="B1184" t="s">
        <v>1275</v>
      </c>
      <c r="C1184" t="s">
        <v>1276</v>
      </c>
      <c r="D1184" t="s">
        <v>30</v>
      </c>
      <c r="E1184" t="s">
        <v>197</v>
      </c>
      <c r="F1184">
        <v>4500343830</v>
      </c>
      <c r="G1184" t="s">
        <v>2392</v>
      </c>
      <c r="H1184" t="s">
        <v>12</v>
      </c>
      <c r="I1184" t="s">
        <v>1711</v>
      </c>
      <c r="J1184" t="s">
        <v>197</v>
      </c>
      <c r="K1184" s="2">
        <v>11266</v>
      </c>
      <c r="L1184" t="s">
        <v>6408</v>
      </c>
      <c r="M1184" t="str" cm="1">
        <f t="array" ref="M1184">INDEX('Org List'!$A$2:$C$1005,MATCH(Consolidated!I1184&amp;Consolidated!J1184,'Org List'!$A$2:$A$1005&amp;'Org List'!$B$2:$B$1005,0),3)</f>
        <v>NGOs: National</v>
      </c>
    </row>
    <row r="1185" spans="1:13" x14ac:dyDescent="0.25">
      <c r="A1185" t="s">
        <v>2196</v>
      </c>
      <c r="B1185" t="s">
        <v>1275</v>
      </c>
      <c r="C1185" t="s">
        <v>1276</v>
      </c>
      <c r="D1185" t="s">
        <v>30</v>
      </c>
      <c r="E1185" t="s">
        <v>197</v>
      </c>
      <c r="F1185">
        <v>4500343843</v>
      </c>
      <c r="G1185" t="s">
        <v>2393</v>
      </c>
      <c r="H1185" t="s">
        <v>12</v>
      </c>
      <c r="I1185" t="s">
        <v>2394</v>
      </c>
      <c r="J1185" t="s">
        <v>197</v>
      </c>
      <c r="K1185" s="2">
        <v>5511</v>
      </c>
      <c r="L1185" t="s">
        <v>6408</v>
      </c>
      <c r="M1185" t="str" cm="1">
        <f t="array" ref="M1185">INDEX('Org List'!$A$2:$C$1005,MATCH(Consolidated!I1185&amp;Consolidated!J1185,'Org List'!$A$2:$A$1005&amp;'Org List'!$B$2:$B$1005,0),3)</f>
        <v>NGOs: National</v>
      </c>
    </row>
    <row r="1186" spans="1:13" x14ac:dyDescent="0.25">
      <c r="A1186" t="s">
        <v>2196</v>
      </c>
      <c r="B1186" t="s">
        <v>1275</v>
      </c>
      <c r="C1186" t="s">
        <v>1276</v>
      </c>
      <c r="D1186" t="s">
        <v>30</v>
      </c>
      <c r="E1186" t="s">
        <v>864</v>
      </c>
      <c r="F1186">
        <v>4500337498</v>
      </c>
      <c r="G1186" t="s">
        <v>2395</v>
      </c>
      <c r="H1186" t="s">
        <v>12</v>
      </c>
      <c r="I1186" t="s">
        <v>865</v>
      </c>
      <c r="J1186" t="s">
        <v>864</v>
      </c>
      <c r="K1186" s="2">
        <v>67119</v>
      </c>
      <c r="L1186" t="s">
        <v>6408</v>
      </c>
      <c r="M1186" t="str" cm="1">
        <f t="array" ref="M1186">INDEX('Org List'!$A$2:$C$1005,MATCH(Consolidated!I1186&amp;Consolidated!J1186,'Org List'!$A$2:$A$1005&amp;'Org List'!$B$2:$B$1005,0),3)</f>
        <v>NGOs: Internationally affiliated</v>
      </c>
    </row>
    <row r="1187" spans="1:13" x14ac:dyDescent="0.25">
      <c r="A1187" t="s">
        <v>2196</v>
      </c>
      <c r="B1187" t="s">
        <v>1275</v>
      </c>
      <c r="C1187" t="s">
        <v>1276</v>
      </c>
      <c r="D1187" t="s">
        <v>30</v>
      </c>
      <c r="E1187" t="s">
        <v>864</v>
      </c>
      <c r="F1187">
        <v>4500339904</v>
      </c>
      <c r="G1187" t="s">
        <v>2396</v>
      </c>
      <c r="H1187" t="s">
        <v>12</v>
      </c>
      <c r="I1187" t="s">
        <v>867</v>
      </c>
      <c r="J1187" t="s">
        <v>864</v>
      </c>
      <c r="K1187" s="2">
        <v>56787</v>
      </c>
      <c r="L1187" t="s">
        <v>6408</v>
      </c>
      <c r="M1187" t="str" cm="1">
        <f t="array" ref="M1187">INDEX('Org List'!$A$2:$C$1005,MATCH(Consolidated!I1187&amp;Consolidated!J1187,'Org List'!$A$2:$A$1005&amp;'Org List'!$B$2:$B$1005,0),3)</f>
        <v>NGOs: National</v>
      </c>
    </row>
    <row r="1188" spans="1:13" x14ac:dyDescent="0.25">
      <c r="A1188" t="s">
        <v>2196</v>
      </c>
      <c r="B1188" t="s">
        <v>1275</v>
      </c>
      <c r="C1188" t="s">
        <v>1276</v>
      </c>
      <c r="D1188" t="s">
        <v>30</v>
      </c>
      <c r="E1188" t="s">
        <v>864</v>
      </c>
      <c r="F1188">
        <v>4500339909</v>
      </c>
      <c r="G1188" t="s">
        <v>2397</v>
      </c>
      <c r="H1188" t="s">
        <v>12</v>
      </c>
      <c r="I1188" t="s">
        <v>2398</v>
      </c>
      <c r="J1188" t="s">
        <v>864</v>
      </c>
      <c r="K1188" s="2">
        <v>18724</v>
      </c>
      <c r="L1188" t="s">
        <v>6408</v>
      </c>
      <c r="M1188" t="str" cm="1">
        <f t="array" ref="M1188">INDEX('Org List'!$A$2:$C$1005,MATCH(Consolidated!I1188&amp;Consolidated!J1188,'Org List'!$A$2:$A$1005&amp;'Org List'!$B$2:$B$1005,0),3)</f>
        <v>NGOs: Internationally affiliated</v>
      </c>
    </row>
    <row r="1189" spans="1:13" x14ac:dyDescent="0.25">
      <c r="A1189" t="s">
        <v>2196</v>
      </c>
      <c r="B1189" t="s">
        <v>1275</v>
      </c>
      <c r="C1189" t="s">
        <v>1276</v>
      </c>
      <c r="D1189" t="s">
        <v>30</v>
      </c>
      <c r="E1189" t="s">
        <v>201</v>
      </c>
      <c r="F1189">
        <v>4500349281</v>
      </c>
      <c r="G1189" t="s">
        <v>2399</v>
      </c>
      <c r="H1189" t="s">
        <v>12</v>
      </c>
      <c r="I1189" t="s">
        <v>202</v>
      </c>
      <c r="J1189" t="s">
        <v>201</v>
      </c>
      <c r="K1189" s="2">
        <v>97450</v>
      </c>
      <c r="L1189" t="s">
        <v>6408</v>
      </c>
      <c r="M1189" t="str" cm="1">
        <f t="array" ref="M1189">INDEX('Org List'!$A$2:$C$1005,MATCH(Consolidated!I1189&amp;Consolidated!J1189,'Org List'!$A$2:$A$1005&amp;'Org List'!$B$2:$B$1005,0),3)</f>
        <v>NGOs: National</v>
      </c>
    </row>
    <row r="1190" spans="1:13" x14ac:dyDescent="0.25">
      <c r="A1190" t="s">
        <v>2196</v>
      </c>
      <c r="B1190" t="s">
        <v>1275</v>
      </c>
      <c r="C1190" t="s">
        <v>1276</v>
      </c>
      <c r="D1190" t="s">
        <v>30</v>
      </c>
      <c r="E1190" t="s">
        <v>831</v>
      </c>
      <c r="F1190">
        <v>4500345667</v>
      </c>
      <c r="G1190" t="s">
        <v>2400</v>
      </c>
      <c r="H1190" t="s">
        <v>12</v>
      </c>
      <c r="I1190" t="s">
        <v>868</v>
      </c>
      <c r="J1190" t="s">
        <v>831</v>
      </c>
      <c r="K1190" s="2">
        <v>15070</v>
      </c>
      <c r="L1190" t="s">
        <v>6408</v>
      </c>
      <c r="M1190" t="str" cm="1">
        <f t="array" ref="M1190">INDEX('Org List'!$A$2:$C$1005,MATCH(Consolidated!I1190&amp;Consolidated!J1190,'Org List'!$A$2:$A$1005&amp;'Org List'!$B$2:$B$1005,0),3)</f>
        <v>NGOs: National</v>
      </c>
    </row>
    <row r="1191" spans="1:13" x14ac:dyDescent="0.25">
      <c r="A1191" t="s">
        <v>2196</v>
      </c>
      <c r="B1191" t="s">
        <v>1275</v>
      </c>
      <c r="C1191" t="s">
        <v>1276</v>
      </c>
      <c r="D1191" t="s">
        <v>30</v>
      </c>
      <c r="E1191" t="s">
        <v>831</v>
      </c>
      <c r="F1191">
        <v>4500345674</v>
      </c>
      <c r="G1191" t="s">
        <v>2401</v>
      </c>
      <c r="H1191" t="s">
        <v>12</v>
      </c>
      <c r="I1191" t="s">
        <v>870</v>
      </c>
      <c r="J1191" t="s">
        <v>831</v>
      </c>
      <c r="K1191" s="2">
        <v>45209</v>
      </c>
      <c r="L1191" t="s">
        <v>6408</v>
      </c>
      <c r="M1191" t="str" cm="1">
        <f t="array" ref="M1191">INDEX('Org List'!$A$2:$C$1005,MATCH(Consolidated!I1191&amp;Consolidated!J1191,'Org List'!$A$2:$A$1005&amp;'Org List'!$B$2:$B$1005,0),3)</f>
        <v>NGOs: National</v>
      </c>
    </row>
    <row r="1192" spans="1:13" x14ac:dyDescent="0.25">
      <c r="A1192" t="s">
        <v>2196</v>
      </c>
      <c r="B1192" t="s">
        <v>1275</v>
      </c>
      <c r="C1192" t="s">
        <v>1276</v>
      </c>
      <c r="D1192" t="s">
        <v>30</v>
      </c>
      <c r="E1192" t="s">
        <v>205</v>
      </c>
      <c r="F1192">
        <v>4500329647</v>
      </c>
      <c r="G1192" t="s">
        <v>2402</v>
      </c>
      <c r="H1192" t="s">
        <v>12</v>
      </c>
      <c r="I1192" t="s">
        <v>2403</v>
      </c>
      <c r="J1192" t="s">
        <v>205</v>
      </c>
      <c r="K1192" s="2">
        <v>374633</v>
      </c>
      <c r="L1192" t="s">
        <v>6408</v>
      </c>
      <c r="M1192" t="str" cm="1">
        <f t="array" ref="M1192">INDEX('Org List'!$A$2:$C$1005,MATCH(Consolidated!I1192&amp;Consolidated!J1192,'Org List'!$A$2:$A$1005&amp;'Org List'!$B$2:$B$1005,0),3)</f>
        <v>Red Cross: National</v>
      </c>
    </row>
    <row r="1193" spans="1:13" x14ac:dyDescent="0.25">
      <c r="A1193" t="s">
        <v>2196</v>
      </c>
      <c r="B1193" t="s">
        <v>1275</v>
      </c>
      <c r="C1193" t="s">
        <v>1276</v>
      </c>
      <c r="D1193" t="s">
        <v>30</v>
      </c>
      <c r="E1193" t="s">
        <v>205</v>
      </c>
      <c r="F1193">
        <v>4500330650</v>
      </c>
      <c r="G1193" t="s">
        <v>2404</v>
      </c>
      <c r="H1193" t="s">
        <v>12</v>
      </c>
      <c r="I1193" t="s">
        <v>872</v>
      </c>
      <c r="J1193" t="s">
        <v>205</v>
      </c>
      <c r="K1193" s="2">
        <v>115000</v>
      </c>
      <c r="L1193" t="s">
        <v>6408</v>
      </c>
      <c r="M1193" t="str" cm="1">
        <f t="array" ref="M1193">INDEX('Org List'!$A$2:$C$1005,MATCH(Consolidated!I1193&amp;Consolidated!J1193,'Org List'!$A$2:$A$1005&amp;'Org List'!$B$2:$B$1005,0),3)</f>
        <v>NGOs: National</v>
      </c>
    </row>
    <row r="1194" spans="1:13" x14ac:dyDescent="0.25">
      <c r="A1194" t="s">
        <v>2196</v>
      </c>
      <c r="B1194" t="s">
        <v>1275</v>
      </c>
      <c r="C1194" t="s">
        <v>1276</v>
      </c>
      <c r="D1194" t="s">
        <v>30</v>
      </c>
      <c r="E1194" t="s">
        <v>205</v>
      </c>
      <c r="F1194">
        <v>4500331098</v>
      </c>
      <c r="G1194" t="s">
        <v>2405</v>
      </c>
      <c r="H1194" t="s">
        <v>12</v>
      </c>
      <c r="I1194" t="s">
        <v>2143</v>
      </c>
      <c r="J1194" t="s">
        <v>205</v>
      </c>
      <c r="K1194" s="2">
        <v>60000</v>
      </c>
      <c r="L1194" t="s">
        <v>6408</v>
      </c>
      <c r="M1194" t="str" cm="1">
        <f t="array" ref="M1194">INDEX('Org List'!$A$2:$C$1005,MATCH(Consolidated!I1194&amp;Consolidated!J1194,'Org List'!$A$2:$A$1005&amp;'Org List'!$B$2:$B$1005,0),3)</f>
        <v>NGOs: International</v>
      </c>
    </row>
    <row r="1195" spans="1:13" x14ac:dyDescent="0.25">
      <c r="A1195" t="s">
        <v>2196</v>
      </c>
      <c r="B1195" t="s">
        <v>1275</v>
      </c>
      <c r="C1195" t="s">
        <v>1276</v>
      </c>
      <c r="D1195" t="s">
        <v>30</v>
      </c>
      <c r="E1195" t="s">
        <v>205</v>
      </c>
      <c r="F1195">
        <v>4500331846</v>
      </c>
      <c r="G1195" t="s">
        <v>2406</v>
      </c>
      <c r="H1195" t="s">
        <v>12</v>
      </c>
      <c r="I1195" t="s">
        <v>2407</v>
      </c>
      <c r="J1195" t="s">
        <v>205</v>
      </c>
      <c r="K1195" s="2">
        <v>140000</v>
      </c>
      <c r="L1195" t="s">
        <v>6408</v>
      </c>
      <c r="M1195" t="str" cm="1">
        <f t="array" ref="M1195">INDEX('Org List'!$A$2:$C$1005,MATCH(Consolidated!I1195&amp;Consolidated!J1195,'Org List'!$A$2:$A$1005&amp;'Org List'!$B$2:$B$1005,0),3)</f>
        <v>NGOs: International</v>
      </c>
    </row>
    <row r="1196" spans="1:13" x14ac:dyDescent="0.25">
      <c r="A1196" t="s">
        <v>2196</v>
      </c>
      <c r="B1196" t="s">
        <v>1275</v>
      </c>
      <c r="C1196" t="s">
        <v>1276</v>
      </c>
      <c r="D1196" t="s">
        <v>30</v>
      </c>
      <c r="E1196" t="s">
        <v>205</v>
      </c>
      <c r="F1196">
        <v>4500340948</v>
      </c>
      <c r="G1196" t="s">
        <v>2223</v>
      </c>
      <c r="H1196" t="s">
        <v>12</v>
      </c>
      <c r="I1196" t="s">
        <v>878</v>
      </c>
      <c r="J1196" t="s">
        <v>205</v>
      </c>
      <c r="K1196" s="2">
        <v>93000</v>
      </c>
      <c r="L1196" t="s">
        <v>6408</v>
      </c>
      <c r="M1196" t="str" cm="1">
        <f t="array" ref="M1196">INDEX('Org List'!$A$2:$C$1005,MATCH(Consolidated!I1196&amp;Consolidated!J1196,'Org List'!$A$2:$A$1005&amp;'Org List'!$B$2:$B$1005,0),3)</f>
        <v>NGOs: National</v>
      </c>
    </row>
    <row r="1197" spans="1:13" x14ac:dyDescent="0.25">
      <c r="A1197" t="s">
        <v>2196</v>
      </c>
      <c r="B1197" t="s">
        <v>1275</v>
      </c>
      <c r="C1197" t="s">
        <v>1276</v>
      </c>
      <c r="D1197" t="s">
        <v>30</v>
      </c>
      <c r="E1197" t="s">
        <v>1987</v>
      </c>
      <c r="F1197">
        <v>4500338289</v>
      </c>
      <c r="G1197" t="s">
        <v>2200</v>
      </c>
      <c r="H1197" t="s">
        <v>12</v>
      </c>
      <c r="I1197" t="s">
        <v>2408</v>
      </c>
      <c r="J1197" t="s">
        <v>1987</v>
      </c>
      <c r="K1197" s="2">
        <v>14345</v>
      </c>
      <c r="L1197" t="s">
        <v>6408</v>
      </c>
      <c r="M1197" t="str" cm="1">
        <f t="array" ref="M1197">INDEX('Org List'!$A$2:$C$1005,MATCH(Consolidated!I1197&amp;Consolidated!J1197,'Org List'!$A$2:$A$1005&amp;'Org List'!$B$2:$B$1005,0),3)</f>
        <v>NGOs: National</v>
      </c>
    </row>
    <row r="1198" spans="1:13" x14ac:dyDescent="0.25">
      <c r="A1198" t="s">
        <v>2196</v>
      </c>
      <c r="B1198" t="s">
        <v>1275</v>
      </c>
      <c r="C1198" t="s">
        <v>1276</v>
      </c>
      <c r="D1198" t="s">
        <v>30</v>
      </c>
      <c r="E1198" t="s">
        <v>210</v>
      </c>
      <c r="F1198">
        <v>4500327238</v>
      </c>
      <c r="G1198" t="s">
        <v>2409</v>
      </c>
      <c r="H1198" t="s">
        <v>12</v>
      </c>
      <c r="I1198" t="s">
        <v>1989</v>
      </c>
      <c r="J1198" t="s">
        <v>210</v>
      </c>
      <c r="K1198" s="2">
        <v>71506</v>
      </c>
      <c r="L1198" t="s">
        <v>6408</v>
      </c>
      <c r="M1198" t="str" cm="1">
        <f t="array" ref="M1198">INDEX('Org List'!$A$2:$C$1005,MATCH(Consolidated!I1198&amp;Consolidated!J1198,'Org List'!$A$2:$A$1005&amp;'Org List'!$B$2:$B$1005,0),3)</f>
        <v>NGOs: International</v>
      </c>
    </row>
    <row r="1199" spans="1:13" x14ac:dyDescent="0.25">
      <c r="A1199" t="s">
        <v>2196</v>
      </c>
      <c r="B1199" t="s">
        <v>1275</v>
      </c>
      <c r="C1199" t="s">
        <v>1276</v>
      </c>
      <c r="D1199" t="s">
        <v>30</v>
      </c>
      <c r="E1199" t="s">
        <v>210</v>
      </c>
      <c r="F1199">
        <v>4500332743</v>
      </c>
      <c r="G1199" t="s">
        <v>2410</v>
      </c>
      <c r="H1199" t="s">
        <v>12</v>
      </c>
      <c r="I1199" t="s">
        <v>880</v>
      </c>
      <c r="J1199" t="s">
        <v>210</v>
      </c>
      <c r="K1199" s="2">
        <v>60426</v>
      </c>
      <c r="L1199" t="s">
        <v>6408</v>
      </c>
      <c r="M1199" t="str" cm="1">
        <f t="array" ref="M1199">INDEX('Org List'!$A$2:$C$1005,MATCH(Consolidated!I1199&amp;Consolidated!J1199,'Org List'!$A$2:$A$1005&amp;'Org List'!$B$2:$B$1005,0),3)</f>
        <v>NGOs: National</v>
      </c>
    </row>
    <row r="1200" spans="1:13" x14ac:dyDescent="0.25">
      <c r="A1200" t="s">
        <v>2196</v>
      </c>
      <c r="B1200" t="s">
        <v>1275</v>
      </c>
      <c r="C1200" t="s">
        <v>1276</v>
      </c>
      <c r="D1200" t="s">
        <v>30</v>
      </c>
      <c r="E1200" t="s">
        <v>210</v>
      </c>
      <c r="F1200">
        <v>4500335075</v>
      </c>
      <c r="G1200" t="s">
        <v>2411</v>
      </c>
      <c r="H1200" t="s">
        <v>12</v>
      </c>
      <c r="I1200" t="s">
        <v>216</v>
      </c>
      <c r="J1200" t="s">
        <v>210</v>
      </c>
      <c r="K1200" s="2">
        <v>189546</v>
      </c>
      <c r="L1200" t="s">
        <v>6408</v>
      </c>
      <c r="M1200" t="str" cm="1">
        <f t="array" ref="M1200">INDEX('Org List'!$A$2:$C$1005,MATCH(Consolidated!I1200&amp;Consolidated!J1200,'Org List'!$A$2:$A$1005&amp;'Org List'!$B$2:$B$1005,0),3)</f>
        <v>NGOs: International</v>
      </c>
    </row>
    <row r="1201" spans="1:13" x14ac:dyDescent="0.25">
      <c r="A1201" t="s">
        <v>2196</v>
      </c>
      <c r="B1201" t="s">
        <v>1275</v>
      </c>
      <c r="C1201" t="s">
        <v>1276</v>
      </c>
      <c r="D1201" t="s">
        <v>30</v>
      </c>
      <c r="E1201" t="s">
        <v>210</v>
      </c>
      <c r="F1201">
        <v>4500336184</v>
      </c>
      <c r="G1201" t="s">
        <v>2412</v>
      </c>
      <c r="H1201" t="s">
        <v>12</v>
      </c>
      <c r="I1201" t="s">
        <v>2413</v>
      </c>
      <c r="J1201" t="s">
        <v>210</v>
      </c>
      <c r="K1201" s="2">
        <v>25222</v>
      </c>
      <c r="L1201" t="s">
        <v>6408</v>
      </c>
      <c r="M1201" t="str" cm="1">
        <f t="array" ref="M1201">INDEX('Org List'!$A$2:$C$1005,MATCH(Consolidated!I1201&amp;Consolidated!J1201,'Org List'!$A$2:$A$1005&amp;'Org List'!$B$2:$B$1005,0),3)</f>
        <v>NGOs: Internationally affiliated</v>
      </c>
    </row>
    <row r="1202" spans="1:13" x14ac:dyDescent="0.25">
      <c r="A1202" t="s">
        <v>2196</v>
      </c>
      <c r="B1202" t="s">
        <v>1275</v>
      </c>
      <c r="C1202" t="s">
        <v>1276</v>
      </c>
      <c r="D1202" t="s">
        <v>30</v>
      </c>
      <c r="E1202" t="s">
        <v>210</v>
      </c>
      <c r="F1202">
        <v>4500336223</v>
      </c>
      <c r="G1202" t="s">
        <v>2414</v>
      </c>
      <c r="H1202" t="s">
        <v>12</v>
      </c>
      <c r="I1202" t="s">
        <v>883</v>
      </c>
      <c r="J1202" t="s">
        <v>210</v>
      </c>
      <c r="K1202" s="2">
        <v>74543</v>
      </c>
      <c r="L1202" t="s">
        <v>6408</v>
      </c>
      <c r="M1202" t="str" cm="1">
        <f t="array" ref="M1202">INDEX('Org List'!$A$2:$C$1005,MATCH(Consolidated!I1202&amp;Consolidated!J1202,'Org List'!$A$2:$A$1005&amp;'Org List'!$B$2:$B$1005,0),3)</f>
        <v>NGOs: National</v>
      </c>
    </row>
    <row r="1203" spans="1:13" x14ac:dyDescent="0.25">
      <c r="A1203" t="s">
        <v>2196</v>
      </c>
      <c r="B1203" t="s">
        <v>1275</v>
      </c>
      <c r="C1203" t="s">
        <v>1276</v>
      </c>
      <c r="D1203" t="s">
        <v>30</v>
      </c>
      <c r="E1203" t="s">
        <v>210</v>
      </c>
      <c r="F1203">
        <v>4500339743</v>
      </c>
      <c r="G1203" t="s">
        <v>2415</v>
      </c>
      <c r="H1203" t="s">
        <v>12</v>
      </c>
      <c r="I1203" t="s">
        <v>2416</v>
      </c>
      <c r="J1203" t="s">
        <v>210</v>
      </c>
      <c r="K1203" s="2">
        <v>64794</v>
      </c>
      <c r="L1203" t="s">
        <v>6408</v>
      </c>
      <c r="M1203" t="str" cm="1">
        <f t="array" ref="M1203">INDEX('Org List'!$A$2:$C$1005,MATCH(Consolidated!I1203&amp;Consolidated!J1203,'Org List'!$A$2:$A$1005&amp;'Org List'!$B$2:$B$1005,0),3)</f>
        <v>NGOs: International</v>
      </c>
    </row>
    <row r="1204" spans="1:13" x14ac:dyDescent="0.25">
      <c r="A1204" t="s">
        <v>2196</v>
      </c>
      <c r="B1204" t="s">
        <v>1275</v>
      </c>
      <c r="C1204" t="s">
        <v>1276</v>
      </c>
      <c r="D1204" t="s">
        <v>30</v>
      </c>
      <c r="E1204" t="s">
        <v>210</v>
      </c>
      <c r="F1204">
        <v>4500340211</v>
      </c>
      <c r="G1204" t="s">
        <v>2417</v>
      </c>
      <c r="H1204" t="s">
        <v>12</v>
      </c>
      <c r="I1204" t="s">
        <v>627</v>
      </c>
      <c r="J1204" t="s">
        <v>210</v>
      </c>
      <c r="K1204" s="2">
        <v>59649</v>
      </c>
      <c r="L1204" t="s">
        <v>6408</v>
      </c>
      <c r="M1204" t="str" cm="1">
        <f t="array" ref="M1204">INDEX('Org List'!$A$2:$C$1005,MATCH(Consolidated!I1204&amp;Consolidated!J1204,'Org List'!$A$2:$A$1005&amp;'Org List'!$B$2:$B$1005,0),3)</f>
        <v>NGOs: National</v>
      </c>
    </row>
    <row r="1205" spans="1:13" x14ac:dyDescent="0.25">
      <c r="A1205" t="s">
        <v>2196</v>
      </c>
      <c r="B1205" t="s">
        <v>1275</v>
      </c>
      <c r="C1205" t="s">
        <v>1276</v>
      </c>
      <c r="D1205" t="s">
        <v>30</v>
      </c>
      <c r="E1205" t="s">
        <v>210</v>
      </c>
      <c r="F1205">
        <v>4500341080</v>
      </c>
      <c r="G1205" t="s">
        <v>2418</v>
      </c>
      <c r="H1205" t="s">
        <v>12</v>
      </c>
      <c r="I1205" t="s">
        <v>217</v>
      </c>
      <c r="J1205" t="s">
        <v>210</v>
      </c>
      <c r="K1205" s="2">
        <v>10025</v>
      </c>
      <c r="L1205" t="s">
        <v>6408</v>
      </c>
      <c r="M1205" t="str" cm="1">
        <f t="array" ref="M1205">INDEX('Org List'!$A$2:$C$1005,MATCH(Consolidated!I1205&amp;Consolidated!J1205,'Org List'!$A$2:$A$1005&amp;'Org List'!$B$2:$B$1005,0),3)</f>
        <v>NGOs: Internationally affiliated</v>
      </c>
    </row>
    <row r="1206" spans="1:13" x14ac:dyDescent="0.25">
      <c r="A1206" t="s">
        <v>2196</v>
      </c>
      <c r="B1206" t="s">
        <v>1275</v>
      </c>
      <c r="C1206" t="s">
        <v>1276</v>
      </c>
      <c r="D1206" t="s">
        <v>30</v>
      </c>
      <c r="E1206" t="s">
        <v>210</v>
      </c>
      <c r="F1206">
        <v>4500347540</v>
      </c>
      <c r="G1206" t="s">
        <v>2419</v>
      </c>
      <c r="H1206" t="s">
        <v>12</v>
      </c>
      <c r="I1206" t="s">
        <v>882</v>
      </c>
      <c r="J1206" t="s">
        <v>210</v>
      </c>
      <c r="K1206" s="2">
        <v>28901</v>
      </c>
      <c r="L1206" t="s">
        <v>6408</v>
      </c>
      <c r="M1206" t="str" cm="1">
        <f t="array" ref="M1206">INDEX('Org List'!$A$2:$C$1005,MATCH(Consolidated!I1206&amp;Consolidated!J1206,'Org List'!$A$2:$A$1005&amp;'Org List'!$B$2:$B$1005,0),3)</f>
        <v>NGOs: International</v>
      </c>
    </row>
    <row r="1207" spans="1:13" x14ac:dyDescent="0.25">
      <c r="A1207" t="s">
        <v>2196</v>
      </c>
      <c r="B1207" t="s">
        <v>1275</v>
      </c>
      <c r="C1207" t="s">
        <v>1276</v>
      </c>
      <c r="D1207" t="s">
        <v>30</v>
      </c>
      <c r="E1207" t="s">
        <v>1048</v>
      </c>
      <c r="F1207">
        <v>4500344282</v>
      </c>
      <c r="G1207" t="s">
        <v>2200</v>
      </c>
      <c r="H1207" t="s">
        <v>12</v>
      </c>
      <c r="I1207" t="s">
        <v>1049</v>
      </c>
      <c r="J1207" t="s">
        <v>1048</v>
      </c>
      <c r="K1207" s="2">
        <v>99601</v>
      </c>
      <c r="L1207" t="s">
        <v>6408</v>
      </c>
      <c r="M1207" t="str" cm="1">
        <f t="array" ref="M1207">INDEX('Org List'!$A$2:$C$1005,MATCH(Consolidated!I1207&amp;Consolidated!J1207,'Org List'!$A$2:$A$1005&amp;'Org List'!$B$2:$B$1005,0),3)</f>
        <v>NGOs: Local</v>
      </c>
    </row>
    <row r="1208" spans="1:13" x14ac:dyDescent="0.25">
      <c r="A1208" t="s">
        <v>2196</v>
      </c>
      <c r="B1208" t="s">
        <v>1275</v>
      </c>
      <c r="C1208" t="s">
        <v>1276</v>
      </c>
      <c r="D1208" t="s">
        <v>30</v>
      </c>
      <c r="E1208" t="s">
        <v>885</v>
      </c>
      <c r="F1208">
        <v>4500338287</v>
      </c>
      <c r="G1208" t="s">
        <v>2420</v>
      </c>
      <c r="H1208" t="s">
        <v>12</v>
      </c>
      <c r="I1208" t="s">
        <v>886</v>
      </c>
      <c r="J1208" t="s">
        <v>885</v>
      </c>
      <c r="K1208" s="2">
        <v>71079</v>
      </c>
      <c r="L1208" t="s">
        <v>6408</v>
      </c>
      <c r="M1208" t="str" cm="1">
        <f t="array" ref="M1208">INDEX('Org List'!$A$2:$C$1005,MATCH(Consolidated!I1208&amp;Consolidated!J1208,'Org List'!$A$2:$A$1005&amp;'Org List'!$B$2:$B$1005,0),3)</f>
        <v>NGOs: International</v>
      </c>
    </row>
    <row r="1209" spans="1:13" x14ac:dyDescent="0.25">
      <c r="A1209" t="s">
        <v>2196</v>
      </c>
      <c r="B1209" t="s">
        <v>2421</v>
      </c>
      <c r="C1209" t="s">
        <v>2422</v>
      </c>
      <c r="D1209" t="s">
        <v>30</v>
      </c>
      <c r="E1209" t="s">
        <v>992</v>
      </c>
      <c r="F1209">
        <v>4500349197</v>
      </c>
      <c r="G1209" t="s">
        <v>2357</v>
      </c>
      <c r="H1209" t="s">
        <v>12</v>
      </c>
      <c r="I1209" t="s">
        <v>2423</v>
      </c>
      <c r="J1209" t="s">
        <v>992</v>
      </c>
      <c r="K1209" s="2">
        <v>59343</v>
      </c>
      <c r="L1209" t="s">
        <v>6408</v>
      </c>
      <c r="M1209" t="str" cm="1">
        <f t="array" ref="M1209">INDEX('Org List'!$A$2:$C$1005,MATCH(Consolidated!I1209&amp;Consolidated!J1209,'Org List'!$A$2:$A$1005&amp;'Org List'!$B$2:$B$1005,0),3)</f>
        <v>Red Cross: National</v>
      </c>
    </row>
    <row r="1210" spans="1:13" x14ac:dyDescent="0.25">
      <c r="A1210" t="s">
        <v>2196</v>
      </c>
      <c r="B1210" t="s">
        <v>2421</v>
      </c>
      <c r="C1210" t="s">
        <v>2422</v>
      </c>
      <c r="D1210" t="s">
        <v>30</v>
      </c>
      <c r="E1210" t="s">
        <v>992</v>
      </c>
      <c r="F1210">
        <v>4500349886</v>
      </c>
      <c r="G1210" t="s">
        <v>2200</v>
      </c>
      <c r="H1210" t="s">
        <v>12</v>
      </c>
      <c r="I1210" t="s">
        <v>2424</v>
      </c>
      <c r="J1210" t="s">
        <v>992</v>
      </c>
      <c r="K1210" s="2">
        <v>123069</v>
      </c>
      <c r="L1210" t="s">
        <v>6408</v>
      </c>
      <c r="M1210" t="str" cm="1">
        <f t="array" ref="M1210">INDEX('Org List'!$A$2:$C$1005,MATCH(Consolidated!I1210&amp;Consolidated!J1210,'Org List'!$A$2:$A$1005&amp;'Org List'!$B$2:$B$1005,0),3)</f>
        <v>NGOs: International</v>
      </c>
    </row>
    <row r="1211" spans="1:13" x14ac:dyDescent="0.25">
      <c r="A1211" t="s">
        <v>2196</v>
      </c>
      <c r="B1211" t="s">
        <v>107</v>
      </c>
      <c r="C1211" t="s">
        <v>1279</v>
      </c>
      <c r="D1211" t="s">
        <v>30</v>
      </c>
      <c r="E1211" t="s">
        <v>814</v>
      </c>
      <c r="F1211">
        <v>4500333478</v>
      </c>
      <c r="G1211" t="s">
        <v>2425</v>
      </c>
      <c r="H1211" t="s">
        <v>12</v>
      </c>
      <c r="I1211" t="s">
        <v>113</v>
      </c>
      <c r="J1211" t="s">
        <v>814</v>
      </c>
      <c r="K1211" s="2">
        <v>8229</v>
      </c>
      <c r="L1211" t="s">
        <v>6408</v>
      </c>
      <c r="M1211" t="str" cm="1">
        <f t="array" ref="M1211">INDEX('Org List'!$A$2:$C$1005,MATCH(Consolidated!I1211&amp;Consolidated!J1211,'Org List'!$A$2:$A$1005&amp;'Org List'!$B$2:$B$1005,0),3)</f>
        <v>NGOs: National</v>
      </c>
    </row>
    <row r="1212" spans="1:13" x14ac:dyDescent="0.25">
      <c r="A1212" t="s">
        <v>2196</v>
      </c>
      <c r="B1212" t="s">
        <v>107</v>
      </c>
      <c r="C1212" t="s">
        <v>1279</v>
      </c>
      <c r="D1212" t="s">
        <v>30</v>
      </c>
      <c r="E1212" t="s">
        <v>814</v>
      </c>
      <c r="F1212">
        <v>4500333507</v>
      </c>
      <c r="G1212" t="s">
        <v>2426</v>
      </c>
      <c r="H1212" t="s">
        <v>12</v>
      </c>
      <c r="I1212" t="s">
        <v>118</v>
      </c>
      <c r="J1212" t="s">
        <v>814</v>
      </c>
      <c r="K1212" s="2">
        <v>8918</v>
      </c>
      <c r="L1212" t="s">
        <v>6408</v>
      </c>
      <c r="M1212" t="str" cm="1">
        <f t="array" ref="M1212">INDEX('Org List'!$A$2:$C$1005,MATCH(Consolidated!I1212&amp;Consolidated!J1212,'Org List'!$A$2:$A$1005&amp;'Org List'!$B$2:$B$1005,0),3)</f>
        <v>NGOs: National</v>
      </c>
    </row>
    <row r="1213" spans="1:13" x14ac:dyDescent="0.25">
      <c r="A1213" t="s">
        <v>2196</v>
      </c>
      <c r="B1213" t="s">
        <v>107</v>
      </c>
      <c r="C1213" t="s">
        <v>1279</v>
      </c>
      <c r="D1213" t="s">
        <v>30</v>
      </c>
      <c r="E1213" t="s">
        <v>814</v>
      </c>
      <c r="F1213">
        <v>4500333512</v>
      </c>
      <c r="G1213" t="s">
        <v>2427</v>
      </c>
      <c r="H1213" t="s">
        <v>12</v>
      </c>
      <c r="I1213" t="s">
        <v>119</v>
      </c>
      <c r="J1213" t="s">
        <v>814</v>
      </c>
      <c r="K1213" s="2">
        <v>8588</v>
      </c>
      <c r="L1213" t="s">
        <v>6408</v>
      </c>
      <c r="M1213" t="str" cm="1">
        <f t="array" ref="M1213">INDEX('Org List'!$A$2:$C$1005,MATCH(Consolidated!I1213&amp;Consolidated!J1213,'Org List'!$A$2:$A$1005&amp;'Org List'!$B$2:$B$1005,0),3)</f>
        <v>NGOs: National</v>
      </c>
    </row>
    <row r="1214" spans="1:13" x14ac:dyDescent="0.25">
      <c r="A1214" t="s">
        <v>2196</v>
      </c>
      <c r="B1214" t="s">
        <v>107</v>
      </c>
      <c r="C1214" t="s">
        <v>1279</v>
      </c>
      <c r="D1214" t="s">
        <v>30</v>
      </c>
      <c r="E1214" t="s">
        <v>814</v>
      </c>
      <c r="F1214">
        <v>4500333514</v>
      </c>
      <c r="G1214" t="s">
        <v>2427</v>
      </c>
      <c r="H1214" t="s">
        <v>12</v>
      </c>
      <c r="I1214" t="s">
        <v>116</v>
      </c>
      <c r="J1214" t="s">
        <v>814</v>
      </c>
      <c r="K1214" s="2">
        <v>7749</v>
      </c>
      <c r="L1214" t="s">
        <v>6408</v>
      </c>
      <c r="M1214" t="str" cm="1">
        <f t="array" ref="M1214">INDEX('Org List'!$A$2:$C$1005,MATCH(Consolidated!I1214&amp;Consolidated!J1214,'Org List'!$A$2:$A$1005&amp;'Org List'!$B$2:$B$1005,0),3)</f>
        <v>NGOs: National</v>
      </c>
    </row>
    <row r="1215" spans="1:13" x14ac:dyDescent="0.25">
      <c r="A1215" t="s">
        <v>2196</v>
      </c>
      <c r="B1215" t="s">
        <v>107</v>
      </c>
      <c r="C1215" t="s">
        <v>1279</v>
      </c>
      <c r="D1215" t="s">
        <v>30</v>
      </c>
      <c r="E1215" t="s">
        <v>814</v>
      </c>
      <c r="F1215">
        <v>4500333519</v>
      </c>
      <c r="G1215" t="s">
        <v>2427</v>
      </c>
      <c r="H1215" t="s">
        <v>12</v>
      </c>
      <c r="I1215" t="s">
        <v>114</v>
      </c>
      <c r="J1215" t="s">
        <v>814</v>
      </c>
      <c r="K1215" s="2">
        <v>6628</v>
      </c>
      <c r="L1215" t="s">
        <v>6408</v>
      </c>
      <c r="M1215" t="str" cm="1">
        <f t="array" ref="M1215">INDEX('Org List'!$A$2:$C$1005,MATCH(Consolidated!I1215&amp;Consolidated!J1215,'Org List'!$A$2:$A$1005&amp;'Org List'!$B$2:$B$1005,0),3)</f>
        <v>NGOs: National</v>
      </c>
    </row>
    <row r="1216" spans="1:13" x14ac:dyDescent="0.25">
      <c r="A1216" t="s">
        <v>2196</v>
      </c>
      <c r="B1216" t="s">
        <v>107</v>
      </c>
      <c r="C1216" t="s">
        <v>1279</v>
      </c>
      <c r="D1216" t="s">
        <v>30</v>
      </c>
      <c r="E1216" t="s">
        <v>814</v>
      </c>
      <c r="F1216">
        <v>4500333734</v>
      </c>
      <c r="G1216" t="s">
        <v>2427</v>
      </c>
      <c r="H1216" t="s">
        <v>12</v>
      </c>
      <c r="I1216" t="s">
        <v>1721</v>
      </c>
      <c r="J1216" t="s">
        <v>814</v>
      </c>
      <c r="K1216" s="2">
        <v>5813</v>
      </c>
      <c r="L1216" t="s">
        <v>6408</v>
      </c>
      <c r="M1216" t="str" cm="1">
        <f t="array" ref="M1216">INDEX('Org List'!$A$2:$C$1005,MATCH(Consolidated!I1216&amp;Consolidated!J1216,'Org List'!$A$2:$A$1005&amp;'Org List'!$B$2:$B$1005,0),3)</f>
        <v>NGOs: National</v>
      </c>
    </row>
    <row r="1217" spans="1:13" x14ac:dyDescent="0.25">
      <c r="A1217" t="s">
        <v>2196</v>
      </c>
      <c r="B1217" t="s">
        <v>107</v>
      </c>
      <c r="C1217" t="s">
        <v>1279</v>
      </c>
      <c r="D1217" t="s">
        <v>30</v>
      </c>
      <c r="E1217" t="s">
        <v>814</v>
      </c>
      <c r="F1217">
        <v>4500337263</v>
      </c>
      <c r="G1217" t="s">
        <v>2428</v>
      </c>
      <c r="H1217" t="s">
        <v>12</v>
      </c>
      <c r="I1217" t="s">
        <v>112</v>
      </c>
      <c r="J1217" t="s">
        <v>814</v>
      </c>
      <c r="K1217" s="2">
        <v>16872</v>
      </c>
      <c r="L1217" t="s">
        <v>6408</v>
      </c>
      <c r="M1217" t="str" cm="1">
        <f t="array" ref="M1217">INDEX('Org List'!$A$2:$C$1005,MATCH(Consolidated!I1217&amp;Consolidated!J1217,'Org List'!$A$2:$A$1005&amp;'Org List'!$B$2:$B$1005,0),3)</f>
        <v>NGOs: National</v>
      </c>
    </row>
    <row r="1218" spans="1:13" x14ac:dyDescent="0.25">
      <c r="A1218" t="s">
        <v>2196</v>
      </c>
      <c r="B1218" t="s">
        <v>107</v>
      </c>
      <c r="C1218" t="s">
        <v>1279</v>
      </c>
      <c r="D1218" t="s">
        <v>30</v>
      </c>
      <c r="E1218" t="s">
        <v>814</v>
      </c>
      <c r="F1218">
        <v>4500337277</v>
      </c>
      <c r="G1218" t="s">
        <v>2427</v>
      </c>
      <c r="H1218" t="s">
        <v>12</v>
      </c>
      <c r="I1218" t="s">
        <v>112</v>
      </c>
      <c r="J1218" t="s">
        <v>814</v>
      </c>
      <c r="K1218" s="2">
        <v>14811</v>
      </c>
      <c r="L1218" t="s">
        <v>6408</v>
      </c>
      <c r="M1218" t="str" cm="1">
        <f t="array" ref="M1218">INDEX('Org List'!$A$2:$C$1005,MATCH(Consolidated!I1218&amp;Consolidated!J1218,'Org List'!$A$2:$A$1005&amp;'Org List'!$B$2:$B$1005,0),3)</f>
        <v>NGOs: National</v>
      </c>
    </row>
    <row r="1219" spans="1:13" x14ac:dyDescent="0.25">
      <c r="A1219" t="s">
        <v>2196</v>
      </c>
      <c r="B1219" t="s">
        <v>2429</v>
      </c>
      <c r="C1219" t="s">
        <v>896</v>
      </c>
      <c r="D1219" t="s">
        <v>30</v>
      </c>
      <c r="E1219" t="s">
        <v>320</v>
      </c>
      <c r="F1219">
        <v>4500330092</v>
      </c>
      <c r="G1219" t="s">
        <v>2430</v>
      </c>
      <c r="H1219" t="s">
        <v>12</v>
      </c>
      <c r="I1219" t="s">
        <v>851</v>
      </c>
      <c r="J1219" t="s">
        <v>320</v>
      </c>
      <c r="K1219" s="2">
        <v>3720</v>
      </c>
      <c r="L1219" t="s">
        <v>6408</v>
      </c>
      <c r="M1219" t="str" cm="1">
        <f t="array" ref="M1219">INDEX('Org List'!$A$2:$C$1005,MATCH(Consolidated!I1219&amp;Consolidated!J1219,'Org List'!$A$2:$A$1005&amp;'Org List'!$B$2:$B$1005,0),3)</f>
        <v>NGOs: National</v>
      </c>
    </row>
    <row r="1220" spans="1:13" x14ac:dyDescent="0.25">
      <c r="A1220" t="s">
        <v>2196</v>
      </c>
      <c r="B1220" t="s">
        <v>2429</v>
      </c>
      <c r="C1220" t="s">
        <v>896</v>
      </c>
      <c r="D1220" t="s">
        <v>30</v>
      </c>
      <c r="E1220" t="s">
        <v>320</v>
      </c>
      <c r="F1220">
        <v>4500334037</v>
      </c>
      <c r="G1220" t="s">
        <v>2431</v>
      </c>
      <c r="H1220" t="s">
        <v>12</v>
      </c>
      <c r="I1220" t="s">
        <v>2432</v>
      </c>
      <c r="J1220" t="s">
        <v>320</v>
      </c>
      <c r="K1220" s="2">
        <v>5550</v>
      </c>
      <c r="L1220" t="s">
        <v>6408</v>
      </c>
      <c r="M1220" t="str" cm="1">
        <f t="array" ref="M1220">INDEX('Org List'!$A$2:$C$1005,MATCH(Consolidated!I1220&amp;Consolidated!J1220,'Org List'!$A$2:$A$1005&amp;'Org List'!$B$2:$B$1005,0),3)</f>
        <v>NGOs: International</v>
      </c>
    </row>
    <row r="1221" spans="1:13" x14ac:dyDescent="0.25">
      <c r="A1221" t="s">
        <v>2196</v>
      </c>
      <c r="B1221" t="s">
        <v>2433</v>
      </c>
      <c r="C1221" t="s">
        <v>2434</v>
      </c>
      <c r="D1221" t="s">
        <v>30</v>
      </c>
      <c r="E1221" t="s">
        <v>1554</v>
      </c>
      <c r="F1221">
        <v>4500341529</v>
      </c>
      <c r="G1221" t="s">
        <v>2200</v>
      </c>
      <c r="H1221" t="s">
        <v>12</v>
      </c>
      <c r="I1221" t="s">
        <v>2435</v>
      </c>
      <c r="J1221" t="s">
        <v>1554</v>
      </c>
      <c r="K1221" s="2">
        <v>217169</v>
      </c>
      <c r="L1221" t="s">
        <v>6408</v>
      </c>
      <c r="M1221" t="str" cm="1">
        <f t="array" ref="M1221">INDEX('Org List'!$A$2:$C$1005,MATCH(Consolidated!I1221&amp;Consolidated!J1221,'Org List'!$A$2:$A$1005&amp;'Org List'!$B$2:$B$1005,0),3)</f>
        <v>Red Cross: National</v>
      </c>
    </row>
    <row r="1222" spans="1:13" x14ac:dyDescent="0.25">
      <c r="A1222" t="s">
        <v>2196</v>
      </c>
      <c r="B1222" t="s">
        <v>2433</v>
      </c>
      <c r="C1222" t="s">
        <v>2434</v>
      </c>
      <c r="D1222" t="s">
        <v>30</v>
      </c>
      <c r="E1222" t="s">
        <v>1554</v>
      </c>
      <c r="F1222">
        <v>4500344919</v>
      </c>
      <c r="G1222" t="s">
        <v>2200</v>
      </c>
      <c r="H1222" t="s">
        <v>12</v>
      </c>
      <c r="I1222" t="s">
        <v>2436</v>
      </c>
      <c r="J1222" t="s">
        <v>1554</v>
      </c>
      <c r="K1222" s="2">
        <v>168831</v>
      </c>
      <c r="L1222" t="s">
        <v>6408</v>
      </c>
      <c r="M1222" t="str" cm="1">
        <f t="array" ref="M1222">INDEX('Org List'!$A$2:$C$1005,MATCH(Consolidated!I1222&amp;Consolidated!J1222,'Org List'!$A$2:$A$1005&amp;'Org List'!$B$2:$B$1005,0),3)</f>
        <v>NGOs: International</v>
      </c>
    </row>
    <row r="1223" spans="1:13" x14ac:dyDescent="0.25">
      <c r="A1223" t="s">
        <v>2196</v>
      </c>
      <c r="B1223" t="s">
        <v>2433</v>
      </c>
      <c r="C1223" t="s">
        <v>2434</v>
      </c>
      <c r="D1223" t="s">
        <v>30</v>
      </c>
      <c r="E1223" t="s">
        <v>1554</v>
      </c>
      <c r="F1223">
        <v>4500347289</v>
      </c>
      <c r="G1223" t="s">
        <v>2200</v>
      </c>
      <c r="H1223" t="s">
        <v>12</v>
      </c>
      <c r="I1223" t="s">
        <v>2437</v>
      </c>
      <c r="J1223" t="s">
        <v>1554</v>
      </c>
      <c r="K1223" s="2">
        <v>114031</v>
      </c>
      <c r="L1223" t="s">
        <v>6408</v>
      </c>
      <c r="M1223" t="str" cm="1">
        <f t="array" ref="M1223">INDEX('Org List'!$A$2:$C$1005,MATCH(Consolidated!I1223&amp;Consolidated!J1223,'Org List'!$A$2:$A$1005&amp;'Org List'!$B$2:$B$1005,0),3)</f>
        <v>NGOs: National</v>
      </c>
    </row>
    <row r="1224" spans="1:13" x14ac:dyDescent="0.25">
      <c r="A1224" t="s">
        <v>2196</v>
      </c>
      <c r="B1224" t="s">
        <v>1990</v>
      </c>
      <c r="C1224" t="s">
        <v>1991</v>
      </c>
      <c r="D1224" t="s">
        <v>30</v>
      </c>
      <c r="E1224" t="s">
        <v>545</v>
      </c>
      <c r="F1224">
        <v>4500337977</v>
      </c>
      <c r="G1224" t="s">
        <v>2372</v>
      </c>
      <c r="H1224" t="s">
        <v>12</v>
      </c>
      <c r="I1224" t="s">
        <v>2373</v>
      </c>
      <c r="J1224" t="s">
        <v>128</v>
      </c>
      <c r="K1224" s="2">
        <v>9351</v>
      </c>
      <c r="L1224" t="s">
        <v>6408</v>
      </c>
      <c r="M1224" t="str" cm="1">
        <f t="array" ref="M1224">INDEX('Org List'!$A$2:$C$1005,MATCH(Consolidated!I1224&amp;Consolidated!J1224,'Org List'!$A$2:$A$1005&amp;'Org List'!$B$2:$B$1005,0),3)</f>
        <v>NGOs: National</v>
      </c>
    </row>
    <row r="1225" spans="1:13" x14ac:dyDescent="0.25">
      <c r="A1225" t="s">
        <v>2196</v>
      </c>
      <c r="B1225" t="s">
        <v>1724</v>
      </c>
      <c r="C1225" t="s">
        <v>1725</v>
      </c>
      <c r="D1225" t="s">
        <v>30</v>
      </c>
      <c r="E1225" t="s">
        <v>175</v>
      </c>
      <c r="F1225">
        <v>4500344022</v>
      </c>
      <c r="G1225" t="s">
        <v>2204</v>
      </c>
      <c r="H1225" t="s">
        <v>12</v>
      </c>
      <c r="I1225" t="s">
        <v>183</v>
      </c>
      <c r="J1225" t="s">
        <v>184</v>
      </c>
      <c r="K1225" s="2">
        <v>234266</v>
      </c>
      <c r="L1225" t="s">
        <v>6408</v>
      </c>
      <c r="M1225" t="str" cm="1">
        <f t="array" ref="M1225">INDEX('Org List'!$A$2:$C$1005,MATCH(Consolidated!I1225&amp;Consolidated!J1225,'Org List'!$A$2:$A$1005&amp;'Org List'!$B$2:$B$1005,0),3)</f>
        <v>NGOs: International</v>
      </c>
    </row>
    <row r="1226" spans="1:13" x14ac:dyDescent="0.25">
      <c r="A1226" t="s">
        <v>2196</v>
      </c>
      <c r="B1226" t="s">
        <v>1724</v>
      </c>
      <c r="C1226" t="s">
        <v>1725</v>
      </c>
      <c r="D1226" t="s">
        <v>30</v>
      </c>
      <c r="E1226" t="s">
        <v>175</v>
      </c>
      <c r="F1226">
        <v>4500347926</v>
      </c>
      <c r="G1226" t="s">
        <v>2205</v>
      </c>
      <c r="H1226" t="s">
        <v>12</v>
      </c>
      <c r="I1226" t="s">
        <v>887</v>
      </c>
      <c r="J1226" t="s">
        <v>175</v>
      </c>
      <c r="K1226" s="2">
        <v>116087</v>
      </c>
      <c r="L1226" t="s">
        <v>6408</v>
      </c>
      <c r="M1226" t="str" cm="1">
        <f t="array" ref="M1226">INDEX('Org List'!$A$2:$C$1005,MATCH(Consolidated!I1226&amp;Consolidated!J1226,'Org List'!$A$2:$A$1005&amp;'Org List'!$B$2:$B$1005,0),3)</f>
        <v>NGOs: International</v>
      </c>
    </row>
    <row r="1227" spans="1:13" x14ac:dyDescent="0.25">
      <c r="A1227" t="s">
        <v>2196</v>
      </c>
      <c r="B1227" t="s">
        <v>2438</v>
      </c>
      <c r="C1227" t="s">
        <v>2439</v>
      </c>
      <c r="D1227" t="s">
        <v>30</v>
      </c>
      <c r="E1227" t="s">
        <v>123</v>
      </c>
      <c r="F1227">
        <v>4500333338</v>
      </c>
      <c r="G1227" t="s">
        <v>2200</v>
      </c>
      <c r="H1227" t="s">
        <v>12</v>
      </c>
      <c r="I1227" t="s">
        <v>124</v>
      </c>
      <c r="J1227" t="s">
        <v>123</v>
      </c>
      <c r="K1227" s="2">
        <v>68381</v>
      </c>
      <c r="L1227" t="s">
        <v>6408</v>
      </c>
      <c r="M1227" t="str" cm="1">
        <f t="array" ref="M1227">INDEX('Org List'!$A$2:$C$1005,MATCH(Consolidated!I1227&amp;Consolidated!J1227,'Org List'!$A$2:$A$1005&amp;'Org List'!$B$2:$B$1005,0),3)</f>
        <v>NGOs: National</v>
      </c>
    </row>
    <row r="1228" spans="1:13" x14ac:dyDescent="0.25">
      <c r="A1228" t="s">
        <v>2196</v>
      </c>
      <c r="B1228" t="s">
        <v>1997</v>
      </c>
      <c r="C1228" t="s">
        <v>1998</v>
      </c>
      <c r="D1228" t="s">
        <v>30</v>
      </c>
      <c r="E1228" t="s">
        <v>940</v>
      </c>
      <c r="F1228">
        <v>4500344540</v>
      </c>
      <c r="G1228" t="s">
        <v>2200</v>
      </c>
      <c r="H1228" t="s">
        <v>12</v>
      </c>
      <c r="I1228" t="s">
        <v>338</v>
      </c>
      <c r="J1228" t="s">
        <v>940</v>
      </c>
      <c r="K1228" s="2">
        <v>700350</v>
      </c>
      <c r="L1228" t="s">
        <v>6408</v>
      </c>
      <c r="M1228" t="str" cm="1">
        <f t="array" ref="M1228">INDEX('Org List'!$A$2:$C$1005,MATCH(Consolidated!I1228&amp;Consolidated!J1228,'Org List'!$A$2:$A$1005&amp;'Org List'!$B$2:$B$1005,0),3)</f>
        <v>NGOs: National</v>
      </c>
    </row>
    <row r="1229" spans="1:13" x14ac:dyDescent="0.25">
      <c r="A1229" t="s">
        <v>2196</v>
      </c>
      <c r="B1229" t="s">
        <v>722</v>
      </c>
      <c r="C1229" t="s">
        <v>723</v>
      </c>
      <c r="D1229" t="s">
        <v>30</v>
      </c>
      <c r="E1229" t="s">
        <v>717</v>
      </c>
      <c r="F1229">
        <v>4500326163</v>
      </c>
      <c r="G1229" t="s">
        <v>2363</v>
      </c>
      <c r="H1229" t="s">
        <v>12</v>
      </c>
      <c r="I1229" t="s">
        <v>2364</v>
      </c>
      <c r="J1229" t="s">
        <v>717</v>
      </c>
      <c r="K1229" s="2">
        <v>95607</v>
      </c>
      <c r="L1229" t="s">
        <v>6408</v>
      </c>
      <c r="M1229" t="str" cm="1">
        <f t="array" ref="M1229">INDEX('Org List'!$A$2:$C$1005,MATCH(Consolidated!I1229&amp;Consolidated!J1229,'Org List'!$A$2:$A$1005&amp;'Org List'!$B$2:$B$1005,0),3)</f>
        <v>NGOs: National</v>
      </c>
    </row>
    <row r="1230" spans="1:13" x14ac:dyDescent="0.25">
      <c r="A1230" t="s">
        <v>2196</v>
      </c>
      <c r="B1230" t="s">
        <v>722</v>
      </c>
      <c r="C1230" t="s">
        <v>723</v>
      </c>
      <c r="D1230" t="s">
        <v>30</v>
      </c>
      <c r="E1230" t="s">
        <v>717</v>
      </c>
      <c r="F1230">
        <v>4500326167</v>
      </c>
      <c r="G1230" t="s">
        <v>2440</v>
      </c>
      <c r="H1230" t="s">
        <v>12</v>
      </c>
      <c r="I1230" t="s">
        <v>2441</v>
      </c>
      <c r="J1230" t="s">
        <v>717</v>
      </c>
      <c r="K1230" s="2">
        <v>63648</v>
      </c>
      <c r="L1230" t="s">
        <v>6408</v>
      </c>
      <c r="M1230" t="str" cm="1">
        <f t="array" ref="M1230">INDEX('Org List'!$A$2:$C$1005,MATCH(Consolidated!I1230&amp;Consolidated!J1230,'Org List'!$A$2:$A$1005&amp;'Org List'!$B$2:$B$1005,0),3)</f>
        <v>NGOs: National</v>
      </c>
    </row>
    <row r="1231" spans="1:13" x14ac:dyDescent="0.25">
      <c r="A1231" t="s">
        <v>2196</v>
      </c>
      <c r="B1231" t="s">
        <v>722</v>
      </c>
      <c r="C1231" t="s">
        <v>723</v>
      </c>
      <c r="D1231" t="s">
        <v>30</v>
      </c>
      <c r="E1231" t="s">
        <v>717</v>
      </c>
      <c r="F1231">
        <v>4500326322</v>
      </c>
      <c r="G1231" t="s">
        <v>2442</v>
      </c>
      <c r="H1231" t="s">
        <v>12</v>
      </c>
      <c r="I1231" t="s">
        <v>1898</v>
      </c>
      <c r="J1231" t="s">
        <v>717</v>
      </c>
      <c r="K1231" s="2">
        <v>65631</v>
      </c>
      <c r="L1231" t="s">
        <v>6408</v>
      </c>
      <c r="M1231" t="str" cm="1">
        <f t="array" ref="M1231">INDEX('Org List'!$A$2:$C$1005,MATCH(Consolidated!I1231&amp;Consolidated!J1231,'Org List'!$A$2:$A$1005&amp;'Org List'!$B$2:$B$1005,0),3)</f>
        <v>NGOs: National</v>
      </c>
    </row>
    <row r="1232" spans="1:13" x14ac:dyDescent="0.25">
      <c r="A1232" t="s">
        <v>2196</v>
      </c>
      <c r="B1232" t="s">
        <v>722</v>
      </c>
      <c r="C1232" t="s">
        <v>723</v>
      </c>
      <c r="D1232" t="s">
        <v>30</v>
      </c>
      <c r="E1232" t="s">
        <v>717</v>
      </c>
      <c r="F1232">
        <v>4500343683</v>
      </c>
      <c r="G1232" t="s">
        <v>2443</v>
      </c>
      <c r="H1232" t="s">
        <v>12</v>
      </c>
      <c r="I1232" t="s">
        <v>2444</v>
      </c>
      <c r="J1232" t="s">
        <v>717</v>
      </c>
      <c r="K1232" s="2">
        <v>61273</v>
      </c>
      <c r="L1232" t="s">
        <v>6408</v>
      </c>
      <c r="M1232" t="str" cm="1">
        <f t="array" ref="M1232">INDEX('Org List'!$A$2:$C$1005,MATCH(Consolidated!I1232&amp;Consolidated!J1232,'Org List'!$A$2:$A$1005&amp;'Org List'!$B$2:$B$1005,0),3)</f>
        <v>NGOs: National</v>
      </c>
    </row>
    <row r="1233" spans="1:13" x14ac:dyDescent="0.25">
      <c r="A1233" t="s">
        <v>2196</v>
      </c>
      <c r="B1233" t="s">
        <v>722</v>
      </c>
      <c r="C1233" t="s">
        <v>723</v>
      </c>
      <c r="D1233" t="s">
        <v>30</v>
      </c>
      <c r="E1233" t="s">
        <v>717</v>
      </c>
      <c r="F1233">
        <v>4500348956</v>
      </c>
      <c r="G1233" t="s">
        <v>2445</v>
      </c>
      <c r="H1233" t="s">
        <v>12</v>
      </c>
      <c r="I1233" t="s">
        <v>728</v>
      </c>
      <c r="J1233" t="s">
        <v>717</v>
      </c>
      <c r="K1233" s="2">
        <v>239979</v>
      </c>
      <c r="L1233" t="s">
        <v>6408</v>
      </c>
      <c r="M1233" t="str" cm="1">
        <f t="array" ref="M1233">INDEX('Org List'!$A$2:$C$1005,MATCH(Consolidated!I1233&amp;Consolidated!J1233,'Org List'!$A$2:$A$1005&amp;'Org List'!$B$2:$B$1005,0),3)</f>
        <v>NGOs: National</v>
      </c>
    </row>
    <row r="1234" spans="1:13" x14ac:dyDescent="0.25">
      <c r="A1234" t="s">
        <v>2196</v>
      </c>
      <c r="B1234" t="s">
        <v>2446</v>
      </c>
      <c r="C1234" t="s">
        <v>2447</v>
      </c>
      <c r="D1234" t="s">
        <v>30</v>
      </c>
      <c r="E1234" t="s">
        <v>175</v>
      </c>
      <c r="F1234">
        <v>4500341933</v>
      </c>
      <c r="G1234" t="s">
        <v>2448</v>
      </c>
      <c r="H1234" t="s">
        <v>12</v>
      </c>
      <c r="I1234" t="s">
        <v>390</v>
      </c>
      <c r="J1234" t="s">
        <v>175</v>
      </c>
      <c r="K1234" s="2">
        <v>39820</v>
      </c>
      <c r="L1234" t="s">
        <v>6408</v>
      </c>
      <c r="M1234" t="str" cm="1">
        <f t="array" ref="M1234">INDEX('Org List'!$A$2:$C$1005,MATCH(Consolidated!I1234&amp;Consolidated!J1234,'Org List'!$A$2:$A$1005&amp;'Org List'!$B$2:$B$1005,0),3)</f>
        <v>NGOs: Local</v>
      </c>
    </row>
    <row r="1235" spans="1:13" x14ac:dyDescent="0.25">
      <c r="A1235" t="s">
        <v>2196</v>
      </c>
      <c r="B1235" t="s">
        <v>1293</v>
      </c>
      <c r="C1235" t="s">
        <v>1294</v>
      </c>
      <c r="D1235" t="s">
        <v>30</v>
      </c>
      <c r="E1235" t="s">
        <v>123</v>
      </c>
      <c r="F1235">
        <v>4500332711</v>
      </c>
      <c r="G1235" t="s">
        <v>2200</v>
      </c>
      <c r="H1235" t="s">
        <v>12</v>
      </c>
      <c r="I1235" t="s">
        <v>2365</v>
      </c>
      <c r="J1235" t="s">
        <v>123</v>
      </c>
      <c r="K1235" s="2">
        <v>520600</v>
      </c>
      <c r="L1235" t="s">
        <v>6408</v>
      </c>
      <c r="M1235" t="str" cm="1">
        <f t="array" ref="M1235">INDEX('Org List'!$A$2:$C$1005,MATCH(Consolidated!I1235&amp;Consolidated!J1235,'Org List'!$A$2:$A$1005&amp;'Org List'!$B$2:$B$1005,0),3)</f>
        <v>NGOs: National</v>
      </c>
    </row>
    <row r="1236" spans="1:13" x14ac:dyDescent="0.25">
      <c r="A1236" t="s">
        <v>2196</v>
      </c>
      <c r="B1236" t="s">
        <v>1293</v>
      </c>
      <c r="C1236" t="s">
        <v>1294</v>
      </c>
      <c r="D1236" t="s">
        <v>30</v>
      </c>
      <c r="E1236" t="s">
        <v>123</v>
      </c>
      <c r="F1236">
        <v>4500335021</v>
      </c>
      <c r="G1236" t="s">
        <v>2200</v>
      </c>
      <c r="H1236" t="s">
        <v>12</v>
      </c>
      <c r="I1236" t="s">
        <v>431</v>
      </c>
      <c r="J1236" t="s">
        <v>123</v>
      </c>
      <c r="K1236" s="2">
        <v>409000</v>
      </c>
      <c r="L1236" t="s">
        <v>6408</v>
      </c>
      <c r="M1236" t="str" cm="1">
        <f t="array" ref="M1236">INDEX('Org List'!$A$2:$C$1005,MATCH(Consolidated!I1236&amp;Consolidated!J1236,'Org List'!$A$2:$A$1005&amp;'Org List'!$B$2:$B$1005,0),3)</f>
        <v>NGOs: International</v>
      </c>
    </row>
    <row r="1237" spans="1:13" x14ac:dyDescent="0.25">
      <c r="A1237" t="s">
        <v>2196</v>
      </c>
      <c r="B1237" t="s">
        <v>1293</v>
      </c>
      <c r="C1237" t="s">
        <v>1294</v>
      </c>
      <c r="D1237" t="s">
        <v>30</v>
      </c>
      <c r="E1237" t="s">
        <v>123</v>
      </c>
      <c r="F1237">
        <v>4500335501</v>
      </c>
      <c r="G1237" t="s">
        <v>2200</v>
      </c>
      <c r="H1237" t="s">
        <v>12</v>
      </c>
      <c r="I1237" t="s">
        <v>433</v>
      </c>
      <c r="J1237" t="s">
        <v>123</v>
      </c>
      <c r="K1237" s="2">
        <v>87742</v>
      </c>
      <c r="L1237" t="s">
        <v>6408</v>
      </c>
      <c r="M1237" t="str" cm="1">
        <f t="array" ref="M1237">INDEX('Org List'!$A$2:$C$1005,MATCH(Consolidated!I1237&amp;Consolidated!J1237,'Org List'!$A$2:$A$1005&amp;'Org List'!$B$2:$B$1005,0),3)</f>
        <v>NGOs: International</v>
      </c>
    </row>
    <row r="1238" spans="1:13" x14ac:dyDescent="0.25">
      <c r="A1238" t="s">
        <v>2196</v>
      </c>
      <c r="B1238" t="s">
        <v>1293</v>
      </c>
      <c r="C1238" t="s">
        <v>1294</v>
      </c>
      <c r="D1238" t="s">
        <v>30</v>
      </c>
      <c r="E1238" t="s">
        <v>123</v>
      </c>
      <c r="F1238">
        <v>4500338946</v>
      </c>
      <c r="G1238" t="s">
        <v>2200</v>
      </c>
      <c r="H1238" t="s">
        <v>12</v>
      </c>
      <c r="I1238" t="s">
        <v>1295</v>
      </c>
      <c r="J1238" t="s">
        <v>123</v>
      </c>
      <c r="K1238" s="2">
        <v>299992</v>
      </c>
      <c r="L1238" t="s">
        <v>6408</v>
      </c>
      <c r="M1238" t="str" cm="1">
        <f t="array" ref="M1238">INDEX('Org List'!$A$2:$C$1005,MATCH(Consolidated!I1238&amp;Consolidated!J1238,'Org List'!$A$2:$A$1005&amp;'Org List'!$B$2:$B$1005,0),3)</f>
        <v>NGOs: National</v>
      </c>
    </row>
    <row r="1239" spans="1:13" x14ac:dyDescent="0.25">
      <c r="A1239" t="s">
        <v>2196</v>
      </c>
      <c r="B1239" t="s">
        <v>1293</v>
      </c>
      <c r="C1239" t="s">
        <v>1294</v>
      </c>
      <c r="D1239" t="s">
        <v>30</v>
      </c>
      <c r="E1239" t="s">
        <v>123</v>
      </c>
      <c r="F1239">
        <v>4500342577</v>
      </c>
      <c r="G1239" t="s">
        <v>2200</v>
      </c>
      <c r="H1239" t="s">
        <v>12</v>
      </c>
      <c r="I1239" t="s">
        <v>2449</v>
      </c>
      <c r="J1239" t="s">
        <v>123</v>
      </c>
      <c r="K1239" s="2">
        <v>166692</v>
      </c>
      <c r="L1239" t="s">
        <v>6408</v>
      </c>
      <c r="M1239" t="str" cm="1">
        <f t="array" ref="M1239">INDEX('Org List'!$A$2:$C$1005,MATCH(Consolidated!I1239&amp;Consolidated!J1239,'Org List'!$A$2:$A$1005&amp;'Org List'!$B$2:$B$1005,0),3)</f>
        <v>NGOs: Local</v>
      </c>
    </row>
    <row r="1240" spans="1:13" x14ac:dyDescent="0.25">
      <c r="A1240" t="s">
        <v>2196</v>
      </c>
      <c r="B1240" t="s">
        <v>2450</v>
      </c>
      <c r="C1240" t="s">
        <v>2451</v>
      </c>
      <c r="D1240" t="s">
        <v>30</v>
      </c>
      <c r="E1240" t="s">
        <v>45</v>
      </c>
      <c r="F1240">
        <v>4500338897</v>
      </c>
      <c r="G1240" t="s">
        <v>2357</v>
      </c>
      <c r="H1240" t="s">
        <v>12</v>
      </c>
      <c r="I1240" t="s">
        <v>2452</v>
      </c>
      <c r="J1240" t="s">
        <v>616</v>
      </c>
      <c r="K1240" s="2">
        <v>99950</v>
      </c>
      <c r="L1240" t="s">
        <v>6408</v>
      </c>
      <c r="M1240" t="str" cm="1">
        <f t="array" ref="M1240">INDEX('Org List'!$A$2:$C$1005,MATCH(Consolidated!I1240&amp;Consolidated!J1240,'Org List'!$A$2:$A$1005&amp;'Org List'!$B$2:$B$1005,0),3)</f>
        <v>NGOs: International</v>
      </c>
    </row>
    <row r="1241" spans="1:13" x14ac:dyDescent="0.25">
      <c r="A1241" t="s">
        <v>2196</v>
      </c>
      <c r="B1241" t="s">
        <v>2450</v>
      </c>
      <c r="C1241" t="s">
        <v>2451</v>
      </c>
      <c r="D1241" t="s">
        <v>30</v>
      </c>
      <c r="E1241" t="s">
        <v>45</v>
      </c>
      <c r="F1241">
        <v>4500339653</v>
      </c>
      <c r="G1241" t="s">
        <v>2200</v>
      </c>
      <c r="H1241" t="s">
        <v>12</v>
      </c>
      <c r="I1241" t="s">
        <v>1109</v>
      </c>
      <c r="J1241" t="s">
        <v>45</v>
      </c>
      <c r="K1241" s="2">
        <v>55600</v>
      </c>
      <c r="L1241" t="s">
        <v>6408</v>
      </c>
      <c r="M1241" t="str" cm="1">
        <f t="array" ref="M1241">INDEX('Org List'!$A$2:$C$1005,MATCH(Consolidated!I1241&amp;Consolidated!J1241,'Org List'!$A$2:$A$1005&amp;'Org List'!$B$2:$B$1005,0),3)</f>
        <v>NGOs: National</v>
      </c>
    </row>
    <row r="1242" spans="1:13" x14ac:dyDescent="0.25">
      <c r="A1242" t="s">
        <v>2196</v>
      </c>
      <c r="B1242" t="s">
        <v>2450</v>
      </c>
      <c r="C1242" t="s">
        <v>2451</v>
      </c>
      <c r="D1242" t="s">
        <v>30</v>
      </c>
      <c r="E1242" t="s">
        <v>45</v>
      </c>
      <c r="F1242">
        <v>4500340788</v>
      </c>
      <c r="G1242" t="s">
        <v>2357</v>
      </c>
      <c r="H1242" t="s">
        <v>12</v>
      </c>
      <c r="I1242" t="s">
        <v>667</v>
      </c>
      <c r="J1242" t="s">
        <v>45</v>
      </c>
      <c r="K1242" s="2">
        <v>196545</v>
      </c>
      <c r="L1242" t="s">
        <v>6408</v>
      </c>
      <c r="M1242" t="str" cm="1">
        <f t="array" ref="M1242">INDEX('Org List'!$A$2:$C$1005,MATCH(Consolidated!I1242&amp;Consolidated!J1242,'Org List'!$A$2:$A$1005&amp;'Org List'!$B$2:$B$1005,0),3)</f>
        <v>NGOs: National</v>
      </c>
    </row>
    <row r="1243" spans="1:13" x14ac:dyDescent="0.25">
      <c r="A1243" t="s">
        <v>2196</v>
      </c>
      <c r="B1243" t="s">
        <v>2450</v>
      </c>
      <c r="C1243" t="s">
        <v>2451</v>
      </c>
      <c r="D1243" t="s">
        <v>30</v>
      </c>
      <c r="E1243" t="s">
        <v>45</v>
      </c>
      <c r="F1243">
        <v>4500349860</v>
      </c>
      <c r="G1243" t="s">
        <v>2200</v>
      </c>
      <c r="H1243" t="s">
        <v>12</v>
      </c>
      <c r="I1243" t="s">
        <v>327</v>
      </c>
      <c r="J1243" t="s">
        <v>45</v>
      </c>
      <c r="K1243" s="2">
        <v>76699</v>
      </c>
      <c r="L1243" t="s">
        <v>6408</v>
      </c>
      <c r="M1243" t="str" cm="1">
        <f t="array" ref="M1243">INDEX('Org List'!$A$2:$C$1005,MATCH(Consolidated!I1243&amp;Consolidated!J1243,'Org List'!$A$2:$A$1005&amp;'Org List'!$B$2:$B$1005,0),3)</f>
        <v>NGOs: Internationally affiliated</v>
      </c>
    </row>
    <row r="1244" spans="1:13" x14ac:dyDescent="0.25">
      <c r="A1244" t="s">
        <v>2196</v>
      </c>
      <c r="B1244" t="s">
        <v>2453</v>
      </c>
      <c r="C1244" t="s">
        <v>2454</v>
      </c>
      <c r="D1244" t="s">
        <v>30</v>
      </c>
      <c r="E1244" t="s">
        <v>356</v>
      </c>
      <c r="F1244">
        <v>4500338161</v>
      </c>
      <c r="G1244" t="s">
        <v>2455</v>
      </c>
      <c r="H1244" t="s">
        <v>12</v>
      </c>
      <c r="I1244" t="s">
        <v>357</v>
      </c>
      <c r="J1244" t="s">
        <v>356</v>
      </c>
      <c r="K1244" s="2">
        <v>35710</v>
      </c>
      <c r="L1244" t="s">
        <v>6408</v>
      </c>
      <c r="M1244" t="str" cm="1">
        <f t="array" ref="M1244">INDEX('Org List'!$A$2:$C$1005,MATCH(Consolidated!I1244&amp;Consolidated!J1244,'Org List'!$A$2:$A$1005&amp;'Org List'!$B$2:$B$1005,0),3)</f>
        <v>NGOs: National</v>
      </c>
    </row>
    <row r="1245" spans="1:13" x14ac:dyDescent="0.25">
      <c r="A1245" t="s">
        <v>2196</v>
      </c>
      <c r="B1245" t="s">
        <v>1304</v>
      </c>
      <c r="C1245" t="s">
        <v>1305</v>
      </c>
      <c r="D1245" t="s">
        <v>30</v>
      </c>
      <c r="E1245" t="s">
        <v>717</v>
      </c>
      <c r="F1245">
        <v>4500334260</v>
      </c>
      <c r="G1245" t="s">
        <v>2456</v>
      </c>
      <c r="H1245" t="s">
        <v>12</v>
      </c>
      <c r="I1245" t="s">
        <v>728</v>
      </c>
      <c r="J1245" t="s">
        <v>717</v>
      </c>
      <c r="K1245" s="2">
        <v>276030</v>
      </c>
      <c r="L1245" t="s">
        <v>6408</v>
      </c>
      <c r="M1245" t="str" cm="1">
        <f t="array" ref="M1245">INDEX('Org List'!$A$2:$C$1005,MATCH(Consolidated!I1245&amp;Consolidated!J1245,'Org List'!$A$2:$A$1005&amp;'Org List'!$B$2:$B$1005,0),3)</f>
        <v>NGOs: National</v>
      </c>
    </row>
    <row r="1246" spans="1:13" x14ac:dyDescent="0.25">
      <c r="A1246" t="s">
        <v>2196</v>
      </c>
      <c r="B1246" t="s">
        <v>1304</v>
      </c>
      <c r="C1246" t="s">
        <v>1305</v>
      </c>
      <c r="D1246" t="s">
        <v>30</v>
      </c>
      <c r="E1246" t="s">
        <v>717</v>
      </c>
      <c r="F1246">
        <v>4500334269</v>
      </c>
      <c r="G1246" t="s">
        <v>2457</v>
      </c>
      <c r="H1246" t="s">
        <v>12</v>
      </c>
      <c r="I1246" t="s">
        <v>725</v>
      </c>
      <c r="J1246" t="s">
        <v>717</v>
      </c>
      <c r="K1246" s="2">
        <v>244991</v>
      </c>
      <c r="L1246" t="s">
        <v>6408</v>
      </c>
      <c r="M1246" t="str" cm="1">
        <f t="array" ref="M1246">INDEX('Org List'!$A$2:$C$1005,MATCH(Consolidated!I1246&amp;Consolidated!J1246,'Org List'!$A$2:$A$1005&amp;'Org List'!$B$2:$B$1005,0),3)</f>
        <v>NGOs: National</v>
      </c>
    </row>
    <row r="1247" spans="1:13" x14ac:dyDescent="0.25">
      <c r="A1247" t="s">
        <v>2196</v>
      </c>
      <c r="B1247" t="s">
        <v>1304</v>
      </c>
      <c r="C1247" t="s">
        <v>1305</v>
      </c>
      <c r="D1247" t="s">
        <v>30</v>
      </c>
      <c r="E1247" t="s">
        <v>717</v>
      </c>
      <c r="F1247">
        <v>4500334276</v>
      </c>
      <c r="G1247" t="s">
        <v>2458</v>
      </c>
      <c r="H1247" t="s">
        <v>12</v>
      </c>
      <c r="I1247" t="s">
        <v>2459</v>
      </c>
      <c r="J1247" t="s">
        <v>717</v>
      </c>
      <c r="K1247" s="2">
        <v>244992</v>
      </c>
      <c r="L1247" t="s">
        <v>6408</v>
      </c>
      <c r="M1247" t="str" cm="1">
        <f t="array" ref="M1247">INDEX('Org List'!$A$2:$C$1005,MATCH(Consolidated!I1247&amp;Consolidated!J1247,'Org List'!$A$2:$A$1005&amp;'Org List'!$B$2:$B$1005,0),3)</f>
        <v>NGOs: National</v>
      </c>
    </row>
    <row r="1248" spans="1:13" x14ac:dyDescent="0.25">
      <c r="A1248" t="s">
        <v>2196</v>
      </c>
      <c r="B1248" t="s">
        <v>1304</v>
      </c>
      <c r="C1248" t="s">
        <v>1305</v>
      </c>
      <c r="D1248" t="s">
        <v>30</v>
      </c>
      <c r="E1248" t="s">
        <v>717</v>
      </c>
      <c r="F1248">
        <v>4500334285</v>
      </c>
      <c r="G1248" t="s">
        <v>2460</v>
      </c>
      <c r="H1248" t="s">
        <v>12</v>
      </c>
      <c r="I1248" t="s">
        <v>1898</v>
      </c>
      <c r="J1248" t="s">
        <v>717</v>
      </c>
      <c r="K1248" s="2">
        <v>92007</v>
      </c>
      <c r="L1248" t="s">
        <v>6408</v>
      </c>
      <c r="M1248" t="str" cm="1">
        <f t="array" ref="M1248">INDEX('Org List'!$A$2:$C$1005,MATCH(Consolidated!I1248&amp;Consolidated!J1248,'Org List'!$A$2:$A$1005&amp;'Org List'!$B$2:$B$1005,0),3)</f>
        <v>NGOs: National</v>
      </c>
    </row>
    <row r="1249" spans="1:13" x14ac:dyDescent="0.25">
      <c r="A1249" t="s">
        <v>2196</v>
      </c>
      <c r="B1249" t="s">
        <v>822</v>
      </c>
      <c r="C1249" t="s">
        <v>823</v>
      </c>
      <c r="D1249" t="s">
        <v>30</v>
      </c>
      <c r="E1249" t="s">
        <v>356</v>
      </c>
      <c r="F1249">
        <v>4500342669</v>
      </c>
      <c r="G1249" t="s">
        <v>2461</v>
      </c>
      <c r="H1249" t="s">
        <v>12</v>
      </c>
      <c r="I1249" t="s">
        <v>1739</v>
      </c>
      <c r="J1249" t="s">
        <v>356</v>
      </c>
      <c r="K1249" s="2">
        <v>81993</v>
      </c>
      <c r="L1249" t="s">
        <v>6408</v>
      </c>
      <c r="M1249" t="str" cm="1">
        <f t="array" ref="M1249">INDEX('Org List'!$A$2:$C$1005,MATCH(Consolidated!I1249&amp;Consolidated!J1249,'Org List'!$A$2:$A$1005&amp;'Org List'!$B$2:$B$1005,0),3)</f>
        <v>NGOs: Local</v>
      </c>
    </row>
    <row r="1250" spans="1:13" x14ac:dyDescent="0.25">
      <c r="A1250" t="s">
        <v>2196</v>
      </c>
      <c r="B1250" t="s">
        <v>822</v>
      </c>
      <c r="C1250" t="s">
        <v>823</v>
      </c>
      <c r="D1250" t="s">
        <v>30</v>
      </c>
      <c r="E1250" t="s">
        <v>356</v>
      </c>
      <c r="F1250">
        <v>4500346365</v>
      </c>
      <c r="G1250" t="s">
        <v>2462</v>
      </c>
      <c r="H1250" t="s">
        <v>12</v>
      </c>
      <c r="I1250" t="s">
        <v>357</v>
      </c>
      <c r="J1250" t="s">
        <v>356</v>
      </c>
      <c r="K1250" s="2">
        <v>132838</v>
      </c>
      <c r="L1250" t="s">
        <v>6408</v>
      </c>
      <c r="M1250" t="str" cm="1">
        <f t="array" ref="M1250">INDEX('Org List'!$A$2:$C$1005,MATCH(Consolidated!I1250&amp;Consolidated!J1250,'Org List'!$A$2:$A$1005&amp;'Org List'!$B$2:$B$1005,0),3)</f>
        <v>NGOs: National</v>
      </c>
    </row>
    <row r="1251" spans="1:13" x14ac:dyDescent="0.25">
      <c r="A1251" t="s">
        <v>2196</v>
      </c>
      <c r="B1251" t="s">
        <v>822</v>
      </c>
      <c r="C1251" t="s">
        <v>823</v>
      </c>
      <c r="D1251" t="s">
        <v>30</v>
      </c>
      <c r="E1251" t="s">
        <v>356</v>
      </c>
      <c r="F1251">
        <v>4500349595</v>
      </c>
      <c r="G1251" t="s">
        <v>2200</v>
      </c>
      <c r="H1251" t="s">
        <v>12</v>
      </c>
      <c r="I1251" t="s">
        <v>2463</v>
      </c>
      <c r="J1251" t="s">
        <v>356</v>
      </c>
      <c r="K1251" s="2">
        <v>90457</v>
      </c>
      <c r="L1251" t="s">
        <v>6408</v>
      </c>
      <c r="M1251" t="str" cm="1">
        <f t="array" ref="M1251">INDEX('Org List'!$A$2:$C$1005,MATCH(Consolidated!I1251&amp;Consolidated!J1251,'Org List'!$A$2:$A$1005&amp;'Org List'!$B$2:$B$1005,0),3)</f>
        <v>NGOs: National</v>
      </c>
    </row>
    <row r="1252" spans="1:13" x14ac:dyDescent="0.25">
      <c r="A1252" t="s">
        <v>2196</v>
      </c>
      <c r="B1252" t="s">
        <v>1316</v>
      </c>
      <c r="C1252" t="s">
        <v>1317</v>
      </c>
      <c r="D1252" t="s">
        <v>30</v>
      </c>
      <c r="E1252" t="s">
        <v>320</v>
      </c>
      <c r="F1252">
        <v>4500341895</v>
      </c>
      <c r="G1252" t="s">
        <v>2464</v>
      </c>
      <c r="H1252" t="s">
        <v>12</v>
      </c>
      <c r="I1252" t="s">
        <v>2465</v>
      </c>
      <c r="J1252" t="s">
        <v>320</v>
      </c>
      <c r="K1252" s="2">
        <v>2321</v>
      </c>
      <c r="L1252" t="s">
        <v>6408</v>
      </c>
      <c r="M1252" t="str" cm="1">
        <f t="array" ref="M1252">INDEX('Org List'!$A$2:$C$1005,MATCH(Consolidated!I1252&amp;Consolidated!J1252,'Org List'!$A$2:$A$1005&amp;'Org List'!$B$2:$B$1005,0),3)</f>
        <v>NGOs: National</v>
      </c>
    </row>
    <row r="1253" spans="1:13" x14ac:dyDescent="0.25">
      <c r="A1253" t="s">
        <v>2196</v>
      </c>
      <c r="B1253" t="s">
        <v>1316</v>
      </c>
      <c r="C1253" t="s">
        <v>1317</v>
      </c>
      <c r="D1253" t="s">
        <v>30</v>
      </c>
      <c r="E1253" t="s">
        <v>320</v>
      </c>
      <c r="F1253">
        <v>4500344153</v>
      </c>
      <c r="G1253" t="s">
        <v>2466</v>
      </c>
      <c r="H1253" t="s">
        <v>12</v>
      </c>
      <c r="I1253" t="s">
        <v>851</v>
      </c>
      <c r="J1253" t="s">
        <v>320</v>
      </c>
      <c r="K1253" s="2">
        <v>7640</v>
      </c>
      <c r="L1253" t="s">
        <v>6408</v>
      </c>
      <c r="M1253" t="str" cm="1">
        <f t="array" ref="M1253">INDEX('Org List'!$A$2:$C$1005,MATCH(Consolidated!I1253&amp;Consolidated!J1253,'Org List'!$A$2:$A$1005&amp;'Org List'!$B$2:$B$1005,0),3)</f>
        <v>NGOs: National</v>
      </c>
    </row>
    <row r="1254" spans="1:13" x14ac:dyDescent="0.25">
      <c r="A1254" t="s">
        <v>2196</v>
      </c>
      <c r="B1254" t="s">
        <v>1316</v>
      </c>
      <c r="C1254" t="s">
        <v>1317</v>
      </c>
      <c r="D1254" t="s">
        <v>30</v>
      </c>
      <c r="E1254" t="s">
        <v>320</v>
      </c>
      <c r="F1254">
        <v>4500346127</v>
      </c>
      <c r="G1254" t="s">
        <v>2467</v>
      </c>
      <c r="H1254" t="s">
        <v>12</v>
      </c>
      <c r="I1254" t="s">
        <v>2432</v>
      </c>
      <c r="J1254" t="s">
        <v>320</v>
      </c>
      <c r="K1254" s="2">
        <v>3300</v>
      </c>
      <c r="L1254" t="s">
        <v>6408</v>
      </c>
      <c r="M1254" t="str" cm="1">
        <f t="array" ref="M1254">INDEX('Org List'!$A$2:$C$1005,MATCH(Consolidated!I1254&amp;Consolidated!J1254,'Org List'!$A$2:$A$1005&amp;'Org List'!$B$2:$B$1005,0),3)</f>
        <v>NGOs: International</v>
      </c>
    </row>
    <row r="1255" spans="1:13" x14ac:dyDescent="0.25">
      <c r="A1255" t="s">
        <v>2196</v>
      </c>
      <c r="B1255" t="s">
        <v>2468</v>
      </c>
      <c r="C1255" t="s">
        <v>2469</v>
      </c>
      <c r="D1255" t="s">
        <v>30</v>
      </c>
      <c r="E1255" t="s">
        <v>253</v>
      </c>
      <c r="F1255">
        <v>4500342206</v>
      </c>
      <c r="G1255" t="s">
        <v>2470</v>
      </c>
      <c r="H1255" t="s">
        <v>12</v>
      </c>
      <c r="I1255" t="s">
        <v>156</v>
      </c>
      <c r="J1255" t="s">
        <v>184</v>
      </c>
      <c r="K1255" s="2">
        <v>190000</v>
      </c>
      <c r="L1255" t="s">
        <v>6408</v>
      </c>
      <c r="M1255" t="str" cm="1">
        <f t="array" ref="M1255">INDEX('Org List'!$A$2:$C$1005,MATCH(Consolidated!I1255&amp;Consolidated!J1255,'Org List'!$A$2:$A$1005&amp;'Org List'!$B$2:$B$1005,0),3)</f>
        <v>NGOs: International</v>
      </c>
    </row>
    <row r="1256" spans="1:13" x14ac:dyDescent="0.25">
      <c r="A1256" t="s">
        <v>2196</v>
      </c>
      <c r="B1256" t="s">
        <v>1318</v>
      </c>
      <c r="C1256" t="s">
        <v>1319</v>
      </c>
      <c r="D1256" t="s">
        <v>30</v>
      </c>
      <c r="E1256" t="s">
        <v>289</v>
      </c>
      <c r="F1256">
        <v>4500348240</v>
      </c>
      <c r="G1256" t="s">
        <v>2471</v>
      </c>
      <c r="H1256" t="s">
        <v>12</v>
      </c>
      <c r="I1256" t="s">
        <v>291</v>
      </c>
      <c r="J1256" t="s">
        <v>289</v>
      </c>
      <c r="K1256" s="2">
        <v>195000</v>
      </c>
      <c r="L1256" t="s">
        <v>6408</v>
      </c>
      <c r="M1256" t="str" cm="1">
        <f t="array" ref="M1256">INDEX('Org List'!$A$2:$C$1005,MATCH(Consolidated!I1256&amp;Consolidated!J1256,'Org List'!$A$2:$A$1005&amp;'Org List'!$B$2:$B$1005,0),3)</f>
        <v>NGOs: National</v>
      </c>
    </row>
    <row r="1257" spans="1:13" x14ac:dyDescent="0.25">
      <c r="A1257" t="s">
        <v>2196</v>
      </c>
      <c r="B1257" t="s">
        <v>1318</v>
      </c>
      <c r="C1257" t="s">
        <v>1319</v>
      </c>
      <c r="D1257" t="s">
        <v>30</v>
      </c>
      <c r="E1257" t="s">
        <v>289</v>
      </c>
      <c r="F1257">
        <v>4500348268</v>
      </c>
      <c r="G1257" t="s">
        <v>2472</v>
      </c>
      <c r="H1257" t="s">
        <v>12</v>
      </c>
      <c r="I1257" t="s">
        <v>372</v>
      </c>
      <c r="J1257" t="s">
        <v>289</v>
      </c>
      <c r="K1257" s="2">
        <v>50000</v>
      </c>
      <c r="L1257" t="s">
        <v>6408</v>
      </c>
      <c r="M1257" t="str" cm="1">
        <f t="array" ref="M1257">INDEX('Org List'!$A$2:$C$1005,MATCH(Consolidated!I1257&amp;Consolidated!J1257,'Org List'!$A$2:$A$1005&amp;'Org List'!$B$2:$B$1005,0),3)</f>
        <v>NGOs: National</v>
      </c>
    </row>
    <row r="1258" spans="1:13" x14ac:dyDescent="0.25">
      <c r="A1258" t="s">
        <v>2196</v>
      </c>
      <c r="B1258" t="s">
        <v>1318</v>
      </c>
      <c r="C1258" t="s">
        <v>1319</v>
      </c>
      <c r="D1258" t="s">
        <v>30</v>
      </c>
      <c r="E1258" t="s">
        <v>903</v>
      </c>
      <c r="F1258">
        <v>4500344493</v>
      </c>
      <c r="G1258" t="s">
        <v>2473</v>
      </c>
      <c r="H1258" t="s">
        <v>12</v>
      </c>
      <c r="I1258" t="s">
        <v>2474</v>
      </c>
      <c r="J1258" t="s">
        <v>751</v>
      </c>
      <c r="K1258" s="2">
        <v>85245</v>
      </c>
      <c r="L1258" t="s">
        <v>6408</v>
      </c>
      <c r="M1258" t="str" cm="1">
        <f t="array" ref="M1258">INDEX('Org List'!$A$2:$C$1005,MATCH(Consolidated!I1258&amp;Consolidated!J1258,'Org List'!$A$2:$A$1005&amp;'Org List'!$B$2:$B$1005,0),3)</f>
        <v>NGOs: International</v>
      </c>
    </row>
    <row r="1259" spans="1:13" x14ac:dyDescent="0.25">
      <c r="A1259" t="s">
        <v>2196</v>
      </c>
      <c r="B1259" t="s">
        <v>1318</v>
      </c>
      <c r="C1259" t="s">
        <v>1319</v>
      </c>
      <c r="D1259" t="s">
        <v>30</v>
      </c>
      <c r="E1259" t="s">
        <v>305</v>
      </c>
      <c r="F1259">
        <v>4500344897</v>
      </c>
      <c r="G1259" t="s">
        <v>2200</v>
      </c>
      <c r="H1259" t="s">
        <v>12</v>
      </c>
      <c r="I1259" t="s">
        <v>2475</v>
      </c>
      <c r="J1259" t="s">
        <v>305</v>
      </c>
      <c r="K1259" s="2">
        <v>169110</v>
      </c>
      <c r="L1259" t="s">
        <v>6408</v>
      </c>
      <c r="M1259" t="str" cm="1">
        <f t="array" ref="M1259">INDEX('Org List'!$A$2:$C$1005,MATCH(Consolidated!I1259&amp;Consolidated!J1259,'Org List'!$A$2:$A$1005&amp;'Org List'!$B$2:$B$1005,0),3)</f>
        <v>NGOs: National</v>
      </c>
    </row>
    <row r="1260" spans="1:13" x14ac:dyDescent="0.25">
      <c r="A1260" t="s">
        <v>2196</v>
      </c>
      <c r="B1260" t="s">
        <v>1318</v>
      </c>
      <c r="C1260" t="s">
        <v>1319</v>
      </c>
      <c r="D1260" t="s">
        <v>30</v>
      </c>
      <c r="E1260" t="s">
        <v>305</v>
      </c>
      <c r="F1260">
        <v>4500344938</v>
      </c>
      <c r="G1260" t="s">
        <v>2476</v>
      </c>
      <c r="H1260" t="s">
        <v>12</v>
      </c>
      <c r="I1260" t="s">
        <v>908</v>
      </c>
      <c r="J1260" t="s">
        <v>305</v>
      </c>
      <c r="K1260" s="2">
        <v>163913</v>
      </c>
      <c r="L1260" t="s">
        <v>6408</v>
      </c>
      <c r="M1260" t="str" cm="1">
        <f t="array" ref="M1260">INDEX('Org List'!$A$2:$C$1005,MATCH(Consolidated!I1260&amp;Consolidated!J1260,'Org List'!$A$2:$A$1005&amp;'Org List'!$B$2:$B$1005,0),3)</f>
        <v>NGOs: National</v>
      </c>
    </row>
    <row r="1261" spans="1:13" x14ac:dyDescent="0.25">
      <c r="A1261" t="s">
        <v>2196</v>
      </c>
      <c r="B1261" t="s">
        <v>1318</v>
      </c>
      <c r="C1261" t="s">
        <v>1319</v>
      </c>
      <c r="D1261" t="s">
        <v>30</v>
      </c>
      <c r="E1261" t="s">
        <v>305</v>
      </c>
      <c r="F1261">
        <v>4500345439</v>
      </c>
      <c r="G1261" t="s">
        <v>2477</v>
      </c>
      <c r="H1261" t="s">
        <v>12</v>
      </c>
      <c r="I1261" t="s">
        <v>310</v>
      </c>
      <c r="J1261" t="s">
        <v>305</v>
      </c>
      <c r="K1261" s="2">
        <v>176514</v>
      </c>
      <c r="L1261" t="s">
        <v>6408</v>
      </c>
      <c r="M1261" t="str" cm="1">
        <f t="array" ref="M1261">INDEX('Org List'!$A$2:$C$1005,MATCH(Consolidated!I1261&amp;Consolidated!J1261,'Org List'!$A$2:$A$1005&amp;'Org List'!$B$2:$B$1005,0),3)</f>
        <v>NGOs: National</v>
      </c>
    </row>
    <row r="1262" spans="1:13" x14ac:dyDescent="0.25">
      <c r="A1262" t="s">
        <v>2196</v>
      </c>
      <c r="B1262" t="s">
        <v>1318</v>
      </c>
      <c r="C1262" t="s">
        <v>1319</v>
      </c>
      <c r="D1262" t="s">
        <v>30</v>
      </c>
      <c r="E1262" t="s">
        <v>305</v>
      </c>
      <c r="F1262">
        <v>4500347806</v>
      </c>
      <c r="G1262" t="s">
        <v>2200</v>
      </c>
      <c r="H1262" t="s">
        <v>12</v>
      </c>
      <c r="I1262" t="s">
        <v>2478</v>
      </c>
      <c r="J1262" t="s">
        <v>305</v>
      </c>
      <c r="K1262" s="2">
        <v>176514</v>
      </c>
      <c r="L1262" t="s">
        <v>6408</v>
      </c>
      <c r="M1262" t="str" cm="1">
        <f t="array" ref="M1262">INDEX('Org List'!$A$2:$C$1005,MATCH(Consolidated!I1262&amp;Consolidated!J1262,'Org List'!$A$2:$A$1005&amp;'Org List'!$B$2:$B$1005,0),3)</f>
        <v>NGOs: National</v>
      </c>
    </row>
    <row r="1263" spans="1:13" x14ac:dyDescent="0.25">
      <c r="A1263" t="s">
        <v>2196</v>
      </c>
      <c r="B1263" t="s">
        <v>1318</v>
      </c>
      <c r="C1263" t="s">
        <v>1319</v>
      </c>
      <c r="D1263" t="s">
        <v>30</v>
      </c>
      <c r="E1263" t="s">
        <v>305</v>
      </c>
      <c r="F1263">
        <v>4500352041</v>
      </c>
      <c r="G1263" t="s">
        <v>2479</v>
      </c>
      <c r="H1263" t="s">
        <v>12</v>
      </c>
      <c r="I1263" t="s">
        <v>2480</v>
      </c>
      <c r="J1263" t="s">
        <v>305</v>
      </c>
      <c r="K1263" s="2">
        <v>282422</v>
      </c>
      <c r="L1263" t="s">
        <v>6408</v>
      </c>
      <c r="M1263" t="str" cm="1">
        <f t="array" ref="M1263">INDEX('Org List'!$A$2:$C$1005,MATCH(Consolidated!I1263&amp;Consolidated!J1263,'Org List'!$A$2:$A$1005&amp;'Org List'!$B$2:$B$1005,0),3)</f>
        <v>NGOs: National</v>
      </c>
    </row>
    <row r="1264" spans="1:13" x14ac:dyDescent="0.25">
      <c r="A1264" t="s">
        <v>2196</v>
      </c>
      <c r="B1264" t="s">
        <v>1763</v>
      </c>
      <c r="C1264" t="s">
        <v>1764</v>
      </c>
      <c r="D1264" t="s">
        <v>30</v>
      </c>
      <c r="E1264" t="s">
        <v>175</v>
      </c>
      <c r="F1264">
        <v>4500341977</v>
      </c>
      <c r="G1264" t="s">
        <v>2481</v>
      </c>
      <c r="H1264" t="s">
        <v>12</v>
      </c>
      <c r="I1264" t="s">
        <v>233</v>
      </c>
      <c r="J1264" t="s">
        <v>175</v>
      </c>
      <c r="K1264" s="2">
        <v>195337</v>
      </c>
      <c r="L1264" t="s">
        <v>6408</v>
      </c>
      <c r="M1264" t="str" cm="1">
        <f t="array" ref="M1264">INDEX('Org List'!$A$2:$C$1005,MATCH(Consolidated!I1264&amp;Consolidated!J1264,'Org List'!$A$2:$A$1005&amp;'Org List'!$B$2:$B$1005,0),3)</f>
        <v>NGOs: National</v>
      </c>
    </row>
    <row r="1265" spans="1:13" x14ac:dyDescent="0.25">
      <c r="A1265" t="s">
        <v>2196</v>
      </c>
      <c r="B1265" t="s">
        <v>1763</v>
      </c>
      <c r="C1265" t="s">
        <v>1764</v>
      </c>
      <c r="D1265" t="s">
        <v>30</v>
      </c>
      <c r="E1265" t="s">
        <v>175</v>
      </c>
      <c r="F1265">
        <v>4500342145</v>
      </c>
      <c r="G1265" t="s">
        <v>2200</v>
      </c>
      <c r="H1265" t="s">
        <v>12</v>
      </c>
      <c r="I1265" t="s">
        <v>395</v>
      </c>
      <c r="J1265" t="s">
        <v>175</v>
      </c>
      <c r="K1265" s="2">
        <v>114704</v>
      </c>
      <c r="L1265" t="s">
        <v>6408</v>
      </c>
      <c r="M1265" t="str" cm="1">
        <f t="array" ref="M1265">INDEX('Org List'!$A$2:$C$1005,MATCH(Consolidated!I1265&amp;Consolidated!J1265,'Org List'!$A$2:$A$1005&amp;'Org List'!$B$2:$B$1005,0),3)</f>
        <v>NGOs: National</v>
      </c>
    </row>
    <row r="1266" spans="1:13" x14ac:dyDescent="0.25">
      <c r="A1266" t="s">
        <v>2196</v>
      </c>
      <c r="B1266" t="s">
        <v>1763</v>
      </c>
      <c r="C1266" t="s">
        <v>1764</v>
      </c>
      <c r="D1266" t="s">
        <v>30</v>
      </c>
      <c r="E1266" t="s">
        <v>175</v>
      </c>
      <c r="F1266">
        <v>4500342189</v>
      </c>
      <c r="G1266" t="s">
        <v>2482</v>
      </c>
      <c r="H1266" t="s">
        <v>12</v>
      </c>
      <c r="I1266" t="s">
        <v>187</v>
      </c>
      <c r="J1266" t="s">
        <v>175</v>
      </c>
      <c r="K1266" s="2">
        <v>137180</v>
      </c>
      <c r="L1266" t="s">
        <v>6408</v>
      </c>
      <c r="M1266" t="str" cm="1">
        <f t="array" ref="M1266">INDEX('Org List'!$A$2:$C$1005,MATCH(Consolidated!I1266&amp;Consolidated!J1266,'Org List'!$A$2:$A$1005&amp;'Org List'!$B$2:$B$1005,0),3)</f>
        <v>NGOs: National</v>
      </c>
    </row>
    <row r="1267" spans="1:13" x14ac:dyDescent="0.25">
      <c r="A1267" t="s">
        <v>2196</v>
      </c>
      <c r="B1267" t="s">
        <v>1333</v>
      </c>
      <c r="C1267" t="s">
        <v>1334</v>
      </c>
      <c r="D1267" t="s">
        <v>30</v>
      </c>
      <c r="E1267" t="s">
        <v>54</v>
      </c>
      <c r="F1267">
        <v>4500340766</v>
      </c>
      <c r="G1267" t="s">
        <v>2341</v>
      </c>
      <c r="H1267" t="s">
        <v>12</v>
      </c>
      <c r="I1267" t="s">
        <v>2012</v>
      </c>
      <c r="J1267" t="s">
        <v>54</v>
      </c>
      <c r="K1267" s="2">
        <v>57400</v>
      </c>
      <c r="L1267" t="s">
        <v>6408</v>
      </c>
      <c r="M1267" t="str" cm="1">
        <f t="array" ref="M1267">INDEX('Org List'!$A$2:$C$1005,MATCH(Consolidated!I1267&amp;Consolidated!J1267,'Org List'!$A$2:$A$1005&amp;'Org List'!$B$2:$B$1005,0),3)</f>
        <v>Red Cross: National</v>
      </c>
    </row>
    <row r="1268" spans="1:13" x14ac:dyDescent="0.25">
      <c r="A1268" t="s">
        <v>2196</v>
      </c>
      <c r="B1268" t="s">
        <v>1337</v>
      </c>
      <c r="C1268" t="s">
        <v>1338</v>
      </c>
      <c r="D1268" t="s">
        <v>30</v>
      </c>
      <c r="E1268" t="s">
        <v>320</v>
      </c>
      <c r="F1268">
        <v>4500349114</v>
      </c>
      <c r="G1268" t="s">
        <v>2483</v>
      </c>
      <c r="H1268" t="s">
        <v>12</v>
      </c>
      <c r="I1268" t="s">
        <v>2484</v>
      </c>
      <c r="J1268" t="s">
        <v>320</v>
      </c>
      <c r="K1268" s="2">
        <v>656455</v>
      </c>
      <c r="L1268" t="s">
        <v>6408</v>
      </c>
      <c r="M1268" t="str" cm="1">
        <f t="array" ref="M1268">INDEX('Org List'!$A$2:$C$1005,MATCH(Consolidated!I1268&amp;Consolidated!J1268,'Org List'!$A$2:$A$1005&amp;'Org List'!$B$2:$B$1005,0),3)</f>
        <v>NGOs: International</v>
      </c>
    </row>
    <row r="1269" spans="1:13" x14ac:dyDescent="0.25">
      <c r="A1269" t="s">
        <v>2196</v>
      </c>
      <c r="B1269" t="s">
        <v>1337</v>
      </c>
      <c r="C1269" t="s">
        <v>1338</v>
      </c>
      <c r="D1269" t="s">
        <v>30</v>
      </c>
      <c r="E1269" t="s">
        <v>320</v>
      </c>
      <c r="F1269">
        <v>4500349130</v>
      </c>
      <c r="G1269" t="s">
        <v>2485</v>
      </c>
      <c r="H1269" t="s">
        <v>12</v>
      </c>
      <c r="I1269" t="s">
        <v>156</v>
      </c>
      <c r="J1269" t="s">
        <v>320</v>
      </c>
      <c r="K1269" s="2">
        <v>1094092</v>
      </c>
      <c r="L1269" t="s">
        <v>6408</v>
      </c>
      <c r="M1269" t="str" cm="1">
        <f t="array" ref="M1269">INDEX('Org List'!$A$2:$C$1005,MATCH(Consolidated!I1269&amp;Consolidated!J1269,'Org List'!$A$2:$A$1005&amp;'Org List'!$B$2:$B$1005,0),3)</f>
        <v>NGOs: International</v>
      </c>
    </row>
    <row r="1270" spans="1:13" x14ac:dyDescent="0.25">
      <c r="A1270" t="s">
        <v>2196</v>
      </c>
      <c r="B1270" t="s">
        <v>2486</v>
      </c>
      <c r="C1270" t="s">
        <v>2487</v>
      </c>
      <c r="D1270" t="s">
        <v>9</v>
      </c>
      <c r="E1270" t="s">
        <v>924</v>
      </c>
      <c r="F1270">
        <v>4500326353</v>
      </c>
      <c r="G1270" t="s">
        <v>2488</v>
      </c>
      <c r="H1270" t="s">
        <v>12</v>
      </c>
      <c r="I1270" t="s">
        <v>925</v>
      </c>
      <c r="J1270" t="s">
        <v>924</v>
      </c>
      <c r="K1270" s="2">
        <v>17316</v>
      </c>
      <c r="L1270" t="s">
        <v>6408</v>
      </c>
      <c r="M1270" t="str" cm="1">
        <f t="array" ref="M1270">INDEX('Org List'!$A$2:$C$1005,MATCH(Consolidated!I1270&amp;Consolidated!J1270,'Org List'!$A$2:$A$1005&amp;'Org List'!$B$2:$B$1005,0),3)</f>
        <v>NGOs: Local</v>
      </c>
    </row>
    <row r="1271" spans="1:13" x14ac:dyDescent="0.25">
      <c r="A1271" t="s">
        <v>2196</v>
      </c>
      <c r="B1271" t="s">
        <v>1415</v>
      </c>
      <c r="C1271" t="s">
        <v>1416</v>
      </c>
      <c r="D1271" t="s">
        <v>30</v>
      </c>
      <c r="E1271" t="s">
        <v>814</v>
      </c>
      <c r="F1271">
        <v>4500333473</v>
      </c>
      <c r="G1271" t="s">
        <v>2427</v>
      </c>
      <c r="H1271" t="s">
        <v>12</v>
      </c>
      <c r="I1271" t="s">
        <v>115</v>
      </c>
      <c r="J1271" t="s">
        <v>814</v>
      </c>
      <c r="K1271" s="2">
        <v>18124</v>
      </c>
      <c r="L1271" t="s">
        <v>6408</v>
      </c>
      <c r="M1271" t="str" cm="1">
        <f t="array" ref="M1271">INDEX('Org List'!$A$2:$C$1005,MATCH(Consolidated!I1271&amp;Consolidated!J1271,'Org List'!$A$2:$A$1005&amp;'Org List'!$B$2:$B$1005,0),3)</f>
        <v>NGOs: National</v>
      </c>
    </row>
    <row r="1272" spans="1:13" x14ac:dyDescent="0.25">
      <c r="A1272" t="s">
        <v>2196</v>
      </c>
      <c r="B1272" t="s">
        <v>1415</v>
      </c>
      <c r="C1272" t="s">
        <v>1416</v>
      </c>
      <c r="D1272" t="s">
        <v>30</v>
      </c>
      <c r="E1272" t="s">
        <v>814</v>
      </c>
      <c r="F1272">
        <v>4500333487</v>
      </c>
      <c r="G1272" t="s">
        <v>2427</v>
      </c>
      <c r="H1272" t="s">
        <v>12</v>
      </c>
      <c r="I1272" t="s">
        <v>115</v>
      </c>
      <c r="J1272" t="s">
        <v>814</v>
      </c>
      <c r="K1272" s="2">
        <v>48236</v>
      </c>
      <c r="L1272" t="s">
        <v>6408</v>
      </c>
      <c r="M1272" t="str" cm="1">
        <f t="array" ref="M1272">INDEX('Org List'!$A$2:$C$1005,MATCH(Consolidated!I1272&amp;Consolidated!J1272,'Org List'!$A$2:$A$1005&amp;'Org List'!$B$2:$B$1005,0),3)</f>
        <v>NGOs: National</v>
      </c>
    </row>
    <row r="1273" spans="1:13" x14ac:dyDescent="0.25">
      <c r="A1273" t="s">
        <v>2196</v>
      </c>
      <c r="B1273" t="s">
        <v>1415</v>
      </c>
      <c r="C1273" t="s">
        <v>1416</v>
      </c>
      <c r="D1273" t="s">
        <v>30</v>
      </c>
      <c r="E1273" t="s">
        <v>814</v>
      </c>
      <c r="F1273">
        <v>4500333499</v>
      </c>
      <c r="G1273" t="s">
        <v>2427</v>
      </c>
      <c r="H1273" t="s">
        <v>12</v>
      </c>
      <c r="I1273" t="s">
        <v>120</v>
      </c>
      <c r="J1273" t="s">
        <v>814</v>
      </c>
      <c r="K1273" s="2">
        <v>65876</v>
      </c>
      <c r="L1273" t="s">
        <v>6408</v>
      </c>
      <c r="M1273" t="str" cm="1">
        <f t="array" ref="M1273">INDEX('Org List'!$A$2:$C$1005,MATCH(Consolidated!I1273&amp;Consolidated!J1273,'Org List'!$A$2:$A$1005&amp;'Org List'!$B$2:$B$1005,0),3)</f>
        <v>NGOs: International</v>
      </c>
    </row>
    <row r="1274" spans="1:13" x14ac:dyDescent="0.25">
      <c r="A1274" t="s">
        <v>2196</v>
      </c>
      <c r="B1274" t="s">
        <v>1415</v>
      </c>
      <c r="C1274" t="s">
        <v>1416</v>
      </c>
      <c r="D1274" t="s">
        <v>30</v>
      </c>
      <c r="E1274" t="s">
        <v>814</v>
      </c>
      <c r="F1274">
        <v>4500333727</v>
      </c>
      <c r="G1274" t="s">
        <v>2427</v>
      </c>
      <c r="H1274" t="s">
        <v>12</v>
      </c>
      <c r="I1274" t="s">
        <v>116</v>
      </c>
      <c r="J1274" t="s">
        <v>814</v>
      </c>
      <c r="K1274" s="2">
        <v>17242</v>
      </c>
      <c r="L1274" t="s">
        <v>6408</v>
      </c>
      <c r="M1274" t="str" cm="1">
        <f t="array" ref="M1274">INDEX('Org List'!$A$2:$C$1005,MATCH(Consolidated!I1274&amp;Consolidated!J1274,'Org List'!$A$2:$A$1005&amp;'Org List'!$B$2:$B$1005,0),3)</f>
        <v>NGOs: National</v>
      </c>
    </row>
    <row r="1275" spans="1:13" x14ac:dyDescent="0.25">
      <c r="A1275" t="s">
        <v>2196</v>
      </c>
      <c r="B1275" t="s">
        <v>1415</v>
      </c>
      <c r="C1275" t="s">
        <v>1416</v>
      </c>
      <c r="D1275" t="s">
        <v>30</v>
      </c>
      <c r="E1275" t="s">
        <v>814</v>
      </c>
      <c r="F1275">
        <v>4500337243</v>
      </c>
      <c r="G1275" t="s">
        <v>2496</v>
      </c>
      <c r="H1275" t="s">
        <v>12</v>
      </c>
      <c r="I1275" t="s">
        <v>112</v>
      </c>
      <c r="J1275" t="s">
        <v>814</v>
      </c>
      <c r="K1275" s="2">
        <v>10569</v>
      </c>
      <c r="L1275" t="s">
        <v>6408</v>
      </c>
      <c r="M1275" t="str" cm="1">
        <f t="array" ref="M1275">INDEX('Org List'!$A$2:$C$1005,MATCH(Consolidated!I1275&amp;Consolidated!J1275,'Org List'!$A$2:$A$1005&amp;'Org List'!$B$2:$B$1005,0),3)</f>
        <v>NGOs: National</v>
      </c>
    </row>
    <row r="1276" spans="1:13" x14ac:dyDescent="0.25">
      <c r="A1276" t="s">
        <v>2196</v>
      </c>
      <c r="B1276" t="s">
        <v>2054</v>
      </c>
      <c r="C1276" t="s">
        <v>446</v>
      </c>
      <c r="D1276" t="s">
        <v>30</v>
      </c>
      <c r="E1276" t="s">
        <v>257</v>
      </c>
      <c r="F1276">
        <v>4500343698</v>
      </c>
      <c r="G1276" t="s">
        <v>2200</v>
      </c>
      <c r="H1276" t="s">
        <v>12</v>
      </c>
      <c r="I1276" t="s">
        <v>1413</v>
      </c>
      <c r="J1276" t="s">
        <v>257</v>
      </c>
      <c r="K1276" s="2">
        <v>71676</v>
      </c>
      <c r="L1276" t="s">
        <v>6408</v>
      </c>
      <c r="M1276" t="str" cm="1">
        <f t="array" ref="M1276">INDEX('Org List'!$A$2:$C$1005,MATCH(Consolidated!I1276&amp;Consolidated!J1276,'Org List'!$A$2:$A$1005&amp;'Org List'!$B$2:$B$1005,0),3)</f>
        <v>NGOs: National</v>
      </c>
    </row>
    <row r="1277" spans="1:13" x14ac:dyDescent="0.25">
      <c r="A1277" t="s">
        <v>2196</v>
      </c>
      <c r="B1277" t="s">
        <v>2497</v>
      </c>
      <c r="C1277" t="s">
        <v>2498</v>
      </c>
      <c r="D1277" t="s">
        <v>30</v>
      </c>
      <c r="E1277" t="s">
        <v>1376</v>
      </c>
      <c r="F1277">
        <v>4500336675</v>
      </c>
      <c r="G1277" t="s">
        <v>2499</v>
      </c>
      <c r="H1277" t="s">
        <v>12</v>
      </c>
      <c r="I1277" t="s">
        <v>771</v>
      </c>
      <c r="J1277" t="s">
        <v>751</v>
      </c>
      <c r="K1277" s="2">
        <v>1485149</v>
      </c>
      <c r="L1277" t="s">
        <v>6408</v>
      </c>
      <c r="M1277" t="str" cm="1">
        <f t="array" ref="M1277">INDEX('Org List'!$A$2:$C$1005,MATCH(Consolidated!I1277&amp;Consolidated!J1277,'Org List'!$A$2:$A$1005&amp;'Org List'!$B$2:$B$1005,0),3)</f>
        <v>Multilateral: UN</v>
      </c>
    </row>
    <row r="1278" spans="1:13" x14ac:dyDescent="0.25">
      <c r="A1278" t="s">
        <v>2196</v>
      </c>
      <c r="B1278" t="s">
        <v>1515</v>
      </c>
      <c r="C1278" t="s">
        <v>1516</v>
      </c>
      <c r="D1278" t="s">
        <v>512</v>
      </c>
      <c r="E1278" t="s">
        <v>175</v>
      </c>
      <c r="F1278">
        <v>4500341936</v>
      </c>
      <c r="G1278" t="s">
        <v>2200</v>
      </c>
      <c r="H1278" t="s">
        <v>12</v>
      </c>
      <c r="I1278" t="s">
        <v>1832</v>
      </c>
      <c r="J1278" t="s">
        <v>175</v>
      </c>
      <c r="K1278" s="2">
        <v>185690</v>
      </c>
      <c r="L1278" t="s">
        <v>6408</v>
      </c>
      <c r="M1278" t="str" cm="1">
        <f t="array" ref="M1278">INDEX('Org List'!$A$2:$C$1005,MATCH(Consolidated!I1278&amp;Consolidated!J1278,'Org List'!$A$2:$A$1005&amp;'Org List'!$B$2:$B$1005,0),3)</f>
        <v>NGOs: National</v>
      </c>
    </row>
    <row r="1279" spans="1:13" x14ac:dyDescent="0.25">
      <c r="A1279" t="s">
        <v>2196</v>
      </c>
      <c r="B1279" t="s">
        <v>1515</v>
      </c>
      <c r="C1279" t="s">
        <v>1516</v>
      </c>
      <c r="D1279" t="s">
        <v>512</v>
      </c>
      <c r="E1279" t="s">
        <v>175</v>
      </c>
      <c r="F1279">
        <v>4500342858</v>
      </c>
      <c r="G1279" t="s">
        <v>2575</v>
      </c>
      <c r="H1279" t="s">
        <v>12</v>
      </c>
      <c r="I1279" t="s">
        <v>1831</v>
      </c>
      <c r="J1279" t="s">
        <v>175</v>
      </c>
      <c r="K1279" s="2">
        <v>134902</v>
      </c>
      <c r="L1279" t="s">
        <v>6408</v>
      </c>
      <c r="M1279" t="str" cm="1">
        <f t="array" ref="M1279">INDEX('Org List'!$A$2:$C$1005,MATCH(Consolidated!I1279&amp;Consolidated!J1279,'Org List'!$A$2:$A$1005&amp;'Org List'!$B$2:$B$1005,0),3)</f>
        <v>NGOs: National</v>
      </c>
    </row>
    <row r="1280" spans="1:13" x14ac:dyDescent="0.25">
      <c r="A1280" t="s">
        <v>2196</v>
      </c>
      <c r="B1280" t="s">
        <v>1515</v>
      </c>
      <c r="C1280" t="s">
        <v>1516</v>
      </c>
      <c r="D1280" t="s">
        <v>512</v>
      </c>
      <c r="E1280" t="s">
        <v>175</v>
      </c>
      <c r="F1280">
        <v>4500344727</v>
      </c>
      <c r="G1280" t="s">
        <v>2200</v>
      </c>
      <c r="H1280" t="s">
        <v>12</v>
      </c>
      <c r="I1280" t="s">
        <v>1833</v>
      </c>
      <c r="J1280" t="s">
        <v>175</v>
      </c>
      <c r="K1280" s="2">
        <v>218733</v>
      </c>
      <c r="L1280" t="s">
        <v>6408</v>
      </c>
      <c r="M1280" t="str" cm="1">
        <f t="array" ref="M1280">INDEX('Org List'!$A$2:$C$1005,MATCH(Consolidated!I1280&amp;Consolidated!J1280,'Org List'!$A$2:$A$1005&amp;'Org List'!$B$2:$B$1005,0),3)</f>
        <v>NGOs: Local</v>
      </c>
    </row>
    <row r="1281" spans="1:13" x14ac:dyDescent="0.25">
      <c r="A1281" t="s">
        <v>2196</v>
      </c>
      <c r="B1281" t="s">
        <v>2576</v>
      </c>
      <c r="C1281" t="s">
        <v>2577</v>
      </c>
      <c r="D1281" t="s">
        <v>512</v>
      </c>
      <c r="E1281" t="s">
        <v>890</v>
      </c>
      <c r="F1281">
        <v>4500333864</v>
      </c>
      <c r="G1281" t="s">
        <v>2578</v>
      </c>
      <c r="H1281" t="s">
        <v>12</v>
      </c>
      <c r="I1281" t="s">
        <v>1088</v>
      </c>
      <c r="J1281" t="s">
        <v>890</v>
      </c>
      <c r="K1281" s="2">
        <v>30612</v>
      </c>
      <c r="L1281" t="s">
        <v>6408</v>
      </c>
      <c r="M1281" t="str" cm="1">
        <f t="array" ref="M1281">INDEX('Org List'!$A$2:$C$1005,MATCH(Consolidated!I1281&amp;Consolidated!J1281,'Org List'!$A$2:$A$1005&amp;'Org List'!$B$2:$B$1005,0),3)</f>
        <v>NGOs: Internationally affiliated</v>
      </c>
    </row>
    <row r="1282" spans="1:13" x14ac:dyDescent="0.25">
      <c r="A1282" t="s">
        <v>2196</v>
      </c>
      <c r="B1282" t="s">
        <v>2576</v>
      </c>
      <c r="C1282" t="s">
        <v>2577</v>
      </c>
      <c r="D1282" t="s">
        <v>512</v>
      </c>
      <c r="E1282" t="s">
        <v>890</v>
      </c>
      <c r="F1282">
        <v>4500342746</v>
      </c>
      <c r="G1282" t="s">
        <v>2344</v>
      </c>
      <c r="H1282" t="s">
        <v>12</v>
      </c>
      <c r="I1282" t="s">
        <v>1088</v>
      </c>
      <c r="J1282" t="s">
        <v>890</v>
      </c>
      <c r="K1282" s="2">
        <v>13705</v>
      </c>
      <c r="L1282" t="s">
        <v>6408</v>
      </c>
      <c r="M1282" t="str" cm="1">
        <f t="array" ref="M1282">INDEX('Org List'!$A$2:$C$1005,MATCH(Consolidated!I1282&amp;Consolidated!J1282,'Org List'!$A$2:$A$1005&amp;'Org List'!$B$2:$B$1005,0),3)</f>
        <v>NGOs: Internationally affiliated</v>
      </c>
    </row>
    <row r="1283" spans="1:13" x14ac:dyDescent="0.25">
      <c r="A1283" t="s">
        <v>2196</v>
      </c>
      <c r="B1283" t="s">
        <v>2576</v>
      </c>
      <c r="C1283" t="s">
        <v>2577</v>
      </c>
      <c r="D1283" t="s">
        <v>512</v>
      </c>
      <c r="E1283" t="s">
        <v>890</v>
      </c>
      <c r="F1283">
        <v>4500342748</v>
      </c>
      <c r="G1283" t="s">
        <v>2345</v>
      </c>
      <c r="H1283" t="s">
        <v>12</v>
      </c>
      <c r="I1283" t="s">
        <v>1088</v>
      </c>
      <c r="J1283" t="s">
        <v>890</v>
      </c>
      <c r="K1283" s="2">
        <v>25124</v>
      </c>
      <c r="L1283" t="s">
        <v>6408</v>
      </c>
      <c r="M1283" t="str" cm="1">
        <f t="array" ref="M1283">INDEX('Org List'!$A$2:$C$1005,MATCH(Consolidated!I1283&amp;Consolidated!J1283,'Org List'!$A$2:$A$1005&amp;'Org List'!$B$2:$B$1005,0),3)</f>
        <v>NGOs: Internationally affiliated</v>
      </c>
    </row>
    <row r="1284" spans="1:13" x14ac:dyDescent="0.25">
      <c r="A1284" t="s">
        <v>2196</v>
      </c>
      <c r="B1284" t="s">
        <v>2576</v>
      </c>
      <c r="C1284" t="s">
        <v>2577</v>
      </c>
      <c r="D1284" t="s">
        <v>512</v>
      </c>
      <c r="E1284" t="s">
        <v>890</v>
      </c>
      <c r="F1284">
        <v>4500342753</v>
      </c>
      <c r="G1284" t="s">
        <v>2346</v>
      </c>
      <c r="H1284" t="s">
        <v>12</v>
      </c>
      <c r="I1284" t="s">
        <v>245</v>
      </c>
      <c r="J1284" t="s">
        <v>890</v>
      </c>
      <c r="K1284" s="2">
        <v>12413</v>
      </c>
      <c r="L1284" t="s">
        <v>6408</v>
      </c>
      <c r="M1284" t="str" cm="1">
        <f t="array" ref="M1284">INDEX('Org List'!$A$2:$C$1005,MATCH(Consolidated!I1284&amp;Consolidated!J1284,'Org List'!$A$2:$A$1005&amp;'Org List'!$B$2:$B$1005,0),3)</f>
        <v>Red Cross: National</v>
      </c>
    </row>
    <row r="1285" spans="1:13" x14ac:dyDescent="0.25">
      <c r="A1285" t="s">
        <v>2196</v>
      </c>
      <c r="B1285" t="s">
        <v>2576</v>
      </c>
      <c r="C1285" t="s">
        <v>2577</v>
      </c>
      <c r="D1285" t="s">
        <v>512</v>
      </c>
      <c r="E1285" t="s">
        <v>890</v>
      </c>
      <c r="F1285">
        <v>4500342755</v>
      </c>
      <c r="G1285" t="s">
        <v>2347</v>
      </c>
      <c r="H1285" t="s">
        <v>12</v>
      </c>
      <c r="I1285" t="s">
        <v>247</v>
      </c>
      <c r="J1285" t="s">
        <v>890</v>
      </c>
      <c r="K1285" s="2">
        <v>49559</v>
      </c>
      <c r="L1285" t="s">
        <v>6408</v>
      </c>
      <c r="M1285" t="str" cm="1">
        <f t="array" ref="M1285">INDEX('Org List'!$A$2:$C$1005,MATCH(Consolidated!I1285&amp;Consolidated!J1285,'Org List'!$A$2:$A$1005&amp;'Org List'!$B$2:$B$1005,0),3)</f>
        <v>Other: Local</v>
      </c>
    </row>
    <row r="1286" spans="1:13" x14ac:dyDescent="0.25">
      <c r="A1286" t="s">
        <v>2196</v>
      </c>
      <c r="B1286" t="s">
        <v>2576</v>
      </c>
      <c r="C1286" t="s">
        <v>2577</v>
      </c>
      <c r="D1286" t="s">
        <v>512</v>
      </c>
      <c r="E1286" t="s">
        <v>890</v>
      </c>
      <c r="F1286">
        <v>4500342760</v>
      </c>
      <c r="G1286" t="s">
        <v>2348</v>
      </c>
      <c r="H1286" t="s">
        <v>12</v>
      </c>
      <c r="I1286" t="s">
        <v>1088</v>
      </c>
      <c r="J1286" t="s">
        <v>890</v>
      </c>
      <c r="K1286" s="2">
        <v>14649</v>
      </c>
      <c r="L1286" t="s">
        <v>6408</v>
      </c>
      <c r="M1286" t="str" cm="1">
        <f t="array" ref="M1286">INDEX('Org List'!$A$2:$C$1005,MATCH(Consolidated!I1286&amp;Consolidated!J1286,'Org List'!$A$2:$A$1005&amp;'Org List'!$B$2:$B$1005,0),3)</f>
        <v>NGOs: Internationally affiliated</v>
      </c>
    </row>
    <row r="1287" spans="1:13" x14ac:dyDescent="0.25">
      <c r="A1287" t="s">
        <v>2196</v>
      </c>
      <c r="B1287" t="s">
        <v>2576</v>
      </c>
      <c r="C1287" t="s">
        <v>2577</v>
      </c>
      <c r="D1287" t="s">
        <v>512</v>
      </c>
      <c r="E1287" t="s">
        <v>890</v>
      </c>
      <c r="F1287">
        <v>4500342766</v>
      </c>
      <c r="G1287" t="s">
        <v>2349</v>
      </c>
      <c r="H1287" t="s">
        <v>12</v>
      </c>
      <c r="I1287" t="s">
        <v>246</v>
      </c>
      <c r="J1287" t="s">
        <v>890</v>
      </c>
      <c r="K1287" s="2">
        <v>18404</v>
      </c>
      <c r="L1287" t="s">
        <v>6408</v>
      </c>
      <c r="M1287" t="str" cm="1">
        <f t="array" ref="M1287">INDEX('Org List'!$A$2:$C$1005,MATCH(Consolidated!I1287&amp;Consolidated!J1287,'Org List'!$A$2:$A$1005&amp;'Org List'!$B$2:$B$1005,0),3)</f>
        <v>NGOs: National</v>
      </c>
    </row>
    <row r="1288" spans="1:13" x14ac:dyDescent="0.25">
      <c r="A1288" t="s">
        <v>2196</v>
      </c>
      <c r="B1288" t="s">
        <v>2576</v>
      </c>
      <c r="C1288" t="s">
        <v>2577</v>
      </c>
      <c r="D1288" t="s">
        <v>512</v>
      </c>
      <c r="E1288" t="s">
        <v>890</v>
      </c>
      <c r="F1288">
        <v>4500342773</v>
      </c>
      <c r="G1288" t="s">
        <v>2350</v>
      </c>
      <c r="H1288" t="s">
        <v>12</v>
      </c>
      <c r="I1288" t="s">
        <v>891</v>
      </c>
      <c r="J1288" t="s">
        <v>890</v>
      </c>
      <c r="K1288" s="2">
        <v>32789</v>
      </c>
      <c r="L1288" t="s">
        <v>6408</v>
      </c>
      <c r="M1288" t="str" cm="1">
        <f t="array" ref="M1288">INDEX('Org List'!$A$2:$C$1005,MATCH(Consolidated!I1288&amp;Consolidated!J1288,'Org List'!$A$2:$A$1005&amp;'Org List'!$B$2:$B$1005,0),3)</f>
        <v>NGOs: Internationally affiliated</v>
      </c>
    </row>
    <row r="1289" spans="1:13" x14ac:dyDescent="0.25">
      <c r="A1289" t="s">
        <v>2196</v>
      </c>
      <c r="B1289" t="s">
        <v>2576</v>
      </c>
      <c r="C1289" t="s">
        <v>2577</v>
      </c>
      <c r="D1289" t="s">
        <v>512</v>
      </c>
      <c r="E1289" t="s">
        <v>890</v>
      </c>
      <c r="F1289">
        <v>4500342780</v>
      </c>
      <c r="G1289" t="s">
        <v>2351</v>
      </c>
      <c r="H1289" t="s">
        <v>12</v>
      </c>
      <c r="I1289" t="s">
        <v>244</v>
      </c>
      <c r="J1289" t="s">
        <v>890</v>
      </c>
      <c r="K1289" s="2">
        <v>7932</v>
      </c>
      <c r="L1289" t="s">
        <v>6408</v>
      </c>
      <c r="M1289" t="str" cm="1">
        <f t="array" ref="M1289">INDEX('Org List'!$A$2:$C$1005,MATCH(Consolidated!I1289&amp;Consolidated!J1289,'Org List'!$A$2:$A$1005&amp;'Org List'!$B$2:$B$1005,0),3)</f>
        <v>Red Cross: National</v>
      </c>
    </row>
    <row r="1290" spans="1:13" x14ac:dyDescent="0.25">
      <c r="A1290" t="s">
        <v>2196</v>
      </c>
      <c r="B1290" t="s">
        <v>2576</v>
      </c>
      <c r="C1290" t="s">
        <v>2577</v>
      </c>
      <c r="D1290" t="s">
        <v>512</v>
      </c>
      <c r="E1290" t="s">
        <v>890</v>
      </c>
      <c r="F1290">
        <v>4500342785</v>
      </c>
      <c r="G1290" t="s">
        <v>2352</v>
      </c>
      <c r="H1290" t="s">
        <v>12</v>
      </c>
      <c r="I1290" t="s">
        <v>892</v>
      </c>
      <c r="J1290" t="s">
        <v>890</v>
      </c>
      <c r="K1290" s="2">
        <v>4013</v>
      </c>
      <c r="L1290" t="s">
        <v>6408</v>
      </c>
      <c r="M1290" t="str" cm="1">
        <f t="array" ref="M1290">INDEX('Org List'!$A$2:$C$1005,MATCH(Consolidated!I1290&amp;Consolidated!J1290,'Org List'!$A$2:$A$1005&amp;'Org List'!$B$2:$B$1005,0),3)</f>
        <v>NGOs: National</v>
      </c>
    </row>
    <row r="1291" spans="1:13" x14ac:dyDescent="0.25">
      <c r="A1291" t="s">
        <v>2196</v>
      </c>
      <c r="B1291" t="s">
        <v>2579</v>
      </c>
      <c r="C1291" t="s">
        <v>2580</v>
      </c>
      <c r="D1291" t="s">
        <v>512</v>
      </c>
      <c r="E1291" t="s">
        <v>890</v>
      </c>
      <c r="F1291">
        <v>4500335719</v>
      </c>
      <c r="G1291" t="s">
        <v>2581</v>
      </c>
      <c r="H1291" t="s">
        <v>12</v>
      </c>
      <c r="I1291" t="s">
        <v>2582</v>
      </c>
      <c r="J1291" t="s">
        <v>890</v>
      </c>
      <c r="K1291" s="2">
        <v>96015</v>
      </c>
      <c r="L1291" t="s">
        <v>6408</v>
      </c>
      <c r="M1291" t="str" cm="1">
        <f t="array" ref="M1291">INDEX('Org List'!$A$2:$C$1005,MATCH(Consolidated!I1291&amp;Consolidated!J1291,'Org List'!$A$2:$A$1005&amp;'Org List'!$B$2:$B$1005,0),3)</f>
        <v>NGOs: National</v>
      </c>
    </row>
    <row r="1292" spans="1:13" x14ac:dyDescent="0.25">
      <c r="A1292" t="s">
        <v>2196</v>
      </c>
      <c r="B1292" t="s">
        <v>2730</v>
      </c>
      <c r="C1292" t="s">
        <v>2731</v>
      </c>
      <c r="D1292" t="s">
        <v>30</v>
      </c>
      <c r="E1292" t="s">
        <v>814</v>
      </c>
      <c r="F1292">
        <v>4500329603</v>
      </c>
      <c r="G1292" t="s">
        <v>2732</v>
      </c>
      <c r="H1292" t="s">
        <v>12</v>
      </c>
      <c r="I1292" t="s">
        <v>115</v>
      </c>
      <c r="J1292" t="s">
        <v>814</v>
      </c>
      <c r="K1292" s="2">
        <v>4173</v>
      </c>
      <c r="L1292" t="s">
        <v>6408</v>
      </c>
      <c r="M1292" t="str" cm="1">
        <f t="array" ref="M1292">INDEX('Org List'!$A$2:$C$1005,MATCH(Consolidated!I1292&amp;Consolidated!J1292,'Org List'!$A$2:$A$1005&amp;'Org List'!$B$2:$B$1005,0),3)</f>
        <v>NGOs: National</v>
      </c>
    </row>
    <row r="1293" spans="1:13" x14ac:dyDescent="0.25">
      <c r="A1293" t="s">
        <v>2196</v>
      </c>
      <c r="B1293" t="s">
        <v>2730</v>
      </c>
      <c r="C1293" t="s">
        <v>2731</v>
      </c>
      <c r="D1293" t="s">
        <v>30</v>
      </c>
      <c r="E1293" t="s">
        <v>814</v>
      </c>
      <c r="F1293">
        <v>4500331728</v>
      </c>
      <c r="G1293" t="s">
        <v>2733</v>
      </c>
      <c r="H1293" t="s">
        <v>12</v>
      </c>
      <c r="I1293" t="s">
        <v>117</v>
      </c>
      <c r="J1293" t="s">
        <v>814</v>
      </c>
      <c r="K1293" s="2">
        <v>48731</v>
      </c>
      <c r="L1293" t="s">
        <v>6408</v>
      </c>
      <c r="M1293" t="str" cm="1">
        <f t="array" ref="M1293">INDEX('Org List'!$A$2:$C$1005,MATCH(Consolidated!I1293&amp;Consolidated!J1293,'Org List'!$A$2:$A$1005&amp;'Org List'!$B$2:$B$1005,0),3)</f>
        <v>NGOs: National</v>
      </c>
    </row>
    <row r="1294" spans="1:13" x14ac:dyDescent="0.25">
      <c r="A1294" t="s">
        <v>2196</v>
      </c>
      <c r="B1294" t="s">
        <v>2730</v>
      </c>
      <c r="C1294" t="s">
        <v>2731</v>
      </c>
      <c r="D1294" t="s">
        <v>30</v>
      </c>
      <c r="E1294" t="s">
        <v>814</v>
      </c>
      <c r="F1294">
        <v>4500333473</v>
      </c>
      <c r="G1294" t="s">
        <v>2427</v>
      </c>
      <c r="H1294" t="s">
        <v>12</v>
      </c>
      <c r="I1294" t="s">
        <v>115</v>
      </c>
      <c r="J1294" t="s">
        <v>814</v>
      </c>
      <c r="K1294" s="2">
        <v>12083</v>
      </c>
      <c r="L1294" t="s">
        <v>6408</v>
      </c>
      <c r="M1294" t="str" cm="1">
        <f t="array" ref="M1294">INDEX('Org List'!$A$2:$C$1005,MATCH(Consolidated!I1294&amp;Consolidated!J1294,'Org List'!$A$2:$A$1005&amp;'Org List'!$B$2:$B$1005,0),3)</f>
        <v>NGOs: National</v>
      </c>
    </row>
    <row r="1295" spans="1:13" x14ac:dyDescent="0.25">
      <c r="A1295" t="s">
        <v>2196</v>
      </c>
      <c r="B1295" t="s">
        <v>2730</v>
      </c>
      <c r="C1295" t="s">
        <v>2731</v>
      </c>
      <c r="D1295" t="s">
        <v>30</v>
      </c>
      <c r="E1295" t="s">
        <v>814</v>
      </c>
      <c r="F1295">
        <v>4500333478</v>
      </c>
      <c r="G1295" t="s">
        <v>2425</v>
      </c>
      <c r="H1295" t="s">
        <v>12</v>
      </c>
      <c r="I1295" t="s">
        <v>113</v>
      </c>
      <c r="J1295" t="s">
        <v>814</v>
      </c>
      <c r="K1295" s="2">
        <v>19200</v>
      </c>
      <c r="L1295" t="s">
        <v>6408</v>
      </c>
      <c r="M1295" t="str" cm="1">
        <f t="array" ref="M1295">INDEX('Org List'!$A$2:$C$1005,MATCH(Consolidated!I1295&amp;Consolidated!J1295,'Org List'!$A$2:$A$1005&amp;'Org List'!$B$2:$B$1005,0),3)</f>
        <v>NGOs: National</v>
      </c>
    </row>
    <row r="1296" spans="1:13" x14ac:dyDescent="0.25">
      <c r="A1296" t="s">
        <v>2196</v>
      </c>
      <c r="B1296" t="s">
        <v>2730</v>
      </c>
      <c r="C1296" t="s">
        <v>2731</v>
      </c>
      <c r="D1296" t="s">
        <v>30</v>
      </c>
      <c r="E1296" t="s">
        <v>814</v>
      </c>
      <c r="F1296">
        <v>4500333507</v>
      </c>
      <c r="G1296" t="s">
        <v>2426</v>
      </c>
      <c r="H1296" t="s">
        <v>12</v>
      </c>
      <c r="I1296" t="s">
        <v>118</v>
      </c>
      <c r="J1296" t="s">
        <v>814</v>
      </c>
      <c r="K1296" s="2">
        <v>20809</v>
      </c>
      <c r="L1296" t="s">
        <v>6408</v>
      </c>
      <c r="M1296" t="str" cm="1">
        <f t="array" ref="M1296">INDEX('Org List'!$A$2:$C$1005,MATCH(Consolidated!I1296&amp;Consolidated!J1296,'Org List'!$A$2:$A$1005&amp;'Org List'!$B$2:$B$1005,0),3)</f>
        <v>NGOs: National</v>
      </c>
    </row>
    <row r="1297" spans="1:13" x14ac:dyDescent="0.25">
      <c r="A1297" t="s">
        <v>2196</v>
      </c>
      <c r="B1297" t="s">
        <v>2730</v>
      </c>
      <c r="C1297" t="s">
        <v>2731</v>
      </c>
      <c r="D1297" t="s">
        <v>30</v>
      </c>
      <c r="E1297" t="s">
        <v>814</v>
      </c>
      <c r="F1297">
        <v>4500333512</v>
      </c>
      <c r="G1297" t="s">
        <v>2427</v>
      </c>
      <c r="H1297" t="s">
        <v>12</v>
      </c>
      <c r="I1297" t="s">
        <v>119</v>
      </c>
      <c r="J1297" t="s">
        <v>814</v>
      </c>
      <c r="K1297" s="2">
        <v>20038</v>
      </c>
      <c r="L1297" t="s">
        <v>6408</v>
      </c>
      <c r="M1297" t="str" cm="1">
        <f t="array" ref="M1297">INDEX('Org List'!$A$2:$C$1005,MATCH(Consolidated!I1297&amp;Consolidated!J1297,'Org List'!$A$2:$A$1005&amp;'Org List'!$B$2:$B$1005,0),3)</f>
        <v>NGOs: National</v>
      </c>
    </row>
    <row r="1298" spans="1:13" x14ac:dyDescent="0.25">
      <c r="A1298" t="s">
        <v>2196</v>
      </c>
      <c r="B1298" t="s">
        <v>2730</v>
      </c>
      <c r="C1298" t="s">
        <v>2731</v>
      </c>
      <c r="D1298" t="s">
        <v>30</v>
      </c>
      <c r="E1298" t="s">
        <v>814</v>
      </c>
      <c r="F1298">
        <v>4500333514</v>
      </c>
      <c r="G1298" t="s">
        <v>2427</v>
      </c>
      <c r="H1298" t="s">
        <v>12</v>
      </c>
      <c r="I1298" t="s">
        <v>116</v>
      </c>
      <c r="J1298" t="s">
        <v>814</v>
      </c>
      <c r="K1298" s="2">
        <v>18081</v>
      </c>
      <c r="L1298" t="s">
        <v>6408</v>
      </c>
      <c r="M1298" t="str" cm="1">
        <f t="array" ref="M1298">INDEX('Org List'!$A$2:$C$1005,MATCH(Consolidated!I1298&amp;Consolidated!J1298,'Org List'!$A$2:$A$1005&amp;'Org List'!$B$2:$B$1005,0),3)</f>
        <v>NGOs: National</v>
      </c>
    </row>
    <row r="1299" spans="1:13" x14ac:dyDescent="0.25">
      <c r="A1299" t="s">
        <v>2196</v>
      </c>
      <c r="B1299" t="s">
        <v>2730</v>
      </c>
      <c r="C1299" t="s">
        <v>2731</v>
      </c>
      <c r="D1299" t="s">
        <v>30</v>
      </c>
      <c r="E1299" t="s">
        <v>814</v>
      </c>
      <c r="F1299">
        <v>4500333519</v>
      </c>
      <c r="G1299" t="s">
        <v>2427</v>
      </c>
      <c r="H1299" t="s">
        <v>12</v>
      </c>
      <c r="I1299" t="s">
        <v>114</v>
      </c>
      <c r="J1299" t="s">
        <v>814</v>
      </c>
      <c r="K1299" s="2">
        <v>15466</v>
      </c>
      <c r="L1299" t="s">
        <v>6408</v>
      </c>
      <c r="M1299" t="str" cm="1">
        <f t="array" ref="M1299">INDEX('Org List'!$A$2:$C$1005,MATCH(Consolidated!I1299&amp;Consolidated!J1299,'Org List'!$A$2:$A$1005&amp;'Org List'!$B$2:$B$1005,0),3)</f>
        <v>NGOs: National</v>
      </c>
    </row>
    <row r="1300" spans="1:13" x14ac:dyDescent="0.25">
      <c r="A1300" t="s">
        <v>2196</v>
      </c>
      <c r="B1300" t="s">
        <v>2730</v>
      </c>
      <c r="C1300" t="s">
        <v>2731</v>
      </c>
      <c r="D1300" t="s">
        <v>30</v>
      </c>
      <c r="E1300" t="s">
        <v>814</v>
      </c>
      <c r="F1300">
        <v>4500333727</v>
      </c>
      <c r="G1300" t="s">
        <v>2427</v>
      </c>
      <c r="H1300" t="s">
        <v>12</v>
      </c>
      <c r="I1300" t="s">
        <v>116</v>
      </c>
      <c r="J1300" t="s">
        <v>814</v>
      </c>
      <c r="K1300" s="2">
        <v>14107</v>
      </c>
      <c r="L1300" t="s">
        <v>6408</v>
      </c>
      <c r="M1300" t="str" cm="1">
        <f t="array" ref="M1300">INDEX('Org List'!$A$2:$C$1005,MATCH(Consolidated!I1300&amp;Consolidated!J1300,'Org List'!$A$2:$A$1005&amp;'Org List'!$B$2:$B$1005,0),3)</f>
        <v>NGOs: National</v>
      </c>
    </row>
    <row r="1301" spans="1:13" x14ac:dyDescent="0.25">
      <c r="A1301" t="s">
        <v>2196</v>
      </c>
      <c r="B1301" t="s">
        <v>2730</v>
      </c>
      <c r="C1301" t="s">
        <v>2731</v>
      </c>
      <c r="D1301" t="s">
        <v>30</v>
      </c>
      <c r="E1301" t="s">
        <v>814</v>
      </c>
      <c r="F1301">
        <v>4500333734</v>
      </c>
      <c r="G1301" t="s">
        <v>2427</v>
      </c>
      <c r="H1301" t="s">
        <v>12</v>
      </c>
      <c r="I1301" t="s">
        <v>1721</v>
      </c>
      <c r="J1301" t="s">
        <v>814</v>
      </c>
      <c r="K1301" s="2">
        <v>13565</v>
      </c>
      <c r="L1301" t="s">
        <v>6408</v>
      </c>
      <c r="M1301" t="str" cm="1">
        <f t="array" ref="M1301">INDEX('Org List'!$A$2:$C$1005,MATCH(Consolidated!I1301&amp;Consolidated!J1301,'Org List'!$A$2:$A$1005&amp;'Org List'!$B$2:$B$1005,0),3)</f>
        <v>NGOs: National</v>
      </c>
    </row>
    <row r="1302" spans="1:13" x14ac:dyDescent="0.25">
      <c r="A1302" t="s">
        <v>2196</v>
      </c>
      <c r="B1302" t="s">
        <v>2730</v>
      </c>
      <c r="C1302" t="s">
        <v>2731</v>
      </c>
      <c r="D1302" t="s">
        <v>30</v>
      </c>
      <c r="E1302" t="s">
        <v>814</v>
      </c>
      <c r="F1302">
        <v>4500337243</v>
      </c>
      <c r="G1302" t="s">
        <v>2496</v>
      </c>
      <c r="H1302" t="s">
        <v>12</v>
      </c>
      <c r="I1302" t="s">
        <v>112</v>
      </c>
      <c r="J1302" t="s">
        <v>814</v>
      </c>
      <c r="K1302" s="2">
        <v>24661</v>
      </c>
      <c r="L1302" t="s">
        <v>6408</v>
      </c>
      <c r="M1302" t="str" cm="1">
        <f t="array" ref="M1302">INDEX('Org List'!$A$2:$C$1005,MATCH(Consolidated!I1302&amp;Consolidated!J1302,'Org List'!$A$2:$A$1005&amp;'Org List'!$B$2:$B$1005,0),3)</f>
        <v>NGOs: National</v>
      </c>
    </row>
    <row r="1303" spans="1:13" x14ac:dyDescent="0.25">
      <c r="A1303" t="s">
        <v>2196</v>
      </c>
      <c r="B1303" t="s">
        <v>2730</v>
      </c>
      <c r="C1303" t="s">
        <v>2731</v>
      </c>
      <c r="D1303" t="s">
        <v>30</v>
      </c>
      <c r="E1303" t="s">
        <v>814</v>
      </c>
      <c r="F1303">
        <v>4500337263</v>
      </c>
      <c r="G1303" t="s">
        <v>2428</v>
      </c>
      <c r="H1303" t="s">
        <v>12</v>
      </c>
      <c r="I1303" t="s">
        <v>112</v>
      </c>
      <c r="J1303" t="s">
        <v>814</v>
      </c>
      <c r="K1303" s="2">
        <v>19412</v>
      </c>
      <c r="L1303" t="s">
        <v>6408</v>
      </c>
      <c r="M1303" t="str" cm="1">
        <f t="array" ref="M1303">INDEX('Org List'!$A$2:$C$1005,MATCH(Consolidated!I1303&amp;Consolidated!J1303,'Org List'!$A$2:$A$1005&amp;'Org List'!$B$2:$B$1005,0),3)</f>
        <v>NGOs: National</v>
      </c>
    </row>
    <row r="1304" spans="1:13" x14ac:dyDescent="0.25">
      <c r="A1304" t="s">
        <v>2196</v>
      </c>
      <c r="B1304" t="s">
        <v>2730</v>
      </c>
      <c r="C1304" t="s">
        <v>2731</v>
      </c>
      <c r="D1304" t="s">
        <v>30</v>
      </c>
      <c r="E1304" t="s">
        <v>814</v>
      </c>
      <c r="F1304">
        <v>4500337277</v>
      </c>
      <c r="G1304" t="s">
        <v>2427</v>
      </c>
      <c r="H1304" t="s">
        <v>12</v>
      </c>
      <c r="I1304" t="s">
        <v>112</v>
      </c>
      <c r="J1304" t="s">
        <v>814</v>
      </c>
      <c r="K1304" s="2">
        <v>34558</v>
      </c>
      <c r="L1304" t="s">
        <v>6408</v>
      </c>
      <c r="M1304" t="str" cm="1">
        <f t="array" ref="M1304">INDEX('Org List'!$A$2:$C$1005,MATCH(Consolidated!I1304&amp;Consolidated!J1304,'Org List'!$A$2:$A$1005&amp;'Org List'!$B$2:$B$1005,0),3)</f>
        <v>NGOs: National</v>
      </c>
    </row>
    <row r="1305" spans="1:13" x14ac:dyDescent="0.25">
      <c r="A1305" t="s">
        <v>2196</v>
      </c>
      <c r="B1305" t="s">
        <v>2730</v>
      </c>
      <c r="C1305" t="s">
        <v>2731</v>
      </c>
      <c r="D1305" t="s">
        <v>30</v>
      </c>
      <c r="E1305" t="s">
        <v>814</v>
      </c>
      <c r="F1305">
        <v>4500345573</v>
      </c>
      <c r="G1305" t="s">
        <v>2734</v>
      </c>
      <c r="H1305" t="s">
        <v>12</v>
      </c>
      <c r="I1305" t="s">
        <v>2735</v>
      </c>
      <c r="J1305" t="s">
        <v>814</v>
      </c>
      <c r="K1305" s="2">
        <v>24725</v>
      </c>
      <c r="L1305" t="s">
        <v>6408</v>
      </c>
      <c r="M1305" t="str" cm="1">
        <f t="array" ref="M1305">INDEX('Org List'!$A$2:$C$1005,MATCH(Consolidated!I1305&amp;Consolidated!J1305,'Org List'!$A$2:$A$1005&amp;'Org List'!$B$2:$B$1005,0),3)</f>
        <v>NGOs: National</v>
      </c>
    </row>
    <row r="1306" spans="1:13" x14ac:dyDescent="0.25">
      <c r="A1306" t="s">
        <v>2196</v>
      </c>
      <c r="B1306" t="s">
        <v>2736</v>
      </c>
      <c r="C1306" t="s">
        <v>2737</v>
      </c>
      <c r="D1306" t="s">
        <v>30</v>
      </c>
      <c r="E1306" t="s">
        <v>54</v>
      </c>
      <c r="F1306">
        <v>4500336802</v>
      </c>
      <c r="G1306" t="s">
        <v>2738</v>
      </c>
      <c r="H1306" t="s">
        <v>12</v>
      </c>
      <c r="I1306" t="s">
        <v>281</v>
      </c>
      <c r="J1306" t="s">
        <v>54</v>
      </c>
      <c r="K1306" s="2">
        <v>5944</v>
      </c>
      <c r="L1306" t="s">
        <v>6408</v>
      </c>
      <c r="M1306" t="str" cm="1">
        <f t="array" ref="M1306">INDEX('Org List'!$A$2:$C$1005,MATCH(Consolidated!I1306&amp;Consolidated!J1306,'Org List'!$A$2:$A$1005&amp;'Org List'!$B$2:$B$1005,0),3)</f>
        <v>NGOs: International</v>
      </c>
    </row>
    <row r="1307" spans="1:13" x14ac:dyDescent="0.25">
      <c r="A1307" t="s">
        <v>2196</v>
      </c>
      <c r="B1307" t="s">
        <v>2739</v>
      </c>
      <c r="C1307" t="s">
        <v>2740</v>
      </c>
      <c r="D1307" t="s">
        <v>30</v>
      </c>
      <c r="E1307" t="s">
        <v>449</v>
      </c>
      <c r="F1307">
        <v>4500326954</v>
      </c>
      <c r="G1307" t="s">
        <v>2741</v>
      </c>
      <c r="H1307" t="s">
        <v>12</v>
      </c>
      <c r="I1307" t="s">
        <v>1880</v>
      </c>
      <c r="J1307" t="s">
        <v>449</v>
      </c>
      <c r="K1307" s="2">
        <v>105400</v>
      </c>
      <c r="L1307" t="s">
        <v>6408</v>
      </c>
      <c r="M1307" t="str" cm="1">
        <f t="array" ref="M1307">INDEX('Org List'!$A$2:$C$1005,MATCH(Consolidated!I1307&amp;Consolidated!J1307,'Org List'!$A$2:$A$1005&amp;'Org List'!$B$2:$B$1005,0),3)</f>
        <v>NGOs: International</v>
      </c>
    </row>
    <row r="1308" spans="1:13" x14ac:dyDescent="0.25">
      <c r="A1308" t="s">
        <v>2196</v>
      </c>
      <c r="B1308" t="s">
        <v>2742</v>
      </c>
      <c r="C1308" t="s">
        <v>2743</v>
      </c>
      <c r="D1308" t="s">
        <v>30</v>
      </c>
      <c r="E1308" t="s">
        <v>257</v>
      </c>
      <c r="F1308">
        <v>4500340425</v>
      </c>
      <c r="G1308" t="s">
        <v>2339</v>
      </c>
      <c r="H1308" t="s">
        <v>12</v>
      </c>
      <c r="I1308" t="s">
        <v>1414</v>
      </c>
      <c r="J1308" t="s">
        <v>257</v>
      </c>
      <c r="K1308" s="2">
        <v>59428</v>
      </c>
      <c r="L1308" t="s">
        <v>6408</v>
      </c>
      <c r="M1308" t="str" cm="1">
        <f t="array" ref="M1308">INDEX('Org List'!$A$2:$C$1005,MATCH(Consolidated!I1308&amp;Consolidated!J1308,'Org List'!$A$2:$A$1005&amp;'Org List'!$B$2:$B$1005,0),3)</f>
        <v>NGOs: National</v>
      </c>
    </row>
    <row r="1309" spans="1:13" x14ac:dyDescent="0.25">
      <c r="A1309" t="s">
        <v>2196</v>
      </c>
      <c r="B1309" t="s">
        <v>2158</v>
      </c>
      <c r="C1309" t="s">
        <v>2159</v>
      </c>
      <c r="D1309" t="s">
        <v>30</v>
      </c>
      <c r="E1309" t="s">
        <v>123</v>
      </c>
      <c r="F1309">
        <v>4500328438</v>
      </c>
      <c r="G1309" t="s">
        <v>2200</v>
      </c>
      <c r="H1309" t="s">
        <v>12</v>
      </c>
      <c r="I1309" t="s">
        <v>2744</v>
      </c>
      <c r="J1309" t="s">
        <v>123</v>
      </c>
      <c r="K1309" s="2">
        <v>12975</v>
      </c>
      <c r="L1309" t="s">
        <v>6408</v>
      </c>
      <c r="M1309" t="str" cm="1">
        <f t="array" ref="M1309">INDEX('Org List'!$A$2:$C$1005,MATCH(Consolidated!I1309&amp;Consolidated!J1309,'Org List'!$A$2:$A$1005&amp;'Org List'!$B$2:$B$1005,0),3)</f>
        <v>NGOs: National</v>
      </c>
    </row>
    <row r="1310" spans="1:13" x14ac:dyDescent="0.25">
      <c r="A1310" t="s">
        <v>2196</v>
      </c>
      <c r="B1310" t="s">
        <v>2158</v>
      </c>
      <c r="C1310" t="s">
        <v>2159</v>
      </c>
      <c r="D1310" t="s">
        <v>30</v>
      </c>
      <c r="E1310" t="s">
        <v>123</v>
      </c>
      <c r="F1310">
        <v>4500335203</v>
      </c>
      <c r="G1310" t="s">
        <v>2200</v>
      </c>
      <c r="H1310" t="s">
        <v>12</v>
      </c>
      <c r="I1310" t="s">
        <v>366</v>
      </c>
      <c r="J1310" t="s">
        <v>123</v>
      </c>
      <c r="K1310" s="2">
        <v>1682</v>
      </c>
      <c r="L1310" t="s">
        <v>6408</v>
      </c>
      <c r="M1310" t="str" cm="1">
        <f t="array" ref="M1310">INDEX('Org List'!$A$2:$C$1005,MATCH(Consolidated!I1310&amp;Consolidated!J1310,'Org List'!$A$2:$A$1005&amp;'Org List'!$B$2:$B$1005,0),3)</f>
        <v>NGOs: National</v>
      </c>
    </row>
    <row r="1311" spans="1:13" x14ac:dyDescent="0.25">
      <c r="A1311" t="s">
        <v>2196</v>
      </c>
      <c r="B1311" t="s">
        <v>2158</v>
      </c>
      <c r="C1311" t="s">
        <v>2159</v>
      </c>
      <c r="D1311" t="s">
        <v>30</v>
      </c>
      <c r="E1311" t="s">
        <v>123</v>
      </c>
      <c r="F1311">
        <v>4500341155</v>
      </c>
      <c r="G1311" t="s">
        <v>2200</v>
      </c>
      <c r="H1311" t="s">
        <v>12</v>
      </c>
      <c r="I1311" t="s">
        <v>366</v>
      </c>
      <c r="J1311" t="s">
        <v>123</v>
      </c>
      <c r="K1311" s="2">
        <v>2525</v>
      </c>
      <c r="L1311" t="s">
        <v>6408</v>
      </c>
      <c r="M1311" t="str" cm="1">
        <f t="array" ref="M1311">INDEX('Org List'!$A$2:$C$1005,MATCH(Consolidated!I1311&amp;Consolidated!J1311,'Org List'!$A$2:$A$1005&amp;'Org List'!$B$2:$B$1005,0),3)</f>
        <v>NGOs: National</v>
      </c>
    </row>
    <row r="1312" spans="1:13" x14ac:dyDescent="0.25">
      <c r="A1312" t="s">
        <v>2196</v>
      </c>
      <c r="B1312" t="s">
        <v>2158</v>
      </c>
      <c r="C1312" t="s">
        <v>2159</v>
      </c>
      <c r="D1312" t="s">
        <v>30</v>
      </c>
      <c r="E1312" t="s">
        <v>123</v>
      </c>
      <c r="F1312">
        <v>4500346214</v>
      </c>
      <c r="G1312" t="s">
        <v>2200</v>
      </c>
      <c r="H1312" t="s">
        <v>12</v>
      </c>
      <c r="I1312" t="s">
        <v>368</v>
      </c>
      <c r="J1312" t="s">
        <v>123</v>
      </c>
      <c r="K1312" s="2">
        <v>21518</v>
      </c>
      <c r="L1312" t="s">
        <v>6408</v>
      </c>
      <c r="M1312" t="str" cm="1">
        <f t="array" ref="M1312">INDEX('Org List'!$A$2:$C$1005,MATCH(Consolidated!I1312&amp;Consolidated!J1312,'Org List'!$A$2:$A$1005&amp;'Org List'!$B$2:$B$1005,0),3)</f>
        <v>NGOs: National</v>
      </c>
    </row>
    <row r="1313" spans="1:13" x14ac:dyDescent="0.25">
      <c r="A1313" t="s">
        <v>2196</v>
      </c>
      <c r="B1313" t="s">
        <v>2158</v>
      </c>
      <c r="C1313" t="s">
        <v>2159</v>
      </c>
      <c r="D1313" t="s">
        <v>30</v>
      </c>
      <c r="E1313" t="s">
        <v>123</v>
      </c>
      <c r="F1313">
        <v>4500346618</v>
      </c>
      <c r="G1313" t="s">
        <v>2200</v>
      </c>
      <c r="H1313" t="s">
        <v>12</v>
      </c>
      <c r="I1313" t="s">
        <v>1280</v>
      </c>
      <c r="J1313" t="s">
        <v>123</v>
      </c>
      <c r="K1313" s="2">
        <v>4873</v>
      </c>
      <c r="L1313" t="s">
        <v>6408</v>
      </c>
      <c r="M1313" t="str" cm="1">
        <f t="array" ref="M1313">INDEX('Org List'!$A$2:$C$1005,MATCH(Consolidated!I1313&amp;Consolidated!J1313,'Org List'!$A$2:$A$1005&amp;'Org List'!$B$2:$B$1005,0),3)</f>
        <v>NGOs: International</v>
      </c>
    </row>
    <row r="1314" spans="1:13" x14ac:dyDescent="0.25">
      <c r="A1314" t="s">
        <v>2196</v>
      </c>
      <c r="B1314" t="s">
        <v>1143</v>
      </c>
      <c r="C1314" t="s">
        <v>1144</v>
      </c>
      <c r="D1314" t="s">
        <v>30</v>
      </c>
      <c r="E1314" t="s">
        <v>54</v>
      </c>
      <c r="F1314">
        <v>4500348115</v>
      </c>
      <c r="G1314" t="s">
        <v>2745</v>
      </c>
      <c r="H1314" t="s">
        <v>12</v>
      </c>
      <c r="I1314" t="s">
        <v>859</v>
      </c>
      <c r="J1314" t="s">
        <v>54</v>
      </c>
      <c r="K1314" s="2">
        <v>73666</v>
      </c>
      <c r="L1314" t="s">
        <v>6408</v>
      </c>
      <c r="M1314" t="str" cm="1">
        <f t="array" ref="M1314">INDEX('Org List'!$A$2:$C$1005,MATCH(Consolidated!I1314&amp;Consolidated!J1314,'Org List'!$A$2:$A$1005&amp;'Org List'!$B$2:$B$1005,0),3)</f>
        <v>NGOs: National</v>
      </c>
    </row>
    <row r="1315" spans="1:13" x14ac:dyDescent="0.25">
      <c r="A1315" t="s">
        <v>2783</v>
      </c>
      <c r="B1315" t="s">
        <v>2786</v>
      </c>
      <c r="C1315" t="s">
        <v>2787</v>
      </c>
      <c r="D1315" t="s">
        <v>30</v>
      </c>
      <c r="E1315" t="s">
        <v>320</v>
      </c>
      <c r="F1315">
        <v>4500316490</v>
      </c>
      <c r="G1315" t="s">
        <v>2788</v>
      </c>
      <c r="H1315" t="s">
        <v>2789</v>
      </c>
      <c r="I1315" t="s">
        <v>851</v>
      </c>
      <c r="J1315" t="s">
        <v>320</v>
      </c>
      <c r="K1315" s="2">
        <v>1660</v>
      </c>
      <c r="L1315" t="s">
        <v>6408</v>
      </c>
      <c r="M1315" t="str" cm="1">
        <f t="array" ref="M1315">INDEX('Org List'!$A$2:$C$1005,MATCH(Consolidated!I1315&amp;Consolidated!J1315,'Org List'!$A$2:$A$1005&amp;'Org List'!$B$2:$B$1005,0),3)</f>
        <v>NGOs: National</v>
      </c>
    </row>
    <row r="1316" spans="1:13" x14ac:dyDescent="0.25">
      <c r="A1316" t="s">
        <v>2783</v>
      </c>
      <c r="B1316" t="s">
        <v>2786</v>
      </c>
      <c r="C1316" t="s">
        <v>2787</v>
      </c>
      <c r="D1316" t="s">
        <v>30</v>
      </c>
      <c r="E1316" t="s">
        <v>320</v>
      </c>
      <c r="F1316">
        <v>4500316498</v>
      </c>
      <c r="G1316" t="s">
        <v>2790</v>
      </c>
      <c r="H1316" t="s">
        <v>2789</v>
      </c>
      <c r="I1316" t="s">
        <v>2432</v>
      </c>
      <c r="J1316" t="s">
        <v>320</v>
      </c>
      <c r="K1316" s="2">
        <v>2950</v>
      </c>
      <c r="L1316" t="s">
        <v>6408</v>
      </c>
      <c r="M1316" t="str" cm="1">
        <f t="array" ref="M1316">INDEX('Org List'!$A$2:$C$1005,MATCH(Consolidated!I1316&amp;Consolidated!J1316,'Org List'!$A$2:$A$1005&amp;'Org List'!$B$2:$B$1005,0),3)</f>
        <v>NGOs: International</v>
      </c>
    </row>
    <row r="1317" spans="1:13" x14ac:dyDescent="0.25">
      <c r="A1317" t="s">
        <v>2783</v>
      </c>
      <c r="B1317" t="s">
        <v>2791</v>
      </c>
      <c r="C1317" t="s">
        <v>2792</v>
      </c>
      <c r="D1317" t="s">
        <v>30</v>
      </c>
      <c r="E1317" t="s">
        <v>717</v>
      </c>
      <c r="F1317">
        <v>4500302966</v>
      </c>
      <c r="G1317" t="s">
        <v>2793</v>
      </c>
      <c r="H1317" t="s">
        <v>2789</v>
      </c>
      <c r="I1317" t="s">
        <v>1907</v>
      </c>
      <c r="J1317" t="s">
        <v>717</v>
      </c>
      <c r="K1317" s="2">
        <v>35000</v>
      </c>
      <c r="L1317" t="s">
        <v>6408</v>
      </c>
      <c r="M1317" t="str" cm="1">
        <f t="array" ref="M1317">INDEX('Org List'!$A$2:$C$1005,MATCH(Consolidated!I1317&amp;Consolidated!J1317,'Org List'!$A$2:$A$1005&amp;'Org List'!$B$2:$B$1005,0),3)</f>
        <v>NGOs: Local</v>
      </c>
    </row>
    <row r="1318" spans="1:13" x14ac:dyDescent="0.25">
      <c r="A1318" t="s">
        <v>2783</v>
      </c>
      <c r="B1318" t="s">
        <v>2791</v>
      </c>
      <c r="C1318" t="s">
        <v>2792</v>
      </c>
      <c r="D1318" t="s">
        <v>30</v>
      </c>
      <c r="E1318" t="s">
        <v>717</v>
      </c>
      <c r="F1318">
        <v>4500302969</v>
      </c>
      <c r="G1318" t="s">
        <v>2794</v>
      </c>
      <c r="H1318" t="s">
        <v>2789</v>
      </c>
      <c r="I1318" t="s">
        <v>1912</v>
      </c>
      <c r="J1318" t="s">
        <v>717</v>
      </c>
      <c r="K1318" s="2">
        <v>55000</v>
      </c>
      <c r="L1318" t="s">
        <v>6408</v>
      </c>
      <c r="M1318" t="str" cm="1">
        <f t="array" ref="M1318">INDEX('Org List'!$A$2:$C$1005,MATCH(Consolidated!I1318&amp;Consolidated!J1318,'Org List'!$A$2:$A$1005&amp;'Org List'!$B$2:$B$1005,0),3)</f>
        <v>NGOs: National</v>
      </c>
    </row>
    <row r="1319" spans="1:13" x14ac:dyDescent="0.25">
      <c r="A1319" t="s">
        <v>2783</v>
      </c>
      <c r="B1319" t="s">
        <v>2791</v>
      </c>
      <c r="C1319" t="s">
        <v>2792</v>
      </c>
      <c r="D1319" t="s">
        <v>30</v>
      </c>
      <c r="E1319" t="s">
        <v>717</v>
      </c>
      <c r="F1319">
        <v>4500302976</v>
      </c>
      <c r="G1319" t="s">
        <v>2795</v>
      </c>
      <c r="H1319" t="s">
        <v>2789</v>
      </c>
      <c r="I1319" t="s">
        <v>2796</v>
      </c>
      <c r="J1319" t="s">
        <v>717</v>
      </c>
      <c r="K1319" s="2">
        <v>40000</v>
      </c>
      <c r="L1319" t="s">
        <v>6408</v>
      </c>
      <c r="M1319" t="str" cm="1">
        <f t="array" ref="M1319">INDEX('Org List'!$A$2:$C$1005,MATCH(Consolidated!I1319&amp;Consolidated!J1319,'Org List'!$A$2:$A$1005&amp;'Org List'!$B$2:$B$1005,0),3)</f>
        <v>NGOs: Local</v>
      </c>
    </row>
    <row r="1320" spans="1:13" x14ac:dyDescent="0.25">
      <c r="A1320" t="s">
        <v>2783</v>
      </c>
      <c r="B1320" t="s">
        <v>2835</v>
      </c>
      <c r="C1320" t="s">
        <v>2836</v>
      </c>
      <c r="D1320" t="s">
        <v>30</v>
      </c>
      <c r="E1320" t="s">
        <v>54</v>
      </c>
      <c r="F1320">
        <v>4500302850</v>
      </c>
      <c r="G1320" t="s">
        <v>2837</v>
      </c>
      <c r="H1320" t="s">
        <v>2789</v>
      </c>
      <c r="I1320" t="s">
        <v>2012</v>
      </c>
      <c r="J1320" t="s">
        <v>54</v>
      </c>
      <c r="K1320" s="2">
        <v>565536</v>
      </c>
      <c r="L1320" t="s">
        <v>6408</v>
      </c>
      <c r="M1320" t="str" cm="1">
        <f t="array" ref="M1320">INDEX('Org List'!$A$2:$C$1005,MATCH(Consolidated!I1320&amp;Consolidated!J1320,'Org List'!$A$2:$A$1005&amp;'Org List'!$B$2:$B$1005,0),3)</f>
        <v>Red Cross: National</v>
      </c>
    </row>
    <row r="1321" spans="1:13" x14ac:dyDescent="0.25">
      <c r="A1321" t="s">
        <v>2783</v>
      </c>
      <c r="B1321" t="s">
        <v>1238</v>
      </c>
      <c r="C1321" t="s">
        <v>2838</v>
      </c>
      <c r="D1321" t="s">
        <v>30</v>
      </c>
      <c r="E1321" t="s">
        <v>561</v>
      </c>
      <c r="F1321">
        <v>4500324682</v>
      </c>
      <c r="G1321" t="s">
        <v>2839</v>
      </c>
      <c r="H1321" t="s">
        <v>2789</v>
      </c>
      <c r="I1321" t="s">
        <v>2840</v>
      </c>
      <c r="J1321" t="s">
        <v>561</v>
      </c>
      <c r="K1321" s="2">
        <v>8640</v>
      </c>
      <c r="L1321" t="s">
        <v>6408</v>
      </c>
      <c r="M1321" t="str" cm="1">
        <f t="array" ref="M1321">INDEX('Org List'!$A$2:$C$1005,MATCH(Consolidated!I1321&amp;Consolidated!J1321,'Org List'!$A$2:$A$1005&amp;'Org List'!$B$2:$B$1005,0),3)</f>
        <v>Multilateral: UN</v>
      </c>
    </row>
    <row r="1322" spans="1:13" x14ac:dyDescent="0.25">
      <c r="A1322" t="s">
        <v>2783</v>
      </c>
      <c r="B1322" t="s">
        <v>1238</v>
      </c>
      <c r="C1322" t="s">
        <v>2838</v>
      </c>
      <c r="D1322" t="s">
        <v>30</v>
      </c>
      <c r="E1322" t="s">
        <v>561</v>
      </c>
      <c r="F1322">
        <v>4500325530</v>
      </c>
      <c r="G1322" t="s">
        <v>2841</v>
      </c>
      <c r="H1322" t="s">
        <v>2789</v>
      </c>
      <c r="I1322" t="s">
        <v>1683</v>
      </c>
      <c r="J1322" t="s">
        <v>561</v>
      </c>
      <c r="K1322" s="2">
        <v>809659</v>
      </c>
      <c r="L1322" t="s">
        <v>6408</v>
      </c>
      <c r="M1322" t="str" cm="1">
        <f t="array" ref="M1322">INDEX('Org List'!$A$2:$C$1005,MATCH(Consolidated!I1322&amp;Consolidated!J1322,'Org List'!$A$2:$A$1005&amp;'Org List'!$B$2:$B$1005,0),3)</f>
        <v>Other: National</v>
      </c>
    </row>
    <row r="1323" spans="1:13" x14ac:dyDescent="0.25">
      <c r="A1323" t="s">
        <v>2783</v>
      </c>
      <c r="B1323" t="s">
        <v>2842</v>
      </c>
      <c r="C1323" t="s">
        <v>2843</v>
      </c>
      <c r="D1323" t="s">
        <v>30</v>
      </c>
      <c r="E1323" t="s">
        <v>54</v>
      </c>
      <c r="F1323">
        <v>4500323316</v>
      </c>
      <c r="G1323" t="s">
        <v>2844</v>
      </c>
      <c r="H1323" t="s">
        <v>2789</v>
      </c>
      <c r="I1323" t="s">
        <v>2845</v>
      </c>
      <c r="J1323" t="s">
        <v>54</v>
      </c>
      <c r="K1323" s="2">
        <v>101351</v>
      </c>
      <c r="L1323" t="s">
        <v>6408</v>
      </c>
      <c r="M1323" t="str" cm="1">
        <f t="array" ref="M1323">INDEX('Org List'!$A$2:$C$1005,MATCH(Consolidated!I1323&amp;Consolidated!J1323,'Org List'!$A$2:$A$1005&amp;'Org List'!$B$2:$B$1005,0),3)</f>
        <v>NGOs: International</v>
      </c>
    </row>
    <row r="1324" spans="1:13" x14ac:dyDescent="0.25">
      <c r="A1324" t="s">
        <v>2783</v>
      </c>
      <c r="B1324" t="s">
        <v>66</v>
      </c>
      <c r="C1324" t="s">
        <v>2846</v>
      </c>
      <c r="D1324" t="s">
        <v>30</v>
      </c>
      <c r="E1324" t="s">
        <v>1166</v>
      </c>
      <c r="F1324">
        <v>4500309540</v>
      </c>
      <c r="G1324" t="s">
        <v>2847</v>
      </c>
      <c r="H1324" t="s">
        <v>2789</v>
      </c>
      <c r="I1324" t="s">
        <v>2848</v>
      </c>
      <c r="J1324" t="s">
        <v>1166</v>
      </c>
      <c r="K1324" s="2">
        <v>2878756</v>
      </c>
      <c r="L1324" t="s">
        <v>6408</v>
      </c>
      <c r="M1324" t="str" cm="1">
        <f t="array" ref="M1324">INDEX('Org List'!$A$2:$C$1005,MATCH(Consolidated!I1324&amp;Consolidated!J1324,'Org List'!$A$2:$A$1005&amp;'Org List'!$B$2:$B$1005,0),3)</f>
        <v>Governments: National</v>
      </c>
    </row>
    <row r="1325" spans="1:13" x14ac:dyDescent="0.25">
      <c r="A1325" t="s">
        <v>2783</v>
      </c>
      <c r="B1325" t="s">
        <v>1946</v>
      </c>
      <c r="C1325" t="s">
        <v>2849</v>
      </c>
      <c r="D1325" t="s">
        <v>30</v>
      </c>
      <c r="E1325" t="s">
        <v>83</v>
      </c>
      <c r="F1325">
        <v>4500305365</v>
      </c>
      <c r="G1325" t="s">
        <v>2850</v>
      </c>
      <c r="H1325" t="s">
        <v>2789</v>
      </c>
      <c r="I1325" t="s">
        <v>2851</v>
      </c>
      <c r="J1325" t="s">
        <v>83</v>
      </c>
      <c r="K1325" s="2">
        <v>168955</v>
      </c>
      <c r="L1325" t="s">
        <v>6408</v>
      </c>
      <c r="M1325" t="str" cm="1">
        <f t="array" ref="M1325">INDEX('Org List'!$A$2:$C$1005,MATCH(Consolidated!I1325&amp;Consolidated!J1325,'Org List'!$A$2:$A$1005&amp;'Org List'!$B$2:$B$1005,0),3)</f>
        <v>NGOs: International</v>
      </c>
    </row>
    <row r="1326" spans="1:13" x14ac:dyDescent="0.25">
      <c r="A1326" t="s">
        <v>2783</v>
      </c>
      <c r="B1326" t="s">
        <v>2308</v>
      </c>
      <c r="C1326" t="s">
        <v>2852</v>
      </c>
      <c r="D1326" t="s">
        <v>30</v>
      </c>
      <c r="E1326" t="s">
        <v>253</v>
      </c>
      <c r="F1326">
        <v>4500306617</v>
      </c>
      <c r="G1326" t="s">
        <v>2853</v>
      </c>
      <c r="H1326" t="s">
        <v>2789</v>
      </c>
      <c r="I1326" t="s">
        <v>1362</v>
      </c>
      <c r="J1326" t="s">
        <v>253</v>
      </c>
      <c r="K1326" s="2">
        <v>24145</v>
      </c>
      <c r="L1326" t="s">
        <v>6408</v>
      </c>
      <c r="M1326" t="str" cm="1">
        <f t="array" ref="M1326">INDEX('Org List'!$A$2:$C$1005,MATCH(Consolidated!I1326&amp;Consolidated!J1326,'Org List'!$A$2:$A$1005&amp;'Org List'!$B$2:$B$1005,0),3)</f>
        <v>Red Cross: National</v>
      </c>
    </row>
    <row r="1327" spans="1:13" x14ac:dyDescent="0.25">
      <c r="A1327" t="s">
        <v>2783</v>
      </c>
      <c r="B1327" t="s">
        <v>2311</v>
      </c>
      <c r="C1327" t="s">
        <v>2854</v>
      </c>
      <c r="D1327" t="s">
        <v>30</v>
      </c>
      <c r="E1327" t="s">
        <v>175</v>
      </c>
      <c r="F1327">
        <v>4500318348</v>
      </c>
      <c r="G1327" t="s">
        <v>2855</v>
      </c>
      <c r="H1327" t="s">
        <v>2789</v>
      </c>
      <c r="I1327" t="s">
        <v>176</v>
      </c>
      <c r="J1327" t="s">
        <v>175</v>
      </c>
      <c r="K1327" s="2">
        <v>224839</v>
      </c>
      <c r="L1327" t="s">
        <v>6408</v>
      </c>
      <c r="M1327" t="str" cm="1">
        <f t="array" ref="M1327">INDEX('Org List'!$A$2:$C$1005,MATCH(Consolidated!I1327&amp;Consolidated!J1327,'Org List'!$A$2:$A$1005&amp;'Org List'!$B$2:$B$1005,0),3)</f>
        <v>NGOs: National</v>
      </c>
    </row>
    <row r="1328" spans="1:13" x14ac:dyDescent="0.25">
      <c r="A1328" t="s">
        <v>2783</v>
      </c>
      <c r="B1328" t="s">
        <v>2856</v>
      </c>
      <c r="C1328" t="s">
        <v>2857</v>
      </c>
      <c r="D1328" t="s">
        <v>30</v>
      </c>
      <c r="E1328" t="s">
        <v>717</v>
      </c>
      <c r="F1328">
        <v>4500305860</v>
      </c>
      <c r="G1328" t="s">
        <v>2858</v>
      </c>
      <c r="H1328" t="s">
        <v>2789</v>
      </c>
      <c r="I1328" t="s">
        <v>728</v>
      </c>
      <c r="J1328" t="s">
        <v>717</v>
      </c>
      <c r="K1328" s="2">
        <v>75970</v>
      </c>
      <c r="L1328" t="s">
        <v>6408</v>
      </c>
      <c r="M1328" t="str" cm="1">
        <f t="array" ref="M1328">INDEX('Org List'!$A$2:$C$1005,MATCH(Consolidated!I1328&amp;Consolidated!J1328,'Org List'!$A$2:$A$1005&amp;'Org List'!$B$2:$B$1005,0),3)</f>
        <v>NGOs: National</v>
      </c>
    </row>
    <row r="1329" spans="1:13" x14ac:dyDescent="0.25">
      <c r="A1329" t="s">
        <v>2783</v>
      </c>
      <c r="B1329" t="s">
        <v>2859</v>
      </c>
      <c r="C1329" t="s">
        <v>2860</v>
      </c>
      <c r="D1329" t="s">
        <v>30</v>
      </c>
      <c r="E1329" t="s">
        <v>175</v>
      </c>
      <c r="F1329">
        <v>4500322138</v>
      </c>
      <c r="G1329" t="s">
        <v>2200</v>
      </c>
      <c r="H1329" t="s">
        <v>2789</v>
      </c>
      <c r="I1329" t="s">
        <v>187</v>
      </c>
      <c r="J1329" t="s">
        <v>175</v>
      </c>
      <c r="K1329" s="2">
        <v>67032</v>
      </c>
      <c r="L1329" t="s">
        <v>6408</v>
      </c>
      <c r="M1329" t="str" cm="1">
        <f t="array" ref="M1329">INDEX('Org List'!$A$2:$C$1005,MATCH(Consolidated!I1329&amp;Consolidated!J1329,'Org List'!$A$2:$A$1005&amp;'Org List'!$B$2:$B$1005,0),3)</f>
        <v>NGOs: National</v>
      </c>
    </row>
    <row r="1330" spans="1:13" x14ac:dyDescent="0.25">
      <c r="A1330" t="s">
        <v>2783</v>
      </c>
      <c r="B1330" t="s">
        <v>2861</v>
      </c>
      <c r="C1330" t="s">
        <v>2862</v>
      </c>
      <c r="D1330" t="s">
        <v>30</v>
      </c>
      <c r="E1330" t="s">
        <v>132</v>
      </c>
      <c r="F1330">
        <v>4500310912</v>
      </c>
      <c r="G1330" t="s">
        <v>2863</v>
      </c>
      <c r="H1330" t="s">
        <v>2789</v>
      </c>
      <c r="I1330" t="s">
        <v>2864</v>
      </c>
      <c r="J1330" t="s">
        <v>132</v>
      </c>
      <c r="K1330" s="2">
        <v>219539</v>
      </c>
      <c r="L1330" t="s">
        <v>6408</v>
      </c>
      <c r="M1330" t="str" cm="1">
        <f t="array" ref="M1330">INDEX('Org List'!$A$2:$C$1005,MATCH(Consolidated!I1330&amp;Consolidated!J1330,'Org List'!$A$2:$A$1005&amp;'Org List'!$B$2:$B$1005,0),3)</f>
        <v>Multilateral: UN</v>
      </c>
    </row>
    <row r="1331" spans="1:13" x14ac:dyDescent="0.25">
      <c r="A1331" t="s">
        <v>2783</v>
      </c>
      <c r="B1331" t="s">
        <v>2865</v>
      </c>
      <c r="C1331" t="s">
        <v>2866</v>
      </c>
      <c r="D1331" t="s">
        <v>30</v>
      </c>
      <c r="E1331" t="s">
        <v>717</v>
      </c>
      <c r="F1331">
        <v>4500306067</v>
      </c>
      <c r="G1331" t="s">
        <v>2867</v>
      </c>
      <c r="H1331" t="s">
        <v>2789</v>
      </c>
      <c r="I1331" t="s">
        <v>2868</v>
      </c>
      <c r="J1331" t="s">
        <v>717</v>
      </c>
      <c r="K1331" s="2">
        <v>129497</v>
      </c>
      <c r="L1331" t="s">
        <v>6408</v>
      </c>
      <c r="M1331" t="str" cm="1">
        <f t="array" ref="M1331">INDEX('Org List'!$A$2:$C$1005,MATCH(Consolidated!I1331&amp;Consolidated!J1331,'Org List'!$A$2:$A$1005&amp;'Org List'!$B$2:$B$1005,0),3)</f>
        <v>NGOs: International</v>
      </c>
    </row>
    <row r="1332" spans="1:13" x14ac:dyDescent="0.25">
      <c r="A1332" t="s">
        <v>2783</v>
      </c>
      <c r="B1332" t="s">
        <v>2869</v>
      </c>
      <c r="C1332" t="s">
        <v>2870</v>
      </c>
      <c r="D1332" t="s">
        <v>30</v>
      </c>
      <c r="E1332" t="s">
        <v>1607</v>
      </c>
      <c r="F1332">
        <v>4500307101</v>
      </c>
      <c r="G1332" t="s">
        <v>2871</v>
      </c>
      <c r="H1332" t="s">
        <v>2789</v>
      </c>
      <c r="I1332" t="s">
        <v>2872</v>
      </c>
      <c r="J1332" t="s">
        <v>1607</v>
      </c>
      <c r="K1332" s="2">
        <v>26201</v>
      </c>
      <c r="L1332" t="s">
        <v>6408</v>
      </c>
      <c r="M1332" t="str" cm="1">
        <f t="array" ref="M1332">INDEX('Org List'!$A$2:$C$1005,MATCH(Consolidated!I1332&amp;Consolidated!J1332,'Org List'!$A$2:$A$1005&amp;'Org List'!$B$2:$B$1005,0),3)</f>
        <v>Red Cross: National</v>
      </c>
    </row>
    <row r="1333" spans="1:13" x14ac:dyDescent="0.25">
      <c r="A1333" t="s">
        <v>2783</v>
      </c>
      <c r="B1333" t="s">
        <v>1242</v>
      </c>
      <c r="C1333" t="s">
        <v>2873</v>
      </c>
      <c r="D1333" t="s">
        <v>30</v>
      </c>
      <c r="E1333" t="s">
        <v>159</v>
      </c>
      <c r="F1333">
        <v>4500306055</v>
      </c>
      <c r="G1333" t="s">
        <v>2874</v>
      </c>
      <c r="H1333" t="s">
        <v>2789</v>
      </c>
      <c r="I1333" t="s">
        <v>2875</v>
      </c>
      <c r="J1333" t="s">
        <v>159</v>
      </c>
      <c r="K1333" s="2">
        <v>240347</v>
      </c>
      <c r="L1333" t="s">
        <v>6408</v>
      </c>
      <c r="M1333" t="str" cm="1">
        <f t="array" ref="M1333">INDEX('Org List'!$A$2:$C$1005,MATCH(Consolidated!I1333&amp;Consolidated!J1333,'Org List'!$A$2:$A$1005&amp;'Org List'!$B$2:$B$1005,0),3)</f>
        <v>NGOs: National</v>
      </c>
    </row>
    <row r="1334" spans="1:13" x14ac:dyDescent="0.25">
      <c r="A1334" t="s">
        <v>2783</v>
      </c>
      <c r="B1334" t="s">
        <v>1246</v>
      </c>
      <c r="C1334" t="s">
        <v>2876</v>
      </c>
      <c r="D1334" t="s">
        <v>30</v>
      </c>
      <c r="E1334" t="s">
        <v>54</v>
      </c>
      <c r="F1334">
        <v>4500306243</v>
      </c>
      <c r="G1334" t="s">
        <v>2877</v>
      </c>
      <c r="H1334" t="s">
        <v>2789</v>
      </c>
      <c r="I1334" t="s">
        <v>2878</v>
      </c>
      <c r="J1334" t="s">
        <v>54</v>
      </c>
      <c r="K1334" s="2">
        <v>237442</v>
      </c>
      <c r="L1334" t="s">
        <v>6408</v>
      </c>
      <c r="M1334" t="str" cm="1">
        <f t="array" ref="M1334">INDEX('Org List'!$A$2:$C$1005,MATCH(Consolidated!I1334&amp;Consolidated!J1334,'Org List'!$A$2:$A$1005&amp;'Org List'!$B$2:$B$1005,0),3)</f>
        <v>NGOs: National</v>
      </c>
    </row>
    <row r="1335" spans="1:13" x14ac:dyDescent="0.25">
      <c r="A1335" t="s">
        <v>2783</v>
      </c>
      <c r="B1335" t="s">
        <v>1246</v>
      </c>
      <c r="C1335" t="s">
        <v>2876</v>
      </c>
      <c r="D1335" t="s">
        <v>30</v>
      </c>
      <c r="E1335" t="s">
        <v>54</v>
      </c>
      <c r="F1335">
        <v>4500306263</v>
      </c>
      <c r="G1335" t="s">
        <v>2879</v>
      </c>
      <c r="H1335" t="s">
        <v>2789</v>
      </c>
      <c r="I1335" t="s">
        <v>55</v>
      </c>
      <c r="J1335" t="s">
        <v>54</v>
      </c>
      <c r="K1335" s="2">
        <v>465081</v>
      </c>
      <c r="L1335" t="s">
        <v>6408</v>
      </c>
      <c r="M1335" t="str" cm="1">
        <f t="array" ref="M1335">INDEX('Org List'!$A$2:$C$1005,MATCH(Consolidated!I1335&amp;Consolidated!J1335,'Org List'!$A$2:$A$1005&amp;'Org List'!$B$2:$B$1005,0),3)</f>
        <v>NGOs: National</v>
      </c>
    </row>
    <row r="1336" spans="1:13" x14ac:dyDescent="0.25">
      <c r="A1336" t="s">
        <v>2783</v>
      </c>
      <c r="B1336" t="s">
        <v>1246</v>
      </c>
      <c r="C1336" t="s">
        <v>2876</v>
      </c>
      <c r="D1336" t="s">
        <v>30</v>
      </c>
      <c r="E1336" t="s">
        <v>54</v>
      </c>
      <c r="F1336">
        <v>4500306274</v>
      </c>
      <c r="G1336" t="s">
        <v>2880</v>
      </c>
      <c r="H1336" t="s">
        <v>2789</v>
      </c>
      <c r="I1336" t="s">
        <v>1292</v>
      </c>
      <c r="J1336" t="s">
        <v>54</v>
      </c>
      <c r="K1336" s="2">
        <v>978154</v>
      </c>
      <c r="L1336" t="s">
        <v>6408</v>
      </c>
      <c r="M1336" t="str" cm="1">
        <f t="array" ref="M1336">INDEX('Org List'!$A$2:$C$1005,MATCH(Consolidated!I1336&amp;Consolidated!J1336,'Org List'!$A$2:$A$1005&amp;'Org List'!$B$2:$B$1005,0),3)</f>
        <v>NGOs: National</v>
      </c>
    </row>
    <row r="1337" spans="1:13" x14ac:dyDescent="0.25">
      <c r="A1337" t="s">
        <v>2783</v>
      </c>
      <c r="B1337" t="s">
        <v>1246</v>
      </c>
      <c r="C1337" t="s">
        <v>2876</v>
      </c>
      <c r="D1337" t="s">
        <v>30</v>
      </c>
      <c r="E1337" t="s">
        <v>54</v>
      </c>
      <c r="F1337">
        <v>4500306291</v>
      </c>
      <c r="G1337" t="s">
        <v>2881</v>
      </c>
      <c r="H1337" t="s">
        <v>2789</v>
      </c>
      <c r="I1337" t="s">
        <v>1955</v>
      </c>
      <c r="J1337" t="s">
        <v>54</v>
      </c>
      <c r="K1337" s="2">
        <v>306614</v>
      </c>
      <c r="L1337" t="s">
        <v>6408</v>
      </c>
      <c r="M1337" t="str" cm="1">
        <f t="array" ref="M1337">INDEX('Org List'!$A$2:$C$1005,MATCH(Consolidated!I1337&amp;Consolidated!J1337,'Org List'!$A$2:$A$1005&amp;'Org List'!$B$2:$B$1005,0),3)</f>
        <v>NGOs: National</v>
      </c>
    </row>
    <row r="1338" spans="1:13" x14ac:dyDescent="0.25">
      <c r="A1338" t="s">
        <v>2783</v>
      </c>
      <c r="B1338" t="s">
        <v>74</v>
      </c>
      <c r="C1338" t="s">
        <v>2882</v>
      </c>
      <c r="D1338" t="s">
        <v>30</v>
      </c>
      <c r="E1338" t="s">
        <v>289</v>
      </c>
      <c r="F1338">
        <v>4500310722</v>
      </c>
      <c r="G1338" t="s">
        <v>2200</v>
      </c>
      <c r="H1338" t="s">
        <v>2789</v>
      </c>
      <c r="I1338" t="s">
        <v>290</v>
      </c>
      <c r="J1338" t="s">
        <v>289</v>
      </c>
      <c r="K1338" s="2">
        <v>9807</v>
      </c>
      <c r="L1338" t="s">
        <v>6408</v>
      </c>
      <c r="M1338" t="str" cm="1">
        <f t="array" ref="M1338">INDEX('Org List'!$A$2:$C$1005,MATCH(Consolidated!I1338&amp;Consolidated!J1338,'Org List'!$A$2:$A$1005&amp;'Org List'!$B$2:$B$1005,0),3)</f>
        <v>NGOs: National</v>
      </c>
    </row>
    <row r="1339" spans="1:13" x14ac:dyDescent="0.25">
      <c r="A1339" t="s">
        <v>2783</v>
      </c>
      <c r="B1339" t="s">
        <v>74</v>
      </c>
      <c r="C1339" t="s">
        <v>2882</v>
      </c>
      <c r="D1339" t="s">
        <v>30</v>
      </c>
      <c r="E1339" t="s">
        <v>289</v>
      </c>
      <c r="F1339">
        <v>4500325815</v>
      </c>
      <c r="G1339" t="s">
        <v>2883</v>
      </c>
      <c r="H1339" t="s">
        <v>2789</v>
      </c>
      <c r="I1339" t="s">
        <v>2884</v>
      </c>
      <c r="J1339" t="s">
        <v>289</v>
      </c>
      <c r="K1339" s="2">
        <v>10576</v>
      </c>
      <c r="L1339" t="s">
        <v>6408</v>
      </c>
      <c r="M1339" t="str" cm="1">
        <f t="array" ref="M1339">INDEX('Org List'!$A$2:$C$1005,MATCH(Consolidated!I1339&amp;Consolidated!J1339,'Org List'!$A$2:$A$1005&amp;'Org List'!$B$2:$B$1005,0),3)</f>
        <v>NGOs: National</v>
      </c>
    </row>
    <row r="1340" spans="1:13" x14ac:dyDescent="0.25">
      <c r="A1340" t="s">
        <v>2783</v>
      </c>
      <c r="B1340" t="s">
        <v>74</v>
      </c>
      <c r="C1340" t="s">
        <v>2882</v>
      </c>
      <c r="D1340" t="s">
        <v>30</v>
      </c>
      <c r="E1340" t="s">
        <v>903</v>
      </c>
      <c r="F1340">
        <v>4500323194</v>
      </c>
      <c r="G1340" t="s">
        <v>2885</v>
      </c>
      <c r="H1340" t="s">
        <v>2789</v>
      </c>
      <c r="I1340" t="s">
        <v>236</v>
      </c>
      <c r="J1340" t="s">
        <v>903</v>
      </c>
      <c r="K1340" s="2">
        <v>272907</v>
      </c>
      <c r="L1340" t="s">
        <v>6408</v>
      </c>
      <c r="M1340" t="str" cm="1">
        <f t="array" ref="M1340">INDEX('Org List'!$A$2:$C$1005,MATCH(Consolidated!I1340&amp;Consolidated!J1340,'Org List'!$A$2:$A$1005&amp;'Org List'!$B$2:$B$1005,0),3)</f>
        <v>NGOs: International</v>
      </c>
    </row>
    <row r="1341" spans="1:13" x14ac:dyDescent="0.25">
      <c r="A1341" t="s">
        <v>2783</v>
      </c>
      <c r="B1341" t="s">
        <v>74</v>
      </c>
      <c r="C1341" t="s">
        <v>2882</v>
      </c>
      <c r="D1341" t="s">
        <v>30</v>
      </c>
      <c r="E1341" t="s">
        <v>909</v>
      </c>
      <c r="F1341">
        <v>4500317093</v>
      </c>
      <c r="G1341" t="s">
        <v>2200</v>
      </c>
      <c r="H1341" t="s">
        <v>2789</v>
      </c>
      <c r="I1341" t="s">
        <v>1331</v>
      </c>
      <c r="J1341" t="s">
        <v>909</v>
      </c>
      <c r="K1341" s="2">
        <v>2228</v>
      </c>
      <c r="L1341" t="s">
        <v>6408</v>
      </c>
      <c r="M1341" t="str" cm="1">
        <f t="array" ref="M1341">INDEX('Org List'!$A$2:$C$1005,MATCH(Consolidated!I1341&amp;Consolidated!J1341,'Org List'!$A$2:$A$1005&amp;'Org List'!$B$2:$B$1005,0),3)</f>
        <v>NGOs: National</v>
      </c>
    </row>
    <row r="1342" spans="1:13" x14ac:dyDescent="0.25">
      <c r="A1342" t="s">
        <v>2783</v>
      </c>
      <c r="B1342" t="s">
        <v>74</v>
      </c>
      <c r="C1342" t="s">
        <v>2882</v>
      </c>
      <c r="D1342" t="s">
        <v>30</v>
      </c>
      <c r="E1342" t="s">
        <v>909</v>
      </c>
      <c r="F1342">
        <v>4500317103</v>
      </c>
      <c r="G1342" t="s">
        <v>2200</v>
      </c>
      <c r="H1342" t="s">
        <v>2789</v>
      </c>
      <c r="I1342" t="s">
        <v>1331</v>
      </c>
      <c r="J1342" t="s">
        <v>909</v>
      </c>
      <c r="K1342" s="2">
        <v>2026</v>
      </c>
      <c r="L1342" t="s">
        <v>6408</v>
      </c>
      <c r="M1342" t="str" cm="1">
        <f t="array" ref="M1342">INDEX('Org List'!$A$2:$C$1005,MATCH(Consolidated!I1342&amp;Consolidated!J1342,'Org List'!$A$2:$A$1005&amp;'Org List'!$B$2:$B$1005,0),3)</f>
        <v>NGOs: National</v>
      </c>
    </row>
    <row r="1343" spans="1:13" x14ac:dyDescent="0.25">
      <c r="A1343" t="s">
        <v>2783</v>
      </c>
      <c r="B1343" t="s">
        <v>74</v>
      </c>
      <c r="C1343" t="s">
        <v>2882</v>
      </c>
      <c r="D1343" t="s">
        <v>30</v>
      </c>
      <c r="E1343" t="s">
        <v>54</v>
      </c>
      <c r="F1343">
        <v>4500304929</v>
      </c>
      <c r="G1343" t="s">
        <v>2886</v>
      </c>
      <c r="H1343" t="s">
        <v>2789</v>
      </c>
      <c r="I1343" t="s">
        <v>1858</v>
      </c>
      <c r="J1343" t="s">
        <v>54</v>
      </c>
      <c r="K1343" s="2">
        <v>200472</v>
      </c>
      <c r="L1343" t="s">
        <v>6408</v>
      </c>
      <c r="M1343" t="str" cm="1">
        <f t="array" ref="M1343">INDEX('Org List'!$A$2:$C$1005,MATCH(Consolidated!I1343&amp;Consolidated!J1343,'Org List'!$A$2:$A$1005&amp;'Org List'!$B$2:$B$1005,0),3)</f>
        <v>NGOs: National</v>
      </c>
    </row>
    <row r="1344" spans="1:13" x14ac:dyDescent="0.25">
      <c r="A1344" t="s">
        <v>2783</v>
      </c>
      <c r="B1344" t="s">
        <v>74</v>
      </c>
      <c r="C1344" t="s">
        <v>2882</v>
      </c>
      <c r="D1344" t="s">
        <v>30</v>
      </c>
      <c r="E1344" t="s">
        <v>54</v>
      </c>
      <c r="F1344">
        <v>4500305171</v>
      </c>
      <c r="G1344" t="s">
        <v>2887</v>
      </c>
      <c r="H1344" t="s">
        <v>2789</v>
      </c>
      <c r="I1344" t="s">
        <v>278</v>
      </c>
      <c r="J1344" t="s">
        <v>54</v>
      </c>
      <c r="K1344" s="2">
        <v>208670</v>
      </c>
      <c r="L1344" t="s">
        <v>6408</v>
      </c>
      <c r="M1344" t="str" cm="1">
        <f t="array" ref="M1344">INDEX('Org List'!$A$2:$C$1005,MATCH(Consolidated!I1344&amp;Consolidated!J1344,'Org List'!$A$2:$A$1005&amp;'Org List'!$B$2:$B$1005,0),3)</f>
        <v>NGOs: Internationally affiliated</v>
      </c>
    </row>
    <row r="1345" spans="1:13" x14ac:dyDescent="0.25">
      <c r="A1345" t="s">
        <v>2783</v>
      </c>
      <c r="B1345" t="s">
        <v>74</v>
      </c>
      <c r="C1345" t="s">
        <v>2882</v>
      </c>
      <c r="D1345" t="s">
        <v>30</v>
      </c>
      <c r="E1345" t="s">
        <v>54</v>
      </c>
      <c r="F1345">
        <v>4500305412</v>
      </c>
      <c r="G1345" t="s">
        <v>2888</v>
      </c>
      <c r="H1345" t="s">
        <v>2789</v>
      </c>
      <c r="I1345" t="s">
        <v>271</v>
      </c>
      <c r="J1345" t="s">
        <v>54</v>
      </c>
      <c r="K1345" s="2">
        <v>113088</v>
      </c>
      <c r="L1345" t="s">
        <v>6408</v>
      </c>
      <c r="M1345" t="str" cm="1">
        <f t="array" ref="M1345">INDEX('Org List'!$A$2:$C$1005,MATCH(Consolidated!I1345&amp;Consolidated!J1345,'Org List'!$A$2:$A$1005&amp;'Org List'!$B$2:$B$1005,0),3)</f>
        <v>NGOs: National</v>
      </c>
    </row>
    <row r="1346" spans="1:13" x14ac:dyDescent="0.25">
      <c r="A1346" t="s">
        <v>2783</v>
      </c>
      <c r="B1346" t="s">
        <v>74</v>
      </c>
      <c r="C1346" t="s">
        <v>2882</v>
      </c>
      <c r="D1346" t="s">
        <v>30</v>
      </c>
      <c r="E1346" t="s">
        <v>54</v>
      </c>
      <c r="F1346">
        <v>4500305848</v>
      </c>
      <c r="G1346" t="s">
        <v>2889</v>
      </c>
      <c r="H1346" t="s">
        <v>2789</v>
      </c>
      <c r="I1346" t="s">
        <v>274</v>
      </c>
      <c r="J1346" t="s">
        <v>54</v>
      </c>
      <c r="K1346" s="2">
        <v>107913</v>
      </c>
      <c r="L1346" t="s">
        <v>6408</v>
      </c>
      <c r="M1346" t="str" cm="1">
        <f t="array" ref="M1346">INDEX('Org List'!$A$2:$C$1005,MATCH(Consolidated!I1346&amp;Consolidated!J1346,'Org List'!$A$2:$A$1005&amp;'Org List'!$B$2:$B$1005,0),3)</f>
        <v>NGOs: National</v>
      </c>
    </row>
    <row r="1347" spans="1:13" x14ac:dyDescent="0.25">
      <c r="A1347" t="s">
        <v>2783</v>
      </c>
      <c r="B1347" t="s">
        <v>74</v>
      </c>
      <c r="C1347" t="s">
        <v>2882</v>
      </c>
      <c r="D1347" t="s">
        <v>30</v>
      </c>
      <c r="E1347" t="s">
        <v>54</v>
      </c>
      <c r="F1347">
        <v>4500305915</v>
      </c>
      <c r="G1347" t="s">
        <v>2890</v>
      </c>
      <c r="H1347" t="s">
        <v>2789</v>
      </c>
      <c r="I1347" t="s">
        <v>790</v>
      </c>
      <c r="J1347" t="s">
        <v>54</v>
      </c>
      <c r="K1347" s="2">
        <v>196720</v>
      </c>
      <c r="L1347" t="s">
        <v>6408</v>
      </c>
      <c r="M1347" t="str" cm="1">
        <f t="array" ref="M1347">INDEX('Org List'!$A$2:$C$1005,MATCH(Consolidated!I1347&amp;Consolidated!J1347,'Org List'!$A$2:$A$1005&amp;'Org List'!$B$2:$B$1005,0),3)</f>
        <v>NGOs: National</v>
      </c>
    </row>
    <row r="1348" spans="1:13" x14ac:dyDescent="0.25">
      <c r="A1348" t="s">
        <v>2783</v>
      </c>
      <c r="B1348" t="s">
        <v>74</v>
      </c>
      <c r="C1348" t="s">
        <v>2882</v>
      </c>
      <c r="D1348" t="s">
        <v>30</v>
      </c>
      <c r="E1348" t="s">
        <v>54</v>
      </c>
      <c r="F1348">
        <v>4500305966</v>
      </c>
      <c r="G1348" t="s">
        <v>2891</v>
      </c>
      <c r="H1348" t="s">
        <v>2789</v>
      </c>
      <c r="I1348" t="s">
        <v>1405</v>
      </c>
      <c r="J1348" t="s">
        <v>972</v>
      </c>
      <c r="K1348" s="2">
        <v>780000</v>
      </c>
      <c r="L1348" t="s">
        <v>6408</v>
      </c>
      <c r="M1348" t="str" cm="1">
        <f t="array" ref="M1348">INDEX('Org List'!$A$2:$C$1005,MATCH(Consolidated!I1348&amp;Consolidated!J1348,'Org List'!$A$2:$A$1005&amp;'Org List'!$B$2:$B$1005,0),3)</f>
        <v>NGOs: International</v>
      </c>
    </row>
    <row r="1349" spans="1:13" x14ac:dyDescent="0.25">
      <c r="A1349" t="s">
        <v>2783</v>
      </c>
      <c r="B1349" t="s">
        <v>74</v>
      </c>
      <c r="C1349" t="s">
        <v>2882</v>
      </c>
      <c r="D1349" t="s">
        <v>30</v>
      </c>
      <c r="E1349" t="s">
        <v>54</v>
      </c>
      <c r="F1349">
        <v>4500306517</v>
      </c>
      <c r="G1349" t="s">
        <v>2892</v>
      </c>
      <c r="H1349" t="s">
        <v>2789</v>
      </c>
      <c r="I1349" t="s">
        <v>2893</v>
      </c>
      <c r="J1349" t="s">
        <v>54</v>
      </c>
      <c r="K1349" s="2">
        <v>207981</v>
      </c>
      <c r="L1349" t="s">
        <v>6408</v>
      </c>
      <c r="M1349" t="str" cm="1">
        <f t="array" ref="M1349">INDEX('Org List'!$A$2:$C$1005,MATCH(Consolidated!I1349&amp;Consolidated!J1349,'Org List'!$A$2:$A$1005&amp;'Org List'!$B$2:$B$1005,0),3)</f>
        <v>NGOs: National</v>
      </c>
    </row>
    <row r="1350" spans="1:13" x14ac:dyDescent="0.25">
      <c r="A1350" t="s">
        <v>2783</v>
      </c>
      <c r="B1350" t="s">
        <v>74</v>
      </c>
      <c r="C1350" t="s">
        <v>2882</v>
      </c>
      <c r="D1350" t="s">
        <v>30</v>
      </c>
      <c r="E1350" t="s">
        <v>54</v>
      </c>
      <c r="F1350">
        <v>4500307596</v>
      </c>
      <c r="G1350" t="s">
        <v>2894</v>
      </c>
      <c r="H1350" t="s">
        <v>2789</v>
      </c>
      <c r="I1350" t="s">
        <v>280</v>
      </c>
      <c r="J1350" t="s">
        <v>54</v>
      </c>
      <c r="K1350" s="2">
        <v>227147</v>
      </c>
      <c r="L1350" t="s">
        <v>6408</v>
      </c>
      <c r="M1350" t="str" cm="1">
        <f t="array" ref="M1350">INDEX('Org List'!$A$2:$C$1005,MATCH(Consolidated!I1350&amp;Consolidated!J1350,'Org List'!$A$2:$A$1005&amp;'Org List'!$B$2:$B$1005,0),3)</f>
        <v>NGOs: National</v>
      </c>
    </row>
    <row r="1351" spans="1:13" x14ac:dyDescent="0.25">
      <c r="A1351" t="s">
        <v>2783</v>
      </c>
      <c r="B1351" t="s">
        <v>74</v>
      </c>
      <c r="C1351" t="s">
        <v>2882</v>
      </c>
      <c r="D1351" t="s">
        <v>30</v>
      </c>
      <c r="E1351" t="s">
        <v>54</v>
      </c>
      <c r="F1351">
        <v>4500309874</v>
      </c>
      <c r="G1351" t="s">
        <v>2895</v>
      </c>
      <c r="H1351" t="s">
        <v>2789</v>
      </c>
      <c r="I1351" t="s">
        <v>1693</v>
      </c>
      <c r="J1351" t="s">
        <v>54</v>
      </c>
      <c r="K1351" s="2">
        <v>520000</v>
      </c>
      <c r="L1351" t="s">
        <v>6408</v>
      </c>
      <c r="M1351" t="str" cm="1">
        <f t="array" ref="M1351">INDEX('Org List'!$A$2:$C$1005,MATCH(Consolidated!I1351&amp;Consolidated!J1351,'Org List'!$A$2:$A$1005&amp;'Org List'!$B$2:$B$1005,0),3)</f>
        <v>NGOs: International</v>
      </c>
    </row>
    <row r="1352" spans="1:13" x14ac:dyDescent="0.25">
      <c r="A1352" t="s">
        <v>2783</v>
      </c>
      <c r="B1352" t="s">
        <v>74</v>
      </c>
      <c r="C1352" t="s">
        <v>2882</v>
      </c>
      <c r="D1352" t="s">
        <v>30</v>
      </c>
      <c r="E1352" t="s">
        <v>54</v>
      </c>
      <c r="F1352">
        <v>4500312306</v>
      </c>
      <c r="G1352" t="s">
        <v>2896</v>
      </c>
      <c r="H1352" t="s">
        <v>2789</v>
      </c>
      <c r="I1352" t="s">
        <v>789</v>
      </c>
      <c r="J1352" t="s">
        <v>54</v>
      </c>
      <c r="K1352" s="2">
        <v>179050</v>
      </c>
      <c r="L1352" t="s">
        <v>6408</v>
      </c>
      <c r="M1352" t="str" cm="1">
        <f t="array" ref="M1352">INDEX('Org List'!$A$2:$C$1005,MATCH(Consolidated!I1352&amp;Consolidated!J1352,'Org List'!$A$2:$A$1005&amp;'Org List'!$B$2:$B$1005,0),3)</f>
        <v>NGOs: National</v>
      </c>
    </row>
    <row r="1353" spans="1:13" x14ac:dyDescent="0.25">
      <c r="A1353" t="s">
        <v>2783</v>
      </c>
      <c r="B1353" t="s">
        <v>74</v>
      </c>
      <c r="C1353" t="s">
        <v>2882</v>
      </c>
      <c r="D1353" t="s">
        <v>30</v>
      </c>
      <c r="E1353" t="s">
        <v>54</v>
      </c>
      <c r="F1353">
        <v>4500314255</v>
      </c>
      <c r="G1353" t="s">
        <v>2897</v>
      </c>
      <c r="H1353" t="s">
        <v>2789</v>
      </c>
      <c r="I1353" t="s">
        <v>275</v>
      </c>
      <c r="J1353" t="s">
        <v>54</v>
      </c>
      <c r="K1353" s="2">
        <v>123200</v>
      </c>
      <c r="L1353" t="s">
        <v>6408</v>
      </c>
      <c r="M1353" t="str" cm="1">
        <f t="array" ref="M1353">INDEX('Org List'!$A$2:$C$1005,MATCH(Consolidated!I1353&amp;Consolidated!J1353,'Org List'!$A$2:$A$1005&amp;'Org List'!$B$2:$B$1005,0),3)</f>
        <v>NGOs: National</v>
      </c>
    </row>
    <row r="1354" spans="1:13" x14ac:dyDescent="0.25">
      <c r="A1354" t="s">
        <v>2783</v>
      </c>
      <c r="B1354" t="s">
        <v>74</v>
      </c>
      <c r="C1354" t="s">
        <v>2882</v>
      </c>
      <c r="D1354" t="s">
        <v>30</v>
      </c>
      <c r="E1354" t="s">
        <v>54</v>
      </c>
      <c r="F1354">
        <v>4500322492</v>
      </c>
      <c r="G1354" t="s">
        <v>2898</v>
      </c>
      <c r="H1354" t="s">
        <v>2789</v>
      </c>
      <c r="I1354" t="s">
        <v>2899</v>
      </c>
      <c r="J1354" t="s">
        <v>54</v>
      </c>
      <c r="K1354" s="2">
        <v>33000</v>
      </c>
      <c r="L1354" t="s">
        <v>6408</v>
      </c>
      <c r="M1354" t="str" cm="1">
        <f t="array" ref="M1354">INDEX('Org List'!$A$2:$C$1005,MATCH(Consolidated!I1354&amp;Consolidated!J1354,'Org List'!$A$2:$A$1005&amp;'Org List'!$B$2:$B$1005,0),3)</f>
        <v>NGOs: National</v>
      </c>
    </row>
    <row r="1355" spans="1:13" x14ac:dyDescent="0.25">
      <c r="A1355" t="s">
        <v>2783</v>
      </c>
      <c r="B1355" t="s">
        <v>2900</v>
      </c>
      <c r="C1355" t="s">
        <v>2901</v>
      </c>
      <c r="D1355" t="s">
        <v>30</v>
      </c>
      <c r="E1355" t="s">
        <v>717</v>
      </c>
      <c r="F1355">
        <v>4500310829</v>
      </c>
      <c r="G1355" t="s">
        <v>2902</v>
      </c>
      <c r="H1355" t="s">
        <v>2789</v>
      </c>
      <c r="I1355" t="s">
        <v>2903</v>
      </c>
      <c r="J1355" t="s">
        <v>717</v>
      </c>
      <c r="K1355" s="2">
        <v>13669</v>
      </c>
      <c r="L1355" t="s">
        <v>6408</v>
      </c>
      <c r="M1355" t="str" cm="1">
        <f t="array" ref="M1355">INDEX('Org List'!$A$2:$C$1005,MATCH(Consolidated!I1355&amp;Consolidated!J1355,'Org List'!$A$2:$A$1005&amp;'Org List'!$B$2:$B$1005,0),3)</f>
        <v>NGOs: National</v>
      </c>
    </row>
    <row r="1356" spans="1:13" x14ac:dyDescent="0.25">
      <c r="A1356" t="s">
        <v>2783</v>
      </c>
      <c r="B1356" t="s">
        <v>2904</v>
      </c>
      <c r="C1356" t="s">
        <v>2905</v>
      </c>
      <c r="D1356" t="s">
        <v>30</v>
      </c>
      <c r="E1356" t="s">
        <v>20</v>
      </c>
      <c r="F1356">
        <v>4500310545</v>
      </c>
      <c r="G1356" t="s">
        <v>2906</v>
      </c>
      <c r="H1356" t="s">
        <v>2789</v>
      </c>
      <c r="I1356" t="s">
        <v>2907</v>
      </c>
      <c r="J1356" t="s">
        <v>20</v>
      </c>
      <c r="K1356" s="2">
        <v>5866</v>
      </c>
      <c r="L1356" t="s">
        <v>6408</v>
      </c>
      <c r="M1356" t="str" cm="1">
        <f t="array" ref="M1356">INDEX('Org List'!$A$2:$C$1005,MATCH(Consolidated!I1356&amp;Consolidated!J1356,'Org List'!$A$2:$A$1005&amp;'Org List'!$B$2:$B$1005,0),3)</f>
        <v>NGOs: National</v>
      </c>
    </row>
    <row r="1357" spans="1:13" x14ac:dyDescent="0.25">
      <c r="A1357" t="s">
        <v>2783</v>
      </c>
      <c r="B1357" t="s">
        <v>2904</v>
      </c>
      <c r="C1357" t="s">
        <v>2905</v>
      </c>
      <c r="D1357" t="s">
        <v>30</v>
      </c>
      <c r="E1357" t="s">
        <v>20</v>
      </c>
      <c r="F1357">
        <v>4500313902</v>
      </c>
      <c r="G1357" t="s">
        <v>2908</v>
      </c>
      <c r="H1357" t="s">
        <v>2789</v>
      </c>
      <c r="I1357" t="s">
        <v>852</v>
      </c>
      <c r="J1357" t="s">
        <v>20</v>
      </c>
      <c r="K1357" s="2">
        <v>39330</v>
      </c>
      <c r="L1357" t="s">
        <v>6408</v>
      </c>
      <c r="M1357" t="str" cm="1">
        <f t="array" ref="M1357">INDEX('Org List'!$A$2:$C$1005,MATCH(Consolidated!I1357&amp;Consolidated!J1357,'Org List'!$A$2:$A$1005&amp;'Org List'!$B$2:$B$1005,0),3)</f>
        <v>NGOs: National</v>
      </c>
    </row>
    <row r="1358" spans="1:13" x14ac:dyDescent="0.25">
      <c r="A1358" t="s">
        <v>2783</v>
      </c>
      <c r="B1358" t="s">
        <v>2909</v>
      </c>
      <c r="C1358" t="s">
        <v>2910</v>
      </c>
      <c r="D1358" t="s">
        <v>30</v>
      </c>
      <c r="E1358" t="s">
        <v>303</v>
      </c>
      <c r="F1358">
        <v>4500316696</v>
      </c>
      <c r="G1358" t="s">
        <v>2200</v>
      </c>
      <c r="H1358" t="s">
        <v>2789</v>
      </c>
      <c r="I1358" t="s">
        <v>869</v>
      </c>
      <c r="J1358" t="s">
        <v>303</v>
      </c>
      <c r="K1358" s="2">
        <v>37621</v>
      </c>
      <c r="L1358" t="s">
        <v>6408</v>
      </c>
      <c r="M1358" t="str" cm="1">
        <f t="array" ref="M1358">INDEX('Org List'!$A$2:$C$1005,MATCH(Consolidated!I1358&amp;Consolidated!J1358,'Org List'!$A$2:$A$1005&amp;'Org List'!$B$2:$B$1005,0),3)</f>
        <v>NGOs: International</v>
      </c>
    </row>
    <row r="1359" spans="1:13" x14ac:dyDescent="0.25">
      <c r="A1359" t="s">
        <v>2783</v>
      </c>
      <c r="B1359" t="s">
        <v>2911</v>
      </c>
      <c r="C1359" t="s">
        <v>2912</v>
      </c>
      <c r="D1359" t="s">
        <v>30</v>
      </c>
      <c r="E1359" t="s">
        <v>356</v>
      </c>
      <c r="F1359">
        <v>4500301866</v>
      </c>
      <c r="G1359" t="s">
        <v>2913</v>
      </c>
      <c r="H1359" t="s">
        <v>2789</v>
      </c>
      <c r="I1359" t="s">
        <v>1367</v>
      </c>
      <c r="J1359" t="s">
        <v>356</v>
      </c>
      <c r="K1359" s="2">
        <v>117118</v>
      </c>
      <c r="L1359" t="s">
        <v>6408</v>
      </c>
      <c r="M1359" t="str" cm="1">
        <f t="array" ref="M1359">INDEX('Org List'!$A$2:$C$1005,MATCH(Consolidated!I1359&amp;Consolidated!J1359,'Org List'!$A$2:$A$1005&amp;'Org List'!$B$2:$B$1005,0),3)</f>
        <v>NGOs: National</v>
      </c>
    </row>
    <row r="1360" spans="1:13" x14ac:dyDescent="0.25">
      <c r="A1360" t="s">
        <v>2783</v>
      </c>
      <c r="B1360" t="s">
        <v>2911</v>
      </c>
      <c r="C1360" t="s">
        <v>2912</v>
      </c>
      <c r="D1360" t="s">
        <v>30</v>
      </c>
      <c r="E1360" t="s">
        <v>356</v>
      </c>
      <c r="F1360">
        <v>4500303314</v>
      </c>
      <c r="G1360" t="s">
        <v>2914</v>
      </c>
      <c r="H1360" t="s">
        <v>2789</v>
      </c>
      <c r="I1360" t="s">
        <v>2915</v>
      </c>
      <c r="J1360" t="s">
        <v>356</v>
      </c>
      <c r="K1360" s="2">
        <v>95339</v>
      </c>
      <c r="L1360" t="s">
        <v>6408</v>
      </c>
      <c r="M1360" t="str" cm="1">
        <f t="array" ref="M1360">INDEX('Org List'!$A$2:$C$1005,MATCH(Consolidated!I1360&amp;Consolidated!J1360,'Org List'!$A$2:$A$1005&amp;'Org List'!$B$2:$B$1005,0),3)</f>
        <v>NGOs: National</v>
      </c>
    </row>
    <row r="1361" spans="1:13" x14ac:dyDescent="0.25">
      <c r="A1361" t="s">
        <v>2783</v>
      </c>
      <c r="B1361" t="s">
        <v>2911</v>
      </c>
      <c r="C1361" t="s">
        <v>2912</v>
      </c>
      <c r="D1361" t="s">
        <v>30</v>
      </c>
      <c r="E1361" t="s">
        <v>356</v>
      </c>
      <c r="F1361">
        <v>4500304097</v>
      </c>
      <c r="G1361" t="s">
        <v>2916</v>
      </c>
      <c r="H1361" t="s">
        <v>2789</v>
      </c>
      <c r="I1361" t="s">
        <v>2027</v>
      </c>
      <c r="J1361" t="s">
        <v>356</v>
      </c>
      <c r="K1361" s="2">
        <v>176460</v>
      </c>
      <c r="L1361" t="s">
        <v>6408</v>
      </c>
      <c r="M1361" t="str" cm="1">
        <f t="array" ref="M1361">INDEX('Org List'!$A$2:$C$1005,MATCH(Consolidated!I1361&amp;Consolidated!J1361,'Org List'!$A$2:$A$1005&amp;'Org List'!$B$2:$B$1005,0),3)</f>
        <v>NGOs: National</v>
      </c>
    </row>
    <row r="1362" spans="1:13" x14ac:dyDescent="0.25">
      <c r="A1362" t="s">
        <v>2783</v>
      </c>
      <c r="B1362" t="s">
        <v>2911</v>
      </c>
      <c r="C1362" t="s">
        <v>2912</v>
      </c>
      <c r="D1362" t="s">
        <v>30</v>
      </c>
      <c r="E1362" t="s">
        <v>356</v>
      </c>
      <c r="F1362">
        <v>4500304646</v>
      </c>
      <c r="G1362" t="s">
        <v>2917</v>
      </c>
      <c r="H1362" t="s">
        <v>2789</v>
      </c>
      <c r="I1362" t="s">
        <v>2918</v>
      </c>
      <c r="J1362" t="s">
        <v>2919</v>
      </c>
      <c r="K1362" s="2">
        <v>91677</v>
      </c>
      <c r="L1362" t="s">
        <v>6408</v>
      </c>
      <c r="M1362" t="str" cm="1">
        <f t="array" ref="M1362">INDEX('Org List'!$A$2:$C$1005,MATCH(Consolidated!I1362&amp;Consolidated!J1362,'Org List'!$A$2:$A$1005&amp;'Org List'!$B$2:$B$1005,0),3)</f>
        <v>Unknown</v>
      </c>
    </row>
    <row r="1363" spans="1:13" x14ac:dyDescent="0.25">
      <c r="A1363" t="s">
        <v>2783</v>
      </c>
      <c r="B1363" t="s">
        <v>2911</v>
      </c>
      <c r="C1363" t="s">
        <v>2912</v>
      </c>
      <c r="D1363" t="s">
        <v>30</v>
      </c>
      <c r="E1363" t="s">
        <v>356</v>
      </c>
      <c r="F1363">
        <v>4500304662</v>
      </c>
      <c r="G1363" t="s">
        <v>2920</v>
      </c>
      <c r="H1363" t="s">
        <v>2789</v>
      </c>
      <c r="I1363" t="s">
        <v>1310</v>
      </c>
      <c r="J1363" t="s">
        <v>356</v>
      </c>
      <c r="K1363" s="2">
        <v>120972</v>
      </c>
      <c r="L1363" t="s">
        <v>6408</v>
      </c>
      <c r="M1363" t="str" cm="1">
        <f t="array" ref="M1363">INDEX('Org List'!$A$2:$C$1005,MATCH(Consolidated!I1363&amp;Consolidated!J1363,'Org List'!$A$2:$A$1005&amp;'Org List'!$B$2:$B$1005,0),3)</f>
        <v>NGOs: National</v>
      </c>
    </row>
    <row r="1364" spans="1:13" x14ac:dyDescent="0.25">
      <c r="A1364" t="s">
        <v>2783</v>
      </c>
      <c r="B1364" t="s">
        <v>2911</v>
      </c>
      <c r="C1364" t="s">
        <v>2912</v>
      </c>
      <c r="D1364" t="s">
        <v>30</v>
      </c>
      <c r="E1364" t="s">
        <v>356</v>
      </c>
      <c r="F1364">
        <v>4500307470</v>
      </c>
      <c r="G1364" t="s">
        <v>2921</v>
      </c>
      <c r="H1364" t="s">
        <v>2789</v>
      </c>
      <c r="I1364" t="s">
        <v>2922</v>
      </c>
      <c r="J1364" t="s">
        <v>356</v>
      </c>
      <c r="K1364" s="2">
        <v>245083</v>
      </c>
      <c r="L1364" t="s">
        <v>6408</v>
      </c>
      <c r="M1364" t="str" cm="1">
        <f t="array" ref="M1364">INDEX('Org List'!$A$2:$C$1005,MATCH(Consolidated!I1364&amp;Consolidated!J1364,'Org List'!$A$2:$A$1005&amp;'Org List'!$B$2:$B$1005,0),3)</f>
        <v>NGOs: National</v>
      </c>
    </row>
    <row r="1365" spans="1:13" x14ac:dyDescent="0.25">
      <c r="A1365" t="s">
        <v>2783</v>
      </c>
      <c r="B1365" t="s">
        <v>2911</v>
      </c>
      <c r="C1365" t="s">
        <v>2912</v>
      </c>
      <c r="D1365" t="s">
        <v>30</v>
      </c>
      <c r="E1365" t="s">
        <v>356</v>
      </c>
      <c r="F1365">
        <v>4500311978</v>
      </c>
      <c r="G1365" t="s">
        <v>2923</v>
      </c>
      <c r="H1365" t="s">
        <v>2789</v>
      </c>
      <c r="I1365" t="s">
        <v>2025</v>
      </c>
      <c r="J1365" t="s">
        <v>356</v>
      </c>
      <c r="K1365" s="2">
        <v>80959</v>
      </c>
      <c r="L1365" t="s">
        <v>6408</v>
      </c>
      <c r="M1365" t="str" cm="1">
        <f t="array" ref="M1365">INDEX('Org List'!$A$2:$C$1005,MATCH(Consolidated!I1365&amp;Consolidated!J1365,'Org List'!$A$2:$A$1005&amp;'Org List'!$B$2:$B$1005,0),3)</f>
        <v>NGOs: National</v>
      </c>
    </row>
    <row r="1366" spans="1:13" x14ac:dyDescent="0.25">
      <c r="A1366" t="s">
        <v>2783</v>
      </c>
      <c r="B1366" t="s">
        <v>2911</v>
      </c>
      <c r="C1366" t="s">
        <v>2912</v>
      </c>
      <c r="D1366" t="s">
        <v>30</v>
      </c>
      <c r="E1366" t="s">
        <v>356</v>
      </c>
      <c r="F1366">
        <v>4500312469</v>
      </c>
      <c r="G1366" t="s">
        <v>2924</v>
      </c>
      <c r="H1366" t="s">
        <v>2789</v>
      </c>
      <c r="I1366" t="s">
        <v>827</v>
      </c>
      <c r="J1366" t="s">
        <v>356</v>
      </c>
      <c r="K1366" s="2">
        <v>291692</v>
      </c>
      <c r="L1366" t="s">
        <v>6408</v>
      </c>
      <c r="M1366" t="str" cm="1">
        <f t="array" ref="M1366">INDEX('Org List'!$A$2:$C$1005,MATCH(Consolidated!I1366&amp;Consolidated!J1366,'Org List'!$A$2:$A$1005&amp;'Org List'!$B$2:$B$1005,0),3)</f>
        <v>NGOs: National</v>
      </c>
    </row>
    <row r="1367" spans="1:13" x14ac:dyDescent="0.25">
      <c r="A1367" t="s">
        <v>2783</v>
      </c>
      <c r="B1367" t="s">
        <v>2911</v>
      </c>
      <c r="C1367" t="s">
        <v>2912</v>
      </c>
      <c r="D1367" t="s">
        <v>30</v>
      </c>
      <c r="E1367" t="s">
        <v>356</v>
      </c>
      <c r="F1367">
        <v>4500312492</v>
      </c>
      <c r="G1367" t="s">
        <v>2925</v>
      </c>
      <c r="H1367" t="s">
        <v>2789</v>
      </c>
      <c r="I1367" t="s">
        <v>2926</v>
      </c>
      <c r="J1367" t="s">
        <v>356</v>
      </c>
      <c r="K1367" s="2">
        <v>77938</v>
      </c>
      <c r="L1367" t="s">
        <v>6408</v>
      </c>
      <c r="M1367" t="str" cm="1">
        <f t="array" ref="M1367">INDEX('Org List'!$A$2:$C$1005,MATCH(Consolidated!I1367&amp;Consolidated!J1367,'Org List'!$A$2:$A$1005&amp;'Org List'!$B$2:$B$1005,0),3)</f>
        <v>NGOs: National</v>
      </c>
    </row>
    <row r="1368" spans="1:13" x14ac:dyDescent="0.25">
      <c r="A1368" t="s">
        <v>2783</v>
      </c>
      <c r="B1368" t="s">
        <v>2911</v>
      </c>
      <c r="C1368" t="s">
        <v>2912</v>
      </c>
      <c r="D1368" t="s">
        <v>30</v>
      </c>
      <c r="E1368" t="s">
        <v>356</v>
      </c>
      <c r="F1368">
        <v>4500313223</v>
      </c>
      <c r="G1368" t="s">
        <v>2927</v>
      </c>
      <c r="H1368" t="s">
        <v>2789</v>
      </c>
      <c r="I1368" t="s">
        <v>1743</v>
      </c>
      <c r="J1368" t="s">
        <v>356</v>
      </c>
      <c r="K1368" s="2">
        <v>185150</v>
      </c>
      <c r="L1368" t="s">
        <v>6408</v>
      </c>
      <c r="M1368" t="str" cm="1">
        <f t="array" ref="M1368">INDEX('Org List'!$A$2:$C$1005,MATCH(Consolidated!I1368&amp;Consolidated!J1368,'Org List'!$A$2:$A$1005&amp;'Org List'!$B$2:$B$1005,0),3)</f>
        <v>NGOs: National</v>
      </c>
    </row>
    <row r="1369" spans="1:13" x14ac:dyDescent="0.25">
      <c r="A1369" t="s">
        <v>2783</v>
      </c>
      <c r="B1369" t="s">
        <v>2911</v>
      </c>
      <c r="C1369" t="s">
        <v>2912</v>
      </c>
      <c r="D1369" t="s">
        <v>30</v>
      </c>
      <c r="E1369" t="s">
        <v>356</v>
      </c>
      <c r="F1369">
        <v>4500314192</v>
      </c>
      <c r="G1369" t="s">
        <v>2928</v>
      </c>
      <c r="H1369" t="s">
        <v>2789</v>
      </c>
      <c r="I1369" t="s">
        <v>2929</v>
      </c>
      <c r="J1369" t="s">
        <v>356</v>
      </c>
      <c r="K1369" s="2">
        <v>103999</v>
      </c>
      <c r="L1369" t="s">
        <v>6408</v>
      </c>
      <c r="M1369" t="str" cm="1">
        <f t="array" ref="M1369">INDEX('Org List'!$A$2:$C$1005,MATCH(Consolidated!I1369&amp;Consolidated!J1369,'Org List'!$A$2:$A$1005&amp;'Org List'!$B$2:$B$1005,0),3)</f>
        <v>NGOs: National</v>
      </c>
    </row>
    <row r="1370" spans="1:13" x14ac:dyDescent="0.25">
      <c r="A1370" t="s">
        <v>2783</v>
      </c>
      <c r="B1370" t="s">
        <v>2930</v>
      </c>
      <c r="C1370" t="s">
        <v>2931</v>
      </c>
      <c r="D1370" t="s">
        <v>30</v>
      </c>
      <c r="E1370" t="s">
        <v>814</v>
      </c>
      <c r="F1370">
        <v>4500307212</v>
      </c>
      <c r="G1370" t="s">
        <v>2932</v>
      </c>
      <c r="H1370" t="s">
        <v>2789</v>
      </c>
      <c r="I1370" t="s">
        <v>112</v>
      </c>
      <c r="J1370" t="s">
        <v>814</v>
      </c>
      <c r="K1370" s="2">
        <v>4517</v>
      </c>
      <c r="L1370" t="s">
        <v>6408</v>
      </c>
      <c r="M1370" t="str" cm="1">
        <f t="array" ref="M1370">INDEX('Org List'!$A$2:$C$1005,MATCH(Consolidated!I1370&amp;Consolidated!J1370,'Org List'!$A$2:$A$1005&amp;'Org List'!$B$2:$B$1005,0),3)</f>
        <v>NGOs: National</v>
      </c>
    </row>
    <row r="1371" spans="1:13" x14ac:dyDescent="0.25">
      <c r="A1371" t="s">
        <v>2783</v>
      </c>
      <c r="B1371" t="s">
        <v>2930</v>
      </c>
      <c r="C1371" t="s">
        <v>2931</v>
      </c>
      <c r="D1371" t="s">
        <v>30</v>
      </c>
      <c r="E1371" t="s">
        <v>814</v>
      </c>
      <c r="F1371">
        <v>4500307240</v>
      </c>
      <c r="G1371" t="s">
        <v>2933</v>
      </c>
      <c r="H1371" t="s">
        <v>2789</v>
      </c>
      <c r="I1371" t="s">
        <v>116</v>
      </c>
      <c r="J1371" t="s">
        <v>814</v>
      </c>
      <c r="K1371" s="2">
        <v>3614</v>
      </c>
      <c r="L1371" t="s">
        <v>6408</v>
      </c>
      <c r="M1371" t="str" cm="1">
        <f t="array" ref="M1371">INDEX('Org List'!$A$2:$C$1005,MATCH(Consolidated!I1371&amp;Consolidated!J1371,'Org List'!$A$2:$A$1005&amp;'Org List'!$B$2:$B$1005,0),3)</f>
        <v>NGOs: National</v>
      </c>
    </row>
    <row r="1372" spans="1:13" x14ac:dyDescent="0.25">
      <c r="A1372" t="s">
        <v>2783</v>
      </c>
      <c r="B1372" t="s">
        <v>87</v>
      </c>
      <c r="C1372" t="s">
        <v>2934</v>
      </c>
      <c r="D1372" t="s">
        <v>30</v>
      </c>
      <c r="E1372" t="s">
        <v>32</v>
      </c>
      <c r="F1372">
        <v>4500303755</v>
      </c>
      <c r="G1372" t="s">
        <v>2935</v>
      </c>
      <c r="H1372" t="s">
        <v>2789</v>
      </c>
      <c r="I1372" t="s">
        <v>2936</v>
      </c>
      <c r="J1372" t="s">
        <v>32</v>
      </c>
      <c r="K1372" s="2">
        <v>225250</v>
      </c>
      <c r="L1372" t="s">
        <v>6408</v>
      </c>
      <c r="M1372" t="str" cm="1">
        <f t="array" ref="M1372">INDEX('Org List'!$A$2:$C$1005,MATCH(Consolidated!I1372&amp;Consolidated!J1372,'Org List'!$A$2:$A$1005&amp;'Org List'!$B$2:$B$1005,0),3)</f>
        <v>NGOs: National</v>
      </c>
    </row>
    <row r="1373" spans="1:13" x14ac:dyDescent="0.25">
      <c r="A1373" t="s">
        <v>2783</v>
      </c>
      <c r="B1373" t="s">
        <v>87</v>
      </c>
      <c r="C1373" t="s">
        <v>2934</v>
      </c>
      <c r="D1373" t="s">
        <v>30</v>
      </c>
      <c r="E1373" t="s">
        <v>32</v>
      </c>
      <c r="F1373">
        <v>4500315922</v>
      </c>
      <c r="G1373" t="s">
        <v>2937</v>
      </c>
      <c r="H1373" t="s">
        <v>2789</v>
      </c>
      <c r="I1373" t="s">
        <v>1261</v>
      </c>
      <c r="J1373" t="s">
        <v>32</v>
      </c>
      <c r="K1373" s="2">
        <v>300000</v>
      </c>
      <c r="L1373" t="s">
        <v>6408</v>
      </c>
      <c r="M1373" t="str" cm="1">
        <f t="array" ref="M1373">INDEX('Org List'!$A$2:$C$1005,MATCH(Consolidated!I1373&amp;Consolidated!J1373,'Org List'!$A$2:$A$1005&amp;'Org List'!$B$2:$B$1005,0),3)</f>
        <v>NGOs: National</v>
      </c>
    </row>
    <row r="1374" spans="1:13" x14ac:dyDescent="0.25">
      <c r="A1374" t="s">
        <v>2783</v>
      </c>
      <c r="B1374" t="s">
        <v>87</v>
      </c>
      <c r="C1374" t="s">
        <v>2934</v>
      </c>
      <c r="D1374" t="s">
        <v>30</v>
      </c>
      <c r="E1374" t="s">
        <v>32</v>
      </c>
      <c r="F1374">
        <v>4500319807</v>
      </c>
      <c r="G1374" t="s">
        <v>2200</v>
      </c>
      <c r="H1374" t="s">
        <v>2789</v>
      </c>
      <c r="I1374" t="s">
        <v>2938</v>
      </c>
      <c r="J1374" t="s">
        <v>32</v>
      </c>
      <c r="K1374" s="2">
        <v>200000</v>
      </c>
      <c r="L1374" t="s">
        <v>6408</v>
      </c>
      <c r="M1374" t="str" cm="1">
        <f t="array" ref="M1374">INDEX('Org List'!$A$2:$C$1005,MATCH(Consolidated!I1374&amp;Consolidated!J1374,'Org List'!$A$2:$A$1005&amp;'Org List'!$B$2:$B$1005,0),3)</f>
        <v>NGOs: Local</v>
      </c>
    </row>
    <row r="1375" spans="1:13" x14ac:dyDescent="0.25">
      <c r="A1375" t="s">
        <v>2783</v>
      </c>
      <c r="B1375" t="s">
        <v>2939</v>
      </c>
      <c r="C1375" t="s">
        <v>2940</v>
      </c>
      <c r="D1375" t="s">
        <v>30</v>
      </c>
      <c r="E1375" t="s">
        <v>132</v>
      </c>
      <c r="F1375">
        <v>4500319660</v>
      </c>
      <c r="G1375" t="s">
        <v>2941</v>
      </c>
      <c r="H1375" t="s">
        <v>2789</v>
      </c>
      <c r="I1375" t="s">
        <v>819</v>
      </c>
      <c r="J1375" t="s">
        <v>132</v>
      </c>
      <c r="K1375" s="2">
        <v>19792</v>
      </c>
      <c r="L1375" t="s">
        <v>6408</v>
      </c>
      <c r="M1375" t="str" cm="1">
        <f t="array" ref="M1375">INDEX('Org List'!$A$2:$C$1005,MATCH(Consolidated!I1375&amp;Consolidated!J1375,'Org List'!$A$2:$A$1005&amp;'Org List'!$B$2:$B$1005,0),3)</f>
        <v>NGOs: National</v>
      </c>
    </row>
    <row r="1376" spans="1:13" x14ac:dyDescent="0.25">
      <c r="A1376" t="s">
        <v>2783</v>
      </c>
      <c r="B1376" t="s">
        <v>2942</v>
      </c>
      <c r="C1376" t="s">
        <v>2943</v>
      </c>
      <c r="D1376" t="s">
        <v>30</v>
      </c>
      <c r="E1376" t="s">
        <v>449</v>
      </c>
      <c r="F1376">
        <v>4500302005</v>
      </c>
      <c r="G1376" t="s">
        <v>2944</v>
      </c>
      <c r="H1376" t="s">
        <v>2789</v>
      </c>
      <c r="I1376" t="s">
        <v>2518</v>
      </c>
      <c r="J1376" t="s">
        <v>449</v>
      </c>
      <c r="K1376" s="2">
        <v>110000</v>
      </c>
      <c r="L1376" t="s">
        <v>6408</v>
      </c>
      <c r="M1376" t="str" cm="1">
        <f t="array" ref="M1376">INDEX('Org List'!$A$2:$C$1005,MATCH(Consolidated!I1376&amp;Consolidated!J1376,'Org List'!$A$2:$A$1005&amp;'Org List'!$B$2:$B$1005,0),3)</f>
        <v>NGOs: National</v>
      </c>
    </row>
    <row r="1377" spans="1:13" x14ac:dyDescent="0.25">
      <c r="A1377" t="s">
        <v>2783</v>
      </c>
      <c r="B1377" t="s">
        <v>1702</v>
      </c>
      <c r="C1377" t="s">
        <v>2945</v>
      </c>
      <c r="D1377" t="s">
        <v>30</v>
      </c>
      <c r="E1377" t="s">
        <v>257</v>
      </c>
      <c r="F1377">
        <v>4500321494</v>
      </c>
      <c r="G1377" t="s">
        <v>2946</v>
      </c>
      <c r="H1377" t="s">
        <v>2789</v>
      </c>
      <c r="I1377" t="s">
        <v>421</v>
      </c>
      <c r="J1377" t="s">
        <v>257</v>
      </c>
      <c r="K1377" s="2">
        <v>34373</v>
      </c>
      <c r="L1377" t="s">
        <v>6408</v>
      </c>
      <c r="M1377" t="str" cm="1">
        <f t="array" ref="M1377">INDEX('Org List'!$A$2:$C$1005,MATCH(Consolidated!I1377&amp;Consolidated!J1377,'Org List'!$A$2:$A$1005&amp;'Org List'!$B$2:$B$1005,0),3)</f>
        <v>NGOs: National</v>
      </c>
    </row>
    <row r="1378" spans="1:13" x14ac:dyDescent="0.25">
      <c r="A1378" t="s">
        <v>2783</v>
      </c>
      <c r="B1378" t="s">
        <v>1702</v>
      </c>
      <c r="C1378" t="s">
        <v>2945</v>
      </c>
      <c r="D1378" t="s">
        <v>30</v>
      </c>
      <c r="E1378" t="s">
        <v>257</v>
      </c>
      <c r="F1378">
        <v>4500321496</v>
      </c>
      <c r="G1378" t="s">
        <v>2947</v>
      </c>
      <c r="H1378" t="s">
        <v>2789</v>
      </c>
      <c r="I1378" t="s">
        <v>422</v>
      </c>
      <c r="J1378" t="s">
        <v>257</v>
      </c>
      <c r="K1378" s="2">
        <v>27370</v>
      </c>
      <c r="L1378" t="s">
        <v>6408</v>
      </c>
      <c r="M1378" t="str" cm="1">
        <f t="array" ref="M1378">INDEX('Org List'!$A$2:$C$1005,MATCH(Consolidated!I1378&amp;Consolidated!J1378,'Org List'!$A$2:$A$1005&amp;'Org List'!$B$2:$B$1005,0),3)</f>
        <v>NGOs: Internationally affiliated</v>
      </c>
    </row>
    <row r="1379" spans="1:13" x14ac:dyDescent="0.25">
      <c r="A1379" t="s">
        <v>2783</v>
      </c>
      <c r="B1379" t="s">
        <v>2948</v>
      </c>
      <c r="C1379" t="s">
        <v>2949</v>
      </c>
      <c r="D1379" t="s">
        <v>30</v>
      </c>
      <c r="E1379" t="s">
        <v>54</v>
      </c>
      <c r="F1379">
        <v>4500305402</v>
      </c>
      <c r="G1379" t="s">
        <v>2950</v>
      </c>
      <c r="H1379" t="s">
        <v>2789</v>
      </c>
      <c r="I1379" t="s">
        <v>2269</v>
      </c>
      <c r="J1379" t="s">
        <v>54</v>
      </c>
      <c r="K1379" s="2">
        <v>18960</v>
      </c>
      <c r="L1379" t="s">
        <v>6408</v>
      </c>
      <c r="M1379" t="str" cm="1">
        <f t="array" ref="M1379">INDEX('Org List'!$A$2:$C$1005,MATCH(Consolidated!I1379&amp;Consolidated!J1379,'Org List'!$A$2:$A$1005&amp;'Org List'!$B$2:$B$1005,0),3)</f>
        <v>NGOs: National</v>
      </c>
    </row>
    <row r="1380" spans="1:13" x14ac:dyDescent="0.25">
      <c r="A1380" t="s">
        <v>2783</v>
      </c>
      <c r="B1380" t="s">
        <v>1705</v>
      </c>
      <c r="C1380" t="s">
        <v>2951</v>
      </c>
      <c r="D1380" t="s">
        <v>30</v>
      </c>
      <c r="E1380" t="s">
        <v>54</v>
      </c>
      <c r="F1380">
        <v>4500302850</v>
      </c>
      <c r="G1380" t="s">
        <v>2837</v>
      </c>
      <c r="H1380" t="s">
        <v>2789</v>
      </c>
      <c r="I1380" t="s">
        <v>2012</v>
      </c>
      <c r="J1380" t="s">
        <v>54</v>
      </c>
      <c r="K1380" s="2">
        <v>532592</v>
      </c>
      <c r="L1380" t="s">
        <v>6408</v>
      </c>
      <c r="M1380" t="str" cm="1">
        <f t="array" ref="M1380">INDEX('Org List'!$A$2:$C$1005,MATCH(Consolidated!I1380&amp;Consolidated!J1380,'Org List'!$A$2:$A$1005&amp;'Org List'!$B$2:$B$1005,0),3)</f>
        <v>Red Cross: National</v>
      </c>
    </row>
    <row r="1381" spans="1:13" x14ac:dyDescent="0.25">
      <c r="A1381" t="s">
        <v>2783</v>
      </c>
      <c r="B1381" t="s">
        <v>1262</v>
      </c>
      <c r="C1381" t="s">
        <v>2952</v>
      </c>
      <c r="D1381" t="s">
        <v>30</v>
      </c>
      <c r="E1381" t="s">
        <v>167</v>
      </c>
      <c r="F1381">
        <v>4500310235</v>
      </c>
      <c r="G1381" t="s">
        <v>2953</v>
      </c>
      <c r="H1381" t="s">
        <v>2789</v>
      </c>
      <c r="I1381" t="s">
        <v>973</v>
      </c>
      <c r="J1381" t="s">
        <v>167</v>
      </c>
      <c r="K1381" s="2">
        <v>40206</v>
      </c>
      <c r="L1381" t="s">
        <v>6408</v>
      </c>
      <c r="M1381" t="str" cm="1">
        <f t="array" ref="M1381">INDEX('Org List'!$A$2:$C$1005,MATCH(Consolidated!I1381&amp;Consolidated!J1381,'Org List'!$A$2:$A$1005&amp;'Org List'!$B$2:$B$1005,0),3)</f>
        <v>NGOs: International</v>
      </c>
    </row>
    <row r="1382" spans="1:13" x14ac:dyDescent="0.25">
      <c r="A1382" t="s">
        <v>2783</v>
      </c>
      <c r="B1382" t="s">
        <v>1262</v>
      </c>
      <c r="C1382" t="s">
        <v>2952</v>
      </c>
      <c r="D1382" t="s">
        <v>30</v>
      </c>
      <c r="E1382" t="s">
        <v>167</v>
      </c>
      <c r="F1382">
        <v>4500324495</v>
      </c>
      <c r="G1382" t="s">
        <v>2954</v>
      </c>
      <c r="H1382" t="s">
        <v>2789</v>
      </c>
      <c r="I1382" t="s">
        <v>516</v>
      </c>
      <c r="J1382" t="s">
        <v>167</v>
      </c>
      <c r="K1382" s="2">
        <v>266370</v>
      </c>
      <c r="L1382" t="s">
        <v>6408</v>
      </c>
      <c r="M1382" t="str" cm="1">
        <f t="array" ref="M1382">INDEX('Org List'!$A$2:$C$1005,MATCH(Consolidated!I1382&amp;Consolidated!J1382,'Org List'!$A$2:$A$1005&amp;'Org List'!$B$2:$B$1005,0),3)</f>
        <v>NGOs: International</v>
      </c>
    </row>
    <row r="1383" spans="1:13" x14ac:dyDescent="0.25">
      <c r="A1383" t="s">
        <v>2783</v>
      </c>
      <c r="B1383" t="s">
        <v>1970</v>
      </c>
      <c r="C1383" t="s">
        <v>2955</v>
      </c>
      <c r="D1383" t="s">
        <v>30</v>
      </c>
      <c r="E1383" t="s">
        <v>155</v>
      </c>
      <c r="F1383">
        <v>4500305708</v>
      </c>
      <c r="G1383" t="s">
        <v>2200</v>
      </c>
      <c r="H1383" t="s">
        <v>2789</v>
      </c>
      <c r="I1383" t="s">
        <v>1972</v>
      </c>
      <c r="J1383" t="s">
        <v>155</v>
      </c>
      <c r="K1383" s="2">
        <v>52324</v>
      </c>
      <c r="L1383" t="s">
        <v>6408</v>
      </c>
      <c r="M1383" t="str" cm="1">
        <f t="array" ref="M1383">INDEX('Org List'!$A$2:$C$1005,MATCH(Consolidated!I1383&amp;Consolidated!J1383,'Org List'!$A$2:$A$1005&amp;'Org List'!$B$2:$B$1005,0),3)</f>
        <v>NGOs: Local</v>
      </c>
    </row>
    <row r="1384" spans="1:13" x14ac:dyDescent="0.25">
      <c r="A1384" t="s">
        <v>2783</v>
      </c>
      <c r="B1384" t="s">
        <v>1970</v>
      </c>
      <c r="C1384" t="s">
        <v>2955</v>
      </c>
      <c r="D1384" t="s">
        <v>30</v>
      </c>
      <c r="E1384" t="s">
        <v>155</v>
      </c>
      <c r="F1384">
        <v>4500305727</v>
      </c>
      <c r="G1384" t="s">
        <v>2200</v>
      </c>
      <c r="H1384" t="s">
        <v>2789</v>
      </c>
      <c r="I1384" t="s">
        <v>2956</v>
      </c>
      <c r="J1384" t="s">
        <v>155</v>
      </c>
      <c r="K1384" s="2">
        <v>46373</v>
      </c>
      <c r="L1384" t="s">
        <v>6408</v>
      </c>
      <c r="M1384" t="str" cm="1">
        <f t="array" ref="M1384">INDEX('Org List'!$A$2:$C$1005,MATCH(Consolidated!I1384&amp;Consolidated!J1384,'Org List'!$A$2:$A$1005&amp;'Org List'!$B$2:$B$1005,0),3)</f>
        <v>NGOs: Local</v>
      </c>
    </row>
    <row r="1385" spans="1:13" x14ac:dyDescent="0.25">
      <c r="A1385" t="s">
        <v>2783</v>
      </c>
      <c r="B1385" t="s">
        <v>2361</v>
      </c>
      <c r="C1385" t="s">
        <v>2957</v>
      </c>
      <c r="D1385" t="s">
        <v>30</v>
      </c>
      <c r="E1385" t="s">
        <v>717</v>
      </c>
      <c r="F1385">
        <v>4500306072</v>
      </c>
      <c r="G1385" t="s">
        <v>2958</v>
      </c>
      <c r="H1385" t="s">
        <v>2789</v>
      </c>
      <c r="I1385" t="s">
        <v>728</v>
      </c>
      <c r="J1385" t="s">
        <v>717</v>
      </c>
      <c r="K1385" s="2">
        <v>34965</v>
      </c>
      <c r="L1385" t="s">
        <v>6408</v>
      </c>
      <c r="M1385" t="str" cm="1">
        <f t="array" ref="M1385">INDEX('Org List'!$A$2:$C$1005,MATCH(Consolidated!I1385&amp;Consolidated!J1385,'Org List'!$A$2:$A$1005&amp;'Org List'!$B$2:$B$1005,0),3)</f>
        <v>NGOs: National</v>
      </c>
    </row>
    <row r="1386" spans="1:13" x14ac:dyDescent="0.25">
      <c r="A1386" t="s">
        <v>2783</v>
      </c>
      <c r="B1386" t="s">
        <v>2361</v>
      </c>
      <c r="C1386" t="s">
        <v>2957</v>
      </c>
      <c r="D1386" t="s">
        <v>30</v>
      </c>
      <c r="E1386" t="s">
        <v>717</v>
      </c>
      <c r="F1386">
        <v>4500315269</v>
      </c>
      <c r="G1386" t="s">
        <v>2959</v>
      </c>
      <c r="H1386" t="s">
        <v>2789</v>
      </c>
      <c r="I1386" t="s">
        <v>2868</v>
      </c>
      <c r="J1386" t="s">
        <v>717</v>
      </c>
      <c r="K1386" s="2">
        <v>18174</v>
      </c>
      <c r="L1386" t="s">
        <v>6408</v>
      </c>
      <c r="M1386" t="str" cm="1">
        <f t="array" ref="M1386">INDEX('Org List'!$A$2:$C$1005,MATCH(Consolidated!I1386&amp;Consolidated!J1386,'Org List'!$A$2:$A$1005&amp;'Org List'!$B$2:$B$1005,0),3)</f>
        <v>NGOs: International</v>
      </c>
    </row>
    <row r="1387" spans="1:13" x14ac:dyDescent="0.25">
      <c r="A1387" t="s">
        <v>2783</v>
      </c>
      <c r="B1387" t="s">
        <v>2367</v>
      </c>
      <c r="C1387" t="s">
        <v>2960</v>
      </c>
      <c r="D1387" t="s">
        <v>30</v>
      </c>
      <c r="E1387" t="s">
        <v>123</v>
      </c>
      <c r="F1387">
        <v>4500304666</v>
      </c>
      <c r="G1387" t="s">
        <v>2200</v>
      </c>
      <c r="H1387" t="s">
        <v>2789</v>
      </c>
      <c r="I1387" t="s">
        <v>2961</v>
      </c>
      <c r="J1387" t="s">
        <v>123</v>
      </c>
      <c r="K1387" s="2">
        <v>363915</v>
      </c>
      <c r="L1387" t="s">
        <v>6408</v>
      </c>
      <c r="M1387" t="str" cm="1">
        <f t="array" ref="M1387">INDEX('Org List'!$A$2:$C$1005,MATCH(Consolidated!I1387&amp;Consolidated!J1387,'Org List'!$A$2:$A$1005&amp;'Org List'!$B$2:$B$1005,0),3)</f>
        <v>Unknown</v>
      </c>
    </row>
    <row r="1388" spans="1:13" x14ac:dyDescent="0.25">
      <c r="A1388" t="s">
        <v>2783</v>
      </c>
      <c r="B1388" t="s">
        <v>2367</v>
      </c>
      <c r="C1388" t="s">
        <v>2960</v>
      </c>
      <c r="D1388" t="s">
        <v>30</v>
      </c>
      <c r="E1388" t="s">
        <v>123</v>
      </c>
      <c r="F1388">
        <v>4500309498</v>
      </c>
      <c r="G1388" t="s">
        <v>2200</v>
      </c>
      <c r="H1388" t="s">
        <v>2789</v>
      </c>
      <c r="I1388" t="s">
        <v>1980</v>
      </c>
      <c r="J1388" t="s">
        <v>123</v>
      </c>
      <c r="K1388" s="2">
        <v>297313</v>
      </c>
      <c r="L1388" t="s">
        <v>6408</v>
      </c>
      <c r="M1388" t="str" cm="1">
        <f t="array" ref="M1388">INDEX('Org List'!$A$2:$C$1005,MATCH(Consolidated!I1388&amp;Consolidated!J1388,'Org List'!$A$2:$A$1005&amp;'Org List'!$B$2:$B$1005,0),3)</f>
        <v>NGOs: National</v>
      </c>
    </row>
    <row r="1389" spans="1:13" x14ac:dyDescent="0.25">
      <c r="A1389" t="s">
        <v>2783</v>
      </c>
      <c r="B1389" t="s">
        <v>2367</v>
      </c>
      <c r="C1389" t="s">
        <v>2960</v>
      </c>
      <c r="D1389" t="s">
        <v>30</v>
      </c>
      <c r="E1389" t="s">
        <v>123</v>
      </c>
      <c r="F1389">
        <v>4500324431</v>
      </c>
      <c r="G1389" t="s">
        <v>2200</v>
      </c>
      <c r="H1389" t="s">
        <v>2789</v>
      </c>
      <c r="I1389" t="s">
        <v>366</v>
      </c>
      <c r="J1389" t="s">
        <v>123</v>
      </c>
      <c r="K1389" s="2">
        <v>12973</v>
      </c>
      <c r="L1389" t="s">
        <v>6408</v>
      </c>
      <c r="M1389" t="str" cm="1">
        <f t="array" ref="M1389">INDEX('Org List'!$A$2:$C$1005,MATCH(Consolidated!I1389&amp;Consolidated!J1389,'Org List'!$A$2:$A$1005&amp;'Org List'!$B$2:$B$1005,0),3)</f>
        <v>NGOs: National</v>
      </c>
    </row>
    <row r="1390" spans="1:13" x14ac:dyDescent="0.25">
      <c r="A1390" t="s">
        <v>2783</v>
      </c>
      <c r="B1390" t="s">
        <v>2369</v>
      </c>
      <c r="C1390" t="s">
        <v>2962</v>
      </c>
      <c r="D1390" t="s">
        <v>30</v>
      </c>
      <c r="E1390" t="s">
        <v>305</v>
      </c>
      <c r="F1390">
        <v>4500314434</v>
      </c>
      <c r="G1390" t="s">
        <v>2499</v>
      </c>
      <c r="H1390" t="s">
        <v>2789</v>
      </c>
      <c r="I1390" t="s">
        <v>908</v>
      </c>
      <c r="J1390" t="s">
        <v>305</v>
      </c>
      <c r="K1390" s="2">
        <v>47973</v>
      </c>
      <c r="L1390" t="s">
        <v>6408</v>
      </c>
      <c r="M1390" t="str" cm="1">
        <f t="array" ref="M1390">INDEX('Org List'!$A$2:$C$1005,MATCH(Consolidated!I1390&amp;Consolidated!J1390,'Org List'!$A$2:$A$1005&amp;'Org List'!$B$2:$B$1005,0),3)</f>
        <v>NGOs: National</v>
      </c>
    </row>
    <row r="1391" spans="1:13" x14ac:dyDescent="0.25">
      <c r="A1391" t="s">
        <v>2783</v>
      </c>
      <c r="B1391" t="s">
        <v>2369</v>
      </c>
      <c r="C1391" t="s">
        <v>2962</v>
      </c>
      <c r="D1391" t="s">
        <v>30</v>
      </c>
      <c r="E1391" t="s">
        <v>305</v>
      </c>
      <c r="F1391">
        <v>4500315617</v>
      </c>
      <c r="G1391" t="s">
        <v>2499</v>
      </c>
      <c r="H1391" t="s">
        <v>2789</v>
      </c>
      <c r="I1391" t="s">
        <v>2478</v>
      </c>
      <c r="J1391" t="s">
        <v>305</v>
      </c>
      <c r="K1391" s="2">
        <v>47972</v>
      </c>
      <c r="L1391" t="s">
        <v>6408</v>
      </c>
      <c r="M1391" t="str" cm="1">
        <f t="array" ref="M1391">INDEX('Org List'!$A$2:$C$1005,MATCH(Consolidated!I1391&amp;Consolidated!J1391,'Org List'!$A$2:$A$1005&amp;'Org List'!$B$2:$B$1005,0),3)</f>
        <v>NGOs: National</v>
      </c>
    </row>
    <row r="1392" spans="1:13" x14ac:dyDescent="0.25">
      <c r="A1392" t="s">
        <v>2783</v>
      </c>
      <c r="B1392" t="s">
        <v>2369</v>
      </c>
      <c r="C1392" t="s">
        <v>2962</v>
      </c>
      <c r="D1392" t="s">
        <v>30</v>
      </c>
      <c r="E1392" t="s">
        <v>305</v>
      </c>
      <c r="F1392">
        <v>4500315636</v>
      </c>
      <c r="G1392" t="s">
        <v>2963</v>
      </c>
      <c r="H1392" t="s">
        <v>2789</v>
      </c>
      <c r="I1392" t="s">
        <v>2475</v>
      </c>
      <c r="J1392" t="s">
        <v>305</v>
      </c>
      <c r="K1392" s="2">
        <v>47086</v>
      </c>
      <c r="L1392" t="s">
        <v>6408</v>
      </c>
      <c r="M1392" t="str" cm="1">
        <f t="array" ref="M1392">INDEX('Org List'!$A$2:$C$1005,MATCH(Consolidated!I1392&amp;Consolidated!J1392,'Org List'!$A$2:$A$1005&amp;'Org List'!$B$2:$B$1005,0),3)</f>
        <v>NGOs: National</v>
      </c>
    </row>
    <row r="1393" spans="1:13" x14ac:dyDescent="0.25">
      <c r="A1393" t="s">
        <v>2783</v>
      </c>
      <c r="B1393" t="s">
        <v>2369</v>
      </c>
      <c r="C1393" t="s">
        <v>2962</v>
      </c>
      <c r="D1393" t="s">
        <v>30</v>
      </c>
      <c r="E1393" t="s">
        <v>305</v>
      </c>
      <c r="F1393">
        <v>4500316954</v>
      </c>
      <c r="G1393" t="s">
        <v>2499</v>
      </c>
      <c r="H1393" t="s">
        <v>2789</v>
      </c>
      <c r="I1393" t="s">
        <v>2480</v>
      </c>
      <c r="J1393" t="s">
        <v>305</v>
      </c>
      <c r="K1393" s="2">
        <v>47405</v>
      </c>
      <c r="L1393" t="s">
        <v>6408</v>
      </c>
      <c r="M1393" t="str" cm="1">
        <f t="array" ref="M1393">INDEX('Org List'!$A$2:$C$1005,MATCH(Consolidated!I1393&amp;Consolidated!J1393,'Org List'!$A$2:$A$1005&amp;'Org List'!$B$2:$B$1005,0),3)</f>
        <v>NGOs: National</v>
      </c>
    </row>
    <row r="1394" spans="1:13" x14ac:dyDescent="0.25">
      <c r="A1394" t="s">
        <v>2783</v>
      </c>
      <c r="B1394" t="s">
        <v>2964</v>
      </c>
      <c r="C1394" t="s">
        <v>2965</v>
      </c>
      <c r="D1394" t="s">
        <v>30</v>
      </c>
      <c r="E1394" t="s">
        <v>303</v>
      </c>
      <c r="F1394">
        <v>4500320814</v>
      </c>
      <c r="G1394" t="s">
        <v>2966</v>
      </c>
      <c r="H1394" t="s">
        <v>2789</v>
      </c>
      <c r="I1394" t="s">
        <v>2967</v>
      </c>
      <c r="J1394" t="s">
        <v>303</v>
      </c>
      <c r="K1394" s="2">
        <v>374461</v>
      </c>
      <c r="L1394" t="s">
        <v>6408</v>
      </c>
      <c r="M1394" t="str" cm="1">
        <f t="array" ref="M1394">INDEX('Org List'!$A$2:$C$1005,MATCH(Consolidated!I1394&amp;Consolidated!J1394,'Org List'!$A$2:$A$1005&amp;'Org List'!$B$2:$B$1005,0),3)</f>
        <v>NGOs: National</v>
      </c>
    </row>
    <row r="1395" spans="1:13" x14ac:dyDescent="0.25">
      <c r="A1395" t="s">
        <v>2783</v>
      </c>
      <c r="B1395" t="s">
        <v>1266</v>
      </c>
      <c r="C1395" t="s">
        <v>2968</v>
      </c>
      <c r="D1395" t="s">
        <v>30</v>
      </c>
      <c r="E1395" t="s">
        <v>150</v>
      </c>
      <c r="F1395">
        <v>4500302956</v>
      </c>
      <c r="G1395" t="s">
        <v>2969</v>
      </c>
      <c r="H1395" t="s">
        <v>2789</v>
      </c>
      <c r="I1395" t="s">
        <v>1981</v>
      </c>
      <c r="J1395" t="s">
        <v>150</v>
      </c>
      <c r="K1395" s="2">
        <v>88387</v>
      </c>
      <c r="L1395" t="s">
        <v>6408</v>
      </c>
      <c r="M1395" t="str" cm="1">
        <f t="array" ref="M1395">INDEX('Org List'!$A$2:$C$1005,MATCH(Consolidated!I1395&amp;Consolidated!J1395,'Org List'!$A$2:$A$1005&amp;'Org List'!$B$2:$B$1005,0),3)</f>
        <v>NGOs: International</v>
      </c>
    </row>
    <row r="1396" spans="1:13" x14ac:dyDescent="0.25">
      <c r="A1396" t="s">
        <v>2783</v>
      </c>
      <c r="B1396" t="s">
        <v>811</v>
      </c>
      <c r="C1396" t="s">
        <v>2970</v>
      </c>
      <c r="D1396" t="s">
        <v>30</v>
      </c>
      <c r="E1396" t="s">
        <v>123</v>
      </c>
      <c r="F1396">
        <v>4500306949</v>
      </c>
      <c r="G1396" t="s">
        <v>2200</v>
      </c>
      <c r="H1396" t="s">
        <v>2789</v>
      </c>
      <c r="I1396" t="s">
        <v>1280</v>
      </c>
      <c r="J1396" t="s">
        <v>123</v>
      </c>
      <c r="K1396" s="2">
        <v>1325723</v>
      </c>
      <c r="L1396" t="s">
        <v>6408</v>
      </c>
      <c r="M1396" t="str" cm="1">
        <f t="array" ref="M1396">INDEX('Org List'!$A$2:$C$1005,MATCH(Consolidated!I1396&amp;Consolidated!J1396,'Org List'!$A$2:$A$1005&amp;'Org List'!$B$2:$B$1005,0),3)</f>
        <v>NGOs: International</v>
      </c>
    </row>
    <row r="1397" spans="1:13" x14ac:dyDescent="0.25">
      <c r="A1397" t="s">
        <v>2783</v>
      </c>
      <c r="B1397" t="s">
        <v>811</v>
      </c>
      <c r="C1397" t="s">
        <v>2970</v>
      </c>
      <c r="D1397" t="s">
        <v>30</v>
      </c>
      <c r="E1397" t="s">
        <v>123</v>
      </c>
      <c r="F1397">
        <v>4500308201</v>
      </c>
      <c r="G1397" t="s">
        <v>2200</v>
      </c>
      <c r="H1397" t="s">
        <v>2789</v>
      </c>
      <c r="I1397" t="s">
        <v>366</v>
      </c>
      <c r="J1397" t="s">
        <v>123</v>
      </c>
      <c r="K1397" s="2">
        <v>1543944</v>
      </c>
      <c r="L1397" t="s">
        <v>6408</v>
      </c>
      <c r="M1397" t="str" cm="1">
        <f t="array" ref="M1397">INDEX('Org List'!$A$2:$C$1005,MATCH(Consolidated!I1397&amp;Consolidated!J1397,'Org List'!$A$2:$A$1005&amp;'Org List'!$B$2:$B$1005,0),3)</f>
        <v>NGOs: National</v>
      </c>
    </row>
    <row r="1398" spans="1:13" x14ac:dyDescent="0.25">
      <c r="A1398" t="s">
        <v>2783</v>
      </c>
      <c r="B1398" t="s">
        <v>811</v>
      </c>
      <c r="C1398" t="s">
        <v>2970</v>
      </c>
      <c r="D1398" t="s">
        <v>30</v>
      </c>
      <c r="E1398" t="s">
        <v>123</v>
      </c>
      <c r="F1398">
        <v>4500316287</v>
      </c>
      <c r="G1398" t="s">
        <v>2200</v>
      </c>
      <c r="H1398" t="s">
        <v>2789</v>
      </c>
      <c r="I1398" t="s">
        <v>2971</v>
      </c>
      <c r="J1398" t="s">
        <v>996</v>
      </c>
      <c r="K1398" s="2">
        <v>29361</v>
      </c>
      <c r="L1398" t="s">
        <v>6408</v>
      </c>
      <c r="M1398" t="str" cm="1">
        <f t="array" ref="M1398">INDEX('Org List'!$A$2:$C$1005,MATCH(Consolidated!I1398&amp;Consolidated!J1398,'Org List'!$A$2:$A$1005&amp;'Org List'!$B$2:$B$1005,0),3)</f>
        <v>NGOs: International</v>
      </c>
    </row>
    <row r="1399" spans="1:13" x14ac:dyDescent="0.25">
      <c r="A1399" t="s">
        <v>2783</v>
      </c>
      <c r="B1399" t="s">
        <v>811</v>
      </c>
      <c r="C1399" t="s">
        <v>2970</v>
      </c>
      <c r="D1399" t="s">
        <v>30</v>
      </c>
      <c r="E1399" t="s">
        <v>123</v>
      </c>
      <c r="F1399">
        <v>4500318611</v>
      </c>
      <c r="G1399" t="s">
        <v>2200</v>
      </c>
      <c r="H1399" t="s">
        <v>2789</v>
      </c>
      <c r="I1399" t="s">
        <v>1280</v>
      </c>
      <c r="J1399" t="s">
        <v>123</v>
      </c>
      <c r="K1399" s="2">
        <v>20967</v>
      </c>
      <c r="L1399" t="s">
        <v>6408</v>
      </c>
      <c r="M1399" t="str" cm="1">
        <f t="array" ref="M1399">INDEX('Org List'!$A$2:$C$1005,MATCH(Consolidated!I1399&amp;Consolidated!J1399,'Org List'!$A$2:$A$1005&amp;'Org List'!$B$2:$B$1005,0),3)</f>
        <v>NGOs: International</v>
      </c>
    </row>
    <row r="1400" spans="1:13" x14ac:dyDescent="0.25">
      <c r="A1400" t="s">
        <v>2783</v>
      </c>
      <c r="B1400" t="s">
        <v>2377</v>
      </c>
      <c r="C1400" t="s">
        <v>2972</v>
      </c>
      <c r="D1400" t="s">
        <v>30</v>
      </c>
      <c r="E1400" t="s">
        <v>123</v>
      </c>
      <c r="F1400">
        <v>4500322671</v>
      </c>
      <c r="G1400" t="s">
        <v>2200</v>
      </c>
      <c r="H1400" t="s">
        <v>2789</v>
      </c>
      <c r="I1400" t="s">
        <v>368</v>
      </c>
      <c r="J1400" t="s">
        <v>123</v>
      </c>
      <c r="K1400" s="2">
        <v>37179</v>
      </c>
      <c r="L1400" t="s">
        <v>6408</v>
      </c>
      <c r="M1400" t="str" cm="1">
        <f t="array" ref="M1400">INDEX('Org List'!$A$2:$C$1005,MATCH(Consolidated!I1400&amp;Consolidated!J1400,'Org List'!$A$2:$A$1005&amp;'Org List'!$B$2:$B$1005,0),3)</f>
        <v>NGOs: National</v>
      </c>
    </row>
    <row r="1401" spans="1:13" x14ac:dyDescent="0.25">
      <c r="A1401" t="s">
        <v>2783</v>
      </c>
      <c r="B1401" t="s">
        <v>1268</v>
      </c>
      <c r="C1401" t="s">
        <v>2973</v>
      </c>
      <c r="D1401" t="s">
        <v>30</v>
      </c>
      <c r="E1401" t="s">
        <v>175</v>
      </c>
      <c r="F1401">
        <v>4500308311</v>
      </c>
      <c r="G1401" t="s">
        <v>2200</v>
      </c>
      <c r="H1401" t="s">
        <v>2789</v>
      </c>
      <c r="I1401" t="s">
        <v>186</v>
      </c>
      <c r="J1401" t="s">
        <v>175</v>
      </c>
      <c r="K1401" s="2">
        <v>140186</v>
      </c>
      <c r="L1401" t="s">
        <v>6408</v>
      </c>
      <c r="M1401" t="str" cm="1">
        <f t="array" ref="M1401">INDEX('Org List'!$A$2:$C$1005,MATCH(Consolidated!I1401&amp;Consolidated!J1401,'Org List'!$A$2:$A$1005&amp;'Org List'!$B$2:$B$1005,0),3)</f>
        <v>NGOs: National</v>
      </c>
    </row>
    <row r="1402" spans="1:13" x14ac:dyDescent="0.25">
      <c r="A1402" t="s">
        <v>2783</v>
      </c>
      <c r="B1402" t="s">
        <v>1268</v>
      </c>
      <c r="C1402" t="s">
        <v>2973</v>
      </c>
      <c r="D1402" t="s">
        <v>30</v>
      </c>
      <c r="E1402" t="s">
        <v>175</v>
      </c>
      <c r="F1402">
        <v>4500308393</v>
      </c>
      <c r="G1402" t="s">
        <v>2200</v>
      </c>
      <c r="H1402" t="s">
        <v>2789</v>
      </c>
      <c r="I1402" t="s">
        <v>233</v>
      </c>
      <c r="J1402" t="s">
        <v>175</v>
      </c>
      <c r="K1402" s="2">
        <v>208000</v>
      </c>
      <c r="L1402" t="s">
        <v>6408</v>
      </c>
      <c r="M1402" t="str" cm="1">
        <f t="array" ref="M1402">INDEX('Org List'!$A$2:$C$1005,MATCH(Consolidated!I1402&amp;Consolidated!J1402,'Org List'!$A$2:$A$1005&amp;'Org List'!$B$2:$B$1005,0),3)</f>
        <v>NGOs: National</v>
      </c>
    </row>
    <row r="1403" spans="1:13" x14ac:dyDescent="0.25">
      <c r="A1403" t="s">
        <v>2783</v>
      </c>
      <c r="B1403" t="s">
        <v>1268</v>
      </c>
      <c r="C1403" t="s">
        <v>2973</v>
      </c>
      <c r="D1403" t="s">
        <v>30</v>
      </c>
      <c r="E1403" t="s">
        <v>175</v>
      </c>
      <c r="F1403">
        <v>4500308433</v>
      </c>
      <c r="G1403" t="s">
        <v>2200</v>
      </c>
      <c r="H1403" t="s">
        <v>2789</v>
      </c>
      <c r="I1403" t="s">
        <v>2974</v>
      </c>
      <c r="J1403" t="s">
        <v>175</v>
      </c>
      <c r="K1403" s="2">
        <v>305892</v>
      </c>
      <c r="L1403" t="s">
        <v>6408</v>
      </c>
      <c r="M1403" t="str" cm="1">
        <f t="array" ref="M1403">INDEX('Org List'!$A$2:$C$1005,MATCH(Consolidated!I1403&amp;Consolidated!J1403,'Org List'!$A$2:$A$1005&amp;'Org List'!$B$2:$B$1005,0),3)</f>
        <v>NGOs: National</v>
      </c>
    </row>
    <row r="1404" spans="1:13" x14ac:dyDescent="0.25">
      <c r="A1404" t="s">
        <v>2783</v>
      </c>
      <c r="B1404" t="s">
        <v>1268</v>
      </c>
      <c r="C1404" t="s">
        <v>2973</v>
      </c>
      <c r="D1404" t="s">
        <v>30</v>
      </c>
      <c r="E1404" t="s">
        <v>175</v>
      </c>
      <c r="F1404">
        <v>4500314595</v>
      </c>
      <c r="G1404" t="s">
        <v>2975</v>
      </c>
      <c r="H1404" t="s">
        <v>2789</v>
      </c>
      <c r="I1404" t="s">
        <v>390</v>
      </c>
      <c r="J1404" t="s">
        <v>175</v>
      </c>
      <c r="K1404" s="2">
        <v>225238</v>
      </c>
      <c r="L1404" t="s">
        <v>6408</v>
      </c>
      <c r="M1404" t="str" cm="1">
        <f t="array" ref="M1404">INDEX('Org List'!$A$2:$C$1005,MATCH(Consolidated!I1404&amp;Consolidated!J1404,'Org List'!$A$2:$A$1005&amp;'Org List'!$B$2:$B$1005,0),3)</f>
        <v>NGOs: Local</v>
      </c>
    </row>
    <row r="1405" spans="1:13" x14ac:dyDescent="0.25">
      <c r="A1405" t="s">
        <v>2783</v>
      </c>
      <c r="B1405" t="s">
        <v>1268</v>
      </c>
      <c r="C1405" t="s">
        <v>2973</v>
      </c>
      <c r="D1405" t="s">
        <v>30</v>
      </c>
      <c r="E1405" t="s">
        <v>175</v>
      </c>
      <c r="F1405">
        <v>4500314606</v>
      </c>
      <c r="G1405" t="s">
        <v>2976</v>
      </c>
      <c r="H1405" t="s">
        <v>2789</v>
      </c>
      <c r="I1405" t="s">
        <v>182</v>
      </c>
      <c r="J1405" t="s">
        <v>175</v>
      </c>
      <c r="K1405" s="2">
        <v>412892</v>
      </c>
      <c r="L1405" t="s">
        <v>6408</v>
      </c>
      <c r="M1405" t="str" cm="1">
        <f t="array" ref="M1405">INDEX('Org List'!$A$2:$C$1005,MATCH(Consolidated!I1405&amp;Consolidated!J1405,'Org List'!$A$2:$A$1005&amp;'Org List'!$B$2:$B$1005,0),3)</f>
        <v>NGOs: Local</v>
      </c>
    </row>
    <row r="1406" spans="1:13" x14ac:dyDescent="0.25">
      <c r="A1406" t="s">
        <v>2783</v>
      </c>
      <c r="B1406" t="s">
        <v>1268</v>
      </c>
      <c r="C1406" t="s">
        <v>2973</v>
      </c>
      <c r="D1406" t="s">
        <v>30</v>
      </c>
      <c r="E1406" t="s">
        <v>175</v>
      </c>
      <c r="F1406">
        <v>4500314618</v>
      </c>
      <c r="G1406" t="s">
        <v>2200</v>
      </c>
      <c r="H1406" t="s">
        <v>2789</v>
      </c>
      <c r="I1406" t="s">
        <v>185</v>
      </c>
      <c r="J1406" t="s">
        <v>175</v>
      </c>
      <c r="K1406" s="2">
        <v>69333</v>
      </c>
      <c r="L1406" t="s">
        <v>6408</v>
      </c>
      <c r="M1406" t="str" cm="1">
        <f t="array" ref="M1406">INDEX('Org List'!$A$2:$C$1005,MATCH(Consolidated!I1406&amp;Consolidated!J1406,'Org List'!$A$2:$A$1005&amp;'Org List'!$B$2:$B$1005,0),3)</f>
        <v>NGOs: National</v>
      </c>
    </row>
    <row r="1407" spans="1:13" x14ac:dyDescent="0.25">
      <c r="A1407" t="s">
        <v>2783</v>
      </c>
      <c r="B1407" t="s">
        <v>1273</v>
      </c>
      <c r="C1407" t="s">
        <v>2977</v>
      </c>
      <c r="D1407" t="s">
        <v>30</v>
      </c>
      <c r="E1407" t="s">
        <v>261</v>
      </c>
      <c r="F1407">
        <v>4500303091</v>
      </c>
      <c r="G1407" t="s">
        <v>2978</v>
      </c>
      <c r="H1407" t="s">
        <v>2789</v>
      </c>
      <c r="I1407" t="s">
        <v>897</v>
      </c>
      <c r="J1407" t="s">
        <v>261</v>
      </c>
      <c r="K1407" s="2">
        <v>53955</v>
      </c>
      <c r="L1407" t="s">
        <v>6408</v>
      </c>
      <c r="M1407" t="str" cm="1">
        <f t="array" ref="M1407">INDEX('Org List'!$A$2:$C$1005,MATCH(Consolidated!I1407&amp;Consolidated!J1407,'Org List'!$A$2:$A$1005&amp;'Org List'!$B$2:$B$1005,0),3)</f>
        <v>NGOs: International</v>
      </c>
    </row>
    <row r="1408" spans="1:13" x14ac:dyDescent="0.25">
      <c r="A1408" t="s">
        <v>2783</v>
      </c>
      <c r="B1408" t="s">
        <v>1273</v>
      </c>
      <c r="C1408" t="s">
        <v>2977</v>
      </c>
      <c r="D1408" t="s">
        <v>30</v>
      </c>
      <c r="E1408" t="s">
        <v>261</v>
      </c>
      <c r="F1408">
        <v>4500303904</v>
      </c>
      <c r="G1408" t="s">
        <v>2979</v>
      </c>
      <c r="H1408" t="s">
        <v>2789</v>
      </c>
      <c r="I1408" t="s">
        <v>2980</v>
      </c>
      <c r="J1408" t="s">
        <v>261</v>
      </c>
      <c r="K1408" s="2">
        <v>79726</v>
      </c>
      <c r="L1408" t="s">
        <v>6408</v>
      </c>
      <c r="M1408" t="str" cm="1">
        <f t="array" ref="M1408">INDEX('Org List'!$A$2:$C$1005,MATCH(Consolidated!I1408&amp;Consolidated!J1408,'Org List'!$A$2:$A$1005&amp;'Org List'!$B$2:$B$1005,0),3)</f>
        <v>NGOs: Local</v>
      </c>
    </row>
    <row r="1409" spans="1:13" x14ac:dyDescent="0.25">
      <c r="A1409" t="s">
        <v>2783</v>
      </c>
      <c r="B1409" t="s">
        <v>1273</v>
      </c>
      <c r="C1409" t="s">
        <v>2977</v>
      </c>
      <c r="D1409" t="s">
        <v>30</v>
      </c>
      <c r="E1409" t="s">
        <v>261</v>
      </c>
      <c r="F1409">
        <v>4500305227</v>
      </c>
      <c r="G1409" t="s">
        <v>2200</v>
      </c>
      <c r="H1409" t="s">
        <v>2789</v>
      </c>
      <c r="I1409" t="s">
        <v>2981</v>
      </c>
      <c r="J1409" t="s">
        <v>261</v>
      </c>
      <c r="K1409" s="2">
        <v>138442</v>
      </c>
      <c r="L1409" t="s">
        <v>6408</v>
      </c>
      <c r="M1409" t="str" cm="1">
        <f t="array" ref="M1409">INDEX('Org List'!$A$2:$C$1005,MATCH(Consolidated!I1409&amp;Consolidated!J1409,'Org List'!$A$2:$A$1005&amp;'Org List'!$B$2:$B$1005,0),3)</f>
        <v>Red Cross: National</v>
      </c>
    </row>
    <row r="1410" spans="1:13" x14ac:dyDescent="0.25">
      <c r="A1410" t="s">
        <v>2783</v>
      </c>
      <c r="B1410" t="s">
        <v>1273</v>
      </c>
      <c r="C1410" t="s">
        <v>2977</v>
      </c>
      <c r="D1410" t="s">
        <v>30</v>
      </c>
      <c r="E1410" t="s">
        <v>261</v>
      </c>
      <c r="F1410">
        <v>4500306463</v>
      </c>
      <c r="G1410" t="s">
        <v>2982</v>
      </c>
      <c r="H1410" t="s">
        <v>2789</v>
      </c>
      <c r="I1410" t="s">
        <v>2981</v>
      </c>
      <c r="J1410" t="s">
        <v>261</v>
      </c>
      <c r="K1410" s="2">
        <v>78660</v>
      </c>
      <c r="L1410" t="s">
        <v>6408</v>
      </c>
      <c r="M1410" t="str" cm="1">
        <f t="array" ref="M1410">INDEX('Org List'!$A$2:$C$1005,MATCH(Consolidated!I1410&amp;Consolidated!J1410,'Org List'!$A$2:$A$1005&amp;'Org List'!$B$2:$B$1005,0),3)</f>
        <v>Red Cross: National</v>
      </c>
    </row>
    <row r="1411" spans="1:13" x14ac:dyDescent="0.25">
      <c r="A1411" t="s">
        <v>2783</v>
      </c>
      <c r="B1411" t="s">
        <v>1273</v>
      </c>
      <c r="C1411" t="s">
        <v>2977</v>
      </c>
      <c r="D1411" t="s">
        <v>30</v>
      </c>
      <c r="E1411" t="s">
        <v>261</v>
      </c>
      <c r="F1411">
        <v>4500318109</v>
      </c>
      <c r="G1411" t="s">
        <v>2983</v>
      </c>
      <c r="H1411" t="s">
        <v>2789</v>
      </c>
      <c r="I1411" t="s">
        <v>2984</v>
      </c>
      <c r="J1411" t="s">
        <v>261</v>
      </c>
      <c r="K1411" s="2">
        <v>462687</v>
      </c>
      <c r="L1411" t="s">
        <v>6408</v>
      </c>
      <c r="M1411" t="str" cm="1">
        <f t="array" ref="M1411">INDEX('Org List'!$A$2:$C$1005,MATCH(Consolidated!I1411&amp;Consolidated!J1411,'Org List'!$A$2:$A$1005&amp;'Org List'!$B$2:$B$1005,0),3)</f>
        <v>NGOs: National</v>
      </c>
    </row>
    <row r="1412" spans="1:13" x14ac:dyDescent="0.25">
      <c r="A1412" t="s">
        <v>2783</v>
      </c>
      <c r="B1412" t="s">
        <v>1273</v>
      </c>
      <c r="C1412" t="s">
        <v>2977</v>
      </c>
      <c r="D1412" t="s">
        <v>30</v>
      </c>
      <c r="E1412" t="s">
        <v>261</v>
      </c>
      <c r="F1412">
        <v>4500323419</v>
      </c>
      <c r="G1412" t="s">
        <v>2985</v>
      </c>
      <c r="H1412" t="s">
        <v>2789</v>
      </c>
      <c r="I1412" t="s">
        <v>2986</v>
      </c>
      <c r="J1412" t="s">
        <v>261</v>
      </c>
      <c r="K1412" s="2">
        <v>54470</v>
      </c>
      <c r="L1412" t="s">
        <v>6408</v>
      </c>
      <c r="M1412" t="str" cm="1">
        <f t="array" ref="M1412">INDEX('Org List'!$A$2:$C$1005,MATCH(Consolidated!I1412&amp;Consolidated!J1412,'Org List'!$A$2:$A$1005&amp;'Org List'!$B$2:$B$1005,0),3)</f>
        <v>NGOs: National</v>
      </c>
    </row>
    <row r="1413" spans="1:13" x14ac:dyDescent="0.25">
      <c r="A1413" t="s">
        <v>2783</v>
      </c>
      <c r="B1413" t="s">
        <v>1275</v>
      </c>
      <c r="C1413" t="s">
        <v>2987</v>
      </c>
      <c r="D1413" t="s">
        <v>30</v>
      </c>
      <c r="E1413" t="s">
        <v>205</v>
      </c>
      <c r="F1413">
        <v>4500310560</v>
      </c>
      <c r="G1413" t="s">
        <v>2988</v>
      </c>
      <c r="H1413" t="s">
        <v>2789</v>
      </c>
      <c r="I1413" t="s">
        <v>869</v>
      </c>
      <c r="J1413" t="s">
        <v>205</v>
      </c>
      <c r="K1413" s="2">
        <v>508722</v>
      </c>
      <c r="L1413" t="s">
        <v>6408</v>
      </c>
      <c r="M1413" t="str" cm="1">
        <f t="array" ref="M1413">INDEX('Org List'!$A$2:$C$1005,MATCH(Consolidated!I1413&amp;Consolidated!J1413,'Org List'!$A$2:$A$1005&amp;'Org List'!$B$2:$B$1005,0),3)</f>
        <v>NGOs: International</v>
      </c>
    </row>
    <row r="1414" spans="1:13" x14ac:dyDescent="0.25">
      <c r="A1414" t="s">
        <v>2783</v>
      </c>
      <c r="B1414" t="s">
        <v>1275</v>
      </c>
      <c r="C1414" t="s">
        <v>2987</v>
      </c>
      <c r="D1414" t="s">
        <v>30</v>
      </c>
      <c r="E1414" t="s">
        <v>205</v>
      </c>
      <c r="F1414">
        <v>4500312960</v>
      </c>
      <c r="G1414" t="s">
        <v>2989</v>
      </c>
      <c r="H1414" t="s">
        <v>2789</v>
      </c>
      <c r="I1414" t="s">
        <v>2990</v>
      </c>
      <c r="J1414" t="s">
        <v>205</v>
      </c>
      <c r="K1414" s="2">
        <v>12495</v>
      </c>
      <c r="L1414" t="s">
        <v>6408</v>
      </c>
      <c r="M1414" t="str" cm="1">
        <f t="array" ref="M1414">INDEX('Org List'!$A$2:$C$1005,MATCH(Consolidated!I1414&amp;Consolidated!J1414,'Org List'!$A$2:$A$1005&amp;'Org List'!$B$2:$B$1005,0),3)</f>
        <v>NGOs: National</v>
      </c>
    </row>
    <row r="1415" spans="1:13" x14ac:dyDescent="0.25">
      <c r="A1415" t="s">
        <v>2783</v>
      </c>
      <c r="B1415" t="s">
        <v>1275</v>
      </c>
      <c r="C1415" t="s">
        <v>2987</v>
      </c>
      <c r="D1415" t="s">
        <v>30</v>
      </c>
      <c r="E1415" t="s">
        <v>205</v>
      </c>
      <c r="F1415">
        <v>4500314104</v>
      </c>
      <c r="G1415" t="s">
        <v>2991</v>
      </c>
      <c r="H1415" t="s">
        <v>2789</v>
      </c>
      <c r="I1415" t="s">
        <v>875</v>
      </c>
      <c r="J1415" t="s">
        <v>205</v>
      </c>
      <c r="K1415" s="2">
        <v>180000</v>
      </c>
      <c r="L1415" t="s">
        <v>6408</v>
      </c>
      <c r="M1415" t="str" cm="1">
        <f t="array" ref="M1415">INDEX('Org List'!$A$2:$C$1005,MATCH(Consolidated!I1415&amp;Consolidated!J1415,'Org List'!$A$2:$A$1005&amp;'Org List'!$B$2:$B$1005,0),3)</f>
        <v>NGOs: National</v>
      </c>
    </row>
    <row r="1416" spans="1:13" x14ac:dyDescent="0.25">
      <c r="A1416" t="s">
        <v>2783</v>
      </c>
      <c r="B1416" t="s">
        <v>1275</v>
      </c>
      <c r="C1416" t="s">
        <v>2987</v>
      </c>
      <c r="D1416" t="s">
        <v>30</v>
      </c>
      <c r="E1416" t="s">
        <v>205</v>
      </c>
      <c r="F1416">
        <v>4500314112</v>
      </c>
      <c r="G1416" t="s">
        <v>2992</v>
      </c>
      <c r="H1416" t="s">
        <v>2789</v>
      </c>
      <c r="I1416" t="s">
        <v>207</v>
      </c>
      <c r="J1416" t="s">
        <v>205</v>
      </c>
      <c r="K1416" s="2">
        <v>150000</v>
      </c>
      <c r="L1416" t="s">
        <v>6408</v>
      </c>
      <c r="M1416" t="str" cm="1">
        <f t="array" ref="M1416">INDEX('Org List'!$A$2:$C$1005,MATCH(Consolidated!I1416&amp;Consolidated!J1416,'Org List'!$A$2:$A$1005&amp;'Org List'!$B$2:$B$1005,0),3)</f>
        <v>NGOs: National</v>
      </c>
    </row>
    <row r="1417" spans="1:13" x14ac:dyDescent="0.25">
      <c r="A1417" t="s">
        <v>2783</v>
      </c>
      <c r="B1417" t="s">
        <v>1275</v>
      </c>
      <c r="C1417" t="s">
        <v>2987</v>
      </c>
      <c r="D1417" t="s">
        <v>30</v>
      </c>
      <c r="E1417" t="s">
        <v>205</v>
      </c>
      <c r="F1417">
        <v>4500314114</v>
      </c>
      <c r="G1417" t="s">
        <v>2993</v>
      </c>
      <c r="H1417" t="s">
        <v>2789</v>
      </c>
      <c r="I1417" t="s">
        <v>208</v>
      </c>
      <c r="J1417" t="s">
        <v>205</v>
      </c>
      <c r="K1417" s="2">
        <v>115000</v>
      </c>
      <c r="L1417" t="s">
        <v>6408</v>
      </c>
      <c r="M1417" t="str" cm="1">
        <f t="array" ref="M1417">INDEX('Org List'!$A$2:$C$1005,MATCH(Consolidated!I1417&amp;Consolidated!J1417,'Org List'!$A$2:$A$1005&amp;'Org List'!$B$2:$B$1005,0),3)</f>
        <v>NGOs: National</v>
      </c>
    </row>
    <row r="1418" spans="1:13" x14ac:dyDescent="0.25">
      <c r="A1418" t="s">
        <v>2783</v>
      </c>
      <c r="B1418" t="s">
        <v>1275</v>
      </c>
      <c r="C1418" t="s">
        <v>2987</v>
      </c>
      <c r="D1418" t="s">
        <v>30</v>
      </c>
      <c r="E1418" t="s">
        <v>205</v>
      </c>
      <c r="F1418">
        <v>4500314116</v>
      </c>
      <c r="G1418" t="s">
        <v>2994</v>
      </c>
      <c r="H1418" t="s">
        <v>2789</v>
      </c>
      <c r="I1418" t="s">
        <v>874</v>
      </c>
      <c r="J1418" t="s">
        <v>205</v>
      </c>
      <c r="K1418" s="2">
        <v>80000</v>
      </c>
      <c r="L1418" t="s">
        <v>6408</v>
      </c>
      <c r="M1418" t="str" cm="1">
        <f t="array" ref="M1418">INDEX('Org List'!$A$2:$C$1005,MATCH(Consolidated!I1418&amp;Consolidated!J1418,'Org List'!$A$2:$A$1005&amp;'Org List'!$B$2:$B$1005,0),3)</f>
        <v>NGOs: National</v>
      </c>
    </row>
    <row r="1419" spans="1:13" x14ac:dyDescent="0.25">
      <c r="A1419" t="s">
        <v>2783</v>
      </c>
      <c r="B1419" t="s">
        <v>1275</v>
      </c>
      <c r="C1419" t="s">
        <v>2987</v>
      </c>
      <c r="D1419" t="s">
        <v>30</v>
      </c>
      <c r="E1419" t="s">
        <v>205</v>
      </c>
      <c r="F1419">
        <v>4500314118</v>
      </c>
      <c r="G1419" t="s">
        <v>2995</v>
      </c>
      <c r="H1419" t="s">
        <v>2789</v>
      </c>
      <c r="I1419" t="s">
        <v>2996</v>
      </c>
      <c r="J1419" t="s">
        <v>205</v>
      </c>
      <c r="K1419" s="2">
        <v>110000</v>
      </c>
      <c r="L1419" t="s">
        <v>6408</v>
      </c>
      <c r="M1419" t="str" cm="1">
        <f t="array" ref="M1419">INDEX('Org List'!$A$2:$C$1005,MATCH(Consolidated!I1419&amp;Consolidated!J1419,'Org List'!$A$2:$A$1005&amp;'Org List'!$B$2:$B$1005,0),3)</f>
        <v>NGOs: National</v>
      </c>
    </row>
    <row r="1420" spans="1:13" x14ac:dyDescent="0.25">
      <c r="A1420" t="s">
        <v>2783</v>
      </c>
      <c r="B1420" t="s">
        <v>1275</v>
      </c>
      <c r="C1420" t="s">
        <v>2987</v>
      </c>
      <c r="D1420" t="s">
        <v>30</v>
      </c>
      <c r="E1420" t="s">
        <v>205</v>
      </c>
      <c r="F1420">
        <v>4500314125</v>
      </c>
      <c r="G1420" t="s">
        <v>2997</v>
      </c>
      <c r="H1420" t="s">
        <v>2789</v>
      </c>
      <c r="I1420" t="s">
        <v>2998</v>
      </c>
      <c r="J1420" t="s">
        <v>205</v>
      </c>
      <c r="K1420" s="2">
        <v>24000</v>
      </c>
      <c r="L1420" t="s">
        <v>6408</v>
      </c>
      <c r="M1420" t="str" cm="1">
        <f t="array" ref="M1420">INDEX('Org List'!$A$2:$C$1005,MATCH(Consolidated!I1420&amp;Consolidated!J1420,'Org List'!$A$2:$A$1005&amp;'Org List'!$B$2:$B$1005,0),3)</f>
        <v>NGOs: National</v>
      </c>
    </row>
    <row r="1421" spans="1:13" x14ac:dyDescent="0.25">
      <c r="A1421" t="s">
        <v>2783</v>
      </c>
      <c r="B1421" t="s">
        <v>1275</v>
      </c>
      <c r="C1421" t="s">
        <v>2987</v>
      </c>
      <c r="D1421" t="s">
        <v>30</v>
      </c>
      <c r="E1421" t="s">
        <v>205</v>
      </c>
      <c r="F1421">
        <v>4500322407</v>
      </c>
      <c r="G1421" t="s">
        <v>2999</v>
      </c>
      <c r="H1421" t="s">
        <v>2789</v>
      </c>
      <c r="I1421" t="s">
        <v>1986</v>
      </c>
      <c r="J1421" t="s">
        <v>205</v>
      </c>
      <c r="K1421" s="2">
        <v>50000</v>
      </c>
      <c r="L1421" t="s">
        <v>6408</v>
      </c>
      <c r="M1421" t="str" cm="1">
        <f t="array" ref="M1421">INDEX('Org List'!$A$2:$C$1005,MATCH(Consolidated!I1421&amp;Consolidated!J1421,'Org List'!$A$2:$A$1005&amp;'Org List'!$B$2:$B$1005,0),3)</f>
        <v>NGOs: National</v>
      </c>
    </row>
    <row r="1422" spans="1:13" x14ac:dyDescent="0.25">
      <c r="A1422" t="s">
        <v>2783</v>
      </c>
      <c r="B1422" t="s">
        <v>1275</v>
      </c>
      <c r="C1422" t="s">
        <v>2987</v>
      </c>
      <c r="D1422" t="s">
        <v>30</v>
      </c>
      <c r="E1422" t="s">
        <v>210</v>
      </c>
      <c r="F1422">
        <v>4500307686</v>
      </c>
      <c r="G1422" t="s">
        <v>3000</v>
      </c>
      <c r="H1422" t="s">
        <v>2789</v>
      </c>
      <c r="I1422" t="s">
        <v>213</v>
      </c>
      <c r="J1422" t="s">
        <v>210</v>
      </c>
      <c r="K1422" s="2">
        <v>296012</v>
      </c>
      <c r="L1422" t="s">
        <v>6408</v>
      </c>
      <c r="M1422" t="str" cm="1">
        <f t="array" ref="M1422">INDEX('Org List'!$A$2:$C$1005,MATCH(Consolidated!I1422&amp;Consolidated!J1422,'Org List'!$A$2:$A$1005&amp;'Org List'!$B$2:$B$1005,0),3)</f>
        <v>Governments: National</v>
      </c>
    </row>
    <row r="1423" spans="1:13" x14ac:dyDescent="0.25">
      <c r="A1423" t="s">
        <v>2783</v>
      </c>
      <c r="B1423" t="s">
        <v>1275</v>
      </c>
      <c r="C1423" t="s">
        <v>2987</v>
      </c>
      <c r="D1423" t="s">
        <v>30</v>
      </c>
      <c r="E1423" t="s">
        <v>210</v>
      </c>
      <c r="F1423">
        <v>4500317011</v>
      </c>
      <c r="G1423" t="s">
        <v>3001</v>
      </c>
      <c r="H1423" t="s">
        <v>2789</v>
      </c>
      <c r="I1423" t="s">
        <v>468</v>
      </c>
      <c r="J1423" t="s">
        <v>210</v>
      </c>
      <c r="K1423" s="2">
        <v>169853</v>
      </c>
      <c r="L1423" t="s">
        <v>6408</v>
      </c>
      <c r="M1423" t="str" cm="1">
        <f t="array" ref="M1423">INDEX('Org List'!$A$2:$C$1005,MATCH(Consolidated!I1423&amp;Consolidated!J1423,'Org List'!$A$2:$A$1005&amp;'Org List'!$B$2:$B$1005,0),3)</f>
        <v>NGOs: National</v>
      </c>
    </row>
    <row r="1424" spans="1:13" x14ac:dyDescent="0.25">
      <c r="A1424" t="s">
        <v>2783</v>
      </c>
      <c r="B1424" t="s">
        <v>1275</v>
      </c>
      <c r="C1424" t="s">
        <v>2987</v>
      </c>
      <c r="D1424" t="s">
        <v>30</v>
      </c>
      <c r="E1424" t="s">
        <v>210</v>
      </c>
      <c r="F1424">
        <v>4500325047</v>
      </c>
      <c r="G1424" t="s">
        <v>2357</v>
      </c>
      <c r="H1424" t="s">
        <v>2789</v>
      </c>
      <c r="I1424" t="s">
        <v>211</v>
      </c>
      <c r="J1424" t="s">
        <v>210</v>
      </c>
      <c r="K1424" s="2">
        <v>101906</v>
      </c>
      <c r="L1424" t="s">
        <v>6408</v>
      </c>
      <c r="M1424" t="str" cm="1">
        <f t="array" ref="M1424">INDEX('Org List'!$A$2:$C$1005,MATCH(Consolidated!I1424&amp;Consolidated!J1424,'Org List'!$A$2:$A$1005&amp;'Org List'!$B$2:$B$1005,0),3)</f>
        <v>NGOs: International</v>
      </c>
    </row>
    <row r="1425" spans="1:13" x14ac:dyDescent="0.25">
      <c r="A1425" t="s">
        <v>2783</v>
      </c>
      <c r="B1425" t="s">
        <v>3002</v>
      </c>
      <c r="C1425" t="s">
        <v>3003</v>
      </c>
      <c r="D1425" t="s">
        <v>30</v>
      </c>
      <c r="E1425" t="s">
        <v>123</v>
      </c>
      <c r="F1425">
        <v>4500319518</v>
      </c>
      <c r="G1425" t="s">
        <v>2200</v>
      </c>
      <c r="H1425" t="s">
        <v>2789</v>
      </c>
      <c r="I1425" t="s">
        <v>1980</v>
      </c>
      <c r="J1425" t="s">
        <v>123</v>
      </c>
      <c r="K1425" s="2">
        <v>2513364</v>
      </c>
      <c r="L1425" t="s">
        <v>6408</v>
      </c>
      <c r="M1425" t="str" cm="1">
        <f t="array" ref="M1425">INDEX('Org List'!$A$2:$C$1005,MATCH(Consolidated!I1425&amp;Consolidated!J1425,'Org List'!$A$2:$A$1005&amp;'Org List'!$B$2:$B$1005,0),3)</f>
        <v>NGOs: National</v>
      </c>
    </row>
    <row r="1426" spans="1:13" x14ac:dyDescent="0.25">
      <c r="A1426" t="s">
        <v>2783</v>
      </c>
      <c r="B1426" t="s">
        <v>3004</v>
      </c>
      <c r="C1426" t="s">
        <v>3005</v>
      </c>
      <c r="D1426" t="s">
        <v>30</v>
      </c>
      <c r="E1426" t="s">
        <v>123</v>
      </c>
      <c r="F1426">
        <v>4500305709</v>
      </c>
      <c r="G1426" t="s">
        <v>2200</v>
      </c>
      <c r="H1426" t="s">
        <v>2789</v>
      </c>
      <c r="I1426" t="s">
        <v>813</v>
      </c>
      <c r="J1426" t="s">
        <v>123</v>
      </c>
      <c r="K1426" s="2">
        <v>321377</v>
      </c>
      <c r="L1426" t="s">
        <v>6408</v>
      </c>
      <c r="M1426" t="str" cm="1">
        <f t="array" ref="M1426">INDEX('Org List'!$A$2:$C$1005,MATCH(Consolidated!I1426&amp;Consolidated!J1426,'Org List'!$A$2:$A$1005&amp;'Org List'!$B$2:$B$1005,0),3)</f>
        <v>NGOs: National</v>
      </c>
    </row>
    <row r="1427" spans="1:13" x14ac:dyDescent="0.25">
      <c r="A1427" t="s">
        <v>2783</v>
      </c>
      <c r="B1427" t="s">
        <v>3004</v>
      </c>
      <c r="C1427" t="s">
        <v>3005</v>
      </c>
      <c r="D1427" t="s">
        <v>30</v>
      </c>
      <c r="E1427" t="s">
        <v>123</v>
      </c>
      <c r="F1427">
        <v>4500311880</v>
      </c>
      <c r="G1427" t="s">
        <v>2200</v>
      </c>
      <c r="H1427" t="s">
        <v>2789</v>
      </c>
      <c r="I1427" t="s">
        <v>2744</v>
      </c>
      <c r="J1427" t="s">
        <v>123</v>
      </c>
      <c r="K1427" s="2">
        <v>375231</v>
      </c>
      <c r="L1427" t="s">
        <v>6408</v>
      </c>
      <c r="M1427" t="str" cm="1">
        <f t="array" ref="M1427">INDEX('Org List'!$A$2:$C$1005,MATCH(Consolidated!I1427&amp;Consolidated!J1427,'Org List'!$A$2:$A$1005&amp;'Org List'!$B$2:$B$1005,0),3)</f>
        <v>NGOs: National</v>
      </c>
    </row>
    <row r="1428" spans="1:13" x14ac:dyDescent="0.25">
      <c r="A1428" t="s">
        <v>2783</v>
      </c>
      <c r="B1428" t="s">
        <v>3004</v>
      </c>
      <c r="C1428" t="s">
        <v>3005</v>
      </c>
      <c r="D1428" t="s">
        <v>30</v>
      </c>
      <c r="E1428" t="s">
        <v>123</v>
      </c>
      <c r="F1428">
        <v>4500319186</v>
      </c>
      <c r="G1428" t="s">
        <v>2200</v>
      </c>
      <c r="H1428" t="s">
        <v>2789</v>
      </c>
      <c r="I1428" t="s">
        <v>124</v>
      </c>
      <c r="J1428" t="s">
        <v>123</v>
      </c>
      <c r="K1428" s="2">
        <v>578760</v>
      </c>
      <c r="L1428" t="s">
        <v>6408</v>
      </c>
      <c r="M1428" t="str" cm="1">
        <f t="array" ref="M1428">INDEX('Org List'!$A$2:$C$1005,MATCH(Consolidated!I1428&amp;Consolidated!J1428,'Org List'!$A$2:$A$1005&amp;'Org List'!$B$2:$B$1005,0),3)</f>
        <v>NGOs: National</v>
      </c>
    </row>
    <row r="1429" spans="1:13" x14ac:dyDescent="0.25">
      <c r="A1429" t="s">
        <v>2783</v>
      </c>
      <c r="B1429" t="s">
        <v>3004</v>
      </c>
      <c r="C1429" t="s">
        <v>3005</v>
      </c>
      <c r="D1429" t="s">
        <v>30</v>
      </c>
      <c r="E1429" t="s">
        <v>123</v>
      </c>
      <c r="F1429">
        <v>4500322725</v>
      </c>
      <c r="G1429" t="s">
        <v>2200</v>
      </c>
      <c r="H1429" t="s">
        <v>2789</v>
      </c>
      <c r="I1429" t="s">
        <v>2366</v>
      </c>
      <c r="J1429" t="s">
        <v>123</v>
      </c>
      <c r="K1429" s="2">
        <v>438920</v>
      </c>
      <c r="L1429" t="s">
        <v>6408</v>
      </c>
      <c r="M1429" t="str" cm="1">
        <f t="array" ref="M1429">INDEX('Org List'!$A$2:$C$1005,MATCH(Consolidated!I1429&amp;Consolidated!J1429,'Org List'!$A$2:$A$1005&amp;'Org List'!$B$2:$B$1005,0),3)</f>
        <v>NGOs: National</v>
      </c>
    </row>
    <row r="1430" spans="1:13" x14ac:dyDescent="0.25">
      <c r="A1430" t="s">
        <v>2783</v>
      </c>
      <c r="B1430" t="s">
        <v>2421</v>
      </c>
      <c r="C1430" t="s">
        <v>3006</v>
      </c>
      <c r="D1430" t="s">
        <v>30</v>
      </c>
      <c r="E1430" t="s">
        <v>992</v>
      </c>
      <c r="F1430">
        <v>4500308052</v>
      </c>
      <c r="G1430" t="s">
        <v>2200</v>
      </c>
      <c r="H1430" t="s">
        <v>2789</v>
      </c>
      <c r="I1430" t="s">
        <v>2423</v>
      </c>
      <c r="J1430" t="s">
        <v>992</v>
      </c>
      <c r="K1430" s="2">
        <v>62726</v>
      </c>
      <c r="L1430" t="s">
        <v>6408</v>
      </c>
      <c r="M1430" t="str" cm="1">
        <f t="array" ref="M1430">INDEX('Org List'!$A$2:$C$1005,MATCH(Consolidated!I1430&amp;Consolidated!J1430,'Org List'!$A$2:$A$1005&amp;'Org List'!$B$2:$B$1005,0),3)</f>
        <v>Red Cross: National</v>
      </c>
    </row>
    <row r="1431" spans="1:13" x14ac:dyDescent="0.25">
      <c r="A1431" t="s">
        <v>2783</v>
      </c>
      <c r="B1431" t="s">
        <v>2421</v>
      </c>
      <c r="C1431" t="s">
        <v>3006</v>
      </c>
      <c r="D1431" t="s">
        <v>30</v>
      </c>
      <c r="E1431" t="s">
        <v>992</v>
      </c>
      <c r="F1431">
        <v>4500309993</v>
      </c>
      <c r="G1431" t="s">
        <v>2200</v>
      </c>
      <c r="H1431" t="s">
        <v>2789</v>
      </c>
      <c r="I1431" t="s">
        <v>2424</v>
      </c>
      <c r="J1431" t="s">
        <v>992</v>
      </c>
      <c r="K1431" s="2">
        <v>130085</v>
      </c>
      <c r="L1431" t="s">
        <v>6408</v>
      </c>
      <c r="M1431" t="str" cm="1">
        <f t="array" ref="M1431">INDEX('Org List'!$A$2:$C$1005,MATCH(Consolidated!I1431&amp;Consolidated!J1431,'Org List'!$A$2:$A$1005&amp;'Org List'!$B$2:$B$1005,0),3)</f>
        <v>NGOs: International</v>
      </c>
    </row>
    <row r="1432" spans="1:13" x14ac:dyDescent="0.25">
      <c r="A1432" t="s">
        <v>2783</v>
      </c>
      <c r="B1432" t="s">
        <v>3007</v>
      </c>
      <c r="C1432" t="s">
        <v>3008</v>
      </c>
      <c r="D1432" t="s">
        <v>30</v>
      </c>
      <c r="E1432" t="s">
        <v>210</v>
      </c>
      <c r="F1432">
        <v>4500319750</v>
      </c>
      <c r="G1432" t="s">
        <v>3009</v>
      </c>
      <c r="H1432" t="s">
        <v>2789</v>
      </c>
      <c r="I1432" t="s">
        <v>2416</v>
      </c>
      <c r="J1432" t="s">
        <v>210</v>
      </c>
      <c r="K1432" s="2">
        <v>197752</v>
      </c>
      <c r="L1432" t="s">
        <v>6408</v>
      </c>
      <c r="M1432" t="str" cm="1">
        <f t="array" ref="M1432">INDEX('Org List'!$A$2:$C$1005,MATCH(Consolidated!I1432&amp;Consolidated!J1432,'Org List'!$A$2:$A$1005&amp;'Org List'!$B$2:$B$1005,0),3)</f>
        <v>NGOs: International</v>
      </c>
    </row>
    <row r="1433" spans="1:13" x14ac:dyDescent="0.25">
      <c r="A1433" t="s">
        <v>2783</v>
      </c>
      <c r="B1433" t="s">
        <v>3007</v>
      </c>
      <c r="C1433" t="s">
        <v>3008</v>
      </c>
      <c r="D1433" t="s">
        <v>30</v>
      </c>
      <c r="E1433" t="s">
        <v>210</v>
      </c>
      <c r="F1433">
        <v>4500319755</v>
      </c>
      <c r="G1433" t="s">
        <v>3010</v>
      </c>
      <c r="H1433" t="s">
        <v>2789</v>
      </c>
      <c r="I1433" t="s">
        <v>211</v>
      </c>
      <c r="J1433" t="s">
        <v>210</v>
      </c>
      <c r="K1433" s="2">
        <v>400492</v>
      </c>
      <c r="L1433" t="s">
        <v>6408</v>
      </c>
      <c r="M1433" t="str" cm="1">
        <f t="array" ref="M1433">INDEX('Org List'!$A$2:$C$1005,MATCH(Consolidated!I1433&amp;Consolidated!J1433,'Org List'!$A$2:$A$1005&amp;'Org List'!$B$2:$B$1005,0),3)</f>
        <v>NGOs: International</v>
      </c>
    </row>
    <row r="1434" spans="1:13" x14ac:dyDescent="0.25">
      <c r="A1434" t="s">
        <v>2783</v>
      </c>
      <c r="B1434" t="s">
        <v>3007</v>
      </c>
      <c r="C1434" t="s">
        <v>3008</v>
      </c>
      <c r="D1434" t="s">
        <v>30</v>
      </c>
      <c r="E1434" t="s">
        <v>210</v>
      </c>
      <c r="F1434">
        <v>4500319771</v>
      </c>
      <c r="G1434" t="s">
        <v>3011</v>
      </c>
      <c r="H1434" t="s">
        <v>2789</v>
      </c>
      <c r="I1434" t="s">
        <v>3012</v>
      </c>
      <c r="J1434" t="s">
        <v>210</v>
      </c>
      <c r="K1434" s="2">
        <v>197758</v>
      </c>
      <c r="L1434" t="s">
        <v>6408</v>
      </c>
      <c r="M1434" t="str" cm="1">
        <f t="array" ref="M1434">INDEX('Org List'!$A$2:$C$1005,MATCH(Consolidated!I1434&amp;Consolidated!J1434,'Org List'!$A$2:$A$1005&amp;'Org List'!$B$2:$B$1005,0),3)</f>
        <v>NGOs: International</v>
      </c>
    </row>
    <row r="1435" spans="1:13" x14ac:dyDescent="0.25">
      <c r="A1435" t="s">
        <v>2783</v>
      </c>
      <c r="B1435" t="s">
        <v>3007</v>
      </c>
      <c r="C1435" t="s">
        <v>3008</v>
      </c>
      <c r="D1435" t="s">
        <v>30</v>
      </c>
      <c r="E1435" t="s">
        <v>210</v>
      </c>
      <c r="F1435">
        <v>4500320703</v>
      </c>
      <c r="G1435" t="s">
        <v>3013</v>
      </c>
      <c r="H1435" t="s">
        <v>2789</v>
      </c>
      <c r="I1435" t="s">
        <v>3014</v>
      </c>
      <c r="J1435" t="s">
        <v>210</v>
      </c>
      <c r="K1435" s="2">
        <v>197758</v>
      </c>
      <c r="L1435" t="s">
        <v>6408</v>
      </c>
      <c r="M1435" t="str" cm="1">
        <f t="array" ref="M1435">INDEX('Org List'!$A$2:$C$1005,MATCH(Consolidated!I1435&amp;Consolidated!J1435,'Org List'!$A$2:$A$1005&amp;'Org List'!$B$2:$B$1005,0),3)</f>
        <v>NGOs: International</v>
      </c>
    </row>
    <row r="1436" spans="1:13" x14ac:dyDescent="0.25">
      <c r="A1436" t="s">
        <v>2783</v>
      </c>
      <c r="B1436" t="s">
        <v>1724</v>
      </c>
      <c r="C1436" t="s">
        <v>3015</v>
      </c>
      <c r="D1436" t="s">
        <v>30</v>
      </c>
      <c r="E1436" t="s">
        <v>175</v>
      </c>
      <c r="F1436">
        <v>4500308450</v>
      </c>
      <c r="G1436" t="s">
        <v>2357</v>
      </c>
      <c r="H1436" t="s">
        <v>2789</v>
      </c>
      <c r="I1436" t="s">
        <v>183</v>
      </c>
      <c r="J1436" t="s">
        <v>184</v>
      </c>
      <c r="K1436" s="2">
        <v>316750</v>
      </c>
      <c r="L1436" t="s">
        <v>6408</v>
      </c>
      <c r="M1436" t="str" cm="1">
        <f t="array" ref="M1436">INDEX('Org List'!$A$2:$C$1005,MATCH(Consolidated!I1436&amp;Consolidated!J1436,'Org List'!$A$2:$A$1005&amp;'Org List'!$B$2:$B$1005,0),3)</f>
        <v>NGOs: International</v>
      </c>
    </row>
    <row r="1437" spans="1:13" x14ac:dyDescent="0.25">
      <c r="A1437" t="s">
        <v>2783</v>
      </c>
      <c r="B1437" t="s">
        <v>1724</v>
      </c>
      <c r="C1437" t="s">
        <v>3015</v>
      </c>
      <c r="D1437" t="s">
        <v>30</v>
      </c>
      <c r="E1437" t="s">
        <v>175</v>
      </c>
      <c r="F1437">
        <v>4500308498</v>
      </c>
      <c r="G1437" t="s">
        <v>2357</v>
      </c>
      <c r="H1437" t="s">
        <v>2789</v>
      </c>
      <c r="I1437" t="s">
        <v>887</v>
      </c>
      <c r="J1437" t="s">
        <v>175</v>
      </c>
      <c r="K1437" s="2">
        <v>147143</v>
      </c>
      <c r="L1437" t="s">
        <v>6408</v>
      </c>
      <c r="M1437" t="str" cm="1">
        <f t="array" ref="M1437">INDEX('Org List'!$A$2:$C$1005,MATCH(Consolidated!I1437&amp;Consolidated!J1437,'Org List'!$A$2:$A$1005&amp;'Org List'!$B$2:$B$1005,0),3)</f>
        <v>NGOs: International</v>
      </c>
    </row>
    <row r="1438" spans="1:13" x14ac:dyDescent="0.25">
      <c r="A1438" t="s">
        <v>2783</v>
      </c>
      <c r="B1438" t="s">
        <v>1724</v>
      </c>
      <c r="C1438" t="s">
        <v>3015</v>
      </c>
      <c r="D1438" t="s">
        <v>30</v>
      </c>
      <c r="E1438" t="s">
        <v>175</v>
      </c>
      <c r="F1438">
        <v>4500320534</v>
      </c>
      <c r="G1438" t="s">
        <v>2200</v>
      </c>
      <c r="H1438" t="s">
        <v>2789</v>
      </c>
      <c r="I1438" t="s">
        <v>1832</v>
      </c>
      <c r="J1438" t="s">
        <v>175</v>
      </c>
      <c r="K1438" s="2">
        <v>97642</v>
      </c>
      <c r="L1438" t="s">
        <v>6408</v>
      </c>
      <c r="M1438" t="str" cm="1">
        <f t="array" ref="M1438">INDEX('Org List'!$A$2:$C$1005,MATCH(Consolidated!I1438&amp;Consolidated!J1438,'Org List'!$A$2:$A$1005&amp;'Org List'!$B$2:$B$1005,0),3)</f>
        <v>NGOs: National</v>
      </c>
    </row>
    <row r="1439" spans="1:13" x14ac:dyDescent="0.25">
      <c r="A1439" t="s">
        <v>2783</v>
      </c>
      <c r="B1439" t="s">
        <v>1724</v>
      </c>
      <c r="C1439" t="s">
        <v>3015</v>
      </c>
      <c r="D1439" t="s">
        <v>30</v>
      </c>
      <c r="E1439" t="s">
        <v>175</v>
      </c>
      <c r="F1439">
        <v>4500323533</v>
      </c>
      <c r="G1439" t="s">
        <v>2200</v>
      </c>
      <c r="H1439" t="s">
        <v>2789</v>
      </c>
      <c r="I1439" t="s">
        <v>685</v>
      </c>
      <c r="J1439" t="s">
        <v>175</v>
      </c>
      <c r="K1439" s="2">
        <v>151879</v>
      </c>
      <c r="L1439" t="s">
        <v>6408</v>
      </c>
      <c r="M1439" t="str" cm="1">
        <f t="array" ref="M1439">INDEX('Org List'!$A$2:$C$1005,MATCH(Consolidated!I1439&amp;Consolidated!J1439,'Org List'!$A$2:$A$1005&amp;'Org List'!$B$2:$B$1005,0),3)</f>
        <v>NGOs: National</v>
      </c>
    </row>
    <row r="1440" spans="1:13" x14ac:dyDescent="0.25">
      <c r="A1440" t="s">
        <v>2783</v>
      </c>
      <c r="B1440" t="s">
        <v>1994</v>
      </c>
      <c r="C1440" t="s">
        <v>3016</v>
      </c>
      <c r="D1440" t="s">
        <v>30</v>
      </c>
      <c r="E1440" t="s">
        <v>175</v>
      </c>
      <c r="F1440">
        <v>4500320760</v>
      </c>
      <c r="G1440" t="s">
        <v>2200</v>
      </c>
      <c r="H1440" t="s">
        <v>2789</v>
      </c>
      <c r="I1440" t="s">
        <v>856</v>
      </c>
      <c r="J1440" t="s">
        <v>175</v>
      </c>
      <c r="K1440" s="2">
        <v>950249</v>
      </c>
      <c r="L1440" t="s">
        <v>6408</v>
      </c>
      <c r="M1440" t="str" cm="1">
        <f t="array" ref="M1440">INDEX('Org List'!$A$2:$C$1005,MATCH(Consolidated!I1440&amp;Consolidated!J1440,'Org List'!$A$2:$A$1005&amp;'Org List'!$B$2:$B$1005,0),3)</f>
        <v>NGOs: National</v>
      </c>
    </row>
    <row r="1441" spans="1:13" x14ac:dyDescent="0.25">
      <c r="A1441" t="s">
        <v>2783</v>
      </c>
      <c r="B1441" t="s">
        <v>722</v>
      </c>
      <c r="C1441" t="s">
        <v>3017</v>
      </c>
      <c r="D1441" t="s">
        <v>30</v>
      </c>
      <c r="E1441" t="s">
        <v>717</v>
      </c>
      <c r="F1441">
        <v>4500324731</v>
      </c>
      <c r="G1441" t="s">
        <v>3018</v>
      </c>
      <c r="H1441" t="s">
        <v>2789</v>
      </c>
      <c r="I1441" t="s">
        <v>720</v>
      </c>
      <c r="J1441" t="s">
        <v>717</v>
      </c>
      <c r="K1441" s="2">
        <v>174374</v>
      </c>
      <c r="L1441" t="s">
        <v>6408</v>
      </c>
      <c r="M1441" t="str" cm="1">
        <f t="array" ref="M1441">INDEX('Org List'!$A$2:$C$1005,MATCH(Consolidated!I1441&amp;Consolidated!J1441,'Org List'!$A$2:$A$1005&amp;'Org List'!$B$2:$B$1005,0),3)</f>
        <v>NGOs: National</v>
      </c>
    </row>
    <row r="1442" spans="1:13" x14ac:dyDescent="0.25">
      <c r="A1442" t="s">
        <v>2783</v>
      </c>
      <c r="B1442" t="s">
        <v>722</v>
      </c>
      <c r="C1442" t="s">
        <v>3017</v>
      </c>
      <c r="D1442" t="s">
        <v>30</v>
      </c>
      <c r="E1442" t="s">
        <v>717</v>
      </c>
      <c r="F1442">
        <v>4500324741</v>
      </c>
      <c r="G1442" t="s">
        <v>3019</v>
      </c>
      <c r="H1442" t="s">
        <v>2789</v>
      </c>
      <c r="I1442" t="s">
        <v>1160</v>
      </c>
      <c r="J1442" t="s">
        <v>717</v>
      </c>
      <c r="K1442" s="2">
        <v>58050</v>
      </c>
      <c r="L1442" t="s">
        <v>6408</v>
      </c>
      <c r="M1442" t="str" cm="1">
        <f t="array" ref="M1442">INDEX('Org List'!$A$2:$C$1005,MATCH(Consolidated!I1442&amp;Consolidated!J1442,'Org List'!$A$2:$A$1005&amp;'Org List'!$B$2:$B$1005,0),3)</f>
        <v>NGOs: National</v>
      </c>
    </row>
    <row r="1443" spans="1:13" x14ac:dyDescent="0.25">
      <c r="A1443" t="s">
        <v>2783</v>
      </c>
      <c r="B1443" t="s">
        <v>3020</v>
      </c>
      <c r="C1443" t="s">
        <v>3021</v>
      </c>
      <c r="D1443" t="s">
        <v>9</v>
      </c>
      <c r="E1443" t="s">
        <v>253</v>
      </c>
      <c r="F1443">
        <v>4500316013</v>
      </c>
      <c r="G1443" t="s">
        <v>3022</v>
      </c>
      <c r="H1443" t="s">
        <v>2789</v>
      </c>
      <c r="I1443" t="s">
        <v>3023</v>
      </c>
      <c r="J1443" t="s">
        <v>253</v>
      </c>
      <c r="K1443" s="2">
        <v>31650</v>
      </c>
      <c r="L1443" t="s">
        <v>6408</v>
      </c>
      <c r="M1443" t="str" cm="1">
        <f t="array" ref="M1443">INDEX('Org List'!$A$2:$C$1005,MATCH(Consolidated!I1443&amp;Consolidated!J1443,'Org List'!$A$2:$A$1005&amp;'Org List'!$B$2:$B$1005,0),3)</f>
        <v>Governments: National</v>
      </c>
    </row>
    <row r="1444" spans="1:13" x14ac:dyDescent="0.25">
      <c r="A1444" t="s">
        <v>2783</v>
      </c>
      <c r="B1444" t="s">
        <v>388</v>
      </c>
      <c r="C1444" t="s">
        <v>3024</v>
      </c>
      <c r="D1444" t="s">
        <v>9</v>
      </c>
      <c r="E1444" t="s">
        <v>175</v>
      </c>
      <c r="F1444">
        <v>4500301940</v>
      </c>
      <c r="G1444" t="s">
        <v>3025</v>
      </c>
      <c r="H1444" t="s">
        <v>2789</v>
      </c>
      <c r="I1444" t="s">
        <v>390</v>
      </c>
      <c r="J1444" t="s">
        <v>175</v>
      </c>
      <c r="K1444" s="2">
        <v>156481</v>
      </c>
      <c r="L1444" t="s">
        <v>6408</v>
      </c>
      <c r="M1444" t="str" cm="1">
        <f t="array" ref="M1444">INDEX('Org List'!$A$2:$C$1005,MATCH(Consolidated!I1444&amp;Consolidated!J1444,'Org List'!$A$2:$A$1005&amp;'Org List'!$B$2:$B$1005,0),3)</f>
        <v>NGOs: Local</v>
      </c>
    </row>
    <row r="1445" spans="1:13" x14ac:dyDescent="0.25">
      <c r="A1445" t="s">
        <v>2783</v>
      </c>
      <c r="B1445" t="s">
        <v>388</v>
      </c>
      <c r="C1445" t="s">
        <v>3024</v>
      </c>
      <c r="D1445" t="s">
        <v>9</v>
      </c>
      <c r="E1445" t="s">
        <v>175</v>
      </c>
      <c r="F1445">
        <v>4500303187</v>
      </c>
      <c r="G1445" t="s">
        <v>2200</v>
      </c>
      <c r="H1445" t="s">
        <v>2789</v>
      </c>
      <c r="I1445" t="s">
        <v>187</v>
      </c>
      <c r="J1445" t="s">
        <v>175</v>
      </c>
      <c r="K1445" s="2">
        <v>133049</v>
      </c>
      <c r="L1445" t="s">
        <v>6408</v>
      </c>
      <c r="M1445" t="str" cm="1">
        <f t="array" ref="M1445">INDEX('Org List'!$A$2:$C$1005,MATCH(Consolidated!I1445&amp;Consolidated!J1445,'Org List'!$A$2:$A$1005&amp;'Org List'!$B$2:$B$1005,0),3)</f>
        <v>NGOs: National</v>
      </c>
    </row>
    <row r="1446" spans="1:13" x14ac:dyDescent="0.25">
      <c r="A1446" t="s">
        <v>2783</v>
      </c>
      <c r="B1446" t="s">
        <v>1415</v>
      </c>
      <c r="C1446" t="s">
        <v>3034</v>
      </c>
      <c r="D1446" t="s">
        <v>30</v>
      </c>
      <c r="E1446" t="s">
        <v>814</v>
      </c>
      <c r="F1446">
        <v>4500307205</v>
      </c>
      <c r="G1446" t="s">
        <v>3035</v>
      </c>
      <c r="H1446" t="s">
        <v>2789</v>
      </c>
      <c r="I1446" t="s">
        <v>115</v>
      </c>
      <c r="J1446" t="s">
        <v>814</v>
      </c>
      <c r="K1446" s="2">
        <v>4351</v>
      </c>
      <c r="L1446" t="s">
        <v>6408</v>
      </c>
      <c r="M1446" t="str" cm="1">
        <f t="array" ref="M1446">INDEX('Org List'!$A$2:$C$1005,MATCH(Consolidated!I1446&amp;Consolidated!J1446,'Org List'!$A$2:$A$1005&amp;'Org List'!$B$2:$B$1005,0),3)</f>
        <v>NGOs: National</v>
      </c>
    </row>
    <row r="1447" spans="1:13" x14ac:dyDescent="0.25">
      <c r="A1447" t="s">
        <v>2783</v>
      </c>
      <c r="B1447" t="s">
        <v>1415</v>
      </c>
      <c r="C1447" t="s">
        <v>3034</v>
      </c>
      <c r="D1447" t="s">
        <v>30</v>
      </c>
      <c r="E1447" t="s">
        <v>814</v>
      </c>
      <c r="F1447">
        <v>4500307212</v>
      </c>
      <c r="G1447" t="s">
        <v>2932</v>
      </c>
      <c r="H1447" t="s">
        <v>2789</v>
      </c>
      <c r="I1447" t="s">
        <v>112</v>
      </c>
      <c r="J1447" t="s">
        <v>814</v>
      </c>
      <c r="K1447" s="2">
        <v>25127</v>
      </c>
      <c r="L1447" t="s">
        <v>6408</v>
      </c>
      <c r="M1447" t="str" cm="1">
        <f t="array" ref="M1447">INDEX('Org List'!$A$2:$C$1005,MATCH(Consolidated!I1447&amp;Consolidated!J1447,'Org List'!$A$2:$A$1005&amp;'Org List'!$B$2:$B$1005,0),3)</f>
        <v>NGOs: National</v>
      </c>
    </row>
    <row r="1448" spans="1:13" x14ac:dyDescent="0.25">
      <c r="A1448" t="s">
        <v>2783</v>
      </c>
      <c r="B1448" t="s">
        <v>1415</v>
      </c>
      <c r="C1448" t="s">
        <v>3034</v>
      </c>
      <c r="D1448" t="s">
        <v>30</v>
      </c>
      <c r="E1448" t="s">
        <v>814</v>
      </c>
      <c r="F1448">
        <v>4500307233</v>
      </c>
      <c r="G1448" t="s">
        <v>3036</v>
      </c>
      <c r="H1448" t="s">
        <v>2789</v>
      </c>
      <c r="I1448" t="s">
        <v>114</v>
      </c>
      <c r="J1448" t="s">
        <v>814</v>
      </c>
      <c r="K1448">
        <v>515</v>
      </c>
      <c r="L1448" t="s">
        <v>6408</v>
      </c>
      <c r="M1448" t="str" cm="1">
        <f t="array" ref="M1448">INDEX('Org List'!$A$2:$C$1005,MATCH(Consolidated!I1448&amp;Consolidated!J1448,'Org List'!$A$2:$A$1005&amp;'Org List'!$B$2:$B$1005,0),3)</f>
        <v>NGOs: National</v>
      </c>
    </row>
    <row r="1449" spans="1:13" x14ac:dyDescent="0.25">
      <c r="A1449" t="s">
        <v>2783</v>
      </c>
      <c r="B1449" t="s">
        <v>1415</v>
      </c>
      <c r="C1449" t="s">
        <v>3034</v>
      </c>
      <c r="D1449" t="s">
        <v>30</v>
      </c>
      <c r="E1449" t="s">
        <v>814</v>
      </c>
      <c r="F1449">
        <v>4500307240</v>
      </c>
      <c r="G1449" t="s">
        <v>2933</v>
      </c>
      <c r="H1449" t="s">
        <v>2789</v>
      </c>
      <c r="I1449" t="s">
        <v>116</v>
      </c>
      <c r="J1449" t="s">
        <v>814</v>
      </c>
      <c r="K1449" s="2">
        <v>3027</v>
      </c>
      <c r="L1449" t="s">
        <v>6408</v>
      </c>
      <c r="M1449" t="str" cm="1">
        <f t="array" ref="M1449">INDEX('Org List'!$A$2:$C$1005,MATCH(Consolidated!I1449&amp;Consolidated!J1449,'Org List'!$A$2:$A$1005&amp;'Org List'!$B$2:$B$1005,0),3)</f>
        <v>NGOs: National</v>
      </c>
    </row>
    <row r="1450" spans="1:13" x14ac:dyDescent="0.25">
      <c r="A1450" t="s">
        <v>2783</v>
      </c>
      <c r="B1450" t="s">
        <v>1415</v>
      </c>
      <c r="C1450" t="s">
        <v>3034</v>
      </c>
      <c r="D1450" t="s">
        <v>30</v>
      </c>
      <c r="E1450" t="s">
        <v>814</v>
      </c>
      <c r="F1450">
        <v>4500307241</v>
      </c>
      <c r="G1450" t="s">
        <v>3037</v>
      </c>
      <c r="H1450" t="s">
        <v>2789</v>
      </c>
      <c r="I1450" t="s">
        <v>120</v>
      </c>
      <c r="J1450" t="s">
        <v>814</v>
      </c>
      <c r="K1450" s="2">
        <v>2650</v>
      </c>
      <c r="L1450" t="s">
        <v>6408</v>
      </c>
      <c r="M1450" t="str" cm="1">
        <f t="array" ref="M1450">INDEX('Org List'!$A$2:$C$1005,MATCH(Consolidated!I1450&amp;Consolidated!J1450,'Org List'!$A$2:$A$1005&amp;'Org List'!$B$2:$B$1005,0),3)</f>
        <v>NGOs: International</v>
      </c>
    </row>
    <row r="1451" spans="1:13" x14ac:dyDescent="0.25">
      <c r="A1451" t="s">
        <v>2783</v>
      </c>
      <c r="B1451" t="s">
        <v>1415</v>
      </c>
      <c r="C1451" t="s">
        <v>3034</v>
      </c>
      <c r="D1451" t="s">
        <v>30</v>
      </c>
      <c r="E1451" t="s">
        <v>814</v>
      </c>
      <c r="F1451">
        <v>4500307342</v>
      </c>
      <c r="G1451" t="s">
        <v>3038</v>
      </c>
      <c r="H1451" t="s">
        <v>2789</v>
      </c>
      <c r="I1451" t="s">
        <v>117</v>
      </c>
      <c r="J1451" t="s">
        <v>814</v>
      </c>
      <c r="K1451" s="2">
        <v>1710</v>
      </c>
      <c r="L1451" t="s">
        <v>6408</v>
      </c>
      <c r="M1451" t="str" cm="1">
        <f t="array" ref="M1451">INDEX('Org List'!$A$2:$C$1005,MATCH(Consolidated!I1451&amp;Consolidated!J1451,'Org List'!$A$2:$A$1005&amp;'Org List'!$B$2:$B$1005,0),3)</f>
        <v>NGOs: National</v>
      </c>
    </row>
    <row r="1452" spans="1:13" x14ac:dyDescent="0.25">
      <c r="A1452" t="s">
        <v>2783</v>
      </c>
      <c r="B1452" t="s">
        <v>1415</v>
      </c>
      <c r="C1452" t="s">
        <v>3034</v>
      </c>
      <c r="D1452" t="s">
        <v>30</v>
      </c>
      <c r="E1452" t="s">
        <v>814</v>
      </c>
      <c r="F1452">
        <v>4500307352</v>
      </c>
      <c r="G1452" t="s">
        <v>3038</v>
      </c>
      <c r="H1452" t="s">
        <v>2789</v>
      </c>
      <c r="I1452" t="s">
        <v>119</v>
      </c>
      <c r="J1452" t="s">
        <v>814</v>
      </c>
      <c r="K1452" s="2">
        <v>1230</v>
      </c>
      <c r="L1452" t="s">
        <v>6408</v>
      </c>
      <c r="M1452" t="str" cm="1">
        <f t="array" ref="M1452">INDEX('Org List'!$A$2:$C$1005,MATCH(Consolidated!I1452&amp;Consolidated!J1452,'Org List'!$A$2:$A$1005&amp;'Org List'!$B$2:$B$1005,0),3)</f>
        <v>NGOs: National</v>
      </c>
    </row>
    <row r="1453" spans="1:13" x14ac:dyDescent="0.25">
      <c r="A1453" t="s">
        <v>2783</v>
      </c>
      <c r="B1453" t="s">
        <v>1415</v>
      </c>
      <c r="C1453" t="s">
        <v>3034</v>
      </c>
      <c r="D1453" t="s">
        <v>30</v>
      </c>
      <c r="E1453" t="s">
        <v>814</v>
      </c>
      <c r="F1453">
        <v>4500307355</v>
      </c>
      <c r="G1453" t="s">
        <v>3038</v>
      </c>
      <c r="H1453" t="s">
        <v>2789</v>
      </c>
      <c r="I1453" t="s">
        <v>113</v>
      </c>
      <c r="J1453" t="s">
        <v>814</v>
      </c>
      <c r="K1453" s="2">
        <v>1136</v>
      </c>
      <c r="L1453" t="s">
        <v>6408</v>
      </c>
      <c r="M1453" t="str" cm="1">
        <f t="array" ref="M1453">INDEX('Org List'!$A$2:$C$1005,MATCH(Consolidated!I1453&amp;Consolidated!J1453,'Org List'!$A$2:$A$1005&amp;'Org List'!$B$2:$B$1005,0),3)</f>
        <v>NGOs: National</v>
      </c>
    </row>
    <row r="1454" spans="1:13" x14ac:dyDescent="0.25">
      <c r="A1454" t="s">
        <v>2783</v>
      </c>
      <c r="B1454" t="s">
        <v>1415</v>
      </c>
      <c r="C1454" t="s">
        <v>3034</v>
      </c>
      <c r="D1454" t="s">
        <v>30</v>
      </c>
      <c r="E1454" t="s">
        <v>814</v>
      </c>
      <c r="F1454">
        <v>4500307357</v>
      </c>
      <c r="G1454" t="s">
        <v>3038</v>
      </c>
      <c r="H1454" t="s">
        <v>2789</v>
      </c>
      <c r="I1454" t="s">
        <v>1721</v>
      </c>
      <c r="J1454" t="s">
        <v>814</v>
      </c>
      <c r="K1454">
        <v>515</v>
      </c>
      <c r="L1454" t="s">
        <v>6408</v>
      </c>
      <c r="M1454" t="str" cm="1">
        <f t="array" ref="M1454">INDEX('Org List'!$A$2:$C$1005,MATCH(Consolidated!I1454&amp;Consolidated!J1454,'Org List'!$A$2:$A$1005&amp;'Org List'!$B$2:$B$1005,0),3)</f>
        <v>NGOs: National</v>
      </c>
    </row>
    <row r="1455" spans="1:13" x14ac:dyDescent="0.25">
      <c r="A1455" t="s">
        <v>2783</v>
      </c>
      <c r="B1455" t="s">
        <v>1415</v>
      </c>
      <c r="C1455" t="s">
        <v>3034</v>
      </c>
      <c r="D1455" t="s">
        <v>30</v>
      </c>
      <c r="E1455" t="s">
        <v>814</v>
      </c>
      <c r="F1455">
        <v>4500307358</v>
      </c>
      <c r="G1455" t="s">
        <v>3038</v>
      </c>
      <c r="H1455" t="s">
        <v>2789</v>
      </c>
      <c r="I1455" t="s">
        <v>118</v>
      </c>
      <c r="J1455" t="s">
        <v>814</v>
      </c>
      <c r="K1455" s="2">
        <v>1753</v>
      </c>
      <c r="L1455" t="s">
        <v>6408</v>
      </c>
      <c r="M1455" t="str" cm="1">
        <f t="array" ref="M1455">INDEX('Org List'!$A$2:$C$1005,MATCH(Consolidated!I1455&amp;Consolidated!J1455,'Org List'!$A$2:$A$1005&amp;'Org List'!$B$2:$B$1005,0),3)</f>
        <v>NGOs: National</v>
      </c>
    </row>
    <row r="1456" spans="1:13" x14ac:dyDescent="0.25">
      <c r="A1456" t="s">
        <v>2783</v>
      </c>
      <c r="B1456" t="s">
        <v>2054</v>
      </c>
      <c r="C1456" t="s">
        <v>3039</v>
      </c>
      <c r="D1456" t="s">
        <v>30</v>
      </c>
      <c r="E1456" t="s">
        <v>257</v>
      </c>
      <c r="F1456">
        <v>4500321494</v>
      </c>
      <c r="G1456" t="s">
        <v>2946</v>
      </c>
      <c r="H1456" t="s">
        <v>2789</v>
      </c>
      <c r="I1456" t="s">
        <v>421</v>
      </c>
      <c r="J1456" t="s">
        <v>257</v>
      </c>
      <c r="K1456" s="2">
        <v>47468</v>
      </c>
      <c r="L1456" t="s">
        <v>6408</v>
      </c>
      <c r="M1456" t="str" cm="1">
        <f t="array" ref="M1456">INDEX('Org List'!$A$2:$C$1005,MATCH(Consolidated!I1456&amp;Consolidated!J1456,'Org List'!$A$2:$A$1005&amp;'Org List'!$B$2:$B$1005,0),3)</f>
        <v>NGOs: National</v>
      </c>
    </row>
    <row r="1457" spans="1:13" x14ac:dyDescent="0.25">
      <c r="A1457" t="s">
        <v>2783</v>
      </c>
      <c r="B1457" t="s">
        <v>2054</v>
      </c>
      <c r="C1457" t="s">
        <v>3039</v>
      </c>
      <c r="D1457" t="s">
        <v>30</v>
      </c>
      <c r="E1457" t="s">
        <v>257</v>
      </c>
      <c r="F1457">
        <v>4500321496</v>
      </c>
      <c r="G1457" t="s">
        <v>2947</v>
      </c>
      <c r="H1457" t="s">
        <v>2789</v>
      </c>
      <c r="I1457" t="s">
        <v>422</v>
      </c>
      <c r="J1457" t="s">
        <v>257</v>
      </c>
      <c r="K1457" s="2">
        <v>42810</v>
      </c>
      <c r="L1457" t="s">
        <v>6408</v>
      </c>
      <c r="M1457" t="str" cm="1">
        <f t="array" ref="M1457">INDEX('Org List'!$A$2:$C$1005,MATCH(Consolidated!I1457&amp;Consolidated!J1457,'Org List'!$A$2:$A$1005&amp;'Org List'!$B$2:$B$1005,0),3)</f>
        <v>NGOs: Internationally affiliated</v>
      </c>
    </row>
    <row r="1458" spans="1:13" x14ac:dyDescent="0.25">
      <c r="A1458" t="s">
        <v>2783</v>
      </c>
      <c r="B1458" t="s">
        <v>2576</v>
      </c>
      <c r="C1458" t="s">
        <v>3125</v>
      </c>
      <c r="D1458" t="s">
        <v>512</v>
      </c>
      <c r="E1458" t="s">
        <v>261</v>
      </c>
      <c r="F1458">
        <v>4500302401</v>
      </c>
      <c r="G1458" t="s">
        <v>3126</v>
      </c>
      <c r="H1458" t="s">
        <v>2789</v>
      </c>
      <c r="I1458" t="s">
        <v>3127</v>
      </c>
      <c r="J1458" t="s">
        <v>261</v>
      </c>
      <c r="K1458" s="2">
        <v>81575</v>
      </c>
      <c r="L1458" t="s">
        <v>6408</v>
      </c>
      <c r="M1458" t="str" cm="1">
        <f t="array" ref="M1458">INDEX('Org List'!$A$2:$C$1005,MATCH(Consolidated!I1458&amp;Consolidated!J1458,'Org List'!$A$2:$A$1005&amp;'Org List'!$B$2:$B$1005,0),3)</f>
        <v>NGOs: International</v>
      </c>
    </row>
    <row r="1459" spans="1:13" x14ac:dyDescent="0.25">
      <c r="A1459" t="s">
        <v>2783</v>
      </c>
      <c r="B1459" t="s">
        <v>2576</v>
      </c>
      <c r="C1459" t="s">
        <v>3125</v>
      </c>
      <c r="D1459" t="s">
        <v>512</v>
      </c>
      <c r="E1459" t="s">
        <v>676</v>
      </c>
      <c r="F1459">
        <v>4500302042</v>
      </c>
      <c r="G1459" t="s">
        <v>2357</v>
      </c>
      <c r="H1459" t="s">
        <v>2789</v>
      </c>
      <c r="I1459" t="s">
        <v>1834</v>
      </c>
      <c r="J1459" t="s">
        <v>751</v>
      </c>
      <c r="K1459" s="2">
        <v>25000</v>
      </c>
      <c r="L1459" t="s">
        <v>6408</v>
      </c>
      <c r="M1459" t="str" cm="1">
        <f t="array" ref="M1459">INDEX('Org List'!$A$2:$C$1005,MATCH(Consolidated!I1459&amp;Consolidated!J1459,'Org List'!$A$2:$A$1005&amp;'Org List'!$B$2:$B$1005,0),3)</f>
        <v>NGOs: International</v>
      </c>
    </row>
    <row r="1460" spans="1:13" x14ac:dyDescent="0.25">
      <c r="A1460" t="s">
        <v>2783</v>
      </c>
      <c r="B1460" t="s">
        <v>2576</v>
      </c>
      <c r="C1460" t="s">
        <v>3125</v>
      </c>
      <c r="D1460" t="s">
        <v>512</v>
      </c>
      <c r="E1460" t="s">
        <v>676</v>
      </c>
      <c r="F1460">
        <v>4500306044</v>
      </c>
      <c r="G1460" t="s">
        <v>3128</v>
      </c>
      <c r="H1460" t="s">
        <v>2789</v>
      </c>
      <c r="I1460" t="s">
        <v>3129</v>
      </c>
      <c r="J1460" t="s">
        <v>261</v>
      </c>
      <c r="K1460" s="2">
        <v>43050</v>
      </c>
      <c r="L1460" t="s">
        <v>6408</v>
      </c>
      <c r="M1460" t="str" cm="1">
        <f t="array" ref="M1460">INDEX('Org List'!$A$2:$C$1005,MATCH(Consolidated!I1460&amp;Consolidated!J1460,'Org List'!$A$2:$A$1005&amp;'Org List'!$B$2:$B$1005,0),3)</f>
        <v>Other: International</v>
      </c>
    </row>
    <row r="1461" spans="1:13" x14ac:dyDescent="0.25">
      <c r="A1461" t="s">
        <v>2783</v>
      </c>
      <c r="B1461" t="s">
        <v>2576</v>
      </c>
      <c r="C1461" t="s">
        <v>3125</v>
      </c>
      <c r="D1461" t="s">
        <v>512</v>
      </c>
      <c r="E1461" t="s">
        <v>676</v>
      </c>
      <c r="F1461">
        <v>4500310556</v>
      </c>
      <c r="G1461" t="s">
        <v>3130</v>
      </c>
      <c r="H1461" t="s">
        <v>2789</v>
      </c>
      <c r="I1461" t="s">
        <v>1834</v>
      </c>
      <c r="J1461" t="s">
        <v>751</v>
      </c>
      <c r="K1461" s="2">
        <v>7000</v>
      </c>
      <c r="L1461" t="s">
        <v>6408</v>
      </c>
      <c r="M1461" t="str" cm="1">
        <f t="array" ref="M1461">INDEX('Org List'!$A$2:$C$1005,MATCH(Consolidated!I1461&amp;Consolidated!J1461,'Org List'!$A$2:$A$1005&amp;'Org List'!$B$2:$B$1005,0),3)</f>
        <v>NGOs: International</v>
      </c>
    </row>
    <row r="1462" spans="1:13" x14ac:dyDescent="0.25">
      <c r="A1462" t="s">
        <v>2783</v>
      </c>
      <c r="B1462" t="s">
        <v>2576</v>
      </c>
      <c r="C1462" t="s">
        <v>3125</v>
      </c>
      <c r="D1462" t="s">
        <v>512</v>
      </c>
      <c r="E1462" t="s">
        <v>210</v>
      </c>
      <c r="F1462">
        <v>4500307984</v>
      </c>
      <c r="G1462" t="s">
        <v>3131</v>
      </c>
      <c r="H1462" t="s">
        <v>2789</v>
      </c>
      <c r="I1462" t="s">
        <v>215</v>
      </c>
      <c r="J1462" t="s">
        <v>210</v>
      </c>
      <c r="K1462" s="2">
        <v>71426</v>
      </c>
      <c r="L1462" t="s">
        <v>6408</v>
      </c>
      <c r="M1462" t="str" cm="1">
        <f t="array" ref="M1462">INDEX('Org List'!$A$2:$C$1005,MATCH(Consolidated!I1462&amp;Consolidated!J1462,'Org List'!$A$2:$A$1005&amp;'Org List'!$B$2:$B$1005,0),3)</f>
        <v>NGOs: National</v>
      </c>
    </row>
    <row r="1463" spans="1:13" x14ac:dyDescent="0.25">
      <c r="A1463" t="s">
        <v>2783</v>
      </c>
      <c r="B1463" t="s">
        <v>2579</v>
      </c>
      <c r="C1463" t="s">
        <v>3132</v>
      </c>
      <c r="D1463" t="s">
        <v>512</v>
      </c>
      <c r="E1463" t="s">
        <v>890</v>
      </c>
      <c r="F1463">
        <v>4500319375</v>
      </c>
      <c r="G1463" t="s">
        <v>3133</v>
      </c>
      <c r="H1463" t="s">
        <v>2789</v>
      </c>
      <c r="I1463" t="s">
        <v>3134</v>
      </c>
      <c r="J1463" t="s">
        <v>890</v>
      </c>
      <c r="K1463" s="2">
        <v>450000</v>
      </c>
      <c r="L1463" t="s">
        <v>6408</v>
      </c>
      <c r="M1463" t="str" cm="1">
        <f t="array" ref="M1463">INDEX('Org List'!$A$2:$C$1005,MATCH(Consolidated!I1463&amp;Consolidated!J1463,'Org List'!$A$2:$A$1005&amp;'Org List'!$B$2:$B$1005,0),3)</f>
        <v>Unknown</v>
      </c>
    </row>
    <row r="1464" spans="1:13" x14ac:dyDescent="0.25">
      <c r="A1464" t="s">
        <v>2783</v>
      </c>
      <c r="B1464" t="s">
        <v>2579</v>
      </c>
      <c r="C1464" t="s">
        <v>3132</v>
      </c>
      <c r="D1464" t="s">
        <v>512</v>
      </c>
      <c r="E1464" t="s">
        <v>890</v>
      </c>
      <c r="F1464">
        <v>4500321486</v>
      </c>
      <c r="G1464" t="s">
        <v>2200</v>
      </c>
      <c r="H1464" t="s">
        <v>2789</v>
      </c>
      <c r="I1464" t="s">
        <v>892</v>
      </c>
      <c r="J1464" t="s">
        <v>890</v>
      </c>
      <c r="K1464" s="2">
        <v>130792</v>
      </c>
      <c r="L1464" t="s">
        <v>6408</v>
      </c>
      <c r="M1464" t="str" cm="1">
        <f t="array" ref="M1464">INDEX('Org List'!$A$2:$C$1005,MATCH(Consolidated!I1464&amp;Consolidated!J1464,'Org List'!$A$2:$A$1005&amp;'Org List'!$B$2:$B$1005,0),3)</f>
        <v>NGOs: National</v>
      </c>
    </row>
    <row r="1465" spans="1:13" x14ac:dyDescent="0.25">
      <c r="A1465" t="s">
        <v>2783</v>
      </c>
      <c r="B1465" t="s">
        <v>2730</v>
      </c>
      <c r="C1465" t="s">
        <v>3280</v>
      </c>
      <c r="D1465" t="s">
        <v>30</v>
      </c>
      <c r="E1465" t="s">
        <v>814</v>
      </c>
      <c r="F1465">
        <v>4500307205</v>
      </c>
      <c r="G1465" t="s">
        <v>3035</v>
      </c>
      <c r="H1465" t="s">
        <v>2789</v>
      </c>
      <c r="I1465" t="s">
        <v>115</v>
      </c>
      <c r="J1465" t="s">
        <v>814</v>
      </c>
      <c r="K1465" s="2">
        <v>13053</v>
      </c>
      <c r="L1465" t="s">
        <v>6408</v>
      </c>
      <c r="M1465" t="str" cm="1">
        <f t="array" ref="M1465">INDEX('Org List'!$A$2:$C$1005,MATCH(Consolidated!I1465&amp;Consolidated!J1465,'Org List'!$A$2:$A$1005&amp;'Org List'!$B$2:$B$1005,0),3)</f>
        <v>NGOs: National</v>
      </c>
    </row>
    <row r="1466" spans="1:13" x14ac:dyDescent="0.25">
      <c r="A1466" t="s">
        <v>2783</v>
      </c>
      <c r="B1466" t="s">
        <v>2730</v>
      </c>
      <c r="C1466" t="s">
        <v>3280</v>
      </c>
      <c r="D1466" t="s">
        <v>30</v>
      </c>
      <c r="E1466" t="s">
        <v>814</v>
      </c>
      <c r="F1466">
        <v>4500307212</v>
      </c>
      <c r="G1466" t="s">
        <v>2932</v>
      </c>
      <c r="H1466" t="s">
        <v>2789</v>
      </c>
      <c r="I1466" t="s">
        <v>112</v>
      </c>
      <c r="J1466" t="s">
        <v>814</v>
      </c>
      <c r="K1466" s="2">
        <v>8741</v>
      </c>
      <c r="L1466" t="s">
        <v>6408</v>
      </c>
      <c r="M1466" t="str" cm="1">
        <f t="array" ref="M1466">INDEX('Org List'!$A$2:$C$1005,MATCH(Consolidated!I1466&amp;Consolidated!J1466,'Org List'!$A$2:$A$1005&amp;'Org List'!$B$2:$B$1005,0),3)</f>
        <v>NGOs: National</v>
      </c>
    </row>
    <row r="1467" spans="1:13" x14ac:dyDescent="0.25">
      <c r="A1467" t="s">
        <v>2783</v>
      </c>
      <c r="B1467" t="s">
        <v>2730</v>
      </c>
      <c r="C1467" t="s">
        <v>3280</v>
      </c>
      <c r="D1467" t="s">
        <v>30</v>
      </c>
      <c r="E1467" t="s">
        <v>814</v>
      </c>
      <c r="F1467">
        <v>4500307233</v>
      </c>
      <c r="G1467" t="s">
        <v>3036</v>
      </c>
      <c r="H1467" t="s">
        <v>2789</v>
      </c>
      <c r="I1467" t="s">
        <v>114</v>
      </c>
      <c r="J1467" t="s">
        <v>814</v>
      </c>
      <c r="K1467" s="2">
        <v>1545</v>
      </c>
      <c r="L1467" t="s">
        <v>6408</v>
      </c>
      <c r="M1467" t="str" cm="1">
        <f t="array" ref="M1467">INDEX('Org List'!$A$2:$C$1005,MATCH(Consolidated!I1467&amp;Consolidated!J1467,'Org List'!$A$2:$A$1005&amp;'Org List'!$B$2:$B$1005,0),3)</f>
        <v>NGOs: National</v>
      </c>
    </row>
    <row r="1468" spans="1:13" x14ac:dyDescent="0.25">
      <c r="A1468" t="s">
        <v>2783</v>
      </c>
      <c r="B1468" t="s">
        <v>2730</v>
      </c>
      <c r="C1468" t="s">
        <v>3280</v>
      </c>
      <c r="D1468" t="s">
        <v>30</v>
      </c>
      <c r="E1468" t="s">
        <v>814</v>
      </c>
      <c r="F1468">
        <v>4500307240</v>
      </c>
      <c r="G1468" t="s">
        <v>2933</v>
      </c>
      <c r="H1468" t="s">
        <v>2789</v>
      </c>
      <c r="I1468" t="s">
        <v>116</v>
      </c>
      <c r="J1468" t="s">
        <v>814</v>
      </c>
      <c r="K1468" s="2">
        <v>3091</v>
      </c>
      <c r="L1468" t="s">
        <v>6408</v>
      </c>
      <c r="M1468" t="str" cm="1">
        <f t="array" ref="M1468">INDEX('Org List'!$A$2:$C$1005,MATCH(Consolidated!I1468&amp;Consolidated!J1468,'Org List'!$A$2:$A$1005&amp;'Org List'!$B$2:$B$1005,0),3)</f>
        <v>NGOs: National</v>
      </c>
    </row>
    <row r="1469" spans="1:13" x14ac:dyDescent="0.25">
      <c r="A1469" t="s">
        <v>2783</v>
      </c>
      <c r="B1469" t="s">
        <v>2730</v>
      </c>
      <c r="C1469" t="s">
        <v>3280</v>
      </c>
      <c r="D1469" t="s">
        <v>30</v>
      </c>
      <c r="E1469" t="s">
        <v>814</v>
      </c>
      <c r="F1469">
        <v>4500307241</v>
      </c>
      <c r="G1469" t="s">
        <v>3037</v>
      </c>
      <c r="H1469" t="s">
        <v>2789</v>
      </c>
      <c r="I1469" t="s">
        <v>120</v>
      </c>
      <c r="J1469" t="s">
        <v>814</v>
      </c>
      <c r="K1469" s="2">
        <v>7951</v>
      </c>
      <c r="L1469" t="s">
        <v>6408</v>
      </c>
      <c r="M1469" t="str" cm="1">
        <f t="array" ref="M1469">INDEX('Org List'!$A$2:$C$1005,MATCH(Consolidated!I1469&amp;Consolidated!J1469,'Org List'!$A$2:$A$1005&amp;'Org List'!$B$2:$B$1005,0),3)</f>
        <v>NGOs: International</v>
      </c>
    </row>
    <row r="1470" spans="1:13" x14ac:dyDescent="0.25">
      <c r="A1470" t="s">
        <v>2783</v>
      </c>
      <c r="B1470" t="s">
        <v>2730</v>
      </c>
      <c r="C1470" t="s">
        <v>3280</v>
      </c>
      <c r="D1470" t="s">
        <v>30</v>
      </c>
      <c r="E1470" t="s">
        <v>814</v>
      </c>
      <c r="F1470">
        <v>4500307342</v>
      </c>
      <c r="G1470" t="s">
        <v>3038</v>
      </c>
      <c r="H1470" t="s">
        <v>2789</v>
      </c>
      <c r="I1470" t="s">
        <v>117</v>
      </c>
      <c r="J1470" t="s">
        <v>814</v>
      </c>
      <c r="K1470" s="2">
        <v>5129</v>
      </c>
      <c r="L1470" t="s">
        <v>6408</v>
      </c>
      <c r="M1470" t="str" cm="1">
        <f t="array" ref="M1470">INDEX('Org List'!$A$2:$C$1005,MATCH(Consolidated!I1470&amp;Consolidated!J1470,'Org List'!$A$2:$A$1005&amp;'Org List'!$B$2:$B$1005,0),3)</f>
        <v>NGOs: National</v>
      </c>
    </row>
    <row r="1471" spans="1:13" x14ac:dyDescent="0.25">
      <c r="A1471" t="s">
        <v>2783</v>
      </c>
      <c r="B1471" t="s">
        <v>2730</v>
      </c>
      <c r="C1471" t="s">
        <v>3280</v>
      </c>
      <c r="D1471" t="s">
        <v>30</v>
      </c>
      <c r="E1471" t="s">
        <v>814</v>
      </c>
      <c r="F1471">
        <v>4500307352</v>
      </c>
      <c r="G1471" t="s">
        <v>3038</v>
      </c>
      <c r="H1471" t="s">
        <v>2789</v>
      </c>
      <c r="I1471" t="s">
        <v>119</v>
      </c>
      <c r="J1471" t="s">
        <v>814</v>
      </c>
      <c r="K1471" s="2">
        <v>3691</v>
      </c>
      <c r="L1471" t="s">
        <v>6408</v>
      </c>
      <c r="M1471" t="str" cm="1">
        <f t="array" ref="M1471">INDEX('Org List'!$A$2:$C$1005,MATCH(Consolidated!I1471&amp;Consolidated!J1471,'Org List'!$A$2:$A$1005&amp;'Org List'!$B$2:$B$1005,0),3)</f>
        <v>NGOs: National</v>
      </c>
    </row>
    <row r="1472" spans="1:13" x14ac:dyDescent="0.25">
      <c r="A1472" t="s">
        <v>2783</v>
      </c>
      <c r="B1472" t="s">
        <v>2730</v>
      </c>
      <c r="C1472" t="s">
        <v>3280</v>
      </c>
      <c r="D1472" t="s">
        <v>30</v>
      </c>
      <c r="E1472" t="s">
        <v>814</v>
      </c>
      <c r="F1472">
        <v>4500307355</v>
      </c>
      <c r="G1472" t="s">
        <v>3038</v>
      </c>
      <c r="H1472" t="s">
        <v>2789</v>
      </c>
      <c r="I1472" t="s">
        <v>113</v>
      </c>
      <c r="J1472" t="s">
        <v>814</v>
      </c>
      <c r="K1472" s="2">
        <v>3408</v>
      </c>
      <c r="L1472" t="s">
        <v>6408</v>
      </c>
      <c r="M1472" t="str" cm="1">
        <f t="array" ref="M1472">INDEX('Org List'!$A$2:$C$1005,MATCH(Consolidated!I1472&amp;Consolidated!J1472,'Org List'!$A$2:$A$1005&amp;'Org List'!$B$2:$B$1005,0),3)</f>
        <v>NGOs: National</v>
      </c>
    </row>
    <row r="1473" spans="1:13" x14ac:dyDescent="0.25">
      <c r="A1473" t="s">
        <v>2783</v>
      </c>
      <c r="B1473" t="s">
        <v>2730</v>
      </c>
      <c r="C1473" t="s">
        <v>3280</v>
      </c>
      <c r="D1473" t="s">
        <v>30</v>
      </c>
      <c r="E1473" t="s">
        <v>814</v>
      </c>
      <c r="F1473">
        <v>4500307357</v>
      </c>
      <c r="G1473" t="s">
        <v>3038</v>
      </c>
      <c r="H1473" t="s">
        <v>2789</v>
      </c>
      <c r="I1473" t="s">
        <v>1721</v>
      </c>
      <c r="J1473" t="s">
        <v>814</v>
      </c>
      <c r="K1473" s="2">
        <v>1545</v>
      </c>
      <c r="L1473" t="s">
        <v>6408</v>
      </c>
      <c r="M1473" t="str" cm="1">
        <f t="array" ref="M1473">INDEX('Org List'!$A$2:$C$1005,MATCH(Consolidated!I1473&amp;Consolidated!J1473,'Org List'!$A$2:$A$1005&amp;'Org List'!$B$2:$B$1005,0),3)</f>
        <v>NGOs: National</v>
      </c>
    </row>
    <row r="1474" spans="1:13" x14ac:dyDescent="0.25">
      <c r="A1474" t="s">
        <v>2783</v>
      </c>
      <c r="B1474" t="s">
        <v>2730</v>
      </c>
      <c r="C1474" t="s">
        <v>3280</v>
      </c>
      <c r="D1474" t="s">
        <v>30</v>
      </c>
      <c r="E1474" t="s">
        <v>814</v>
      </c>
      <c r="F1474">
        <v>4500307358</v>
      </c>
      <c r="G1474" t="s">
        <v>3038</v>
      </c>
      <c r="H1474" t="s">
        <v>2789</v>
      </c>
      <c r="I1474" t="s">
        <v>118</v>
      </c>
      <c r="J1474" t="s">
        <v>814</v>
      </c>
      <c r="K1474" s="2">
        <v>5260</v>
      </c>
      <c r="L1474" t="s">
        <v>6408</v>
      </c>
      <c r="M1474" t="str" cm="1">
        <f t="array" ref="M1474">INDEX('Org List'!$A$2:$C$1005,MATCH(Consolidated!I1474&amp;Consolidated!J1474,'Org List'!$A$2:$A$1005&amp;'Org List'!$B$2:$B$1005,0),3)</f>
        <v>NGOs: National</v>
      </c>
    </row>
    <row r="1475" spans="1:13" x14ac:dyDescent="0.25">
      <c r="A1475" t="s">
        <v>2783</v>
      </c>
      <c r="B1475" t="s">
        <v>2730</v>
      </c>
      <c r="C1475" t="s">
        <v>3280</v>
      </c>
      <c r="D1475" t="s">
        <v>30</v>
      </c>
      <c r="E1475" t="s">
        <v>814</v>
      </c>
      <c r="F1475">
        <v>4500313102</v>
      </c>
      <c r="G1475" t="s">
        <v>3281</v>
      </c>
      <c r="H1475" t="s">
        <v>2789</v>
      </c>
      <c r="I1475" t="s">
        <v>1721</v>
      </c>
      <c r="J1475" t="s">
        <v>814</v>
      </c>
      <c r="K1475" s="2">
        <v>8434</v>
      </c>
      <c r="L1475" t="s">
        <v>6408</v>
      </c>
      <c r="M1475" t="str" cm="1">
        <f t="array" ref="M1475">INDEX('Org List'!$A$2:$C$1005,MATCH(Consolidated!I1475&amp;Consolidated!J1475,'Org List'!$A$2:$A$1005&amp;'Org List'!$B$2:$B$1005,0),3)</f>
        <v>NGOs: National</v>
      </c>
    </row>
    <row r="1476" spans="1:13" x14ac:dyDescent="0.25">
      <c r="A1476" t="s">
        <v>2783</v>
      </c>
      <c r="B1476" t="s">
        <v>2730</v>
      </c>
      <c r="C1476" t="s">
        <v>3280</v>
      </c>
      <c r="D1476" t="s">
        <v>30</v>
      </c>
      <c r="E1476" t="s">
        <v>814</v>
      </c>
      <c r="F1476">
        <v>4500315890</v>
      </c>
      <c r="G1476" t="s">
        <v>3282</v>
      </c>
      <c r="H1476" t="s">
        <v>2789</v>
      </c>
      <c r="I1476" t="s">
        <v>113</v>
      </c>
      <c r="J1476" t="s">
        <v>814</v>
      </c>
      <c r="K1476" s="2">
        <v>8387</v>
      </c>
      <c r="L1476" t="s">
        <v>6408</v>
      </c>
      <c r="M1476" t="str" cm="1">
        <f t="array" ref="M1476">INDEX('Org List'!$A$2:$C$1005,MATCH(Consolidated!I1476&amp;Consolidated!J1476,'Org List'!$A$2:$A$1005&amp;'Org List'!$B$2:$B$1005,0),3)</f>
        <v>NGOs: National</v>
      </c>
    </row>
    <row r="1477" spans="1:13" x14ac:dyDescent="0.25">
      <c r="A1477" t="s">
        <v>2783</v>
      </c>
      <c r="B1477" t="s">
        <v>2730</v>
      </c>
      <c r="C1477" t="s">
        <v>3280</v>
      </c>
      <c r="D1477" t="s">
        <v>30</v>
      </c>
      <c r="E1477" t="s">
        <v>814</v>
      </c>
      <c r="F1477">
        <v>4500315935</v>
      </c>
      <c r="G1477" t="s">
        <v>3282</v>
      </c>
      <c r="H1477" t="s">
        <v>2789</v>
      </c>
      <c r="I1477" t="s">
        <v>114</v>
      </c>
      <c r="J1477" t="s">
        <v>814</v>
      </c>
      <c r="K1477" s="2">
        <v>8387</v>
      </c>
      <c r="L1477" t="s">
        <v>6408</v>
      </c>
      <c r="M1477" t="str" cm="1">
        <f t="array" ref="M1477">INDEX('Org List'!$A$2:$C$1005,MATCH(Consolidated!I1477&amp;Consolidated!J1477,'Org List'!$A$2:$A$1005&amp;'Org List'!$B$2:$B$1005,0),3)</f>
        <v>NGOs: National</v>
      </c>
    </row>
    <row r="1478" spans="1:13" x14ac:dyDescent="0.25">
      <c r="A1478" t="s">
        <v>2783</v>
      </c>
      <c r="B1478" t="s">
        <v>2730</v>
      </c>
      <c r="C1478" t="s">
        <v>3280</v>
      </c>
      <c r="D1478" t="s">
        <v>30</v>
      </c>
      <c r="E1478" t="s">
        <v>814</v>
      </c>
      <c r="F1478">
        <v>4500321775</v>
      </c>
      <c r="G1478" t="s">
        <v>3283</v>
      </c>
      <c r="H1478" t="s">
        <v>2789</v>
      </c>
      <c r="I1478" t="s">
        <v>1721</v>
      </c>
      <c r="J1478" t="s">
        <v>814</v>
      </c>
      <c r="K1478" s="2">
        <v>4906</v>
      </c>
      <c r="L1478" t="s">
        <v>6408</v>
      </c>
      <c r="M1478" t="str" cm="1">
        <f t="array" ref="M1478">INDEX('Org List'!$A$2:$C$1005,MATCH(Consolidated!I1478&amp;Consolidated!J1478,'Org List'!$A$2:$A$1005&amp;'Org List'!$B$2:$B$1005,0),3)</f>
        <v>NGOs: National</v>
      </c>
    </row>
    <row r="1479" spans="1:13" x14ac:dyDescent="0.25">
      <c r="A1479" t="s">
        <v>2783</v>
      </c>
      <c r="B1479" t="s">
        <v>3284</v>
      </c>
      <c r="C1479" t="s">
        <v>3285</v>
      </c>
      <c r="D1479" t="s">
        <v>30</v>
      </c>
      <c r="E1479" t="s">
        <v>320</v>
      </c>
      <c r="F1479">
        <v>4500309797</v>
      </c>
      <c r="G1479" t="s">
        <v>2200</v>
      </c>
      <c r="H1479" t="s">
        <v>2789</v>
      </c>
      <c r="I1479" t="s">
        <v>3286</v>
      </c>
      <c r="J1479" t="s">
        <v>320</v>
      </c>
      <c r="K1479" s="2">
        <v>6574</v>
      </c>
      <c r="L1479" t="s">
        <v>6408</v>
      </c>
      <c r="M1479" t="str" cm="1">
        <f t="array" ref="M1479">INDEX('Org List'!$A$2:$C$1005,MATCH(Consolidated!I1479&amp;Consolidated!J1479,'Org List'!$A$2:$A$1005&amp;'Org List'!$B$2:$B$1005,0),3)</f>
        <v>NGOs: National</v>
      </c>
    </row>
    <row r="1480" spans="1:13" x14ac:dyDescent="0.25">
      <c r="A1480" t="s">
        <v>2783</v>
      </c>
      <c r="B1480" t="s">
        <v>3284</v>
      </c>
      <c r="C1480" t="s">
        <v>3285</v>
      </c>
      <c r="D1480" t="s">
        <v>30</v>
      </c>
      <c r="E1480" t="s">
        <v>320</v>
      </c>
      <c r="F1480">
        <v>4500309798</v>
      </c>
      <c r="G1480" t="s">
        <v>2200</v>
      </c>
      <c r="H1480" t="s">
        <v>2789</v>
      </c>
      <c r="I1480" t="s">
        <v>3286</v>
      </c>
      <c r="J1480" t="s">
        <v>320</v>
      </c>
      <c r="K1480" s="2">
        <v>10206</v>
      </c>
      <c r="L1480" t="s">
        <v>6408</v>
      </c>
      <c r="M1480" t="str" cm="1">
        <f t="array" ref="M1480">INDEX('Org List'!$A$2:$C$1005,MATCH(Consolidated!I1480&amp;Consolidated!J1480,'Org List'!$A$2:$A$1005&amp;'Org List'!$B$2:$B$1005,0),3)</f>
        <v>NGOs: National</v>
      </c>
    </row>
    <row r="1481" spans="1:13" x14ac:dyDescent="0.25">
      <c r="A1481" t="s">
        <v>2783</v>
      </c>
      <c r="B1481" t="s">
        <v>2736</v>
      </c>
      <c r="C1481" t="s">
        <v>3287</v>
      </c>
      <c r="D1481" t="s">
        <v>30</v>
      </c>
      <c r="E1481" t="s">
        <v>54</v>
      </c>
      <c r="F1481">
        <v>4500302641</v>
      </c>
      <c r="G1481" t="s">
        <v>3288</v>
      </c>
      <c r="H1481" t="s">
        <v>2789</v>
      </c>
      <c r="I1481" t="s">
        <v>1248</v>
      </c>
      <c r="J1481" t="s">
        <v>54</v>
      </c>
      <c r="K1481" s="2">
        <v>7386</v>
      </c>
      <c r="L1481" t="s">
        <v>6408</v>
      </c>
      <c r="M1481" t="str" cm="1">
        <f t="array" ref="M1481">INDEX('Org List'!$A$2:$C$1005,MATCH(Consolidated!I1481&amp;Consolidated!J1481,'Org List'!$A$2:$A$1005&amp;'Org List'!$B$2:$B$1005,0),3)</f>
        <v>NGOs: National</v>
      </c>
    </row>
    <row r="1482" spans="1:13" x14ac:dyDescent="0.25">
      <c r="A1482" t="s">
        <v>2783</v>
      </c>
      <c r="B1482" t="s">
        <v>2736</v>
      </c>
      <c r="C1482" t="s">
        <v>3287</v>
      </c>
      <c r="D1482" t="s">
        <v>30</v>
      </c>
      <c r="E1482" t="s">
        <v>54</v>
      </c>
      <c r="F1482">
        <v>4500309066</v>
      </c>
      <c r="G1482" t="s">
        <v>3289</v>
      </c>
      <c r="H1482" t="s">
        <v>2789</v>
      </c>
      <c r="I1482" t="s">
        <v>1728</v>
      </c>
      <c r="J1482" t="s">
        <v>54</v>
      </c>
      <c r="K1482" s="2">
        <v>6435</v>
      </c>
      <c r="L1482" t="s">
        <v>6408</v>
      </c>
      <c r="M1482" t="str" cm="1">
        <f t="array" ref="M1482">INDEX('Org List'!$A$2:$C$1005,MATCH(Consolidated!I1482&amp;Consolidated!J1482,'Org List'!$A$2:$A$1005&amp;'Org List'!$B$2:$B$1005,0),3)</f>
        <v>NGOs: National</v>
      </c>
    </row>
    <row r="1483" spans="1:13" x14ac:dyDescent="0.25">
      <c r="A1483" t="s">
        <v>2783</v>
      </c>
      <c r="B1483" t="s">
        <v>2736</v>
      </c>
      <c r="C1483" t="s">
        <v>3287</v>
      </c>
      <c r="D1483" t="s">
        <v>30</v>
      </c>
      <c r="E1483" t="s">
        <v>54</v>
      </c>
      <c r="F1483">
        <v>4500320504</v>
      </c>
      <c r="G1483" t="s">
        <v>3290</v>
      </c>
      <c r="H1483" t="s">
        <v>2789</v>
      </c>
      <c r="I1483" t="s">
        <v>1707</v>
      </c>
      <c r="J1483" t="s">
        <v>54</v>
      </c>
      <c r="K1483" s="2">
        <v>64324</v>
      </c>
      <c r="L1483" t="s">
        <v>6408</v>
      </c>
      <c r="M1483" t="str" cm="1">
        <f t="array" ref="M1483">INDEX('Org List'!$A$2:$C$1005,MATCH(Consolidated!I1483&amp;Consolidated!J1483,'Org List'!$A$2:$A$1005&amp;'Org List'!$B$2:$B$1005,0),3)</f>
        <v>NGOs: National</v>
      </c>
    </row>
    <row r="1484" spans="1:13" x14ac:dyDescent="0.25">
      <c r="A1484" t="s">
        <v>2783</v>
      </c>
      <c r="B1484" t="s">
        <v>3291</v>
      </c>
      <c r="C1484" t="s">
        <v>3292</v>
      </c>
      <c r="D1484" t="s">
        <v>30</v>
      </c>
      <c r="E1484" t="s">
        <v>54</v>
      </c>
      <c r="F1484">
        <v>4500305402</v>
      </c>
      <c r="G1484" t="s">
        <v>2950</v>
      </c>
      <c r="H1484" t="s">
        <v>2789</v>
      </c>
      <c r="I1484" t="s">
        <v>2269</v>
      </c>
      <c r="J1484" t="s">
        <v>54</v>
      </c>
      <c r="K1484">
        <v>607</v>
      </c>
      <c r="L1484" t="s">
        <v>6408</v>
      </c>
      <c r="M1484" t="str" cm="1">
        <f t="array" ref="M1484">INDEX('Org List'!$A$2:$C$1005,MATCH(Consolidated!I1484&amp;Consolidated!J1484,'Org List'!$A$2:$A$1005&amp;'Org List'!$B$2:$B$1005,0),3)</f>
        <v>NGOs: National</v>
      </c>
    </row>
    <row r="1485" spans="1:13" x14ac:dyDescent="0.25">
      <c r="A1485" t="s">
        <v>2783</v>
      </c>
      <c r="B1485" t="s">
        <v>3293</v>
      </c>
      <c r="C1485" t="s">
        <v>3294</v>
      </c>
      <c r="D1485" t="s">
        <v>30</v>
      </c>
      <c r="E1485" t="s">
        <v>226</v>
      </c>
      <c r="F1485">
        <v>4500302023</v>
      </c>
      <c r="G1485" t="s">
        <v>3295</v>
      </c>
      <c r="H1485" t="s">
        <v>2789</v>
      </c>
      <c r="I1485" t="s">
        <v>3296</v>
      </c>
      <c r="J1485" t="s">
        <v>226</v>
      </c>
      <c r="K1485" s="2">
        <v>111074</v>
      </c>
      <c r="L1485" t="s">
        <v>6408</v>
      </c>
      <c r="M1485" t="str" cm="1">
        <f t="array" ref="M1485">INDEX('Org List'!$A$2:$C$1005,MATCH(Consolidated!I1485&amp;Consolidated!J1485,'Org List'!$A$2:$A$1005&amp;'Org List'!$B$2:$B$1005,0),3)</f>
        <v>NGOs: National</v>
      </c>
    </row>
    <row r="1486" spans="1:13" x14ac:dyDescent="0.25">
      <c r="A1486" t="s">
        <v>2783</v>
      </c>
      <c r="B1486" t="s">
        <v>3293</v>
      </c>
      <c r="C1486" t="s">
        <v>3294</v>
      </c>
      <c r="D1486" t="s">
        <v>30</v>
      </c>
      <c r="E1486" t="s">
        <v>226</v>
      </c>
      <c r="F1486">
        <v>4500303641</v>
      </c>
      <c r="G1486" t="s">
        <v>3297</v>
      </c>
      <c r="H1486" t="s">
        <v>2789</v>
      </c>
      <c r="I1486" t="s">
        <v>3298</v>
      </c>
      <c r="J1486" t="s">
        <v>226</v>
      </c>
      <c r="K1486" s="2">
        <v>91102</v>
      </c>
      <c r="L1486" t="s">
        <v>6408</v>
      </c>
      <c r="M1486" t="str" cm="1">
        <f t="array" ref="M1486">INDEX('Org List'!$A$2:$C$1005,MATCH(Consolidated!I1486&amp;Consolidated!J1486,'Org List'!$A$2:$A$1005&amp;'Org List'!$B$2:$B$1005,0),3)</f>
        <v>Red Cross: National</v>
      </c>
    </row>
    <row r="1487" spans="1:13" x14ac:dyDescent="0.25">
      <c r="A1487" t="s">
        <v>2783</v>
      </c>
      <c r="B1487" t="s">
        <v>2158</v>
      </c>
      <c r="C1487" t="s">
        <v>3299</v>
      </c>
      <c r="D1487" t="s">
        <v>30</v>
      </c>
      <c r="E1487" t="s">
        <v>123</v>
      </c>
      <c r="F1487">
        <v>4500318454</v>
      </c>
      <c r="G1487" t="s">
        <v>2200</v>
      </c>
      <c r="H1487" t="s">
        <v>2789</v>
      </c>
      <c r="I1487" t="s">
        <v>3300</v>
      </c>
      <c r="J1487" t="s">
        <v>123</v>
      </c>
      <c r="K1487" s="2">
        <v>6783</v>
      </c>
      <c r="L1487" t="s">
        <v>6408</v>
      </c>
      <c r="M1487" t="str" cm="1">
        <f t="array" ref="M1487">INDEX('Org List'!$A$2:$C$1005,MATCH(Consolidated!I1487&amp;Consolidated!J1487,'Org List'!$A$2:$A$1005&amp;'Org List'!$B$2:$B$1005,0),3)</f>
        <v>NGOs: National</v>
      </c>
    </row>
    <row r="1488" spans="1:13" x14ac:dyDescent="0.25">
      <c r="A1488" t="s">
        <v>2783</v>
      </c>
      <c r="B1488" t="s">
        <v>2158</v>
      </c>
      <c r="C1488" t="s">
        <v>3299</v>
      </c>
      <c r="D1488" t="s">
        <v>30</v>
      </c>
      <c r="E1488" t="s">
        <v>123</v>
      </c>
      <c r="F1488">
        <v>4500323718</v>
      </c>
      <c r="G1488" t="s">
        <v>2200</v>
      </c>
      <c r="H1488" t="s">
        <v>2789</v>
      </c>
      <c r="I1488" t="s">
        <v>124</v>
      </c>
      <c r="J1488" t="s">
        <v>123</v>
      </c>
      <c r="K1488" s="2">
        <v>45210</v>
      </c>
      <c r="L1488" t="s">
        <v>6408</v>
      </c>
      <c r="M1488" t="str" cm="1">
        <f t="array" ref="M1488">INDEX('Org List'!$A$2:$C$1005,MATCH(Consolidated!I1488&amp;Consolidated!J1488,'Org List'!$A$2:$A$1005&amp;'Org List'!$B$2:$B$1005,0),3)</f>
        <v>NGOs: National</v>
      </c>
    </row>
    <row r="1489" spans="1:13" x14ac:dyDescent="0.25">
      <c r="A1489" t="s">
        <v>2783</v>
      </c>
      <c r="B1489" t="s">
        <v>1639</v>
      </c>
      <c r="C1489" t="s">
        <v>3301</v>
      </c>
      <c r="D1489" t="s">
        <v>30</v>
      </c>
      <c r="E1489" t="s">
        <v>123</v>
      </c>
      <c r="F1489">
        <v>4500316256</v>
      </c>
      <c r="G1489" t="s">
        <v>2200</v>
      </c>
      <c r="H1489" t="s">
        <v>2789</v>
      </c>
      <c r="I1489" t="s">
        <v>1730</v>
      </c>
      <c r="J1489" t="s">
        <v>123</v>
      </c>
      <c r="K1489" s="2">
        <v>175000</v>
      </c>
      <c r="L1489" t="s">
        <v>6408</v>
      </c>
      <c r="M1489" t="str" cm="1">
        <f t="array" ref="M1489">INDEX('Org List'!$A$2:$C$1005,MATCH(Consolidated!I1489&amp;Consolidated!J1489,'Org List'!$A$2:$A$1005&amp;'Org List'!$B$2:$B$1005,0),3)</f>
        <v>NGOs: National</v>
      </c>
    </row>
    <row r="1490" spans="1:13" x14ac:dyDescent="0.25">
      <c r="A1490" t="s">
        <v>3331</v>
      </c>
      <c r="B1490" t="s">
        <v>3328</v>
      </c>
      <c r="C1490" t="s">
        <v>3329</v>
      </c>
      <c r="D1490" t="s">
        <v>30</v>
      </c>
      <c r="E1490" t="s">
        <v>305</v>
      </c>
      <c r="F1490">
        <v>4500295271</v>
      </c>
      <c r="G1490" t="s">
        <v>3330</v>
      </c>
      <c r="H1490" t="s">
        <v>713</v>
      </c>
      <c r="I1490" t="s">
        <v>1329</v>
      </c>
      <c r="J1490" t="s">
        <v>305</v>
      </c>
      <c r="K1490" s="1">
        <v>100050</v>
      </c>
      <c r="L1490" t="s">
        <v>6408</v>
      </c>
      <c r="M1490" t="str" cm="1">
        <f t="array" ref="M1490">INDEX('Org List'!$A$2:$C$1005,MATCH(Consolidated!I1490&amp;Consolidated!J1490,'Org List'!$A$2:$A$1005&amp;'Org List'!$B$2:$B$1005,0),3)</f>
        <v>NGOs: National</v>
      </c>
    </row>
    <row r="1491" spans="1:13" x14ac:dyDescent="0.25">
      <c r="A1491" t="s">
        <v>3331</v>
      </c>
      <c r="B1491" t="s">
        <v>2298</v>
      </c>
      <c r="C1491" t="s">
        <v>2299</v>
      </c>
      <c r="D1491" t="s">
        <v>30</v>
      </c>
      <c r="E1491" t="s">
        <v>1166</v>
      </c>
      <c r="F1491">
        <v>4500277640</v>
      </c>
      <c r="G1491" t="s">
        <v>3403</v>
      </c>
      <c r="H1491" t="s">
        <v>3334</v>
      </c>
      <c r="I1491" t="s">
        <v>3404</v>
      </c>
      <c r="J1491" t="s">
        <v>1166</v>
      </c>
      <c r="K1491" s="1">
        <v>22597.62</v>
      </c>
      <c r="L1491" t="s">
        <v>6408</v>
      </c>
      <c r="M1491" t="str" cm="1">
        <f t="array" ref="M1491">INDEX('Org List'!$A$2:$C$1005,MATCH(Consolidated!I1491&amp;Consolidated!J1491,'Org List'!$A$2:$A$1005&amp;'Org List'!$B$2:$B$1005,0),3)</f>
        <v>Red Cross: National</v>
      </c>
    </row>
    <row r="1492" spans="1:13" x14ac:dyDescent="0.25">
      <c r="A1492" t="s">
        <v>3331</v>
      </c>
      <c r="B1492" t="s">
        <v>3405</v>
      </c>
      <c r="C1492" t="s">
        <v>3406</v>
      </c>
      <c r="D1492" t="s">
        <v>30</v>
      </c>
      <c r="E1492" t="s">
        <v>940</v>
      </c>
      <c r="F1492">
        <v>4500283644</v>
      </c>
      <c r="G1492" t="s">
        <v>2200</v>
      </c>
      <c r="H1492" t="s">
        <v>3334</v>
      </c>
      <c r="I1492" t="s">
        <v>1260</v>
      </c>
      <c r="J1492" t="s">
        <v>940</v>
      </c>
      <c r="K1492" s="1">
        <v>3859</v>
      </c>
      <c r="L1492" t="s">
        <v>6408</v>
      </c>
      <c r="M1492" t="str" cm="1">
        <f t="array" ref="M1492">INDEX('Org List'!$A$2:$C$1005,MATCH(Consolidated!I1492&amp;Consolidated!J1492,'Org List'!$A$2:$A$1005&amp;'Org List'!$B$2:$B$1005,0),3)</f>
        <v>NGOs: National</v>
      </c>
    </row>
    <row r="1493" spans="1:13" x14ac:dyDescent="0.25">
      <c r="A1493" t="s">
        <v>3331</v>
      </c>
      <c r="B1493" t="s">
        <v>3405</v>
      </c>
      <c r="C1493" t="s">
        <v>3406</v>
      </c>
      <c r="D1493" t="s">
        <v>30</v>
      </c>
      <c r="E1493" t="s">
        <v>940</v>
      </c>
      <c r="F1493">
        <v>4500283652</v>
      </c>
      <c r="G1493" t="s">
        <v>2200</v>
      </c>
      <c r="H1493" t="s">
        <v>3334</v>
      </c>
      <c r="I1493" t="s">
        <v>1259</v>
      </c>
      <c r="J1493" t="s">
        <v>940</v>
      </c>
      <c r="K1493" s="1">
        <v>4127.08</v>
      </c>
      <c r="L1493" t="s">
        <v>6408</v>
      </c>
      <c r="M1493" t="str" cm="1">
        <f t="array" ref="M1493">INDEX('Org List'!$A$2:$C$1005,MATCH(Consolidated!I1493&amp;Consolidated!J1493,'Org List'!$A$2:$A$1005&amp;'Org List'!$B$2:$B$1005,0),3)</f>
        <v>NGOs: National</v>
      </c>
    </row>
    <row r="1494" spans="1:13" x14ac:dyDescent="0.25">
      <c r="A1494" t="s">
        <v>3331</v>
      </c>
      <c r="B1494" t="s">
        <v>3405</v>
      </c>
      <c r="C1494" t="s">
        <v>3406</v>
      </c>
      <c r="D1494" t="s">
        <v>30</v>
      </c>
      <c r="E1494" t="s">
        <v>940</v>
      </c>
      <c r="F1494">
        <v>4500283672</v>
      </c>
      <c r="G1494" t="s">
        <v>2200</v>
      </c>
      <c r="H1494" t="s">
        <v>3334</v>
      </c>
      <c r="I1494" t="s">
        <v>1260</v>
      </c>
      <c r="J1494" t="s">
        <v>940</v>
      </c>
      <c r="K1494" s="1">
        <v>3830.36</v>
      </c>
      <c r="L1494" t="s">
        <v>6408</v>
      </c>
      <c r="M1494" t="str" cm="1">
        <f t="array" ref="M1494">INDEX('Org List'!$A$2:$C$1005,MATCH(Consolidated!I1494&amp;Consolidated!J1494,'Org List'!$A$2:$A$1005&amp;'Org List'!$B$2:$B$1005,0),3)</f>
        <v>NGOs: National</v>
      </c>
    </row>
    <row r="1495" spans="1:13" x14ac:dyDescent="0.25">
      <c r="A1495" t="s">
        <v>3331</v>
      </c>
      <c r="B1495" t="s">
        <v>3405</v>
      </c>
      <c r="C1495" t="s">
        <v>3406</v>
      </c>
      <c r="D1495" t="s">
        <v>30</v>
      </c>
      <c r="E1495" t="s">
        <v>940</v>
      </c>
      <c r="F1495">
        <v>4500283685</v>
      </c>
      <c r="G1495" t="s">
        <v>2200</v>
      </c>
      <c r="H1495" t="s">
        <v>3334</v>
      </c>
      <c r="I1495" t="s">
        <v>2201</v>
      </c>
      <c r="J1495" t="s">
        <v>940</v>
      </c>
      <c r="K1495" s="1">
        <v>4453.32</v>
      </c>
      <c r="L1495" t="s">
        <v>6408</v>
      </c>
      <c r="M1495" t="str" cm="1">
        <f t="array" ref="M1495">INDEX('Org List'!$A$2:$C$1005,MATCH(Consolidated!I1495&amp;Consolidated!J1495,'Org List'!$A$2:$A$1005&amp;'Org List'!$B$2:$B$1005,0),3)</f>
        <v>NGOs: National</v>
      </c>
    </row>
    <row r="1496" spans="1:13" x14ac:dyDescent="0.25">
      <c r="A1496" t="s">
        <v>3331</v>
      </c>
      <c r="B1496" t="s">
        <v>66</v>
      </c>
      <c r="C1496" t="s">
        <v>67</v>
      </c>
      <c r="D1496" t="s">
        <v>30</v>
      </c>
      <c r="E1496" t="s">
        <v>1166</v>
      </c>
      <c r="F1496">
        <v>4500279809</v>
      </c>
      <c r="G1496" t="s">
        <v>3407</v>
      </c>
      <c r="H1496" t="s">
        <v>3334</v>
      </c>
      <c r="I1496" t="s">
        <v>1837</v>
      </c>
      <c r="J1496" t="s">
        <v>1166</v>
      </c>
      <c r="K1496" s="1">
        <v>1257833.95</v>
      </c>
      <c r="L1496" t="s">
        <v>6408</v>
      </c>
      <c r="M1496" t="str" cm="1">
        <f t="array" ref="M1496">INDEX('Org List'!$A$2:$C$1005,MATCH(Consolidated!I1496&amp;Consolidated!J1496,'Org List'!$A$2:$A$1005&amp;'Org List'!$B$2:$B$1005,0),3)</f>
        <v>Multilateral: UN</v>
      </c>
    </row>
    <row r="1497" spans="1:13" x14ac:dyDescent="0.25">
      <c r="A1497" t="s">
        <v>3331</v>
      </c>
      <c r="B1497" t="s">
        <v>66</v>
      </c>
      <c r="C1497" t="s">
        <v>67</v>
      </c>
      <c r="D1497" t="s">
        <v>30</v>
      </c>
      <c r="E1497" t="s">
        <v>1166</v>
      </c>
      <c r="F1497">
        <v>4500279818</v>
      </c>
      <c r="G1497" t="s">
        <v>3407</v>
      </c>
      <c r="H1497" t="s">
        <v>3334</v>
      </c>
      <c r="I1497" t="s">
        <v>3408</v>
      </c>
      <c r="J1497" t="s">
        <v>1166</v>
      </c>
      <c r="K1497" s="1">
        <v>1462526.87</v>
      </c>
      <c r="L1497" t="s">
        <v>6408</v>
      </c>
      <c r="M1497" t="str" cm="1">
        <f t="array" ref="M1497">INDEX('Org List'!$A$2:$C$1005,MATCH(Consolidated!I1497&amp;Consolidated!J1497,'Org List'!$A$2:$A$1005&amp;'Org List'!$B$2:$B$1005,0),3)</f>
        <v>Multilateral: UN</v>
      </c>
    </row>
    <row r="1498" spans="1:13" x14ac:dyDescent="0.25">
      <c r="A1498" t="s">
        <v>3331</v>
      </c>
      <c r="B1498" t="s">
        <v>66</v>
      </c>
      <c r="C1498" t="s">
        <v>67</v>
      </c>
      <c r="D1498" t="s">
        <v>30</v>
      </c>
      <c r="E1498" t="s">
        <v>1166</v>
      </c>
      <c r="F1498">
        <v>4500279834</v>
      </c>
      <c r="G1498" t="s">
        <v>3407</v>
      </c>
      <c r="H1498" t="s">
        <v>3334</v>
      </c>
      <c r="I1498" t="s">
        <v>771</v>
      </c>
      <c r="J1498" t="s">
        <v>1166</v>
      </c>
      <c r="K1498" s="1">
        <v>2892689.61</v>
      </c>
      <c r="L1498" t="s">
        <v>6408</v>
      </c>
      <c r="M1498" t="str" cm="1">
        <f t="array" ref="M1498">INDEX('Org List'!$A$2:$C$1005,MATCH(Consolidated!I1498&amp;Consolidated!J1498,'Org List'!$A$2:$A$1005&amp;'Org List'!$B$2:$B$1005,0),3)</f>
        <v>Multilateral: UN</v>
      </c>
    </row>
    <row r="1499" spans="1:13" x14ac:dyDescent="0.25">
      <c r="A1499" t="s">
        <v>3331</v>
      </c>
      <c r="B1499" t="s">
        <v>1946</v>
      </c>
      <c r="C1499" t="s">
        <v>1947</v>
      </c>
      <c r="D1499" t="s">
        <v>30</v>
      </c>
      <c r="E1499" t="s">
        <v>83</v>
      </c>
      <c r="F1499">
        <v>4500278364</v>
      </c>
      <c r="G1499" t="s">
        <v>2357</v>
      </c>
      <c r="H1499" t="s">
        <v>3334</v>
      </c>
      <c r="I1499" t="s">
        <v>86</v>
      </c>
      <c r="J1499" t="s">
        <v>83</v>
      </c>
      <c r="K1499" s="1">
        <v>333475</v>
      </c>
      <c r="L1499" t="s">
        <v>6408</v>
      </c>
      <c r="M1499" t="str" cm="1">
        <f t="array" ref="M1499">INDEX('Org List'!$A$2:$C$1005,MATCH(Consolidated!I1499&amp;Consolidated!J1499,'Org List'!$A$2:$A$1005&amp;'Org List'!$B$2:$B$1005,0),3)</f>
        <v>NGOs: International</v>
      </c>
    </row>
    <row r="1500" spans="1:13" x14ac:dyDescent="0.25">
      <c r="A1500" t="s">
        <v>3331</v>
      </c>
      <c r="B1500" t="s">
        <v>1946</v>
      </c>
      <c r="C1500" t="s">
        <v>1947</v>
      </c>
      <c r="D1500" t="s">
        <v>30</v>
      </c>
      <c r="E1500" t="s">
        <v>83</v>
      </c>
      <c r="F1500">
        <v>4500297833</v>
      </c>
      <c r="G1500" t="s">
        <v>2357</v>
      </c>
      <c r="H1500" t="s">
        <v>3334</v>
      </c>
      <c r="I1500" t="s">
        <v>85</v>
      </c>
      <c r="J1500" t="s">
        <v>83</v>
      </c>
      <c r="K1500" s="1">
        <v>301200</v>
      </c>
      <c r="L1500" t="s">
        <v>6408</v>
      </c>
      <c r="M1500" t="str" cm="1">
        <f t="array" ref="M1500">INDEX('Org List'!$A$2:$C$1005,MATCH(Consolidated!I1500&amp;Consolidated!J1500,'Org List'!$A$2:$A$1005&amp;'Org List'!$B$2:$B$1005,0),3)</f>
        <v>NGOs: International</v>
      </c>
    </row>
    <row r="1501" spans="1:13" x14ac:dyDescent="0.25">
      <c r="A1501" t="s">
        <v>3331</v>
      </c>
      <c r="B1501" t="s">
        <v>3409</v>
      </c>
      <c r="C1501" t="s">
        <v>3410</v>
      </c>
      <c r="D1501" t="s">
        <v>30</v>
      </c>
      <c r="E1501" t="s">
        <v>253</v>
      </c>
      <c r="F1501">
        <v>4500290874</v>
      </c>
      <c r="G1501" t="s">
        <v>3411</v>
      </c>
      <c r="H1501" t="s">
        <v>3334</v>
      </c>
      <c r="I1501" t="s">
        <v>156</v>
      </c>
      <c r="J1501" t="s">
        <v>184</v>
      </c>
      <c r="K1501" s="1">
        <v>156000</v>
      </c>
      <c r="L1501" t="s">
        <v>6408</v>
      </c>
      <c r="M1501" t="str" cm="1">
        <f t="array" ref="M1501">INDEX('Org List'!$A$2:$C$1005,MATCH(Consolidated!I1501&amp;Consolidated!J1501,'Org List'!$A$2:$A$1005&amp;'Org List'!$B$2:$B$1005,0),3)</f>
        <v>NGOs: International</v>
      </c>
    </row>
    <row r="1502" spans="1:13" x14ac:dyDescent="0.25">
      <c r="A1502" t="s">
        <v>3331</v>
      </c>
      <c r="B1502" t="s">
        <v>3412</v>
      </c>
      <c r="C1502" t="s">
        <v>3413</v>
      </c>
      <c r="D1502" t="s">
        <v>30</v>
      </c>
      <c r="E1502" t="s">
        <v>486</v>
      </c>
      <c r="F1502">
        <v>4500277528</v>
      </c>
      <c r="G1502" t="s">
        <v>2357</v>
      </c>
      <c r="H1502" t="s">
        <v>3334</v>
      </c>
      <c r="I1502" t="s">
        <v>2376</v>
      </c>
      <c r="J1502" t="s">
        <v>751</v>
      </c>
      <c r="K1502" s="1">
        <v>48793</v>
      </c>
      <c r="L1502" t="s">
        <v>6408</v>
      </c>
      <c r="M1502" t="str" cm="1">
        <f t="array" ref="M1502">INDEX('Org List'!$A$2:$C$1005,MATCH(Consolidated!I1502&amp;Consolidated!J1502,'Org List'!$A$2:$A$1005&amp;'Org List'!$B$2:$B$1005,0),3)</f>
        <v>NGOs: International</v>
      </c>
    </row>
    <row r="1503" spans="1:13" x14ac:dyDescent="0.25">
      <c r="A1503" t="s">
        <v>3331</v>
      </c>
      <c r="B1503" t="s">
        <v>3414</v>
      </c>
      <c r="C1503" t="s">
        <v>231</v>
      </c>
      <c r="D1503" t="s">
        <v>30</v>
      </c>
      <c r="E1503" t="s">
        <v>175</v>
      </c>
      <c r="F1503">
        <v>4500298438</v>
      </c>
      <c r="G1503" t="s">
        <v>3415</v>
      </c>
      <c r="H1503" t="s">
        <v>3334</v>
      </c>
      <c r="I1503" t="s">
        <v>3416</v>
      </c>
      <c r="J1503" t="s">
        <v>175</v>
      </c>
      <c r="K1503" s="1">
        <v>82247</v>
      </c>
      <c r="L1503" t="s">
        <v>6408</v>
      </c>
      <c r="M1503" t="str" cm="1">
        <f t="array" ref="M1503">INDEX('Org List'!$A$2:$C$1005,MATCH(Consolidated!I1503&amp;Consolidated!J1503,'Org List'!$A$2:$A$1005&amp;'Org List'!$B$2:$B$1005,0),3)</f>
        <v>NGOs: International</v>
      </c>
    </row>
    <row r="1504" spans="1:13" x14ac:dyDescent="0.25">
      <c r="A1504" t="s">
        <v>3331</v>
      </c>
      <c r="B1504" t="s">
        <v>2856</v>
      </c>
      <c r="C1504" t="s">
        <v>3417</v>
      </c>
      <c r="D1504" t="s">
        <v>30</v>
      </c>
      <c r="E1504" t="s">
        <v>717</v>
      </c>
      <c r="F1504">
        <v>4500276921</v>
      </c>
      <c r="G1504" t="s">
        <v>3418</v>
      </c>
      <c r="H1504" t="s">
        <v>3334</v>
      </c>
      <c r="I1504" t="s">
        <v>727</v>
      </c>
      <c r="J1504" t="s">
        <v>717</v>
      </c>
      <c r="K1504" s="1">
        <v>104276.15</v>
      </c>
      <c r="L1504" t="s">
        <v>6408</v>
      </c>
      <c r="M1504" t="str" cm="1">
        <f t="array" ref="M1504">INDEX('Org List'!$A$2:$C$1005,MATCH(Consolidated!I1504&amp;Consolidated!J1504,'Org List'!$A$2:$A$1005&amp;'Org List'!$B$2:$B$1005,0),3)</f>
        <v>NGOs: International</v>
      </c>
    </row>
    <row r="1505" spans="1:13" x14ac:dyDescent="0.25">
      <c r="A1505" t="s">
        <v>3331</v>
      </c>
      <c r="B1505" t="s">
        <v>2856</v>
      </c>
      <c r="C1505" t="s">
        <v>3417</v>
      </c>
      <c r="D1505" t="s">
        <v>30</v>
      </c>
      <c r="E1505" t="s">
        <v>717</v>
      </c>
      <c r="F1505">
        <v>4500278541</v>
      </c>
      <c r="G1505" t="s">
        <v>3419</v>
      </c>
      <c r="H1505" t="s">
        <v>3334</v>
      </c>
      <c r="I1505" t="s">
        <v>3420</v>
      </c>
      <c r="J1505" t="s">
        <v>717</v>
      </c>
      <c r="K1505" s="1">
        <v>39801.019999999997</v>
      </c>
      <c r="L1505" t="s">
        <v>6408</v>
      </c>
      <c r="M1505" t="str" cm="1">
        <f t="array" ref="M1505">INDEX('Org List'!$A$2:$C$1005,MATCH(Consolidated!I1505&amp;Consolidated!J1505,'Org List'!$A$2:$A$1005&amp;'Org List'!$B$2:$B$1005,0),3)</f>
        <v>NGOs: National</v>
      </c>
    </row>
    <row r="1506" spans="1:13" x14ac:dyDescent="0.25">
      <c r="A1506" t="s">
        <v>3331</v>
      </c>
      <c r="B1506" t="s">
        <v>2856</v>
      </c>
      <c r="C1506" t="s">
        <v>3417</v>
      </c>
      <c r="D1506" t="s">
        <v>30</v>
      </c>
      <c r="E1506" t="s">
        <v>717</v>
      </c>
      <c r="F1506">
        <v>4500278546</v>
      </c>
      <c r="G1506" t="s">
        <v>3421</v>
      </c>
      <c r="H1506" t="s">
        <v>3334</v>
      </c>
      <c r="I1506" t="s">
        <v>3422</v>
      </c>
      <c r="J1506" t="s">
        <v>717</v>
      </c>
      <c r="K1506" s="1">
        <v>46082</v>
      </c>
      <c r="L1506" t="s">
        <v>6408</v>
      </c>
      <c r="M1506" t="str" cm="1">
        <f t="array" ref="M1506">INDEX('Org List'!$A$2:$C$1005,MATCH(Consolidated!I1506&amp;Consolidated!J1506,'Org List'!$A$2:$A$1005&amp;'Org List'!$B$2:$B$1005,0),3)</f>
        <v>NGOs: National</v>
      </c>
    </row>
    <row r="1507" spans="1:13" x14ac:dyDescent="0.25">
      <c r="A1507" t="s">
        <v>3331</v>
      </c>
      <c r="B1507" t="s">
        <v>2856</v>
      </c>
      <c r="C1507" t="s">
        <v>3417</v>
      </c>
      <c r="D1507" t="s">
        <v>30</v>
      </c>
      <c r="E1507" t="s">
        <v>717</v>
      </c>
      <c r="F1507">
        <v>4500288506</v>
      </c>
      <c r="G1507" t="s">
        <v>3423</v>
      </c>
      <c r="H1507" t="s">
        <v>3334</v>
      </c>
      <c r="I1507" t="s">
        <v>2796</v>
      </c>
      <c r="J1507" t="s">
        <v>717</v>
      </c>
      <c r="K1507" s="1">
        <v>28215</v>
      </c>
      <c r="L1507" t="s">
        <v>6408</v>
      </c>
      <c r="M1507" t="str" cm="1">
        <f t="array" ref="M1507">INDEX('Org List'!$A$2:$C$1005,MATCH(Consolidated!I1507&amp;Consolidated!J1507,'Org List'!$A$2:$A$1005&amp;'Org List'!$B$2:$B$1005,0),3)</f>
        <v>NGOs: Local</v>
      </c>
    </row>
    <row r="1508" spans="1:13" x14ac:dyDescent="0.25">
      <c r="A1508" t="s">
        <v>3331</v>
      </c>
      <c r="B1508" t="s">
        <v>2856</v>
      </c>
      <c r="C1508" t="s">
        <v>3417</v>
      </c>
      <c r="D1508" t="s">
        <v>30</v>
      </c>
      <c r="E1508" t="s">
        <v>717</v>
      </c>
      <c r="F1508">
        <v>4500288514</v>
      </c>
      <c r="G1508" t="s">
        <v>3424</v>
      </c>
      <c r="H1508" t="s">
        <v>3334</v>
      </c>
      <c r="I1508" t="s">
        <v>720</v>
      </c>
      <c r="J1508" t="s">
        <v>717</v>
      </c>
      <c r="K1508" s="1">
        <v>59379.57</v>
      </c>
      <c r="L1508" t="s">
        <v>6408</v>
      </c>
      <c r="M1508" t="str" cm="1">
        <f t="array" ref="M1508">INDEX('Org List'!$A$2:$C$1005,MATCH(Consolidated!I1508&amp;Consolidated!J1508,'Org List'!$A$2:$A$1005&amp;'Org List'!$B$2:$B$1005,0),3)</f>
        <v>NGOs: National</v>
      </c>
    </row>
    <row r="1509" spans="1:13" x14ac:dyDescent="0.25">
      <c r="A1509" t="s">
        <v>3331</v>
      </c>
      <c r="B1509" t="s">
        <v>2856</v>
      </c>
      <c r="C1509" t="s">
        <v>3417</v>
      </c>
      <c r="D1509" t="s">
        <v>30</v>
      </c>
      <c r="E1509" t="s">
        <v>717</v>
      </c>
      <c r="F1509">
        <v>4500291425</v>
      </c>
      <c r="G1509" t="s">
        <v>3425</v>
      </c>
      <c r="H1509" t="s">
        <v>3334</v>
      </c>
      <c r="I1509" t="s">
        <v>728</v>
      </c>
      <c r="J1509" t="s">
        <v>717</v>
      </c>
      <c r="K1509" s="1">
        <v>93604.87</v>
      </c>
      <c r="L1509" t="s">
        <v>6408</v>
      </c>
      <c r="M1509" t="str" cm="1">
        <f t="array" ref="M1509">INDEX('Org List'!$A$2:$C$1005,MATCH(Consolidated!I1509&amp;Consolidated!J1509,'Org List'!$A$2:$A$1005&amp;'Org List'!$B$2:$B$1005,0),3)</f>
        <v>NGOs: National</v>
      </c>
    </row>
    <row r="1510" spans="1:13" x14ac:dyDescent="0.25">
      <c r="A1510" t="s">
        <v>3331</v>
      </c>
      <c r="B1510" t="s">
        <v>2859</v>
      </c>
      <c r="C1510" t="s">
        <v>3426</v>
      </c>
      <c r="D1510" t="s">
        <v>30</v>
      </c>
      <c r="E1510" t="s">
        <v>175</v>
      </c>
      <c r="F1510">
        <v>4500290659</v>
      </c>
      <c r="G1510" t="s">
        <v>3427</v>
      </c>
      <c r="H1510" t="s">
        <v>3334</v>
      </c>
      <c r="I1510" t="s">
        <v>395</v>
      </c>
      <c r="J1510" t="s">
        <v>175</v>
      </c>
      <c r="K1510" s="1">
        <v>40352.85</v>
      </c>
      <c r="L1510" t="s">
        <v>6408</v>
      </c>
      <c r="M1510" t="str" cm="1">
        <f t="array" ref="M1510">INDEX('Org List'!$A$2:$C$1005,MATCH(Consolidated!I1510&amp;Consolidated!J1510,'Org List'!$A$2:$A$1005&amp;'Org List'!$B$2:$B$1005,0),3)</f>
        <v>NGOs: National</v>
      </c>
    </row>
    <row r="1511" spans="1:13" x14ac:dyDescent="0.25">
      <c r="A1511" t="s">
        <v>3331</v>
      </c>
      <c r="B1511" t="s">
        <v>2859</v>
      </c>
      <c r="C1511" t="s">
        <v>3426</v>
      </c>
      <c r="D1511" t="s">
        <v>30</v>
      </c>
      <c r="E1511" t="s">
        <v>175</v>
      </c>
      <c r="F1511">
        <v>4500290668</v>
      </c>
      <c r="G1511" t="s">
        <v>3428</v>
      </c>
      <c r="H1511" t="s">
        <v>3334</v>
      </c>
      <c r="I1511" t="s">
        <v>233</v>
      </c>
      <c r="J1511" t="s">
        <v>175</v>
      </c>
      <c r="K1511" s="1">
        <v>100793.77</v>
      </c>
      <c r="L1511" t="s">
        <v>6408</v>
      </c>
      <c r="M1511" t="str" cm="1">
        <f t="array" ref="M1511">INDEX('Org List'!$A$2:$C$1005,MATCH(Consolidated!I1511&amp;Consolidated!J1511,'Org List'!$A$2:$A$1005&amp;'Org List'!$B$2:$B$1005,0),3)</f>
        <v>NGOs: National</v>
      </c>
    </row>
    <row r="1512" spans="1:13" x14ac:dyDescent="0.25">
      <c r="A1512" t="s">
        <v>3331</v>
      </c>
      <c r="B1512" t="s">
        <v>3429</v>
      </c>
      <c r="C1512" t="s">
        <v>3430</v>
      </c>
      <c r="D1512" t="s">
        <v>30</v>
      </c>
      <c r="E1512" t="s">
        <v>253</v>
      </c>
      <c r="F1512">
        <v>4500297519</v>
      </c>
      <c r="G1512" t="s">
        <v>3431</v>
      </c>
      <c r="H1512" t="s">
        <v>3334</v>
      </c>
      <c r="I1512" t="s">
        <v>1362</v>
      </c>
      <c r="J1512" t="s">
        <v>253</v>
      </c>
      <c r="K1512" s="1">
        <v>18152.64</v>
      </c>
      <c r="L1512" t="s">
        <v>6408</v>
      </c>
      <c r="M1512" t="str" cm="1">
        <f t="array" ref="M1512">INDEX('Org List'!$A$2:$C$1005,MATCH(Consolidated!I1512&amp;Consolidated!J1512,'Org List'!$A$2:$A$1005&amp;'Org List'!$B$2:$B$1005,0),3)</f>
        <v>Red Cross: National</v>
      </c>
    </row>
    <row r="1513" spans="1:13" x14ac:dyDescent="0.25">
      <c r="A1513" t="s">
        <v>3331</v>
      </c>
      <c r="B1513" t="s">
        <v>2865</v>
      </c>
      <c r="C1513" t="s">
        <v>3432</v>
      </c>
      <c r="D1513" t="s">
        <v>30</v>
      </c>
      <c r="E1513" t="s">
        <v>717</v>
      </c>
      <c r="F1513">
        <v>4500288490</v>
      </c>
      <c r="G1513" t="s">
        <v>3433</v>
      </c>
      <c r="H1513" t="s">
        <v>3334</v>
      </c>
      <c r="I1513" t="s">
        <v>2868</v>
      </c>
      <c r="J1513" t="s">
        <v>717</v>
      </c>
      <c r="K1513" s="1">
        <v>63274.3</v>
      </c>
      <c r="L1513" t="s">
        <v>6408</v>
      </c>
      <c r="M1513" t="str" cm="1">
        <f t="array" ref="M1513">INDEX('Org List'!$A$2:$C$1005,MATCH(Consolidated!I1513&amp;Consolidated!J1513,'Org List'!$A$2:$A$1005&amp;'Org List'!$B$2:$B$1005,0),3)</f>
        <v>NGOs: International</v>
      </c>
    </row>
    <row r="1514" spans="1:13" x14ac:dyDescent="0.25">
      <c r="A1514" t="s">
        <v>3331</v>
      </c>
      <c r="B1514" t="s">
        <v>2865</v>
      </c>
      <c r="C1514" t="s">
        <v>3432</v>
      </c>
      <c r="D1514" t="s">
        <v>30</v>
      </c>
      <c r="E1514" t="s">
        <v>717</v>
      </c>
      <c r="F1514">
        <v>4500291421</v>
      </c>
      <c r="G1514" t="s">
        <v>3434</v>
      </c>
      <c r="H1514" t="s">
        <v>3334</v>
      </c>
      <c r="I1514" t="s">
        <v>3435</v>
      </c>
      <c r="J1514" t="s">
        <v>402</v>
      </c>
      <c r="K1514" s="1">
        <v>193085</v>
      </c>
      <c r="L1514" t="s">
        <v>6408</v>
      </c>
      <c r="M1514" t="str" cm="1">
        <f t="array" ref="M1514">INDEX('Org List'!$A$2:$C$1005,MATCH(Consolidated!I1514&amp;Consolidated!J1514,'Org List'!$A$2:$A$1005&amp;'Org List'!$B$2:$B$1005,0),3)</f>
        <v>NGOs: International</v>
      </c>
    </row>
    <row r="1515" spans="1:13" x14ac:dyDescent="0.25">
      <c r="A1515" t="s">
        <v>3331</v>
      </c>
      <c r="B1515" t="s">
        <v>3436</v>
      </c>
      <c r="C1515" t="s">
        <v>3437</v>
      </c>
      <c r="D1515" t="s">
        <v>30</v>
      </c>
      <c r="E1515" t="s">
        <v>83</v>
      </c>
      <c r="F1515">
        <v>4500289967</v>
      </c>
      <c r="G1515" t="s">
        <v>2357</v>
      </c>
      <c r="H1515" t="s">
        <v>3334</v>
      </c>
      <c r="I1515" t="s">
        <v>85</v>
      </c>
      <c r="J1515" t="s">
        <v>83</v>
      </c>
      <c r="K1515" s="1">
        <v>76938.48</v>
      </c>
      <c r="L1515" t="s">
        <v>6408</v>
      </c>
      <c r="M1515" t="str" cm="1">
        <f t="array" ref="M1515">INDEX('Org List'!$A$2:$C$1005,MATCH(Consolidated!I1515&amp;Consolidated!J1515,'Org List'!$A$2:$A$1005&amp;'Org List'!$B$2:$B$1005,0),3)</f>
        <v>NGOs: International</v>
      </c>
    </row>
    <row r="1516" spans="1:13" x14ac:dyDescent="0.25">
      <c r="A1516" t="s">
        <v>3331</v>
      </c>
      <c r="B1516" t="s">
        <v>1243</v>
      </c>
      <c r="C1516" t="s">
        <v>1244</v>
      </c>
      <c r="D1516" t="s">
        <v>30</v>
      </c>
      <c r="E1516" t="s">
        <v>32</v>
      </c>
      <c r="F1516">
        <v>4500285100</v>
      </c>
      <c r="G1516" t="s">
        <v>3438</v>
      </c>
      <c r="H1516" t="s">
        <v>3334</v>
      </c>
      <c r="I1516" t="s">
        <v>3439</v>
      </c>
      <c r="J1516" t="s">
        <v>32</v>
      </c>
      <c r="K1516" s="1">
        <v>99545</v>
      </c>
      <c r="L1516" t="s">
        <v>6408</v>
      </c>
      <c r="M1516" t="str" cm="1">
        <f t="array" ref="M1516">INDEX('Org List'!$A$2:$C$1005,MATCH(Consolidated!I1516&amp;Consolidated!J1516,'Org List'!$A$2:$A$1005&amp;'Org List'!$B$2:$B$1005,0),3)</f>
        <v>NGOs: National</v>
      </c>
    </row>
    <row r="1517" spans="1:13" x14ac:dyDescent="0.25">
      <c r="A1517" t="s">
        <v>3331</v>
      </c>
      <c r="B1517" t="s">
        <v>3440</v>
      </c>
      <c r="C1517" t="s">
        <v>3441</v>
      </c>
      <c r="D1517" t="s">
        <v>30</v>
      </c>
      <c r="E1517" t="s">
        <v>1346</v>
      </c>
      <c r="F1517">
        <v>4500296518</v>
      </c>
      <c r="G1517" t="s">
        <v>3442</v>
      </c>
      <c r="H1517" t="s">
        <v>3334</v>
      </c>
      <c r="I1517" t="s">
        <v>2041</v>
      </c>
      <c r="J1517" t="s">
        <v>1346</v>
      </c>
      <c r="K1517" s="1">
        <v>941921</v>
      </c>
      <c r="L1517" t="s">
        <v>6408</v>
      </c>
      <c r="M1517" t="str" cm="1">
        <f t="array" ref="M1517">INDEX('Org List'!$A$2:$C$1005,MATCH(Consolidated!I1517&amp;Consolidated!J1517,'Org List'!$A$2:$A$1005&amp;'Org List'!$B$2:$B$1005,0),3)</f>
        <v>Red Cross: National</v>
      </c>
    </row>
    <row r="1518" spans="1:13" x14ac:dyDescent="0.25">
      <c r="A1518" t="s">
        <v>3331</v>
      </c>
      <c r="B1518" t="s">
        <v>3443</v>
      </c>
      <c r="C1518" t="s">
        <v>3444</v>
      </c>
      <c r="D1518" t="s">
        <v>30</v>
      </c>
      <c r="E1518" t="s">
        <v>257</v>
      </c>
      <c r="F1518">
        <v>4500282253</v>
      </c>
      <c r="G1518" t="s">
        <v>3445</v>
      </c>
      <c r="H1518" t="s">
        <v>3334</v>
      </c>
      <c r="I1518" t="s">
        <v>3446</v>
      </c>
      <c r="J1518" t="s">
        <v>257</v>
      </c>
      <c r="K1518" s="1">
        <v>73019.58</v>
      </c>
      <c r="L1518" t="s">
        <v>6408</v>
      </c>
      <c r="M1518" t="str" cm="1">
        <f t="array" ref="M1518">INDEX('Org List'!$A$2:$C$1005,MATCH(Consolidated!I1518&amp;Consolidated!J1518,'Org List'!$A$2:$A$1005&amp;'Org List'!$B$2:$B$1005,0),3)</f>
        <v>NGOs: Local</v>
      </c>
    </row>
    <row r="1519" spans="1:13" x14ac:dyDescent="0.25">
      <c r="A1519" t="s">
        <v>3331</v>
      </c>
      <c r="B1519" t="s">
        <v>3447</v>
      </c>
      <c r="C1519" t="s">
        <v>3448</v>
      </c>
      <c r="D1519" t="s">
        <v>30</v>
      </c>
      <c r="E1519" t="s">
        <v>72</v>
      </c>
      <c r="F1519">
        <v>4500287823</v>
      </c>
      <c r="G1519" t="s">
        <v>3449</v>
      </c>
      <c r="H1519" t="s">
        <v>3334</v>
      </c>
      <c r="I1519" t="s">
        <v>3450</v>
      </c>
      <c r="J1519" t="s">
        <v>402</v>
      </c>
      <c r="K1519" s="1">
        <v>1099128.54</v>
      </c>
      <c r="L1519" t="s">
        <v>6408</v>
      </c>
      <c r="M1519" t="str" cm="1">
        <f t="array" ref="M1519">INDEX('Org List'!$A$2:$C$1005,MATCH(Consolidated!I1519&amp;Consolidated!J1519,'Org List'!$A$2:$A$1005&amp;'Org List'!$B$2:$B$1005,0),3)</f>
        <v>NGOs: International</v>
      </c>
    </row>
    <row r="1520" spans="1:13" x14ac:dyDescent="0.25">
      <c r="A1520" t="s">
        <v>3331</v>
      </c>
      <c r="B1520" t="s">
        <v>3451</v>
      </c>
      <c r="C1520" t="s">
        <v>3452</v>
      </c>
      <c r="D1520" t="s">
        <v>30</v>
      </c>
      <c r="E1520" t="s">
        <v>175</v>
      </c>
      <c r="F1520">
        <v>4500279611</v>
      </c>
      <c r="G1520" t="s">
        <v>3453</v>
      </c>
      <c r="H1520" t="s">
        <v>3334</v>
      </c>
      <c r="I1520" t="s">
        <v>685</v>
      </c>
      <c r="J1520" t="s">
        <v>175</v>
      </c>
      <c r="K1520" s="1">
        <v>102199.01</v>
      </c>
      <c r="L1520" t="s">
        <v>6408</v>
      </c>
      <c r="M1520" t="str" cm="1">
        <f t="array" ref="M1520">INDEX('Org List'!$A$2:$C$1005,MATCH(Consolidated!I1520&amp;Consolidated!J1520,'Org List'!$A$2:$A$1005&amp;'Org List'!$B$2:$B$1005,0),3)</f>
        <v>NGOs: National</v>
      </c>
    </row>
    <row r="1521" spans="1:13" x14ac:dyDescent="0.25">
      <c r="A1521" t="s">
        <v>3331</v>
      </c>
      <c r="B1521" t="s">
        <v>3451</v>
      </c>
      <c r="C1521" t="s">
        <v>3452</v>
      </c>
      <c r="D1521" t="s">
        <v>30</v>
      </c>
      <c r="E1521" t="s">
        <v>175</v>
      </c>
      <c r="F1521">
        <v>4500283241</v>
      </c>
      <c r="G1521" t="s">
        <v>3454</v>
      </c>
      <c r="H1521" t="s">
        <v>3334</v>
      </c>
      <c r="I1521" t="s">
        <v>185</v>
      </c>
      <c r="J1521" t="s">
        <v>175</v>
      </c>
      <c r="K1521" s="1">
        <v>44999.87</v>
      </c>
      <c r="L1521" t="s">
        <v>6408</v>
      </c>
      <c r="M1521" t="str" cm="1">
        <f t="array" ref="M1521">INDEX('Org List'!$A$2:$C$1005,MATCH(Consolidated!I1521&amp;Consolidated!J1521,'Org List'!$A$2:$A$1005&amp;'Org List'!$B$2:$B$1005,0),3)</f>
        <v>NGOs: National</v>
      </c>
    </row>
    <row r="1522" spans="1:13" x14ac:dyDescent="0.25">
      <c r="A1522" t="s">
        <v>3331</v>
      </c>
      <c r="B1522" t="s">
        <v>3451</v>
      </c>
      <c r="C1522" t="s">
        <v>3452</v>
      </c>
      <c r="D1522" t="s">
        <v>30</v>
      </c>
      <c r="E1522" t="s">
        <v>175</v>
      </c>
      <c r="F1522">
        <v>4500284041</v>
      </c>
      <c r="G1522" t="s">
        <v>3455</v>
      </c>
      <c r="H1522" t="s">
        <v>3334</v>
      </c>
      <c r="I1522" t="s">
        <v>183</v>
      </c>
      <c r="J1522" t="s">
        <v>184</v>
      </c>
      <c r="K1522" s="1">
        <v>322900</v>
      </c>
      <c r="L1522" t="s">
        <v>6408</v>
      </c>
      <c r="M1522" t="str" cm="1">
        <f t="array" ref="M1522">INDEX('Org List'!$A$2:$C$1005,MATCH(Consolidated!I1522&amp;Consolidated!J1522,'Org List'!$A$2:$A$1005&amp;'Org List'!$B$2:$B$1005,0),3)</f>
        <v>NGOs: International</v>
      </c>
    </row>
    <row r="1523" spans="1:13" x14ac:dyDescent="0.25">
      <c r="A1523" t="s">
        <v>3331</v>
      </c>
      <c r="B1523" t="s">
        <v>3451</v>
      </c>
      <c r="C1523" t="s">
        <v>3452</v>
      </c>
      <c r="D1523" t="s">
        <v>30</v>
      </c>
      <c r="E1523" t="s">
        <v>175</v>
      </c>
      <c r="F1523">
        <v>4500284075</v>
      </c>
      <c r="G1523" t="s">
        <v>3456</v>
      </c>
      <c r="H1523" t="s">
        <v>3334</v>
      </c>
      <c r="I1523" t="s">
        <v>1833</v>
      </c>
      <c r="J1523" t="s">
        <v>175</v>
      </c>
      <c r="K1523" s="1">
        <v>42750.62</v>
      </c>
      <c r="L1523" t="s">
        <v>6408</v>
      </c>
      <c r="M1523" t="str" cm="1">
        <f t="array" ref="M1523">INDEX('Org List'!$A$2:$C$1005,MATCH(Consolidated!I1523&amp;Consolidated!J1523,'Org List'!$A$2:$A$1005&amp;'Org List'!$B$2:$B$1005,0),3)</f>
        <v>NGOs: Local</v>
      </c>
    </row>
    <row r="1524" spans="1:13" x14ac:dyDescent="0.25">
      <c r="A1524" t="s">
        <v>3331</v>
      </c>
      <c r="B1524" t="s">
        <v>3451</v>
      </c>
      <c r="C1524" t="s">
        <v>3452</v>
      </c>
      <c r="D1524" t="s">
        <v>30</v>
      </c>
      <c r="E1524" t="s">
        <v>175</v>
      </c>
      <c r="F1524">
        <v>4500284189</v>
      </c>
      <c r="G1524" t="s">
        <v>3457</v>
      </c>
      <c r="H1524" t="s">
        <v>3334</v>
      </c>
      <c r="I1524" t="s">
        <v>1831</v>
      </c>
      <c r="J1524" t="s">
        <v>175</v>
      </c>
      <c r="K1524" s="1">
        <v>26503.14</v>
      </c>
      <c r="L1524" t="s">
        <v>6408</v>
      </c>
      <c r="M1524" t="str" cm="1">
        <f t="array" ref="M1524">INDEX('Org List'!$A$2:$C$1005,MATCH(Consolidated!I1524&amp;Consolidated!J1524,'Org List'!$A$2:$A$1005&amp;'Org List'!$B$2:$B$1005,0),3)</f>
        <v>NGOs: National</v>
      </c>
    </row>
    <row r="1525" spans="1:13" x14ac:dyDescent="0.25">
      <c r="A1525" t="s">
        <v>3331</v>
      </c>
      <c r="B1525" t="s">
        <v>3451</v>
      </c>
      <c r="C1525" t="s">
        <v>3452</v>
      </c>
      <c r="D1525" t="s">
        <v>30</v>
      </c>
      <c r="E1525" t="s">
        <v>175</v>
      </c>
      <c r="F1525">
        <v>4500284215</v>
      </c>
      <c r="G1525" t="s">
        <v>3458</v>
      </c>
      <c r="H1525" t="s">
        <v>3334</v>
      </c>
      <c r="I1525" t="s">
        <v>186</v>
      </c>
      <c r="J1525" t="s">
        <v>175</v>
      </c>
      <c r="K1525" s="1">
        <v>70052.91</v>
      </c>
      <c r="L1525" t="s">
        <v>6408</v>
      </c>
      <c r="M1525" t="str" cm="1">
        <f t="array" ref="M1525">INDEX('Org List'!$A$2:$C$1005,MATCH(Consolidated!I1525&amp;Consolidated!J1525,'Org List'!$A$2:$A$1005&amp;'Org List'!$B$2:$B$1005,0),3)</f>
        <v>NGOs: National</v>
      </c>
    </row>
    <row r="1526" spans="1:13" x14ac:dyDescent="0.25">
      <c r="A1526" t="s">
        <v>3331</v>
      </c>
      <c r="B1526" t="s">
        <v>3451</v>
      </c>
      <c r="C1526" t="s">
        <v>3452</v>
      </c>
      <c r="D1526" t="s">
        <v>30</v>
      </c>
      <c r="E1526" t="s">
        <v>175</v>
      </c>
      <c r="F1526">
        <v>4500286912</v>
      </c>
      <c r="G1526" t="s">
        <v>2200</v>
      </c>
      <c r="H1526" t="s">
        <v>3334</v>
      </c>
      <c r="I1526" t="s">
        <v>1832</v>
      </c>
      <c r="J1526" t="s">
        <v>175</v>
      </c>
      <c r="K1526" s="1">
        <v>101470.59</v>
      </c>
      <c r="L1526" t="s">
        <v>6408</v>
      </c>
      <c r="M1526" t="str" cm="1">
        <f t="array" ref="M1526">INDEX('Org List'!$A$2:$C$1005,MATCH(Consolidated!I1526&amp;Consolidated!J1526,'Org List'!$A$2:$A$1005&amp;'Org List'!$B$2:$B$1005,0),3)</f>
        <v>NGOs: National</v>
      </c>
    </row>
    <row r="1527" spans="1:13" x14ac:dyDescent="0.25">
      <c r="A1527" t="s">
        <v>3331</v>
      </c>
      <c r="B1527" t="s">
        <v>3451</v>
      </c>
      <c r="C1527" t="s">
        <v>3452</v>
      </c>
      <c r="D1527" t="s">
        <v>30</v>
      </c>
      <c r="E1527" t="s">
        <v>175</v>
      </c>
      <c r="F1527">
        <v>4500287061</v>
      </c>
      <c r="G1527" t="s">
        <v>2200</v>
      </c>
      <c r="H1527" t="s">
        <v>3334</v>
      </c>
      <c r="I1527" t="s">
        <v>2974</v>
      </c>
      <c r="J1527" t="s">
        <v>175</v>
      </c>
      <c r="K1527" s="1">
        <v>157515.34</v>
      </c>
      <c r="L1527" t="s">
        <v>6408</v>
      </c>
      <c r="M1527" t="str" cm="1">
        <f t="array" ref="M1527">INDEX('Org List'!$A$2:$C$1005,MATCH(Consolidated!I1527&amp;Consolidated!J1527,'Org List'!$A$2:$A$1005&amp;'Org List'!$B$2:$B$1005,0),3)</f>
        <v>NGOs: National</v>
      </c>
    </row>
    <row r="1528" spans="1:13" x14ac:dyDescent="0.25">
      <c r="A1528" t="s">
        <v>3331</v>
      </c>
      <c r="B1528" t="s">
        <v>3451</v>
      </c>
      <c r="C1528" t="s">
        <v>3452</v>
      </c>
      <c r="D1528" t="s">
        <v>30</v>
      </c>
      <c r="E1528" t="s">
        <v>175</v>
      </c>
      <c r="F1528">
        <v>4500287071</v>
      </c>
      <c r="G1528" t="s">
        <v>2357</v>
      </c>
      <c r="H1528" t="s">
        <v>3334</v>
      </c>
      <c r="I1528" t="s">
        <v>887</v>
      </c>
      <c r="J1528" t="s">
        <v>175</v>
      </c>
      <c r="K1528" s="1">
        <v>151368</v>
      </c>
      <c r="L1528" t="s">
        <v>6408</v>
      </c>
      <c r="M1528" t="str" cm="1">
        <f t="array" ref="M1528">INDEX('Org List'!$A$2:$C$1005,MATCH(Consolidated!I1528&amp;Consolidated!J1528,'Org List'!$A$2:$A$1005&amp;'Org List'!$B$2:$B$1005,0),3)</f>
        <v>NGOs: International</v>
      </c>
    </row>
    <row r="1529" spans="1:13" x14ac:dyDescent="0.25">
      <c r="A1529" t="s">
        <v>3331</v>
      </c>
      <c r="B1529" t="s">
        <v>3451</v>
      </c>
      <c r="C1529" t="s">
        <v>3452</v>
      </c>
      <c r="D1529" t="s">
        <v>30</v>
      </c>
      <c r="E1529" t="s">
        <v>175</v>
      </c>
      <c r="F1529">
        <v>4500290671</v>
      </c>
      <c r="G1529" t="s">
        <v>3459</v>
      </c>
      <c r="H1529" t="s">
        <v>3334</v>
      </c>
      <c r="I1529" t="s">
        <v>187</v>
      </c>
      <c r="J1529" t="s">
        <v>175</v>
      </c>
      <c r="K1529" s="1">
        <v>79831.929999999993</v>
      </c>
      <c r="L1529" t="s">
        <v>6408</v>
      </c>
      <c r="M1529" t="str" cm="1">
        <f t="array" ref="M1529">INDEX('Org List'!$A$2:$C$1005,MATCH(Consolidated!I1529&amp;Consolidated!J1529,'Org List'!$A$2:$A$1005&amp;'Org List'!$B$2:$B$1005,0),3)</f>
        <v>NGOs: National</v>
      </c>
    </row>
    <row r="1530" spans="1:13" x14ac:dyDescent="0.25">
      <c r="A1530" t="s">
        <v>3331</v>
      </c>
      <c r="B1530" t="s">
        <v>3460</v>
      </c>
      <c r="C1530" t="s">
        <v>3461</v>
      </c>
      <c r="D1530" t="s">
        <v>30</v>
      </c>
      <c r="E1530" t="s">
        <v>197</v>
      </c>
      <c r="F1530">
        <v>4500279103</v>
      </c>
      <c r="G1530" t="s">
        <v>3462</v>
      </c>
      <c r="H1530" t="s">
        <v>3334</v>
      </c>
      <c r="I1530" t="s">
        <v>861</v>
      </c>
      <c r="J1530" t="s">
        <v>197</v>
      </c>
      <c r="K1530" s="1">
        <v>54887.59</v>
      </c>
      <c r="L1530" t="s">
        <v>6408</v>
      </c>
      <c r="M1530" t="str" cm="1">
        <f t="array" ref="M1530">INDEX('Org List'!$A$2:$C$1005,MATCH(Consolidated!I1530&amp;Consolidated!J1530,'Org List'!$A$2:$A$1005&amp;'Org List'!$B$2:$B$1005,0),3)</f>
        <v>NGOs: National</v>
      </c>
    </row>
    <row r="1531" spans="1:13" x14ac:dyDescent="0.25">
      <c r="A1531" t="s">
        <v>3331</v>
      </c>
      <c r="B1531" t="s">
        <v>3460</v>
      </c>
      <c r="C1531" t="s">
        <v>3461</v>
      </c>
      <c r="D1531" t="s">
        <v>30</v>
      </c>
      <c r="E1531" t="s">
        <v>197</v>
      </c>
      <c r="F1531">
        <v>4500280303</v>
      </c>
      <c r="G1531" t="s">
        <v>3463</v>
      </c>
      <c r="H1531" t="s">
        <v>3334</v>
      </c>
      <c r="I1531" t="s">
        <v>1277</v>
      </c>
      <c r="J1531" t="s">
        <v>197</v>
      </c>
      <c r="K1531" s="1">
        <v>62626.73</v>
      </c>
      <c r="L1531" t="s">
        <v>6408</v>
      </c>
      <c r="M1531" t="str" cm="1">
        <f t="array" ref="M1531">INDEX('Org List'!$A$2:$C$1005,MATCH(Consolidated!I1531&amp;Consolidated!J1531,'Org List'!$A$2:$A$1005&amp;'Org List'!$B$2:$B$1005,0),3)</f>
        <v>Red Cross: National</v>
      </c>
    </row>
    <row r="1532" spans="1:13" x14ac:dyDescent="0.25">
      <c r="A1532" t="s">
        <v>3331</v>
      </c>
      <c r="B1532" t="s">
        <v>3460</v>
      </c>
      <c r="C1532" t="s">
        <v>3461</v>
      </c>
      <c r="D1532" t="s">
        <v>30</v>
      </c>
      <c r="E1532" t="s">
        <v>197</v>
      </c>
      <c r="F1532">
        <v>4500282055</v>
      </c>
      <c r="G1532" t="s">
        <v>3464</v>
      </c>
      <c r="H1532" t="s">
        <v>3334</v>
      </c>
      <c r="I1532" t="s">
        <v>1373</v>
      </c>
      <c r="J1532" t="s">
        <v>197</v>
      </c>
      <c r="K1532" s="1">
        <v>24673.42</v>
      </c>
      <c r="L1532" t="s">
        <v>6408</v>
      </c>
      <c r="M1532" t="str" cm="1">
        <f t="array" ref="M1532">INDEX('Org List'!$A$2:$C$1005,MATCH(Consolidated!I1532&amp;Consolidated!J1532,'Org List'!$A$2:$A$1005&amp;'Org List'!$B$2:$B$1005,0),3)</f>
        <v>NGOs: National</v>
      </c>
    </row>
    <row r="1533" spans="1:13" x14ac:dyDescent="0.25">
      <c r="A1533" t="s">
        <v>3331</v>
      </c>
      <c r="B1533" t="s">
        <v>3460</v>
      </c>
      <c r="C1533" t="s">
        <v>3461</v>
      </c>
      <c r="D1533" t="s">
        <v>30</v>
      </c>
      <c r="E1533" t="s">
        <v>197</v>
      </c>
      <c r="F1533">
        <v>4500283751</v>
      </c>
      <c r="G1533" t="s">
        <v>3465</v>
      </c>
      <c r="H1533" t="s">
        <v>3334</v>
      </c>
      <c r="I1533" t="s">
        <v>3466</v>
      </c>
      <c r="J1533" t="s">
        <v>197</v>
      </c>
      <c r="K1533" s="1">
        <v>4442.87</v>
      </c>
      <c r="L1533" t="s">
        <v>6408</v>
      </c>
      <c r="M1533" t="str" cm="1">
        <f t="array" ref="M1533">INDEX('Org List'!$A$2:$C$1005,MATCH(Consolidated!I1533&amp;Consolidated!J1533,'Org List'!$A$2:$A$1005&amp;'Org List'!$B$2:$B$1005,0),3)</f>
        <v>NGOs: National</v>
      </c>
    </row>
    <row r="1534" spans="1:13" x14ac:dyDescent="0.25">
      <c r="A1534" t="s">
        <v>3331</v>
      </c>
      <c r="B1534" t="s">
        <v>3460</v>
      </c>
      <c r="C1534" t="s">
        <v>3461</v>
      </c>
      <c r="D1534" t="s">
        <v>30</v>
      </c>
      <c r="E1534" t="s">
        <v>197</v>
      </c>
      <c r="F1534">
        <v>4500292008</v>
      </c>
      <c r="G1534" t="s">
        <v>3467</v>
      </c>
      <c r="H1534" t="s">
        <v>3334</v>
      </c>
      <c r="I1534" t="s">
        <v>2389</v>
      </c>
      <c r="J1534" t="s">
        <v>197</v>
      </c>
      <c r="K1534" s="1">
        <v>6298.82</v>
      </c>
      <c r="L1534" t="s">
        <v>6408</v>
      </c>
      <c r="M1534" t="str" cm="1">
        <f t="array" ref="M1534">INDEX('Org List'!$A$2:$C$1005,MATCH(Consolidated!I1534&amp;Consolidated!J1534,'Org List'!$A$2:$A$1005&amp;'Org List'!$B$2:$B$1005,0),3)</f>
        <v>NGOs: National</v>
      </c>
    </row>
    <row r="1535" spans="1:13" x14ac:dyDescent="0.25">
      <c r="A1535" t="s">
        <v>3331</v>
      </c>
      <c r="B1535" t="s">
        <v>3460</v>
      </c>
      <c r="C1535" t="s">
        <v>3461</v>
      </c>
      <c r="D1535" t="s">
        <v>30</v>
      </c>
      <c r="E1535" t="s">
        <v>197</v>
      </c>
      <c r="F1535">
        <v>4500292011</v>
      </c>
      <c r="G1535" t="s">
        <v>3468</v>
      </c>
      <c r="H1535" t="s">
        <v>3334</v>
      </c>
      <c r="I1535" t="s">
        <v>863</v>
      </c>
      <c r="J1535" t="s">
        <v>197</v>
      </c>
      <c r="K1535" s="1">
        <v>23606.84</v>
      </c>
      <c r="L1535" t="s">
        <v>6408</v>
      </c>
      <c r="M1535" t="str" cm="1">
        <f t="array" ref="M1535">INDEX('Org List'!$A$2:$C$1005,MATCH(Consolidated!I1535&amp;Consolidated!J1535,'Org List'!$A$2:$A$1005&amp;'Org List'!$B$2:$B$1005,0),3)</f>
        <v>NGOs: National</v>
      </c>
    </row>
    <row r="1536" spans="1:13" x14ac:dyDescent="0.25">
      <c r="A1536" t="s">
        <v>3331</v>
      </c>
      <c r="B1536" t="s">
        <v>3460</v>
      </c>
      <c r="C1536" t="s">
        <v>3461</v>
      </c>
      <c r="D1536" t="s">
        <v>30</v>
      </c>
      <c r="E1536" t="s">
        <v>864</v>
      </c>
      <c r="F1536">
        <v>4500289867</v>
      </c>
      <c r="G1536" t="s">
        <v>3469</v>
      </c>
      <c r="H1536" t="s">
        <v>3334</v>
      </c>
      <c r="I1536" t="s">
        <v>865</v>
      </c>
      <c r="J1536" t="s">
        <v>864</v>
      </c>
      <c r="K1536" s="1">
        <v>42900.93</v>
      </c>
      <c r="L1536" t="s">
        <v>6408</v>
      </c>
      <c r="M1536" t="str" cm="1">
        <f t="array" ref="M1536">INDEX('Org List'!$A$2:$C$1005,MATCH(Consolidated!I1536&amp;Consolidated!J1536,'Org List'!$A$2:$A$1005&amp;'Org List'!$B$2:$B$1005,0),3)</f>
        <v>NGOs: Internationally affiliated</v>
      </c>
    </row>
    <row r="1537" spans="1:13" x14ac:dyDescent="0.25">
      <c r="A1537" t="s">
        <v>3331</v>
      </c>
      <c r="B1537" t="s">
        <v>3460</v>
      </c>
      <c r="C1537" t="s">
        <v>3461</v>
      </c>
      <c r="D1537" t="s">
        <v>30</v>
      </c>
      <c r="E1537" t="s">
        <v>1278</v>
      </c>
      <c r="F1537">
        <v>4500278489</v>
      </c>
      <c r="G1537" t="s">
        <v>2200</v>
      </c>
      <c r="H1537" t="s">
        <v>3334</v>
      </c>
      <c r="I1537" t="s">
        <v>1461</v>
      </c>
      <c r="J1537" t="s">
        <v>1278</v>
      </c>
      <c r="K1537" s="1">
        <v>22302.09</v>
      </c>
      <c r="L1537" t="s">
        <v>6408</v>
      </c>
      <c r="M1537" t="str" cm="1">
        <f t="array" ref="M1537">INDEX('Org List'!$A$2:$C$1005,MATCH(Consolidated!I1537&amp;Consolidated!J1537,'Org List'!$A$2:$A$1005&amp;'Org List'!$B$2:$B$1005,0),3)</f>
        <v>NGOs: National</v>
      </c>
    </row>
    <row r="1538" spans="1:13" x14ac:dyDescent="0.25">
      <c r="A1538" t="s">
        <v>3331</v>
      </c>
      <c r="B1538" t="s">
        <v>3460</v>
      </c>
      <c r="C1538" t="s">
        <v>3461</v>
      </c>
      <c r="D1538" t="s">
        <v>30</v>
      </c>
      <c r="E1538" t="s">
        <v>201</v>
      </c>
      <c r="F1538">
        <v>4500300563</v>
      </c>
      <c r="G1538" t="s">
        <v>3470</v>
      </c>
      <c r="H1538" t="s">
        <v>3334</v>
      </c>
      <c r="I1538" t="s">
        <v>202</v>
      </c>
      <c r="J1538" t="s">
        <v>201</v>
      </c>
      <c r="K1538" s="1">
        <v>7165.9</v>
      </c>
      <c r="L1538" t="s">
        <v>6408</v>
      </c>
      <c r="M1538" t="str" cm="1">
        <f t="array" ref="M1538">INDEX('Org List'!$A$2:$C$1005,MATCH(Consolidated!I1538&amp;Consolidated!J1538,'Org List'!$A$2:$A$1005&amp;'Org List'!$B$2:$B$1005,0),3)</f>
        <v>NGOs: National</v>
      </c>
    </row>
    <row r="1539" spans="1:13" x14ac:dyDescent="0.25">
      <c r="A1539" t="s">
        <v>3331</v>
      </c>
      <c r="B1539" t="s">
        <v>3460</v>
      </c>
      <c r="C1539" t="s">
        <v>3461</v>
      </c>
      <c r="D1539" t="s">
        <v>30</v>
      </c>
      <c r="E1539" t="s">
        <v>205</v>
      </c>
      <c r="F1539">
        <v>4500280653</v>
      </c>
      <c r="G1539" t="s">
        <v>3471</v>
      </c>
      <c r="H1539" t="s">
        <v>3334</v>
      </c>
      <c r="I1539" t="s">
        <v>3472</v>
      </c>
      <c r="J1539" t="s">
        <v>205</v>
      </c>
      <c r="K1539" s="1">
        <v>350813.22</v>
      </c>
      <c r="L1539" t="s">
        <v>6408</v>
      </c>
      <c r="M1539" t="str" cm="1">
        <f t="array" ref="M1539">INDEX('Org List'!$A$2:$C$1005,MATCH(Consolidated!I1539&amp;Consolidated!J1539,'Org List'!$A$2:$A$1005&amp;'Org List'!$B$2:$B$1005,0),3)</f>
        <v>NGOs: International</v>
      </c>
    </row>
    <row r="1540" spans="1:13" x14ac:dyDescent="0.25">
      <c r="A1540" t="s">
        <v>3331</v>
      </c>
      <c r="B1540" t="s">
        <v>3460</v>
      </c>
      <c r="C1540" t="s">
        <v>3461</v>
      </c>
      <c r="D1540" t="s">
        <v>30</v>
      </c>
      <c r="E1540" t="s">
        <v>205</v>
      </c>
      <c r="F1540">
        <v>4500288629</v>
      </c>
      <c r="G1540" t="s">
        <v>3473</v>
      </c>
      <c r="H1540" t="s">
        <v>3334</v>
      </c>
      <c r="I1540" t="s">
        <v>869</v>
      </c>
      <c r="J1540" t="s">
        <v>205</v>
      </c>
      <c r="K1540" s="1">
        <v>50000</v>
      </c>
      <c r="L1540" t="s">
        <v>6408</v>
      </c>
      <c r="M1540" t="str" cm="1">
        <f t="array" ref="M1540">INDEX('Org List'!$A$2:$C$1005,MATCH(Consolidated!I1540&amp;Consolidated!J1540,'Org List'!$A$2:$A$1005&amp;'Org List'!$B$2:$B$1005,0),3)</f>
        <v>NGOs: International</v>
      </c>
    </row>
    <row r="1541" spans="1:13" x14ac:dyDescent="0.25">
      <c r="A1541" t="s">
        <v>3331</v>
      </c>
      <c r="B1541" t="s">
        <v>3460</v>
      </c>
      <c r="C1541" t="s">
        <v>3461</v>
      </c>
      <c r="D1541" t="s">
        <v>30</v>
      </c>
      <c r="E1541" t="s">
        <v>210</v>
      </c>
      <c r="F1541">
        <v>4500277807</v>
      </c>
      <c r="G1541" t="s">
        <v>3474</v>
      </c>
      <c r="H1541" t="s">
        <v>3334</v>
      </c>
      <c r="I1541" t="s">
        <v>215</v>
      </c>
      <c r="J1541" t="s">
        <v>210</v>
      </c>
      <c r="K1541" s="1">
        <v>43000</v>
      </c>
      <c r="L1541" t="s">
        <v>6408</v>
      </c>
      <c r="M1541" t="str" cm="1">
        <f t="array" ref="M1541">INDEX('Org List'!$A$2:$C$1005,MATCH(Consolidated!I1541&amp;Consolidated!J1541,'Org List'!$A$2:$A$1005&amp;'Org List'!$B$2:$B$1005,0),3)</f>
        <v>NGOs: National</v>
      </c>
    </row>
    <row r="1542" spans="1:13" x14ac:dyDescent="0.25">
      <c r="A1542" t="s">
        <v>3331</v>
      </c>
      <c r="B1542" t="s">
        <v>3460</v>
      </c>
      <c r="C1542" t="s">
        <v>3461</v>
      </c>
      <c r="D1542" t="s">
        <v>30</v>
      </c>
      <c r="E1542" t="s">
        <v>1048</v>
      </c>
      <c r="F1542">
        <v>4500285917</v>
      </c>
      <c r="G1542" t="s">
        <v>2200</v>
      </c>
      <c r="H1542" t="s">
        <v>3334</v>
      </c>
      <c r="I1542" t="s">
        <v>1049</v>
      </c>
      <c r="J1542" t="s">
        <v>1048</v>
      </c>
      <c r="K1542" s="1">
        <v>29000</v>
      </c>
      <c r="L1542" t="s">
        <v>6408</v>
      </c>
      <c r="M1542" t="str" cm="1">
        <f t="array" ref="M1542">INDEX('Org List'!$A$2:$C$1005,MATCH(Consolidated!I1542&amp;Consolidated!J1542,'Org List'!$A$2:$A$1005&amp;'Org List'!$B$2:$B$1005,0),3)</f>
        <v>NGOs: Local</v>
      </c>
    </row>
    <row r="1543" spans="1:13" x14ac:dyDescent="0.25">
      <c r="A1543" t="s">
        <v>3331</v>
      </c>
      <c r="B1543" t="s">
        <v>3460</v>
      </c>
      <c r="C1543" t="s">
        <v>3461</v>
      </c>
      <c r="D1543" t="s">
        <v>30</v>
      </c>
      <c r="E1543" t="s">
        <v>885</v>
      </c>
      <c r="F1543">
        <v>4500300909</v>
      </c>
      <c r="G1543" t="s">
        <v>3475</v>
      </c>
      <c r="H1543" t="s">
        <v>3334</v>
      </c>
      <c r="I1543" t="s">
        <v>3476</v>
      </c>
      <c r="J1543" t="s">
        <v>885</v>
      </c>
      <c r="K1543" s="1">
        <v>2000</v>
      </c>
      <c r="L1543" t="s">
        <v>6408</v>
      </c>
      <c r="M1543" t="str" cm="1">
        <f t="array" ref="M1543">INDEX('Org List'!$A$2:$C$1005,MATCH(Consolidated!I1543&amp;Consolidated!J1543,'Org List'!$A$2:$A$1005&amp;'Org List'!$B$2:$B$1005,0),3)</f>
        <v>NGOs: National</v>
      </c>
    </row>
    <row r="1544" spans="1:13" x14ac:dyDescent="0.25">
      <c r="A1544" t="s">
        <v>3331</v>
      </c>
      <c r="B1544" t="s">
        <v>3328</v>
      </c>
      <c r="C1544" t="s">
        <v>3329</v>
      </c>
      <c r="D1544" t="s">
        <v>30</v>
      </c>
      <c r="E1544" t="s">
        <v>3396</v>
      </c>
      <c r="F1544">
        <v>4500291440</v>
      </c>
      <c r="G1544" t="s">
        <v>3477</v>
      </c>
      <c r="H1544" t="s">
        <v>3334</v>
      </c>
      <c r="I1544" t="s">
        <v>3400</v>
      </c>
      <c r="J1544" t="s">
        <v>3396</v>
      </c>
      <c r="K1544" s="1">
        <v>29388.63</v>
      </c>
      <c r="L1544" t="s">
        <v>6408</v>
      </c>
      <c r="M1544" t="str" cm="1">
        <f t="array" ref="M1544">INDEX('Org List'!$A$2:$C$1005,MATCH(Consolidated!I1544&amp;Consolidated!J1544,'Org List'!$A$2:$A$1005&amp;'Org List'!$B$2:$B$1005,0),3)</f>
        <v>Red Cross: National</v>
      </c>
    </row>
    <row r="1545" spans="1:13" x14ac:dyDescent="0.25">
      <c r="A1545" t="s">
        <v>3331</v>
      </c>
      <c r="B1545" t="s">
        <v>3328</v>
      </c>
      <c r="C1545" t="s">
        <v>3329</v>
      </c>
      <c r="D1545" t="s">
        <v>30</v>
      </c>
      <c r="E1545" t="s">
        <v>289</v>
      </c>
      <c r="F1545">
        <v>4500280222</v>
      </c>
      <c r="G1545" t="s">
        <v>3478</v>
      </c>
      <c r="H1545" t="s">
        <v>3334</v>
      </c>
      <c r="I1545" t="s">
        <v>291</v>
      </c>
      <c r="J1545" t="s">
        <v>289</v>
      </c>
      <c r="K1545" s="1">
        <v>25500</v>
      </c>
      <c r="L1545" t="s">
        <v>6408</v>
      </c>
      <c r="M1545" t="str" cm="1">
        <f t="array" ref="M1545">INDEX('Org List'!$A$2:$C$1005,MATCH(Consolidated!I1545&amp;Consolidated!J1545,'Org List'!$A$2:$A$1005&amp;'Org List'!$B$2:$B$1005,0),3)</f>
        <v>NGOs: National</v>
      </c>
    </row>
    <row r="1546" spans="1:13" x14ac:dyDescent="0.25">
      <c r="A1546" t="s">
        <v>3331</v>
      </c>
      <c r="B1546" t="s">
        <v>3328</v>
      </c>
      <c r="C1546" t="s">
        <v>3329</v>
      </c>
      <c r="D1546" t="s">
        <v>30</v>
      </c>
      <c r="E1546" t="s">
        <v>289</v>
      </c>
      <c r="F1546">
        <v>4500283620</v>
      </c>
      <c r="G1546" t="s">
        <v>2200</v>
      </c>
      <c r="H1546" t="s">
        <v>3334</v>
      </c>
      <c r="I1546" t="s">
        <v>1710</v>
      </c>
      <c r="J1546" t="s">
        <v>289</v>
      </c>
      <c r="K1546" s="1">
        <v>80000</v>
      </c>
      <c r="L1546" t="s">
        <v>6408</v>
      </c>
      <c r="M1546" t="str" cm="1">
        <f t="array" ref="M1546">INDEX('Org List'!$A$2:$C$1005,MATCH(Consolidated!I1546&amp;Consolidated!J1546,'Org List'!$A$2:$A$1005&amp;'Org List'!$B$2:$B$1005,0),3)</f>
        <v>NGOs: International</v>
      </c>
    </row>
    <row r="1547" spans="1:13" x14ac:dyDescent="0.25">
      <c r="A1547" t="s">
        <v>3331</v>
      </c>
      <c r="B1547" t="s">
        <v>3328</v>
      </c>
      <c r="C1547" t="s">
        <v>3329</v>
      </c>
      <c r="D1547" t="s">
        <v>30</v>
      </c>
      <c r="E1547" t="s">
        <v>289</v>
      </c>
      <c r="F1547">
        <v>4500287161</v>
      </c>
      <c r="G1547" t="s">
        <v>2200</v>
      </c>
      <c r="H1547" t="s">
        <v>3334</v>
      </c>
      <c r="I1547" t="s">
        <v>372</v>
      </c>
      <c r="J1547" t="s">
        <v>289</v>
      </c>
      <c r="K1547" s="1">
        <v>24990</v>
      </c>
      <c r="L1547" t="s">
        <v>6408</v>
      </c>
      <c r="M1547" t="str" cm="1">
        <f t="array" ref="M1547">INDEX('Org List'!$A$2:$C$1005,MATCH(Consolidated!I1547&amp;Consolidated!J1547,'Org List'!$A$2:$A$1005&amp;'Org List'!$B$2:$B$1005,0),3)</f>
        <v>NGOs: National</v>
      </c>
    </row>
    <row r="1548" spans="1:13" x14ac:dyDescent="0.25">
      <c r="A1548" t="s">
        <v>3331</v>
      </c>
      <c r="B1548" t="s">
        <v>3328</v>
      </c>
      <c r="C1548" t="s">
        <v>3329</v>
      </c>
      <c r="D1548" t="s">
        <v>30</v>
      </c>
      <c r="E1548" t="s">
        <v>289</v>
      </c>
      <c r="F1548">
        <v>4500288640</v>
      </c>
      <c r="G1548" t="s">
        <v>3479</v>
      </c>
      <c r="H1548" t="s">
        <v>3334</v>
      </c>
      <c r="I1548" t="s">
        <v>3480</v>
      </c>
      <c r="J1548" t="s">
        <v>289</v>
      </c>
      <c r="K1548" s="1">
        <v>30000</v>
      </c>
      <c r="L1548" t="s">
        <v>6408</v>
      </c>
      <c r="M1548" t="str" cm="1">
        <f t="array" ref="M1548">INDEX('Org List'!$A$2:$C$1005,MATCH(Consolidated!I1548&amp;Consolidated!J1548,'Org List'!$A$2:$A$1005&amp;'Org List'!$B$2:$B$1005,0),3)</f>
        <v>NGOs: National</v>
      </c>
    </row>
    <row r="1549" spans="1:13" x14ac:dyDescent="0.25">
      <c r="A1549" t="s">
        <v>3331</v>
      </c>
      <c r="B1549" t="s">
        <v>3328</v>
      </c>
      <c r="C1549" t="s">
        <v>3329</v>
      </c>
      <c r="D1549" t="s">
        <v>30</v>
      </c>
      <c r="E1549" t="s">
        <v>289</v>
      </c>
      <c r="F1549">
        <v>4500291599</v>
      </c>
      <c r="G1549" t="s">
        <v>3481</v>
      </c>
      <c r="H1549" t="s">
        <v>3334</v>
      </c>
      <c r="I1549" t="s">
        <v>1710</v>
      </c>
      <c r="J1549" t="s">
        <v>289</v>
      </c>
      <c r="K1549" s="1">
        <v>93495.72</v>
      </c>
      <c r="L1549" t="s">
        <v>6408</v>
      </c>
      <c r="M1549" t="str" cm="1">
        <f t="array" ref="M1549">INDEX('Org List'!$A$2:$C$1005,MATCH(Consolidated!I1549&amp;Consolidated!J1549,'Org List'!$A$2:$A$1005&amp;'Org List'!$B$2:$B$1005,0),3)</f>
        <v>NGOs: International</v>
      </c>
    </row>
    <row r="1550" spans="1:13" x14ac:dyDescent="0.25">
      <c r="A1550" t="s">
        <v>3331</v>
      </c>
      <c r="B1550" t="s">
        <v>3328</v>
      </c>
      <c r="C1550" t="s">
        <v>3329</v>
      </c>
      <c r="D1550" t="s">
        <v>30</v>
      </c>
      <c r="E1550" t="s">
        <v>289</v>
      </c>
      <c r="F1550">
        <v>4500293798</v>
      </c>
      <c r="G1550" t="s">
        <v>2200</v>
      </c>
      <c r="H1550" t="s">
        <v>3334</v>
      </c>
      <c r="I1550" t="s">
        <v>1748</v>
      </c>
      <c r="J1550" t="s">
        <v>289</v>
      </c>
      <c r="K1550" s="1">
        <v>35540</v>
      </c>
      <c r="L1550" t="s">
        <v>6408</v>
      </c>
      <c r="M1550" t="str" cm="1">
        <f t="array" ref="M1550">INDEX('Org List'!$A$2:$C$1005,MATCH(Consolidated!I1550&amp;Consolidated!J1550,'Org List'!$A$2:$A$1005&amp;'Org List'!$B$2:$B$1005,0),3)</f>
        <v>Private Organisations: Local/National</v>
      </c>
    </row>
    <row r="1551" spans="1:13" x14ac:dyDescent="0.25">
      <c r="A1551" t="s">
        <v>3331</v>
      </c>
      <c r="B1551" t="s">
        <v>3328</v>
      </c>
      <c r="C1551" t="s">
        <v>3329</v>
      </c>
      <c r="D1551" t="s">
        <v>30</v>
      </c>
      <c r="E1551" t="s">
        <v>289</v>
      </c>
      <c r="F1551">
        <v>4500294193</v>
      </c>
      <c r="G1551" t="s">
        <v>3482</v>
      </c>
      <c r="H1551" t="s">
        <v>3334</v>
      </c>
      <c r="I1551" t="s">
        <v>3483</v>
      </c>
      <c r="J1551" t="s">
        <v>289</v>
      </c>
      <c r="K1551" s="1">
        <v>11211</v>
      </c>
      <c r="L1551" t="s">
        <v>6408</v>
      </c>
      <c r="M1551" t="str" cm="1">
        <f t="array" ref="M1551">INDEX('Org List'!$A$2:$C$1005,MATCH(Consolidated!I1551&amp;Consolidated!J1551,'Org List'!$A$2:$A$1005&amp;'Org List'!$B$2:$B$1005,0),3)</f>
        <v>Private Organisations: Local/National</v>
      </c>
    </row>
    <row r="1552" spans="1:13" x14ac:dyDescent="0.25">
      <c r="A1552" t="s">
        <v>3331</v>
      </c>
      <c r="B1552" t="s">
        <v>3328</v>
      </c>
      <c r="C1552" t="s">
        <v>3329</v>
      </c>
      <c r="D1552" t="s">
        <v>30</v>
      </c>
      <c r="E1552" t="s">
        <v>289</v>
      </c>
      <c r="F1552">
        <v>4500296211</v>
      </c>
      <c r="G1552" t="s">
        <v>3484</v>
      </c>
      <c r="H1552" t="s">
        <v>3334</v>
      </c>
      <c r="I1552" t="s">
        <v>1758</v>
      </c>
      <c r="J1552" t="s">
        <v>289</v>
      </c>
      <c r="K1552" s="1">
        <v>14970</v>
      </c>
      <c r="L1552" t="s">
        <v>6408</v>
      </c>
      <c r="M1552" t="str" cm="1">
        <f t="array" ref="M1552">INDEX('Org List'!$A$2:$C$1005,MATCH(Consolidated!I1552&amp;Consolidated!J1552,'Org List'!$A$2:$A$1005&amp;'Org List'!$B$2:$B$1005,0),3)</f>
        <v>NGOs: National</v>
      </c>
    </row>
    <row r="1553" spans="1:13" x14ac:dyDescent="0.25">
      <c r="A1553" t="s">
        <v>3331</v>
      </c>
      <c r="B1553" t="s">
        <v>3328</v>
      </c>
      <c r="C1553" t="s">
        <v>3329</v>
      </c>
      <c r="D1553" t="s">
        <v>30</v>
      </c>
      <c r="E1553" t="s">
        <v>289</v>
      </c>
      <c r="F1553">
        <v>4500299404</v>
      </c>
      <c r="G1553" t="s">
        <v>2200</v>
      </c>
      <c r="H1553" t="s">
        <v>3334</v>
      </c>
      <c r="I1553" t="s">
        <v>290</v>
      </c>
      <c r="J1553" t="s">
        <v>289</v>
      </c>
      <c r="K1553" s="1">
        <v>55022.42</v>
      </c>
      <c r="L1553" t="s">
        <v>6408</v>
      </c>
      <c r="M1553" t="str" cm="1">
        <f t="array" ref="M1553">INDEX('Org List'!$A$2:$C$1005,MATCH(Consolidated!I1553&amp;Consolidated!J1553,'Org List'!$A$2:$A$1005&amp;'Org List'!$B$2:$B$1005,0),3)</f>
        <v>NGOs: National</v>
      </c>
    </row>
    <row r="1554" spans="1:13" x14ac:dyDescent="0.25">
      <c r="A1554" t="s">
        <v>3331</v>
      </c>
      <c r="B1554" t="s">
        <v>3328</v>
      </c>
      <c r="C1554" t="s">
        <v>3329</v>
      </c>
      <c r="D1554" t="s">
        <v>30</v>
      </c>
      <c r="E1554" t="s">
        <v>289</v>
      </c>
      <c r="F1554">
        <v>4500299427</v>
      </c>
      <c r="G1554" t="s">
        <v>3485</v>
      </c>
      <c r="H1554" t="s">
        <v>3334</v>
      </c>
      <c r="I1554" t="s">
        <v>2036</v>
      </c>
      <c r="J1554" t="s">
        <v>289</v>
      </c>
      <c r="K1554" s="1">
        <v>52986.73</v>
      </c>
      <c r="L1554" t="s">
        <v>6408</v>
      </c>
      <c r="M1554" t="str" cm="1">
        <f t="array" ref="M1554">INDEX('Org List'!$A$2:$C$1005,MATCH(Consolidated!I1554&amp;Consolidated!J1554,'Org List'!$A$2:$A$1005&amp;'Org List'!$B$2:$B$1005,0),3)</f>
        <v>NGOs: National</v>
      </c>
    </row>
    <row r="1555" spans="1:13" x14ac:dyDescent="0.25">
      <c r="A1555" t="s">
        <v>3331</v>
      </c>
      <c r="B1555" t="s">
        <v>3328</v>
      </c>
      <c r="C1555" t="s">
        <v>3329</v>
      </c>
      <c r="D1555" t="s">
        <v>30</v>
      </c>
      <c r="E1555" t="s">
        <v>303</v>
      </c>
      <c r="F1555">
        <v>4500282131</v>
      </c>
      <c r="G1555" t="s">
        <v>3486</v>
      </c>
      <c r="H1555" t="s">
        <v>3334</v>
      </c>
      <c r="I1555" t="s">
        <v>869</v>
      </c>
      <c r="J1555" t="s">
        <v>303</v>
      </c>
      <c r="K1555" s="1">
        <v>451408.06</v>
      </c>
      <c r="L1555" t="s">
        <v>6408</v>
      </c>
      <c r="M1555" t="str" cm="1">
        <f t="array" ref="M1555">INDEX('Org List'!$A$2:$C$1005,MATCH(Consolidated!I1555&amp;Consolidated!J1555,'Org List'!$A$2:$A$1005&amp;'Org List'!$B$2:$B$1005,0),3)</f>
        <v>NGOs: International</v>
      </c>
    </row>
    <row r="1556" spans="1:13" x14ac:dyDescent="0.25">
      <c r="A1556" t="s">
        <v>3331</v>
      </c>
      <c r="B1556" t="s">
        <v>3328</v>
      </c>
      <c r="C1556" t="s">
        <v>3329</v>
      </c>
      <c r="D1556" t="s">
        <v>30</v>
      </c>
      <c r="E1556" t="s">
        <v>305</v>
      </c>
      <c r="F1556">
        <v>4500280218</v>
      </c>
      <c r="G1556" t="s">
        <v>3487</v>
      </c>
      <c r="H1556" t="s">
        <v>3334</v>
      </c>
      <c r="I1556" t="s">
        <v>310</v>
      </c>
      <c r="J1556" t="s">
        <v>305</v>
      </c>
      <c r="K1556" s="1">
        <v>195111.31</v>
      </c>
      <c r="L1556" t="s">
        <v>6408</v>
      </c>
      <c r="M1556" t="str" cm="1">
        <f t="array" ref="M1556">INDEX('Org List'!$A$2:$C$1005,MATCH(Consolidated!I1556&amp;Consolidated!J1556,'Org List'!$A$2:$A$1005&amp;'Org List'!$B$2:$B$1005,0),3)</f>
        <v>NGOs: National</v>
      </c>
    </row>
    <row r="1557" spans="1:13" x14ac:dyDescent="0.25">
      <c r="A1557" t="s">
        <v>3331</v>
      </c>
      <c r="B1557" t="s">
        <v>3328</v>
      </c>
      <c r="C1557" t="s">
        <v>3329</v>
      </c>
      <c r="D1557" t="s">
        <v>30</v>
      </c>
      <c r="E1557" t="s">
        <v>305</v>
      </c>
      <c r="F1557">
        <v>4500283625</v>
      </c>
      <c r="G1557" t="s">
        <v>3488</v>
      </c>
      <c r="H1557" t="s">
        <v>3334</v>
      </c>
      <c r="I1557" t="s">
        <v>1328</v>
      </c>
      <c r="J1557" t="s">
        <v>305</v>
      </c>
      <c r="K1557" s="1">
        <v>22349.1</v>
      </c>
      <c r="L1557" t="s">
        <v>6408</v>
      </c>
      <c r="M1557" t="str" cm="1">
        <f t="array" ref="M1557">INDEX('Org List'!$A$2:$C$1005,MATCH(Consolidated!I1557&amp;Consolidated!J1557,'Org List'!$A$2:$A$1005&amp;'Org List'!$B$2:$B$1005,0),3)</f>
        <v>NGOs: National</v>
      </c>
    </row>
    <row r="1558" spans="1:13" x14ac:dyDescent="0.25">
      <c r="A1558" t="s">
        <v>3331</v>
      </c>
      <c r="B1558" t="s">
        <v>3328</v>
      </c>
      <c r="C1558" t="s">
        <v>3329</v>
      </c>
      <c r="D1558" t="s">
        <v>30</v>
      </c>
      <c r="E1558" t="s">
        <v>909</v>
      </c>
      <c r="F1558">
        <v>4500298578</v>
      </c>
      <c r="G1558" t="s">
        <v>2200</v>
      </c>
      <c r="H1558" t="s">
        <v>3334</v>
      </c>
      <c r="I1558" t="s">
        <v>1332</v>
      </c>
      <c r="J1558" t="s">
        <v>909</v>
      </c>
      <c r="K1558" s="1">
        <v>24632.89</v>
      </c>
      <c r="L1558" t="s">
        <v>6408</v>
      </c>
      <c r="M1558" t="str" cm="1">
        <f t="array" ref="M1558">INDEX('Org List'!$A$2:$C$1005,MATCH(Consolidated!I1558&amp;Consolidated!J1558,'Org List'!$A$2:$A$1005&amp;'Org List'!$B$2:$B$1005,0),3)</f>
        <v>NGOs: National</v>
      </c>
    </row>
    <row r="1559" spans="1:13" x14ac:dyDescent="0.25">
      <c r="A1559" t="s">
        <v>3331</v>
      </c>
      <c r="B1559" t="s">
        <v>3328</v>
      </c>
      <c r="C1559" t="s">
        <v>3329</v>
      </c>
      <c r="D1559" t="s">
        <v>30</v>
      </c>
      <c r="E1559" t="s">
        <v>909</v>
      </c>
      <c r="F1559">
        <v>4500298793</v>
      </c>
      <c r="G1559" t="s">
        <v>2200</v>
      </c>
      <c r="H1559" t="s">
        <v>3334</v>
      </c>
      <c r="I1559" t="s">
        <v>3489</v>
      </c>
      <c r="J1559" t="s">
        <v>909</v>
      </c>
      <c r="K1559" s="1">
        <v>5797.29</v>
      </c>
      <c r="L1559" t="s">
        <v>6408</v>
      </c>
      <c r="M1559" t="str" cm="1">
        <f t="array" ref="M1559">INDEX('Org List'!$A$2:$C$1005,MATCH(Consolidated!I1559&amp;Consolidated!J1559,'Org List'!$A$2:$A$1005&amp;'Org List'!$B$2:$B$1005,0),3)</f>
        <v>NGOs: Local</v>
      </c>
    </row>
    <row r="1560" spans="1:13" x14ac:dyDescent="0.25">
      <c r="A1560" t="s">
        <v>3331</v>
      </c>
      <c r="B1560" t="s">
        <v>3328</v>
      </c>
      <c r="C1560" t="s">
        <v>3329</v>
      </c>
      <c r="D1560" t="s">
        <v>30</v>
      </c>
      <c r="E1560" t="s">
        <v>909</v>
      </c>
      <c r="F1560">
        <v>4500299014</v>
      </c>
      <c r="G1560" t="s">
        <v>2200</v>
      </c>
      <c r="H1560" t="s">
        <v>3334</v>
      </c>
      <c r="I1560" t="s">
        <v>2327</v>
      </c>
      <c r="J1560" t="s">
        <v>909</v>
      </c>
      <c r="K1560" s="1">
        <v>7748.7</v>
      </c>
      <c r="L1560" t="s">
        <v>6408</v>
      </c>
      <c r="M1560" t="str" cm="1">
        <f t="array" ref="M1560">INDEX('Org List'!$A$2:$C$1005,MATCH(Consolidated!I1560&amp;Consolidated!J1560,'Org List'!$A$2:$A$1005&amp;'Org List'!$B$2:$B$1005,0),3)</f>
        <v>NGOs: Local</v>
      </c>
    </row>
    <row r="1561" spans="1:13" x14ac:dyDescent="0.25">
      <c r="A1561" t="s">
        <v>3331</v>
      </c>
      <c r="B1561" t="s">
        <v>3328</v>
      </c>
      <c r="C1561" t="s">
        <v>3329</v>
      </c>
      <c r="D1561" t="s">
        <v>30</v>
      </c>
      <c r="E1561" t="s">
        <v>909</v>
      </c>
      <c r="F1561">
        <v>4500299480</v>
      </c>
      <c r="G1561" t="s">
        <v>2200</v>
      </c>
      <c r="H1561" t="s">
        <v>3334</v>
      </c>
      <c r="I1561" t="s">
        <v>3489</v>
      </c>
      <c r="J1561" t="s">
        <v>909</v>
      </c>
      <c r="K1561" s="1">
        <v>10200.06</v>
      </c>
      <c r="L1561" t="s">
        <v>6408</v>
      </c>
      <c r="M1561" t="str" cm="1">
        <f t="array" ref="M1561">INDEX('Org List'!$A$2:$C$1005,MATCH(Consolidated!I1561&amp;Consolidated!J1561,'Org List'!$A$2:$A$1005&amp;'Org List'!$B$2:$B$1005,0),3)</f>
        <v>NGOs: Local</v>
      </c>
    </row>
    <row r="1562" spans="1:13" x14ac:dyDescent="0.25">
      <c r="A1562" t="s">
        <v>3331</v>
      </c>
      <c r="B1562" t="s">
        <v>3328</v>
      </c>
      <c r="C1562" t="s">
        <v>3329</v>
      </c>
      <c r="D1562" t="s">
        <v>30</v>
      </c>
      <c r="E1562" t="s">
        <v>909</v>
      </c>
      <c r="F1562">
        <v>4500300848</v>
      </c>
      <c r="G1562" t="s">
        <v>2200</v>
      </c>
      <c r="H1562" t="s">
        <v>3334</v>
      </c>
      <c r="I1562" t="s">
        <v>2327</v>
      </c>
      <c r="J1562" t="s">
        <v>909</v>
      </c>
      <c r="K1562" s="1">
        <v>28251.5</v>
      </c>
      <c r="L1562" t="s">
        <v>6408</v>
      </c>
      <c r="M1562" t="str" cm="1">
        <f t="array" ref="M1562">INDEX('Org List'!$A$2:$C$1005,MATCH(Consolidated!I1562&amp;Consolidated!J1562,'Org List'!$A$2:$A$1005&amp;'Org List'!$B$2:$B$1005,0),3)</f>
        <v>NGOs: Local</v>
      </c>
    </row>
    <row r="1563" spans="1:13" x14ac:dyDescent="0.25">
      <c r="A1563" t="s">
        <v>3331</v>
      </c>
      <c r="B1563" t="s">
        <v>3328</v>
      </c>
      <c r="C1563" t="s">
        <v>3329</v>
      </c>
      <c r="D1563" t="s">
        <v>30</v>
      </c>
      <c r="E1563" t="s">
        <v>909</v>
      </c>
      <c r="F1563">
        <v>4500301105</v>
      </c>
      <c r="G1563" t="s">
        <v>2200</v>
      </c>
      <c r="H1563" t="s">
        <v>3334</v>
      </c>
      <c r="I1563" t="s">
        <v>1332</v>
      </c>
      <c r="J1563" t="s">
        <v>909</v>
      </c>
      <c r="K1563" s="1">
        <v>28695.37</v>
      </c>
      <c r="L1563" t="s">
        <v>6408</v>
      </c>
      <c r="M1563" t="str" cm="1">
        <f t="array" ref="M1563">INDEX('Org List'!$A$2:$C$1005,MATCH(Consolidated!I1563&amp;Consolidated!J1563,'Org List'!$A$2:$A$1005&amp;'Org List'!$B$2:$B$1005,0),3)</f>
        <v>NGOs: National</v>
      </c>
    </row>
    <row r="1564" spans="1:13" x14ac:dyDescent="0.25">
      <c r="A1564" t="s">
        <v>3331</v>
      </c>
      <c r="B1564" t="s">
        <v>3328</v>
      </c>
      <c r="C1564" t="s">
        <v>3329</v>
      </c>
      <c r="D1564" t="s">
        <v>30</v>
      </c>
      <c r="E1564" t="s">
        <v>911</v>
      </c>
      <c r="F1564">
        <v>4500288549</v>
      </c>
      <c r="G1564" t="s">
        <v>3490</v>
      </c>
      <c r="H1564" t="s">
        <v>3334</v>
      </c>
      <c r="I1564" t="s">
        <v>3491</v>
      </c>
      <c r="J1564" t="s">
        <v>911</v>
      </c>
      <c r="K1564" s="1">
        <v>299967.32</v>
      </c>
      <c r="L1564" t="s">
        <v>6408</v>
      </c>
      <c r="M1564" t="str" cm="1">
        <f t="array" ref="M1564">INDEX('Org List'!$A$2:$C$1005,MATCH(Consolidated!I1564&amp;Consolidated!J1564,'Org List'!$A$2:$A$1005&amp;'Org List'!$B$2:$B$1005,0),3)</f>
        <v>NGOs: National</v>
      </c>
    </row>
    <row r="1565" spans="1:13" x14ac:dyDescent="0.25">
      <c r="A1565" t="s">
        <v>3331</v>
      </c>
      <c r="B1565" t="s">
        <v>3492</v>
      </c>
      <c r="C1565" t="s">
        <v>3493</v>
      </c>
      <c r="D1565" t="s">
        <v>30</v>
      </c>
      <c r="E1565" t="s">
        <v>305</v>
      </c>
      <c r="F1565">
        <v>4500283625</v>
      </c>
      <c r="G1565" t="s">
        <v>3488</v>
      </c>
      <c r="H1565" t="s">
        <v>3334</v>
      </c>
      <c r="I1565" t="s">
        <v>1328</v>
      </c>
      <c r="J1565" t="s">
        <v>305</v>
      </c>
      <c r="K1565" s="1">
        <v>7449.69</v>
      </c>
      <c r="L1565" t="s">
        <v>6408</v>
      </c>
      <c r="M1565" t="str" cm="1">
        <f t="array" ref="M1565">INDEX('Org List'!$A$2:$C$1005,MATCH(Consolidated!I1565&amp;Consolidated!J1565,'Org List'!$A$2:$A$1005&amp;'Org List'!$B$2:$B$1005,0),3)</f>
        <v>NGOs: National</v>
      </c>
    </row>
    <row r="1566" spans="1:13" x14ac:dyDescent="0.25">
      <c r="A1566" t="s">
        <v>3331</v>
      </c>
      <c r="B1566" t="s">
        <v>1255</v>
      </c>
      <c r="C1566" t="s">
        <v>1256</v>
      </c>
      <c r="D1566" t="s">
        <v>30</v>
      </c>
      <c r="E1566" t="s">
        <v>54</v>
      </c>
      <c r="F1566">
        <v>4500277046</v>
      </c>
      <c r="G1566" t="s">
        <v>3494</v>
      </c>
      <c r="H1566" t="s">
        <v>3334</v>
      </c>
      <c r="I1566" t="s">
        <v>3495</v>
      </c>
      <c r="J1566" t="s">
        <v>54</v>
      </c>
      <c r="K1566" s="1">
        <v>3513.78</v>
      </c>
      <c r="L1566" t="s">
        <v>6408</v>
      </c>
      <c r="M1566" t="str" cm="1">
        <f t="array" ref="M1566">INDEX('Org List'!$A$2:$C$1005,MATCH(Consolidated!I1566&amp;Consolidated!J1566,'Org List'!$A$2:$A$1005&amp;'Org List'!$B$2:$B$1005,0),3)</f>
        <v>NGOs: National</v>
      </c>
    </row>
    <row r="1567" spans="1:13" x14ac:dyDescent="0.25">
      <c r="A1567" t="s">
        <v>3331</v>
      </c>
      <c r="B1567" t="s">
        <v>1255</v>
      </c>
      <c r="C1567" t="s">
        <v>1256</v>
      </c>
      <c r="D1567" t="s">
        <v>30</v>
      </c>
      <c r="E1567" t="s">
        <v>54</v>
      </c>
      <c r="F1567">
        <v>4500285111</v>
      </c>
      <c r="G1567" t="s">
        <v>3496</v>
      </c>
      <c r="H1567" t="s">
        <v>3334</v>
      </c>
      <c r="I1567" t="s">
        <v>3497</v>
      </c>
      <c r="J1567" t="s">
        <v>54</v>
      </c>
      <c r="K1567" s="1">
        <v>9030.2999999999993</v>
      </c>
      <c r="L1567" t="s">
        <v>6408</v>
      </c>
      <c r="M1567" t="str" cm="1">
        <f t="array" ref="M1567">INDEX('Org List'!$A$2:$C$1005,MATCH(Consolidated!I1567&amp;Consolidated!J1567,'Org List'!$A$2:$A$1005&amp;'Org List'!$B$2:$B$1005,0),3)</f>
        <v>NGOs: National</v>
      </c>
    </row>
    <row r="1568" spans="1:13" x14ac:dyDescent="0.25">
      <c r="A1568" t="s">
        <v>3331</v>
      </c>
      <c r="B1568" t="s">
        <v>1255</v>
      </c>
      <c r="C1568" t="s">
        <v>1256</v>
      </c>
      <c r="D1568" t="s">
        <v>30</v>
      </c>
      <c r="E1568" t="s">
        <v>54</v>
      </c>
      <c r="F1568">
        <v>4500286235</v>
      </c>
      <c r="G1568" t="s">
        <v>3498</v>
      </c>
      <c r="H1568" t="s">
        <v>3334</v>
      </c>
      <c r="I1568" t="s">
        <v>3499</v>
      </c>
      <c r="J1568" t="s">
        <v>54</v>
      </c>
      <c r="K1568" s="1">
        <v>9894.0499999999993</v>
      </c>
      <c r="L1568" t="s">
        <v>6408</v>
      </c>
      <c r="M1568" t="str" cm="1">
        <f t="array" ref="M1568">INDEX('Org List'!$A$2:$C$1005,MATCH(Consolidated!I1568&amp;Consolidated!J1568,'Org List'!$A$2:$A$1005&amp;'Org List'!$B$2:$B$1005,0),3)</f>
        <v>NGOs: National</v>
      </c>
    </row>
    <row r="1569" spans="1:13" x14ac:dyDescent="0.25">
      <c r="A1569" t="s">
        <v>3331</v>
      </c>
      <c r="B1569" t="s">
        <v>3500</v>
      </c>
      <c r="C1569" t="s">
        <v>3501</v>
      </c>
      <c r="D1569" t="s">
        <v>30</v>
      </c>
      <c r="E1569" t="s">
        <v>167</v>
      </c>
      <c r="F1569">
        <v>4500298958</v>
      </c>
      <c r="G1569" t="s">
        <v>3502</v>
      </c>
      <c r="H1569" t="s">
        <v>3334</v>
      </c>
      <c r="I1569" t="s">
        <v>3503</v>
      </c>
      <c r="J1569" t="s">
        <v>972</v>
      </c>
      <c r="K1569" s="1">
        <v>133625.75</v>
      </c>
      <c r="L1569" t="s">
        <v>6408</v>
      </c>
      <c r="M1569" t="str" cm="1">
        <f t="array" ref="M1569">INDEX('Org List'!$A$2:$C$1005,MATCH(Consolidated!I1569&amp;Consolidated!J1569,'Org List'!$A$2:$A$1005&amp;'Org List'!$B$2:$B$1005,0),3)</f>
        <v>NGOs: International</v>
      </c>
    </row>
    <row r="1570" spans="1:13" x14ac:dyDescent="0.25">
      <c r="A1570" t="s">
        <v>3331</v>
      </c>
      <c r="B1570" t="s">
        <v>2900</v>
      </c>
      <c r="C1570" t="s">
        <v>3504</v>
      </c>
      <c r="D1570" t="s">
        <v>30</v>
      </c>
      <c r="E1570" t="s">
        <v>717</v>
      </c>
      <c r="F1570">
        <v>4500292157</v>
      </c>
      <c r="G1570" t="s">
        <v>3505</v>
      </c>
      <c r="H1570" t="s">
        <v>3334</v>
      </c>
      <c r="I1570" t="s">
        <v>1767</v>
      </c>
      <c r="J1570" t="s">
        <v>717</v>
      </c>
      <c r="K1570" s="1">
        <v>78314.5</v>
      </c>
      <c r="L1570" t="s">
        <v>6408</v>
      </c>
      <c r="M1570" t="str" cm="1">
        <f t="array" ref="M1570">INDEX('Org List'!$A$2:$C$1005,MATCH(Consolidated!I1570&amp;Consolidated!J1570,'Org List'!$A$2:$A$1005&amp;'Org List'!$B$2:$B$1005,0),3)</f>
        <v>NGOs: National</v>
      </c>
    </row>
    <row r="1571" spans="1:13" x14ac:dyDescent="0.25">
      <c r="A1571" t="s">
        <v>3331</v>
      </c>
      <c r="B1571" t="s">
        <v>3506</v>
      </c>
      <c r="C1571" t="s">
        <v>3501</v>
      </c>
      <c r="D1571" t="s">
        <v>30</v>
      </c>
      <c r="E1571" t="s">
        <v>167</v>
      </c>
      <c r="F1571">
        <v>4500298958</v>
      </c>
      <c r="G1571" t="s">
        <v>3502</v>
      </c>
      <c r="H1571" t="s">
        <v>3334</v>
      </c>
      <c r="I1571" t="s">
        <v>3503</v>
      </c>
      <c r="J1571" t="s">
        <v>972</v>
      </c>
      <c r="K1571" s="1">
        <v>149626.38</v>
      </c>
      <c r="L1571" t="s">
        <v>6408</v>
      </c>
      <c r="M1571" t="str" cm="1">
        <f t="array" ref="M1571">INDEX('Org List'!$A$2:$C$1005,MATCH(Consolidated!I1571&amp;Consolidated!J1571,'Org List'!$A$2:$A$1005&amp;'Org List'!$B$2:$B$1005,0),3)</f>
        <v>NGOs: International</v>
      </c>
    </row>
    <row r="1572" spans="1:13" x14ac:dyDescent="0.25">
      <c r="A1572" t="s">
        <v>3331</v>
      </c>
      <c r="B1572" t="s">
        <v>1257</v>
      </c>
      <c r="C1572" t="s">
        <v>1258</v>
      </c>
      <c r="D1572" t="s">
        <v>30</v>
      </c>
      <c r="E1572" t="s">
        <v>940</v>
      </c>
      <c r="F1572">
        <v>4500283644</v>
      </c>
      <c r="G1572" t="s">
        <v>2200</v>
      </c>
      <c r="H1572" t="s">
        <v>3334</v>
      </c>
      <c r="I1572" t="s">
        <v>1260</v>
      </c>
      <c r="J1572" t="s">
        <v>940</v>
      </c>
      <c r="K1572" s="1">
        <v>92616</v>
      </c>
      <c r="L1572" t="s">
        <v>6408</v>
      </c>
      <c r="M1572" t="str" cm="1">
        <f t="array" ref="M1572">INDEX('Org List'!$A$2:$C$1005,MATCH(Consolidated!I1572&amp;Consolidated!J1572,'Org List'!$A$2:$A$1005&amp;'Org List'!$B$2:$B$1005,0),3)</f>
        <v>NGOs: National</v>
      </c>
    </row>
    <row r="1573" spans="1:13" x14ac:dyDescent="0.25">
      <c r="A1573" t="s">
        <v>3331</v>
      </c>
      <c r="B1573" t="s">
        <v>1257</v>
      </c>
      <c r="C1573" t="s">
        <v>1258</v>
      </c>
      <c r="D1573" t="s">
        <v>30</v>
      </c>
      <c r="E1573" t="s">
        <v>940</v>
      </c>
      <c r="F1573">
        <v>4500283652</v>
      </c>
      <c r="G1573" t="s">
        <v>2200</v>
      </c>
      <c r="H1573" t="s">
        <v>3334</v>
      </c>
      <c r="I1573" t="s">
        <v>1259</v>
      </c>
      <c r="J1573" t="s">
        <v>940</v>
      </c>
      <c r="K1573" s="1">
        <v>99049.919999999998</v>
      </c>
      <c r="L1573" t="s">
        <v>6408</v>
      </c>
      <c r="M1573" t="str" cm="1">
        <f t="array" ref="M1573">INDEX('Org List'!$A$2:$C$1005,MATCH(Consolidated!I1573&amp;Consolidated!J1573,'Org List'!$A$2:$A$1005&amp;'Org List'!$B$2:$B$1005,0),3)</f>
        <v>NGOs: National</v>
      </c>
    </row>
    <row r="1574" spans="1:13" x14ac:dyDescent="0.25">
      <c r="A1574" t="s">
        <v>3331</v>
      </c>
      <c r="B1574" t="s">
        <v>1257</v>
      </c>
      <c r="C1574" t="s">
        <v>1258</v>
      </c>
      <c r="D1574" t="s">
        <v>30</v>
      </c>
      <c r="E1574" t="s">
        <v>940</v>
      </c>
      <c r="F1574">
        <v>4500283672</v>
      </c>
      <c r="G1574" t="s">
        <v>2200</v>
      </c>
      <c r="H1574" t="s">
        <v>3334</v>
      </c>
      <c r="I1574" t="s">
        <v>1260</v>
      </c>
      <c r="J1574" t="s">
        <v>940</v>
      </c>
      <c r="K1574" s="1">
        <v>91928.639999999999</v>
      </c>
      <c r="L1574" t="s">
        <v>6408</v>
      </c>
      <c r="M1574" t="str" cm="1">
        <f t="array" ref="M1574">INDEX('Org List'!$A$2:$C$1005,MATCH(Consolidated!I1574&amp;Consolidated!J1574,'Org List'!$A$2:$A$1005&amp;'Org List'!$B$2:$B$1005,0),3)</f>
        <v>NGOs: National</v>
      </c>
    </row>
    <row r="1575" spans="1:13" x14ac:dyDescent="0.25">
      <c r="A1575" t="s">
        <v>3331</v>
      </c>
      <c r="B1575" t="s">
        <v>1257</v>
      </c>
      <c r="C1575" t="s">
        <v>1258</v>
      </c>
      <c r="D1575" t="s">
        <v>30</v>
      </c>
      <c r="E1575" t="s">
        <v>940</v>
      </c>
      <c r="F1575">
        <v>4500283685</v>
      </c>
      <c r="G1575" t="s">
        <v>2200</v>
      </c>
      <c r="H1575" t="s">
        <v>3334</v>
      </c>
      <c r="I1575" t="s">
        <v>2201</v>
      </c>
      <c r="J1575" t="s">
        <v>940</v>
      </c>
      <c r="K1575" s="1">
        <v>106879.67999999999</v>
      </c>
      <c r="L1575" t="s">
        <v>6408</v>
      </c>
      <c r="M1575" t="str" cm="1">
        <f t="array" ref="M1575">INDEX('Org List'!$A$2:$C$1005,MATCH(Consolidated!I1575&amp;Consolidated!J1575,'Org List'!$A$2:$A$1005&amp;'Org List'!$B$2:$B$1005,0),3)</f>
        <v>NGOs: National</v>
      </c>
    </row>
    <row r="1576" spans="1:13" x14ac:dyDescent="0.25">
      <c r="A1576" t="s">
        <v>3331</v>
      </c>
      <c r="B1576" t="s">
        <v>3507</v>
      </c>
      <c r="C1576" t="s">
        <v>3508</v>
      </c>
      <c r="D1576" t="s">
        <v>30</v>
      </c>
      <c r="E1576" t="s">
        <v>128</v>
      </c>
      <c r="F1576">
        <v>4500279815</v>
      </c>
      <c r="G1576" t="s">
        <v>3509</v>
      </c>
      <c r="H1576" t="s">
        <v>3334</v>
      </c>
      <c r="I1576" t="s">
        <v>3510</v>
      </c>
      <c r="J1576" t="s">
        <v>128</v>
      </c>
      <c r="K1576" s="1">
        <v>24000</v>
      </c>
      <c r="L1576" t="s">
        <v>6408</v>
      </c>
      <c r="M1576" t="str" cm="1">
        <f t="array" ref="M1576">INDEX('Org List'!$A$2:$C$1005,MATCH(Consolidated!I1576&amp;Consolidated!J1576,'Org List'!$A$2:$A$1005&amp;'Org List'!$B$2:$B$1005,0),3)</f>
        <v>NGOs: National</v>
      </c>
    </row>
    <row r="1577" spans="1:13" x14ac:dyDescent="0.25">
      <c r="A1577" t="s">
        <v>3331</v>
      </c>
      <c r="B1577" t="s">
        <v>3507</v>
      </c>
      <c r="C1577" t="s">
        <v>3508</v>
      </c>
      <c r="D1577" t="s">
        <v>30</v>
      </c>
      <c r="E1577" t="s">
        <v>128</v>
      </c>
      <c r="F1577">
        <v>4500280370</v>
      </c>
      <c r="G1577" t="s">
        <v>3511</v>
      </c>
      <c r="H1577" t="s">
        <v>3334</v>
      </c>
      <c r="I1577" t="s">
        <v>1768</v>
      </c>
      <c r="J1577" t="s">
        <v>128</v>
      </c>
      <c r="K1577" s="1">
        <v>24000</v>
      </c>
      <c r="L1577" t="s">
        <v>6408</v>
      </c>
      <c r="M1577" t="str" cm="1">
        <f t="array" ref="M1577">INDEX('Org List'!$A$2:$C$1005,MATCH(Consolidated!I1577&amp;Consolidated!J1577,'Org List'!$A$2:$A$1005&amp;'Org List'!$B$2:$B$1005,0),3)</f>
        <v>NGOs: Local</v>
      </c>
    </row>
    <row r="1578" spans="1:13" x14ac:dyDescent="0.25">
      <c r="A1578" t="s">
        <v>3331</v>
      </c>
      <c r="B1578" t="s">
        <v>2909</v>
      </c>
      <c r="C1578" t="s">
        <v>3512</v>
      </c>
      <c r="D1578" t="s">
        <v>30</v>
      </c>
      <c r="E1578" t="s">
        <v>303</v>
      </c>
      <c r="F1578">
        <v>4500281118</v>
      </c>
      <c r="G1578" t="s">
        <v>3513</v>
      </c>
      <c r="H1578" t="s">
        <v>3334</v>
      </c>
      <c r="I1578" t="s">
        <v>1323</v>
      </c>
      <c r="J1578" t="s">
        <v>303</v>
      </c>
      <c r="K1578" s="1">
        <v>185925.39</v>
      </c>
      <c r="L1578" t="s">
        <v>6408</v>
      </c>
      <c r="M1578" t="str" cm="1">
        <f t="array" ref="M1578">INDEX('Org List'!$A$2:$C$1005,MATCH(Consolidated!I1578&amp;Consolidated!J1578,'Org List'!$A$2:$A$1005&amp;'Org List'!$B$2:$B$1005,0),3)</f>
        <v>NGOs: National</v>
      </c>
    </row>
    <row r="1579" spans="1:13" x14ac:dyDescent="0.25">
      <c r="A1579" t="s">
        <v>3331</v>
      </c>
      <c r="B1579" t="s">
        <v>2909</v>
      </c>
      <c r="C1579" t="s">
        <v>3512</v>
      </c>
      <c r="D1579" t="s">
        <v>30</v>
      </c>
      <c r="E1579" t="s">
        <v>303</v>
      </c>
      <c r="F1579">
        <v>4500283495</v>
      </c>
      <c r="G1579" t="s">
        <v>3514</v>
      </c>
      <c r="H1579" t="s">
        <v>3334</v>
      </c>
      <c r="I1579" t="s">
        <v>374</v>
      </c>
      <c r="J1579" t="s">
        <v>303</v>
      </c>
      <c r="K1579" s="1">
        <v>53210.26</v>
      </c>
      <c r="L1579" t="s">
        <v>6408</v>
      </c>
      <c r="M1579" t="str" cm="1">
        <f t="array" ref="M1579">INDEX('Org List'!$A$2:$C$1005,MATCH(Consolidated!I1579&amp;Consolidated!J1579,'Org List'!$A$2:$A$1005&amp;'Org List'!$B$2:$B$1005,0),3)</f>
        <v>NGOs: National</v>
      </c>
    </row>
    <row r="1580" spans="1:13" x14ac:dyDescent="0.25">
      <c r="A1580" t="s">
        <v>3331</v>
      </c>
      <c r="B1580" t="s">
        <v>3515</v>
      </c>
      <c r="C1580" t="s">
        <v>3516</v>
      </c>
      <c r="D1580" t="s">
        <v>30</v>
      </c>
      <c r="E1580" t="s">
        <v>717</v>
      </c>
      <c r="F1580">
        <v>4500292157</v>
      </c>
      <c r="G1580" t="s">
        <v>3505</v>
      </c>
      <c r="H1580" t="s">
        <v>3334</v>
      </c>
      <c r="I1580" t="s">
        <v>1767</v>
      </c>
      <c r="J1580" t="s">
        <v>717</v>
      </c>
      <c r="K1580" s="1">
        <v>78314.5</v>
      </c>
      <c r="L1580" t="s">
        <v>6408</v>
      </c>
      <c r="M1580" t="str" cm="1">
        <f t="array" ref="M1580">INDEX('Org List'!$A$2:$C$1005,MATCH(Consolidated!I1580&amp;Consolidated!J1580,'Org List'!$A$2:$A$1005&amp;'Org List'!$B$2:$B$1005,0),3)</f>
        <v>NGOs: National</v>
      </c>
    </row>
    <row r="1581" spans="1:13" x14ac:dyDescent="0.25">
      <c r="A1581" t="s">
        <v>3331</v>
      </c>
      <c r="B1581" t="s">
        <v>3517</v>
      </c>
      <c r="C1581" t="s">
        <v>3518</v>
      </c>
      <c r="D1581" t="s">
        <v>30</v>
      </c>
      <c r="E1581" t="s">
        <v>132</v>
      </c>
      <c r="F1581">
        <v>4500277990</v>
      </c>
      <c r="G1581" t="s">
        <v>3519</v>
      </c>
      <c r="H1581" t="s">
        <v>3334</v>
      </c>
      <c r="I1581" t="s">
        <v>3520</v>
      </c>
      <c r="J1581" t="s">
        <v>132</v>
      </c>
      <c r="K1581" s="1">
        <v>12480.75</v>
      </c>
      <c r="L1581" t="s">
        <v>6408</v>
      </c>
      <c r="M1581" t="str" cm="1">
        <f t="array" ref="M1581">INDEX('Org List'!$A$2:$C$1005,MATCH(Consolidated!I1581&amp;Consolidated!J1581,'Org List'!$A$2:$A$1005&amp;'Org List'!$B$2:$B$1005,0),3)</f>
        <v>Other: National</v>
      </c>
    </row>
    <row r="1582" spans="1:13" x14ac:dyDescent="0.25">
      <c r="A1582" t="s">
        <v>3331</v>
      </c>
      <c r="B1582" t="s">
        <v>2911</v>
      </c>
      <c r="C1582" t="s">
        <v>3521</v>
      </c>
      <c r="D1582" t="s">
        <v>30</v>
      </c>
      <c r="E1582" t="s">
        <v>356</v>
      </c>
      <c r="F1582">
        <v>4500276981</v>
      </c>
      <c r="G1582" t="s">
        <v>3522</v>
      </c>
      <c r="H1582" t="s">
        <v>3334</v>
      </c>
      <c r="I1582" t="s">
        <v>1746</v>
      </c>
      <c r="J1582" t="s">
        <v>356</v>
      </c>
      <c r="K1582" s="1">
        <v>97185</v>
      </c>
      <c r="L1582" t="s">
        <v>6408</v>
      </c>
      <c r="M1582" t="str" cm="1">
        <f t="array" ref="M1582">INDEX('Org List'!$A$2:$C$1005,MATCH(Consolidated!I1582&amp;Consolidated!J1582,'Org List'!$A$2:$A$1005&amp;'Org List'!$B$2:$B$1005,0),3)</f>
        <v>NGOs: National</v>
      </c>
    </row>
    <row r="1583" spans="1:13" x14ac:dyDescent="0.25">
      <c r="A1583" t="s">
        <v>3331</v>
      </c>
      <c r="B1583" t="s">
        <v>2911</v>
      </c>
      <c r="C1583" t="s">
        <v>3521</v>
      </c>
      <c r="D1583" t="s">
        <v>30</v>
      </c>
      <c r="E1583" t="s">
        <v>356</v>
      </c>
      <c r="F1583">
        <v>4500277191</v>
      </c>
      <c r="G1583" t="s">
        <v>3523</v>
      </c>
      <c r="H1583" t="s">
        <v>3334</v>
      </c>
      <c r="I1583" t="s">
        <v>3524</v>
      </c>
      <c r="J1583" t="s">
        <v>356</v>
      </c>
      <c r="K1583" s="1">
        <v>127697</v>
      </c>
      <c r="L1583" t="s">
        <v>6408</v>
      </c>
      <c r="M1583" t="str" cm="1">
        <f t="array" ref="M1583">INDEX('Org List'!$A$2:$C$1005,MATCH(Consolidated!I1583&amp;Consolidated!J1583,'Org List'!$A$2:$A$1005&amp;'Org List'!$B$2:$B$1005,0),3)</f>
        <v>NGOs: National</v>
      </c>
    </row>
    <row r="1584" spans="1:13" x14ac:dyDescent="0.25">
      <c r="A1584" t="s">
        <v>3331</v>
      </c>
      <c r="B1584" t="s">
        <v>2911</v>
      </c>
      <c r="C1584" t="s">
        <v>3521</v>
      </c>
      <c r="D1584" t="s">
        <v>30</v>
      </c>
      <c r="E1584" t="s">
        <v>356</v>
      </c>
      <c r="F1584">
        <v>4500277423</v>
      </c>
      <c r="G1584" t="s">
        <v>3525</v>
      </c>
      <c r="H1584" t="s">
        <v>3334</v>
      </c>
      <c r="I1584" t="s">
        <v>3526</v>
      </c>
      <c r="J1584" t="s">
        <v>356</v>
      </c>
      <c r="K1584" s="1">
        <v>86344</v>
      </c>
      <c r="L1584" t="s">
        <v>6408</v>
      </c>
      <c r="M1584" t="str" cm="1">
        <f t="array" ref="M1584">INDEX('Org List'!$A$2:$C$1005,MATCH(Consolidated!I1584&amp;Consolidated!J1584,'Org List'!$A$2:$A$1005&amp;'Org List'!$B$2:$B$1005,0),3)</f>
        <v>NGOs: National</v>
      </c>
    </row>
    <row r="1585" spans="1:13" x14ac:dyDescent="0.25">
      <c r="A1585" t="s">
        <v>3331</v>
      </c>
      <c r="B1585" t="s">
        <v>2911</v>
      </c>
      <c r="C1585" t="s">
        <v>3521</v>
      </c>
      <c r="D1585" t="s">
        <v>30</v>
      </c>
      <c r="E1585" t="s">
        <v>356</v>
      </c>
      <c r="F1585">
        <v>4500277462</v>
      </c>
      <c r="G1585" t="s">
        <v>3527</v>
      </c>
      <c r="H1585" t="s">
        <v>3334</v>
      </c>
      <c r="I1585" t="s">
        <v>825</v>
      </c>
      <c r="J1585" t="s">
        <v>356</v>
      </c>
      <c r="K1585" s="1">
        <v>144881</v>
      </c>
      <c r="L1585" t="s">
        <v>6408</v>
      </c>
      <c r="M1585" t="str" cm="1">
        <f t="array" ref="M1585">INDEX('Org List'!$A$2:$C$1005,MATCH(Consolidated!I1585&amp;Consolidated!J1585,'Org List'!$A$2:$A$1005&amp;'Org List'!$B$2:$B$1005,0),3)</f>
        <v>NGOs: Local</v>
      </c>
    </row>
    <row r="1586" spans="1:13" x14ac:dyDescent="0.25">
      <c r="A1586" t="s">
        <v>3331</v>
      </c>
      <c r="B1586" t="s">
        <v>2911</v>
      </c>
      <c r="C1586" t="s">
        <v>3521</v>
      </c>
      <c r="D1586" t="s">
        <v>30</v>
      </c>
      <c r="E1586" t="s">
        <v>356</v>
      </c>
      <c r="F1586">
        <v>4500277510</v>
      </c>
      <c r="G1586" t="s">
        <v>3528</v>
      </c>
      <c r="H1586" t="s">
        <v>3334</v>
      </c>
      <c r="I1586" t="s">
        <v>2017</v>
      </c>
      <c r="J1586" t="s">
        <v>356</v>
      </c>
      <c r="K1586" s="1">
        <v>143432</v>
      </c>
      <c r="L1586" t="s">
        <v>6408</v>
      </c>
      <c r="M1586" t="str" cm="1">
        <f t="array" ref="M1586">INDEX('Org List'!$A$2:$C$1005,MATCH(Consolidated!I1586&amp;Consolidated!J1586,'Org List'!$A$2:$A$1005&amp;'Org List'!$B$2:$B$1005,0),3)</f>
        <v>NGOs: National</v>
      </c>
    </row>
    <row r="1587" spans="1:13" x14ac:dyDescent="0.25">
      <c r="A1587" t="s">
        <v>3331</v>
      </c>
      <c r="B1587" t="s">
        <v>2911</v>
      </c>
      <c r="C1587" t="s">
        <v>3521</v>
      </c>
      <c r="D1587" t="s">
        <v>30</v>
      </c>
      <c r="E1587" t="s">
        <v>356</v>
      </c>
      <c r="F1587">
        <v>4500281777</v>
      </c>
      <c r="G1587" t="s">
        <v>3529</v>
      </c>
      <c r="H1587" t="s">
        <v>3334</v>
      </c>
      <c r="I1587" t="s">
        <v>2023</v>
      </c>
      <c r="J1587" t="s">
        <v>356</v>
      </c>
      <c r="K1587" s="1">
        <v>143432</v>
      </c>
      <c r="L1587" t="s">
        <v>6408</v>
      </c>
      <c r="M1587" t="str" cm="1">
        <f t="array" ref="M1587">INDEX('Org List'!$A$2:$C$1005,MATCH(Consolidated!I1587&amp;Consolidated!J1587,'Org List'!$A$2:$A$1005&amp;'Org List'!$B$2:$B$1005,0),3)</f>
        <v>NGOs: National</v>
      </c>
    </row>
    <row r="1588" spans="1:13" x14ac:dyDescent="0.25">
      <c r="A1588" t="s">
        <v>3331</v>
      </c>
      <c r="B1588" t="s">
        <v>2911</v>
      </c>
      <c r="C1588" t="s">
        <v>3521</v>
      </c>
      <c r="D1588" t="s">
        <v>30</v>
      </c>
      <c r="E1588" t="s">
        <v>356</v>
      </c>
      <c r="F1588">
        <v>4500282571</v>
      </c>
      <c r="G1588" t="s">
        <v>3530</v>
      </c>
      <c r="H1588" t="s">
        <v>3334</v>
      </c>
      <c r="I1588" t="s">
        <v>2021</v>
      </c>
      <c r="J1588" t="s">
        <v>356</v>
      </c>
      <c r="K1588" s="1">
        <v>87536</v>
      </c>
      <c r="L1588" t="s">
        <v>6408</v>
      </c>
      <c r="M1588" t="str" cm="1">
        <f t="array" ref="M1588">INDEX('Org List'!$A$2:$C$1005,MATCH(Consolidated!I1588&amp;Consolidated!J1588,'Org List'!$A$2:$A$1005&amp;'Org List'!$B$2:$B$1005,0),3)</f>
        <v>NGOs: National</v>
      </c>
    </row>
    <row r="1589" spans="1:13" x14ac:dyDescent="0.25">
      <c r="A1589" t="s">
        <v>3331</v>
      </c>
      <c r="B1589" t="s">
        <v>2911</v>
      </c>
      <c r="C1589" t="s">
        <v>3521</v>
      </c>
      <c r="D1589" t="s">
        <v>30</v>
      </c>
      <c r="E1589" t="s">
        <v>356</v>
      </c>
      <c r="F1589">
        <v>4500283025</v>
      </c>
      <c r="G1589" t="s">
        <v>3531</v>
      </c>
      <c r="H1589" t="s">
        <v>3334</v>
      </c>
      <c r="I1589" t="s">
        <v>3532</v>
      </c>
      <c r="J1589" t="s">
        <v>356</v>
      </c>
      <c r="K1589" s="1">
        <v>76198</v>
      </c>
      <c r="L1589" t="s">
        <v>6408</v>
      </c>
      <c r="M1589" t="str" cm="1">
        <f t="array" ref="M1589">INDEX('Org List'!$A$2:$C$1005,MATCH(Consolidated!I1589&amp;Consolidated!J1589,'Org List'!$A$2:$A$1005&amp;'Org List'!$B$2:$B$1005,0),3)</f>
        <v>NGOs: National</v>
      </c>
    </row>
    <row r="1590" spans="1:13" x14ac:dyDescent="0.25">
      <c r="A1590" t="s">
        <v>3331</v>
      </c>
      <c r="B1590" t="s">
        <v>2911</v>
      </c>
      <c r="C1590" t="s">
        <v>3521</v>
      </c>
      <c r="D1590" t="s">
        <v>30</v>
      </c>
      <c r="E1590" t="s">
        <v>356</v>
      </c>
      <c r="F1590">
        <v>4500284011</v>
      </c>
      <c r="G1590" t="s">
        <v>3533</v>
      </c>
      <c r="H1590" t="s">
        <v>3334</v>
      </c>
      <c r="I1590" t="s">
        <v>3534</v>
      </c>
      <c r="J1590" t="s">
        <v>356</v>
      </c>
      <c r="K1590" s="1">
        <v>69819</v>
      </c>
      <c r="L1590" t="s">
        <v>6408</v>
      </c>
      <c r="M1590" t="str" cm="1">
        <f t="array" ref="M1590">INDEX('Org List'!$A$2:$C$1005,MATCH(Consolidated!I1590&amp;Consolidated!J1590,'Org List'!$A$2:$A$1005&amp;'Org List'!$B$2:$B$1005,0),3)</f>
        <v>NGOs: National</v>
      </c>
    </row>
    <row r="1591" spans="1:13" x14ac:dyDescent="0.25">
      <c r="A1591" t="s">
        <v>3331</v>
      </c>
      <c r="B1591" t="s">
        <v>2911</v>
      </c>
      <c r="C1591" t="s">
        <v>3521</v>
      </c>
      <c r="D1591" t="s">
        <v>30</v>
      </c>
      <c r="E1591" t="s">
        <v>356</v>
      </c>
      <c r="F1591">
        <v>4500285489</v>
      </c>
      <c r="G1591" t="s">
        <v>3535</v>
      </c>
      <c r="H1591" t="s">
        <v>3334</v>
      </c>
      <c r="I1591" t="s">
        <v>3536</v>
      </c>
      <c r="J1591" t="s">
        <v>356</v>
      </c>
      <c r="K1591" s="1">
        <v>84945</v>
      </c>
      <c r="L1591" t="s">
        <v>6408</v>
      </c>
      <c r="M1591" t="str" cm="1">
        <f t="array" ref="M1591">INDEX('Org List'!$A$2:$C$1005,MATCH(Consolidated!I1591&amp;Consolidated!J1591,'Org List'!$A$2:$A$1005&amp;'Org List'!$B$2:$B$1005,0),3)</f>
        <v>NGOs: National</v>
      </c>
    </row>
    <row r="1592" spans="1:13" x14ac:dyDescent="0.25">
      <c r="A1592" t="s">
        <v>3331</v>
      </c>
      <c r="B1592" t="s">
        <v>2911</v>
      </c>
      <c r="C1592" t="s">
        <v>3521</v>
      </c>
      <c r="D1592" t="s">
        <v>30</v>
      </c>
      <c r="E1592" t="s">
        <v>356</v>
      </c>
      <c r="F1592">
        <v>4500285505</v>
      </c>
      <c r="G1592" t="s">
        <v>3537</v>
      </c>
      <c r="H1592" t="s">
        <v>3334</v>
      </c>
      <c r="I1592" t="s">
        <v>827</v>
      </c>
      <c r="J1592" t="s">
        <v>356</v>
      </c>
      <c r="K1592" s="1">
        <v>82375</v>
      </c>
      <c r="L1592" t="s">
        <v>6408</v>
      </c>
      <c r="M1592" t="str" cm="1">
        <f t="array" ref="M1592">INDEX('Org List'!$A$2:$C$1005,MATCH(Consolidated!I1592&amp;Consolidated!J1592,'Org List'!$A$2:$A$1005&amp;'Org List'!$B$2:$B$1005,0),3)</f>
        <v>NGOs: National</v>
      </c>
    </row>
    <row r="1593" spans="1:13" x14ac:dyDescent="0.25">
      <c r="A1593" t="s">
        <v>3331</v>
      </c>
      <c r="B1593" t="s">
        <v>2911</v>
      </c>
      <c r="C1593" t="s">
        <v>3521</v>
      </c>
      <c r="D1593" t="s">
        <v>30</v>
      </c>
      <c r="E1593" t="s">
        <v>356</v>
      </c>
      <c r="F1593">
        <v>4500285515</v>
      </c>
      <c r="G1593" t="s">
        <v>3538</v>
      </c>
      <c r="H1593" t="s">
        <v>3334</v>
      </c>
      <c r="I1593" t="s">
        <v>3539</v>
      </c>
      <c r="J1593" t="s">
        <v>356</v>
      </c>
      <c r="K1593" s="1">
        <v>180076</v>
      </c>
      <c r="L1593" t="s">
        <v>6408</v>
      </c>
      <c r="M1593" t="str" cm="1">
        <f t="array" ref="M1593">INDEX('Org List'!$A$2:$C$1005,MATCH(Consolidated!I1593&amp;Consolidated!J1593,'Org List'!$A$2:$A$1005&amp;'Org List'!$B$2:$B$1005,0),3)</f>
        <v>NGOs: National</v>
      </c>
    </row>
    <row r="1594" spans="1:13" x14ac:dyDescent="0.25">
      <c r="A1594" t="s">
        <v>3331</v>
      </c>
      <c r="B1594" t="s">
        <v>2911</v>
      </c>
      <c r="C1594" t="s">
        <v>3521</v>
      </c>
      <c r="D1594" t="s">
        <v>30</v>
      </c>
      <c r="E1594" t="s">
        <v>356</v>
      </c>
      <c r="F1594">
        <v>4500286305</v>
      </c>
      <c r="G1594" t="s">
        <v>3540</v>
      </c>
      <c r="H1594" t="s">
        <v>3334</v>
      </c>
      <c r="I1594" t="s">
        <v>3541</v>
      </c>
      <c r="J1594" t="s">
        <v>356</v>
      </c>
      <c r="K1594" s="1">
        <v>108822</v>
      </c>
      <c r="L1594" t="s">
        <v>6408</v>
      </c>
      <c r="M1594" t="str" cm="1">
        <f t="array" ref="M1594">INDEX('Org List'!$A$2:$C$1005,MATCH(Consolidated!I1594&amp;Consolidated!J1594,'Org List'!$A$2:$A$1005&amp;'Org List'!$B$2:$B$1005,0),3)</f>
        <v>NGOs: National</v>
      </c>
    </row>
    <row r="1595" spans="1:13" x14ac:dyDescent="0.25">
      <c r="A1595" t="s">
        <v>3331</v>
      </c>
      <c r="B1595" t="s">
        <v>2911</v>
      </c>
      <c r="C1595" t="s">
        <v>3521</v>
      </c>
      <c r="D1595" t="s">
        <v>30</v>
      </c>
      <c r="E1595" t="s">
        <v>356</v>
      </c>
      <c r="F1595">
        <v>4500287842</v>
      </c>
      <c r="G1595" t="s">
        <v>3542</v>
      </c>
      <c r="H1595" t="s">
        <v>3334</v>
      </c>
      <c r="I1595" t="s">
        <v>1742</v>
      </c>
      <c r="J1595" t="s">
        <v>356</v>
      </c>
      <c r="K1595" s="1">
        <v>122864</v>
      </c>
      <c r="L1595" t="s">
        <v>6408</v>
      </c>
      <c r="M1595" t="str" cm="1">
        <f t="array" ref="M1595">INDEX('Org List'!$A$2:$C$1005,MATCH(Consolidated!I1595&amp;Consolidated!J1595,'Org List'!$A$2:$A$1005&amp;'Org List'!$B$2:$B$1005,0),3)</f>
        <v>NGOs: National</v>
      </c>
    </row>
    <row r="1596" spans="1:13" x14ac:dyDescent="0.25">
      <c r="A1596" t="s">
        <v>3331</v>
      </c>
      <c r="B1596" t="s">
        <v>2911</v>
      </c>
      <c r="C1596" t="s">
        <v>3521</v>
      </c>
      <c r="D1596" t="s">
        <v>30</v>
      </c>
      <c r="E1596" t="s">
        <v>356</v>
      </c>
      <c r="F1596">
        <v>4500288923</v>
      </c>
      <c r="G1596" t="s">
        <v>3543</v>
      </c>
      <c r="H1596" t="s">
        <v>3334</v>
      </c>
      <c r="I1596" t="s">
        <v>357</v>
      </c>
      <c r="J1596" t="s">
        <v>356</v>
      </c>
      <c r="K1596" s="1">
        <v>263659</v>
      </c>
      <c r="L1596" t="s">
        <v>6408</v>
      </c>
      <c r="M1596" t="str" cm="1">
        <f t="array" ref="M1596">INDEX('Org List'!$A$2:$C$1005,MATCH(Consolidated!I1596&amp;Consolidated!J1596,'Org List'!$A$2:$A$1005&amp;'Org List'!$B$2:$B$1005,0),3)</f>
        <v>NGOs: National</v>
      </c>
    </row>
    <row r="1597" spans="1:13" x14ac:dyDescent="0.25">
      <c r="A1597" t="s">
        <v>3331</v>
      </c>
      <c r="B1597" t="s">
        <v>2911</v>
      </c>
      <c r="C1597" t="s">
        <v>3521</v>
      </c>
      <c r="D1597" t="s">
        <v>30</v>
      </c>
      <c r="E1597" t="s">
        <v>356</v>
      </c>
      <c r="F1597">
        <v>4500291269</v>
      </c>
      <c r="G1597" t="s">
        <v>3544</v>
      </c>
      <c r="H1597" t="s">
        <v>3334</v>
      </c>
      <c r="I1597" t="s">
        <v>3545</v>
      </c>
      <c r="J1597" t="s">
        <v>356</v>
      </c>
      <c r="K1597" s="1">
        <v>97724</v>
      </c>
      <c r="L1597" t="s">
        <v>6408</v>
      </c>
      <c r="M1597" t="str" cm="1">
        <f t="array" ref="M1597">INDEX('Org List'!$A$2:$C$1005,MATCH(Consolidated!I1597&amp;Consolidated!J1597,'Org List'!$A$2:$A$1005&amp;'Org List'!$B$2:$B$1005,0),3)</f>
        <v>NGOs: National</v>
      </c>
    </row>
    <row r="1598" spans="1:13" x14ac:dyDescent="0.25">
      <c r="A1598" t="s">
        <v>3331</v>
      </c>
      <c r="B1598" t="s">
        <v>2911</v>
      </c>
      <c r="C1598" t="s">
        <v>3521</v>
      </c>
      <c r="D1598" t="s">
        <v>30</v>
      </c>
      <c r="E1598" t="s">
        <v>356</v>
      </c>
      <c r="F1598">
        <v>4500291385</v>
      </c>
      <c r="G1598" t="s">
        <v>3546</v>
      </c>
      <c r="H1598" t="s">
        <v>3334</v>
      </c>
      <c r="I1598" t="s">
        <v>2022</v>
      </c>
      <c r="J1598" t="s">
        <v>356</v>
      </c>
      <c r="K1598" s="1">
        <v>121477.87</v>
      </c>
      <c r="L1598" t="s">
        <v>6408</v>
      </c>
      <c r="M1598" t="str" cm="1">
        <f t="array" ref="M1598">INDEX('Org List'!$A$2:$C$1005,MATCH(Consolidated!I1598&amp;Consolidated!J1598,'Org List'!$A$2:$A$1005&amp;'Org List'!$B$2:$B$1005,0),3)</f>
        <v>NGOs: Local</v>
      </c>
    </row>
    <row r="1599" spans="1:13" x14ac:dyDescent="0.25">
      <c r="A1599" t="s">
        <v>3331</v>
      </c>
      <c r="B1599" t="s">
        <v>2911</v>
      </c>
      <c r="C1599" t="s">
        <v>3521</v>
      </c>
      <c r="D1599" t="s">
        <v>30</v>
      </c>
      <c r="E1599" t="s">
        <v>356</v>
      </c>
      <c r="F1599">
        <v>4500294204</v>
      </c>
      <c r="G1599" t="s">
        <v>3547</v>
      </c>
      <c r="H1599" t="s">
        <v>3334</v>
      </c>
      <c r="I1599" t="s">
        <v>1745</v>
      </c>
      <c r="J1599" t="s">
        <v>356</v>
      </c>
      <c r="K1599" s="1">
        <v>96045</v>
      </c>
      <c r="L1599" t="s">
        <v>6408</v>
      </c>
      <c r="M1599" t="str" cm="1">
        <f t="array" ref="M1599">INDEX('Org List'!$A$2:$C$1005,MATCH(Consolidated!I1599&amp;Consolidated!J1599,'Org List'!$A$2:$A$1005&amp;'Org List'!$B$2:$B$1005,0),3)</f>
        <v>NGOs: National</v>
      </c>
    </row>
    <row r="1600" spans="1:13" x14ac:dyDescent="0.25">
      <c r="A1600" t="s">
        <v>3331</v>
      </c>
      <c r="B1600" t="s">
        <v>2911</v>
      </c>
      <c r="C1600" t="s">
        <v>3521</v>
      </c>
      <c r="D1600" t="s">
        <v>30</v>
      </c>
      <c r="E1600" t="s">
        <v>356</v>
      </c>
      <c r="F1600">
        <v>4500294236</v>
      </c>
      <c r="G1600" t="s">
        <v>3548</v>
      </c>
      <c r="H1600" t="s">
        <v>3334</v>
      </c>
      <c r="I1600" t="s">
        <v>2020</v>
      </c>
      <c r="J1600" t="s">
        <v>356</v>
      </c>
      <c r="K1600" s="1">
        <v>102399</v>
      </c>
      <c r="L1600" t="s">
        <v>6408</v>
      </c>
      <c r="M1600" t="str" cm="1">
        <f t="array" ref="M1600">INDEX('Org List'!$A$2:$C$1005,MATCH(Consolidated!I1600&amp;Consolidated!J1600,'Org List'!$A$2:$A$1005&amp;'Org List'!$B$2:$B$1005,0),3)</f>
        <v>NGOs: National</v>
      </c>
    </row>
    <row r="1601" spans="1:13" x14ac:dyDescent="0.25">
      <c r="A1601" t="s">
        <v>3331</v>
      </c>
      <c r="B1601" t="s">
        <v>2911</v>
      </c>
      <c r="C1601" t="s">
        <v>3521</v>
      </c>
      <c r="D1601" t="s">
        <v>30</v>
      </c>
      <c r="E1601" t="s">
        <v>356</v>
      </c>
      <c r="F1601">
        <v>4500295534</v>
      </c>
      <c r="G1601" t="s">
        <v>3549</v>
      </c>
      <c r="H1601" t="s">
        <v>3334</v>
      </c>
      <c r="I1601" t="s">
        <v>1306</v>
      </c>
      <c r="J1601" t="s">
        <v>356</v>
      </c>
      <c r="K1601" s="1">
        <v>97959</v>
      </c>
      <c r="L1601" t="s">
        <v>6408</v>
      </c>
      <c r="M1601" t="str" cm="1">
        <f t="array" ref="M1601">INDEX('Org List'!$A$2:$C$1005,MATCH(Consolidated!I1601&amp;Consolidated!J1601,'Org List'!$A$2:$A$1005&amp;'Org List'!$B$2:$B$1005,0),3)</f>
        <v>NGOs: National</v>
      </c>
    </row>
    <row r="1602" spans="1:13" x14ac:dyDescent="0.25">
      <c r="A1602" t="s">
        <v>3331</v>
      </c>
      <c r="B1602" t="s">
        <v>2911</v>
      </c>
      <c r="C1602" t="s">
        <v>3521</v>
      </c>
      <c r="D1602" t="s">
        <v>30</v>
      </c>
      <c r="E1602" t="s">
        <v>356</v>
      </c>
      <c r="F1602">
        <v>4500296462</v>
      </c>
      <c r="G1602" t="s">
        <v>3550</v>
      </c>
      <c r="H1602" t="s">
        <v>3334</v>
      </c>
      <c r="I1602" t="s">
        <v>3551</v>
      </c>
      <c r="J1602" t="s">
        <v>356</v>
      </c>
      <c r="K1602" s="1">
        <v>37080</v>
      </c>
      <c r="L1602" t="s">
        <v>6408</v>
      </c>
      <c r="M1602" t="str" cm="1">
        <f t="array" ref="M1602">INDEX('Org List'!$A$2:$C$1005,MATCH(Consolidated!I1602&amp;Consolidated!J1602,'Org List'!$A$2:$A$1005&amp;'Org List'!$B$2:$B$1005,0),3)</f>
        <v>NGOs: International</v>
      </c>
    </row>
    <row r="1603" spans="1:13" x14ac:dyDescent="0.25">
      <c r="A1603" t="s">
        <v>3331</v>
      </c>
      <c r="B1603" t="s">
        <v>2911</v>
      </c>
      <c r="C1603" t="s">
        <v>3521</v>
      </c>
      <c r="D1603" t="s">
        <v>30</v>
      </c>
      <c r="E1603" t="s">
        <v>356</v>
      </c>
      <c r="F1603">
        <v>4500298295</v>
      </c>
      <c r="G1603" t="s">
        <v>3552</v>
      </c>
      <c r="H1603" t="s">
        <v>3334</v>
      </c>
      <c r="I1603" t="s">
        <v>3553</v>
      </c>
      <c r="J1603" t="s">
        <v>356</v>
      </c>
      <c r="K1603" s="1">
        <v>182733</v>
      </c>
      <c r="L1603" t="s">
        <v>6408</v>
      </c>
      <c r="M1603" t="str" cm="1">
        <f t="array" ref="M1603">INDEX('Org List'!$A$2:$C$1005,MATCH(Consolidated!I1603&amp;Consolidated!J1603,'Org List'!$A$2:$A$1005&amp;'Org List'!$B$2:$B$1005,0),3)</f>
        <v>NGOs: National</v>
      </c>
    </row>
    <row r="1604" spans="1:13" x14ac:dyDescent="0.25">
      <c r="A1604" t="s">
        <v>3331</v>
      </c>
      <c r="B1604" t="s">
        <v>2911</v>
      </c>
      <c r="C1604" t="s">
        <v>3521</v>
      </c>
      <c r="D1604" t="s">
        <v>30</v>
      </c>
      <c r="E1604" t="s">
        <v>356</v>
      </c>
      <c r="F1604">
        <v>4500298795</v>
      </c>
      <c r="G1604" t="s">
        <v>3554</v>
      </c>
      <c r="H1604" t="s">
        <v>3334</v>
      </c>
      <c r="I1604" t="s">
        <v>3555</v>
      </c>
      <c r="J1604" t="s">
        <v>356</v>
      </c>
      <c r="K1604" s="1">
        <v>189695</v>
      </c>
      <c r="L1604" t="s">
        <v>6408</v>
      </c>
      <c r="M1604" t="str" cm="1">
        <f t="array" ref="M1604">INDEX('Org List'!$A$2:$C$1005,MATCH(Consolidated!I1604&amp;Consolidated!J1604,'Org List'!$A$2:$A$1005&amp;'Org List'!$B$2:$B$1005,0),3)</f>
        <v>NGOs: International</v>
      </c>
    </row>
    <row r="1605" spans="1:13" x14ac:dyDescent="0.25">
      <c r="A1605" t="s">
        <v>3331</v>
      </c>
      <c r="B1605" t="s">
        <v>2911</v>
      </c>
      <c r="C1605" t="s">
        <v>3521</v>
      </c>
      <c r="D1605" t="s">
        <v>30</v>
      </c>
      <c r="E1605" t="s">
        <v>356</v>
      </c>
      <c r="F1605">
        <v>4500298826</v>
      </c>
      <c r="G1605" t="s">
        <v>2200</v>
      </c>
      <c r="H1605" t="s">
        <v>3334</v>
      </c>
      <c r="I1605" t="s">
        <v>3556</v>
      </c>
      <c r="J1605" t="s">
        <v>356</v>
      </c>
      <c r="K1605" s="1">
        <v>70234</v>
      </c>
      <c r="L1605" t="s">
        <v>6408</v>
      </c>
      <c r="M1605" t="str" cm="1">
        <f t="array" ref="M1605">INDEX('Org List'!$A$2:$C$1005,MATCH(Consolidated!I1605&amp;Consolidated!J1605,'Org List'!$A$2:$A$1005&amp;'Org List'!$B$2:$B$1005,0),3)</f>
        <v>NGOs: National</v>
      </c>
    </row>
    <row r="1606" spans="1:13" x14ac:dyDescent="0.25">
      <c r="A1606" t="s">
        <v>3331</v>
      </c>
      <c r="B1606" t="s">
        <v>1694</v>
      </c>
      <c r="C1606" t="s">
        <v>1695</v>
      </c>
      <c r="D1606" t="s">
        <v>30</v>
      </c>
      <c r="E1606" t="s">
        <v>32</v>
      </c>
      <c r="F1606">
        <v>4500292142</v>
      </c>
      <c r="G1606" t="s">
        <v>2200</v>
      </c>
      <c r="H1606" t="s">
        <v>3334</v>
      </c>
      <c r="I1606" t="s">
        <v>3557</v>
      </c>
      <c r="J1606" t="s">
        <v>32</v>
      </c>
      <c r="K1606" s="1">
        <v>133360</v>
      </c>
      <c r="L1606" t="s">
        <v>6408</v>
      </c>
      <c r="M1606" t="str" cm="1">
        <f t="array" ref="M1606">INDEX('Org List'!$A$2:$C$1005,MATCH(Consolidated!I1606&amp;Consolidated!J1606,'Org List'!$A$2:$A$1005&amp;'Org List'!$B$2:$B$1005,0),3)</f>
        <v>NGOs: National</v>
      </c>
    </row>
    <row r="1607" spans="1:13" x14ac:dyDescent="0.25">
      <c r="A1607" t="s">
        <v>3331</v>
      </c>
      <c r="B1607" t="s">
        <v>3558</v>
      </c>
      <c r="C1607" t="s">
        <v>3559</v>
      </c>
      <c r="D1607" t="s">
        <v>30</v>
      </c>
      <c r="E1607" t="s">
        <v>289</v>
      </c>
      <c r="F1607">
        <v>4500282793</v>
      </c>
      <c r="G1607" t="s">
        <v>3560</v>
      </c>
      <c r="H1607" t="s">
        <v>3334</v>
      </c>
      <c r="I1607" t="s">
        <v>3561</v>
      </c>
      <c r="J1607" t="s">
        <v>289</v>
      </c>
      <c r="K1607" s="1">
        <v>216523.47</v>
      </c>
      <c r="L1607" t="s">
        <v>6408</v>
      </c>
      <c r="M1607" t="str" cm="1">
        <f t="array" ref="M1607">INDEX('Org List'!$A$2:$C$1005,MATCH(Consolidated!I1607&amp;Consolidated!J1607,'Org List'!$A$2:$A$1005&amp;'Org List'!$B$2:$B$1005,0),3)</f>
        <v>NGOs: National</v>
      </c>
    </row>
    <row r="1608" spans="1:13" x14ac:dyDescent="0.25">
      <c r="A1608" t="s">
        <v>3331</v>
      </c>
      <c r="B1608" t="s">
        <v>3558</v>
      </c>
      <c r="C1608" t="s">
        <v>3559</v>
      </c>
      <c r="D1608" t="s">
        <v>30</v>
      </c>
      <c r="E1608" t="s">
        <v>289</v>
      </c>
      <c r="F1608">
        <v>4500283988</v>
      </c>
      <c r="G1608" t="s">
        <v>3562</v>
      </c>
      <c r="H1608" t="s">
        <v>3334</v>
      </c>
      <c r="I1608" t="s">
        <v>1985</v>
      </c>
      <c r="J1608" t="s">
        <v>289</v>
      </c>
      <c r="K1608" s="1">
        <v>33415.839999999997</v>
      </c>
      <c r="L1608" t="s">
        <v>6408</v>
      </c>
      <c r="M1608" t="str" cm="1">
        <f t="array" ref="M1608">INDEX('Org List'!$A$2:$C$1005,MATCH(Consolidated!I1608&amp;Consolidated!J1608,'Org List'!$A$2:$A$1005&amp;'Org List'!$B$2:$B$1005,0),3)</f>
        <v>NGOs: National</v>
      </c>
    </row>
    <row r="1609" spans="1:13" x14ac:dyDescent="0.25">
      <c r="A1609" t="s">
        <v>3331</v>
      </c>
      <c r="B1609" t="s">
        <v>3558</v>
      </c>
      <c r="C1609" t="s">
        <v>3559</v>
      </c>
      <c r="D1609" t="s">
        <v>30</v>
      </c>
      <c r="E1609" t="s">
        <v>289</v>
      </c>
      <c r="F1609">
        <v>4500292566</v>
      </c>
      <c r="G1609" t="s">
        <v>3563</v>
      </c>
      <c r="H1609" t="s">
        <v>3334</v>
      </c>
      <c r="I1609" t="s">
        <v>3564</v>
      </c>
      <c r="J1609" t="s">
        <v>289</v>
      </c>
      <c r="K1609" s="1">
        <v>21660.65</v>
      </c>
      <c r="L1609" t="s">
        <v>6408</v>
      </c>
      <c r="M1609" t="str" cm="1">
        <f t="array" ref="M1609">INDEX('Org List'!$A$2:$C$1005,MATCH(Consolidated!I1609&amp;Consolidated!J1609,'Org List'!$A$2:$A$1005&amp;'Org List'!$B$2:$B$1005,0),3)</f>
        <v>NGOs: Local</v>
      </c>
    </row>
    <row r="1610" spans="1:13" x14ac:dyDescent="0.25">
      <c r="A1610" t="s">
        <v>3331</v>
      </c>
      <c r="B1610" t="s">
        <v>3558</v>
      </c>
      <c r="C1610" t="s">
        <v>3559</v>
      </c>
      <c r="D1610" t="s">
        <v>30</v>
      </c>
      <c r="E1610" t="s">
        <v>289</v>
      </c>
      <c r="F1610">
        <v>4500299421</v>
      </c>
      <c r="G1610" t="s">
        <v>2200</v>
      </c>
      <c r="H1610" t="s">
        <v>3334</v>
      </c>
      <c r="I1610" t="s">
        <v>3565</v>
      </c>
      <c r="J1610" t="s">
        <v>289</v>
      </c>
      <c r="K1610" s="1">
        <v>44843.05</v>
      </c>
      <c r="L1610" t="s">
        <v>6408</v>
      </c>
      <c r="M1610" t="str" cm="1">
        <f t="array" ref="M1610">INDEX('Org List'!$A$2:$C$1005,MATCH(Consolidated!I1610&amp;Consolidated!J1610,'Org List'!$A$2:$A$1005&amp;'Org List'!$B$2:$B$1005,0),3)</f>
        <v>NGOs: Local</v>
      </c>
    </row>
    <row r="1611" spans="1:13" x14ac:dyDescent="0.25">
      <c r="A1611" t="s">
        <v>3331</v>
      </c>
      <c r="B1611" t="s">
        <v>3558</v>
      </c>
      <c r="C1611" t="s">
        <v>3559</v>
      </c>
      <c r="D1611" t="s">
        <v>30</v>
      </c>
      <c r="E1611" t="s">
        <v>54</v>
      </c>
      <c r="F1611">
        <v>4500277061</v>
      </c>
      <c r="G1611" t="s">
        <v>3566</v>
      </c>
      <c r="H1611" t="s">
        <v>3334</v>
      </c>
      <c r="I1611" t="s">
        <v>3567</v>
      </c>
      <c r="J1611" t="s">
        <v>54</v>
      </c>
      <c r="K1611" s="1">
        <v>512163.4</v>
      </c>
      <c r="L1611" t="s">
        <v>6408</v>
      </c>
      <c r="M1611" t="str" cm="1">
        <f t="array" ref="M1611">INDEX('Org List'!$A$2:$C$1005,MATCH(Consolidated!I1611&amp;Consolidated!J1611,'Org List'!$A$2:$A$1005&amp;'Org List'!$B$2:$B$1005,0),3)</f>
        <v>NGOs: International</v>
      </c>
    </row>
    <row r="1612" spans="1:13" x14ac:dyDescent="0.25">
      <c r="A1612" t="s">
        <v>3331</v>
      </c>
      <c r="B1612" t="s">
        <v>3558</v>
      </c>
      <c r="C1612" t="s">
        <v>3559</v>
      </c>
      <c r="D1612" t="s">
        <v>30</v>
      </c>
      <c r="E1612" t="s">
        <v>54</v>
      </c>
      <c r="F1612">
        <v>4500277523</v>
      </c>
      <c r="G1612" t="s">
        <v>3568</v>
      </c>
      <c r="H1612" t="s">
        <v>3334</v>
      </c>
      <c r="I1612" t="s">
        <v>274</v>
      </c>
      <c r="J1612" t="s">
        <v>54</v>
      </c>
      <c r="K1612" s="1">
        <v>69333.55</v>
      </c>
      <c r="L1612" t="s">
        <v>6408</v>
      </c>
      <c r="M1612" t="str" cm="1">
        <f t="array" ref="M1612">INDEX('Org List'!$A$2:$C$1005,MATCH(Consolidated!I1612&amp;Consolidated!J1612,'Org List'!$A$2:$A$1005&amp;'Org List'!$B$2:$B$1005,0),3)</f>
        <v>NGOs: National</v>
      </c>
    </row>
    <row r="1613" spans="1:13" x14ac:dyDescent="0.25">
      <c r="A1613" t="s">
        <v>3331</v>
      </c>
      <c r="B1613" t="s">
        <v>3558</v>
      </c>
      <c r="C1613" t="s">
        <v>3559</v>
      </c>
      <c r="D1613" t="s">
        <v>30</v>
      </c>
      <c r="E1613" t="s">
        <v>54</v>
      </c>
      <c r="F1613">
        <v>4500277685</v>
      </c>
      <c r="G1613" t="s">
        <v>3569</v>
      </c>
      <c r="H1613" t="s">
        <v>3334</v>
      </c>
      <c r="I1613" t="s">
        <v>280</v>
      </c>
      <c r="J1613" t="s">
        <v>54</v>
      </c>
      <c r="K1613" s="1">
        <v>82954.42</v>
      </c>
      <c r="L1613" t="s">
        <v>6408</v>
      </c>
      <c r="M1613" t="str" cm="1">
        <f t="array" ref="M1613">INDEX('Org List'!$A$2:$C$1005,MATCH(Consolidated!I1613&amp;Consolidated!J1613,'Org List'!$A$2:$A$1005&amp;'Org List'!$B$2:$B$1005,0),3)</f>
        <v>NGOs: National</v>
      </c>
    </row>
    <row r="1614" spans="1:13" x14ac:dyDescent="0.25">
      <c r="A1614" t="s">
        <v>3331</v>
      </c>
      <c r="B1614" t="s">
        <v>3558</v>
      </c>
      <c r="C1614" t="s">
        <v>3559</v>
      </c>
      <c r="D1614" t="s">
        <v>30</v>
      </c>
      <c r="E1614" t="s">
        <v>54</v>
      </c>
      <c r="F1614">
        <v>4500278928</v>
      </c>
      <c r="G1614" t="s">
        <v>3570</v>
      </c>
      <c r="H1614" t="s">
        <v>3334</v>
      </c>
      <c r="I1614" t="s">
        <v>271</v>
      </c>
      <c r="J1614" t="s">
        <v>54</v>
      </c>
      <c r="K1614" s="1">
        <v>72325.5</v>
      </c>
      <c r="L1614" t="s">
        <v>6408</v>
      </c>
      <c r="M1614" t="str" cm="1">
        <f t="array" ref="M1614">INDEX('Org List'!$A$2:$C$1005,MATCH(Consolidated!I1614&amp;Consolidated!J1614,'Org List'!$A$2:$A$1005&amp;'Org List'!$B$2:$B$1005,0),3)</f>
        <v>NGOs: National</v>
      </c>
    </row>
    <row r="1615" spans="1:13" x14ac:dyDescent="0.25">
      <c r="A1615" t="s">
        <v>3331</v>
      </c>
      <c r="B1615" t="s">
        <v>3558</v>
      </c>
      <c r="C1615" t="s">
        <v>3559</v>
      </c>
      <c r="D1615" t="s">
        <v>30</v>
      </c>
      <c r="E1615" t="s">
        <v>54</v>
      </c>
      <c r="F1615">
        <v>4500285201</v>
      </c>
      <c r="G1615" t="s">
        <v>3571</v>
      </c>
      <c r="H1615" t="s">
        <v>3334</v>
      </c>
      <c r="I1615" t="s">
        <v>1405</v>
      </c>
      <c r="J1615" t="s">
        <v>972</v>
      </c>
      <c r="K1615" s="1">
        <v>440000</v>
      </c>
      <c r="L1615" t="s">
        <v>6408</v>
      </c>
      <c r="M1615" t="str" cm="1">
        <f t="array" ref="M1615">INDEX('Org List'!$A$2:$C$1005,MATCH(Consolidated!I1615&amp;Consolidated!J1615,'Org List'!$A$2:$A$1005&amp;'Org List'!$B$2:$B$1005,0),3)</f>
        <v>NGOs: International</v>
      </c>
    </row>
    <row r="1616" spans="1:13" x14ac:dyDescent="0.25">
      <c r="A1616" t="s">
        <v>3331</v>
      </c>
      <c r="B1616" t="s">
        <v>87</v>
      </c>
      <c r="C1616" t="s">
        <v>88</v>
      </c>
      <c r="D1616" t="s">
        <v>30</v>
      </c>
      <c r="E1616" t="s">
        <v>32</v>
      </c>
      <c r="F1616">
        <v>4500282992</v>
      </c>
      <c r="G1616" t="s">
        <v>3572</v>
      </c>
      <c r="H1616" t="s">
        <v>3334</v>
      </c>
      <c r="I1616" t="s">
        <v>89</v>
      </c>
      <c r="J1616" t="s">
        <v>32</v>
      </c>
      <c r="K1616" s="1">
        <v>149876</v>
      </c>
      <c r="L1616" t="s">
        <v>6408</v>
      </c>
      <c r="M1616" t="str" cm="1">
        <f t="array" ref="M1616">INDEX('Org List'!$A$2:$C$1005,MATCH(Consolidated!I1616&amp;Consolidated!J1616,'Org List'!$A$2:$A$1005&amp;'Org List'!$B$2:$B$1005,0),3)</f>
        <v>NGOs: National</v>
      </c>
    </row>
    <row r="1617" spans="1:13" x14ac:dyDescent="0.25">
      <c r="A1617" t="s">
        <v>3331</v>
      </c>
      <c r="B1617" t="s">
        <v>87</v>
      </c>
      <c r="C1617" t="s">
        <v>88</v>
      </c>
      <c r="D1617" t="s">
        <v>30</v>
      </c>
      <c r="E1617" t="s">
        <v>32</v>
      </c>
      <c r="F1617">
        <v>4500284236</v>
      </c>
      <c r="G1617" t="s">
        <v>2200</v>
      </c>
      <c r="H1617" t="s">
        <v>3334</v>
      </c>
      <c r="I1617" t="s">
        <v>802</v>
      </c>
      <c r="J1617" t="s">
        <v>32</v>
      </c>
      <c r="K1617" s="1">
        <v>219048</v>
      </c>
      <c r="L1617" t="s">
        <v>6408</v>
      </c>
      <c r="M1617" t="str" cm="1">
        <f t="array" ref="M1617">INDEX('Org List'!$A$2:$C$1005,MATCH(Consolidated!I1617&amp;Consolidated!J1617,'Org List'!$A$2:$A$1005&amp;'Org List'!$B$2:$B$1005,0),3)</f>
        <v>NGOs: National</v>
      </c>
    </row>
    <row r="1618" spans="1:13" x14ac:dyDescent="0.25">
      <c r="A1618" t="s">
        <v>3331</v>
      </c>
      <c r="B1618" t="s">
        <v>87</v>
      </c>
      <c r="C1618" t="s">
        <v>88</v>
      </c>
      <c r="D1618" t="s">
        <v>30</v>
      </c>
      <c r="E1618" t="s">
        <v>32</v>
      </c>
      <c r="F1618">
        <v>4500297261</v>
      </c>
      <c r="G1618" t="s">
        <v>2357</v>
      </c>
      <c r="H1618" t="s">
        <v>3334</v>
      </c>
      <c r="I1618" t="s">
        <v>3573</v>
      </c>
      <c r="J1618" t="s">
        <v>32</v>
      </c>
      <c r="K1618" s="1">
        <v>250000</v>
      </c>
      <c r="L1618" t="s">
        <v>6408</v>
      </c>
      <c r="M1618" t="str" cm="1">
        <f t="array" ref="M1618">INDEX('Org List'!$A$2:$C$1005,MATCH(Consolidated!I1618&amp;Consolidated!J1618,'Org List'!$A$2:$A$1005&amp;'Org List'!$B$2:$B$1005,0),3)</f>
        <v>NGOs: International</v>
      </c>
    </row>
    <row r="1619" spans="1:13" x14ac:dyDescent="0.25">
      <c r="A1619" t="s">
        <v>3331</v>
      </c>
      <c r="B1619" t="s">
        <v>2939</v>
      </c>
      <c r="C1619" t="s">
        <v>3574</v>
      </c>
      <c r="D1619" t="s">
        <v>30</v>
      </c>
      <c r="E1619" t="s">
        <v>132</v>
      </c>
      <c r="F1619">
        <v>4500280910</v>
      </c>
      <c r="G1619" t="s">
        <v>3575</v>
      </c>
      <c r="H1619" t="s">
        <v>3334</v>
      </c>
      <c r="I1619" t="s">
        <v>134</v>
      </c>
      <c r="J1619" t="s">
        <v>132</v>
      </c>
      <c r="K1619" s="1">
        <v>50000</v>
      </c>
      <c r="L1619" t="s">
        <v>6408</v>
      </c>
      <c r="M1619" t="str" cm="1">
        <f t="array" ref="M1619">INDEX('Org List'!$A$2:$C$1005,MATCH(Consolidated!I1619&amp;Consolidated!J1619,'Org List'!$A$2:$A$1005&amp;'Org List'!$B$2:$B$1005,0),3)</f>
        <v>NGOs: Local</v>
      </c>
    </row>
    <row r="1620" spans="1:13" x14ac:dyDescent="0.25">
      <c r="A1620" t="s">
        <v>3331</v>
      </c>
      <c r="B1620" t="s">
        <v>3576</v>
      </c>
      <c r="C1620" t="s">
        <v>3577</v>
      </c>
      <c r="D1620" t="s">
        <v>30</v>
      </c>
      <c r="E1620" t="s">
        <v>54</v>
      </c>
      <c r="F1620">
        <v>4500285167</v>
      </c>
      <c r="G1620" t="s">
        <v>3578</v>
      </c>
      <c r="H1620" t="s">
        <v>3334</v>
      </c>
      <c r="I1620" t="s">
        <v>3579</v>
      </c>
      <c r="J1620" t="s">
        <v>54</v>
      </c>
      <c r="K1620" s="1">
        <v>372093.82</v>
      </c>
      <c r="L1620" t="s">
        <v>6408</v>
      </c>
      <c r="M1620" t="str" cm="1">
        <f t="array" ref="M1620">INDEX('Org List'!$A$2:$C$1005,MATCH(Consolidated!I1620&amp;Consolidated!J1620,'Org List'!$A$2:$A$1005&amp;'Org List'!$B$2:$B$1005,0),3)</f>
        <v>NGOs: International</v>
      </c>
    </row>
    <row r="1621" spans="1:13" x14ac:dyDescent="0.25">
      <c r="A1621" t="s">
        <v>3331</v>
      </c>
      <c r="B1621" t="s">
        <v>3580</v>
      </c>
      <c r="C1621" t="s">
        <v>3581</v>
      </c>
      <c r="D1621" t="s">
        <v>30</v>
      </c>
      <c r="E1621" t="s">
        <v>356</v>
      </c>
      <c r="F1621">
        <v>4500286330</v>
      </c>
      <c r="G1621" t="s">
        <v>3582</v>
      </c>
      <c r="H1621" t="s">
        <v>3334</v>
      </c>
      <c r="I1621" t="s">
        <v>3583</v>
      </c>
      <c r="J1621" t="s">
        <v>356</v>
      </c>
      <c r="K1621" s="1">
        <v>196846.5</v>
      </c>
      <c r="L1621" t="s">
        <v>6408</v>
      </c>
      <c r="M1621" t="str" cm="1">
        <f t="array" ref="M1621">INDEX('Org List'!$A$2:$C$1005,MATCH(Consolidated!I1621&amp;Consolidated!J1621,'Org List'!$A$2:$A$1005&amp;'Org List'!$B$2:$B$1005,0),3)</f>
        <v>NGOs: International</v>
      </c>
    </row>
    <row r="1622" spans="1:13" x14ac:dyDescent="0.25">
      <c r="A1622" t="s">
        <v>3331</v>
      </c>
      <c r="B1622" t="s">
        <v>3584</v>
      </c>
      <c r="C1622" t="s">
        <v>3585</v>
      </c>
      <c r="D1622" t="s">
        <v>30</v>
      </c>
      <c r="E1622" t="s">
        <v>54</v>
      </c>
      <c r="F1622">
        <v>4500294859</v>
      </c>
      <c r="G1622" t="s">
        <v>3586</v>
      </c>
      <c r="H1622" t="s">
        <v>3334</v>
      </c>
      <c r="I1622" t="s">
        <v>281</v>
      </c>
      <c r="J1622" t="s">
        <v>54</v>
      </c>
      <c r="K1622" s="1">
        <v>125351.91</v>
      </c>
      <c r="L1622" t="s">
        <v>6408</v>
      </c>
      <c r="M1622" t="str" cm="1">
        <f t="array" ref="M1622">INDEX('Org List'!$A$2:$C$1005,MATCH(Consolidated!I1622&amp;Consolidated!J1622,'Org List'!$A$2:$A$1005&amp;'Org List'!$B$2:$B$1005,0),3)</f>
        <v>NGOs: International</v>
      </c>
    </row>
    <row r="1623" spans="1:13" x14ac:dyDescent="0.25">
      <c r="A1623" t="s">
        <v>3331</v>
      </c>
      <c r="B1623" t="s">
        <v>2948</v>
      </c>
      <c r="C1623" t="s">
        <v>3587</v>
      </c>
      <c r="D1623" t="s">
        <v>30</v>
      </c>
      <c r="E1623" t="s">
        <v>54</v>
      </c>
      <c r="F1623">
        <v>4500279537</v>
      </c>
      <c r="G1623" t="s">
        <v>3588</v>
      </c>
      <c r="H1623" t="s">
        <v>3334</v>
      </c>
      <c r="I1623" t="s">
        <v>790</v>
      </c>
      <c r="J1623" t="s">
        <v>54</v>
      </c>
      <c r="K1623" s="1">
        <v>37316.11</v>
      </c>
      <c r="L1623" t="s">
        <v>6408</v>
      </c>
      <c r="M1623" t="str" cm="1">
        <f t="array" ref="M1623">INDEX('Org List'!$A$2:$C$1005,MATCH(Consolidated!I1623&amp;Consolidated!J1623,'Org List'!$A$2:$A$1005&amp;'Org List'!$B$2:$B$1005,0),3)</f>
        <v>NGOs: National</v>
      </c>
    </row>
    <row r="1624" spans="1:13" x14ac:dyDescent="0.25">
      <c r="A1624" t="s">
        <v>3331</v>
      </c>
      <c r="B1624" t="s">
        <v>2948</v>
      </c>
      <c r="C1624" t="s">
        <v>3587</v>
      </c>
      <c r="D1624" t="s">
        <v>30</v>
      </c>
      <c r="E1624" t="s">
        <v>54</v>
      </c>
      <c r="F1624">
        <v>4500284329</v>
      </c>
      <c r="G1624" t="s">
        <v>3589</v>
      </c>
      <c r="H1624" t="s">
        <v>3334</v>
      </c>
      <c r="I1624" t="s">
        <v>3590</v>
      </c>
      <c r="J1624" t="s">
        <v>54</v>
      </c>
      <c r="K1624" s="1">
        <v>97263.51</v>
      </c>
      <c r="L1624" t="s">
        <v>6408</v>
      </c>
      <c r="M1624" t="str" cm="1">
        <f t="array" ref="M1624">INDEX('Org List'!$A$2:$C$1005,MATCH(Consolidated!I1624&amp;Consolidated!J1624,'Org List'!$A$2:$A$1005&amp;'Org List'!$B$2:$B$1005,0),3)</f>
        <v>NGOs: National</v>
      </c>
    </row>
    <row r="1625" spans="1:13" x14ac:dyDescent="0.25">
      <c r="A1625" t="s">
        <v>3331</v>
      </c>
      <c r="B1625" t="s">
        <v>3591</v>
      </c>
      <c r="C1625" t="s">
        <v>3592</v>
      </c>
      <c r="D1625" t="s">
        <v>30</v>
      </c>
      <c r="E1625" t="s">
        <v>54</v>
      </c>
      <c r="F1625">
        <v>4500277689</v>
      </c>
      <c r="G1625" t="s">
        <v>3593</v>
      </c>
      <c r="H1625" t="s">
        <v>3334</v>
      </c>
      <c r="I1625" t="s">
        <v>789</v>
      </c>
      <c r="J1625" t="s">
        <v>54</v>
      </c>
      <c r="K1625" s="1">
        <v>104422.18</v>
      </c>
      <c r="L1625" t="s">
        <v>6408</v>
      </c>
      <c r="M1625" t="str" cm="1">
        <f t="array" ref="M1625">INDEX('Org List'!$A$2:$C$1005,MATCH(Consolidated!I1625&amp;Consolidated!J1625,'Org List'!$A$2:$A$1005&amp;'Org List'!$B$2:$B$1005,0),3)</f>
        <v>NGOs: National</v>
      </c>
    </row>
    <row r="1626" spans="1:13" x14ac:dyDescent="0.25">
      <c r="A1626" t="s">
        <v>3331</v>
      </c>
      <c r="B1626" t="s">
        <v>3594</v>
      </c>
      <c r="C1626" t="s">
        <v>3595</v>
      </c>
      <c r="D1626" t="s">
        <v>30</v>
      </c>
      <c r="E1626" t="s">
        <v>150</v>
      </c>
      <c r="F1626">
        <v>4500299671</v>
      </c>
      <c r="G1626" t="s">
        <v>2200</v>
      </c>
      <c r="H1626" t="s">
        <v>3334</v>
      </c>
      <c r="I1626" t="s">
        <v>151</v>
      </c>
      <c r="J1626" t="s">
        <v>150</v>
      </c>
      <c r="K1626" s="1">
        <v>143969.29999999999</v>
      </c>
      <c r="L1626" t="s">
        <v>6408</v>
      </c>
      <c r="M1626" t="str" cm="1">
        <f t="array" ref="M1626">INDEX('Org List'!$A$2:$C$1005,MATCH(Consolidated!I1626&amp;Consolidated!J1626,'Org List'!$A$2:$A$1005&amp;'Org List'!$B$2:$B$1005,0),3)</f>
        <v>NGOs: National</v>
      </c>
    </row>
    <row r="1627" spans="1:13" x14ac:dyDescent="0.25">
      <c r="A1627" t="s">
        <v>3331</v>
      </c>
      <c r="B1627" t="s">
        <v>2342</v>
      </c>
      <c r="C1627" t="s">
        <v>2343</v>
      </c>
      <c r="D1627" t="s">
        <v>30</v>
      </c>
      <c r="E1627" t="s">
        <v>890</v>
      </c>
      <c r="F1627">
        <v>4500287579</v>
      </c>
      <c r="G1627" t="s">
        <v>3596</v>
      </c>
      <c r="H1627" t="s">
        <v>3334</v>
      </c>
      <c r="I1627" t="s">
        <v>246</v>
      </c>
      <c r="J1627" t="s">
        <v>890</v>
      </c>
      <c r="K1627" s="1">
        <v>32615.72</v>
      </c>
      <c r="L1627" t="s">
        <v>6408</v>
      </c>
      <c r="M1627" t="str" cm="1">
        <f t="array" ref="M1627">INDEX('Org List'!$A$2:$C$1005,MATCH(Consolidated!I1627&amp;Consolidated!J1627,'Org List'!$A$2:$A$1005&amp;'Org List'!$B$2:$B$1005,0),3)</f>
        <v>NGOs: National</v>
      </c>
    </row>
    <row r="1628" spans="1:13" x14ac:dyDescent="0.25">
      <c r="A1628" t="s">
        <v>3331</v>
      </c>
      <c r="B1628" t="s">
        <v>2342</v>
      </c>
      <c r="C1628" t="s">
        <v>2343</v>
      </c>
      <c r="D1628" t="s">
        <v>30</v>
      </c>
      <c r="E1628" t="s">
        <v>890</v>
      </c>
      <c r="F1628">
        <v>4500287586</v>
      </c>
      <c r="G1628" t="s">
        <v>3597</v>
      </c>
      <c r="H1628" t="s">
        <v>3334</v>
      </c>
      <c r="I1628" t="s">
        <v>245</v>
      </c>
      <c r="J1628" t="s">
        <v>890</v>
      </c>
      <c r="K1628" s="1">
        <v>55543.59</v>
      </c>
      <c r="L1628" t="s">
        <v>6408</v>
      </c>
      <c r="M1628" t="str" cm="1">
        <f t="array" ref="M1628">INDEX('Org List'!$A$2:$C$1005,MATCH(Consolidated!I1628&amp;Consolidated!J1628,'Org List'!$A$2:$A$1005&amp;'Org List'!$B$2:$B$1005,0),3)</f>
        <v>Red Cross: National</v>
      </c>
    </row>
    <row r="1629" spans="1:13" x14ac:dyDescent="0.25">
      <c r="A1629" t="s">
        <v>3331</v>
      </c>
      <c r="B1629" t="s">
        <v>2342</v>
      </c>
      <c r="C1629" t="s">
        <v>2343</v>
      </c>
      <c r="D1629" t="s">
        <v>30</v>
      </c>
      <c r="E1629" t="s">
        <v>890</v>
      </c>
      <c r="F1629">
        <v>4500287591</v>
      </c>
      <c r="G1629" t="s">
        <v>3598</v>
      </c>
      <c r="H1629" t="s">
        <v>3334</v>
      </c>
      <c r="I1629" t="s">
        <v>247</v>
      </c>
      <c r="J1629" t="s">
        <v>890</v>
      </c>
      <c r="K1629" s="1">
        <v>271826.7</v>
      </c>
      <c r="L1629" t="s">
        <v>6408</v>
      </c>
      <c r="M1629" t="str" cm="1">
        <f t="array" ref="M1629">INDEX('Org List'!$A$2:$C$1005,MATCH(Consolidated!I1629&amp;Consolidated!J1629,'Org List'!$A$2:$A$1005&amp;'Org List'!$B$2:$B$1005,0),3)</f>
        <v>Other: Local</v>
      </c>
    </row>
    <row r="1630" spans="1:13" x14ac:dyDescent="0.25">
      <c r="A1630" t="s">
        <v>3331</v>
      </c>
      <c r="B1630" t="s">
        <v>2342</v>
      </c>
      <c r="C1630" t="s">
        <v>2343</v>
      </c>
      <c r="D1630" t="s">
        <v>30</v>
      </c>
      <c r="E1630" t="s">
        <v>890</v>
      </c>
      <c r="F1630">
        <v>4500287887</v>
      </c>
      <c r="G1630" t="s">
        <v>3599</v>
      </c>
      <c r="H1630" t="s">
        <v>3334</v>
      </c>
      <c r="I1630" t="s">
        <v>1088</v>
      </c>
      <c r="J1630" t="s">
        <v>890</v>
      </c>
      <c r="K1630" s="1">
        <v>69736.27</v>
      </c>
      <c r="L1630" t="s">
        <v>6408</v>
      </c>
      <c r="M1630" t="str" cm="1">
        <f t="array" ref="M1630">INDEX('Org List'!$A$2:$C$1005,MATCH(Consolidated!I1630&amp;Consolidated!J1630,'Org List'!$A$2:$A$1005&amp;'Org List'!$B$2:$B$1005,0),3)</f>
        <v>NGOs: Internationally affiliated</v>
      </c>
    </row>
    <row r="1631" spans="1:13" x14ac:dyDescent="0.25">
      <c r="A1631" t="s">
        <v>3331</v>
      </c>
      <c r="B1631" t="s">
        <v>2342</v>
      </c>
      <c r="C1631" t="s">
        <v>2343</v>
      </c>
      <c r="D1631" t="s">
        <v>30</v>
      </c>
      <c r="E1631" t="s">
        <v>890</v>
      </c>
      <c r="F1631">
        <v>4500287896</v>
      </c>
      <c r="G1631" t="s">
        <v>3600</v>
      </c>
      <c r="H1631" t="s">
        <v>3334</v>
      </c>
      <c r="I1631" t="s">
        <v>1088</v>
      </c>
      <c r="J1631" t="s">
        <v>890</v>
      </c>
      <c r="K1631" s="1">
        <v>44187.29</v>
      </c>
      <c r="L1631" t="s">
        <v>6408</v>
      </c>
      <c r="M1631" t="str" cm="1">
        <f t="array" ref="M1631">INDEX('Org List'!$A$2:$C$1005,MATCH(Consolidated!I1631&amp;Consolidated!J1631,'Org List'!$A$2:$A$1005&amp;'Org List'!$B$2:$B$1005,0),3)</f>
        <v>NGOs: Internationally affiliated</v>
      </c>
    </row>
    <row r="1632" spans="1:13" x14ac:dyDescent="0.25">
      <c r="A1632" t="s">
        <v>3331</v>
      </c>
      <c r="B1632" t="s">
        <v>2342</v>
      </c>
      <c r="C1632" t="s">
        <v>2343</v>
      </c>
      <c r="D1632" t="s">
        <v>30</v>
      </c>
      <c r="E1632" t="s">
        <v>890</v>
      </c>
      <c r="F1632">
        <v>4500287941</v>
      </c>
      <c r="G1632" t="s">
        <v>3601</v>
      </c>
      <c r="H1632" t="s">
        <v>3334</v>
      </c>
      <c r="I1632" t="s">
        <v>1088</v>
      </c>
      <c r="J1632" t="s">
        <v>890</v>
      </c>
      <c r="K1632" s="1">
        <v>77195.91</v>
      </c>
      <c r="L1632" t="s">
        <v>6408</v>
      </c>
      <c r="M1632" t="str" cm="1">
        <f t="array" ref="M1632">INDEX('Org List'!$A$2:$C$1005,MATCH(Consolidated!I1632&amp;Consolidated!J1632,'Org List'!$A$2:$A$1005&amp;'Org List'!$B$2:$B$1005,0),3)</f>
        <v>NGOs: Internationally affiliated</v>
      </c>
    </row>
    <row r="1633" spans="1:13" x14ac:dyDescent="0.25">
      <c r="A1633" t="s">
        <v>3331</v>
      </c>
      <c r="B1633" t="s">
        <v>2342</v>
      </c>
      <c r="C1633" t="s">
        <v>2343</v>
      </c>
      <c r="D1633" t="s">
        <v>30</v>
      </c>
      <c r="E1633" t="s">
        <v>890</v>
      </c>
      <c r="F1633">
        <v>4500287994</v>
      </c>
      <c r="G1633" t="s">
        <v>3602</v>
      </c>
      <c r="H1633" t="s">
        <v>3334</v>
      </c>
      <c r="I1633" t="s">
        <v>244</v>
      </c>
      <c r="J1633" t="s">
        <v>890</v>
      </c>
      <c r="K1633" s="1">
        <v>22723.35</v>
      </c>
      <c r="L1633" t="s">
        <v>6408</v>
      </c>
      <c r="M1633" t="str" cm="1">
        <f t="array" ref="M1633">INDEX('Org List'!$A$2:$C$1005,MATCH(Consolidated!I1633&amp;Consolidated!J1633,'Org List'!$A$2:$A$1005&amp;'Org List'!$B$2:$B$1005,0),3)</f>
        <v>Red Cross: National</v>
      </c>
    </row>
    <row r="1634" spans="1:13" x14ac:dyDescent="0.25">
      <c r="A1634" t="s">
        <v>3331</v>
      </c>
      <c r="B1634" t="s">
        <v>2342</v>
      </c>
      <c r="C1634" t="s">
        <v>2343</v>
      </c>
      <c r="D1634" t="s">
        <v>30</v>
      </c>
      <c r="E1634" t="s">
        <v>890</v>
      </c>
      <c r="F1634">
        <v>4500288671</v>
      </c>
      <c r="G1634" t="s">
        <v>3603</v>
      </c>
      <c r="H1634" t="s">
        <v>3334</v>
      </c>
      <c r="I1634" t="s">
        <v>1088</v>
      </c>
      <c r="J1634" t="s">
        <v>890</v>
      </c>
      <c r="K1634" s="1">
        <v>20011.96</v>
      </c>
      <c r="L1634" t="s">
        <v>6408</v>
      </c>
      <c r="M1634" t="str" cm="1">
        <f t="array" ref="M1634">INDEX('Org List'!$A$2:$C$1005,MATCH(Consolidated!I1634&amp;Consolidated!J1634,'Org List'!$A$2:$A$1005&amp;'Org List'!$B$2:$B$1005,0),3)</f>
        <v>NGOs: Internationally affiliated</v>
      </c>
    </row>
    <row r="1635" spans="1:13" x14ac:dyDescent="0.25">
      <c r="A1635" t="s">
        <v>3331</v>
      </c>
      <c r="B1635" t="s">
        <v>2342</v>
      </c>
      <c r="C1635" t="s">
        <v>2343</v>
      </c>
      <c r="D1635" t="s">
        <v>30</v>
      </c>
      <c r="E1635" t="s">
        <v>890</v>
      </c>
      <c r="F1635">
        <v>4500291377</v>
      </c>
      <c r="G1635" t="s">
        <v>3604</v>
      </c>
      <c r="H1635" t="s">
        <v>3334</v>
      </c>
      <c r="I1635" t="s">
        <v>891</v>
      </c>
      <c r="J1635" t="s">
        <v>890</v>
      </c>
      <c r="K1635" s="1">
        <v>51932.18</v>
      </c>
      <c r="L1635" t="s">
        <v>6408</v>
      </c>
      <c r="M1635" t="str" cm="1">
        <f t="array" ref="M1635">INDEX('Org List'!$A$2:$C$1005,MATCH(Consolidated!I1635&amp;Consolidated!J1635,'Org List'!$A$2:$A$1005&amp;'Org List'!$B$2:$B$1005,0),3)</f>
        <v>NGOs: Internationally affiliated</v>
      </c>
    </row>
    <row r="1636" spans="1:13" x14ac:dyDescent="0.25">
      <c r="A1636" t="s">
        <v>3331</v>
      </c>
      <c r="B1636" t="s">
        <v>3605</v>
      </c>
      <c r="C1636" t="s">
        <v>3606</v>
      </c>
      <c r="D1636" t="s">
        <v>30</v>
      </c>
      <c r="E1636" t="s">
        <v>175</v>
      </c>
      <c r="F1636">
        <v>4500290842</v>
      </c>
      <c r="G1636" t="s">
        <v>3607</v>
      </c>
      <c r="H1636" t="s">
        <v>3334</v>
      </c>
      <c r="I1636" t="s">
        <v>185</v>
      </c>
      <c r="J1636" t="s">
        <v>175</v>
      </c>
      <c r="K1636" s="1">
        <v>128375.67</v>
      </c>
      <c r="L1636" t="s">
        <v>6408</v>
      </c>
      <c r="M1636" t="str" cm="1">
        <f t="array" ref="M1636">INDEX('Org List'!$A$2:$C$1005,MATCH(Consolidated!I1636&amp;Consolidated!J1636,'Org List'!$A$2:$A$1005&amp;'Org List'!$B$2:$B$1005,0),3)</f>
        <v>NGOs: National</v>
      </c>
    </row>
    <row r="1637" spans="1:13" x14ac:dyDescent="0.25">
      <c r="A1637" t="s">
        <v>3331</v>
      </c>
      <c r="B1637" t="s">
        <v>3608</v>
      </c>
      <c r="C1637" t="s">
        <v>3609</v>
      </c>
      <c r="D1637" t="s">
        <v>30</v>
      </c>
      <c r="E1637" t="s">
        <v>356</v>
      </c>
      <c r="F1637">
        <v>4500299712</v>
      </c>
      <c r="G1637" t="s">
        <v>3610</v>
      </c>
      <c r="H1637" t="s">
        <v>3334</v>
      </c>
      <c r="I1637" t="s">
        <v>357</v>
      </c>
      <c r="J1637" t="s">
        <v>356</v>
      </c>
      <c r="K1637" s="1">
        <v>140000</v>
      </c>
      <c r="L1637" t="s">
        <v>6408</v>
      </c>
      <c r="M1637" t="str" cm="1">
        <f t="array" ref="M1637">INDEX('Org List'!$A$2:$C$1005,MATCH(Consolidated!I1637&amp;Consolidated!J1637,'Org List'!$A$2:$A$1005&amp;'Org List'!$B$2:$B$1005,0),3)</f>
        <v>NGOs: National</v>
      </c>
    </row>
    <row r="1638" spans="1:13" x14ac:dyDescent="0.25">
      <c r="A1638" t="s">
        <v>3331</v>
      </c>
      <c r="B1638" t="s">
        <v>2361</v>
      </c>
      <c r="C1638" t="s">
        <v>2362</v>
      </c>
      <c r="D1638" t="s">
        <v>30</v>
      </c>
      <c r="E1638" t="s">
        <v>717</v>
      </c>
      <c r="F1638">
        <v>4500288490</v>
      </c>
      <c r="G1638" t="s">
        <v>3433</v>
      </c>
      <c r="H1638" t="s">
        <v>3334</v>
      </c>
      <c r="I1638" t="s">
        <v>2868</v>
      </c>
      <c r="J1638" t="s">
        <v>717</v>
      </c>
      <c r="K1638" s="1">
        <v>9039.19</v>
      </c>
      <c r="L1638" t="s">
        <v>6408</v>
      </c>
      <c r="M1638" t="str" cm="1">
        <f t="array" ref="M1638">INDEX('Org List'!$A$2:$C$1005,MATCH(Consolidated!I1638&amp;Consolidated!J1638,'Org List'!$A$2:$A$1005&amp;'Org List'!$B$2:$B$1005,0),3)</f>
        <v>NGOs: International</v>
      </c>
    </row>
    <row r="1639" spans="1:13" x14ac:dyDescent="0.25">
      <c r="A1639" t="s">
        <v>3331</v>
      </c>
      <c r="B1639" t="s">
        <v>3611</v>
      </c>
      <c r="C1639" t="s">
        <v>3612</v>
      </c>
      <c r="D1639" t="s">
        <v>30</v>
      </c>
      <c r="E1639" t="s">
        <v>717</v>
      </c>
      <c r="F1639">
        <v>4500293476</v>
      </c>
      <c r="G1639" t="s">
        <v>3613</v>
      </c>
      <c r="H1639" t="s">
        <v>3334</v>
      </c>
      <c r="I1639" t="s">
        <v>1160</v>
      </c>
      <c r="J1639" t="s">
        <v>717</v>
      </c>
      <c r="K1639" s="1">
        <v>99659.62</v>
      </c>
      <c r="L1639" t="s">
        <v>6408</v>
      </c>
      <c r="M1639" t="str" cm="1">
        <f t="array" ref="M1639">INDEX('Org List'!$A$2:$C$1005,MATCH(Consolidated!I1639&amp;Consolidated!J1639,'Org List'!$A$2:$A$1005&amp;'Org List'!$B$2:$B$1005,0),3)</f>
        <v>NGOs: National</v>
      </c>
    </row>
    <row r="1640" spans="1:13" x14ac:dyDescent="0.25">
      <c r="A1640" t="s">
        <v>3331</v>
      </c>
      <c r="B1640" t="s">
        <v>3611</v>
      </c>
      <c r="C1640" t="s">
        <v>3612</v>
      </c>
      <c r="D1640" t="s">
        <v>30</v>
      </c>
      <c r="E1640" t="s">
        <v>717</v>
      </c>
      <c r="F1640">
        <v>4500293481</v>
      </c>
      <c r="G1640" t="s">
        <v>3614</v>
      </c>
      <c r="H1640" t="s">
        <v>3334</v>
      </c>
      <c r="I1640" t="s">
        <v>728</v>
      </c>
      <c r="J1640" t="s">
        <v>717</v>
      </c>
      <c r="K1640" s="1">
        <v>159304</v>
      </c>
      <c r="L1640" t="s">
        <v>6408</v>
      </c>
      <c r="M1640" t="str" cm="1">
        <f t="array" ref="M1640">INDEX('Org List'!$A$2:$C$1005,MATCH(Consolidated!I1640&amp;Consolidated!J1640,'Org List'!$A$2:$A$1005&amp;'Org List'!$B$2:$B$1005,0),3)</f>
        <v>NGOs: National</v>
      </c>
    </row>
    <row r="1641" spans="1:13" x14ac:dyDescent="0.25">
      <c r="A1641" t="s">
        <v>3331</v>
      </c>
      <c r="B1641" t="s">
        <v>3611</v>
      </c>
      <c r="C1641" t="s">
        <v>3612</v>
      </c>
      <c r="D1641" t="s">
        <v>30</v>
      </c>
      <c r="E1641" t="s">
        <v>717</v>
      </c>
      <c r="F1641">
        <v>4500293483</v>
      </c>
      <c r="G1641" t="s">
        <v>3615</v>
      </c>
      <c r="H1641" t="s">
        <v>3334</v>
      </c>
      <c r="I1641" t="s">
        <v>720</v>
      </c>
      <c r="J1641" t="s">
        <v>717</v>
      </c>
      <c r="K1641" s="1">
        <v>76590</v>
      </c>
      <c r="L1641" t="s">
        <v>6408</v>
      </c>
      <c r="M1641" t="str" cm="1">
        <f t="array" ref="M1641">INDEX('Org List'!$A$2:$C$1005,MATCH(Consolidated!I1641&amp;Consolidated!J1641,'Org List'!$A$2:$A$1005&amp;'Org List'!$B$2:$B$1005,0),3)</f>
        <v>NGOs: National</v>
      </c>
    </row>
    <row r="1642" spans="1:13" x14ac:dyDescent="0.25">
      <c r="A1642" t="s">
        <v>3331</v>
      </c>
      <c r="B1642" t="s">
        <v>3611</v>
      </c>
      <c r="C1642" t="s">
        <v>3612</v>
      </c>
      <c r="D1642" t="s">
        <v>30</v>
      </c>
      <c r="E1642" t="s">
        <v>717</v>
      </c>
      <c r="F1642">
        <v>4500293486</v>
      </c>
      <c r="G1642" t="s">
        <v>3616</v>
      </c>
      <c r="H1642" t="s">
        <v>3334</v>
      </c>
      <c r="I1642" t="s">
        <v>3422</v>
      </c>
      <c r="J1642" t="s">
        <v>717</v>
      </c>
      <c r="K1642" s="1">
        <v>38998</v>
      </c>
      <c r="L1642" t="s">
        <v>6408</v>
      </c>
      <c r="M1642" t="str" cm="1">
        <f t="array" ref="M1642">INDEX('Org List'!$A$2:$C$1005,MATCH(Consolidated!I1642&amp;Consolidated!J1642,'Org List'!$A$2:$A$1005&amp;'Org List'!$B$2:$B$1005,0),3)</f>
        <v>NGOs: National</v>
      </c>
    </row>
    <row r="1643" spans="1:13" x14ac:dyDescent="0.25">
      <c r="A1643" t="s">
        <v>3331</v>
      </c>
      <c r="B1643" t="s">
        <v>1708</v>
      </c>
      <c r="C1643" t="s">
        <v>1709</v>
      </c>
      <c r="D1643" t="s">
        <v>30</v>
      </c>
      <c r="E1643" t="s">
        <v>289</v>
      </c>
      <c r="F1643">
        <v>4500299432</v>
      </c>
      <c r="G1643" t="s">
        <v>3617</v>
      </c>
      <c r="H1643" t="s">
        <v>3334</v>
      </c>
      <c r="I1643" t="s">
        <v>3618</v>
      </c>
      <c r="J1643" t="s">
        <v>289</v>
      </c>
      <c r="K1643" s="1">
        <v>138645.31</v>
      </c>
      <c r="L1643" t="s">
        <v>6408</v>
      </c>
      <c r="M1643" t="str" cm="1">
        <f t="array" ref="M1643">INDEX('Org List'!$A$2:$C$1005,MATCH(Consolidated!I1643&amp;Consolidated!J1643,'Org List'!$A$2:$A$1005&amp;'Org List'!$B$2:$B$1005,0),3)</f>
        <v>NGOs: National</v>
      </c>
    </row>
    <row r="1644" spans="1:13" x14ac:dyDescent="0.25">
      <c r="A1644" t="s">
        <v>3331</v>
      </c>
      <c r="B1644" t="s">
        <v>1374</v>
      </c>
      <c r="C1644" t="s">
        <v>1375</v>
      </c>
      <c r="D1644" t="s">
        <v>9</v>
      </c>
      <c r="E1644" t="s">
        <v>1376</v>
      </c>
      <c r="F1644">
        <v>4500294088</v>
      </c>
      <c r="G1644" t="s">
        <v>2200</v>
      </c>
      <c r="H1644" t="s">
        <v>3334</v>
      </c>
      <c r="I1644" t="s">
        <v>3619</v>
      </c>
      <c r="J1644" t="s">
        <v>1376</v>
      </c>
      <c r="K1644" s="1">
        <v>191395</v>
      </c>
      <c r="L1644" t="s">
        <v>6408</v>
      </c>
      <c r="M1644" t="str" cm="1">
        <f t="array" ref="M1644">INDEX('Org List'!$A$2:$C$1005,MATCH(Consolidated!I1644&amp;Consolidated!J1644,'Org List'!$A$2:$A$1005&amp;'Org List'!$B$2:$B$1005,0),3)</f>
        <v>Red Cross: National</v>
      </c>
    </row>
    <row r="1645" spans="1:13" x14ac:dyDescent="0.25">
      <c r="A1645" t="s">
        <v>3331</v>
      </c>
      <c r="B1645" t="s">
        <v>1411</v>
      </c>
      <c r="C1645" t="s">
        <v>3623</v>
      </c>
      <c r="D1645" t="s">
        <v>30</v>
      </c>
      <c r="E1645" t="s">
        <v>257</v>
      </c>
      <c r="F1645">
        <v>4500278992</v>
      </c>
      <c r="G1645" t="s">
        <v>3624</v>
      </c>
      <c r="H1645" t="s">
        <v>3334</v>
      </c>
      <c r="I1645" t="s">
        <v>3625</v>
      </c>
      <c r="J1645" t="s">
        <v>257</v>
      </c>
      <c r="K1645" s="1">
        <v>73133.64</v>
      </c>
      <c r="L1645" t="s">
        <v>6408</v>
      </c>
      <c r="M1645" t="str" cm="1">
        <f t="array" ref="M1645">INDEX('Org List'!$A$2:$C$1005,MATCH(Consolidated!I1645&amp;Consolidated!J1645,'Org List'!$A$2:$A$1005&amp;'Org List'!$B$2:$B$1005,0),3)</f>
        <v>NGOs: National</v>
      </c>
    </row>
    <row r="1646" spans="1:13" x14ac:dyDescent="0.25">
      <c r="A1646" t="s">
        <v>3331</v>
      </c>
      <c r="B1646" t="s">
        <v>3626</v>
      </c>
      <c r="C1646" t="s">
        <v>3627</v>
      </c>
      <c r="D1646" t="s">
        <v>30</v>
      </c>
      <c r="E1646" t="s">
        <v>330</v>
      </c>
      <c r="F1646">
        <v>4500277748</v>
      </c>
      <c r="G1646" t="s">
        <v>3628</v>
      </c>
      <c r="H1646" t="s">
        <v>3334</v>
      </c>
      <c r="I1646" t="s">
        <v>2689</v>
      </c>
      <c r="J1646" t="s">
        <v>330</v>
      </c>
      <c r="K1646" s="1">
        <v>88497.07</v>
      </c>
      <c r="L1646" t="s">
        <v>6408</v>
      </c>
      <c r="M1646" t="str" cm="1">
        <f t="array" ref="M1646">INDEX('Org List'!$A$2:$C$1005,MATCH(Consolidated!I1646&amp;Consolidated!J1646,'Org List'!$A$2:$A$1005&amp;'Org List'!$B$2:$B$1005,0),3)</f>
        <v>NGOs: National</v>
      </c>
    </row>
    <row r="1647" spans="1:13" x14ac:dyDescent="0.25">
      <c r="A1647" t="s">
        <v>3331</v>
      </c>
      <c r="B1647" t="s">
        <v>443</v>
      </c>
      <c r="C1647" t="s">
        <v>444</v>
      </c>
      <c r="D1647" t="s">
        <v>30</v>
      </c>
      <c r="E1647" t="s">
        <v>155</v>
      </c>
      <c r="F1647">
        <v>4500285333</v>
      </c>
      <c r="G1647" t="s">
        <v>2200</v>
      </c>
      <c r="H1647" t="s">
        <v>3334</v>
      </c>
      <c r="I1647" t="s">
        <v>2956</v>
      </c>
      <c r="J1647" t="s">
        <v>155</v>
      </c>
      <c r="K1647" s="1">
        <v>19455.349999999999</v>
      </c>
      <c r="L1647" t="s">
        <v>6408</v>
      </c>
      <c r="M1647" t="str" cm="1">
        <f t="array" ref="M1647">INDEX('Org List'!$A$2:$C$1005,MATCH(Consolidated!I1647&amp;Consolidated!J1647,'Org List'!$A$2:$A$1005&amp;'Org List'!$B$2:$B$1005,0),3)</f>
        <v>NGOs: Local</v>
      </c>
    </row>
    <row r="1648" spans="1:13" x14ac:dyDescent="0.25">
      <c r="A1648" t="s">
        <v>3331</v>
      </c>
      <c r="B1648" t="s">
        <v>3679</v>
      </c>
      <c r="C1648" t="s">
        <v>3680</v>
      </c>
      <c r="D1648" t="s">
        <v>512</v>
      </c>
      <c r="E1648" t="s">
        <v>132</v>
      </c>
      <c r="F1648">
        <v>4500277990</v>
      </c>
      <c r="G1648" t="s">
        <v>3519</v>
      </c>
      <c r="H1648" t="s">
        <v>3334</v>
      </c>
      <c r="I1648" t="s">
        <v>3520</v>
      </c>
      <c r="J1648" t="s">
        <v>132</v>
      </c>
      <c r="K1648" s="1">
        <v>8320.5</v>
      </c>
      <c r="L1648" t="s">
        <v>6408</v>
      </c>
      <c r="M1648" t="str" cm="1">
        <f t="array" ref="M1648">INDEX('Org List'!$A$2:$C$1005,MATCH(Consolidated!I1648&amp;Consolidated!J1648,'Org List'!$A$2:$A$1005&amp;'Org List'!$B$2:$B$1005,0),3)</f>
        <v>Other: National</v>
      </c>
    </row>
    <row r="1649" spans="1:13" x14ac:dyDescent="0.25">
      <c r="A1649" t="s">
        <v>3331</v>
      </c>
      <c r="B1649" t="s">
        <v>1515</v>
      </c>
      <c r="C1649" t="s">
        <v>1516</v>
      </c>
      <c r="D1649" t="s">
        <v>512</v>
      </c>
      <c r="E1649" t="s">
        <v>175</v>
      </c>
      <c r="F1649">
        <v>4500297174</v>
      </c>
      <c r="G1649" t="s">
        <v>3681</v>
      </c>
      <c r="H1649" t="s">
        <v>3334</v>
      </c>
      <c r="I1649" t="s">
        <v>1833</v>
      </c>
      <c r="J1649" t="s">
        <v>175</v>
      </c>
      <c r="K1649" s="1">
        <v>212580.7</v>
      </c>
      <c r="L1649" t="s">
        <v>6408</v>
      </c>
      <c r="M1649" t="str" cm="1">
        <f t="array" ref="M1649">INDEX('Org List'!$A$2:$C$1005,MATCH(Consolidated!I1649&amp;Consolidated!J1649,'Org List'!$A$2:$A$1005&amp;'Org List'!$B$2:$B$1005,0),3)</f>
        <v>NGOs: Local</v>
      </c>
    </row>
    <row r="1650" spans="1:13" x14ac:dyDescent="0.25">
      <c r="A1650" t="s">
        <v>3331</v>
      </c>
      <c r="B1650" t="s">
        <v>1515</v>
      </c>
      <c r="C1650" t="s">
        <v>1516</v>
      </c>
      <c r="D1650" t="s">
        <v>512</v>
      </c>
      <c r="E1650" t="s">
        <v>175</v>
      </c>
      <c r="F1650">
        <v>4500297199</v>
      </c>
      <c r="G1650" t="s">
        <v>3682</v>
      </c>
      <c r="H1650" t="s">
        <v>3334</v>
      </c>
      <c r="I1650" t="s">
        <v>1831</v>
      </c>
      <c r="J1650" t="s">
        <v>175</v>
      </c>
      <c r="K1650" s="1">
        <v>131229.13</v>
      </c>
      <c r="L1650" t="s">
        <v>6408</v>
      </c>
      <c r="M1650" t="str" cm="1">
        <f t="array" ref="M1650">INDEX('Org List'!$A$2:$C$1005,MATCH(Consolidated!I1650&amp;Consolidated!J1650,'Org List'!$A$2:$A$1005&amp;'Org List'!$B$2:$B$1005,0),3)</f>
        <v>NGOs: National</v>
      </c>
    </row>
    <row r="1651" spans="1:13" x14ac:dyDescent="0.25">
      <c r="A1651" t="s">
        <v>3331</v>
      </c>
      <c r="B1651" t="s">
        <v>3683</v>
      </c>
      <c r="C1651" t="s">
        <v>3684</v>
      </c>
      <c r="D1651" t="s">
        <v>512</v>
      </c>
      <c r="E1651" t="s">
        <v>167</v>
      </c>
      <c r="F1651">
        <v>4500298973</v>
      </c>
      <c r="G1651" t="s">
        <v>3685</v>
      </c>
      <c r="H1651" t="s">
        <v>3334</v>
      </c>
      <c r="I1651" t="s">
        <v>3686</v>
      </c>
      <c r="J1651" t="s">
        <v>3687</v>
      </c>
      <c r="K1651" s="1">
        <v>6434.09</v>
      </c>
      <c r="L1651" t="s">
        <v>6408</v>
      </c>
      <c r="M1651" t="str" cm="1">
        <f t="array" ref="M1651">INDEX('Org List'!$A$2:$C$1005,MATCH(Consolidated!I1651&amp;Consolidated!J1651,'Org List'!$A$2:$A$1005&amp;'Org List'!$B$2:$B$1005,0),3)</f>
        <v>NGOs: International</v>
      </c>
    </row>
    <row r="1652" spans="1:13" x14ac:dyDescent="0.25">
      <c r="A1652" t="s">
        <v>3331</v>
      </c>
      <c r="B1652" t="s">
        <v>3767</v>
      </c>
      <c r="C1652" t="s">
        <v>3768</v>
      </c>
      <c r="D1652" t="s">
        <v>30</v>
      </c>
      <c r="E1652" t="s">
        <v>909</v>
      </c>
      <c r="F1652">
        <v>4500293970</v>
      </c>
      <c r="G1652" t="s">
        <v>2200</v>
      </c>
      <c r="H1652" t="s">
        <v>3334</v>
      </c>
      <c r="I1652" t="s">
        <v>3769</v>
      </c>
      <c r="J1652" t="s">
        <v>909</v>
      </c>
      <c r="K1652" s="1">
        <v>26703.22</v>
      </c>
      <c r="L1652" t="s">
        <v>6408</v>
      </c>
      <c r="M1652" t="str" cm="1">
        <f t="array" ref="M1652">INDEX('Org List'!$A$2:$C$1005,MATCH(Consolidated!I1652&amp;Consolidated!J1652,'Org List'!$A$2:$A$1005&amp;'Org List'!$B$2:$B$1005,0),3)</f>
        <v>NGOs: National</v>
      </c>
    </row>
    <row r="1653" spans="1:13" x14ac:dyDescent="0.25">
      <c r="A1653" t="s">
        <v>3331</v>
      </c>
      <c r="B1653" t="s">
        <v>3767</v>
      </c>
      <c r="C1653" t="s">
        <v>3768</v>
      </c>
      <c r="D1653" t="s">
        <v>30</v>
      </c>
      <c r="E1653" t="s">
        <v>909</v>
      </c>
      <c r="F1653">
        <v>4500301224</v>
      </c>
      <c r="G1653" t="s">
        <v>2200</v>
      </c>
      <c r="H1653" t="s">
        <v>3334</v>
      </c>
      <c r="I1653" t="s">
        <v>1332</v>
      </c>
      <c r="J1653" t="s">
        <v>909</v>
      </c>
      <c r="K1653" s="1">
        <v>33706.14</v>
      </c>
      <c r="L1653" t="s">
        <v>6408</v>
      </c>
      <c r="M1653" t="str" cm="1">
        <f t="array" ref="M1653">INDEX('Org List'!$A$2:$C$1005,MATCH(Consolidated!I1653&amp;Consolidated!J1653,'Org List'!$A$2:$A$1005&amp;'Org List'!$B$2:$B$1005,0),3)</f>
        <v>NGOs: National</v>
      </c>
    </row>
    <row r="1654" spans="1:13" x14ac:dyDescent="0.25">
      <c r="A1654" t="s">
        <v>3331</v>
      </c>
      <c r="B1654" t="s">
        <v>3767</v>
      </c>
      <c r="C1654" t="s">
        <v>3768</v>
      </c>
      <c r="D1654" t="s">
        <v>30</v>
      </c>
      <c r="E1654" t="s">
        <v>911</v>
      </c>
      <c r="F1654">
        <v>4500288549</v>
      </c>
      <c r="G1654" t="s">
        <v>3490</v>
      </c>
      <c r="H1654" t="s">
        <v>3334</v>
      </c>
      <c r="I1654" t="s">
        <v>3491</v>
      </c>
      <c r="J1654" t="s">
        <v>911</v>
      </c>
      <c r="K1654" s="1">
        <v>64956.43</v>
      </c>
      <c r="L1654" t="s">
        <v>6408</v>
      </c>
      <c r="M1654" t="str" cm="1">
        <f t="array" ref="M1654">INDEX('Org List'!$A$2:$C$1005,MATCH(Consolidated!I1654&amp;Consolidated!J1654,'Org List'!$A$2:$A$1005&amp;'Org List'!$B$2:$B$1005,0),3)</f>
        <v>NGOs: National</v>
      </c>
    </row>
    <row r="1655" spans="1:13" x14ac:dyDescent="0.25">
      <c r="A1655" t="s">
        <v>3331</v>
      </c>
      <c r="B1655" t="s">
        <v>3284</v>
      </c>
      <c r="C1655" t="s">
        <v>3783</v>
      </c>
      <c r="D1655" t="s">
        <v>30</v>
      </c>
      <c r="E1655" t="s">
        <v>320</v>
      </c>
      <c r="F1655">
        <v>4500290981</v>
      </c>
      <c r="G1655" t="s">
        <v>3784</v>
      </c>
      <c r="H1655" t="s">
        <v>3334</v>
      </c>
      <c r="I1655" t="s">
        <v>3286</v>
      </c>
      <c r="J1655" t="s">
        <v>320</v>
      </c>
      <c r="K1655" s="1">
        <v>8701</v>
      </c>
      <c r="L1655" t="s">
        <v>6408</v>
      </c>
      <c r="M1655" t="str" cm="1">
        <f t="array" ref="M1655">INDEX('Org List'!$A$2:$C$1005,MATCH(Consolidated!I1655&amp;Consolidated!J1655,'Org List'!$A$2:$A$1005&amp;'Org List'!$B$2:$B$1005,0),3)</f>
        <v>NGOs: National</v>
      </c>
    </row>
    <row r="1656" spans="1:13" x14ac:dyDescent="0.25">
      <c r="A1656" t="s">
        <v>3331</v>
      </c>
      <c r="B1656" t="s">
        <v>3284</v>
      </c>
      <c r="C1656" t="s">
        <v>3783</v>
      </c>
      <c r="D1656" t="s">
        <v>30</v>
      </c>
      <c r="E1656" t="s">
        <v>320</v>
      </c>
      <c r="F1656">
        <v>4500296520</v>
      </c>
      <c r="G1656" t="s">
        <v>3785</v>
      </c>
      <c r="H1656" t="s">
        <v>3334</v>
      </c>
      <c r="I1656" t="s">
        <v>2432</v>
      </c>
      <c r="J1656" t="s">
        <v>320</v>
      </c>
      <c r="K1656" s="1">
        <v>17700</v>
      </c>
      <c r="L1656" t="s">
        <v>6408</v>
      </c>
      <c r="M1656" t="str" cm="1">
        <f t="array" ref="M1656">INDEX('Org List'!$A$2:$C$1005,MATCH(Consolidated!I1656&amp;Consolidated!J1656,'Org List'!$A$2:$A$1005&amp;'Org List'!$B$2:$B$1005,0),3)</f>
        <v>NGOs: International</v>
      </c>
    </row>
    <row r="1657" spans="1:13" x14ac:dyDescent="0.25">
      <c r="A1657" t="s">
        <v>3331</v>
      </c>
      <c r="B1657" t="s">
        <v>3284</v>
      </c>
      <c r="C1657" t="s">
        <v>3783</v>
      </c>
      <c r="D1657" t="s">
        <v>30</v>
      </c>
      <c r="E1657" t="s">
        <v>320</v>
      </c>
      <c r="F1657">
        <v>4500298080</v>
      </c>
      <c r="G1657" t="s">
        <v>3786</v>
      </c>
      <c r="H1657" t="s">
        <v>3334</v>
      </c>
      <c r="I1657" t="s">
        <v>3787</v>
      </c>
      <c r="J1657" t="s">
        <v>320</v>
      </c>
      <c r="K1657" s="1">
        <v>1939.6</v>
      </c>
      <c r="L1657" t="s">
        <v>6408</v>
      </c>
      <c r="M1657" t="str" cm="1">
        <f t="array" ref="M1657">INDEX('Org List'!$A$2:$C$1005,MATCH(Consolidated!I1657&amp;Consolidated!J1657,'Org List'!$A$2:$A$1005&amp;'Org List'!$B$2:$B$1005,0),3)</f>
        <v>NGOs: National</v>
      </c>
    </row>
    <row r="1658" spans="1:13" x14ac:dyDescent="0.25">
      <c r="A1658" t="s">
        <v>3331</v>
      </c>
      <c r="B1658" t="s">
        <v>3284</v>
      </c>
      <c r="C1658" t="s">
        <v>3783</v>
      </c>
      <c r="D1658" t="s">
        <v>30</v>
      </c>
      <c r="E1658" t="s">
        <v>320</v>
      </c>
      <c r="F1658">
        <v>4500298083</v>
      </c>
      <c r="G1658" t="s">
        <v>3788</v>
      </c>
      <c r="H1658" t="s">
        <v>3334</v>
      </c>
      <c r="I1658" t="s">
        <v>3787</v>
      </c>
      <c r="J1658" t="s">
        <v>320</v>
      </c>
      <c r="K1658" s="1">
        <v>4223.3999999999996</v>
      </c>
      <c r="L1658" t="s">
        <v>6408</v>
      </c>
      <c r="M1658" t="str" cm="1">
        <f t="array" ref="M1658">INDEX('Org List'!$A$2:$C$1005,MATCH(Consolidated!I1658&amp;Consolidated!J1658,'Org List'!$A$2:$A$1005&amp;'Org List'!$B$2:$B$1005,0),3)</f>
        <v>NGOs: National</v>
      </c>
    </row>
    <row r="1659" spans="1:13" x14ac:dyDescent="0.25">
      <c r="A1659" t="s">
        <v>3331</v>
      </c>
      <c r="B1659" t="s">
        <v>2736</v>
      </c>
      <c r="C1659" t="s">
        <v>2737</v>
      </c>
      <c r="D1659" t="s">
        <v>30</v>
      </c>
      <c r="E1659" t="s">
        <v>54</v>
      </c>
      <c r="F1659">
        <v>4500285167</v>
      </c>
      <c r="G1659" t="s">
        <v>3578</v>
      </c>
      <c r="H1659" t="s">
        <v>3334</v>
      </c>
      <c r="I1659" t="s">
        <v>3579</v>
      </c>
      <c r="J1659" t="s">
        <v>54</v>
      </c>
      <c r="K1659" s="1">
        <v>159468.26999999999</v>
      </c>
      <c r="L1659" t="s">
        <v>6408</v>
      </c>
      <c r="M1659" t="str" cm="1">
        <f t="array" ref="M1659">INDEX('Org List'!$A$2:$C$1005,MATCH(Consolidated!I1659&amp;Consolidated!J1659,'Org List'!$A$2:$A$1005&amp;'Org List'!$B$2:$B$1005,0),3)</f>
        <v>NGOs: International</v>
      </c>
    </row>
    <row r="1660" spans="1:13" x14ac:dyDescent="0.25">
      <c r="A1660" t="s">
        <v>3331</v>
      </c>
      <c r="B1660" t="s">
        <v>2736</v>
      </c>
      <c r="C1660" t="s">
        <v>2737</v>
      </c>
      <c r="D1660" t="s">
        <v>30</v>
      </c>
      <c r="E1660" t="s">
        <v>54</v>
      </c>
      <c r="F1660">
        <v>4500286204</v>
      </c>
      <c r="G1660" t="s">
        <v>3789</v>
      </c>
      <c r="H1660" t="s">
        <v>3334</v>
      </c>
      <c r="I1660" t="s">
        <v>3790</v>
      </c>
      <c r="J1660" t="s">
        <v>54</v>
      </c>
      <c r="K1660" s="1">
        <v>10333.6</v>
      </c>
      <c r="L1660" t="s">
        <v>6408</v>
      </c>
      <c r="M1660" t="str" cm="1">
        <f t="array" ref="M1660">INDEX('Org List'!$A$2:$C$1005,MATCH(Consolidated!I1660&amp;Consolidated!J1660,'Org List'!$A$2:$A$1005&amp;'Org List'!$B$2:$B$1005,0),3)</f>
        <v>NGOs: National</v>
      </c>
    </row>
    <row r="1661" spans="1:13" x14ac:dyDescent="0.25">
      <c r="A1661" t="s">
        <v>3331</v>
      </c>
      <c r="B1661" t="s">
        <v>2736</v>
      </c>
      <c r="C1661" t="s">
        <v>2737</v>
      </c>
      <c r="D1661" t="s">
        <v>30</v>
      </c>
      <c r="E1661" t="s">
        <v>54</v>
      </c>
      <c r="F1661">
        <v>4500289036</v>
      </c>
      <c r="G1661" t="s">
        <v>3791</v>
      </c>
      <c r="H1661" t="s">
        <v>3334</v>
      </c>
      <c r="I1661" t="s">
        <v>281</v>
      </c>
      <c r="J1661" t="s">
        <v>54</v>
      </c>
      <c r="K1661" s="1">
        <v>1363195</v>
      </c>
      <c r="L1661" t="s">
        <v>6408</v>
      </c>
      <c r="M1661" t="str" cm="1">
        <f t="array" ref="M1661">INDEX('Org List'!$A$2:$C$1005,MATCH(Consolidated!I1661&amp;Consolidated!J1661,'Org List'!$A$2:$A$1005&amp;'Org List'!$B$2:$B$1005,0),3)</f>
        <v>NGOs: International</v>
      </c>
    </row>
    <row r="1662" spans="1:13" x14ac:dyDescent="0.25">
      <c r="A1662" t="s">
        <v>3331</v>
      </c>
      <c r="B1662" t="s">
        <v>3291</v>
      </c>
      <c r="C1662" t="s">
        <v>3792</v>
      </c>
      <c r="D1662" t="s">
        <v>30</v>
      </c>
      <c r="E1662" t="s">
        <v>54</v>
      </c>
      <c r="F1662">
        <v>4500277436</v>
      </c>
      <c r="G1662" t="s">
        <v>3760</v>
      </c>
      <c r="H1662" t="s">
        <v>3334</v>
      </c>
      <c r="I1662" t="s">
        <v>2893</v>
      </c>
      <c r="J1662" t="s">
        <v>54</v>
      </c>
      <c r="K1662" s="1">
        <v>82149.929999999993</v>
      </c>
      <c r="L1662" t="s">
        <v>6408</v>
      </c>
      <c r="M1662" t="str" cm="1">
        <f t="array" ref="M1662">INDEX('Org List'!$A$2:$C$1005,MATCH(Consolidated!I1662&amp;Consolidated!J1662,'Org List'!$A$2:$A$1005&amp;'Org List'!$B$2:$B$1005,0),3)</f>
        <v>NGOs: National</v>
      </c>
    </row>
    <row r="1663" spans="1:13" x14ac:dyDescent="0.25">
      <c r="A1663" t="s">
        <v>3331</v>
      </c>
      <c r="B1663" t="s">
        <v>3291</v>
      </c>
      <c r="C1663" t="s">
        <v>3792</v>
      </c>
      <c r="D1663" t="s">
        <v>30</v>
      </c>
      <c r="E1663" t="s">
        <v>54</v>
      </c>
      <c r="F1663">
        <v>4500277490</v>
      </c>
      <c r="G1663" t="s">
        <v>3761</v>
      </c>
      <c r="H1663" t="s">
        <v>3334</v>
      </c>
      <c r="I1663" t="s">
        <v>1858</v>
      </c>
      <c r="J1663" t="s">
        <v>54</v>
      </c>
      <c r="K1663" s="1">
        <v>75000</v>
      </c>
      <c r="L1663" t="s">
        <v>6408</v>
      </c>
      <c r="M1663" t="str" cm="1">
        <f t="array" ref="M1663">INDEX('Org List'!$A$2:$C$1005,MATCH(Consolidated!I1663&amp;Consolidated!J1663,'Org List'!$A$2:$A$1005&amp;'Org List'!$B$2:$B$1005,0),3)</f>
        <v>NGOs: National</v>
      </c>
    </row>
    <row r="1664" spans="1:13" x14ac:dyDescent="0.25">
      <c r="A1664" t="s">
        <v>3331</v>
      </c>
      <c r="B1664" t="s">
        <v>3291</v>
      </c>
      <c r="C1664" t="s">
        <v>3792</v>
      </c>
      <c r="D1664" t="s">
        <v>30</v>
      </c>
      <c r="E1664" t="s">
        <v>54</v>
      </c>
      <c r="F1664">
        <v>4500277502</v>
      </c>
      <c r="G1664" t="s">
        <v>3762</v>
      </c>
      <c r="H1664" t="s">
        <v>3334</v>
      </c>
      <c r="I1664" t="s">
        <v>3251</v>
      </c>
      <c r="J1664" t="s">
        <v>54</v>
      </c>
      <c r="K1664" s="1">
        <v>75562.5</v>
      </c>
      <c r="L1664" t="s">
        <v>6408</v>
      </c>
      <c r="M1664" t="str" cm="1">
        <f t="array" ref="M1664">INDEX('Org List'!$A$2:$C$1005,MATCH(Consolidated!I1664&amp;Consolidated!J1664,'Org List'!$A$2:$A$1005&amp;'Org List'!$B$2:$B$1005,0),3)</f>
        <v>NGOs: National</v>
      </c>
    </row>
    <row r="1665" spans="1:13" x14ac:dyDescent="0.25">
      <c r="A1665" t="s">
        <v>3331</v>
      </c>
      <c r="B1665" t="s">
        <v>3291</v>
      </c>
      <c r="C1665" t="s">
        <v>3792</v>
      </c>
      <c r="D1665" t="s">
        <v>30</v>
      </c>
      <c r="E1665" t="s">
        <v>54</v>
      </c>
      <c r="F1665">
        <v>4500277509</v>
      </c>
      <c r="G1665" t="s">
        <v>3763</v>
      </c>
      <c r="H1665" t="s">
        <v>3334</v>
      </c>
      <c r="I1665" t="s">
        <v>278</v>
      </c>
      <c r="J1665" t="s">
        <v>54</v>
      </c>
      <c r="K1665" s="1">
        <v>80979.740000000005</v>
      </c>
      <c r="L1665" t="s">
        <v>6408</v>
      </c>
      <c r="M1665" t="str" cm="1">
        <f t="array" ref="M1665">INDEX('Org List'!$A$2:$C$1005,MATCH(Consolidated!I1665&amp;Consolidated!J1665,'Org List'!$A$2:$A$1005&amp;'Org List'!$B$2:$B$1005,0),3)</f>
        <v>NGOs: Internationally affiliated</v>
      </c>
    </row>
    <row r="1666" spans="1:13" x14ac:dyDescent="0.25">
      <c r="A1666" t="s">
        <v>3331</v>
      </c>
      <c r="B1666" t="s">
        <v>3291</v>
      </c>
      <c r="C1666" t="s">
        <v>3792</v>
      </c>
      <c r="D1666" t="s">
        <v>30</v>
      </c>
      <c r="E1666" t="s">
        <v>54</v>
      </c>
      <c r="F1666">
        <v>4500277540</v>
      </c>
      <c r="G1666" t="s">
        <v>3764</v>
      </c>
      <c r="H1666" t="s">
        <v>3334</v>
      </c>
      <c r="I1666" t="s">
        <v>3253</v>
      </c>
      <c r="J1666" t="s">
        <v>54</v>
      </c>
      <c r="K1666" s="1">
        <v>75005.98</v>
      </c>
      <c r="L1666" t="s">
        <v>6408</v>
      </c>
      <c r="M1666" t="str" cm="1">
        <f t="array" ref="M1666">INDEX('Org List'!$A$2:$C$1005,MATCH(Consolidated!I1666&amp;Consolidated!J1666,'Org List'!$A$2:$A$1005&amp;'Org List'!$B$2:$B$1005,0),3)</f>
        <v>NGOs: National</v>
      </c>
    </row>
    <row r="1667" spans="1:13" x14ac:dyDescent="0.25">
      <c r="A1667" t="s">
        <v>3331</v>
      </c>
      <c r="B1667" t="s">
        <v>3291</v>
      </c>
      <c r="C1667" t="s">
        <v>3792</v>
      </c>
      <c r="D1667" t="s">
        <v>30</v>
      </c>
      <c r="E1667" t="s">
        <v>54</v>
      </c>
      <c r="F1667">
        <v>4500279537</v>
      </c>
      <c r="G1667" t="s">
        <v>3588</v>
      </c>
      <c r="H1667" t="s">
        <v>3334</v>
      </c>
      <c r="I1667" t="s">
        <v>790</v>
      </c>
      <c r="J1667" t="s">
        <v>54</v>
      </c>
      <c r="K1667" s="1">
        <v>82095.45</v>
      </c>
      <c r="L1667" t="s">
        <v>6408</v>
      </c>
      <c r="M1667" t="str" cm="1">
        <f t="array" ref="M1667">INDEX('Org List'!$A$2:$C$1005,MATCH(Consolidated!I1667&amp;Consolidated!J1667,'Org List'!$A$2:$A$1005&amp;'Org List'!$B$2:$B$1005,0),3)</f>
        <v>NGOs: National</v>
      </c>
    </row>
    <row r="1668" spans="1:13" x14ac:dyDescent="0.25">
      <c r="A1668" t="s">
        <v>3331</v>
      </c>
      <c r="B1668" t="s">
        <v>3291</v>
      </c>
      <c r="C1668" t="s">
        <v>3792</v>
      </c>
      <c r="D1668" t="s">
        <v>30</v>
      </c>
      <c r="E1668" t="s">
        <v>54</v>
      </c>
      <c r="F1668">
        <v>4500295114</v>
      </c>
      <c r="G1668" t="s">
        <v>3793</v>
      </c>
      <c r="H1668" t="s">
        <v>3334</v>
      </c>
      <c r="I1668" t="s">
        <v>3499</v>
      </c>
      <c r="J1668" t="s">
        <v>54</v>
      </c>
      <c r="K1668" s="1">
        <v>31337.03</v>
      </c>
      <c r="L1668" t="s">
        <v>6408</v>
      </c>
      <c r="M1668" t="str" cm="1">
        <f t="array" ref="M1668">INDEX('Org List'!$A$2:$C$1005,MATCH(Consolidated!I1668&amp;Consolidated!J1668,'Org List'!$A$2:$A$1005&amp;'Org List'!$B$2:$B$1005,0),3)</f>
        <v>NGOs: National</v>
      </c>
    </row>
    <row r="1669" spans="1:13" x14ac:dyDescent="0.25">
      <c r="A1669" t="s">
        <v>3331</v>
      </c>
      <c r="B1669" t="s">
        <v>3291</v>
      </c>
      <c r="C1669" t="s">
        <v>3792</v>
      </c>
      <c r="D1669" t="s">
        <v>30</v>
      </c>
      <c r="E1669" t="s">
        <v>54</v>
      </c>
      <c r="F1669">
        <v>4500295160</v>
      </c>
      <c r="G1669" t="s">
        <v>3794</v>
      </c>
      <c r="H1669" t="s">
        <v>3334</v>
      </c>
      <c r="I1669" t="s">
        <v>3790</v>
      </c>
      <c r="J1669" t="s">
        <v>54</v>
      </c>
      <c r="K1669" s="1">
        <v>16318.85</v>
      </c>
      <c r="L1669" t="s">
        <v>6408</v>
      </c>
      <c r="M1669" t="str" cm="1">
        <f t="array" ref="M1669">INDEX('Org List'!$A$2:$C$1005,MATCH(Consolidated!I1669&amp;Consolidated!J1669,'Org List'!$A$2:$A$1005&amp;'Org List'!$B$2:$B$1005,0),3)</f>
        <v>NGOs: National</v>
      </c>
    </row>
    <row r="1670" spans="1:13" x14ac:dyDescent="0.25">
      <c r="A1670" t="s">
        <v>3331</v>
      </c>
      <c r="B1670" t="s">
        <v>3795</v>
      </c>
      <c r="C1670" t="s">
        <v>3796</v>
      </c>
      <c r="D1670" t="s">
        <v>30</v>
      </c>
      <c r="E1670" t="s">
        <v>54</v>
      </c>
      <c r="F1670">
        <v>4500279570</v>
      </c>
      <c r="G1670" t="s">
        <v>3797</v>
      </c>
      <c r="H1670" t="s">
        <v>3334</v>
      </c>
      <c r="I1670" t="s">
        <v>1291</v>
      </c>
      <c r="J1670" t="s">
        <v>54</v>
      </c>
      <c r="K1670" s="1">
        <v>19954.060000000001</v>
      </c>
      <c r="L1670" t="s">
        <v>6408</v>
      </c>
      <c r="M1670" t="str" cm="1">
        <f t="array" ref="M1670">INDEX('Org List'!$A$2:$C$1005,MATCH(Consolidated!I1670&amp;Consolidated!J1670,'Org List'!$A$2:$A$1005&amp;'Org List'!$B$2:$B$1005,0),3)</f>
        <v>NGOs: National</v>
      </c>
    </row>
    <row r="1671" spans="1:13" x14ac:dyDescent="0.25">
      <c r="A1671" t="s">
        <v>3331</v>
      </c>
      <c r="B1671" t="s">
        <v>3795</v>
      </c>
      <c r="C1671" t="s">
        <v>3796</v>
      </c>
      <c r="D1671" t="s">
        <v>30</v>
      </c>
      <c r="E1671" t="s">
        <v>54</v>
      </c>
      <c r="F1671">
        <v>4500279579</v>
      </c>
      <c r="G1671" t="s">
        <v>3798</v>
      </c>
      <c r="H1671" t="s">
        <v>3334</v>
      </c>
      <c r="I1671" t="s">
        <v>277</v>
      </c>
      <c r="J1671" t="s">
        <v>54</v>
      </c>
      <c r="K1671" s="1">
        <v>39905.440000000002</v>
      </c>
      <c r="L1671" t="s">
        <v>6408</v>
      </c>
      <c r="M1671" t="str" cm="1">
        <f t="array" ref="M1671">INDEX('Org List'!$A$2:$C$1005,MATCH(Consolidated!I1671&amp;Consolidated!J1671,'Org List'!$A$2:$A$1005&amp;'Org List'!$B$2:$B$1005,0),3)</f>
        <v>NGOs: National</v>
      </c>
    </row>
    <row r="1672" spans="1:13" x14ac:dyDescent="0.25">
      <c r="A1672" t="s">
        <v>3331</v>
      </c>
      <c r="B1672" t="s">
        <v>3795</v>
      </c>
      <c r="C1672" t="s">
        <v>3796</v>
      </c>
      <c r="D1672" t="s">
        <v>30</v>
      </c>
      <c r="E1672" t="s">
        <v>54</v>
      </c>
      <c r="F1672">
        <v>4500279586</v>
      </c>
      <c r="G1672" t="s">
        <v>3799</v>
      </c>
      <c r="H1672" t="s">
        <v>3334</v>
      </c>
      <c r="I1672" t="s">
        <v>3800</v>
      </c>
      <c r="J1672" t="s">
        <v>54</v>
      </c>
      <c r="K1672" s="1">
        <v>16793.080000000002</v>
      </c>
      <c r="L1672" t="s">
        <v>6408</v>
      </c>
      <c r="M1672" t="str" cm="1">
        <f t="array" ref="M1672">INDEX('Org List'!$A$2:$C$1005,MATCH(Consolidated!I1672&amp;Consolidated!J1672,'Org List'!$A$2:$A$1005&amp;'Org List'!$B$2:$B$1005,0),3)</f>
        <v>NGOs: National</v>
      </c>
    </row>
    <row r="1673" spans="1:13" x14ac:dyDescent="0.25">
      <c r="A1673" t="s">
        <v>3331</v>
      </c>
      <c r="B1673" t="s">
        <v>3801</v>
      </c>
      <c r="C1673" t="s">
        <v>3802</v>
      </c>
      <c r="D1673" t="s">
        <v>30</v>
      </c>
      <c r="E1673" t="s">
        <v>83</v>
      </c>
      <c r="F1673">
        <v>4500297833</v>
      </c>
      <c r="G1673" t="s">
        <v>2357</v>
      </c>
      <c r="H1673" t="s">
        <v>3334</v>
      </c>
      <c r="I1673" t="s">
        <v>85</v>
      </c>
      <c r="J1673" t="s">
        <v>83</v>
      </c>
      <c r="K1673" s="1">
        <v>118800</v>
      </c>
      <c r="L1673" t="s">
        <v>6408</v>
      </c>
      <c r="M1673" t="str" cm="1">
        <f t="array" ref="M1673">INDEX('Org List'!$A$2:$C$1005,MATCH(Consolidated!I1673&amp;Consolidated!J1673,'Org List'!$A$2:$A$1005&amp;'Org List'!$B$2:$B$1005,0),3)</f>
        <v>NGOs: International</v>
      </c>
    </row>
    <row r="1674" spans="1:13" x14ac:dyDescent="0.25">
      <c r="A1674" t="s">
        <v>710</v>
      </c>
      <c r="B1674" t="s">
        <v>66</v>
      </c>
      <c r="C1674" t="s">
        <v>67</v>
      </c>
      <c r="D1674" t="s">
        <v>30</v>
      </c>
      <c r="E1674" t="s">
        <v>68</v>
      </c>
      <c r="F1674">
        <v>4500455544</v>
      </c>
      <c r="H1674" t="s">
        <v>12</v>
      </c>
      <c r="I1674" t="s">
        <v>69</v>
      </c>
      <c r="J1674" t="s">
        <v>68</v>
      </c>
      <c r="K1674">
        <v>209555.75</v>
      </c>
      <c r="L1674" t="s">
        <v>6408</v>
      </c>
      <c r="M1674" t="str" cm="1">
        <f t="array" ref="M1674">INDEX('Org List'!$A$2:$C$1005,MATCH(Consolidated!I1674&amp;Consolidated!J1674,'Org List'!$A$2:$A$1005&amp;'Org List'!$B$2:$B$1005,0),3)</f>
        <v>Red Cross: National</v>
      </c>
    </row>
    <row r="1675" spans="1:13" x14ac:dyDescent="0.25">
      <c r="A1675" t="s">
        <v>710</v>
      </c>
      <c r="B1675" t="s">
        <v>66</v>
      </c>
      <c r="C1675" t="s">
        <v>67</v>
      </c>
      <c r="D1675" t="s">
        <v>30</v>
      </c>
      <c r="E1675" t="s">
        <v>68</v>
      </c>
      <c r="F1675">
        <v>4500455555</v>
      </c>
      <c r="H1675" t="s">
        <v>12</v>
      </c>
      <c r="I1675" t="s">
        <v>69</v>
      </c>
      <c r="J1675" t="s">
        <v>68</v>
      </c>
      <c r="K1675">
        <v>228174.97</v>
      </c>
      <c r="L1675" t="s">
        <v>6408</v>
      </c>
      <c r="M1675" t="str" cm="1">
        <f t="array" ref="M1675">INDEX('Org List'!$A$2:$C$1005,MATCH(Consolidated!I1675&amp;Consolidated!J1675,'Org List'!$A$2:$A$1005&amp;'Org List'!$B$2:$B$1005,0),3)</f>
        <v>Red Cross: National</v>
      </c>
    </row>
    <row r="1676" spans="1:13" x14ac:dyDescent="0.25">
      <c r="A1676" t="s">
        <v>710</v>
      </c>
      <c r="B1676" t="s">
        <v>70</v>
      </c>
      <c r="C1676" t="s">
        <v>71</v>
      </c>
      <c r="D1676" t="s">
        <v>30</v>
      </c>
      <c r="E1676" t="s">
        <v>72</v>
      </c>
      <c r="F1676">
        <v>4500478805</v>
      </c>
      <c r="H1676" t="s">
        <v>12</v>
      </c>
      <c r="I1676" t="s">
        <v>73</v>
      </c>
      <c r="J1676" t="s">
        <v>72</v>
      </c>
      <c r="K1676">
        <v>964135.02</v>
      </c>
      <c r="L1676" t="s">
        <v>6408</v>
      </c>
      <c r="M1676" t="str" cm="1">
        <f t="array" ref="M1676">INDEX('Org List'!$A$2:$C$1005,MATCH(Consolidated!I1676&amp;Consolidated!J1676,'Org List'!$A$2:$A$1005&amp;'Org List'!$B$2:$B$1005,0),3)</f>
        <v>NGOs: International</v>
      </c>
    </row>
    <row r="1677" spans="1:13" x14ac:dyDescent="0.25">
      <c r="A1677" t="s">
        <v>710</v>
      </c>
      <c r="B1677" t="s">
        <v>74</v>
      </c>
      <c r="C1677" t="s">
        <v>75</v>
      </c>
      <c r="D1677" t="s">
        <v>30</v>
      </c>
      <c r="E1677" t="s">
        <v>76</v>
      </c>
      <c r="F1677">
        <v>4500478844</v>
      </c>
      <c r="H1677" t="s">
        <v>12</v>
      </c>
      <c r="I1677" t="s">
        <v>77</v>
      </c>
      <c r="J1677" t="s">
        <v>76</v>
      </c>
      <c r="K1677">
        <v>24965.71</v>
      </c>
      <c r="L1677" t="s">
        <v>6408</v>
      </c>
      <c r="M1677" t="str" cm="1">
        <f t="array" ref="M1677">INDEX('Org List'!$A$2:$C$1005,MATCH(Consolidated!I1677&amp;Consolidated!J1677,'Org List'!$A$2:$A$1005&amp;'Org List'!$B$2:$B$1005,0),3)</f>
        <v>NGOs: National</v>
      </c>
    </row>
    <row r="1678" spans="1:13" x14ac:dyDescent="0.25">
      <c r="A1678" t="s">
        <v>710</v>
      </c>
      <c r="B1678" t="s">
        <v>74</v>
      </c>
      <c r="C1678" t="s">
        <v>75</v>
      </c>
      <c r="D1678" t="s">
        <v>30</v>
      </c>
      <c r="E1678" t="s">
        <v>76</v>
      </c>
      <c r="F1678">
        <v>4500478886</v>
      </c>
      <c r="H1678" t="s">
        <v>12</v>
      </c>
      <c r="I1678" t="s">
        <v>78</v>
      </c>
      <c r="J1678" t="s">
        <v>76</v>
      </c>
      <c r="K1678">
        <v>24142.66</v>
      </c>
      <c r="L1678" t="s">
        <v>6408</v>
      </c>
      <c r="M1678" t="str" cm="1">
        <f t="array" ref="M1678">INDEX('Org List'!$A$2:$C$1005,MATCH(Consolidated!I1678&amp;Consolidated!J1678,'Org List'!$A$2:$A$1005&amp;'Org List'!$B$2:$B$1005,0),3)</f>
        <v>NGOs: National</v>
      </c>
    </row>
    <row r="1679" spans="1:13" x14ac:dyDescent="0.25">
      <c r="A1679" t="s">
        <v>710</v>
      </c>
      <c r="B1679" t="s">
        <v>74</v>
      </c>
      <c r="C1679" t="s">
        <v>75</v>
      </c>
      <c r="D1679" t="s">
        <v>30</v>
      </c>
      <c r="E1679" t="s">
        <v>76</v>
      </c>
      <c r="F1679">
        <v>4500479261</v>
      </c>
      <c r="H1679" t="s">
        <v>12</v>
      </c>
      <c r="I1679" t="s">
        <v>79</v>
      </c>
      <c r="J1679" t="s">
        <v>76</v>
      </c>
      <c r="K1679">
        <v>36455.42</v>
      </c>
      <c r="L1679" t="s">
        <v>6408</v>
      </c>
      <c r="M1679" t="str" cm="1">
        <f t="array" ref="M1679">INDEX('Org List'!$A$2:$C$1005,MATCH(Consolidated!I1679&amp;Consolidated!J1679,'Org List'!$A$2:$A$1005&amp;'Org List'!$B$2:$B$1005,0),3)</f>
        <v>NGOs: National</v>
      </c>
    </row>
    <row r="1680" spans="1:13" x14ac:dyDescent="0.25">
      <c r="A1680" t="s">
        <v>710</v>
      </c>
      <c r="B1680" t="s">
        <v>74</v>
      </c>
      <c r="C1680" t="s">
        <v>75</v>
      </c>
      <c r="D1680" t="s">
        <v>30</v>
      </c>
      <c r="E1680" t="s">
        <v>76</v>
      </c>
      <c r="F1680">
        <v>4500481336</v>
      </c>
      <c r="H1680" t="s">
        <v>12</v>
      </c>
      <c r="I1680" t="s">
        <v>80</v>
      </c>
      <c r="J1680" t="s">
        <v>76</v>
      </c>
      <c r="K1680">
        <v>29772.29</v>
      </c>
      <c r="L1680" t="s">
        <v>6408</v>
      </c>
      <c r="M1680" t="str" cm="1">
        <f t="array" ref="M1680">INDEX('Org List'!$A$2:$C$1005,MATCH(Consolidated!I1680&amp;Consolidated!J1680,'Org List'!$A$2:$A$1005&amp;'Org List'!$B$2:$B$1005,0),3)</f>
        <v>NGOs: National</v>
      </c>
    </row>
    <row r="1681" spans="1:13" x14ac:dyDescent="0.25">
      <c r="A1681" t="s">
        <v>710</v>
      </c>
      <c r="B1681" t="s">
        <v>81</v>
      </c>
      <c r="C1681" t="s">
        <v>82</v>
      </c>
      <c r="D1681" t="s">
        <v>30</v>
      </c>
      <c r="E1681" t="s">
        <v>83</v>
      </c>
      <c r="F1681">
        <v>4500466661</v>
      </c>
      <c r="H1681" t="s">
        <v>12</v>
      </c>
      <c r="I1681" t="s">
        <v>84</v>
      </c>
      <c r="J1681" t="s">
        <v>83</v>
      </c>
      <c r="K1681">
        <v>7800</v>
      </c>
      <c r="L1681" t="s">
        <v>6408</v>
      </c>
      <c r="M1681" t="str" cm="1">
        <f t="array" ref="M1681">INDEX('Org List'!$A$2:$C$1005,MATCH(Consolidated!I1681&amp;Consolidated!J1681,'Org List'!$A$2:$A$1005&amp;'Org List'!$B$2:$B$1005,0),3)</f>
        <v>NGOs: National</v>
      </c>
    </row>
    <row r="1682" spans="1:13" x14ac:dyDescent="0.25">
      <c r="A1682" t="s">
        <v>710</v>
      </c>
      <c r="B1682" t="s">
        <v>81</v>
      </c>
      <c r="C1682" t="s">
        <v>82</v>
      </c>
      <c r="D1682" t="s">
        <v>30</v>
      </c>
      <c r="E1682" t="s">
        <v>83</v>
      </c>
      <c r="F1682">
        <v>4500482347</v>
      </c>
      <c r="H1682" t="s">
        <v>12</v>
      </c>
      <c r="I1682" t="s">
        <v>85</v>
      </c>
      <c r="J1682" t="s">
        <v>83</v>
      </c>
      <c r="K1682">
        <v>190000</v>
      </c>
      <c r="L1682" t="s">
        <v>6408</v>
      </c>
      <c r="M1682" t="str" cm="1">
        <f t="array" ref="M1682">INDEX('Org List'!$A$2:$C$1005,MATCH(Consolidated!I1682&amp;Consolidated!J1682,'Org List'!$A$2:$A$1005&amp;'Org List'!$B$2:$B$1005,0),3)</f>
        <v>NGOs: International</v>
      </c>
    </row>
    <row r="1683" spans="1:13" x14ac:dyDescent="0.25">
      <c r="A1683" t="s">
        <v>710</v>
      </c>
      <c r="B1683" t="s">
        <v>81</v>
      </c>
      <c r="C1683" t="s">
        <v>82</v>
      </c>
      <c r="D1683" t="s">
        <v>30</v>
      </c>
      <c r="E1683" t="s">
        <v>83</v>
      </c>
      <c r="F1683">
        <v>4500482390</v>
      </c>
      <c r="H1683" t="s">
        <v>12</v>
      </c>
      <c r="I1683" t="s">
        <v>86</v>
      </c>
      <c r="J1683" t="s">
        <v>83</v>
      </c>
      <c r="K1683">
        <v>322103.51</v>
      </c>
      <c r="L1683" t="s">
        <v>6408</v>
      </c>
      <c r="M1683" t="str" cm="1">
        <f t="array" ref="M1683">INDEX('Org List'!$A$2:$C$1005,MATCH(Consolidated!I1683&amp;Consolidated!J1683,'Org List'!$A$2:$A$1005&amp;'Org List'!$B$2:$B$1005,0),3)</f>
        <v>NGOs: International</v>
      </c>
    </row>
    <row r="1684" spans="1:13" x14ac:dyDescent="0.25">
      <c r="A1684" t="s">
        <v>710</v>
      </c>
      <c r="B1684" t="s">
        <v>87</v>
      </c>
      <c r="C1684" t="s">
        <v>88</v>
      </c>
      <c r="D1684" t="s">
        <v>30</v>
      </c>
      <c r="E1684" t="s">
        <v>32</v>
      </c>
      <c r="F1684">
        <v>4500455133</v>
      </c>
      <c r="H1684" t="s">
        <v>12</v>
      </c>
      <c r="I1684" t="s">
        <v>89</v>
      </c>
      <c r="J1684" t="s">
        <v>32</v>
      </c>
      <c r="K1684">
        <v>110339</v>
      </c>
      <c r="L1684" t="s">
        <v>6408</v>
      </c>
      <c r="M1684" t="str" cm="1">
        <f t="array" ref="M1684">INDEX('Org List'!$A$2:$C$1005,MATCH(Consolidated!I1684&amp;Consolidated!J1684,'Org List'!$A$2:$A$1005&amp;'Org List'!$B$2:$B$1005,0),3)</f>
        <v>NGOs: National</v>
      </c>
    </row>
    <row r="1685" spans="1:13" x14ac:dyDescent="0.25">
      <c r="A1685" t="s">
        <v>710</v>
      </c>
      <c r="B1685" t="s">
        <v>87</v>
      </c>
      <c r="C1685" t="s">
        <v>88</v>
      </c>
      <c r="D1685" t="s">
        <v>30</v>
      </c>
      <c r="E1685" t="s">
        <v>32</v>
      </c>
      <c r="F1685">
        <v>4500456546</v>
      </c>
      <c r="H1685" t="s">
        <v>12</v>
      </c>
      <c r="I1685" t="s">
        <v>90</v>
      </c>
      <c r="J1685" t="s">
        <v>91</v>
      </c>
      <c r="K1685">
        <v>246846</v>
      </c>
      <c r="L1685" t="s">
        <v>6408</v>
      </c>
      <c r="M1685" t="str" cm="1">
        <f t="array" ref="M1685">INDEX('Org List'!$A$2:$C$1005,MATCH(Consolidated!I1685&amp;Consolidated!J1685,'Org List'!$A$2:$A$1005&amp;'Org List'!$B$2:$B$1005,0),3)</f>
        <v>NGOs: International</v>
      </c>
    </row>
    <row r="1686" spans="1:13" x14ac:dyDescent="0.25">
      <c r="A1686" t="s">
        <v>710</v>
      </c>
      <c r="B1686" t="s">
        <v>87</v>
      </c>
      <c r="C1686" t="s">
        <v>88</v>
      </c>
      <c r="D1686" t="s">
        <v>30</v>
      </c>
      <c r="E1686" t="s">
        <v>32</v>
      </c>
      <c r="F1686">
        <v>4500461601</v>
      </c>
      <c r="H1686" t="s">
        <v>12</v>
      </c>
      <c r="I1686" t="s">
        <v>92</v>
      </c>
      <c r="J1686" t="s">
        <v>32</v>
      </c>
      <c r="K1686">
        <v>180254</v>
      </c>
      <c r="L1686" t="s">
        <v>6408</v>
      </c>
      <c r="M1686" t="str" cm="1">
        <f t="array" ref="M1686">INDEX('Org List'!$A$2:$C$1005,MATCH(Consolidated!I1686&amp;Consolidated!J1686,'Org List'!$A$2:$A$1005&amp;'Org List'!$B$2:$B$1005,0),3)</f>
        <v>NGOs: National</v>
      </c>
    </row>
    <row r="1687" spans="1:13" x14ac:dyDescent="0.25">
      <c r="A1687" t="s">
        <v>710</v>
      </c>
      <c r="B1687" t="s">
        <v>87</v>
      </c>
      <c r="C1687" t="s">
        <v>88</v>
      </c>
      <c r="D1687" t="s">
        <v>30</v>
      </c>
      <c r="E1687" t="s">
        <v>32</v>
      </c>
      <c r="F1687">
        <v>4500463632</v>
      </c>
      <c r="H1687" t="s">
        <v>12</v>
      </c>
      <c r="I1687" t="s">
        <v>93</v>
      </c>
      <c r="J1687" t="s">
        <v>32</v>
      </c>
      <c r="K1687">
        <v>249500</v>
      </c>
      <c r="L1687" t="s">
        <v>6408</v>
      </c>
      <c r="M1687" t="str" cm="1">
        <f t="array" ref="M1687">INDEX('Org List'!$A$2:$C$1005,MATCH(Consolidated!I1687&amp;Consolidated!J1687,'Org List'!$A$2:$A$1005&amp;'Org List'!$B$2:$B$1005,0),3)</f>
        <v>NGOs: National</v>
      </c>
    </row>
    <row r="1688" spans="1:13" x14ac:dyDescent="0.25">
      <c r="A1688" t="s">
        <v>710</v>
      </c>
      <c r="B1688" t="s">
        <v>87</v>
      </c>
      <c r="C1688" t="s">
        <v>88</v>
      </c>
      <c r="D1688" t="s">
        <v>30</v>
      </c>
      <c r="E1688" t="s">
        <v>32</v>
      </c>
      <c r="F1688">
        <v>4500467289</v>
      </c>
      <c r="H1688" t="s">
        <v>12</v>
      </c>
      <c r="I1688" t="s">
        <v>94</v>
      </c>
      <c r="J1688" t="s">
        <v>32</v>
      </c>
      <c r="K1688">
        <v>209351</v>
      </c>
      <c r="L1688" t="s">
        <v>6408</v>
      </c>
      <c r="M1688" t="str" cm="1">
        <f t="array" ref="M1688">INDEX('Org List'!$A$2:$C$1005,MATCH(Consolidated!I1688&amp;Consolidated!J1688,'Org List'!$A$2:$A$1005&amp;'Org List'!$B$2:$B$1005,0),3)</f>
        <v>NGOs: National</v>
      </c>
    </row>
    <row r="1689" spans="1:13" x14ac:dyDescent="0.25">
      <c r="A1689" t="s">
        <v>710</v>
      </c>
      <c r="B1689" t="s">
        <v>87</v>
      </c>
      <c r="C1689" t="s">
        <v>88</v>
      </c>
      <c r="D1689" t="s">
        <v>30</v>
      </c>
      <c r="E1689" t="s">
        <v>32</v>
      </c>
      <c r="F1689">
        <v>4500473373</v>
      </c>
      <c r="H1689" t="s">
        <v>12</v>
      </c>
      <c r="I1689" t="s">
        <v>95</v>
      </c>
      <c r="J1689" t="s">
        <v>96</v>
      </c>
      <c r="K1689">
        <v>241266</v>
      </c>
      <c r="L1689" t="s">
        <v>6408</v>
      </c>
      <c r="M1689" t="str" cm="1">
        <f t="array" ref="M1689">INDEX('Org List'!$A$2:$C$1005,MATCH(Consolidated!I1689&amp;Consolidated!J1689,'Org List'!$A$2:$A$1005&amp;'Org List'!$B$2:$B$1005,0),3)</f>
        <v>NGOs: International</v>
      </c>
    </row>
    <row r="1690" spans="1:13" x14ac:dyDescent="0.25">
      <c r="A1690" t="s">
        <v>710</v>
      </c>
      <c r="B1690" t="s">
        <v>87</v>
      </c>
      <c r="C1690" t="s">
        <v>88</v>
      </c>
      <c r="D1690" t="s">
        <v>30</v>
      </c>
      <c r="E1690" t="s">
        <v>32</v>
      </c>
      <c r="F1690">
        <v>4500473594</v>
      </c>
      <c r="H1690" t="s">
        <v>12</v>
      </c>
      <c r="I1690" t="s">
        <v>97</v>
      </c>
      <c r="J1690" t="s">
        <v>32</v>
      </c>
      <c r="K1690">
        <v>129208</v>
      </c>
      <c r="L1690" t="s">
        <v>6408</v>
      </c>
      <c r="M1690" t="str" cm="1">
        <f t="array" ref="M1690">INDEX('Org List'!$A$2:$C$1005,MATCH(Consolidated!I1690&amp;Consolidated!J1690,'Org List'!$A$2:$A$1005&amp;'Org List'!$B$2:$B$1005,0),3)</f>
        <v>NGOs: National</v>
      </c>
    </row>
    <row r="1691" spans="1:13" x14ac:dyDescent="0.25">
      <c r="A1691" t="s">
        <v>710</v>
      </c>
      <c r="B1691" t="s">
        <v>87</v>
      </c>
      <c r="C1691" t="s">
        <v>88</v>
      </c>
      <c r="D1691" t="s">
        <v>30</v>
      </c>
      <c r="E1691" t="s">
        <v>32</v>
      </c>
      <c r="F1691">
        <v>4500476670</v>
      </c>
      <c r="H1691" t="s">
        <v>12</v>
      </c>
      <c r="I1691" t="s">
        <v>98</v>
      </c>
      <c r="J1691" t="s">
        <v>32</v>
      </c>
      <c r="K1691">
        <v>57241</v>
      </c>
      <c r="L1691" t="s">
        <v>6408</v>
      </c>
      <c r="M1691" t="str" cm="1">
        <f t="array" ref="M1691">INDEX('Org List'!$A$2:$C$1005,MATCH(Consolidated!I1691&amp;Consolidated!J1691,'Org List'!$A$2:$A$1005&amp;'Org List'!$B$2:$B$1005,0),3)</f>
        <v>NGOs: National</v>
      </c>
    </row>
    <row r="1692" spans="1:13" x14ac:dyDescent="0.25">
      <c r="A1692" t="s">
        <v>710</v>
      </c>
      <c r="B1692" t="s">
        <v>87</v>
      </c>
      <c r="C1692" t="s">
        <v>88</v>
      </c>
      <c r="D1692" t="s">
        <v>30</v>
      </c>
      <c r="E1692" t="s">
        <v>32</v>
      </c>
      <c r="F1692">
        <v>4500477023</v>
      </c>
      <c r="H1692" t="s">
        <v>12</v>
      </c>
      <c r="I1692" t="s">
        <v>99</v>
      </c>
      <c r="J1692" t="s">
        <v>32</v>
      </c>
      <c r="K1692">
        <v>71836</v>
      </c>
      <c r="L1692" t="s">
        <v>6408</v>
      </c>
      <c r="M1692" t="str" cm="1">
        <f t="array" ref="M1692">INDEX('Org List'!$A$2:$C$1005,MATCH(Consolidated!I1692&amp;Consolidated!J1692,'Org List'!$A$2:$A$1005&amp;'Org List'!$B$2:$B$1005,0),3)</f>
        <v>NGOs: National</v>
      </c>
    </row>
    <row r="1693" spans="1:13" x14ac:dyDescent="0.25">
      <c r="A1693" t="s">
        <v>710</v>
      </c>
      <c r="B1693" t="s">
        <v>87</v>
      </c>
      <c r="C1693" t="s">
        <v>88</v>
      </c>
      <c r="D1693" t="s">
        <v>30</v>
      </c>
      <c r="E1693" t="s">
        <v>32</v>
      </c>
      <c r="F1693">
        <v>4500478272</v>
      </c>
      <c r="H1693" t="s">
        <v>12</v>
      </c>
      <c r="I1693" t="s">
        <v>100</v>
      </c>
      <c r="J1693" t="s">
        <v>32</v>
      </c>
      <c r="K1693">
        <v>53876</v>
      </c>
      <c r="L1693" t="s">
        <v>6408</v>
      </c>
      <c r="M1693" t="str" cm="1">
        <f t="array" ref="M1693">INDEX('Org List'!$A$2:$C$1005,MATCH(Consolidated!I1693&amp;Consolidated!J1693,'Org List'!$A$2:$A$1005&amp;'Org List'!$B$2:$B$1005,0),3)</f>
        <v>NGOs: Local</v>
      </c>
    </row>
    <row r="1694" spans="1:13" x14ac:dyDescent="0.25">
      <c r="A1694" t="s">
        <v>710</v>
      </c>
      <c r="B1694" t="s">
        <v>87</v>
      </c>
      <c r="C1694" t="s">
        <v>88</v>
      </c>
      <c r="D1694" t="s">
        <v>30</v>
      </c>
      <c r="E1694" t="s">
        <v>32</v>
      </c>
      <c r="F1694">
        <v>4500478480</v>
      </c>
      <c r="H1694" t="s">
        <v>12</v>
      </c>
      <c r="I1694" t="s">
        <v>101</v>
      </c>
      <c r="J1694" t="s">
        <v>32</v>
      </c>
      <c r="K1694">
        <v>149689</v>
      </c>
      <c r="L1694" t="s">
        <v>6408</v>
      </c>
      <c r="M1694" t="str" cm="1">
        <f t="array" ref="M1694">INDEX('Org List'!$A$2:$C$1005,MATCH(Consolidated!I1694&amp;Consolidated!J1694,'Org List'!$A$2:$A$1005&amp;'Org List'!$B$2:$B$1005,0),3)</f>
        <v>NGOs: International</v>
      </c>
    </row>
    <row r="1695" spans="1:13" x14ac:dyDescent="0.25">
      <c r="A1695" t="s">
        <v>710</v>
      </c>
      <c r="B1695" t="s">
        <v>87</v>
      </c>
      <c r="C1695" t="s">
        <v>88</v>
      </c>
      <c r="D1695" t="s">
        <v>30</v>
      </c>
      <c r="E1695" t="s">
        <v>32</v>
      </c>
      <c r="F1695">
        <v>4500478857</v>
      </c>
      <c r="H1695" t="s">
        <v>12</v>
      </c>
      <c r="I1695" t="s">
        <v>102</v>
      </c>
      <c r="J1695" t="s">
        <v>32</v>
      </c>
      <c r="K1695">
        <v>50610</v>
      </c>
      <c r="L1695" t="s">
        <v>6408</v>
      </c>
      <c r="M1695" t="str" cm="1">
        <f t="array" ref="M1695">INDEX('Org List'!$A$2:$C$1005,MATCH(Consolidated!I1695&amp;Consolidated!J1695,'Org List'!$A$2:$A$1005&amp;'Org List'!$B$2:$B$1005,0),3)</f>
        <v>NGOs: National</v>
      </c>
    </row>
    <row r="1696" spans="1:13" x14ac:dyDescent="0.25">
      <c r="A1696" t="s">
        <v>710</v>
      </c>
      <c r="B1696" t="s">
        <v>87</v>
      </c>
      <c r="C1696" t="s">
        <v>88</v>
      </c>
      <c r="D1696" t="s">
        <v>30</v>
      </c>
      <c r="E1696" t="s">
        <v>32</v>
      </c>
      <c r="F1696">
        <v>4500480460</v>
      </c>
      <c r="H1696" t="s">
        <v>12</v>
      </c>
      <c r="I1696" t="s">
        <v>103</v>
      </c>
      <c r="J1696" t="s">
        <v>32</v>
      </c>
      <c r="K1696">
        <v>50169</v>
      </c>
      <c r="L1696" t="s">
        <v>6408</v>
      </c>
      <c r="M1696" t="str" cm="1">
        <f t="array" ref="M1696">INDEX('Org List'!$A$2:$C$1005,MATCH(Consolidated!I1696&amp;Consolidated!J1696,'Org List'!$A$2:$A$1005&amp;'Org List'!$B$2:$B$1005,0),3)</f>
        <v>NGOs: National</v>
      </c>
    </row>
    <row r="1697" spans="1:13" x14ac:dyDescent="0.25">
      <c r="A1697" t="s">
        <v>710</v>
      </c>
      <c r="B1697" t="s">
        <v>87</v>
      </c>
      <c r="C1697" t="s">
        <v>88</v>
      </c>
      <c r="D1697" t="s">
        <v>30</v>
      </c>
      <c r="E1697" t="s">
        <v>32</v>
      </c>
      <c r="F1697">
        <v>4500480863</v>
      </c>
      <c r="H1697" t="s">
        <v>12</v>
      </c>
      <c r="I1697" t="s">
        <v>104</v>
      </c>
      <c r="J1697" t="s">
        <v>32</v>
      </c>
      <c r="K1697">
        <v>242083</v>
      </c>
      <c r="L1697" t="s">
        <v>6408</v>
      </c>
      <c r="M1697" t="str" cm="1">
        <f t="array" ref="M1697">INDEX('Org List'!$A$2:$C$1005,MATCH(Consolidated!I1697&amp;Consolidated!J1697,'Org List'!$A$2:$A$1005&amp;'Org List'!$B$2:$B$1005,0),3)</f>
        <v>NGOs: Local</v>
      </c>
    </row>
    <row r="1698" spans="1:13" x14ac:dyDescent="0.25">
      <c r="A1698" t="s">
        <v>710</v>
      </c>
      <c r="B1698" t="s">
        <v>87</v>
      </c>
      <c r="C1698" t="s">
        <v>88</v>
      </c>
      <c r="D1698" t="s">
        <v>30</v>
      </c>
      <c r="E1698" t="s">
        <v>32</v>
      </c>
      <c r="F1698">
        <v>4500481579</v>
      </c>
      <c r="H1698" t="s">
        <v>12</v>
      </c>
      <c r="I1698" t="s">
        <v>105</v>
      </c>
      <c r="J1698" t="s">
        <v>32</v>
      </c>
      <c r="K1698">
        <v>277092</v>
      </c>
      <c r="L1698" t="s">
        <v>6408</v>
      </c>
      <c r="M1698" t="str" cm="1">
        <f t="array" ref="M1698">INDEX('Org List'!$A$2:$C$1005,MATCH(Consolidated!I1698&amp;Consolidated!J1698,'Org List'!$A$2:$A$1005&amp;'Org List'!$B$2:$B$1005,0),3)</f>
        <v>NGOs: National</v>
      </c>
    </row>
    <row r="1699" spans="1:13" x14ac:dyDescent="0.25">
      <c r="A1699" t="s">
        <v>710</v>
      </c>
      <c r="B1699" t="s">
        <v>87</v>
      </c>
      <c r="C1699" t="s">
        <v>88</v>
      </c>
      <c r="D1699" t="s">
        <v>30</v>
      </c>
      <c r="E1699" t="s">
        <v>32</v>
      </c>
      <c r="F1699">
        <v>4500481638</v>
      </c>
      <c r="H1699" t="s">
        <v>12</v>
      </c>
      <c r="I1699" t="s">
        <v>106</v>
      </c>
      <c r="J1699" t="s">
        <v>32</v>
      </c>
      <c r="K1699">
        <v>31367</v>
      </c>
      <c r="L1699" t="s">
        <v>6408</v>
      </c>
      <c r="M1699" t="str" cm="1">
        <f t="array" ref="M1699">INDEX('Org List'!$A$2:$C$1005,MATCH(Consolidated!I1699&amp;Consolidated!J1699,'Org List'!$A$2:$A$1005&amp;'Org List'!$B$2:$B$1005,0),3)</f>
        <v>NGOs: International</v>
      </c>
    </row>
    <row r="1700" spans="1:13" x14ac:dyDescent="0.25">
      <c r="A1700" t="s">
        <v>710</v>
      </c>
      <c r="B1700" t="s">
        <v>87</v>
      </c>
      <c r="C1700" t="s">
        <v>88</v>
      </c>
      <c r="D1700" t="s">
        <v>30</v>
      </c>
      <c r="E1700" t="s">
        <v>32</v>
      </c>
      <c r="F1700">
        <v>4500481640</v>
      </c>
      <c r="H1700" t="s">
        <v>12</v>
      </c>
      <c r="I1700" t="s">
        <v>101</v>
      </c>
      <c r="J1700" t="s">
        <v>32</v>
      </c>
      <c r="K1700">
        <v>92726</v>
      </c>
      <c r="L1700" t="s">
        <v>6408</v>
      </c>
      <c r="M1700" t="str" cm="1">
        <f t="array" ref="M1700">INDEX('Org List'!$A$2:$C$1005,MATCH(Consolidated!I1700&amp;Consolidated!J1700,'Org List'!$A$2:$A$1005&amp;'Org List'!$B$2:$B$1005,0),3)</f>
        <v>NGOs: International</v>
      </c>
    </row>
    <row r="1701" spans="1:13" x14ac:dyDescent="0.25">
      <c r="A1701" t="s">
        <v>710</v>
      </c>
      <c r="B1701" t="s">
        <v>107</v>
      </c>
      <c r="C1701" t="s">
        <v>108</v>
      </c>
      <c r="D1701" t="s">
        <v>30</v>
      </c>
      <c r="E1701" t="s">
        <v>109</v>
      </c>
      <c r="F1701">
        <v>4500464337</v>
      </c>
      <c r="H1701" t="s">
        <v>12</v>
      </c>
      <c r="I1701" t="s">
        <v>110</v>
      </c>
      <c r="J1701" t="s">
        <v>109</v>
      </c>
      <c r="K1701">
        <v>206701.77</v>
      </c>
      <c r="L1701" t="s">
        <v>6408</v>
      </c>
      <c r="M1701" t="str" cm="1">
        <f t="array" ref="M1701">INDEX('Org List'!$A$2:$C$1005,MATCH(Consolidated!I1701&amp;Consolidated!J1701,'Org List'!$A$2:$A$1005&amp;'Org List'!$B$2:$B$1005,0),3)</f>
        <v>NGOs: International</v>
      </c>
    </row>
    <row r="1702" spans="1:13" x14ac:dyDescent="0.25">
      <c r="A1702" t="s">
        <v>710</v>
      </c>
      <c r="B1702" t="s">
        <v>107</v>
      </c>
      <c r="C1702" t="s">
        <v>108</v>
      </c>
      <c r="D1702" t="s">
        <v>30</v>
      </c>
      <c r="E1702" t="s">
        <v>109</v>
      </c>
      <c r="F1702">
        <v>4500464364</v>
      </c>
      <c r="H1702" t="s">
        <v>12</v>
      </c>
      <c r="I1702" t="s">
        <v>111</v>
      </c>
      <c r="J1702" t="s">
        <v>109</v>
      </c>
      <c r="K1702">
        <v>206701.77</v>
      </c>
      <c r="L1702" t="s">
        <v>6408</v>
      </c>
      <c r="M1702" t="str" cm="1">
        <f t="array" ref="M1702">INDEX('Org List'!$A$2:$C$1005,MATCH(Consolidated!I1702&amp;Consolidated!J1702,'Org List'!$A$2:$A$1005&amp;'Org List'!$B$2:$B$1005,0),3)</f>
        <v>NGOs: National</v>
      </c>
    </row>
    <row r="1703" spans="1:13" x14ac:dyDescent="0.25">
      <c r="A1703" t="s">
        <v>710</v>
      </c>
      <c r="B1703" t="s">
        <v>107</v>
      </c>
      <c r="C1703" t="s">
        <v>108</v>
      </c>
      <c r="D1703" t="s">
        <v>30</v>
      </c>
      <c r="E1703" t="s">
        <v>109</v>
      </c>
      <c r="F1703">
        <v>4500477699</v>
      </c>
      <c r="H1703" t="s">
        <v>12</v>
      </c>
      <c r="I1703" t="s">
        <v>112</v>
      </c>
      <c r="J1703" t="s">
        <v>109</v>
      </c>
      <c r="K1703">
        <v>31291.07</v>
      </c>
      <c r="L1703" t="s">
        <v>6408</v>
      </c>
      <c r="M1703" t="str" cm="1">
        <f t="array" ref="M1703">INDEX('Org List'!$A$2:$C$1005,MATCH(Consolidated!I1703&amp;Consolidated!J1703,'Org List'!$A$2:$A$1005&amp;'Org List'!$B$2:$B$1005,0),3)</f>
        <v>NGOs: National</v>
      </c>
    </row>
    <row r="1704" spans="1:13" x14ac:dyDescent="0.25">
      <c r="A1704" t="s">
        <v>710</v>
      </c>
      <c r="B1704" t="s">
        <v>107</v>
      </c>
      <c r="C1704" t="s">
        <v>108</v>
      </c>
      <c r="D1704" t="s">
        <v>30</v>
      </c>
      <c r="E1704" t="s">
        <v>109</v>
      </c>
      <c r="F1704">
        <v>4500477716</v>
      </c>
      <c r="H1704" t="s">
        <v>12</v>
      </c>
      <c r="I1704" t="s">
        <v>113</v>
      </c>
      <c r="J1704" t="s">
        <v>109</v>
      </c>
      <c r="K1704">
        <v>8235.99</v>
      </c>
      <c r="L1704" t="s">
        <v>6408</v>
      </c>
      <c r="M1704" t="str" cm="1">
        <f t="array" ref="M1704">INDEX('Org List'!$A$2:$C$1005,MATCH(Consolidated!I1704&amp;Consolidated!J1704,'Org List'!$A$2:$A$1005&amp;'Org List'!$B$2:$B$1005,0),3)</f>
        <v>NGOs: National</v>
      </c>
    </row>
    <row r="1705" spans="1:13" x14ac:dyDescent="0.25">
      <c r="A1705" t="s">
        <v>710</v>
      </c>
      <c r="B1705" t="s">
        <v>107</v>
      </c>
      <c r="C1705" t="s">
        <v>108</v>
      </c>
      <c r="D1705" t="s">
        <v>30</v>
      </c>
      <c r="E1705" t="s">
        <v>109</v>
      </c>
      <c r="F1705">
        <v>4500477723</v>
      </c>
      <c r="H1705" t="s">
        <v>12</v>
      </c>
      <c r="I1705" t="s">
        <v>112</v>
      </c>
      <c r="J1705" t="s">
        <v>109</v>
      </c>
      <c r="K1705">
        <v>30382.2</v>
      </c>
      <c r="L1705" t="s">
        <v>6408</v>
      </c>
      <c r="M1705" t="str" cm="1">
        <f t="array" ref="M1705">INDEX('Org List'!$A$2:$C$1005,MATCH(Consolidated!I1705&amp;Consolidated!J1705,'Org List'!$A$2:$A$1005&amp;'Org List'!$B$2:$B$1005,0),3)</f>
        <v>NGOs: National</v>
      </c>
    </row>
    <row r="1706" spans="1:13" x14ac:dyDescent="0.25">
      <c r="A1706" t="s">
        <v>710</v>
      </c>
      <c r="B1706" t="s">
        <v>107</v>
      </c>
      <c r="C1706" t="s">
        <v>108</v>
      </c>
      <c r="D1706" t="s">
        <v>30</v>
      </c>
      <c r="E1706" t="s">
        <v>109</v>
      </c>
      <c r="F1706">
        <v>4500477733</v>
      </c>
      <c r="H1706" t="s">
        <v>12</v>
      </c>
      <c r="I1706" t="s">
        <v>112</v>
      </c>
      <c r="J1706" t="s">
        <v>109</v>
      </c>
      <c r="K1706">
        <v>26060.02</v>
      </c>
      <c r="L1706" t="s">
        <v>6408</v>
      </c>
      <c r="M1706" t="str" cm="1">
        <f t="array" ref="M1706">INDEX('Org List'!$A$2:$C$1005,MATCH(Consolidated!I1706&amp;Consolidated!J1706,'Org List'!$A$2:$A$1005&amp;'Org List'!$B$2:$B$1005,0),3)</f>
        <v>NGOs: National</v>
      </c>
    </row>
    <row r="1707" spans="1:13" x14ac:dyDescent="0.25">
      <c r="A1707" t="s">
        <v>710</v>
      </c>
      <c r="B1707" t="s">
        <v>107</v>
      </c>
      <c r="C1707" t="s">
        <v>108</v>
      </c>
      <c r="D1707" t="s">
        <v>30</v>
      </c>
      <c r="E1707" t="s">
        <v>109</v>
      </c>
      <c r="F1707">
        <v>4500477737</v>
      </c>
      <c r="H1707" t="s">
        <v>12</v>
      </c>
      <c r="I1707" t="s">
        <v>114</v>
      </c>
      <c r="J1707" t="s">
        <v>109</v>
      </c>
      <c r="K1707">
        <v>19165.68</v>
      </c>
      <c r="L1707" t="s">
        <v>6408</v>
      </c>
      <c r="M1707" t="str" cm="1">
        <f t="array" ref="M1707">INDEX('Org List'!$A$2:$C$1005,MATCH(Consolidated!I1707&amp;Consolidated!J1707,'Org List'!$A$2:$A$1005&amp;'Org List'!$B$2:$B$1005,0),3)</f>
        <v>NGOs: National</v>
      </c>
    </row>
    <row r="1708" spans="1:13" x14ac:dyDescent="0.25">
      <c r="A1708" t="s">
        <v>710</v>
      </c>
      <c r="B1708" t="s">
        <v>107</v>
      </c>
      <c r="C1708" t="s">
        <v>108</v>
      </c>
      <c r="D1708" t="s">
        <v>30</v>
      </c>
      <c r="E1708" t="s">
        <v>109</v>
      </c>
      <c r="F1708">
        <v>4500477743</v>
      </c>
      <c r="H1708" t="s">
        <v>12</v>
      </c>
      <c r="I1708" t="s">
        <v>115</v>
      </c>
      <c r="J1708" t="s">
        <v>109</v>
      </c>
      <c r="K1708">
        <v>16882.18</v>
      </c>
      <c r="L1708" t="s">
        <v>6408</v>
      </c>
      <c r="M1708" t="str" cm="1">
        <f t="array" ref="M1708">INDEX('Org List'!$A$2:$C$1005,MATCH(Consolidated!I1708&amp;Consolidated!J1708,'Org List'!$A$2:$A$1005&amp;'Org List'!$B$2:$B$1005,0),3)</f>
        <v>NGOs: National</v>
      </c>
    </row>
    <row r="1709" spans="1:13" x14ac:dyDescent="0.25">
      <c r="A1709" t="s">
        <v>710</v>
      </c>
      <c r="B1709" t="s">
        <v>107</v>
      </c>
      <c r="C1709" t="s">
        <v>108</v>
      </c>
      <c r="D1709" t="s">
        <v>30</v>
      </c>
      <c r="E1709" t="s">
        <v>109</v>
      </c>
      <c r="F1709">
        <v>4500477745</v>
      </c>
      <c r="H1709" t="s">
        <v>12</v>
      </c>
      <c r="I1709" t="s">
        <v>115</v>
      </c>
      <c r="J1709" t="s">
        <v>109</v>
      </c>
      <c r="K1709">
        <v>26203.34</v>
      </c>
      <c r="L1709" t="s">
        <v>6408</v>
      </c>
      <c r="M1709" t="str" cm="1">
        <f t="array" ref="M1709">INDEX('Org List'!$A$2:$C$1005,MATCH(Consolidated!I1709&amp;Consolidated!J1709,'Org List'!$A$2:$A$1005&amp;'Org List'!$B$2:$B$1005,0),3)</f>
        <v>NGOs: National</v>
      </c>
    </row>
    <row r="1710" spans="1:13" x14ac:dyDescent="0.25">
      <c r="A1710" t="s">
        <v>710</v>
      </c>
      <c r="B1710" t="s">
        <v>107</v>
      </c>
      <c r="C1710" t="s">
        <v>108</v>
      </c>
      <c r="D1710" t="s">
        <v>30</v>
      </c>
      <c r="E1710" t="s">
        <v>109</v>
      </c>
      <c r="F1710">
        <v>4500477749</v>
      </c>
      <c r="H1710" t="s">
        <v>12</v>
      </c>
      <c r="I1710" t="s">
        <v>116</v>
      </c>
      <c r="J1710" t="s">
        <v>109</v>
      </c>
      <c r="K1710">
        <v>22405.83</v>
      </c>
      <c r="L1710" t="s">
        <v>6408</v>
      </c>
      <c r="M1710" t="str" cm="1">
        <f t="array" ref="M1710">INDEX('Org List'!$A$2:$C$1005,MATCH(Consolidated!I1710&amp;Consolidated!J1710,'Org List'!$A$2:$A$1005&amp;'Org List'!$B$2:$B$1005,0),3)</f>
        <v>NGOs: National</v>
      </c>
    </row>
    <row r="1711" spans="1:13" x14ac:dyDescent="0.25">
      <c r="A1711" t="s">
        <v>710</v>
      </c>
      <c r="B1711" t="s">
        <v>107</v>
      </c>
      <c r="C1711" t="s">
        <v>108</v>
      </c>
      <c r="D1711" t="s">
        <v>30</v>
      </c>
      <c r="E1711" t="s">
        <v>109</v>
      </c>
      <c r="F1711">
        <v>4500477756</v>
      </c>
      <c r="H1711" t="s">
        <v>12</v>
      </c>
      <c r="I1711" t="s">
        <v>117</v>
      </c>
      <c r="J1711" t="s">
        <v>109</v>
      </c>
      <c r="K1711">
        <v>21383.73</v>
      </c>
      <c r="L1711" t="s">
        <v>6408</v>
      </c>
      <c r="M1711" t="str" cm="1">
        <f t="array" ref="M1711">INDEX('Org List'!$A$2:$C$1005,MATCH(Consolidated!I1711&amp;Consolidated!J1711,'Org List'!$A$2:$A$1005&amp;'Org List'!$B$2:$B$1005,0),3)</f>
        <v>NGOs: National</v>
      </c>
    </row>
    <row r="1712" spans="1:13" x14ac:dyDescent="0.25">
      <c r="A1712" t="s">
        <v>710</v>
      </c>
      <c r="B1712" t="s">
        <v>107</v>
      </c>
      <c r="C1712" t="s">
        <v>108</v>
      </c>
      <c r="D1712" t="s">
        <v>30</v>
      </c>
      <c r="E1712" t="s">
        <v>109</v>
      </c>
      <c r="F1712">
        <v>4500477840</v>
      </c>
      <c r="H1712" t="s">
        <v>12</v>
      </c>
      <c r="I1712" t="s">
        <v>118</v>
      </c>
      <c r="J1712" t="s">
        <v>109</v>
      </c>
      <c r="K1712">
        <v>25786.240000000002</v>
      </c>
      <c r="L1712" t="s">
        <v>6408</v>
      </c>
      <c r="M1712" t="str" cm="1">
        <f t="array" ref="M1712">INDEX('Org List'!$A$2:$C$1005,MATCH(Consolidated!I1712&amp;Consolidated!J1712,'Org List'!$A$2:$A$1005&amp;'Org List'!$B$2:$B$1005,0),3)</f>
        <v>NGOs: National</v>
      </c>
    </row>
    <row r="1713" spans="1:13" x14ac:dyDescent="0.25">
      <c r="A1713" t="s">
        <v>710</v>
      </c>
      <c r="B1713" t="s">
        <v>107</v>
      </c>
      <c r="C1713" t="s">
        <v>108</v>
      </c>
      <c r="D1713" t="s">
        <v>30</v>
      </c>
      <c r="E1713" t="s">
        <v>109</v>
      </c>
      <c r="F1713">
        <v>4500477846</v>
      </c>
      <c r="H1713" t="s">
        <v>12</v>
      </c>
      <c r="I1713" t="s">
        <v>119</v>
      </c>
      <c r="J1713" t="s">
        <v>109</v>
      </c>
      <c r="K1713">
        <v>24831.32</v>
      </c>
      <c r="L1713" t="s">
        <v>6408</v>
      </c>
      <c r="M1713" t="str" cm="1">
        <f t="array" ref="M1713">INDEX('Org List'!$A$2:$C$1005,MATCH(Consolidated!I1713&amp;Consolidated!J1713,'Org List'!$A$2:$A$1005&amp;'Org List'!$B$2:$B$1005,0),3)</f>
        <v>NGOs: National</v>
      </c>
    </row>
    <row r="1714" spans="1:13" x14ac:dyDescent="0.25">
      <c r="A1714" t="s">
        <v>710</v>
      </c>
      <c r="B1714" t="s">
        <v>107</v>
      </c>
      <c r="C1714" t="s">
        <v>108</v>
      </c>
      <c r="D1714" t="s">
        <v>30</v>
      </c>
      <c r="E1714" t="s">
        <v>109</v>
      </c>
      <c r="F1714">
        <v>4500477858</v>
      </c>
      <c r="H1714" t="s">
        <v>12</v>
      </c>
      <c r="I1714" t="s">
        <v>115</v>
      </c>
      <c r="J1714" t="s">
        <v>109</v>
      </c>
      <c r="K1714">
        <v>41842.120000000003</v>
      </c>
      <c r="L1714" t="s">
        <v>6408</v>
      </c>
      <c r="M1714" t="str" cm="1">
        <f t="array" ref="M1714">INDEX('Org List'!$A$2:$C$1005,MATCH(Consolidated!I1714&amp;Consolidated!J1714,'Org List'!$A$2:$A$1005&amp;'Org List'!$B$2:$B$1005,0),3)</f>
        <v>NGOs: National</v>
      </c>
    </row>
    <row r="1715" spans="1:13" x14ac:dyDescent="0.25">
      <c r="A1715" t="s">
        <v>710</v>
      </c>
      <c r="B1715" t="s">
        <v>107</v>
      </c>
      <c r="C1715" t="s">
        <v>108</v>
      </c>
      <c r="D1715" t="s">
        <v>30</v>
      </c>
      <c r="E1715" t="s">
        <v>109</v>
      </c>
      <c r="F1715">
        <v>4500477864</v>
      </c>
      <c r="H1715" t="s">
        <v>12</v>
      </c>
      <c r="I1715" t="s">
        <v>116</v>
      </c>
      <c r="J1715" t="s">
        <v>109</v>
      </c>
      <c r="K1715">
        <v>27194.3</v>
      </c>
      <c r="L1715" t="s">
        <v>6408</v>
      </c>
      <c r="M1715" t="str" cm="1">
        <f t="array" ref="M1715">INDEX('Org List'!$A$2:$C$1005,MATCH(Consolidated!I1715&amp;Consolidated!J1715,'Org List'!$A$2:$A$1005&amp;'Org List'!$B$2:$B$1005,0),3)</f>
        <v>NGOs: National</v>
      </c>
    </row>
    <row r="1716" spans="1:13" x14ac:dyDescent="0.25">
      <c r="A1716" t="s">
        <v>710</v>
      </c>
      <c r="B1716" t="s">
        <v>107</v>
      </c>
      <c r="C1716" t="s">
        <v>108</v>
      </c>
      <c r="D1716" t="s">
        <v>30</v>
      </c>
      <c r="E1716" t="s">
        <v>109</v>
      </c>
      <c r="F1716">
        <v>4500477868</v>
      </c>
      <c r="H1716" t="s">
        <v>12</v>
      </c>
      <c r="I1716" t="s">
        <v>120</v>
      </c>
      <c r="J1716" t="s">
        <v>109</v>
      </c>
      <c r="K1716">
        <v>57143.8</v>
      </c>
      <c r="L1716" t="s">
        <v>6408</v>
      </c>
      <c r="M1716" t="str" cm="1">
        <f t="array" ref="M1716">INDEX('Org List'!$A$2:$C$1005,MATCH(Consolidated!I1716&amp;Consolidated!J1716,'Org List'!$A$2:$A$1005&amp;'Org List'!$B$2:$B$1005,0),3)</f>
        <v>NGOs: International</v>
      </c>
    </row>
    <row r="1717" spans="1:13" x14ac:dyDescent="0.25">
      <c r="A1717" t="s">
        <v>710</v>
      </c>
      <c r="B1717" t="s">
        <v>107</v>
      </c>
      <c r="C1717" t="s">
        <v>108</v>
      </c>
      <c r="D1717" t="s">
        <v>30</v>
      </c>
      <c r="E1717" t="s">
        <v>109</v>
      </c>
      <c r="F1717">
        <v>4500480428</v>
      </c>
      <c r="H1717" t="s">
        <v>12</v>
      </c>
      <c r="I1717" t="s">
        <v>116</v>
      </c>
      <c r="J1717" t="s">
        <v>109</v>
      </c>
      <c r="K1717">
        <v>22982.76</v>
      </c>
      <c r="L1717" t="s">
        <v>6408</v>
      </c>
      <c r="M1717" t="str" cm="1">
        <f t="array" ref="M1717">INDEX('Org List'!$A$2:$C$1005,MATCH(Consolidated!I1717&amp;Consolidated!J1717,'Org List'!$A$2:$A$1005&amp;'Org List'!$B$2:$B$1005,0),3)</f>
        <v>NGOs: National</v>
      </c>
    </row>
    <row r="1718" spans="1:13" x14ac:dyDescent="0.25">
      <c r="A1718" t="s">
        <v>710</v>
      </c>
      <c r="B1718" t="s">
        <v>107</v>
      </c>
      <c r="C1718" t="s">
        <v>108</v>
      </c>
      <c r="D1718" t="s">
        <v>30</v>
      </c>
      <c r="E1718" t="s">
        <v>109</v>
      </c>
      <c r="F1718">
        <v>4500480430</v>
      </c>
      <c r="H1718" t="s">
        <v>12</v>
      </c>
      <c r="I1718" t="s">
        <v>115</v>
      </c>
      <c r="J1718" t="s">
        <v>109</v>
      </c>
      <c r="K1718">
        <v>22982.76</v>
      </c>
      <c r="L1718" t="s">
        <v>6408</v>
      </c>
      <c r="M1718" t="str" cm="1">
        <f t="array" ref="M1718">INDEX('Org List'!$A$2:$C$1005,MATCH(Consolidated!I1718&amp;Consolidated!J1718,'Org List'!$A$2:$A$1005&amp;'Org List'!$B$2:$B$1005,0),3)</f>
        <v>NGOs: National</v>
      </c>
    </row>
    <row r="1719" spans="1:13" x14ac:dyDescent="0.25">
      <c r="A1719" t="s">
        <v>710</v>
      </c>
      <c r="B1719" t="s">
        <v>121</v>
      </c>
      <c r="C1719" t="s">
        <v>122</v>
      </c>
      <c r="D1719" t="s">
        <v>30</v>
      </c>
      <c r="E1719" t="s">
        <v>123</v>
      </c>
      <c r="F1719">
        <v>4500456641</v>
      </c>
      <c r="H1719" t="s">
        <v>12</v>
      </c>
      <c r="I1719" t="s">
        <v>124</v>
      </c>
      <c r="J1719" t="s">
        <v>123</v>
      </c>
      <c r="K1719">
        <v>31367.26</v>
      </c>
      <c r="L1719" t="s">
        <v>6408</v>
      </c>
      <c r="M1719" t="str" cm="1">
        <f t="array" ref="M1719">INDEX('Org List'!$A$2:$C$1005,MATCH(Consolidated!I1719&amp;Consolidated!J1719,'Org List'!$A$2:$A$1005&amp;'Org List'!$B$2:$B$1005,0),3)</f>
        <v>NGOs: National</v>
      </c>
    </row>
    <row r="1720" spans="1:13" x14ac:dyDescent="0.25">
      <c r="A1720" t="s">
        <v>710</v>
      </c>
      <c r="B1720" t="s">
        <v>121</v>
      </c>
      <c r="C1720" t="s">
        <v>122</v>
      </c>
      <c r="D1720" t="s">
        <v>30</v>
      </c>
      <c r="E1720" t="s">
        <v>123</v>
      </c>
      <c r="F1720">
        <v>4500479389</v>
      </c>
      <c r="H1720" t="s">
        <v>12</v>
      </c>
      <c r="I1720" t="s">
        <v>125</v>
      </c>
      <c r="J1720" t="s">
        <v>123</v>
      </c>
      <c r="K1720">
        <v>1270495.2</v>
      </c>
      <c r="L1720" t="s">
        <v>6408</v>
      </c>
      <c r="M1720" t="str" cm="1">
        <f t="array" ref="M1720">INDEX('Org List'!$A$2:$C$1005,MATCH(Consolidated!I1720&amp;Consolidated!J1720,'Org List'!$A$2:$A$1005&amp;'Org List'!$B$2:$B$1005,0),3)</f>
        <v>NGOs: National</v>
      </c>
    </row>
    <row r="1721" spans="1:13" x14ac:dyDescent="0.25">
      <c r="A1721" t="s">
        <v>710</v>
      </c>
      <c r="B1721" t="s">
        <v>121</v>
      </c>
      <c r="C1721" t="s">
        <v>122</v>
      </c>
      <c r="D1721" t="s">
        <v>30</v>
      </c>
      <c r="E1721" t="s">
        <v>123</v>
      </c>
      <c r="F1721">
        <v>4500480827</v>
      </c>
      <c r="H1721" t="s">
        <v>12</v>
      </c>
      <c r="I1721" t="s">
        <v>124</v>
      </c>
      <c r="J1721" t="s">
        <v>123</v>
      </c>
      <c r="K1721">
        <v>6378.5</v>
      </c>
      <c r="L1721" t="s">
        <v>6408</v>
      </c>
      <c r="M1721" t="str" cm="1">
        <f t="array" ref="M1721">INDEX('Org List'!$A$2:$C$1005,MATCH(Consolidated!I1721&amp;Consolidated!J1721,'Org List'!$A$2:$A$1005&amp;'Org List'!$B$2:$B$1005,0),3)</f>
        <v>NGOs: National</v>
      </c>
    </row>
    <row r="1722" spans="1:13" x14ac:dyDescent="0.25">
      <c r="A1722" t="s">
        <v>710</v>
      </c>
      <c r="B1722" t="s">
        <v>126</v>
      </c>
      <c r="C1722" t="s">
        <v>127</v>
      </c>
      <c r="D1722" t="s">
        <v>30</v>
      </c>
      <c r="E1722" t="s">
        <v>128</v>
      </c>
      <c r="F1722">
        <v>4500462153</v>
      </c>
      <c r="H1722" t="s">
        <v>12</v>
      </c>
      <c r="I1722" t="s">
        <v>129</v>
      </c>
      <c r="J1722" t="s">
        <v>128</v>
      </c>
      <c r="K1722">
        <v>57000</v>
      </c>
      <c r="L1722" t="s">
        <v>6408</v>
      </c>
      <c r="M1722" t="str" cm="1">
        <f t="array" ref="M1722">INDEX('Org List'!$A$2:$C$1005,MATCH(Consolidated!I1722&amp;Consolidated!J1722,'Org List'!$A$2:$A$1005&amp;'Org List'!$B$2:$B$1005,0),3)</f>
        <v>NGOs: National</v>
      </c>
    </row>
    <row r="1723" spans="1:13" x14ac:dyDescent="0.25">
      <c r="A1723" t="s">
        <v>710</v>
      </c>
      <c r="B1723" t="s">
        <v>130</v>
      </c>
      <c r="C1723" t="s">
        <v>131</v>
      </c>
      <c r="D1723" t="s">
        <v>30</v>
      </c>
      <c r="E1723" t="s">
        <v>132</v>
      </c>
      <c r="F1723">
        <v>4500455317</v>
      </c>
      <c r="H1723" t="s">
        <v>12</v>
      </c>
      <c r="I1723" t="s">
        <v>133</v>
      </c>
      <c r="J1723" t="s">
        <v>132</v>
      </c>
      <c r="K1723">
        <v>277422.69</v>
      </c>
      <c r="L1723" t="s">
        <v>6408</v>
      </c>
      <c r="M1723" t="str" cm="1">
        <f t="array" ref="M1723">INDEX('Org List'!$A$2:$C$1005,MATCH(Consolidated!I1723&amp;Consolidated!J1723,'Org List'!$A$2:$A$1005&amp;'Org List'!$B$2:$B$1005,0),3)</f>
        <v>NGOs: National</v>
      </c>
    </row>
    <row r="1724" spans="1:13" x14ac:dyDescent="0.25">
      <c r="A1724" t="s">
        <v>710</v>
      </c>
      <c r="B1724" t="s">
        <v>130</v>
      </c>
      <c r="C1724" t="s">
        <v>131</v>
      </c>
      <c r="D1724" t="s">
        <v>30</v>
      </c>
      <c r="E1724" t="s">
        <v>132</v>
      </c>
      <c r="F1724">
        <v>4500455319</v>
      </c>
      <c r="H1724" t="s">
        <v>12</v>
      </c>
      <c r="I1724" t="s">
        <v>134</v>
      </c>
      <c r="J1724" t="s">
        <v>132</v>
      </c>
      <c r="K1724">
        <v>156982.16</v>
      </c>
      <c r="L1724" t="s">
        <v>6408</v>
      </c>
      <c r="M1724" t="str" cm="1">
        <f t="array" ref="M1724">INDEX('Org List'!$A$2:$C$1005,MATCH(Consolidated!I1724&amp;Consolidated!J1724,'Org List'!$A$2:$A$1005&amp;'Org List'!$B$2:$B$1005,0),3)</f>
        <v>NGOs: Local</v>
      </c>
    </row>
    <row r="1725" spans="1:13" x14ac:dyDescent="0.25">
      <c r="A1725" t="s">
        <v>710</v>
      </c>
      <c r="B1725" t="s">
        <v>130</v>
      </c>
      <c r="C1725" t="s">
        <v>131</v>
      </c>
      <c r="D1725" t="s">
        <v>30</v>
      </c>
      <c r="E1725" t="s">
        <v>132</v>
      </c>
      <c r="F1725">
        <v>4500459912</v>
      </c>
      <c r="H1725" t="s">
        <v>12</v>
      </c>
      <c r="I1725" t="s">
        <v>135</v>
      </c>
      <c r="J1725" t="s">
        <v>20</v>
      </c>
      <c r="K1725">
        <v>154184.75</v>
      </c>
      <c r="L1725" t="s">
        <v>6408</v>
      </c>
      <c r="M1725" t="str" cm="1">
        <f t="array" ref="M1725">INDEX('Org List'!$A$2:$C$1005,MATCH(Consolidated!I1725&amp;Consolidated!J1725,'Org List'!$A$2:$A$1005&amp;'Org List'!$B$2:$B$1005,0),3)</f>
        <v>NGOs: National</v>
      </c>
    </row>
    <row r="1726" spans="1:13" x14ac:dyDescent="0.25">
      <c r="A1726" t="s">
        <v>710</v>
      </c>
      <c r="B1726" t="s">
        <v>130</v>
      </c>
      <c r="C1726" t="s">
        <v>131</v>
      </c>
      <c r="D1726" t="s">
        <v>30</v>
      </c>
      <c r="E1726" t="s">
        <v>132</v>
      </c>
      <c r="F1726">
        <v>4500460266</v>
      </c>
      <c r="H1726" t="s">
        <v>12</v>
      </c>
      <c r="I1726" t="s">
        <v>136</v>
      </c>
      <c r="J1726" t="s">
        <v>132</v>
      </c>
      <c r="K1726">
        <v>270558.86</v>
      </c>
      <c r="L1726" t="s">
        <v>6408</v>
      </c>
      <c r="M1726" t="str" cm="1">
        <f t="array" ref="M1726">INDEX('Org List'!$A$2:$C$1005,MATCH(Consolidated!I1726&amp;Consolidated!J1726,'Org List'!$A$2:$A$1005&amp;'Org List'!$B$2:$B$1005,0),3)</f>
        <v>NGOs: National</v>
      </c>
    </row>
    <row r="1727" spans="1:13" x14ac:dyDescent="0.25">
      <c r="A1727" t="s">
        <v>710</v>
      </c>
      <c r="B1727" t="s">
        <v>130</v>
      </c>
      <c r="C1727" t="s">
        <v>131</v>
      </c>
      <c r="D1727" t="s">
        <v>30</v>
      </c>
      <c r="E1727" t="s">
        <v>132</v>
      </c>
      <c r="F1727">
        <v>4500460415</v>
      </c>
      <c r="H1727" t="s">
        <v>12</v>
      </c>
      <c r="I1727" t="s">
        <v>137</v>
      </c>
      <c r="J1727" t="s">
        <v>132</v>
      </c>
      <c r="K1727">
        <v>137232.57999999999</v>
      </c>
      <c r="L1727" t="s">
        <v>6408</v>
      </c>
      <c r="M1727" t="str" cm="1">
        <f t="array" ref="M1727">INDEX('Org List'!$A$2:$C$1005,MATCH(Consolidated!I1727&amp;Consolidated!J1727,'Org List'!$A$2:$A$1005&amp;'Org List'!$B$2:$B$1005,0),3)</f>
        <v>NGOs: National</v>
      </c>
    </row>
    <row r="1728" spans="1:13" x14ac:dyDescent="0.25">
      <c r="A1728" t="s">
        <v>710</v>
      </c>
      <c r="B1728" t="s">
        <v>130</v>
      </c>
      <c r="C1728" t="s">
        <v>131</v>
      </c>
      <c r="D1728" t="s">
        <v>30</v>
      </c>
      <c r="E1728" t="s">
        <v>132</v>
      </c>
      <c r="F1728">
        <v>4500461159</v>
      </c>
      <c r="H1728" t="s">
        <v>12</v>
      </c>
      <c r="I1728" t="s">
        <v>138</v>
      </c>
      <c r="J1728" t="s">
        <v>132</v>
      </c>
      <c r="K1728">
        <v>261173.44</v>
      </c>
      <c r="L1728" t="s">
        <v>6408</v>
      </c>
      <c r="M1728" t="str" cm="1">
        <f t="array" ref="M1728">INDEX('Org List'!$A$2:$C$1005,MATCH(Consolidated!I1728&amp;Consolidated!J1728,'Org List'!$A$2:$A$1005&amp;'Org List'!$B$2:$B$1005,0),3)</f>
        <v>NGOs: Local</v>
      </c>
    </row>
    <row r="1729" spans="1:13" x14ac:dyDescent="0.25">
      <c r="A1729" t="s">
        <v>710</v>
      </c>
      <c r="B1729" t="s">
        <v>130</v>
      </c>
      <c r="C1729" t="s">
        <v>131</v>
      </c>
      <c r="D1729" t="s">
        <v>30</v>
      </c>
      <c r="E1729" t="s">
        <v>132</v>
      </c>
      <c r="F1729">
        <v>4500462590</v>
      </c>
      <c r="H1729" t="s">
        <v>12</v>
      </c>
      <c r="I1729" t="s">
        <v>139</v>
      </c>
      <c r="J1729" t="s">
        <v>132</v>
      </c>
      <c r="K1729">
        <v>303648.71999999997</v>
      </c>
      <c r="L1729" t="s">
        <v>6408</v>
      </c>
      <c r="M1729" t="str" cm="1">
        <f t="array" ref="M1729">INDEX('Org List'!$A$2:$C$1005,MATCH(Consolidated!I1729&amp;Consolidated!J1729,'Org List'!$A$2:$A$1005&amp;'Org List'!$B$2:$B$1005,0),3)</f>
        <v>NGOs: International</v>
      </c>
    </row>
    <row r="1730" spans="1:13" x14ac:dyDescent="0.25">
      <c r="A1730" t="s">
        <v>710</v>
      </c>
      <c r="B1730" t="s">
        <v>130</v>
      </c>
      <c r="C1730" t="s">
        <v>131</v>
      </c>
      <c r="D1730" t="s">
        <v>30</v>
      </c>
      <c r="E1730" t="s">
        <v>132</v>
      </c>
      <c r="F1730">
        <v>4500462819</v>
      </c>
      <c r="H1730" t="s">
        <v>12</v>
      </c>
      <c r="I1730" t="s">
        <v>140</v>
      </c>
      <c r="J1730" t="s">
        <v>132</v>
      </c>
      <c r="K1730">
        <v>207460.84</v>
      </c>
      <c r="L1730" t="s">
        <v>6408</v>
      </c>
      <c r="M1730" t="str" cm="1">
        <f t="array" ref="M1730">INDEX('Org List'!$A$2:$C$1005,MATCH(Consolidated!I1730&amp;Consolidated!J1730,'Org List'!$A$2:$A$1005&amp;'Org List'!$B$2:$B$1005,0),3)</f>
        <v>NGOs: International</v>
      </c>
    </row>
    <row r="1731" spans="1:13" x14ac:dyDescent="0.25">
      <c r="A1731" t="s">
        <v>710</v>
      </c>
      <c r="B1731" t="s">
        <v>130</v>
      </c>
      <c r="C1731" t="s">
        <v>131</v>
      </c>
      <c r="D1731" t="s">
        <v>30</v>
      </c>
      <c r="E1731" t="s">
        <v>132</v>
      </c>
      <c r="F1731">
        <v>4500462983</v>
      </c>
      <c r="H1731" t="s">
        <v>12</v>
      </c>
      <c r="I1731" t="s">
        <v>141</v>
      </c>
      <c r="J1731" t="s">
        <v>132</v>
      </c>
      <c r="K1731">
        <v>285135.06</v>
      </c>
      <c r="L1731" t="s">
        <v>6408</v>
      </c>
      <c r="M1731" t="str" cm="1">
        <f t="array" ref="M1731">INDEX('Org List'!$A$2:$C$1005,MATCH(Consolidated!I1731&amp;Consolidated!J1731,'Org List'!$A$2:$A$1005&amp;'Org List'!$B$2:$B$1005,0),3)</f>
        <v>NGOs: Local</v>
      </c>
    </row>
    <row r="1732" spans="1:13" x14ac:dyDescent="0.25">
      <c r="A1732" t="s">
        <v>710</v>
      </c>
      <c r="B1732" t="s">
        <v>130</v>
      </c>
      <c r="C1732" t="s">
        <v>131</v>
      </c>
      <c r="D1732" t="s">
        <v>30</v>
      </c>
      <c r="E1732" t="s">
        <v>132</v>
      </c>
      <c r="F1732">
        <v>4500474516</v>
      </c>
      <c r="H1732" t="s">
        <v>12</v>
      </c>
      <c r="I1732" t="s">
        <v>142</v>
      </c>
      <c r="J1732" t="s">
        <v>132</v>
      </c>
      <c r="K1732">
        <v>161669.94</v>
      </c>
      <c r="L1732" t="s">
        <v>6408</v>
      </c>
      <c r="M1732" t="str" cm="1">
        <f t="array" ref="M1732">INDEX('Org List'!$A$2:$C$1005,MATCH(Consolidated!I1732&amp;Consolidated!J1732,'Org List'!$A$2:$A$1005&amp;'Org List'!$B$2:$B$1005,0),3)</f>
        <v>NGOs: National</v>
      </c>
    </row>
    <row r="1733" spans="1:13" x14ac:dyDescent="0.25">
      <c r="A1733" t="s">
        <v>710</v>
      </c>
      <c r="B1733" t="s">
        <v>130</v>
      </c>
      <c r="C1733" t="s">
        <v>131</v>
      </c>
      <c r="D1733" t="s">
        <v>30</v>
      </c>
      <c r="E1733" t="s">
        <v>132</v>
      </c>
      <c r="F1733">
        <v>4500474535</v>
      </c>
      <c r="H1733" t="s">
        <v>12</v>
      </c>
      <c r="I1733" t="s">
        <v>143</v>
      </c>
      <c r="J1733" t="s">
        <v>132</v>
      </c>
      <c r="K1733">
        <v>126933.12</v>
      </c>
      <c r="L1733" t="s">
        <v>6408</v>
      </c>
      <c r="M1733" t="str" cm="1">
        <f t="array" ref="M1733">INDEX('Org List'!$A$2:$C$1005,MATCH(Consolidated!I1733&amp;Consolidated!J1733,'Org List'!$A$2:$A$1005&amp;'Org List'!$B$2:$B$1005,0),3)</f>
        <v>NGOs: Local</v>
      </c>
    </row>
    <row r="1734" spans="1:13" x14ac:dyDescent="0.25">
      <c r="A1734" t="s">
        <v>710</v>
      </c>
      <c r="B1734" t="s">
        <v>144</v>
      </c>
      <c r="C1734" t="s">
        <v>145</v>
      </c>
      <c r="D1734" t="s">
        <v>30</v>
      </c>
      <c r="E1734" t="s">
        <v>146</v>
      </c>
      <c r="F1734">
        <v>4500472898</v>
      </c>
      <c r="H1734" t="s">
        <v>12</v>
      </c>
      <c r="I1734" t="s">
        <v>147</v>
      </c>
      <c r="J1734" t="s">
        <v>146</v>
      </c>
      <c r="K1734">
        <v>120384.94</v>
      </c>
      <c r="L1734" t="s">
        <v>6408</v>
      </c>
      <c r="M1734" t="str" cm="1">
        <f t="array" ref="M1734">INDEX('Org List'!$A$2:$C$1005,MATCH(Consolidated!I1734&amp;Consolidated!J1734,'Org List'!$A$2:$A$1005&amp;'Org List'!$B$2:$B$1005,0),3)</f>
        <v>NGOs: National</v>
      </c>
    </row>
    <row r="1735" spans="1:13" x14ac:dyDescent="0.25">
      <c r="A1735" t="s">
        <v>710</v>
      </c>
      <c r="B1735" t="s">
        <v>148</v>
      </c>
      <c r="C1735" t="s">
        <v>149</v>
      </c>
      <c r="D1735" t="s">
        <v>30</v>
      </c>
      <c r="E1735" t="s">
        <v>150</v>
      </c>
      <c r="F1735">
        <v>4500468271</v>
      </c>
      <c r="H1735" t="s">
        <v>12</v>
      </c>
      <c r="I1735" t="s">
        <v>151</v>
      </c>
      <c r="J1735" t="s">
        <v>150</v>
      </c>
      <c r="K1735">
        <v>29856.35</v>
      </c>
      <c r="L1735" t="s">
        <v>6408</v>
      </c>
      <c r="M1735" t="str" cm="1">
        <f t="array" ref="M1735">INDEX('Org List'!$A$2:$C$1005,MATCH(Consolidated!I1735&amp;Consolidated!J1735,'Org List'!$A$2:$A$1005&amp;'Org List'!$B$2:$B$1005,0),3)</f>
        <v>NGOs: National</v>
      </c>
    </row>
    <row r="1736" spans="1:13" x14ac:dyDescent="0.25">
      <c r="A1736" t="s">
        <v>710</v>
      </c>
      <c r="B1736" t="s">
        <v>148</v>
      </c>
      <c r="C1736" t="s">
        <v>149</v>
      </c>
      <c r="D1736" t="s">
        <v>30</v>
      </c>
      <c r="E1736" t="s">
        <v>150</v>
      </c>
      <c r="F1736">
        <v>4500470712</v>
      </c>
      <c r="H1736" t="s">
        <v>12</v>
      </c>
      <c r="I1736" t="s">
        <v>152</v>
      </c>
      <c r="J1736" t="s">
        <v>150</v>
      </c>
      <c r="K1736">
        <v>29884.29</v>
      </c>
      <c r="L1736" t="s">
        <v>6408</v>
      </c>
      <c r="M1736" t="str" cm="1">
        <f t="array" ref="M1736">INDEX('Org List'!$A$2:$C$1005,MATCH(Consolidated!I1736&amp;Consolidated!J1736,'Org List'!$A$2:$A$1005&amp;'Org List'!$B$2:$B$1005,0),3)</f>
        <v>NGOs: International</v>
      </c>
    </row>
    <row r="1737" spans="1:13" x14ac:dyDescent="0.25">
      <c r="A1737" t="s">
        <v>710</v>
      </c>
      <c r="B1737" t="s">
        <v>153</v>
      </c>
      <c r="C1737" t="s">
        <v>154</v>
      </c>
      <c r="D1737" t="s">
        <v>30</v>
      </c>
      <c r="E1737" t="s">
        <v>155</v>
      </c>
      <c r="F1737">
        <v>4500454829</v>
      </c>
      <c r="H1737" t="s">
        <v>12</v>
      </c>
      <c r="I1737" t="s">
        <v>156</v>
      </c>
      <c r="J1737" t="s">
        <v>155</v>
      </c>
      <c r="K1737">
        <v>36000</v>
      </c>
      <c r="L1737" t="s">
        <v>6408</v>
      </c>
      <c r="M1737" t="str" cm="1">
        <f t="array" ref="M1737">INDEX('Org List'!$A$2:$C$1005,MATCH(Consolidated!I1737&amp;Consolidated!J1737,'Org List'!$A$2:$A$1005&amp;'Org List'!$B$2:$B$1005,0),3)</f>
        <v>NGOs: International</v>
      </c>
    </row>
    <row r="1738" spans="1:13" x14ac:dyDescent="0.25">
      <c r="A1738" t="s">
        <v>710</v>
      </c>
      <c r="B1738" t="s">
        <v>157</v>
      </c>
      <c r="C1738" t="s">
        <v>158</v>
      </c>
      <c r="D1738" t="s">
        <v>30</v>
      </c>
      <c r="E1738" t="s">
        <v>159</v>
      </c>
      <c r="F1738">
        <v>4500456750</v>
      </c>
      <c r="H1738" t="s">
        <v>12</v>
      </c>
      <c r="I1738" t="s">
        <v>160</v>
      </c>
      <c r="J1738" t="s">
        <v>72</v>
      </c>
      <c r="K1738">
        <v>40000</v>
      </c>
      <c r="L1738" t="s">
        <v>6408</v>
      </c>
      <c r="M1738" t="str" cm="1">
        <f t="array" ref="M1738">INDEX('Org List'!$A$2:$C$1005,MATCH(Consolidated!I1738&amp;Consolidated!J1738,'Org List'!$A$2:$A$1005&amp;'Org List'!$B$2:$B$1005,0),3)</f>
        <v>NGOs: International</v>
      </c>
    </row>
    <row r="1739" spans="1:13" x14ac:dyDescent="0.25">
      <c r="A1739" t="s">
        <v>710</v>
      </c>
      <c r="B1739" t="s">
        <v>161</v>
      </c>
      <c r="C1739" t="s">
        <v>162</v>
      </c>
      <c r="D1739" t="s">
        <v>30</v>
      </c>
      <c r="E1739" t="s">
        <v>163</v>
      </c>
      <c r="F1739">
        <v>4500478748</v>
      </c>
      <c r="H1739" t="s">
        <v>12</v>
      </c>
      <c r="I1739" t="s">
        <v>164</v>
      </c>
      <c r="J1739" t="s">
        <v>163</v>
      </c>
      <c r="K1739">
        <v>16626</v>
      </c>
      <c r="L1739" t="s">
        <v>6408</v>
      </c>
      <c r="M1739" t="str" cm="1">
        <f t="array" ref="M1739">INDEX('Org List'!$A$2:$C$1005,MATCH(Consolidated!I1739&amp;Consolidated!J1739,'Org List'!$A$2:$A$1005&amp;'Org List'!$B$2:$B$1005,0),3)</f>
        <v>Red Cross: National</v>
      </c>
    </row>
    <row r="1740" spans="1:13" x14ac:dyDescent="0.25">
      <c r="A1740" t="s">
        <v>710</v>
      </c>
      <c r="B1740" t="s">
        <v>161</v>
      </c>
      <c r="C1740" t="s">
        <v>162</v>
      </c>
      <c r="D1740" t="s">
        <v>30</v>
      </c>
      <c r="E1740" t="s">
        <v>32</v>
      </c>
      <c r="F1740">
        <v>4500467289</v>
      </c>
      <c r="H1740" t="s">
        <v>12</v>
      </c>
      <c r="I1740" t="s">
        <v>94</v>
      </c>
      <c r="J1740" t="s">
        <v>32</v>
      </c>
      <c r="K1740">
        <v>89722</v>
      </c>
      <c r="L1740" t="s">
        <v>6408</v>
      </c>
      <c r="M1740" t="str" cm="1">
        <f t="array" ref="M1740">INDEX('Org List'!$A$2:$C$1005,MATCH(Consolidated!I1740&amp;Consolidated!J1740,'Org List'!$A$2:$A$1005&amp;'Org List'!$B$2:$B$1005,0),3)</f>
        <v>NGOs: National</v>
      </c>
    </row>
    <row r="1741" spans="1:13" x14ac:dyDescent="0.25">
      <c r="A1741" t="s">
        <v>710</v>
      </c>
      <c r="B1741" t="s">
        <v>165</v>
      </c>
      <c r="C1741" t="s">
        <v>166</v>
      </c>
      <c r="D1741" t="s">
        <v>30</v>
      </c>
      <c r="E1741" t="s">
        <v>167</v>
      </c>
      <c r="F1741">
        <v>4500469132</v>
      </c>
      <c r="H1741" t="s">
        <v>12</v>
      </c>
      <c r="I1741" t="s">
        <v>168</v>
      </c>
      <c r="J1741" t="s">
        <v>167</v>
      </c>
      <c r="K1741">
        <v>49635.18</v>
      </c>
      <c r="L1741" t="s">
        <v>6408</v>
      </c>
      <c r="M1741" t="str" cm="1">
        <f t="array" ref="M1741">INDEX('Org List'!$A$2:$C$1005,MATCH(Consolidated!I1741&amp;Consolidated!J1741,'Org List'!$A$2:$A$1005&amp;'Org List'!$B$2:$B$1005,0),3)</f>
        <v>NGOs: Local</v>
      </c>
    </row>
    <row r="1742" spans="1:13" x14ac:dyDescent="0.25">
      <c r="A1742" t="s">
        <v>710</v>
      </c>
      <c r="B1742" t="s">
        <v>169</v>
      </c>
      <c r="C1742" t="s">
        <v>170</v>
      </c>
      <c r="D1742" t="s">
        <v>30</v>
      </c>
      <c r="E1742" t="s">
        <v>20</v>
      </c>
      <c r="F1742">
        <v>4500457150</v>
      </c>
      <c r="H1742" t="s">
        <v>12</v>
      </c>
      <c r="I1742" t="s">
        <v>171</v>
      </c>
      <c r="J1742" t="s">
        <v>20</v>
      </c>
      <c r="K1742">
        <v>40524.06</v>
      </c>
      <c r="L1742" t="s">
        <v>6408</v>
      </c>
      <c r="M1742" t="str" cm="1">
        <f t="array" ref="M1742">INDEX('Org List'!$A$2:$C$1005,MATCH(Consolidated!I1742&amp;Consolidated!J1742,'Org List'!$A$2:$A$1005&amp;'Org List'!$B$2:$B$1005,0),3)</f>
        <v>Governments: National</v>
      </c>
    </row>
    <row r="1743" spans="1:13" x14ac:dyDescent="0.25">
      <c r="A1743" t="s">
        <v>710</v>
      </c>
      <c r="B1743" t="s">
        <v>169</v>
      </c>
      <c r="C1743" t="s">
        <v>170</v>
      </c>
      <c r="D1743" t="s">
        <v>30</v>
      </c>
      <c r="E1743" t="s">
        <v>20</v>
      </c>
      <c r="F1743">
        <v>4500458863</v>
      </c>
      <c r="H1743" t="s">
        <v>12</v>
      </c>
      <c r="I1743" t="s">
        <v>172</v>
      </c>
      <c r="J1743" t="s">
        <v>20</v>
      </c>
      <c r="K1743">
        <v>233205.65</v>
      </c>
      <c r="L1743" t="s">
        <v>6408</v>
      </c>
      <c r="M1743" t="str" cm="1">
        <f t="array" ref="M1743">INDEX('Org List'!$A$2:$C$1005,MATCH(Consolidated!I1743&amp;Consolidated!J1743,'Org List'!$A$2:$A$1005&amp;'Org List'!$B$2:$B$1005,0),3)</f>
        <v>NGOs: National</v>
      </c>
    </row>
    <row r="1744" spans="1:13" x14ac:dyDescent="0.25">
      <c r="A1744" t="s">
        <v>710</v>
      </c>
      <c r="B1744" t="s">
        <v>173</v>
      </c>
      <c r="C1744" t="s">
        <v>174</v>
      </c>
      <c r="D1744" t="s">
        <v>30</v>
      </c>
      <c r="E1744" t="s">
        <v>175</v>
      </c>
      <c r="F1744">
        <v>4500476567</v>
      </c>
      <c r="H1744" t="s">
        <v>12</v>
      </c>
      <c r="I1744" t="s">
        <v>176</v>
      </c>
      <c r="J1744" t="s">
        <v>175</v>
      </c>
      <c r="K1744">
        <v>86685.79</v>
      </c>
      <c r="L1744" t="s">
        <v>6408</v>
      </c>
      <c r="M1744" t="str" cm="1">
        <f t="array" ref="M1744">INDEX('Org List'!$A$2:$C$1005,MATCH(Consolidated!I1744&amp;Consolidated!J1744,'Org List'!$A$2:$A$1005&amp;'Org List'!$B$2:$B$1005,0),3)</f>
        <v>NGOs: National</v>
      </c>
    </row>
    <row r="1745" spans="1:13" x14ac:dyDescent="0.25">
      <c r="A1745" t="s">
        <v>710</v>
      </c>
      <c r="B1745" t="s">
        <v>177</v>
      </c>
      <c r="C1745" t="s">
        <v>178</v>
      </c>
      <c r="D1745" t="s">
        <v>30</v>
      </c>
      <c r="E1745" t="s">
        <v>72</v>
      </c>
      <c r="F1745">
        <v>4500479851</v>
      </c>
      <c r="H1745" t="s">
        <v>12</v>
      </c>
      <c r="I1745" t="s">
        <v>179</v>
      </c>
      <c r="J1745" t="s">
        <v>72</v>
      </c>
      <c r="K1745">
        <v>632111.25</v>
      </c>
      <c r="L1745" t="s">
        <v>6408</v>
      </c>
      <c r="M1745" t="str" cm="1">
        <f t="array" ref="M1745">INDEX('Org List'!$A$2:$C$1005,MATCH(Consolidated!I1745&amp;Consolidated!J1745,'Org List'!$A$2:$A$1005&amp;'Org List'!$B$2:$B$1005,0),3)</f>
        <v>NGOs: International</v>
      </c>
    </row>
    <row r="1746" spans="1:13" x14ac:dyDescent="0.25">
      <c r="A1746" t="s">
        <v>710</v>
      </c>
      <c r="B1746" t="s">
        <v>180</v>
      </c>
      <c r="C1746" t="s">
        <v>181</v>
      </c>
      <c r="D1746" t="s">
        <v>30</v>
      </c>
      <c r="E1746" t="s">
        <v>175</v>
      </c>
      <c r="F1746">
        <v>4500459736</v>
      </c>
      <c r="H1746" t="s">
        <v>12</v>
      </c>
      <c r="I1746" t="s">
        <v>182</v>
      </c>
      <c r="J1746" t="s">
        <v>175</v>
      </c>
      <c r="K1746">
        <v>200939.09</v>
      </c>
      <c r="L1746" t="s">
        <v>6408</v>
      </c>
      <c r="M1746" t="str" cm="1">
        <f t="array" ref="M1746">INDEX('Org List'!$A$2:$C$1005,MATCH(Consolidated!I1746&amp;Consolidated!J1746,'Org List'!$A$2:$A$1005&amp;'Org List'!$B$2:$B$1005,0),3)</f>
        <v>NGOs: Local</v>
      </c>
    </row>
    <row r="1747" spans="1:13" x14ac:dyDescent="0.25">
      <c r="A1747" t="s">
        <v>710</v>
      </c>
      <c r="B1747" t="s">
        <v>180</v>
      </c>
      <c r="C1747" t="s">
        <v>181</v>
      </c>
      <c r="D1747" t="s">
        <v>30</v>
      </c>
      <c r="E1747" t="s">
        <v>175</v>
      </c>
      <c r="F1747">
        <v>4500463551</v>
      </c>
      <c r="H1747" t="s">
        <v>12</v>
      </c>
      <c r="I1747" t="s">
        <v>176</v>
      </c>
      <c r="J1747" t="s">
        <v>175</v>
      </c>
      <c r="K1747">
        <v>72525.210000000006</v>
      </c>
      <c r="L1747" t="s">
        <v>6408</v>
      </c>
      <c r="M1747" t="str" cm="1">
        <f t="array" ref="M1747">INDEX('Org List'!$A$2:$C$1005,MATCH(Consolidated!I1747&amp;Consolidated!J1747,'Org List'!$A$2:$A$1005&amp;'Org List'!$B$2:$B$1005,0),3)</f>
        <v>NGOs: National</v>
      </c>
    </row>
    <row r="1748" spans="1:13" x14ac:dyDescent="0.25">
      <c r="A1748" t="s">
        <v>710</v>
      </c>
      <c r="B1748" t="s">
        <v>180</v>
      </c>
      <c r="C1748" t="s">
        <v>181</v>
      </c>
      <c r="D1748" t="s">
        <v>30</v>
      </c>
      <c r="E1748" t="s">
        <v>175</v>
      </c>
      <c r="F1748">
        <v>4500465445</v>
      </c>
      <c r="H1748" t="s">
        <v>12</v>
      </c>
      <c r="I1748" t="s">
        <v>183</v>
      </c>
      <c r="J1748" t="s">
        <v>184</v>
      </c>
      <c r="K1748">
        <v>129890.75</v>
      </c>
      <c r="L1748" t="s">
        <v>6408</v>
      </c>
      <c r="M1748" t="str" cm="1">
        <f t="array" ref="M1748">INDEX('Org List'!$A$2:$C$1005,MATCH(Consolidated!I1748&amp;Consolidated!J1748,'Org List'!$A$2:$A$1005&amp;'Org List'!$B$2:$B$1005,0),3)</f>
        <v>NGOs: International</v>
      </c>
    </row>
    <row r="1749" spans="1:13" x14ac:dyDescent="0.25">
      <c r="A1749" t="s">
        <v>710</v>
      </c>
      <c r="B1749" t="s">
        <v>180</v>
      </c>
      <c r="C1749" t="s">
        <v>181</v>
      </c>
      <c r="D1749" t="s">
        <v>30</v>
      </c>
      <c r="E1749" t="s">
        <v>175</v>
      </c>
      <c r="F1749">
        <v>4500465452</v>
      </c>
      <c r="H1749" t="s">
        <v>12</v>
      </c>
      <c r="I1749" t="s">
        <v>185</v>
      </c>
      <c r="J1749" t="s">
        <v>175</v>
      </c>
      <c r="K1749">
        <v>29853</v>
      </c>
      <c r="L1749" t="s">
        <v>6408</v>
      </c>
      <c r="M1749" t="str" cm="1">
        <f t="array" ref="M1749">INDEX('Org List'!$A$2:$C$1005,MATCH(Consolidated!I1749&amp;Consolidated!J1749,'Org List'!$A$2:$A$1005&amp;'Org List'!$B$2:$B$1005,0),3)</f>
        <v>NGOs: National</v>
      </c>
    </row>
    <row r="1750" spans="1:13" x14ac:dyDescent="0.25">
      <c r="A1750" t="s">
        <v>710</v>
      </c>
      <c r="B1750" t="s">
        <v>180</v>
      </c>
      <c r="C1750" t="s">
        <v>181</v>
      </c>
      <c r="D1750" t="s">
        <v>30</v>
      </c>
      <c r="E1750" t="s">
        <v>175</v>
      </c>
      <c r="F1750">
        <v>4500466244</v>
      </c>
      <c r="H1750" t="s">
        <v>12</v>
      </c>
      <c r="I1750" t="s">
        <v>186</v>
      </c>
      <c r="J1750" t="s">
        <v>175</v>
      </c>
      <c r="K1750">
        <v>42751.26</v>
      </c>
      <c r="L1750" t="s">
        <v>6408</v>
      </c>
      <c r="M1750" t="str" cm="1">
        <f t="array" ref="M1750">INDEX('Org List'!$A$2:$C$1005,MATCH(Consolidated!I1750&amp;Consolidated!J1750,'Org List'!$A$2:$A$1005&amp;'Org List'!$B$2:$B$1005,0),3)</f>
        <v>NGOs: National</v>
      </c>
    </row>
    <row r="1751" spans="1:13" x14ac:dyDescent="0.25">
      <c r="A1751" t="s">
        <v>710</v>
      </c>
      <c r="B1751" t="s">
        <v>180</v>
      </c>
      <c r="C1751" t="s">
        <v>181</v>
      </c>
      <c r="D1751" t="s">
        <v>30</v>
      </c>
      <c r="E1751" t="s">
        <v>175</v>
      </c>
      <c r="F1751">
        <v>4500478154</v>
      </c>
      <c r="H1751" t="s">
        <v>12</v>
      </c>
      <c r="I1751" t="s">
        <v>183</v>
      </c>
      <c r="J1751" t="s">
        <v>184</v>
      </c>
      <c r="K1751">
        <v>195000.01</v>
      </c>
      <c r="L1751" t="s">
        <v>6408</v>
      </c>
      <c r="M1751" t="str" cm="1">
        <f t="array" ref="M1751">INDEX('Org List'!$A$2:$C$1005,MATCH(Consolidated!I1751&amp;Consolidated!J1751,'Org List'!$A$2:$A$1005&amp;'Org List'!$B$2:$B$1005,0),3)</f>
        <v>NGOs: International</v>
      </c>
    </row>
    <row r="1752" spans="1:13" x14ac:dyDescent="0.25">
      <c r="A1752" t="s">
        <v>710</v>
      </c>
      <c r="B1752" t="s">
        <v>180</v>
      </c>
      <c r="C1752" t="s">
        <v>181</v>
      </c>
      <c r="D1752" t="s">
        <v>30</v>
      </c>
      <c r="E1752" t="s">
        <v>175</v>
      </c>
      <c r="F1752">
        <v>4500481927</v>
      </c>
      <c r="H1752" t="s">
        <v>12</v>
      </c>
      <c r="I1752" t="s">
        <v>187</v>
      </c>
      <c r="J1752" t="s">
        <v>175</v>
      </c>
      <c r="K1752">
        <v>72225</v>
      </c>
      <c r="L1752" t="s">
        <v>6408</v>
      </c>
      <c r="M1752" t="str" cm="1">
        <f t="array" ref="M1752">INDEX('Org List'!$A$2:$C$1005,MATCH(Consolidated!I1752&amp;Consolidated!J1752,'Org List'!$A$2:$A$1005&amp;'Org List'!$B$2:$B$1005,0),3)</f>
        <v>NGOs: National</v>
      </c>
    </row>
    <row r="1753" spans="1:13" x14ac:dyDescent="0.25">
      <c r="A1753" t="s">
        <v>710</v>
      </c>
      <c r="B1753" t="s">
        <v>180</v>
      </c>
      <c r="C1753" t="s">
        <v>181</v>
      </c>
      <c r="D1753" t="s">
        <v>30</v>
      </c>
      <c r="E1753" t="s">
        <v>175</v>
      </c>
      <c r="F1753">
        <v>4500480675</v>
      </c>
      <c r="H1753" t="s">
        <v>12</v>
      </c>
      <c r="I1753" t="s">
        <v>176</v>
      </c>
      <c r="J1753" t="s">
        <v>175</v>
      </c>
      <c r="K1753">
        <v>129000</v>
      </c>
      <c r="L1753" t="s">
        <v>6408</v>
      </c>
      <c r="M1753" t="str" cm="1">
        <f t="array" ref="M1753">INDEX('Org List'!$A$2:$C$1005,MATCH(Consolidated!I1753&amp;Consolidated!J1753,'Org List'!$A$2:$A$1005&amp;'Org List'!$B$2:$B$1005,0),3)</f>
        <v>NGOs: National</v>
      </c>
    </row>
    <row r="1754" spans="1:13" x14ac:dyDescent="0.25">
      <c r="A1754" t="s">
        <v>710</v>
      </c>
      <c r="B1754" t="s">
        <v>180</v>
      </c>
      <c r="C1754" t="s">
        <v>181</v>
      </c>
      <c r="D1754" t="s">
        <v>30</v>
      </c>
      <c r="E1754" t="s">
        <v>175</v>
      </c>
      <c r="F1754">
        <v>4500481930</v>
      </c>
      <c r="H1754" t="s">
        <v>12</v>
      </c>
      <c r="I1754" t="s">
        <v>185</v>
      </c>
      <c r="J1754" t="s">
        <v>175</v>
      </c>
      <c r="K1754">
        <v>45000.24</v>
      </c>
      <c r="L1754" t="s">
        <v>6408</v>
      </c>
      <c r="M1754" t="str" cm="1">
        <f t="array" ref="M1754">INDEX('Org List'!$A$2:$C$1005,MATCH(Consolidated!I1754&amp;Consolidated!J1754,'Org List'!$A$2:$A$1005&amp;'Org List'!$B$2:$B$1005,0),3)</f>
        <v>NGOs: National</v>
      </c>
    </row>
    <row r="1755" spans="1:13" x14ac:dyDescent="0.25">
      <c r="A1755" t="s">
        <v>710</v>
      </c>
      <c r="B1755" t="s">
        <v>188</v>
      </c>
      <c r="C1755" t="s">
        <v>189</v>
      </c>
      <c r="D1755" t="s">
        <v>30</v>
      </c>
      <c r="E1755" t="s">
        <v>175</v>
      </c>
      <c r="F1755">
        <v>4500479454</v>
      </c>
      <c r="H1755" t="s">
        <v>12</v>
      </c>
      <c r="I1755" t="s">
        <v>183</v>
      </c>
      <c r="J1755" t="s">
        <v>184</v>
      </c>
      <c r="K1755">
        <v>22128</v>
      </c>
      <c r="L1755" t="s">
        <v>6408</v>
      </c>
      <c r="M1755" t="str" cm="1">
        <f t="array" ref="M1755">INDEX('Org List'!$A$2:$C$1005,MATCH(Consolidated!I1755&amp;Consolidated!J1755,'Org List'!$A$2:$A$1005&amp;'Org List'!$B$2:$B$1005,0),3)</f>
        <v>NGOs: International</v>
      </c>
    </row>
    <row r="1756" spans="1:13" x14ac:dyDescent="0.25">
      <c r="A1756" t="s">
        <v>710</v>
      </c>
      <c r="B1756" t="s">
        <v>190</v>
      </c>
      <c r="C1756" t="s">
        <v>108</v>
      </c>
      <c r="D1756" t="s">
        <v>30</v>
      </c>
      <c r="E1756" t="s">
        <v>109</v>
      </c>
      <c r="F1756">
        <v>4500477716</v>
      </c>
      <c r="H1756" t="s">
        <v>12</v>
      </c>
      <c r="I1756" t="s">
        <v>113</v>
      </c>
      <c r="J1756" t="s">
        <v>109</v>
      </c>
      <c r="K1756">
        <v>6213.11</v>
      </c>
      <c r="L1756" t="s">
        <v>6408</v>
      </c>
      <c r="M1756" t="str" cm="1">
        <f t="array" ref="M1756">INDEX('Org List'!$A$2:$C$1005,MATCH(Consolidated!I1756&amp;Consolidated!J1756,'Org List'!$A$2:$A$1005&amp;'Org List'!$B$2:$B$1005,0),3)</f>
        <v>NGOs: National</v>
      </c>
    </row>
    <row r="1757" spans="1:13" x14ac:dyDescent="0.25">
      <c r="A1757" t="s">
        <v>710</v>
      </c>
      <c r="B1757" t="s">
        <v>190</v>
      </c>
      <c r="C1757" t="s">
        <v>108</v>
      </c>
      <c r="D1757" t="s">
        <v>30</v>
      </c>
      <c r="E1757" t="s">
        <v>109</v>
      </c>
      <c r="F1757">
        <v>4500477756</v>
      </c>
      <c r="H1757" t="s">
        <v>12</v>
      </c>
      <c r="I1757" t="s">
        <v>117</v>
      </c>
      <c r="J1757" t="s">
        <v>109</v>
      </c>
      <c r="K1757">
        <v>16131.57</v>
      </c>
      <c r="L1757" t="s">
        <v>6408</v>
      </c>
      <c r="M1757" t="str" cm="1">
        <f t="array" ref="M1757">INDEX('Org List'!$A$2:$C$1005,MATCH(Consolidated!I1757&amp;Consolidated!J1757,'Org List'!$A$2:$A$1005&amp;'Org List'!$B$2:$B$1005,0),3)</f>
        <v>NGOs: National</v>
      </c>
    </row>
    <row r="1758" spans="1:13" x14ac:dyDescent="0.25">
      <c r="A1758" t="s">
        <v>710</v>
      </c>
      <c r="B1758" t="s">
        <v>191</v>
      </c>
      <c r="C1758" t="s">
        <v>192</v>
      </c>
      <c r="D1758" t="s">
        <v>30</v>
      </c>
      <c r="E1758" t="s">
        <v>193</v>
      </c>
      <c r="F1758">
        <v>4500471461</v>
      </c>
      <c r="H1758" t="s">
        <v>12</v>
      </c>
      <c r="I1758" t="s">
        <v>194</v>
      </c>
      <c r="J1758" t="s">
        <v>193</v>
      </c>
      <c r="K1758">
        <v>135000</v>
      </c>
      <c r="L1758" t="s">
        <v>6408</v>
      </c>
      <c r="M1758" t="str" cm="1">
        <f t="array" ref="M1758">INDEX('Org List'!$A$2:$C$1005,MATCH(Consolidated!I1758&amp;Consolidated!J1758,'Org List'!$A$2:$A$1005&amp;'Org List'!$B$2:$B$1005,0),3)</f>
        <v>NGOs: National</v>
      </c>
    </row>
    <row r="1759" spans="1:13" x14ac:dyDescent="0.25">
      <c r="A1759" t="s">
        <v>710</v>
      </c>
      <c r="B1759" t="s">
        <v>195</v>
      </c>
      <c r="C1759" t="s">
        <v>196</v>
      </c>
      <c r="D1759" t="s">
        <v>30</v>
      </c>
      <c r="E1759" t="s">
        <v>197</v>
      </c>
      <c r="F1759">
        <v>4500460438</v>
      </c>
      <c r="H1759" t="s">
        <v>12</v>
      </c>
      <c r="I1759" t="s">
        <v>198</v>
      </c>
      <c r="J1759" t="s">
        <v>197</v>
      </c>
      <c r="K1759">
        <v>8420.5400000000009</v>
      </c>
      <c r="L1759" t="s">
        <v>6408</v>
      </c>
      <c r="M1759" t="str" cm="1">
        <f t="array" ref="M1759">INDEX('Org List'!$A$2:$C$1005,MATCH(Consolidated!I1759&amp;Consolidated!J1759,'Org List'!$A$2:$A$1005&amp;'Org List'!$B$2:$B$1005,0),3)</f>
        <v>NGOs: National</v>
      </c>
    </row>
    <row r="1760" spans="1:13" x14ac:dyDescent="0.25">
      <c r="A1760" t="s">
        <v>710</v>
      </c>
      <c r="B1760" t="s">
        <v>195</v>
      </c>
      <c r="C1760" t="s">
        <v>196</v>
      </c>
      <c r="D1760" t="s">
        <v>30</v>
      </c>
      <c r="E1760" t="s">
        <v>199</v>
      </c>
      <c r="F1760">
        <v>4500463267</v>
      </c>
      <c r="H1760" t="s">
        <v>12</v>
      </c>
      <c r="I1760" t="s">
        <v>200</v>
      </c>
      <c r="J1760" t="s">
        <v>199</v>
      </c>
      <c r="K1760">
        <v>85643</v>
      </c>
      <c r="L1760" t="s">
        <v>6408</v>
      </c>
      <c r="M1760" t="str" cm="1">
        <f t="array" ref="M1760">INDEX('Org List'!$A$2:$C$1005,MATCH(Consolidated!I1760&amp;Consolidated!J1760,'Org List'!$A$2:$A$1005&amp;'Org List'!$B$2:$B$1005,0),3)</f>
        <v>NGOs: National</v>
      </c>
    </row>
    <row r="1761" spans="1:13" x14ac:dyDescent="0.25">
      <c r="A1761" t="s">
        <v>710</v>
      </c>
      <c r="B1761" t="s">
        <v>195</v>
      </c>
      <c r="C1761" t="s">
        <v>196</v>
      </c>
      <c r="D1761" t="s">
        <v>30</v>
      </c>
      <c r="E1761" t="s">
        <v>201</v>
      </c>
      <c r="F1761">
        <v>4500458577</v>
      </c>
      <c r="H1761" t="s">
        <v>12</v>
      </c>
      <c r="I1761" t="s">
        <v>202</v>
      </c>
      <c r="J1761" t="s">
        <v>201</v>
      </c>
      <c r="K1761">
        <v>106487.9</v>
      </c>
      <c r="L1761" t="s">
        <v>6408</v>
      </c>
      <c r="M1761" t="str" cm="1">
        <f t="array" ref="M1761">INDEX('Org List'!$A$2:$C$1005,MATCH(Consolidated!I1761&amp;Consolidated!J1761,'Org List'!$A$2:$A$1005&amp;'Org List'!$B$2:$B$1005,0),3)</f>
        <v>NGOs: National</v>
      </c>
    </row>
    <row r="1762" spans="1:13" x14ac:dyDescent="0.25">
      <c r="A1762" t="s">
        <v>710</v>
      </c>
      <c r="B1762" t="s">
        <v>195</v>
      </c>
      <c r="C1762" t="s">
        <v>196</v>
      </c>
      <c r="D1762" t="s">
        <v>30</v>
      </c>
      <c r="E1762" t="s">
        <v>201</v>
      </c>
      <c r="F1762">
        <v>4500467118</v>
      </c>
      <c r="H1762" t="s">
        <v>12</v>
      </c>
      <c r="I1762" t="s">
        <v>203</v>
      </c>
      <c r="J1762" t="s">
        <v>201</v>
      </c>
      <c r="K1762">
        <v>82598.66</v>
      </c>
      <c r="L1762" t="s">
        <v>6408</v>
      </c>
      <c r="M1762" t="str" cm="1">
        <f t="array" ref="M1762">INDEX('Org List'!$A$2:$C$1005,MATCH(Consolidated!I1762&amp;Consolidated!J1762,'Org List'!$A$2:$A$1005&amp;'Org List'!$B$2:$B$1005,0),3)</f>
        <v>NGOs: National</v>
      </c>
    </row>
    <row r="1763" spans="1:13" x14ac:dyDescent="0.25">
      <c r="A1763" t="s">
        <v>710</v>
      </c>
      <c r="B1763" t="s">
        <v>195</v>
      </c>
      <c r="C1763" t="s">
        <v>196</v>
      </c>
      <c r="D1763" t="s">
        <v>30</v>
      </c>
      <c r="E1763" t="s">
        <v>201</v>
      </c>
      <c r="F1763">
        <v>4500467576</v>
      </c>
      <c r="H1763" t="s">
        <v>12</v>
      </c>
      <c r="I1763" t="s">
        <v>203</v>
      </c>
      <c r="J1763" t="s">
        <v>201</v>
      </c>
      <c r="K1763">
        <v>177248.33</v>
      </c>
      <c r="L1763" t="s">
        <v>6408</v>
      </c>
      <c r="M1763" t="str" cm="1">
        <f t="array" ref="M1763">INDEX('Org List'!$A$2:$C$1005,MATCH(Consolidated!I1763&amp;Consolidated!J1763,'Org List'!$A$2:$A$1005&amp;'Org List'!$B$2:$B$1005,0),3)</f>
        <v>NGOs: National</v>
      </c>
    </row>
    <row r="1764" spans="1:13" x14ac:dyDescent="0.25">
      <c r="A1764" t="s">
        <v>710</v>
      </c>
      <c r="B1764" t="s">
        <v>195</v>
      </c>
      <c r="C1764" t="s">
        <v>196</v>
      </c>
      <c r="D1764" t="s">
        <v>30</v>
      </c>
      <c r="E1764" t="s">
        <v>201</v>
      </c>
      <c r="F1764">
        <v>4500474666</v>
      </c>
      <c r="H1764" t="s">
        <v>12</v>
      </c>
      <c r="I1764" t="s">
        <v>204</v>
      </c>
      <c r="J1764" t="s">
        <v>201</v>
      </c>
      <c r="K1764">
        <v>33915.730000000003</v>
      </c>
      <c r="L1764" t="s">
        <v>6408</v>
      </c>
      <c r="M1764" t="str" cm="1">
        <f t="array" ref="M1764">INDEX('Org List'!$A$2:$C$1005,MATCH(Consolidated!I1764&amp;Consolidated!J1764,'Org List'!$A$2:$A$1005&amp;'Org List'!$B$2:$B$1005,0),3)</f>
        <v>Other: National</v>
      </c>
    </row>
    <row r="1765" spans="1:13" x14ac:dyDescent="0.25">
      <c r="A1765" t="s">
        <v>710</v>
      </c>
      <c r="B1765" t="s">
        <v>195</v>
      </c>
      <c r="C1765" t="s">
        <v>196</v>
      </c>
      <c r="D1765" t="s">
        <v>30</v>
      </c>
      <c r="E1765" t="s">
        <v>205</v>
      </c>
      <c r="F1765">
        <v>4500455337</v>
      </c>
      <c r="H1765" t="s">
        <v>12</v>
      </c>
      <c r="I1765" t="s">
        <v>206</v>
      </c>
      <c r="J1765" t="s">
        <v>205</v>
      </c>
      <c r="K1765">
        <v>135100</v>
      </c>
      <c r="L1765" t="s">
        <v>6408</v>
      </c>
      <c r="M1765" t="str" cm="1">
        <f t="array" ref="M1765">INDEX('Org List'!$A$2:$C$1005,MATCH(Consolidated!I1765&amp;Consolidated!J1765,'Org List'!$A$2:$A$1005&amp;'Org List'!$B$2:$B$1005,0),3)</f>
        <v>NGOs: International</v>
      </c>
    </row>
    <row r="1766" spans="1:13" x14ac:dyDescent="0.25">
      <c r="A1766" t="s">
        <v>710</v>
      </c>
      <c r="B1766" t="s">
        <v>195</v>
      </c>
      <c r="C1766" t="s">
        <v>196</v>
      </c>
      <c r="D1766" t="s">
        <v>30</v>
      </c>
      <c r="E1766" t="s">
        <v>205</v>
      </c>
      <c r="F1766">
        <v>4500456810</v>
      </c>
      <c r="H1766" t="s">
        <v>12</v>
      </c>
      <c r="I1766" t="s">
        <v>207</v>
      </c>
      <c r="J1766" t="s">
        <v>205</v>
      </c>
      <c r="K1766">
        <v>135900</v>
      </c>
      <c r="L1766" t="s">
        <v>6408</v>
      </c>
      <c r="M1766" t="str" cm="1">
        <f t="array" ref="M1766">INDEX('Org List'!$A$2:$C$1005,MATCH(Consolidated!I1766&amp;Consolidated!J1766,'Org List'!$A$2:$A$1005&amp;'Org List'!$B$2:$B$1005,0),3)</f>
        <v>NGOs: National</v>
      </c>
    </row>
    <row r="1767" spans="1:13" x14ac:dyDescent="0.25">
      <c r="A1767" t="s">
        <v>710</v>
      </c>
      <c r="B1767" t="s">
        <v>195</v>
      </c>
      <c r="C1767" t="s">
        <v>196</v>
      </c>
      <c r="D1767" t="s">
        <v>30</v>
      </c>
      <c r="E1767" t="s">
        <v>205</v>
      </c>
      <c r="F1767">
        <v>4500457886</v>
      </c>
      <c r="H1767" t="s">
        <v>12</v>
      </c>
      <c r="I1767" t="s">
        <v>208</v>
      </c>
      <c r="J1767" t="s">
        <v>205</v>
      </c>
      <c r="K1767">
        <v>66166</v>
      </c>
      <c r="L1767" t="s">
        <v>6408</v>
      </c>
      <c r="M1767" t="str" cm="1">
        <f t="array" ref="M1767">INDEX('Org List'!$A$2:$C$1005,MATCH(Consolidated!I1767&amp;Consolidated!J1767,'Org List'!$A$2:$A$1005&amp;'Org List'!$B$2:$B$1005,0),3)</f>
        <v>NGOs: National</v>
      </c>
    </row>
    <row r="1768" spans="1:13" x14ac:dyDescent="0.25">
      <c r="A1768" t="s">
        <v>710</v>
      </c>
      <c r="B1768" t="s">
        <v>195</v>
      </c>
      <c r="C1768" t="s">
        <v>196</v>
      </c>
      <c r="D1768" t="s">
        <v>30</v>
      </c>
      <c r="E1768" t="s">
        <v>205</v>
      </c>
      <c r="F1768">
        <v>4500477556</v>
      </c>
      <c r="H1768" t="s">
        <v>12</v>
      </c>
      <c r="I1768" t="s">
        <v>209</v>
      </c>
      <c r="J1768" t="s">
        <v>205</v>
      </c>
      <c r="K1768">
        <v>50000</v>
      </c>
      <c r="L1768" t="s">
        <v>6408</v>
      </c>
      <c r="M1768" t="str" cm="1">
        <f t="array" ref="M1768">INDEX('Org List'!$A$2:$C$1005,MATCH(Consolidated!I1768&amp;Consolidated!J1768,'Org List'!$A$2:$A$1005&amp;'Org List'!$B$2:$B$1005,0),3)</f>
        <v>NGOs: International</v>
      </c>
    </row>
    <row r="1769" spans="1:13" x14ac:dyDescent="0.25">
      <c r="A1769" t="s">
        <v>710</v>
      </c>
      <c r="B1769" t="s">
        <v>195</v>
      </c>
      <c r="C1769" t="s">
        <v>196</v>
      </c>
      <c r="D1769" t="s">
        <v>30</v>
      </c>
      <c r="E1769" t="s">
        <v>210</v>
      </c>
      <c r="F1769">
        <v>4500457488</v>
      </c>
      <c r="H1769" t="s">
        <v>12</v>
      </c>
      <c r="I1769" t="s">
        <v>211</v>
      </c>
      <c r="J1769" t="s">
        <v>210</v>
      </c>
      <c r="K1769">
        <v>176290.08</v>
      </c>
      <c r="L1769" t="s">
        <v>6408</v>
      </c>
      <c r="M1769" t="str" cm="1">
        <f t="array" ref="M1769">INDEX('Org List'!$A$2:$C$1005,MATCH(Consolidated!I1769&amp;Consolidated!J1769,'Org List'!$A$2:$A$1005&amp;'Org List'!$B$2:$B$1005,0),3)</f>
        <v>NGOs: International</v>
      </c>
    </row>
    <row r="1770" spans="1:13" x14ac:dyDescent="0.25">
      <c r="A1770" t="s">
        <v>710</v>
      </c>
      <c r="B1770" t="s">
        <v>195</v>
      </c>
      <c r="C1770" t="s">
        <v>196</v>
      </c>
      <c r="D1770" t="s">
        <v>30</v>
      </c>
      <c r="E1770" t="s">
        <v>210</v>
      </c>
      <c r="F1770">
        <v>4500465770</v>
      </c>
      <c r="H1770" t="s">
        <v>12</v>
      </c>
      <c r="I1770" t="s">
        <v>212</v>
      </c>
      <c r="J1770" t="s">
        <v>210</v>
      </c>
      <c r="K1770">
        <v>17963.14</v>
      </c>
      <c r="L1770" t="s">
        <v>6408</v>
      </c>
      <c r="M1770" t="str" cm="1">
        <f t="array" ref="M1770">INDEX('Org List'!$A$2:$C$1005,MATCH(Consolidated!I1770&amp;Consolidated!J1770,'Org List'!$A$2:$A$1005&amp;'Org List'!$B$2:$B$1005,0),3)</f>
        <v>NGOs: National</v>
      </c>
    </row>
    <row r="1771" spans="1:13" x14ac:dyDescent="0.25">
      <c r="A1771" t="s">
        <v>710</v>
      </c>
      <c r="B1771" t="s">
        <v>195</v>
      </c>
      <c r="C1771" t="s">
        <v>196</v>
      </c>
      <c r="D1771" t="s">
        <v>30</v>
      </c>
      <c r="E1771" t="s">
        <v>210</v>
      </c>
      <c r="F1771">
        <v>4500471051</v>
      </c>
      <c r="H1771" t="s">
        <v>12</v>
      </c>
      <c r="I1771" t="s">
        <v>213</v>
      </c>
      <c r="J1771" t="s">
        <v>210</v>
      </c>
      <c r="K1771">
        <v>29936.47</v>
      </c>
      <c r="L1771" t="s">
        <v>6408</v>
      </c>
      <c r="M1771" t="str" cm="1">
        <f t="array" ref="M1771">INDEX('Org List'!$A$2:$C$1005,MATCH(Consolidated!I1771&amp;Consolidated!J1771,'Org List'!$A$2:$A$1005&amp;'Org List'!$B$2:$B$1005,0),3)</f>
        <v>Governments: National</v>
      </c>
    </row>
    <row r="1772" spans="1:13" x14ac:dyDescent="0.25">
      <c r="A1772" t="s">
        <v>710</v>
      </c>
      <c r="B1772" t="s">
        <v>195</v>
      </c>
      <c r="C1772" t="s">
        <v>196</v>
      </c>
      <c r="D1772" t="s">
        <v>30</v>
      </c>
      <c r="E1772" t="s">
        <v>210</v>
      </c>
      <c r="F1772">
        <v>4500473072</v>
      </c>
      <c r="H1772" t="s">
        <v>12</v>
      </c>
      <c r="I1772" t="s">
        <v>214</v>
      </c>
      <c r="J1772" t="s">
        <v>210</v>
      </c>
      <c r="K1772">
        <v>12365.62</v>
      </c>
      <c r="L1772" t="s">
        <v>6408</v>
      </c>
      <c r="M1772" t="str" cm="1">
        <f t="array" ref="M1772">INDEX('Org List'!$A$2:$C$1005,MATCH(Consolidated!I1772&amp;Consolidated!J1772,'Org List'!$A$2:$A$1005&amp;'Org List'!$B$2:$B$1005,0),3)</f>
        <v>NGOs: National</v>
      </c>
    </row>
    <row r="1773" spans="1:13" x14ac:dyDescent="0.25">
      <c r="A1773" t="s">
        <v>710</v>
      </c>
      <c r="B1773" t="s">
        <v>195</v>
      </c>
      <c r="C1773" t="s">
        <v>196</v>
      </c>
      <c r="D1773" t="s">
        <v>30</v>
      </c>
      <c r="E1773" t="s">
        <v>210</v>
      </c>
      <c r="F1773">
        <v>4500475491</v>
      </c>
      <c r="H1773" t="s">
        <v>12</v>
      </c>
      <c r="I1773" t="s">
        <v>213</v>
      </c>
      <c r="J1773" t="s">
        <v>210</v>
      </c>
      <c r="K1773">
        <v>49882.92</v>
      </c>
      <c r="L1773" t="s">
        <v>6408</v>
      </c>
      <c r="M1773" t="str" cm="1">
        <f t="array" ref="M1773">INDEX('Org List'!$A$2:$C$1005,MATCH(Consolidated!I1773&amp;Consolidated!J1773,'Org List'!$A$2:$A$1005&amp;'Org List'!$B$2:$B$1005,0),3)</f>
        <v>Governments: National</v>
      </c>
    </row>
    <row r="1774" spans="1:13" x14ac:dyDescent="0.25">
      <c r="A1774" t="s">
        <v>710</v>
      </c>
      <c r="B1774" t="s">
        <v>195</v>
      </c>
      <c r="C1774" t="s">
        <v>196</v>
      </c>
      <c r="D1774" t="s">
        <v>30</v>
      </c>
      <c r="E1774" t="s">
        <v>210</v>
      </c>
      <c r="F1774">
        <v>4500476248</v>
      </c>
      <c r="H1774" t="s">
        <v>12</v>
      </c>
      <c r="I1774" t="s">
        <v>215</v>
      </c>
      <c r="J1774" t="s">
        <v>210</v>
      </c>
      <c r="K1774">
        <v>23122.41</v>
      </c>
      <c r="L1774" t="s">
        <v>6408</v>
      </c>
      <c r="M1774" t="str" cm="1">
        <f t="array" ref="M1774">INDEX('Org List'!$A$2:$C$1005,MATCH(Consolidated!I1774&amp;Consolidated!J1774,'Org List'!$A$2:$A$1005&amp;'Org List'!$B$2:$B$1005,0),3)</f>
        <v>NGOs: National</v>
      </c>
    </row>
    <row r="1775" spans="1:13" x14ac:dyDescent="0.25">
      <c r="A1775" t="s">
        <v>710</v>
      </c>
      <c r="B1775" t="s">
        <v>195</v>
      </c>
      <c r="C1775" t="s">
        <v>196</v>
      </c>
      <c r="D1775" t="s">
        <v>30</v>
      </c>
      <c r="E1775" t="s">
        <v>210</v>
      </c>
      <c r="F1775">
        <v>4500476829</v>
      </c>
      <c r="H1775" t="s">
        <v>12</v>
      </c>
      <c r="I1775" t="s">
        <v>216</v>
      </c>
      <c r="J1775" t="s">
        <v>210</v>
      </c>
      <c r="K1775">
        <v>26000</v>
      </c>
      <c r="L1775" t="s">
        <v>6408</v>
      </c>
      <c r="M1775" t="str" cm="1">
        <f t="array" ref="M1775">INDEX('Org List'!$A$2:$C$1005,MATCH(Consolidated!I1775&amp;Consolidated!J1775,'Org List'!$A$2:$A$1005&amp;'Org List'!$B$2:$B$1005,0),3)</f>
        <v>NGOs: International</v>
      </c>
    </row>
    <row r="1776" spans="1:13" x14ac:dyDescent="0.25">
      <c r="A1776" t="s">
        <v>710</v>
      </c>
      <c r="B1776" t="s">
        <v>195</v>
      </c>
      <c r="C1776" t="s">
        <v>196</v>
      </c>
      <c r="D1776" t="s">
        <v>30</v>
      </c>
      <c r="E1776" t="s">
        <v>210</v>
      </c>
      <c r="F1776">
        <v>4500476878</v>
      </c>
      <c r="H1776" t="s">
        <v>12</v>
      </c>
      <c r="I1776" t="s">
        <v>211</v>
      </c>
      <c r="J1776" t="s">
        <v>210</v>
      </c>
      <c r="K1776">
        <v>63539.93</v>
      </c>
      <c r="L1776" t="s">
        <v>6408</v>
      </c>
      <c r="M1776" t="str" cm="1">
        <f t="array" ref="M1776">INDEX('Org List'!$A$2:$C$1005,MATCH(Consolidated!I1776&amp;Consolidated!J1776,'Org List'!$A$2:$A$1005&amp;'Org List'!$B$2:$B$1005,0),3)</f>
        <v>NGOs: International</v>
      </c>
    </row>
    <row r="1777" spans="1:13" x14ac:dyDescent="0.25">
      <c r="A1777" t="s">
        <v>710</v>
      </c>
      <c r="B1777" t="s">
        <v>195</v>
      </c>
      <c r="C1777" t="s">
        <v>196</v>
      </c>
      <c r="D1777" t="s">
        <v>30</v>
      </c>
      <c r="E1777" t="s">
        <v>210</v>
      </c>
      <c r="F1777">
        <v>4500477459</v>
      </c>
      <c r="H1777" t="s">
        <v>12</v>
      </c>
      <c r="I1777" t="s">
        <v>213</v>
      </c>
      <c r="J1777" t="s">
        <v>210</v>
      </c>
      <c r="K1777">
        <v>256575.57</v>
      </c>
      <c r="L1777" t="s">
        <v>6408</v>
      </c>
      <c r="M1777" t="str" cm="1">
        <f t="array" ref="M1777">INDEX('Org List'!$A$2:$C$1005,MATCH(Consolidated!I1777&amp;Consolidated!J1777,'Org List'!$A$2:$A$1005&amp;'Org List'!$B$2:$B$1005,0),3)</f>
        <v>Governments: National</v>
      </c>
    </row>
    <row r="1778" spans="1:13" x14ac:dyDescent="0.25">
      <c r="A1778" t="s">
        <v>710</v>
      </c>
      <c r="B1778" t="s">
        <v>195</v>
      </c>
      <c r="C1778" t="s">
        <v>196</v>
      </c>
      <c r="D1778" t="s">
        <v>30</v>
      </c>
      <c r="E1778" t="s">
        <v>210</v>
      </c>
      <c r="F1778">
        <v>4500478879</v>
      </c>
      <c r="H1778" t="s">
        <v>12</v>
      </c>
      <c r="I1778" t="s">
        <v>217</v>
      </c>
      <c r="J1778" t="s">
        <v>210</v>
      </c>
      <c r="K1778">
        <v>48807.87</v>
      </c>
      <c r="L1778" t="s">
        <v>6408</v>
      </c>
      <c r="M1778" t="str" cm="1">
        <f t="array" ref="M1778">INDEX('Org List'!$A$2:$C$1005,MATCH(Consolidated!I1778&amp;Consolidated!J1778,'Org List'!$A$2:$A$1005&amp;'Org List'!$B$2:$B$1005,0),3)</f>
        <v>NGOs: Internationally affiliated</v>
      </c>
    </row>
    <row r="1779" spans="1:13" x14ac:dyDescent="0.25">
      <c r="A1779" t="s">
        <v>710</v>
      </c>
      <c r="B1779" t="s">
        <v>195</v>
      </c>
      <c r="C1779" t="s">
        <v>196</v>
      </c>
      <c r="D1779" t="s">
        <v>30</v>
      </c>
      <c r="E1779" t="s">
        <v>210</v>
      </c>
      <c r="F1779">
        <v>4500481426</v>
      </c>
      <c r="H1779" t="s">
        <v>12</v>
      </c>
      <c r="I1779" t="s">
        <v>214</v>
      </c>
      <c r="J1779" t="s">
        <v>210</v>
      </c>
      <c r="K1779">
        <v>24833.81</v>
      </c>
      <c r="L1779" t="s">
        <v>6408</v>
      </c>
      <c r="M1779" t="str" cm="1">
        <f t="array" ref="M1779">INDEX('Org List'!$A$2:$C$1005,MATCH(Consolidated!I1779&amp;Consolidated!J1779,'Org List'!$A$2:$A$1005&amp;'Org List'!$B$2:$B$1005,0),3)</f>
        <v>NGOs: National</v>
      </c>
    </row>
    <row r="1780" spans="1:13" x14ac:dyDescent="0.25">
      <c r="A1780" t="s">
        <v>710</v>
      </c>
      <c r="B1780" t="s">
        <v>195</v>
      </c>
      <c r="C1780" t="s">
        <v>196</v>
      </c>
      <c r="D1780" t="s">
        <v>30</v>
      </c>
      <c r="E1780" t="s">
        <v>210</v>
      </c>
      <c r="F1780">
        <v>4500482021</v>
      </c>
      <c r="H1780" t="s">
        <v>12</v>
      </c>
      <c r="I1780" t="s">
        <v>212</v>
      </c>
      <c r="J1780" t="s">
        <v>210</v>
      </c>
      <c r="K1780">
        <v>25062</v>
      </c>
      <c r="L1780" t="s">
        <v>6408</v>
      </c>
      <c r="M1780" t="str" cm="1">
        <f t="array" ref="M1780">INDEX('Org List'!$A$2:$C$1005,MATCH(Consolidated!I1780&amp;Consolidated!J1780,'Org List'!$A$2:$A$1005&amp;'Org List'!$B$2:$B$1005,0),3)</f>
        <v>NGOs: National</v>
      </c>
    </row>
    <row r="1781" spans="1:13" x14ac:dyDescent="0.25">
      <c r="A1781" t="s">
        <v>710</v>
      </c>
      <c r="B1781" t="s">
        <v>195</v>
      </c>
      <c r="C1781" t="s">
        <v>196</v>
      </c>
      <c r="D1781" t="s">
        <v>30</v>
      </c>
      <c r="E1781" t="s">
        <v>210</v>
      </c>
      <c r="F1781">
        <v>4500482039</v>
      </c>
      <c r="H1781" t="s">
        <v>12</v>
      </c>
      <c r="I1781" t="s">
        <v>218</v>
      </c>
      <c r="J1781" t="s">
        <v>210</v>
      </c>
      <c r="K1781">
        <v>51468.87</v>
      </c>
      <c r="L1781" t="s">
        <v>6408</v>
      </c>
      <c r="M1781" t="str" cm="1">
        <f t="array" ref="M1781">INDEX('Org List'!$A$2:$C$1005,MATCH(Consolidated!I1781&amp;Consolidated!J1781,'Org List'!$A$2:$A$1005&amp;'Org List'!$B$2:$B$1005,0),3)</f>
        <v>NGOs: International</v>
      </c>
    </row>
    <row r="1782" spans="1:13" x14ac:dyDescent="0.25">
      <c r="A1782" t="s">
        <v>710</v>
      </c>
      <c r="B1782" t="s">
        <v>195</v>
      </c>
      <c r="C1782" t="s">
        <v>196</v>
      </c>
      <c r="D1782" t="s">
        <v>30</v>
      </c>
      <c r="E1782" t="s">
        <v>219</v>
      </c>
      <c r="F1782">
        <v>4500465698</v>
      </c>
      <c r="H1782" t="s">
        <v>12</v>
      </c>
      <c r="I1782" t="s">
        <v>220</v>
      </c>
      <c r="J1782" t="s">
        <v>219</v>
      </c>
      <c r="K1782">
        <v>25000</v>
      </c>
      <c r="L1782" t="s">
        <v>6408</v>
      </c>
      <c r="M1782" t="str" cm="1">
        <f t="array" ref="M1782">INDEX('Org List'!$A$2:$C$1005,MATCH(Consolidated!I1782&amp;Consolidated!J1782,'Org List'!$A$2:$A$1005&amp;'Org List'!$B$2:$B$1005,0),3)</f>
        <v>NGOs: National</v>
      </c>
    </row>
    <row r="1783" spans="1:13" x14ac:dyDescent="0.25">
      <c r="A1783" t="s">
        <v>710</v>
      </c>
      <c r="B1783" t="s">
        <v>195</v>
      </c>
      <c r="C1783" t="s">
        <v>196</v>
      </c>
      <c r="D1783" t="s">
        <v>30</v>
      </c>
      <c r="E1783" t="s">
        <v>219</v>
      </c>
      <c r="F1783">
        <v>4500465703</v>
      </c>
      <c r="H1783" t="s">
        <v>12</v>
      </c>
      <c r="I1783" t="s">
        <v>221</v>
      </c>
      <c r="J1783" t="s">
        <v>219</v>
      </c>
      <c r="K1783">
        <v>25000</v>
      </c>
      <c r="L1783" t="s">
        <v>6408</v>
      </c>
      <c r="M1783" t="str" cm="1">
        <f t="array" ref="M1783">INDEX('Org List'!$A$2:$C$1005,MATCH(Consolidated!I1783&amp;Consolidated!J1783,'Org List'!$A$2:$A$1005&amp;'Org List'!$B$2:$B$1005,0),3)</f>
        <v>NGOs: National</v>
      </c>
    </row>
    <row r="1784" spans="1:13" x14ac:dyDescent="0.25">
      <c r="A1784" t="s">
        <v>710</v>
      </c>
      <c r="B1784" t="s">
        <v>195</v>
      </c>
      <c r="C1784" t="s">
        <v>196</v>
      </c>
      <c r="D1784" t="s">
        <v>30</v>
      </c>
      <c r="E1784" t="s">
        <v>219</v>
      </c>
      <c r="F1784">
        <v>4500465706</v>
      </c>
      <c r="H1784" t="s">
        <v>12</v>
      </c>
      <c r="I1784" t="s">
        <v>222</v>
      </c>
      <c r="J1784" t="s">
        <v>219</v>
      </c>
      <c r="K1784">
        <v>25000</v>
      </c>
      <c r="L1784" t="s">
        <v>6408</v>
      </c>
      <c r="M1784" t="str" cm="1">
        <f t="array" ref="M1784">INDEX('Org List'!$A$2:$C$1005,MATCH(Consolidated!I1784&amp;Consolidated!J1784,'Org List'!$A$2:$A$1005&amp;'Org List'!$B$2:$B$1005,0),3)</f>
        <v>NGOs: National</v>
      </c>
    </row>
    <row r="1785" spans="1:13" x14ac:dyDescent="0.25">
      <c r="A1785" t="s">
        <v>710</v>
      </c>
      <c r="B1785" t="s">
        <v>195</v>
      </c>
      <c r="C1785" t="s">
        <v>196</v>
      </c>
      <c r="D1785" t="s">
        <v>30</v>
      </c>
      <c r="E1785" t="s">
        <v>219</v>
      </c>
      <c r="F1785">
        <v>4500471016</v>
      </c>
      <c r="H1785" t="s">
        <v>12</v>
      </c>
      <c r="I1785" t="s">
        <v>223</v>
      </c>
      <c r="J1785" t="s">
        <v>219</v>
      </c>
      <c r="K1785">
        <v>25000</v>
      </c>
      <c r="L1785" t="s">
        <v>6408</v>
      </c>
      <c r="M1785" t="str" cm="1">
        <f t="array" ref="M1785">INDEX('Org List'!$A$2:$C$1005,MATCH(Consolidated!I1785&amp;Consolidated!J1785,'Org List'!$A$2:$A$1005&amp;'Org List'!$B$2:$B$1005,0),3)</f>
        <v>NGOs: National</v>
      </c>
    </row>
    <row r="1786" spans="1:13" x14ac:dyDescent="0.25">
      <c r="A1786" t="s">
        <v>710</v>
      </c>
      <c r="B1786" t="s">
        <v>224</v>
      </c>
      <c r="C1786" t="s">
        <v>225</v>
      </c>
      <c r="D1786" t="s">
        <v>30</v>
      </c>
      <c r="E1786" t="s">
        <v>226</v>
      </c>
      <c r="F1786">
        <v>4500458792</v>
      </c>
      <c r="H1786" t="s">
        <v>12</v>
      </c>
      <c r="I1786" t="s">
        <v>227</v>
      </c>
      <c r="J1786" t="s">
        <v>226</v>
      </c>
      <c r="K1786">
        <v>44333.72</v>
      </c>
      <c r="L1786" t="s">
        <v>6408</v>
      </c>
      <c r="M1786" t="str" cm="1">
        <f t="array" ref="M1786">INDEX('Org List'!$A$2:$C$1005,MATCH(Consolidated!I1786&amp;Consolidated!J1786,'Org List'!$A$2:$A$1005&amp;'Org List'!$B$2:$B$1005,0),3)</f>
        <v>NGOs: National</v>
      </c>
    </row>
    <row r="1787" spans="1:13" x14ac:dyDescent="0.25">
      <c r="A1787" t="s">
        <v>710</v>
      </c>
      <c r="B1787" t="s">
        <v>224</v>
      </c>
      <c r="C1787" t="s">
        <v>225</v>
      </c>
      <c r="D1787" t="s">
        <v>30</v>
      </c>
      <c r="E1787" t="s">
        <v>226</v>
      </c>
      <c r="F1787">
        <v>4500466762</v>
      </c>
      <c r="H1787" t="s">
        <v>12</v>
      </c>
      <c r="I1787" t="s">
        <v>228</v>
      </c>
      <c r="J1787" t="s">
        <v>226</v>
      </c>
      <c r="K1787">
        <v>41340.36</v>
      </c>
      <c r="L1787" t="s">
        <v>6408</v>
      </c>
      <c r="M1787" t="str" cm="1">
        <f t="array" ref="M1787">INDEX('Org List'!$A$2:$C$1005,MATCH(Consolidated!I1787&amp;Consolidated!J1787,'Org List'!$A$2:$A$1005&amp;'Org List'!$B$2:$B$1005,0),3)</f>
        <v>NGOs: National</v>
      </c>
    </row>
    <row r="1788" spans="1:13" x14ac:dyDescent="0.25">
      <c r="A1788" t="s">
        <v>710</v>
      </c>
      <c r="B1788" t="s">
        <v>224</v>
      </c>
      <c r="C1788" t="s">
        <v>225</v>
      </c>
      <c r="D1788" t="s">
        <v>30</v>
      </c>
      <c r="E1788" t="s">
        <v>226</v>
      </c>
      <c r="F1788">
        <v>4500475950</v>
      </c>
      <c r="H1788" t="s">
        <v>12</v>
      </c>
      <c r="I1788" t="s">
        <v>229</v>
      </c>
      <c r="J1788" t="s">
        <v>226</v>
      </c>
      <c r="K1788">
        <v>45040.39</v>
      </c>
      <c r="L1788" t="s">
        <v>6408</v>
      </c>
      <c r="M1788" t="str" cm="1">
        <f t="array" ref="M1788">INDEX('Org List'!$A$2:$C$1005,MATCH(Consolidated!I1788&amp;Consolidated!J1788,'Org List'!$A$2:$A$1005&amp;'Org List'!$B$2:$B$1005,0),3)</f>
        <v>NGOs: National</v>
      </c>
    </row>
    <row r="1789" spans="1:13" x14ac:dyDescent="0.25">
      <c r="A1789" t="s">
        <v>710</v>
      </c>
      <c r="B1789" t="s">
        <v>230</v>
      </c>
      <c r="C1789" t="s">
        <v>231</v>
      </c>
      <c r="D1789" t="s">
        <v>30</v>
      </c>
      <c r="E1789" t="s">
        <v>175</v>
      </c>
      <c r="F1789">
        <v>4500476560</v>
      </c>
      <c r="H1789" t="s">
        <v>12</v>
      </c>
      <c r="I1789" t="s">
        <v>232</v>
      </c>
      <c r="J1789" t="s">
        <v>175</v>
      </c>
      <c r="K1789">
        <v>403609.3</v>
      </c>
      <c r="L1789" t="s">
        <v>6408</v>
      </c>
      <c r="M1789" t="str" cm="1">
        <f t="array" ref="M1789">INDEX('Org List'!$A$2:$C$1005,MATCH(Consolidated!I1789&amp;Consolidated!J1789,'Org List'!$A$2:$A$1005&amp;'Org List'!$B$2:$B$1005,0),3)</f>
        <v>NGOs: International</v>
      </c>
    </row>
    <row r="1790" spans="1:13" x14ac:dyDescent="0.25">
      <c r="A1790" t="s">
        <v>710</v>
      </c>
      <c r="B1790" t="s">
        <v>230</v>
      </c>
      <c r="C1790" t="s">
        <v>231</v>
      </c>
      <c r="D1790" t="s">
        <v>30</v>
      </c>
      <c r="E1790" t="s">
        <v>175</v>
      </c>
      <c r="F1790">
        <v>4500480566</v>
      </c>
      <c r="H1790" t="s">
        <v>12</v>
      </c>
      <c r="I1790" t="s">
        <v>233</v>
      </c>
      <c r="J1790" t="s">
        <v>175</v>
      </c>
      <c r="K1790">
        <v>218422</v>
      </c>
      <c r="L1790" t="s">
        <v>6408</v>
      </c>
      <c r="M1790" t="str" cm="1">
        <f t="array" ref="M1790">INDEX('Org List'!$A$2:$C$1005,MATCH(Consolidated!I1790&amp;Consolidated!J1790,'Org List'!$A$2:$A$1005&amp;'Org List'!$B$2:$B$1005,0),3)</f>
        <v>NGOs: National</v>
      </c>
    </row>
    <row r="1791" spans="1:13" x14ac:dyDescent="0.25">
      <c r="A1791" t="s">
        <v>710</v>
      </c>
      <c r="B1791" t="s">
        <v>234</v>
      </c>
      <c r="C1791" t="s">
        <v>235</v>
      </c>
      <c r="D1791" t="s">
        <v>30</v>
      </c>
      <c r="E1791" t="s">
        <v>76</v>
      </c>
      <c r="F1791">
        <v>4500461124</v>
      </c>
      <c r="H1791" t="s">
        <v>12</v>
      </c>
      <c r="I1791" t="s">
        <v>236</v>
      </c>
      <c r="J1791" t="s">
        <v>76</v>
      </c>
      <c r="K1791">
        <v>121317.07</v>
      </c>
      <c r="L1791" t="s">
        <v>6408</v>
      </c>
      <c r="M1791" t="str" cm="1">
        <f t="array" ref="M1791">INDEX('Org List'!$A$2:$C$1005,MATCH(Consolidated!I1791&amp;Consolidated!J1791,'Org List'!$A$2:$A$1005&amp;'Org List'!$B$2:$B$1005,0),3)</f>
        <v>NGOs: International</v>
      </c>
    </row>
    <row r="1792" spans="1:13" x14ac:dyDescent="0.25">
      <c r="A1792" t="s">
        <v>710</v>
      </c>
      <c r="B1792" t="s">
        <v>237</v>
      </c>
      <c r="C1792" t="s">
        <v>238</v>
      </c>
      <c r="D1792" t="s">
        <v>30</v>
      </c>
      <c r="E1792" t="s">
        <v>239</v>
      </c>
      <c r="F1792">
        <v>4500456882</v>
      </c>
      <c r="H1792" t="s">
        <v>12</v>
      </c>
      <c r="I1792" t="s">
        <v>240</v>
      </c>
      <c r="J1792" t="s">
        <v>239</v>
      </c>
      <c r="K1792">
        <v>89673.19</v>
      </c>
      <c r="L1792" t="s">
        <v>6408</v>
      </c>
      <c r="M1792" t="str" cm="1">
        <f t="array" ref="M1792">INDEX('Org List'!$A$2:$C$1005,MATCH(Consolidated!I1792&amp;Consolidated!J1792,'Org List'!$A$2:$A$1005&amp;'Org List'!$B$2:$B$1005,0),3)</f>
        <v>NGOs: International</v>
      </c>
    </row>
    <row r="1793" spans="1:13" x14ac:dyDescent="0.25">
      <c r="A1793" t="s">
        <v>710</v>
      </c>
      <c r="B1793" t="s">
        <v>241</v>
      </c>
      <c r="C1793" t="s">
        <v>242</v>
      </c>
      <c r="D1793" t="s">
        <v>30</v>
      </c>
      <c r="E1793" t="s">
        <v>243</v>
      </c>
      <c r="F1793">
        <v>4500461633</v>
      </c>
      <c r="H1793" t="s">
        <v>12</v>
      </c>
      <c r="I1793" t="s">
        <v>244</v>
      </c>
      <c r="J1793" t="s">
        <v>243</v>
      </c>
      <c r="K1793">
        <v>15553.69</v>
      </c>
      <c r="L1793" t="s">
        <v>6408</v>
      </c>
      <c r="M1793" t="str" cm="1">
        <f t="array" ref="M1793">INDEX('Org List'!$A$2:$C$1005,MATCH(Consolidated!I1793&amp;Consolidated!J1793,'Org List'!$A$2:$A$1005&amp;'Org List'!$B$2:$B$1005,0),3)</f>
        <v>Red Cross: National</v>
      </c>
    </row>
    <row r="1794" spans="1:13" x14ac:dyDescent="0.25">
      <c r="A1794" t="s">
        <v>710</v>
      </c>
      <c r="B1794" t="s">
        <v>241</v>
      </c>
      <c r="C1794" t="s">
        <v>242</v>
      </c>
      <c r="D1794" t="s">
        <v>30</v>
      </c>
      <c r="E1794" t="s">
        <v>243</v>
      </c>
      <c r="F1794">
        <v>4500461635</v>
      </c>
      <c r="H1794" t="s">
        <v>12</v>
      </c>
      <c r="I1794" t="s">
        <v>245</v>
      </c>
      <c r="J1794" t="s">
        <v>243</v>
      </c>
      <c r="K1794">
        <v>17019</v>
      </c>
      <c r="L1794" t="s">
        <v>6408</v>
      </c>
      <c r="M1794" t="str" cm="1">
        <f t="array" ref="M1794">INDEX('Org List'!$A$2:$C$1005,MATCH(Consolidated!I1794&amp;Consolidated!J1794,'Org List'!$A$2:$A$1005&amp;'Org List'!$B$2:$B$1005,0),3)</f>
        <v>Red Cross: National</v>
      </c>
    </row>
    <row r="1795" spans="1:13" x14ac:dyDescent="0.25">
      <c r="A1795" t="s">
        <v>710</v>
      </c>
      <c r="B1795" t="s">
        <v>241</v>
      </c>
      <c r="C1795" t="s">
        <v>242</v>
      </c>
      <c r="D1795" t="s">
        <v>30</v>
      </c>
      <c r="E1795" t="s">
        <v>243</v>
      </c>
      <c r="F1795">
        <v>4500463747</v>
      </c>
      <c r="H1795" t="s">
        <v>12</v>
      </c>
      <c r="I1795" t="s">
        <v>246</v>
      </c>
      <c r="J1795" t="s">
        <v>243</v>
      </c>
      <c r="K1795">
        <v>20038.439999999999</v>
      </c>
      <c r="L1795" t="s">
        <v>6408</v>
      </c>
      <c r="M1795" t="str" cm="1">
        <f t="array" ref="M1795">INDEX('Org List'!$A$2:$C$1005,MATCH(Consolidated!I1795&amp;Consolidated!J1795,'Org List'!$A$2:$A$1005&amp;'Org List'!$B$2:$B$1005,0),3)</f>
        <v>NGOs: National</v>
      </c>
    </row>
    <row r="1796" spans="1:13" x14ac:dyDescent="0.25">
      <c r="A1796" t="s">
        <v>710</v>
      </c>
      <c r="B1796" t="s">
        <v>241</v>
      </c>
      <c r="C1796" t="s">
        <v>242</v>
      </c>
      <c r="D1796" t="s">
        <v>30</v>
      </c>
      <c r="E1796" t="s">
        <v>243</v>
      </c>
      <c r="F1796">
        <v>4500463753</v>
      </c>
      <c r="H1796" t="s">
        <v>12</v>
      </c>
      <c r="I1796" t="s">
        <v>247</v>
      </c>
      <c r="J1796" t="s">
        <v>243</v>
      </c>
      <c r="K1796">
        <v>134797.07999999999</v>
      </c>
      <c r="L1796" t="s">
        <v>6408</v>
      </c>
      <c r="M1796" t="str" cm="1">
        <f t="array" ref="M1796">INDEX('Org List'!$A$2:$C$1005,MATCH(Consolidated!I1796&amp;Consolidated!J1796,'Org List'!$A$2:$A$1005&amp;'Org List'!$B$2:$B$1005,0),3)</f>
        <v>Other: Local</v>
      </c>
    </row>
    <row r="1797" spans="1:13" x14ac:dyDescent="0.25">
      <c r="A1797" t="s">
        <v>710</v>
      </c>
      <c r="B1797" t="s">
        <v>248</v>
      </c>
      <c r="C1797" t="s">
        <v>249</v>
      </c>
      <c r="D1797" t="s">
        <v>30</v>
      </c>
      <c r="E1797" t="s">
        <v>159</v>
      </c>
      <c r="F1797">
        <v>4500458682</v>
      </c>
      <c r="H1797" t="s">
        <v>12</v>
      </c>
      <c r="I1797" t="s">
        <v>250</v>
      </c>
      <c r="J1797" t="s">
        <v>159</v>
      </c>
      <c r="K1797">
        <v>246034.67</v>
      </c>
      <c r="L1797" t="s">
        <v>6408</v>
      </c>
      <c r="M1797" t="str" cm="1">
        <f t="array" ref="M1797">INDEX('Org List'!$A$2:$C$1005,MATCH(Consolidated!I1797&amp;Consolidated!J1797,'Org List'!$A$2:$A$1005&amp;'Org List'!$B$2:$B$1005,0),3)</f>
        <v>NGOs: International</v>
      </c>
    </row>
    <row r="1798" spans="1:13" x14ac:dyDescent="0.25">
      <c r="A1798" t="s">
        <v>710</v>
      </c>
      <c r="B1798" t="s">
        <v>251</v>
      </c>
      <c r="C1798" t="s">
        <v>252</v>
      </c>
      <c r="D1798" t="s">
        <v>30</v>
      </c>
      <c r="E1798" t="s">
        <v>253</v>
      </c>
      <c r="F1798">
        <v>4500478791</v>
      </c>
      <c r="H1798" t="s">
        <v>12</v>
      </c>
      <c r="I1798" t="s">
        <v>254</v>
      </c>
      <c r="J1798" t="s">
        <v>253</v>
      </c>
      <c r="K1798">
        <v>485000</v>
      </c>
      <c r="L1798" t="s">
        <v>6408</v>
      </c>
      <c r="M1798" t="str" cm="1">
        <f t="array" ref="M1798">INDEX('Org List'!$A$2:$C$1005,MATCH(Consolidated!I1798&amp;Consolidated!J1798,'Org List'!$A$2:$A$1005&amp;'Org List'!$B$2:$B$1005,0),3)</f>
        <v>Multilateral: UN</v>
      </c>
    </row>
    <row r="1799" spans="1:13" x14ac:dyDescent="0.25">
      <c r="A1799" t="s">
        <v>710</v>
      </c>
      <c r="B1799" t="s">
        <v>255</v>
      </c>
      <c r="C1799" t="s">
        <v>256</v>
      </c>
      <c r="D1799" t="s">
        <v>30</v>
      </c>
      <c r="E1799" t="s">
        <v>257</v>
      </c>
      <c r="F1799">
        <v>4500478191</v>
      </c>
      <c r="H1799" t="s">
        <v>12</v>
      </c>
      <c r="I1799" t="s">
        <v>258</v>
      </c>
      <c r="J1799" t="s">
        <v>257</v>
      </c>
      <c r="K1799">
        <v>45074.16</v>
      </c>
      <c r="L1799" t="s">
        <v>6408</v>
      </c>
      <c r="M1799" t="str" cm="1">
        <f t="array" ref="M1799">INDEX('Org List'!$A$2:$C$1005,MATCH(Consolidated!I1799&amp;Consolidated!J1799,'Org List'!$A$2:$A$1005&amp;'Org List'!$B$2:$B$1005,0),3)</f>
        <v>NGOs: National</v>
      </c>
    </row>
    <row r="1800" spans="1:13" x14ac:dyDescent="0.25">
      <c r="A1800" t="s">
        <v>710</v>
      </c>
      <c r="B1800" t="s">
        <v>259</v>
      </c>
      <c r="C1800" t="s">
        <v>260</v>
      </c>
      <c r="D1800" t="s">
        <v>30</v>
      </c>
      <c r="E1800" t="s">
        <v>261</v>
      </c>
      <c r="F1800">
        <v>4500467165</v>
      </c>
      <c r="H1800" t="s">
        <v>12</v>
      </c>
      <c r="I1800" t="s">
        <v>262</v>
      </c>
      <c r="J1800" t="s">
        <v>261</v>
      </c>
      <c r="K1800">
        <v>208200.95</v>
      </c>
      <c r="L1800" t="s">
        <v>6408</v>
      </c>
      <c r="M1800" t="str" cm="1">
        <f t="array" ref="M1800">INDEX('Org List'!$A$2:$C$1005,MATCH(Consolidated!I1800&amp;Consolidated!J1800,'Org List'!$A$2:$A$1005&amp;'Org List'!$B$2:$B$1005,0),3)</f>
        <v>Red Cross: National</v>
      </c>
    </row>
    <row r="1801" spans="1:13" x14ac:dyDescent="0.25">
      <c r="A1801" t="s">
        <v>710</v>
      </c>
      <c r="B1801" t="s">
        <v>259</v>
      </c>
      <c r="C1801" t="s">
        <v>260</v>
      </c>
      <c r="D1801" t="s">
        <v>30</v>
      </c>
      <c r="E1801" t="s">
        <v>261</v>
      </c>
      <c r="F1801">
        <v>4500467771</v>
      </c>
      <c r="H1801" t="s">
        <v>12</v>
      </c>
      <c r="I1801" t="s">
        <v>263</v>
      </c>
      <c r="J1801" t="s">
        <v>261</v>
      </c>
      <c r="K1801">
        <v>170346.23</v>
      </c>
      <c r="L1801" t="s">
        <v>6408</v>
      </c>
      <c r="M1801" t="str" cm="1">
        <f t="array" ref="M1801">INDEX('Org List'!$A$2:$C$1005,MATCH(Consolidated!I1801&amp;Consolidated!J1801,'Org List'!$A$2:$A$1005&amp;'Org List'!$B$2:$B$1005,0),3)</f>
        <v>Other: Local</v>
      </c>
    </row>
    <row r="1802" spans="1:13" x14ac:dyDescent="0.25">
      <c r="A1802" t="s">
        <v>710</v>
      </c>
      <c r="B1802" t="s">
        <v>259</v>
      </c>
      <c r="C1802" t="s">
        <v>260</v>
      </c>
      <c r="D1802" t="s">
        <v>30</v>
      </c>
      <c r="E1802" t="s">
        <v>261</v>
      </c>
      <c r="F1802">
        <v>4500482283</v>
      </c>
      <c r="H1802" t="s">
        <v>12</v>
      </c>
      <c r="I1802" t="s">
        <v>264</v>
      </c>
      <c r="J1802" t="s">
        <v>261</v>
      </c>
      <c r="K1802">
        <v>370503.06</v>
      </c>
      <c r="L1802" t="s">
        <v>6408</v>
      </c>
      <c r="M1802" t="str" cm="1">
        <f t="array" ref="M1802">INDEX('Org List'!$A$2:$C$1005,MATCH(Consolidated!I1802&amp;Consolidated!J1802,'Org List'!$A$2:$A$1005&amp;'Org List'!$B$2:$B$1005,0),3)</f>
        <v>NGOs: International</v>
      </c>
    </row>
    <row r="1803" spans="1:13" x14ac:dyDescent="0.25">
      <c r="A1803" t="s">
        <v>710</v>
      </c>
      <c r="B1803" t="s">
        <v>265</v>
      </c>
      <c r="C1803" t="s">
        <v>266</v>
      </c>
      <c r="D1803" t="s">
        <v>30</v>
      </c>
      <c r="E1803" t="s">
        <v>54</v>
      </c>
      <c r="F1803">
        <v>4500456767</v>
      </c>
      <c r="H1803" t="s">
        <v>12</v>
      </c>
      <c r="I1803" t="s">
        <v>267</v>
      </c>
      <c r="J1803" t="s">
        <v>54</v>
      </c>
      <c r="K1803">
        <v>331430.94</v>
      </c>
      <c r="L1803" t="s">
        <v>6408</v>
      </c>
      <c r="M1803" t="str" cm="1">
        <f t="array" ref="M1803">INDEX('Org List'!$A$2:$C$1005,MATCH(Consolidated!I1803&amp;Consolidated!J1803,'Org List'!$A$2:$A$1005&amp;'Org List'!$B$2:$B$1005,0),3)</f>
        <v>NGOs: National</v>
      </c>
    </row>
    <row r="1804" spans="1:13" x14ac:dyDescent="0.25">
      <c r="A1804" t="s">
        <v>710</v>
      </c>
      <c r="B1804" t="s">
        <v>265</v>
      </c>
      <c r="C1804" t="s">
        <v>266</v>
      </c>
      <c r="D1804" t="s">
        <v>30</v>
      </c>
      <c r="E1804" t="s">
        <v>54</v>
      </c>
      <c r="F1804">
        <v>4500458079</v>
      </c>
      <c r="H1804" t="s">
        <v>12</v>
      </c>
      <c r="I1804" t="s">
        <v>268</v>
      </c>
      <c r="J1804" t="s">
        <v>54</v>
      </c>
      <c r="K1804">
        <v>200191.79</v>
      </c>
      <c r="L1804" t="s">
        <v>6408</v>
      </c>
      <c r="M1804" t="str" cm="1">
        <f t="array" ref="M1804">INDEX('Org List'!$A$2:$C$1005,MATCH(Consolidated!I1804&amp;Consolidated!J1804,'Org List'!$A$2:$A$1005&amp;'Org List'!$B$2:$B$1005,0),3)</f>
        <v>NGOs: Internationally affiliated</v>
      </c>
    </row>
    <row r="1805" spans="1:13" x14ac:dyDescent="0.25">
      <c r="A1805" t="s">
        <v>710</v>
      </c>
      <c r="B1805" t="s">
        <v>265</v>
      </c>
      <c r="C1805" t="s">
        <v>266</v>
      </c>
      <c r="D1805" t="s">
        <v>30</v>
      </c>
      <c r="E1805" t="s">
        <v>54</v>
      </c>
      <c r="F1805">
        <v>4500458178</v>
      </c>
      <c r="H1805" t="s">
        <v>12</v>
      </c>
      <c r="I1805" t="s">
        <v>269</v>
      </c>
      <c r="J1805" t="s">
        <v>54</v>
      </c>
      <c r="K1805">
        <v>229147.4</v>
      </c>
      <c r="L1805" t="s">
        <v>6408</v>
      </c>
      <c r="M1805" t="str" cm="1">
        <f t="array" ref="M1805">INDEX('Org List'!$A$2:$C$1005,MATCH(Consolidated!I1805&amp;Consolidated!J1805,'Org List'!$A$2:$A$1005&amp;'Org List'!$B$2:$B$1005,0),3)</f>
        <v>NGOs: National</v>
      </c>
    </row>
    <row r="1806" spans="1:13" x14ac:dyDescent="0.25">
      <c r="A1806" t="s">
        <v>710</v>
      </c>
      <c r="B1806" t="s">
        <v>265</v>
      </c>
      <c r="C1806" t="s">
        <v>266</v>
      </c>
      <c r="D1806" t="s">
        <v>30</v>
      </c>
      <c r="E1806" t="s">
        <v>54</v>
      </c>
      <c r="F1806">
        <v>4500461468</v>
      </c>
      <c r="H1806" t="s">
        <v>12</v>
      </c>
      <c r="I1806" t="s">
        <v>270</v>
      </c>
      <c r="J1806" t="s">
        <v>54</v>
      </c>
      <c r="K1806">
        <v>182076.4</v>
      </c>
      <c r="L1806" t="s">
        <v>6408</v>
      </c>
      <c r="M1806" t="str" cm="1">
        <f t="array" ref="M1806">INDEX('Org List'!$A$2:$C$1005,MATCH(Consolidated!I1806&amp;Consolidated!J1806,'Org List'!$A$2:$A$1005&amp;'Org List'!$B$2:$B$1005,0),3)</f>
        <v>NGOs: National</v>
      </c>
    </row>
    <row r="1807" spans="1:13" x14ac:dyDescent="0.25">
      <c r="A1807" t="s">
        <v>710</v>
      </c>
      <c r="B1807" t="s">
        <v>265</v>
      </c>
      <c r="C1807" t="s">
        <v>266</v>
      </c>
      <c r="D1807" t="s">
        <v>30</v>
      </c>
      <c r="E1807" t="s">
        <v>54</v>
      </c>
      <c r="F1807">
        <v>4500462856</v>
      </c>
      <c r="H1807" t="s">
        <v>12</v>
      </c>
      <c r="I1807" t="s">
        <v>271</v>
      </c>
      <c r="J1807" t="s">
        <v>54</v>
      </c>
      <c r="K1807">
        <v>275848.28999999998</v>
      </c>
      <c r="L1807" t="s">
        <v>6408</v>
      </c>
      <c r="M1807" t="str" cm="1">
        <f t="array" ref="M1807">INDEX('Org List'!$A$2:$C$1005,MATCH(Consolidated!I1807&amp;Consolidated!J1807,'Org List'!$A$2:$A$1005&amp;'Org List'!$B$2:$B$1005,0),3)</f>
        <v>NGOs: National</v>
      </c>
    </row>
    <row r="1808" spans="1:13" x14ac:dyDescent="0.25">
      <c r="A1808" t="s">
        <v>710</v>
      </c>
      <c r="B1808" t="s">
        <v>265</v>
      </c>
      <c r="C1808" t="s">
        <v>266</v>
      </c>
      <c r="D1808" t="s">
        <v>30</v>
      </c>
      <c r="E1808" t="s">
        <v>54</v>
      </c>
      <c r="F1808">
        <v>4500463525</v>
      </c>
      <c r="H1808" t="s">
        <v>12</v>
      </c>
      <c r="I1808" t="s">
        <v>272</v>
      </c>
      <c r="J1808" t="s">
        <v>54</v>
      </c>
      <c r="K1808">
        <v>176312.22</v>
      </c>
      <c r="L1808" t="s">
        <v>6408</v>
      </c>
      <c r="M1808" t="str" cm="1">
        <f t="array" ref="M1808">INDEX('Org List'!$A$2:$C$1005,MATCH(Consolidated!I1808&amp;Consolidated!J1808,'Org List'!$A$2:$A$1005&amp;'Org List'!$B$2:$B$1005,0),3)</f>
        <v>NGOs: National</v>
      </c>
    </row>
    <row r="1809" spans="1:13" x14ac:dyDescent="0.25">
      <c r="A1809" t="s">
        <v>710</v>
      </c>
      <c r="B1809" t="s">
        <v>265</v>
      </c>
      <c r="C1809" t="s">
        <v>266</v>
      </c>
      <c r="D1809" t="s">
        <v>30</v>
      </c>
      <c r="E1809" t="s">
        <v>54</v>
      </c>
      <c r="F1809">
        <v>4500464365</v>
      </c>
      <c r="H1809" t="s">
        <v>12</v>
      </c>
      <c r="I1809" t="s">
        <v>267</v>
      </c>
      <c r="J1809" t="s">
        <v>54</v>
      </c>
      <c r="K1809">
        <v>167284.09</v>
      </c>
      <c r="L1809" t="s">
        <v>6408</v>
      </c>
      <c r="M1809" t="str" cm="1">
        <f t="array" ref="M1809">INDEX('Org List'!$A$2:$C$1005,MATCH(Consolidated!I1809&amp;Consolidated!J1809,'Org List'!$A$2:$A$1005&amp;'Org List'!$B$2:$B$1005,0),3)</f>
        <v>NGOs: National</v>
      </c>
    </row>
    <row r="1810" spans="1:13" x14ac:dyDescent="0.25">
      <c r="A1810" t="s">
        <v>710</v>
      </c>
      <c r="B1810" t="s">
        <v>265</v>
      </c>
      <c r="C1810" t="s">
        <v>266</v>
      </c>
      <c r="D1810" t="s">
        <v>30</v>
      </c>
      <c r="E1810" t="s">
        <v>54</v>
      </c>
      <c r="F1810">
        <v>4500464391</v>
      </c>
      <c r="H1810" t="s">
        <v>12</v>
      </c>
      <c r="I1810" t="s">
        <v>273</v>
      </c>
      <c r="J1810" t="s">
        <v>54</v>
      </c>
      <c r="K1810">
        <v>169975.9</v>
      </c>
      <c r="L1810" t="s">
        <v>6408</v>
      </c>
      <c r="M1810" t="str" cm="1">
        <f t="array" ref="M1810">INDEX('Org List'!$A$2:$C$1005,MATCH(Consolidated!I1810&amp;Consolidated!J1810,'Org List'!$A$2:$A$1005&amp;'Org List'!$B$2:$B$1005,0),3)</f>
        <v>NGOs: National</v>
      </c>
    </row>
    <row r="1811" spans="1:13" x14ac:dyDescent="0.25">
      <c r="A1811" t="s">
        <v>710</v>
      </c>
      <c r="B1811" t="s">
        <v>265</v>
      </c>
      <c r="C1811" t="s">
        <v>266</v>
      </c>
      <c r="D1811" t="s">
        <v>30</v>
      </c>
      <c r="E1811" t="s">
        <v>54</v>
      </c>
      <c r="F1811">
        <v>4500464426</v>
      </c>
      <c r="H1811" t="s">
        <v>12</v>
      </c>
      <c r="I1811" t="s">
        <v>274</v>
      </c>
      <c r="J1811" t="s">
        <v>54</v>
      </c>
      <c r="K1811">
        <v>218284.73</v>
      </c>
      <c r="L1811" t="s">
        <v>6408</v>
      </c>
      <c r="M1811" t="str" cm="1">
        <f t="array" ref="M1811">INDEX('Org List'!$A$2:$C$1005,MATCH(Consolidated!I1811&amp;Consolidated!J1811,'Org List'!$A$2:$A$1005&amp;'Org List'!$B$2:$B$1005,0),3)</f>
        <v>NGOs: National</v>
      </c>
    </row>
    <row r="1812" spans="1:13" x14ac:dyDescent="0.25">
      <c r="A1812" t="s">
        <v>710</v>
      </c>
      <c r="B1812" t="s">
        <v>265</v>
      </c>
      <c r="C1812" t="s">
        <v>266</v>
      </c>
      <c r="D1812" t="s">
        <v>30</v>
      </c>
      <c r="E1812" t="s">
        <v>54</v>
      </c>
      <c r="F1812">
        <v>4500464587</v>
      </c>
      <c r="H1812" t="s">
        <v>12</v>
      </c>
      <c r="I1812" t="s">
        <v>275</v>
      </c>
      <c r="J1812" t="s">
        <v>54</v>
      </c>
      <c r="K1812">
        <v>205063.09</v>
      </c>
      <c r="L1812" t="s">
        <v>6408</v>
      </c>
      <c r="M1812" t="str" cm="1">
        <f t="array" ref="M1812">INDEX('Org List'!$A$2:$C$1005,MATCH(Consolidated!I1812&amp;Consolidated!J1812,'Org List'!$A$2:$A$1005&amp;'Org List'!$B$2:$B$1005,0),3)</f>
        <v>NGOs: National</v>
      </c>
    </row>
    <row r="1813" spans="1:13" x14ac:dyDescent="0.25">
      <c r="A1813" t="s">
        <v>710</v>
      </c>
      <c r="B1813" t="s">
        <v>265</v>
      </c>
      <c r="C1813" t="s">
        <v>266</v>
      </c>
      <c r="D1813" t="s">
        <v>30</v>
      </c>
      <c r="E1813" t="s">
        <v>54</v>
      </c>
      <c r="F1813">
        <v>4500464614</v>
      </c>
      <c r="H1813" t="s">
        <v>12</v>
      </c>
      <c r="I1813" t="s">
        <v>276</v>
      </c>
      <c r="J1813" t="s">
        <v>54</v>
      </c>
      <c r="K1813">
        <v>366340.8</v>
      </c>
      <c r="L1813" t="s">
        <v>6408</v>
      </c>
      <c r="M1813" t="str" cm="1">
        <f t="array" ref="M1813">INDEX('Org List'!$A$2:$C$1005,MATCH(Consolidated!I1813&amp;Consolidated!J1813,'Org List'!$A$2:$A$1005&amp;'Org List'!$B$2:$B$1005,0),3)</f>
        <v>NGOs: National</v>
      </c>
    </row>
    <row r="1814" spans="1:13" x14ac:dyDescent="0.25">
      <c r="A1814" t="s">
        <v>710</v>
      </c>
      <c r="B1814" t="s">
        <v>265</v>
      </c>
      <c r="C1814" t="s">
        <v>266</v>
      </c>
      <c r="D1814" t="s">
        <v>30</v>
      </c>
      <c r="E1814" t="s">
        <v>54</v>
      </c>
      <c r="F1814">
        <v>4500464667</v>
      </c>
      <c r="H1814" t="s">
        <v>12</v>
      </c>
      <c r="I1814" t="s">
        <v>277</v>
      </c>
      <c r="J1814" t="s">
        <v>54</v>
      </c>
      <c r="K1814">
        <v>240070.82</v>
      </c>
      <c r="L1814" t="s">
        <v>6408</v>
      </c>
      <c r="M1814" t="str" cm="1">
        <f t="array" ref="M1814">INDEX('Org List'!$A$2:$C$1005,MATCH(Consolidated!I1814&amp;Consolidated!J1814,'Org List'!$A$2:$A$1005&amp;'Org List'!$B$2:$B$1005,0),3)</f>
        <v>NGOs: National</v>
      </c>
    </row>
    <row r="1815" spans="1:13" x14ac:dyDescent="0.25">
      <c r="A1815" t="s">
        <v>710</v>
      </c>
      <c r="B1815" t="s">
        <v>265</v>
      </c>
      <c r="C1815" t="s">
        <v>266</v>
      </c>
      <c r="D1815" t="s">
        <v>30</v>
      </c>
      <c r="E1815" t="s">
        <v>54</v>
      </c>
      <c r="F1815">
        <v>4500464934</v>
      </c>
      <c r="H1815" t="s">
        <v>12</v>
      </c>
      <c r="I1815" t="s">
        <v>278</v>
      </c>
      <c r="J1815" t="s">
        <v>54</v>
      </c>
      <c r="K1815">
        <v>220522.36</v>
      </c>
      <c r="L1815" t="s">
        <v>6408</v>
      </c>
      <c r="M1815" t="str" cm="1">
        <f t="array" ref="M1815">INDEX('Org List'!$A$2:$C$1005,MATCH(Consolidated!I1815&amp;Consolidated!J1815,'Org List'!$A$2:$A$1005&amp;'Org List'!$B$2:$B$1005,0),3)</f>
        <v>NGOs: Internationally affiliated</v>
      </c>
    </row>
    <row r="1816" spans="1:13" x14ac:dyDescent="0.25">
      <c r="A1816" t="s">
        <v>710</v>
      </c>
      <c r="B1816" t="s">
        <v>265</v>
      </c>
      <c r="C1816" t="s">
        <v>266</v>
      </c>
      <c r="D1816" t="s">
        <v>30</v>
      </c>
      <c r="E1816" t="s">
        <v>54</v>
      </c>
      <c r="F1816">
        <v>4500464983</v>
      </c>
      <c r="H1816" t="s">
        <v>12</v>
      </c>
      <c r="I1816" t="s">
        <v>279</v>
      </c>
      <c r="J1816" t="s">
        <v>54</v>
      </c>
      <c r="K1816">
        <v>176000</v>
      </c>
      <c r="L1816" t="s">
        <v>6408</v>
      </c>
      <c r="M1816" t="str" cm="1">
        <f t="array" ref="M1816">INDEX('Org List'!$A$2:$C$1005,MATCH(Consolidated!I1816&amp;Consolidated!J1816,'Org List'!$A$2:$A$1005&amp;'Org List'!$B$2:$B$1005,0),3)</f>
        <v>NGOs: National</v>
      </c>
    </row>
    <row r="1817" spans="1:13" x14ac:dyDescent="0.25">
      <c r="A1817" t="s">
        <v>710</v>
      </c>
      <c r="B1817" t="s">
        <v>265</v>
      </c>
      <c r="C1817" t="s">
        <v>266</v>
      </c>
      <c r="D1817" t="s">
        <v>30</v>
      </c>
      <c r="E1817" t="s">
        <v>54</v>
      </c>
      <c r="F1817">
        <v>4500465043</v>
      </c>
      <c r="H1817" t="s">
        <v>12</v>
      </c>
      <c r="I1817" t="s">
        <v>272</v>
      </c>
      <c r="J1817" t="s">
        <v>54</v>
      </c>
      <c r="K1817">
        <v>141745.81</v>
      </c>
      <c r="L1817" t="s">
        <v>6408</v>
      </c>
      <c r="M1817" t="str" cm="1">
        <f t="array" ref="M1817">INDEX('Org List'!$A$2:$C$1005,MATCH(Consolidated!I1817&amp;Consolidated!J1817,'Org List'!$A$2:$A$1005&amp;'Org List'!$B$2:$B$1005,0),3)</f>
        <v>NGOs: National</v>
      </c>
    </row>
    <row r="1818" spans="1:13" x14ac:dyDescent="0.25">
      <c r="A1818" t="s">
        <v>710</v>
      </c>
      <c r="B1818" t="s">
        <v>265</v>
      </c>
      <c r="C1818" t="s">
        <v>266</v>
      </c>
      <c r="D1818" t="s">
        <v>30</v>
      </c>
      <c r="E1818" t="s">
        <v>54</v>
      </c>
      <c r="F1818">
        <v>4500465854</v>
      </c>
      <c r="H1818" t="s">
        <v>12</v>
      </c>
      <c r="I1818" t="s">
        <v>280</v>
      </c>
      <c r="J1818" t="s">
        <v>54</v>
      </c>
      <c r="K1818">
        <v>381846.3</v>
      </c>
      <c r="L1818" t="s">
        <v>6408</v>
      </c>
      <c r="M1818" t="str" cm="1">
        <f t="array" ref="M1818">INDEX('Org List'!$A$2:$C$1005,MATCH(Consolidated!I1818&amp;Consolidated!J1818,'Org List'!$A$2:$A$1005&amp;'Org List'!$B$2:$B$1005,0),3)</f>
        <v>NGOs: National</v>
      </c>
    </row>
    <row r="1819" spans="1:13" x14ac:dyDescent="0.25">
      <c r="A1819" t="s">
        <v>710</v>
      </c>
      <c r="B1819" t="s">
        <v>265</v>
      </c>
      <c r="C1819" t="s">
        <v>266</v>
      </c>
      <c r="D1819" t="s">
        <v>30</v>
      </c>
      <c r="E1819" t="s">
        <v>54</v>
      </c>
      <c r="F1819">
        <v>4500469256</v>
      </c>
      <c r="H1819" t="s">
        <v>12</v>
      </c>
      <c r="I1819" t="s">
        <v>281</v>
      </c>
      <c r="J1819" t="s">
        <v>54</v>
      </c>
      <c r="K1819">
        <v>26313.65</v>
      </c>
      <c r="L1819" t="s">
        <v>6408</v>
      </c>
      <c r="M1819" t="str" cm="1">
        <f t="array" ref="M1819">INDEX('Org List'!$A$2:$C$1005,MATCH(Consolidated!I1819&amp;Consolidated!J1819,'Org List'!$A$2:$A$1005&amp;'Org List'!$B$2:$B$1005,0),3)</f>
        <v>NGOs: International</v>
      </c>
    </row>
    <row r="1820" spans="1:13" x14ac:dyDescent="0.25">
      <c r="A1820" t="s">
        <v>710</v>
      </c>
      <c r="B1820" t="s">
        <v>265</v>
      </c>
      <c r="C1820" t="s">
        <v>266</v>
      </c>
      <c r="D1820" t="s">
        <v>30</v>
      </c>
      <c r="E1820" t="s">
        <v>54</v>
      </c>
      <c r="F1820">
        <v>4500480525</v>
      </c>
      <c r="H1820" t="s">
        <v>12</v>
      </c>
      <c r="I1820" t="s">
        <v>56</v>
      </c>
      <c r="J1820" t="s">
        <v>54</v>
      </c>
      <c r="K1820">
        <v>34682.300000000003</v>
      </c>
      <c r="L1820" t="s">
        <v>6408</v>
      </c>
      <c r="M1820" t="str" cm="1">
        <f t="array" ref="M1820">INDEX('Org List'!$A$2:$C$1005,MATCH(Consolidated!I1820&amp;Consolidated!J1820,'Org List'!$A$2:$A$1005&amp;'Org List'!$B$2:$B$1005,0),3)</f>
        <v>NGOs: National</v>
      </c>
    </row>
    <row r="1821" spans="1:13" x14ac:dyDescent="0.25">
      <c r="A1821" t="s">
        <v>710</v>
      </c>
      <c r="B1821" t="s">
        <v>265</v>
      </c>
      <c r="C1821" t="s">
        <v>266</v>
      </c>
      <c r="D1821" t="s">
        <v>30</v>
      </c>
      <c r="E1821" t="s">
        <v>54</v>
      </c>
      <c r="F1821">
        <v>4500480539</v>
      </c>
      <c r="H1821" t="s">
        <v>12</v>
      </c>
      <c r="I1821" t="s">
        <v>57</v>
      </c>
      <c r="J1821" t="s">
        <v>54</v>
      </c>
      <c r="K1821">
        <v>63128.800000000003</v>
      </c>
      <c r="L1821" t="s">
        <v>6408</v>
      </c>
      <c r="M1821" t="str" cm="1">
        <f t="array" ref="M1821">INDEX('Org List'!$A$2:$C$1005,MATCH(Consolidated!I1821&amp;Consolidated!J1821,'Org List'!$A$2:$A$1005&amp;'Org List'!$B$2:$B$1005,0),3)</f>
        <v>NGOs: National</v>
      </c>
    </row>
    <row r="1822" spans="1:13" x14ac:dyDescent="0.25">
      <c r="A1822" t="s">
        <v>710</v>
      </c>
      <c r="B1822" t="s">
        <v>265</v>
      </c>
      <c r="C1822" t="s">
        <v>266</v>
      </c>
      <c r="D1822" t="s">
        <v>30</v>
      </c>
      <c r="E1822" t="s">
        <v>54</v>
      </c>
      <c r="F1822">
        <v>4500481359</v>
      </c>
      <c r="H1822" t="s">
        <v>12</v>
      </c>
      <c r="I1822" t="s">
        <v>58</v>
      </c>
      <c r="J1822" t="s">
        <v>54</v>
      </c>
      <c r="K1822">
        <v>46354.37</v>
      </c>
      <c r="L1822" t="s">
        <v>6408</v>
      </c>
      <c r="M1822" t="str" cm="1">
        <f t="array" ref="M1822">INDEX('Org List'!$A$2:$C$1005,MATCH(Consolidated!I1822&amp;Consolidated!J1822,'Org List'!$A$2:$A$1005&amp;'Org List'!$B$2:$B$1005,0),3)</f>
        <v>NGOs: National</v>
      </c>
    </row>
    <row r="1823" spans="1:13" x14ac:dyDescent="0.25">
      <c r="A1823" t="s">
        <v>710</v>
      </c>
      <c r="B1823" t="s">
        <v>282</v>
      </c>
      <c r="C1823" t="s">
        <v>283</v>
      </c>
      <c r="D1823" t="s">
        <v>30</v>
      </c>
      <c r="E1823" t="s">
        <v>146</v>
      </c>
      <c r="F1823">
        <v>4500459758</v>
      </c>
      <c r="H1823" t="s">
        <v>12</v>
      </c>
      <c r="I1823" t="s">
        <v>284</v>
      </c>
      <c r="J1823" t="s">
        <v>146</v>
      </c>
      <c r="K1823">
        <v>11054</v>
      </c>
      <c r="L1823" t="s">
        <v>6408</v>
      </c>
      <c r="M1823" t="str" cm="1">
        <f t="array" ref="M1823">INDEX('Org List'!$A$2:$C$1005,MATCH(Consolidated!I1823&amp;Consolidated!J1823,'Org List'!$A$2:$A$1005&amp;'Org List'!$B$2:$B$1005,0),3)</f>
        <v>NGOs: National</v>
      </c>
    </row>
    <row r="1824" spans="1:13" x14ac:dyDescent="0.25">
      <c r="A1824" t="s">
        <v>710</v>
      </c>
      <c r="B1824" t="s">
        <v>282</v>
      </c>
      <c r="C1824" t="s">
        <v>283</v>
      </c>
      <c r="D1824" t="s">
        <v>30</v>
      </c>
      <c r="E1824" t="s">
        <v>146</v>
      </c>
      <c r="F1824">
        <v>4500475758</v>
      </c>
      <c r="H1824" t="s">
        <v>12</v>
      </c>
      <c r="I1824" t="s">
        <v>285</v>
      </c>
      <c r="J1824" t="s">
        <v>146</v>
      </c>
      <c r="K1824">
        <v>14496</v>
      </c>
      <c r="L1824" t="s">
        <v>6408</v>
      </c>
      <c r="M1824" t="str" cm="1">
        <f t="array" ref="M1824">INDEX('Org List'!$A$2:$C$1005,MATCH(Consolidated!I1824&amp;Consolidated!J1824,'Org List'!$A$2:$A$1005&amp;'Org List'!$B$2:$B$1005,0),3)</f>
        <v>NGOs: National</v>
      </c>
    </row>
    <row r="1825" spans="1:13" x14ac:dyDescent="0.25">
      <c r="A1825" t="s">
        <v>710</v>
      </c>
      <c r="B1825" t="s">
        <v>282</v>
      </c>
      <c r="C1825" t="s">
        <v>283</v>
      </c>
      <c r="D1825" t="s">
        <v>30</v>
      </c>
      <c r="E1825" t="s">
        <v>146</v>
      </c>
      <c r="F1825">
        <v>4500478314</v>
      </c>
      <c r="H1825" t="s">
        <v>12</v>
      </c>
      <c r="I1825" t="s">
        <v>286</v>
      </c>
      <c r="J1825" t="s">
        <v>146</v>
      </c>
      <c r="K1825">
        <v>8451</v>
      </c>
      <c r="L1825" t="s">
        <v>6408</v>
      </c>
      <c r="M1825" t="str" cm="1">
        <f t="array" ref="M1825">INDEX('Org List'!$A$2:$C$1005,MATCH(Consolidated!I1825&amp;Consolidated!J1825,'Org List'!$A$2:$A$1005&amp;'Org List'!$B$2:$B$1005,0),3)</f>
        <v>NGOs: National</v>
      </c>
    </row>
    <row r="1826" spans="1:13" x14ac:dyDescent="0.25">
      <c r="A1826" t="s">
        <v>710</v>
      </c>
      <c r="B1826" t="s">
        <v>287</v>
      </c>
      <c r="C1826" t="s">
        <v>288</v>
      </c>
      <c r="D1826" t="s">
        <v>30</v>
      </c>
      <c r="E1826" t="s">
        <v>289</v>
      </c>
      <c r="F1826">
        <v>4500477859</v>
      </c>
      <c r="H1826" t="s">
        <v>12</v>
      </c>
      <c r="I1826" t="s">
        <v>290</v>
      </c>
      <c r="J1826" t="s">
        <v>289</v>
      </c>
      <c r="K1826">
        <v>70000</v>
      </c>
      <c r="L1826" t="s">
        <v>6408</v>
      </c>
      <c r="M1826" t="str" cm="1">
        <f t="array" ref="M1826">INDEX('Org List'!$A$2:$C$1005,MATCH(Consolidated!I1826&amp;Consolidated!J1826,'Org List'!$A$2:$A$1005&amp;'Org List'!$B$2:$B$1005,0),3)</f>
        <v>NGOs: National</v>
      </c>
    </row>
    <row r="1827" spans="1:13" x14ac:dyDescent="0.25">
      <c r="A1827" t="s">
        <v>710</v>
      </c>
      <c r="B1827" t="s">
        <v>287</v>
      </c>
      <c r="C1827" t="s">
        <v>288</v>
      </c>
      <c r="D1827" t="s">
        <v>30</v>
      </c>
      <c r="E1827" t="s">
        <v>289</v>
      </c>
      <c r="F1827">
        <v>4500477860</v>
      </c>
      <c r="H1827" t="s">
        <v>12</v>
      </c>
      <c r="I1827" t="s">
        <v>291</v>
      </c>
      <c r="J1827" t="s">
        <v>289</v>
      </c>
      <c r="K1827">
        <v>80000</v>
      </c>
      <c r="L1827" t="s">
        <v>6408</v>
      </c>
      <c r="M1827" t="str" cm="1">
        <f t="array" ref="M1827">INDEX('Org List'!$A$2:$C$1005,MATCH(Consolidated!I1827&amp;Consolidated!J1827,'Org List'!$A$2:$A$1005&amp;'Org List'!$B$2:$B$1005,0),3)</f>
        <v>NGOs: National</v>
      </c>
    </row>
    <row r="1828" spans="1:13" x14ac:dyDescent="0.25">
      <c r="A1828" t="s">
        <v>710</v>
      </c>
      <c r="B1828" t="s">
        <v>287</v>
      </c>
      <c r="C1828" t="s">
        <v>288</v>
      </c>
      <c r="D1828" t="s">
        <v>30</v>
      </c>
      <c r="E1828" t="s">
        <v>289</v>
      </c>
      <c r="F1828">
        <v>4500478042</v>
      </c>
      <c r="H1828" t="s">
        <v>12</v>
      </c>
      <c r="I1828" t="s">
        <v>292</v>
      </c>
      <c r="J1828" t="s">
        <v>289</v>
      </c>
      <c r="K1828">
        <v>58858.05</v>
      </c>
      <c r="L1828" t="s">
        <v>6408</v>
      </c>
      <c r="M1828" t="str" cm="1">
        <f t="array" ref="M1828">INDEX('Org List'!$A$2:$C$1005,MATCH(Consolidated!I1828&amp;Consolidated!J1828,'Org List'!$A$2:$A$1005&amp;'Org List'!$B$2:$B$1005,0),3)</f>
        <v>NGOs: Local</v>
      </c>
    </row>
    <row r="1829" spans="1:13" x14ac:dyDescent="0.25">
      <c r="A1829" t="s">
        <v>710</v>
      </c>
      <c r="B1829" t="s">
        <v>287</v>
      </c>
      <c r="C1829" t="s">
        <v>288</v>
      </c>
      <c r="D1829" t="s">
        <v>30</v>
      </c>
      <c r="E1829" t="s">
        <v>289</v>
      </c>
      <c r="F1829">
        <v>4500478044</v>
      </c>
      <c r="H1829" t="s">
        <v>12</v>
      </c>
      <c r="I1829" t="s">
        <v>293</v>
      </c>
      <c r="J1829" t="s">
        <v>289</v>
      </c>
      <c r="K1829">
        <v>30827</v>
      </c>
      <c r="L1829" t="s">
        <v>6408</v>
      </c>
      <c r="M1829" t="str" cm="1">
        <f t="array" ref="M1829">INDEX('Org List'!$A$2:$C$1005,MATCH(Consolidated!I1829&amp;Consolidated!J1829,'Org List'!$A$2:$A$1005&amp;'Org List'!$B$2:$B$1005,0),3)</f>
        <v>NGOs: National</v>
      </c>
    </row>
    <row r="1830" spans="1:13" x14ac:dyDescent="0.25">
      <c r="A1830" t="s">
        <v>710</v>
      </c>
      <c r="B1830" t="s">
        <v>287</v>
      </c>
      <c r="C1830" t="s">
        <v>288</v>
      </c>
      <c r="D1830" t="s">
        <v>30</v>
      </c>
      <c r="E1830" t="s">
        <v>289</v>
      </c>
      <c r="F1830">
        <v>4500478367</v>
      </c>
      <c r="H1830" t="s">
        <v>12</v>
      </c>
      <c r="I1830" t="s">
        <v>294</v>
      </c>
      <c r="J1830" t="s">
        <v>289</v>
      </c>
      <c r="K1830">
        <v>45785</v>
      </c>
      <c r="L1830" t="s">
        <v>6408</v>
      </c>
      <c r="M1830" t="str" cm="1">
        <f t="array" ref="M1830">INDEX('Org List'!$A$2:$C$1005,MATCH(Consolidated!I1830&amp;Consolidated!J1830,'Org List'!$A$2:$A$1005&amp;'Org List'!$B$2:$B$1005,0),3)</f>
        <v>NGOs: National</v>
      </c>
    </row>
    <row r="1831" spans="1:13" x14ac:dyDescent="0.25">
      <c r="A1831" t="s">
        <v>710</v>
      </c>
      <c r="B1831" t="s">
        <v>287</v>
      </c>
      <c r="C1831" t="s">
        <v>288</v>
      </c>
      <c r="D1831" t="s">
        <v>30</v>
      </c>
      <c r="E1831" t="s">
        <v>289</v>
      </c>
      <c r="F1831">
        <v>4500478371</v>
      </c>
      <c r="H1831" t="s">
        <v>12</v>
      </c>
      <c r="I1831" t="s">
        <v>295</v>
      </c>
      <c r="J1831" t="s">
        <v>289</v>
      </c>
      <c r="K1831">
        <v>47842</v>
      </c>
      <c r="L1831" t="s">
        <v>6408</v>
      </c>
      <c r="M1831" t="str" cm="1">
        <f t="array" ref="M1831">INDEX('Org List'!$A$2:$C$1005,MATCH(Consolidated!I1831&amp;Consolidated!J1831,'Org List'!$A$2:$A$1005&amp;'Org List'!$B$2:$B$1005,0),3)</f>
        <v>NGOs: National</v>
      </c>
    </row>
    <row r="1832" spans="1:13" x14ac:dyDescent="0.25">
      <c r="A1832" t="s">
        <v>710</v>
      </c>
      <c r="B1832" t="s">
        <v>287</v>
      </c>
      <c r="C1832" t="s">
        <v>288</v>
      </c>
      <c r="D1832" t="s">
        <v>30</v>
      </c>
      <c r="E1832" t="s">
        <v>289</v>
      </c>
      <c r="F1832">
        <v>4500478373</v>
      </c>
      <c r="H1832" t="s">
        <v>12</v>
      </c>
      <c r="I1832" t="s">
        <v>296</v>
      </c>
      <c r="J1832" t="s">
        <v>289</v>
      </c>
      <c r="K1832">
        <v>60000</v>
      </c>
      <c r="L1832" t="s">
        <v>6408</v>
      </c>
      <c r="M1832" t="str" cm="1">
        <f t="array" ref="M1832">INDEX('Org List'!$A$2:$C$1005,MATCH(Consolidated!I1832&amp;Consolidated!J1832,'Org List'!$A$2:$A$1005&amp;'Org List'!$B$2:$B$1005,0),3)</f>
        <v>NGOs: National</v>
      </c>
    </row>
    <row r="1833" spans="1:13" x14ac:dyDescent="0.25">
      <c r="A1833" t="s">
        <v>710</v>
      </c>
      <c r="B1833" t="s">
        <v>287</v>
      </c>
      <c r="C1833" t="s">
        <v>288</v>
      </c>
      <c r="D1833" t="s">
        <v>30</v>
      </c>
      <c r="E1833" t="s">
        <v>289</v>
      </c>
      <c r="F1833">
        <v>4500478376</v>
      </c>
      <c r="H1833" t="s">
        <v>12</v>
      </c>
      <c r="I1833" t="s">
        <v>297</v>
      </c>
      <c r="J1833" t="s">
        <v>289</v>
      </c>
      <c r="K1833">
        <v>50000</v>
      </c>
      <c r="L1833" t="s">
        <v>6408</v>
      </c>
      <c r="M1833" t="str" cm="1">
        <f t="array" ref="M1833">INDEX('Org List'!$A$2:$C$1005,MATCH(Consolidated!I1833&amp;Consolidated!J1833,'Org List'!$A$2:$A$1005&amp;'Org List'!$B$2:$B$1005,0),3)</f>
        <v>NGOs: National</v>
      </c>
    </row>
    <row r="1834" spans="1:13" x14ac:dyDescent="0.25">
      <c r="A1834" t="s">
        <v>710</v>
      </c>
      <c r="B1834" t="s">
        <v>287</v>
      </c>
      <c r="C1834" t="s">
        <v>288</v>
      </c>
      <c r="D1834" t="s">
        <v>30</v>
      </c>
      <c r="E1834" t="s">
        <v>289</v>
      </c>
      <c r="F1834">
        <v>4500478378</v>
      </c>
      <c r="H1834" t="s">
        <v>12</v>
      </c>
      <c r="I1834" t="s">
        <v>298</v>
      </c>
      <c r="J1834" t="s">
        <v>289</v>
      </c>
      <c r="K1834">
        <v>59936</v>
      </c>
      <c r="L1834" t="s">
        <v>6408</v>
      </c>
      <c r="M1834" t="str" cm="1">
        <f t="array" ref="M1834">INDEX('Org List'!$A$2:$C$1005,MATCH(Consolidated!I1834&amp;Consolidated!J1834,'Org List'!$A$2:$A$1005&amp;'Org List'!$B$2:$B$1005,0),3)</f>
        <v>NGOs: National</v>
      </c>
    </row>
    <row r="1835" spans="1:13" x14ac:dyDescent="0.25">
      <c r="A1835" t="s">
        <v>710</v>
      </c>
      <c r="B1835" t="s">
        <v>287</v>
      </c>
      <c r="C1835" t="s">
        <v>288</v>
      </c>
      <c r="D1835" t="s">
        <v>30</v>
      </c>
      <c r="E1835" t="s">
        <v>289</v>
      </c>
      <c r="F1835">
        <v>4500478382</v>
      </c>
      <c r="H1835" t="s">
        <v>12</v>
      </c>
      <c r="I1835" t="s">
        <v>299</v>
      </c>
      <c r="J1835" t="s">
        <v>289</v>
      </c>
      <c r="K1835">
        <v>20000</v>
      </c>
      <c r="L1835" t="s">
        <v>6408</v>
      </c>
      <c r="M1835" t="str" cm="1">
        <f t="array" ref="M1835">INDEX('Org List'!$A$2:$C$1005,MATCH(Consolidated!I1835&amp;Consolidated!J1835,'Org List'!$A$2:$A$1005&amp;'Org List'!$B$2:$B$1005,0),3)</f>
        <v>NGOs: National</v>
      </c>
    </row>
    <row r="1836" spans="1:13" x14ac:dyDescent="0.25">
      <c r="A1836" t="s">
        <v>710</v>
      </c>
      <c r="B1836" t="s">
        <v>287</v>
      </c>
      <c r="C1836" t="s">
        <v>288</v>
      </c>
      <c r="D1836" t="s">
        <v>30</v>
      </c>
      <c r="E1836" t="s">
        <v>289</v>
      </c>
      <c r="F1836">
        <v>4500478385</v>
      </c>
      <c r="H1836" t="s">
        <v>12</v>
      </c>
      <c r="I1836" t="s">
        <v>300</v>
      </c>
      <c r="J1836" t="s">
        <v>289</v>
      </c>
      <c r="K1836">
        <v>22898</v>
      </c>
      <c r="L1836" t="s">
        <v>6408</v>
      </c>
      <c r="M1836" t="str" cm="1">
        <f t="array" ref="M1836">INDEX('Org List'!$A$2:$C$1005,MATCH(Consolidated!I1836&amp;Consolidated!J1836,'Org List'!$A$2:$A$1005&amp;'Org List'!$B$2:$B$1005,0),3)</f>
        <v>NGOs: National</v>
      </c>
    </row>
    <row r="1837" spans="1:13" x14ac:dyDescent="0.25">
      <c r="A1837" t="s">
        <v>710</v>
      </c>
      <c r="B1837" t="s">
        <v>287</v>
      </c>
      <c r="C1837" t="s">
        <v>288</v>
      </c>
      <c r="D1837" t="s">
        <v>30</v>
      </c>
      <c r="E1837" t="s">
        <v>289</v>
      </c>
      <c r="F1837">
        <v>4500478388</v>
      </c>
      <c r="H1837" t="s">
        <v>12</v>
      </c>
      <c r="I1837" t="s">
        <v>301</v>
      </c>
      <c r="J1837" t="s">
        <v>289</v>
      </c>
      <c r="K1837">
        <v>50000</v>
      </c>
      <c r="L1837" t="s">
        <v>6408</v>
      </c>
      <c r="M1837" t="str" cm="1">
        <f t="array" ref="M1837">INDEX('Org List'!$A$2:$C$1005,MATCH(Consolidated!I1837&amp;Consolidated!J1837,'Org List'!$A$2:$A$1005&amp;'Org List'!$B$2:$B$1005,0),3)</f>
        <v>Other: National</v>
      </c>
    </row>
    <row r="1838" spans="1:13" x14ac:dyDescent="0.25">
      <c r="A1838" t="s">
        <v>710</v>
      </c>
      <c r="B1838" t="s">
        <v>287</v>
      </c>
      <c r="C1838" t="s">
        <v>288</v>
      </c>
      <c r="D1838" t="s">
        <v>30</v>
      </c>
      <c r="E1838" t="s">
        <v>289</v>
      </c>
      <c r="F1838">
        <v>4500478392</v>
      </c>
      <c r="H1838" t="s">
        <v>12</v>
      </c>
      <c r="I1838" t="s">
        <v>302</v>
      </c>
      <c r="J1838" t="s">
        <v>289</v>
      </c>
      <c r="K1838">
        <v>35000</v>
      </c>
      <c r="L1838" t="s">
        <v>6408</v>
      </c>
      <c r="M1838" t="str" cm="1">
        <f t="array" ref="M1838">INDEX('Org List'!$A$2:$C$1005,MATCH(Consolidated!I1838&amp;Consolidated!J1838,'Org List'!$A$2:$A$1005&amp;'Org List'!$B$2:$B$1005,0),3)</f>
        <v>Other: National</v>
      </c>
    </row>
    <row r="1839" spans="1:13" x14ac:dyDescent="0.25">
      <c r="A1839" t="s">
        <v>710</v>
      </c>
      <c r="B1839" t="s">
        <v>287</v>
      </c>
      <c r="C1839" t="s">
        <v>288</v>
      </c>
      <c r="D1839" t="s">
        <v>30</v>
      </c>
      <c r="E1839" t="s">
        <v>303</v>
      </c>
      <c r="F1839">
        <v>4500465147</v>
      </c>
      <c r="H1839" t="s">
        <v>12</v>
      </c>
      <c r="I1839" t="s">
        <v>304</v>
      </c>
      <c r="J1839" t="s">
        <v>303</v>
      </c>
      <c r="K1839">
        <v>55580.72</v>
      </c>
      <c r="L1839" t="s">
        <v>6408</v>
      </c>
      <c r="M1839" t="str" cm="1">
        <f t="array" ref="M1839">INDEX('Org List'!$A$2:$C$1005,MATCH(Consolidated!I1839&amp;Consolidated!J1839,'Org List'!$A$2:$A$1005&amp;'Org List'!$B$2:$B$1005,0),3)</f>
        <v>NGOs: National</v>
      </c>
    </row>
    <row r="1840" spans="1:13" x14ac:dyDescent="0.25">
      <c r="A1840" t="s">
        <v>710</v>
      </c>
      <c r="B1840" t="s">
        <v>287</v>
      </c>
      <c r="C1840" t="s">
        <v>288</v>
      </c>
      <c r="D1840" t="s">
        <v>30</v>
      </c>
      <c r="E1840" t="s">
        <v>305</v>
      </c>
      <c r="F1840">
        <v>4500458443</v>
      </c>
      <c r="H1840" t="s">
        <v>12</v>
      </c>
      <c r="I1840" t="s">
        <v>306</v>
      </c>
      <c r="J1840" t="s">
        <v>305</v>
      </c>
      <c r="K1840">
        <v>1017796.39</v>
      </c>
      <c r="L1840" t="s">
        <v>6408</v>
      </c>
      <c r="M1840" t="str" cm="1">
        <f t="array" ref="M1840">INDEX('Org List'!$A$2:$C$1005,MATCH(Consolidated!I1840&amp;Consolidated!J1840,'Org List'!$A$2:$A$1005&amp;'Org List'!$B$2:$B$1005,0),3)</f>
        <v>NGOs: National</v>
      </c>
    </row>
    <row r="1841" spans="1:13" x14ac:dyDescent="0.25">
      <c r="A1841" t="s">
        <v>710</v>
      </c>
      <c r="B1841" t="s">
        <v>287</v>
      </c>
      <c r="C1841" t="s">
        <v>288</v>
      </c>
      <c r="D1841" t="s">
        <v>30</v>
      </c>
      <c r="E1841" t="s">
        <v>305</v>
      </c>
      <c r="F1841">
        <v>4500459996</v>
      </c>
      <c r="H1841" t="s">
        <v>12</v>
      </c>
      <c r="I1841" t="s">
        <v>307</v>
      </c>
      <c r="J1841" t="s">
        <v>305</v>
      </c>
      <c r="K1841">
        <v>171421.1</v>
      </c>
      <c r="L1841" t="s">
        <v>6408</v>
      </c>
      <c r="M1841" t="str" cm="1">
        <f t="array" ref="M1841">INDEX('Org List'!$A$2:$C$1005,MATCH(Consolidated!I1841&amp;Consolidated!J1841,'Org List'!$A$2:$A$1005&amp;'Org List'!$B$2:$B$1005,0),3)</f>
        <v>NGOs: Local</v>
      </c>
    </row>
    <row r="1842" spans="1:13" x14ac:dyDescent="0.25">
      <c r="A1842" t="s">
        <v>710</v>
      </c>
      <c r="B1842" t="s">
        <v>287</v>
      </c>
      <c r="C1842" t="s">
        <v>288</v>
      </c>
      <c r="D1842" t="s">
        <v>30</v>
      </c>
      <c r="E1842" t="s">
        <v>305</v>
      </c>
      <c r="F1842">
        <v>4500460245</v>
      </c>
      <c r="H1842" t="s">
        <v>12</v>
      </c>
      <c r="I1842" t="s">
        <v>308</v>
      </c>
      <c r="J1842" t="s">
        <v>305</v>
      </c>
      <c r="K1842">
        <v>62156.5</v>
      </c>
      <c r="L1842" t="s">
        <v>6408</v>
      </c>
      <c r="M1842" t="str" cm="1">
        <f t="array" ref="M1842">INDEX('Org List'!$A$2:$C$1005,MATCH(Consolidated!I1842&amp;Consolidated!J1842,'Org List'!$A$2:$A$1005&amp;'Org List'!$B$2:$B$1005,0),3)</f>
        <v>NGOs: National</v>
      </c>
    </row>
    <row r="1843" spans="1:13" x14ac:dyDescent="0.25">
      <c r="A1843" t="s">
        <v>710</v>
      </c>
      <c r="B1843" t="s">
        <v>287</v>
      </c>
      <c r="C1843" t="s">
        <v>288</v>
      </c>
      <c r="D1843" t="s">
        <v>30</v>
      </c>
      <c r="E1843" t="s">
        <v>305</v>
      </c>
      <c r="F1843">
        <v>4500462165</v>
      </c>
      <c r="H1843" t="s">
        <v>12</v>
      </c>
      <c r="I1843" t="s">
        <v>309</v>
      </c>
      <c r="J1843" t="s">
        <v>305</v>
      </c>
      <c r="K1843">
        <v>144895.04999999999</v>
      </c>
      <c r="L1843" t="s">
        <v>6408</v>
      </c>
      <c r="M1843" t="str" cm="1">
        <f t="array" ref="M1843">INDEX('Org List'!$A$2:$C$1005,MATCH(Consolidated!I1843&amp;Consolidated!J1843,'Org List'!$A$2:$A$1005&amp;'Org List'!$B$2:$B$1005,0),3)</f>
        <v>NGOs: National</v>
      </c>
    </row>
    <row r="1844" spans="1:13" x14ac:dyDescent="0.25">
      <c r="A1844" t="s">
        <v>710</v>
      </c>
      <c r="B1844" t="s">
        <v>287</v>
      </c>
      <c r="C1844" t="s">
        <v>288</v>
      </c>
      <c r="D1844" t="s">
        <v>30</v>
      </c>
      <c r="E1844" t="s">
        <v>305</v>
      </c>
      <c r="F1844">
        <v>4500478889</v>
      </c>
      <c r="H1844" t="s">
        <v>12</v>
      </c>
      <c r="I1844" t="s">
        <v>310</v>
      </c>
      <c r="J1844" t="s">
        <v>305</v>
      </c>
      <c r="K1844">
        <v>147094.88</v>
      </c>
      <c r="L1844" t="s">
        <v>6408</v>
      </c>
      <c r="M1844" t="str" cm="1">
        <f t="array" ref="M1844">INDEX('Org List'!$A$2:$C$1005,MATCH(Consolidated!I1844&amp;Consolidated!J1844,'Org List'!$A$2:$A$1005&amp;'Org List'!$B$2:$B$1005,0),3)</f>
        <v>NGOs: National</v>
      </c>
    </row>
    <row r="1845" spans="1:13" x14ac:dyDescent="0.25">
      <c r="A1845" t="s">
        <v>710</v>
      </c>
      <c r="B1845" t="s">
        <v>287</v>
      </c>
      <c r="C1845" t="s">
        <v>288</v>
      </c>
      <c r="D1845" t="s">
        <v>30</v>
      </c>
      <c r="E1845" t="s">
        <v>76</v>
      </c>
      <c r="F1845">
        <v>4500478844</v>
      </c>
      <c r="H1845" t="s">
        <v>12</v>
      </c>
      <c r="I1845" t="s">
        <v>77</v>
      </c>
      <c r="J1845" t="s">
        <v>76</v>
      </c>
      <c r="K1845">
        <v>24965.71</v>
      </c>
      <c r="L1845" t="s">
        <v>6408</v>
      </c>
      <c r="M1845" t="str" cm="1">
        <f t="array" ref="M1845">INDEX('Org List'!$A$2:$C$1005,MATCH(Consolidated!I1845&amp;Consolidated!J1845,'Org List'!$A$2:$A$1005&amp;'Org List'!$B$2:$B$1005,0),3)</f>
        <v>NGOs: National</v>
      </c>
    </row>
    <row r="1846" spans="1:13" x14ac:dyDescent="0.25">
      <c r="A1846" t="s">
        <v>710</v>
      </c>
      <c r="B1846" t="s">
        <v>287</v>
      </c>
      <c r="C1846" t="s">
        <v>288</v>
      </c>
      <c r="D1846" t="s">
        <v>30</v>
      </c>
      <c r="E1846" t="s">
        <v>76</v>
      </c>
      <c r="F1846">
        <v>4500478886</v>
      </c>
      <c r="H1846" t="s">
        <v>12</v>
      </c>
      <c r="I1846" t="s">
        <v>78</v>
      </c>
      <c r="J1846" t="s">
        <v>76</v>
      </c>
      <c r="K1846">
        <v>23327.3</v>
      </c>
      <c r="L1846" t="s">
        <v>6408</v>
      </c>
      <c r="M1846" t="str" cm="1">
        <f t="array" ref="M1846">INDEX('Org List'!$A$2:$C$1005,MATCH(Consolidated!I1846&amp;Consolidated!J1846,'Org List'!$A$2:$A$1005&amp;'Org List'!$B$2:$B$1005,0),3)</f>
        <v>NGOs: National</v>
      </c>
    </row>
    <row r="1847" spans="1:13" x14ac:dyDescent="0.25">
      <c r="A1847" t="s">
        <v>710</v>
      </c>
      <c r="B1847" t="s">
        <v>287</v>
      </c>
      <c r="C1847" t="s">
        <v>288</v>
      </c>
      <c r="D1847" t="s">
        <v>30</v>
      </c>
      <c r="E1847" t="s">
        <v>76</v>
      </c>
      <c r="F1847">
        <v>4500479261</v>
      </c>
      <c r="H1847" t="s">
        <v>12</v>
      </c>
      <c r="I1847" t="s">
        <v>79</v>
      </c>
      <c r="J1847" t="s">
        <v>76</v>
      </c>
      <c r="K1847">
        <v>35117.97</v>
      </c>
      <c r="L1847" t="s">
        <v>6408</v>
      </c>
      <c r="M1847" t="str" cm="1">
        <f t="array" ref="M1847">INDEX('Org List'!$A$2:$C$1005,MATCH(Consolidated!I1847&amp;Consolidated!J1847,'Org List'!$A$2:$A$1005&amp;'Org List'!$B$2:$B$1005,0),3)</f>
        <v>NGOs: National</v>
      </c>
    </row>
    <row r="1848" spans="1:13" x14ac:dyDescent="0.25">
      <c r="A1848" t="s">
        <v>710</v>
      </c>
      <c r="B1848" t="s">
        <v>287</v>
      </c>
      <c r="C1848" t="s">
        <v>288</v>
      </c>
      <c r="D1848" t="s">
        <v>30</v>
      </c>
      <c r="E1848" t="s">
        <v>76</v>
      </c>
      <c r="F1848">
        <v>4500479310</v>
      </c>
      <c r="H1848" t="s">
        <v>12</v>
      </c>
      <c r="I1848" t="s">
        <v>311</v>
      </c>
      <c r="J1848" t="s">
        <v>76</v>
      </c>
      <c r="K1848">
        <v>45479.28</v>
      </c>
      <c r="L1848" t="s">
        <v>6408</v>
      </c>
      <c r="M1848" t="str" cm="1">
        <f t="array" ref="M1848">INDEX('Org List'!$A$2:$C$1005,MATCH(Consolidated!I1848&amp;Consolidated!J1848,'Org List'!$A$2:$A$1005&amp;'Org List'!$B$2:$B$1005,0),3)</f>
        <v>NGOs: National</v>
      </c>
    </row>
    <row r="1849" spans="1:13" x14ac:dyDescent="0.25">
      <c r="A1849" t="s">
        <v>710</v>
      </c>
      <c r="B1849" t="s">
        <v>287</v>
      </c>
      <c r="C1849" t="s">
        <v>288</v>
      </c>
      <c r="D1849" t="s">
        <v>30</v>
      </c>
      <c r="E1849" t="s">
        <v>76</v>
      </c>
      <c r="F1849">
        <v>4500479353</v>
      </c>
      <c r="H1849" t="s">
        <v>12</v>
      </c>
      <c r="I1849" t="s">
        <v>312</v>
      </c>
      <c r="J1849" t="s">
        <v>76</v>
      </c>
      <c r="K1849">
        <v>41099.589999999997</v>
      </c>
      <c r="L1849" t="s">
        <v>6408</v>
      </c>
      <c r="M1849" t="str" cm="1">
        <f t="array" ref="M1849">INDEX('Org List'!$A$2:$C$1005,MATCH(Consolidated!I1849&amp;Consolidated!J1849,'Org List'!$A$2:$A$1005&amp;'Org List'!$B$2:$B$1005,0),3)</f>
        <v>NGOs: Local</v>
      </c>
    </row>
    <row r="1850" spans="1:13" x14ac:dyDescent="0.25">
      <c r="A1850" t="s">
        <v>710</v>
      </c>
      <c r="B1850" t="s">
        <v>287</v>
      </c>
      <c r="C1850" t="s">
        <v>288</v>
      </c>
      <c r="D1850" t="s">
        <v>30</v>
      </c>
      <c r="E1850" t="s">
        <v>76</v>
      </c>
      <c r="F1850">
        <v>4500479362</v>
      </c>
      <c r="H1850" t="s">
        <v>12</v>
      </c>
      <c r="I1850" t="s">
        <v>313</v>
      </c>
      <c r="J1850" t="s">
        <v>76</v>
      </c>
      <c r="K1850">
        <v>39003.57</v>
      </c>
      <c r="L1850" t="s">
        <v>6408</v>
      </c>
      <c r="M1850" t="str" cm="1">
        <f t="array" ref="M1850">INDEX('Org List'!$A$2:$C$1005,MATCH(Consolidated!I1850&amp;Consolidated!J1850,'Org List'!$A$2:$A$1005&amp;'Org List'!$B$2:$B$1005,0),3)</f>
        <v>NGOs: National</v>
      </c>
    </row>
    <row r="1851" spans="1:13" x14ac:dyDescent="0.25">
      <c r="A1851" t="s">
        <v>710</v>
      </c>
      <c r="B1851" t="s">
        <v>287</v>
      </c>
      <c r="C1851" t="s">
        <v>288</v>
      </c>
      <c r="D1851" t="s">
        <v>30</v>
      </c>
      <c r="E1851" t="s">
        <v>76</v>
      </c>
      <c r="F1851">
        <v>4500480143</v>
      </c>
      <c r="H1851" t="s">
        <v>12</v>
      </c>
      <c r="I1851" t="s">
        <v>314</v>
      </c>
      <c r="J1851" t="s">
        <v>76</v>
      </c>
      <c r="K1851">
        <v>35288.339999999997</v>
      </c>
      <c r="L1851" t="s">
        <v>6408</v>
      </c>
      <c r="M1851" t="str" cm="1">
        <f t="array" ref="M1851">INDEX('Org List'!$A$2:$C$1005,MATCH(Consolidated!I1851&amp;Consolidated!J1851,'Org List'!$A$2:$A$1005&amp;'Org List'!$B$2:$B$1005,0),3)</f>
        <v>NGOs: National</v>
      </c>
    </row>
    <row r="1852" spans="1:13" x14ac:dyDescent="0.25">
      <c r="A1852" t="s">
        <v>710</v>
      </c>
      <c r="B1852" t="s">
        <v>315</v>
      </c>
      <c r="C1852" t="s">
        <v>316</v>
      </c>
      <c r="D1852" t="s">
        <v>30</v>
      </c>
      <c r="E1852" t="s">
        <v>68</v>
      </c>
      <c r="F1852">
        <v>4500455564</v>
      </c>
      <c r="H1852" t="s">
        <v>12</v>
      </c>
      <c r="I1852" t="s">
        <v>69</v>
      </c>
      <c r="J1852" t="s">
        <v>68</v>
      </c>
      <c r="K1852">
        <v>52054.9</v>
      </c>
      <c r="L1852" t="s">
        <v>6408</v>
      </c>
      <c r="M1852" t="str" cm="1">
        <f t="array" ref="M1852">INDEX('Org List'!$A$2:$C$1005,MATCH(Consolidated!I1852&amp;Consolidated!J1852,'Org List'!$A$2:$A$1005&amp;'Org List'!$B$2:$B$1005,0),3)</f>
        <v>Red Cross: National</v>
      </c>
    </row>
    <row r="1853" spans="1:13" x14ac:dyDescent="0.25">
      <c r="A1853" t="s">
        <v>710</v>
      </c>
      <c r="B1853" t="s">
        <v>315</v>
      </c>
      <c r="C1853" t="s">
        <v>316</v>
      </c>
      <c r="D1853" t="s">
        <v>30</v>
      </c>
      <c r="E1853" t="s">
        <v>68</v>
      </c>
      <c r="F1853">
        <v>4500475519</v>
      </c>
      <c r="H1853" t="s">
        <v>12</v>
      </c>
      <c r="I1853" t="s">
        <v>317</v>
      </c>
      <c r="J1853" t="s">
        <v>68</v>
      </c>
      <c r="K1853">
        <v>35598.699999999997</v>
      </c>
      <c r="L1853" t="s">
        <v>6408</v>
      </c>
      <c r="M1853" t="str" cm="1">
        <f t="array" ref="M1853">INDEX('Org List'!$A$2:$C$1005,MATCH(Consolidated!I1853&amp;Consolidated!J1853,'Org List'!$A$2:$A$1005&amp;'Org List'!$B$2:$B$1005,0),3)</f>
        <v>Governments: National</v>
      </c>
    </row>
    <row r="1854" spans="1:13" x14ac:dyDescent="0.25">
      <c r="A1854" t="s">
        <v>710</v>
      </c>
      <c r="B1854" t="s">
        <v>315</v>
      </c>
      <c r="C1854" t="s">
        <v>316</v>
      </c>
      <c r="D1854" t="s">
        <v>30</v>
      </c>
      <c r="E1854" t="s">
        <v>68</v>
      </c>
      <c r="F1854">
        <v>4500455569</v>
      </c>
      <c r="H1854" t="s">
        <v>12</v>
      </c>
      <c r="I1854" t="s">
        <v>69</v>
      </c>
      <c r="J1854" t="s">
        <v>68</v>
      </c>
      <c r="K1854">
        <v>36409.379999999997</v>
      </c>
      <c r="L1854" t="s">
        <v>6408</v>
      </c>
      <c r="M1854" t="str" cm="1">
        <f t="array" ref="M1854">INDEX('Org List'!$A$2:$C$1005,MATCH(Consolidated!I1854&amp;Consolidated!J1854,'Org List'!$A$2:$A$1005&amp;'Org List'!$B$2:$B$1005,0),3)</f>
        <v>Red Cross: National</v>
      </c>
    </row>
    <row r="1855" spans="1:13" x14ac:dyDescent="0.25">
      <c r="A1855" t="s">
        <v>710</v>
      </c>
      <c r="B1855" t="s">
        <v>318</v>
      </c>
      <c r="C1855" t="s">
        <v>319</v>
      </c>
      <c r="D1855" t="s">
        <v>30</v>
      </c>
      <c r="E1855" t="s">
        <v>320</v>
      </c>
      <c r="F1855">
        <v>4500467523</v>
      </c>
      <c r="H1855" t="s">
        <v>12</v>
      </c>
      <c r="I1855" t="s">
        <v>321</v>
      </c>
      <c r="J1855" t="s">
        <v>320</v>
      </c>
      <c r="K1855">
        <v>921908.86</v>
      </c>
      <c r="L1855" t="s">
        <v>6408</v>
      </c>
      <c r="M1855" t="str" cm="1">
        <f t="array" ref="M1855">INDEX('Org List'!$A$2:$C$1005,MATCH(Consolidated!I1855&amp;Consolidated!J1855,'Org List'!$A$2:$A$1005&amp;'Org List'!$B$2:$B$1005,0),3)</f>
        <v>NGOs: International</v>
      </c>
    </row>
    <row r="1856" spans="1:13" x14ac:dyDescent="0.25">
      <c r="A1856" t="s">
        <v>710</v>
      </c>
      <c r="B1856" t="s">
        <v>318</v>
      </c>
      <c r="C1856" t="s">
        <v>319</v>
      </c>
      <c r="D1856" t="s">
        <v>30</v>
      </c>
      <c r="E1856" t="s">
        <v>320</v>
      </c>
      <c r="F1856">
        <v>4500476413</v>
      </c>
      <c r="H1856" t="s">
        <v>12</v>
      </c>
      <c r="I1856" t="s">
        <v>322</v>
      </c>
      <c r="J1856" t="s">
        <v>320</v>
      </c>
      <c r="K1856">
        <v>421940.93</v>
      </c>
      <c r="L1856" t="s">
        <v>6408</v>
      </c>
      <c r="M1856" t="str" cm="1">
        <f t="array" ref="M1856">INDEX('Org List'!$A$2:$C$1005,MATCH(Consolidated!I1856&amp;Consolidated!J1856,'Org List'!$A$2:$A$1005&amp;'Org List'!$B$2:$B$1005,0),3)</f>
        <v>NGOs: International</v>
      </c>
    </row>
    <row r="1857" spans="1:13" x14ac:dyDescent="0.25">
      <c r="A1857" t="s">
        <v>710</v>
      </c>
      <c r="B1857" t="s">
        <v>323</v>
      </c>
      <c r="C1857" t="s">
        <v>324</v>
      </c>
      <c r="D1857" t="s">
        <v>30</v>
      </c>
      <c r="E1857" t="s">
        <v>83</v>
      </c>
      <c r="F1857">
        <v>4500468724</v>
      </c>
      <c r="H1857" t="s">
        <v>12</v>
      </c>
      <c r="I1857" t="s">
        <v>84</v>
      </c>
      <c r="J1857" t="s">
        <v>83</v>
      </c>
      <c r="K1857">
        <v>42000</v>
      </c>
      <c r="L1857" t="s">
        <v>6408</v>
      </c>
      <c r="M1857" t="str" cm="1">
        <f t="array" ref="M1857">INDEX('Org List'!$A$2:$C$1005,MATCH(Consolidated!I1857&amp;Consolidated!J1857,'Org List'!$A$2:$A$1005&amp;'Org List'!$B$2:$B$1005,0),3)</f>
        <v>NGOs: National</v>
      </c>
    </row>
    <row r="1858" spans="1:13" x14ac:dyDescent="0.25">
      <c r="A1858" t="s">
        <v>710</v>
      </c>
      <c r="B1858" t="s">
        <v>325</v>
      </c>
      <c r="C1858" t="s">
        <v>326</v>
      </c>
      <c r="D1858" t="s">
        <v>30</v>
      </c>
      <c r="E1858" t="s">
        <v>45</v>
      </c>
      <c r="F1858">
        <v>4500458760</v>
      </c>
      <c r="H1858" t="s">
        <v>12</v>
      </c>
      <c r="I1858" t="s">
        <v>327</v>
      </c>
      <c r="J1858" t="s">
        <v>45</v>
      </c>
      <c r="K1858">
        <v>78000</v>
      </c>
      <c r="L1858" t="s">
        <v>6408</v>
      </c>
      <c r="M1858" t="str" cm="1">
        <f t="array" ref="M1858">INDEX('Org List'!$A$2:$C$1005,MATCH(Consolidated!I1858&amp;Consolidated!J1858,'Org List'!$A$2:$A$1005&amp;'Org List'!$B$2:$B$1005,0),3)</f>
        <v>NGOs: Internationally affiliated</v>
      </c>
    </row>
    <row r="1859" spans="1:13" x14ac:dyDescent="0.25">
      <c r="A1859" t="s">
        <v>710</v>
      </c>
      <c r="B1859" t="s">
        <v>328</v>
      </c>
      <c r="C1859" t="s">
        <v>329</v>
      </c>
      <c r="D1859" t="s">
        <v>30</v>
      </c>
      <c r="E1859" t="s">
        <v>330</v>
      </c>
      <c r="F1859">
        <v>4500468411</v>
      </c>
      <c r="H1859" t="s">
        <v>12</v>
      </c>
      <c r="I1859" t="s">
        <v>331</v>
      </c>
      <c r="J1859" t="s">
        <v>330</v>
      </c>
      <c r="K1859">
        <v>247255</v>
      </c>
      <c r="L1859" t="s">
        <v>6408</v>
      </c>
      <c r="M1859" t="str" cm="1">
        <f t="array" ref="M1859">INDEX('Org List'!$A$2:$C$1005,MATCH(Consolidated!I1859&amp;Consolidated!J1859,'Org List'!$A$2:$A$1005&amp;'Org List'!$B$2:$B$1005,0),3)</f>
        <v>NGOs: International</v>
      </c>
    </row>
    <row r="1860" spans="1:13" x14ac:dyDescent="0.25">
      <c r="A1860" t="s">
        <v>710</v>
      </c>
      <c r="B1860" t="s">
        <v>328</v>
      </c>
      <c r="C1860" t="s">
        <v>329</v>
      </c>
      <c r="D1860" t="s">
        <v>30</v>
      </c>
      <c r="E1860" t="s">
        <v>330</v>
      </c>
      <c r="F1860">
        <v>4500480058</v>
      </c>
      <c r="H1860" t="s">
        <v>12</v>
      </c>
      <c r="I1860" t="s">
        <v>332</v>
      </c>
      <c r="J1860" t="s">
        <v>330</v>
      </c>
      <c r="K1860">
        <v>248774.22</v>
      </c>
      <c r="L1860" t="s">
        <v>6408</v>
      </c>
      <c r="M1860" t="str" cm="1">
        <f t="array" ref="M1860">INDEX('Org List'!$A$2:$C$1005,MATCH(Consolidated!I1860&amp;Consolidated!J1860,'Org List'!$A$2:$A$1005&amp;'Org List'!$B$2:$B$1005,0),3)</f>
        <v>NGOs: National</v>
      </c>
    </row>
    <row r="1861" spans="1:13" x14ac:dyDescent="0.25">
      <c r="A1861" t="s">
        <v>710</v>
      </c>
      <c r="B1861" t="s">
        <v>333</v>
      </c>
      <c r="C1861" t="s">
        <v>334</v>
      </c>
      <c r="D1861" t="s">
        <v>30</v>
      </c>
      <c r="E1861" t="s">
        <v>155</v>
      </c>
      <c r="F1861">
        <v>4500469701</v>
      </c>
      <c r="H1861" t="s">
        <v>12</v>
      </c>
      <c r="I1861" t="s">
        <v>335</v>
      </c>
      <c r="J1861" t="s">
        <v>155</v>
      </c>
      <c r="K1861">
        <v>499996.8</v>
      </c>
      <c r="L1861" t="s">
        <v>6408</v>
      </c>
      <c r="M1861" t="str" cm="1">
        <f t="array" ref="M1861">INDEX('Org List'!$A$2:$C$1005,MATCH(Consolidated!I1861&amp;Consolidated!J1861,'Org List'!$A$2:$A$1005&amp;'Org List'!$B$2:$B$1005,0),3)</f>
        <v>NGOs: Local</v>
      </c>
    </row>
    <row r="1862" spans="1:13" x14ac:dyDescent="0.25">
      <c r="A1862" t="s">
        <v>710</v>
      </c>
      <c r="B1862" t="s">
        <v>336</v>
      </c>
      <c r="C1862" t="s">
        <v>337</v>
      </c>
      <c r="D1862" t="s">
        <v>30</v>
      </c>
      <c r="E1862" t="s">
        <v>193</v>
      </c>
      <c r="F1862">
        <v>4500464302</v>
      </c>
      <c r="H1862" t="s">
        <v>12</v>
      </c>
      <c r="I1862" t="s">
        <v>338</v>
      </c>
      <c r="J1862" t="s">
        <v>193</v>
      </c>
      <c r="K1862">
        <v>1400000</v>
      </c>
      <c r="L1862" t="s">
        <v>6408</v>
      </c>
      <c r="M1862" t="str" cm="1">
        <f t="array" ref="M1862">INDEX('Org List'!$A$2:$C$1005,MATCH(Consolidated!I1862&amp;Consolidated!J1862,'Org List'!$A$2:$A$1005&amp;'Org List'!$B$2:$B$1005,0),3)</f>
        <v>NGOs: National</v>
      </c>
    </row>
    <row r="1863" spans="1:13" x14ac:dyDescent="0.25">
      <c r="A1863" t="s">
        <v>710</v>
      </c>
      <c r="B1863" t="s">
        <v>339</v>
      </c>
      <c r="C1863" t="s">
        <v>340</v>
      </c>
      <c r="D1863" t="s">
        <v>30</v>
      </c>
      <c r="E1863" t="s">
        <v>175</v>
      </c>
      <c r="F1863">
        <v>4500469488</v>
      </c>
      <c r="H1863" t="s">
        <v>12</v>
      </c>
      <c r="I1863" t="s">
        <v>341</v>
      </c>
      <c r="J1863" t="s">
        <v>175</v>
      </c>
      <c r="K1863">
        <v>185409.18</v>
      </c>
      <c r="L1863" t="s">
        <v>6408</v>
      </c>
      <c r="M1863" t="str" cm="1">
        <f t="array" ref="M1863">INDEX('Org List'!$A$2:$C$1005,MATCH(Consolidated!I1863&amp;Consolidated!J1863,'Org List'!$A$2:$A$1005&amp;'Org List'!$B$2:$B$1005,0),3)</f>
        <v>NGOs: National</v>
      </c>
    </row>
    <row r="1864" spans="1:13" x14ac:dyDescent="0.25">
      <c r="A1864" t="s">
        <v>710</v>
      </c>
      <c r="B1864" t="s">
        <v>339</v>
      </c>
      <c r="C1864" t="s">
        <v>340</v>
      </c>
      <c r="D1864" t="s">
        <v>30</v>
      </c>
      <c r="E1864" t="s">
        <v>175</v>
      </c>
      <c r="F1864">
        <v>4500473581</v>
      </c>
      <c r="H1864" t="s">
        <v>12</v>
      </c>
      <c r="I1864" t="s">
        <v>342</v>
      </c>
      <c r="J1864" t="s">
        <v>175</v>
      </c>
      <c r="K1864">
        <v>262587.17</v>
      </c>
      <c r="L1864" t="s">
        <v>6408</v>
      </c>
      <c r="M1864" t="str" cm="1">
        <f t="array" ref="M1864">INDEX('Org List'!$A$2:$C$1005,MATCH(Consolidated!I1864&amp;Consolidated!J1864,'Org List'!$A$2:$A$1005&amp;'Org List'!$B$2:$B$1005,0),3)</f>
        <v>NGOs: National</v>
      </c>
    </row>
    <row r="1865" spans="1:13" x14ac:dyDescent="0.25">
      <c r="A1865" t="s">
        <v>710</v>
      </c>
      <c r="B1865" t="s">
        <v>343</v>
      </c>
      <c r="C1865" t="s">
        <v>344</v>
      </c>
      <c r="D1865" t="s">
        <v>30</v>
      </c>
      <c r="E1865" t="s">
        <v>96</v>
      </c>
      <c r="F1865">
        <v>4500460469</v>
      </c>
      <c r="H1865" t="s">
        <v>12</v>
      </c>
      <c r="I1865" t="s">
        <v>156</v>
      </c>
      <c r="J1865" t="s">
        <v>184</v>
      </c>
      <c r="K1865">
        <v>681985</v>
      </c>
      <c r="L1865" t="s">
        <v>6408</v>
      </c>
      <c r="M1865" t="str" cm="1">
        <f t="array" ref="M1865">INDEX('Org List'!$A$2:$C$1005,MATCH(Consolidated!I1865&amp;Consolidated!J1865,'Org List'!$A$2:$A$1005&amp;'Org List'!$B$2:$B$1005,0),3)</f>
        <v>NGOs: International</v>
      </c>
    </row>
    <row r="1866" spans="1:13" x14ac:dyDescent="0.25">
      <c r="A1866" t="s">
        <v>710</v>
      </c>
      <c r="B1866" t="s">
        <v>343</v>
      </c>
      <c r="C1866" t="s">
        <v>344</v>
      </c>
      <c r="D1866" t="s">
        <v>30</v>
      </c>
      <c r="E1866" t="s">
        <v>96</v>
      </c>
      <c r="F1866">
        <v>4500474252</v>
      </c>
      <c r="H1866" t="s">
        <v>12</v>
      </c>
      <c r="I1866" t="s">
        <v>345</v>
      </c>
      <c r="J1866" t="s">
        <v>346</v>
      </c>
      <c r="K1866">
        <v>20000</v>
      </c>
      <c r="L1866" t="s">
        <v>6408</v>
      </c>
      <c r="M1866" t="str" cm="1">
        <f t="array" ref="M1866">INDEX('Org List'!$A$2:$C$1005,MATCH(Consolidated!I1866&amp;Consolidated!J1866,'Org List'!$A$2:$A$1005&amp;'Org List'!$B$2:$B$1005,0),3)</f>
        <v>NGOs: National</v>
      </c>
    </row>
    <row r="1867" spans="1:13" x14ac:dyDescent="0.25">
      <c r="A1867" t="s">
        <v>710</v>
      </c>
      <c r="B1867" t="s">
        <v>343</v>
      </c>
      <c r="C1867" t="s">
        <v>344</v>
      </c>
      <c r="D1867" t="s">
        <v>30</v>
      </c>
      <c r="E1867" t="s">
        <v>96</v>
      </c>
      <c r="F1867">
        <v>4500478518</v>
      </c>
      <c r="H1867" t="s">
        <v>12</v>
      </c>
      <c r="I1867" t="s">
        <v>347</v>
      </c>
      <c r="J1867" t="s">
        <v>96</v>
      </c>
      <c r="K1867">
        <v>19950</v>
      </c>
      <c r="L1867" t="s">
        <v>6408</v>
      </c>
      <c r="M1867" t="str" cm="1">
        <f t="array" ref="M1867">INDEX('Org List'!$A$2:$C$1005,MATCH(Consolidated!I1867&amp;Consolidated!J1867,'Org List'!$A$2:$A$1005&amp;'Org List'!$B$2:$B$1005,0),3)</f>
        <v>NGOs: International</v>
      </c>
    </row>
    <row r="1868" spans="1:13" x14ac:dyDescent="0.25">
      <c r="A1868" t="s">
        <v>710</v>
      </c>
      <c r="B1868" t="s">
        <v>348</v>
      </c>
      <c r="C1868" t="s">
        <v>349</v>
      </c>
      <c r="D1868" t="s">
        <v>30</v>
      </c>
      <c r="E1868" t="s">
        <v>350</v>
      </c>
      <c r="F1868">
        <v>4500481009</v>
      </c>
      <c r="H1868" t="s">
        <v>12</v>
      </c>
      <c r="I1868" t="s">
        <v>351</v>
      </c>
      <c r="J1868" t="s">
        <v>350</v>
      </c>
      <c r="K1868">
        <v>87356.86</v>
      </c>
      <c r="L1868" t="s">
        <v>6408</v>
      </c>
      <c r="M1868" t="str" cm="1">
        <f t="array" ref="M1868">INDEX('Org List'!$A$2:$C$1005,MATCH(Consolidated!I1868&amp;Consolidated!J1868,'Org List'!$A$2:$A$1005&amp;'Org List'!$B$2:$B$1005,0),3)</f>
        <v>NGOs: National</v>
      </c>
    </row>
    <row r="1869" spans="1:13" x14ac:dyDescent="0.25">
      <c r="A1869" t="s">
        <v>710</v>
      </c>
      <c r="B1869" t="s">
        <v>352</v>
      </c>
      <c r="C1869" t="s">
        <v>353</v>
      </c>
      <c r="D1869" t="s">
        <v>30</v>
      </c>
      <c r="E1869" t="s">
        <v>83</v>
      </c>
      <c r="F1869">
        <v>4500466661</v>
      </c>
      <c r="H1869" t="s">
        <v>12</v>
      </c>
      <c r="I1869" t="s">
        <v>84</v>
      </c>
      <c r="J1869" t="s">
        <v>83</v>
      </c>
      <c r="K1869">
        <v>57200</v>
      </c>
      <c r="L1869" t="s">
        <v>6408</v>
      </c>
      <c r="M1869" t="str" cm="1">
        <f t="array" ref="M1869">INDEX('Org List'!$A$2:$C$1005,MATCH(Consolidated!I1869&amp;Consolidated!J1869,'Org List'!$A$2:$A$1005&amp;'Org List'!$B$2:$B$1005,0),3)</f>
        <v>NGOs: National</v>
      </c>
    </row>
    <row r="1870" spans="1:13" x14ac:dyDescent="0.25">
      <c r="A1870" t="s">
        <v>710</v>
      </c>
      <c r="B1870" t="s">
        <v>354</v>
      </c>
      <c r="C1870" t="s">
        <v>355</v>
      </c>
      <c r="D1870" t="s">
        <v>30</v>
      </c>
      <c r="E1870" t="s">
        <v>356</v>
      </c>
      <c r="F1870">
        <v>4500470139</v>
      </c>
      <c r="H1870" t="s">
        <v>12</v>
      </c>
      <c r="I1870" t="s">
        <v>357</v>
      </c>
      <c r="J1870" t="s">
        <v>356</v>
      </c>
      <c r="K1870">
        <v>174549</v>
      </c>
      <c r="L1870" t="s">
        <v>6408</v>
      </c>
      <c r="M1870" t="str" cm="1">
        <f t="array" ref="M1870">INDEX('Org List'!$A$2:$C$1005,MATCH(Consolidated!I1870&amp;Consolidated!J1870,'Org List'!$A$2:$A$1005&amp;'Org List'!$B$2:$B$1005,0),3)</f>
        <v>NGOs: National</v>
      </c>
    </row>
    <row r="1871" spans="1:13" x14ac:dyDescent="0.25">
      <c r="A1871" t="s">
        <v>710</v>
      </c>
      <c r="B1871" t="s">
        <v>358</v>
      </c>
      <c r="C1871" t="s">
        <v>359</v>
      </c>
      <c r="D1871" t="s">
        <v>30</v>
      </c>
      <c r="E1871" t="s">
        <v>330</v>
      </c>
      <c r="F1871">
        <v>4500480535</v>
      </c>
      <c r="H1871" t="s">
        <v>12</v>
      </c>
      <c r="I1871" t="s">
        <v>360</v>
      </c>
      <c r="J1871" t="s">
        <v>330</v>
      </c>
      <c r="K1871">
        <v>32172.86</v>
      </c>
      <c r="L1871" t="s">
        <v>6408</v>
      </c>
      <c r="M1871" t="str" cm="1">
        <f t="array" ref="M1871">INDEX('Org List'!$A$2:$C$1005,MATCH(Consolidated!I1871&amp;Consolidated!J1871,'Org List'!$A$2:$A$1005&amp;'Org List'!$B$2:$B$1005,0),3)</f>
        <v>Red Cross: National</v>
      </c>
    </row>
    <row r="1872" spans="1:13" x14ac:dyDescent="0.25">
      <c r="A1872" t="s">
        <v>710</v>
      </c>
      <c r="B1872" t="s">
        <v>361</v>
      </c>
      <c r="C1872" t="s">
        <v>362</v>
      </c>
      <c r="D1872" t="s">
        <v>30</v>
      </c>
      <c r="E1872" t="s">
        <v>45</v>
      </c>
      <c r="F1872">
        <v>4500474709</v>
      </c>
      <c r="H1872" t="s">
        <v>12</v>
      </c>
      <c r="I1872" t="s">
        <v>73</v>
      </c>
      <c r="J1872" t="s">
        <v>45</v>
      </c>
      <c r="K1872">
        <v>20000</v>
      </c>
      <c r="L1872" t="s">
        <v>6408</v>
      </c>
      <c r="M1872" t="str" cm="1">
        <f t="array" ref="M1872">INDEX('Org List'!$A$2:$C$1005,MATCH(Consolidated!I1872&amp;Consolidated!J1872,'Org List'!$A$2:$A$1005&amp;'Org List'!$B$2:$B$1005,0),3)</f>
        <v>NGOs: International</v>
      </c>
    </row>
    <row r="1873" spans="1:13" x14ac:dyDescent="0.25">
      <c r="A1873" t="s">
        <v>710</v>
      </c>
      <c r="B1873" t="s">
        <v>361</v>
      </c>
      <c r="C1873" t="s">
        <v>362</v>
      </c>
      <c r="D1873" t="s">
        <v>30</v>
      </c>
      <c r="E1873" t="s">
        <v>45</v>
      </c>
      <c r="F1873">
        <v>4500478663</v>
      </c>
      <c r="H1873" t="s">
        <v>12</v>
      </c>
      <c r="I1873" t="s">
        <v>363</v>
      </c>
      <c r="J1873" t="s">
        <v>45</v>
      </c>
      <c r="K1873">
        <v>383500</v>
      </c>
      <c r="L1873" t="s">
        <v>6408</v>
      </c>
      <c r="M1873" t="str" cm="1">
        <f t="array" ref="M1873">INDEX('Org List'!$A$2:$C$1005,MATCH(Consolidated!I1873&amp;Consolidated!J1873,'Org List'!$A$2:$A$1005&amp;'Org List'!$B$2:$B$1005,0),3)</f>
        <v>NGOs: International</v>
      </c>
    </row>
    <row r="1874" spans="1:13" x14ac:dyDescent="0.25">
      <c r="A1874" t="s">
        <v>710</v>
      </c>
      <c r="B1874" t="s">
        <v>364</v>
      </c>
      <c r="C1874" t="s">
        <v>365</v>
      </c>
      <c r="D1874" t="s">
        <v>30</v>
      </c>
      <c r="E1874" t="s">
        <v>123</v>
      </c>
      <c r="F1874">
        <v>4500456641</v>
      </c>
      <c r="H1874" t="s">
        <v>12</v>
      </c>
      <c r="I1874" t="s">
        <v>124</v>
      </c>
      <c r="J1874" t="s">
        <v>123</v>
      </c>
      <c r="K1874">
        <v>14996.13</v>
      </c>
      <c r="L1874" t="s">
        <v>6408</v>
      </c>
      <c r="M1874" t="str" cm="1">
        <f t="array" ref="M1874">INDEX('Org List'!$A$2:$C$1005,MATCH(Consolidated!I1874&amp;Consolidated!J1874,'Org List'!$A$2:$A$1005&amp;'Org List'!$B$2:$B$1005,0),3)</f>
        <v>NGOs: National</v>
      </c>
    </row>
    <row r="1875" spans="1:13" x14ac:dyDescent="0.25">
      <c r="A1875" t="s">
        <v>710</v>
      </c>
      <c r="B1875" t="s">
        <v>364</v>
      </c>
      <c r="C1875" t="s">
        <v>365</v>
      </c>
      <c r="D1875" t="s">
        <v>30</v>
      </c>
      <c r="E1875" t="s">
        <v>123</v>
      </c>
      <c r="F1875">
        <v>4500472237</v>
      </c>
      <c r="H1875" t="s">
        <v>12</v>
      </c>
      <c r="I1875" t="s">
        <v>366</v>
      </c>
      <c r="J1875" t="s">
        <v>123</v>
      </c>
      <c r="K1875">
        <v>150966.39000000001</v>
      </c>
      <c r="L1875" t="s">
        <v>6408</v>
      </c>
      <c r="M1875" t="str" cm="1">
        <f t="array" ref="M1875">INDEX('Org List'!$A$2:$C$1005,MATCH(Consolidated!I1875&amp;Consolidated!J1875,'Org List'!$A$2:$A$1005&amp;'Org List'!$B$2:$B$1005,0),3)</f>
        <v>NGOs: National</v>
      </c>
    </row>
    <row r="1876" spans="1:13" x14ac:dyDescent="0.25">
      <c r="A1876" t="s">
        <v>710</v>
      </c>
      <c r="B1876" t="s">
        <v>364</v>
      </c>
      <c r="C1876" t="s">
        <v>365</v>
      </c>
      <c r="D1876" t="s">
        <v>30</v>
      </c>
      <c r="E1876" t="s">
        <v>123</v>
      </c>
      <c r="F1876">
        <v>4500474528</v>
      </c>
      <c r="H1876" t="s">
        <v>12</v>
      </c>
      <c r="I1876" t="s">
        <v>125</v>
      </c>
      <c r="J1876" t="s">
        <v>123</v>
      </c>
      <c r="K1876">
        <v>548798.18000000005</v>
      </c>
      <c r="L1876" t="s">
        <v>6408</v>
      </c>
      <c r="M1876" t="str" cm="1">
        <f t="array" ref="M1876">INDEX('Org List'!$A$2:$C$1005,MATCH(Consolidated!I1876&amp;Consolidated!J1876,'Org List'!$A$2:$A$1005&amp;'Org List'!$B$2:$B$1005,0),3)</f>
        <v>NGOs: National</v>
      </c>
    </row>
    <row r="1877" spans="1:13" x14ac:dyDescent="0.25">
      <c r="A1877" t="s">
        <v>710</v>
      </c>
      <c r="B1877" t="s">
        <v>364</v>
      </c>
      <c r="C1877" t="s">
        <v>365</v>
      </c>
      <c r="D1877" t="s">
        <v>30</v>
      </c>
      <c r="E1877" t="s">
        <v>123</v>
      </c>
      <c r="F1877">
        <v>4500475176</v>
      </c>
      <c r="H1877" t="s">
        <v>12</v>
      </c>
      <c r="I1877" t="s">
        <v>367</v>
      </c>
      <c r="J1877" t="s">
        <v>123</v>
      </c>
      <c r="K1877">
        <v>130687.5</v>
      </c>
      <c r="L1877" t="s">
        <v>6408</v>
      </c>
      <c r="M1877" t="str" cm="1">
        <f t="array" ref="M1877">INDEX('Org List'!$A$2:$C$1005,MATCH(Consolidated!I1877&amp;Consolidated!J1877,'Org List'!$A$2:$A$1005&amp;'Org List'!$B$2:$B$1005,0),3)</f>
        <v>NGOs: Local</v>
      </c>
    </row>
    <row r="1878" spans="1:13" x14ac:dyDescent="0.25">
      <c r="A1878" t="s">
        <v>710</v>
      </c>
      <c r="B1878" t="s">
        <v>364</v>
      </c>
      <c r="C1878" t="s">
        <v>365</v>
      </c>
      <c r="D1878" t="s">
        <v>30</v>
      </c>
      <c r="E1878" t="s">
        <v>123</v>
      </c>
      <c r="F1878">
        <v>4500476350</v>
      </c>
      <c r="H1878" t="s">
        <v>12</v>
      </c>
      <c r="I1878" t="s">
        <v>124</v>
      </c>
      <c r="J1878" t="s">
        <v>123</v>
      </c>
      <c r="K1878">
        <v>22435.58</v>
      </c>
      <c r="L1878" t="s">
        <v>6408</v>
      </c>
      <c r="M1878" t="str" cm="1">
        <f t="array" ref="M1878">INDEX('Org List'!$A$2:$C$1005,MATCH(Consolidated!I1878&amp;Consolidated!J1878,'Org List'!$A$2:$A$1005&amp;'Org List'!$B$2:$B$1005,0),3)</f>
        <v>NGOs: National</v>
      </c>
    </row>
    <row r="1879" spans="1:13" x14ac:dyDescent="0.25">
      <c r="A1879" t="s">
        <v>710</v>
      </c>
      <c r="B1879" t="s">
        <v>364</v>
      </c>
      <c r="C1879" t="s">
        <v>365</v>
      </c>
      <c r="D1879" t="s">
        <v>30</v>
      </c>
      <c r="E1879" t="s">
        <v>123</v>
      </c>
      <c r="F1879">
        <v>4500476360</v>
      </c>
      <c r="H1879" t="s">
        <v>12</v>
      </c>
      <c r="I1879" t="s">
        <v>368</v>
      </c>
      <c r="J1879" t="s">
        <v>123</v>
      </c>
      <c r="K1879">
        <v>27649.98</v>
      </c>
      <c r="L1879" t="s">
        <v>6408</v>
      </c>
      <c r="M1879" t="str" cm="1">
        <f t="array" ref="M1879">INDEX('Org List'!$A$2:$C$1005,MATCH(Consolidated!I1879&amp;Consolidated!J1879,'Org List'!$A$2:$A$1005&amp;'Org List'!$B$2:$B$1005,0),3)</f>
        <v>NGOs: National</v>
      </c>
    </row>
    <row r="1880" spans="1:13" x14ac:dyDescent="0.25">
      <c r="A1880" t="s">
        <v>710</v>
      </c>
      <c r="B1880" t="s">
        <v>364</v>
      </c>
      <c r="C1880" t="s">
        <v>365</v>
      </c>
      <c r="D1880" t="s">
        <v>30</v>
      </c>
      <c r="E1880" t="s">
        <v>123</v>
      </c>
      <c r="F1880">
        <v>4500476365</v>
      </c>
      <c r="H1880" t="s">
        <v>12</v>
      </c>
      <c r="I1880" t="s">
        <v>125</v>
      </c>
      <c r="J1880" t="s">
        <v>123</v>
      </c>
      <c r="K1880">
        <v>25723.200000000001</v>
      </c>
      <c r="L1880" t="s">
        <v>6408</v>
      </c>
      <c r="M1880" t="str" cm="1">
        <f t="array" ref="M1880">INDEX('Org List'!$A$2:$C$1005,MATCH(Consolidated!I1880&amp;Consolidated!J1880,'Org List'!$A$2:$A$1005&amp;'Org List'!$B$2:$B$1005,0),3)</f>
        <v>NGOs: National</v>
      </c>
    </row>
    <row r="1881" spans="1:13" x14ac:dyDescent="0.25">
      <c r="A1881" t="s">
        <v>710</v>
      </c>
      <c r="B1881" t="s">
        <v>364</v>
      </c>
      <c r="C1881" t="s">
        <v>365</v>
      </c>
      <c r="D1881" t="s">
        <v>30</v>
      </c>
      <c r="E1881" t="s">
        <v>123</v>
      </c>
      <c r="F1881">
        <v>4500479450</v>
      </c>
      <c r="H1881" t="s">
        <v>12</v>
      </c>
      <c r="I1881" t="s">
        <v>366</v>
      </c>
      <c r="J1881" t="s">
        <v>123</v>
      </c>
      <c r="K1881">
        <v>547995.97</v>
      </c>
      <c r="L1881" t="s">
        <v>6408</v>
      </c>
      <c r="M1881" t="str" cm="1">
        <f t="array" ref="M1881">INDEX('Org List'!$A$2:$C$1005,MATCH(Consolidated!I1881&amp;Consolidated!J1881,'Org List'!$A$2:$A$1005&amp;'Org List'!$B$2:$B$1005,0),3)</f>
        <v>NGOs: National</v>
      </c>
    </row>
    <row r="1882" spans="1:13" x14ac:dyDescent="0.25">
      <c r="A1882" t="s">
        <v>710</v>
      </c>
      <c r="B1882" t="s">
        <v>364</v>
      </c>
      <c r="C1882" t="s">
        <v>365</v>
      </c>
      <c r="D1882" t="s">
        <v>30</v>
      </c>
      <c r="E1882" t="s">
        <v>123</v>
      </c>
      <c r="F1882">
        <v>4500479589</v>
      </c>
      <c r="H1882" t="s">
        <v>12</v>
      </c>
      <c r="I1882" t="s">
        <v>125</v>
      </c>
      <c r="J1882" t="s">
        <v>123</v>
      </c>
      <c r="K1882">
        <v>30000</v>
      </c>
      <c r="L1882" t="s">
        <v>6408</v>
      </c>
      <c r="M1882" t="str" cm="1">
        <f t="array" ref="M1882">INDEX('Org List'!$A$2:$C$1005,MATCH(Consolidated!I1882&amp;Consolidated!J1882,'Org List'!$A$2:$A$1005&amp;'Org List'!$B$2:$B$1005,0),3)</f>
        <v>NGOs: National</v>
      </c>
    </row>
    <row r="1883" spans="1:13" x14ac:dyDescent="0.25">
      <c r="A1883" t="s">
        <v>710</v>
      </c>
      <c r="B1883" t="s">
        <v>364</v>
      </c>
      <c r="C1883" t="s">
        <v>365</v>
      </c>
      <c r="D1883" t="s">
        <v>30</v>
      </c>
      <c r="E1883" t="s">
        <v>123</v>
      </c>
      <c r="F1883">
        <v>4500480722</v>
      </c>
      <c r="H1883" t="s">
        <v>12</v>
      </c>
      <c r="I1883" t="s">
        <v>368</v>
      </c>
      <c r="J1883" t="s">
        <v>123</v>
      </c>
      <c r="K1883">
        <v>36562.19</v>
      </c>
      <c r="L1883" t="s">
        <v>6408</v>
      </c>
      <c r="M1883" t="str" cm="1">
        <f t="array" ref="M1883">INDEX('Org List'!$A$2:$C$1005,MATCH(Consolidated!I1883&amp;Consolidated!J1883,'Org List'!$A$2:$A$1005&amp;'Org List'!$B$2:$B$1005,0),3)</f>
        <v>NGOs: National</v>
      </c>
    </row>
    <row r="1884" spans="1:13" x14ac:dyDescent="0.25">
      <c r="A1884" t="s">
        <v>710</v>
      </c>
      <c r="B1884" t="s">
        <v>364</v>
      </c>
      <c r="C1884" t="s">
        <v>365</v>
      </c>
      <c r="D1884" t="s">
        <v>30</v>
      </c>
      <c r="E1884" t="s">
        <v>123</v>
      </c>
      <c r="F1884">
        <v>4500480810</v>
      </c>
      <c r="H1884" t="s">
        <v>12</v>
      </c>
      <c r="I1884" t="s">
        <v>125</v>
      </c>
      <c r="J1884" t="s">
        <v>123</v>
      </c>
      <c r="K1884">
        <v>40381.57</v>
      </c>
      <c r="L1884" t="s">
        <v>6408</v>
      </c>
      <c r="M1884" t="str" cm="1">
        <f t="array" ref="M1884">INDEX('Org List'!$A$2:$C$1005,MATCH(Consolidated!I1884&amp;Consolidated!J1884,'Org List'!$A$2:$A$1005&amp;'Org List'!$B$2:$B$1005,0),3)</f>
        <v>NGOs: National</v>
      </c>
    </row>
    <row r="1885" spans="1:13" x14ac:dyDescent="0.25">
      <c r="A1885" t="s">
        <v>710</v>
      </c>
      <c r="B1885" t="s">
        <v>364</v>
      </c>
      <c r="C1885" t="s">
        <v>365</v>
      </c>
      <c r="D1885" t="s">
        <v>30</v>
      </c>
      <c r="E1885" t="s">
        <v>123</v>
      </c>
      <c r="F1885">
        <v>4500480818</v>
      </c>
      <c r="H1885" t="s">
        <v>12</v>
      </c>
      <c r="I1885" t="s">
        <v>124</v>
      </c>
      <c r="J1885" t="s">
        <v>123</v>
      </c>
      <c r="K1885">
        <v>40139.94</v>
      </c>
      <c r="L1885" t="s">
        <v>6408</v>
      </c>
      <c r="M1885" t="str" cm="1">
        <f t="array" ref="M1885">INDEX('Org List'!$A$2:$C$1005,MATCH(Consolidated!I1885&amp;Consolidated!J1885,'Org List'!$A$2:$A$1005&amp;'Org List'!$B$2:$B$1005,0),3)</f>
        <v>NGOs: National</v>
      </c>
    </row>
    <row r="1886" spans="1:13" x14ac:dyDescent="0.25">
      <c r="A1886" t="s">
        <v>710</v>
      </c>
      <c r="B1886" t="s">
        <v>369</v>
      </c>
      <c r="C1886" t="s">
        <v>370</v>
      </c>
      <c r="D1886" t="s">
        <v>30</v>
      </c>
      <c r="E1886" t="s">
        <v>289</v>
      </c>
      <c r="F1886">
        <v>4500455867</v>
      </c>
      <c r="H1886" t="s">
        <v>12</v>
      </c>
      <c r="I1886" t="s">
        <v>371</v>
      </c>
      <c r="J1886" t="s">
        <v>289</v>
      </c>
      <c r="K1886">
        <v>15845</v>
      </c>
      <c r="L1886" t="s">
        <v>6408</v>
      </c>
      <c r="M1886" t="str" cm="1">
        <f t="array" ref="M1886">INDEX('Org List'!$A$2:$C$1005,MATCH(Consolidated!I1886&amp;Consolidated!J1886,'Org List'!$A$2:$A$1005&amp;'Org List'!$B$2:$B$1005,0),3)</f>
        <v>NGOs: International</v>
      </c>
    </row>
    <row r="1887" spans="1:13" x14ac:dyDescent="0.25">
      <c r="A1887" t="s">
        <v>710</v>
      </c>
      <c r="B1887" t="s">
        <v>369</v>
      </c>
      <c r="C1887" t="s">
        <v>370</v>
      </c>
      <c r="D1887" t="s">
        <v>30</v>
      </c>
      <c r="E1887" t="s">
        <v>289</v>
      </c>
      <c r="F1887">
        <v>4500458225</v>
      </c>
      <c r="H1887" t="s">
        <v>12</v>
      </c>
      <c r="I1887" t="s">
        <v>372</v>
      </c>
      <c r="J1887" t="s">
        <v>289</v>
      </c>
      <c r="K1887">
        <v>35400</v>
      </c>
      <c r="L1887" t="s">
        <v>6408</v>
      </c>
      <c r="M1887" t="str" cm="1">
        <f t="array" ref="M1887">INDEX('Org List'!$A$2:$C$1005,MATCH(Consolidated!I1887&amp;Consolidated!J1887,'Org List'!$A$2:$A$1005&amp;'Org List'!$B$2:$B$1005,0),3)</f>
        <v>NGOs: National</v>
      </c>
    </row>
    <row r="1888" spans="1:13" x14ac:dyDescent="0.25">
      <c r="A1888" t="s">
        <v>710</v>
      </c>
      <c r="B1888" t="s">
        <v>369</v>
      </c>
      <c r="C1888" t="s">
        <v>370</v>
      </c>
      <c r="D1888" t="s">
        <v>30</v>
      </c>
      <c r="E1888" t="s">
        <v>289</v>
      </c>
      <c r="F1888">
        <v>4500479435</v>
      </c>
      <c r="H1888" t="s">
        <v>12</v>
      </c>
      <c r="I1888" t="s">
        <v>373</v>
      </c>
      <c r="J1888" t="s">
        <v>289</v>
      </c>
      <c r="K1888">
        <v>18354.43</v>
      </c>
      <c r="L1888" t="s">
        <v>6408</v>
      </c>
      <c r="M1888" t="str" cm="1">
        <f t="array" ref="M1888">INDEX('Org List'!$A$2:$C$1005,MATCH(Consolidated!I1888&amp;Consolidated!J1888,'Org List'!$A$2:$A$1005&amp;'Org List'!$B$2:$B$1005,0),3)</f>
        <v>NGOs: International</v>
      </c>
    </row>
    <row r="1889" spans="1:13" x14ac:dyDescent="0.25">
      <c r="A1889" t="s">
        <v>710</v>
      </c>
      <c r="B1889" t="s">
        <v>369</v>
      </c>
      <c r="C1889" t="s">
        <v>370</v>
      </c>
      <c r="D1889" t="s">
        <v>30</v>
      </c>
      <c r="E1889" t="s">
        <v>303</v>
      </c>
      <c r="F1889">
        <v>4500477865</v>
      </c>
      <c r="H1889" t="s">
        <v>12</v>
      </c>
      <c r="I1889" t="s">
        <v>374</v>
      </c>
      <c r="J1889" t="s">
        <v>303</v>
      </c>
      <c r="K1889">
        <v>15297.67</v>
      </c>
      <c r="L1889" t="s">
        <v>6408</v>
      </c>
      <c r="M1889" t="str" cm="1">
        <f t="array" ref="M1889">INDEX('Org List'!$A$2:$C$1005,MATCH(Consolidated!I1889&amp;Consolidated!J1889,'Org List'!$A$2:$A$1005&amp;'Org List'!$B$2:$B$1005,0),3)</f>
        <v>NGOs: National</v>
      </c>
    </row>
    <row r="1890" spans="1:13" x14ac:dyDescent="0.25">
      <c r="A1890" t="s">
        <v>710</v>
      </c>
      <c r="B1890" t="s">
        <v>375</v>
      </c>
      <c r="C1890" t="s">
        <v>376</v>
      </c>
      <c r="D1890" t="s">
        <v>30</v>
      </c>
      <c r="E1890" t="s">
        <v>45</v>
      </c>
      <c r="F1890">
        <v>4500474709</v>
      </c>
      <c r="H1890" t="s">
        <v>12</v>
      </c>
      <c r="I1890" t="s">
        <v>73</v>
      </c>
      <c r="J1890" t="s">
        <v>45</v>
      </c>
      <c r="K1890">
        <v>400000</v>
      </c>
      <c r="L1890" t="s">
        <v>6408</v>
      </c>
      <c r="M1890" t="str" cm="1">
        <f t="array" ref="M1890">INDEX('Org List'!$A$2:$C$1005,MATCH(Consolidated!I1890&amp;Consolidated!J1890,'Org List'!$A$2:$A$1005&amp;'Org List'!$B$2:$B$1005,0),3)</f>
        <v>NGOs: International</v>
      </c>
    </row>
    <row r="1891" spans="1:13" x14ac:dyDescent="0.25">
      <c r="A1891" t="s">
        <v>710</v>
      </c>
      <c r="B1891" t="s">
        <v>375</v>
      </c>
      <c r="C1891" t="s">
        <v>376</v>
      </c>
      <c r="D1891" t="s">
        <v>30</v>
      </c>
      <c r="E1891" t="s">
        <v>45</v>
      </c>
      <c r="F1891">
        <v>4500478663</v>
      </c>
      <c r="H1891" t="s">
        <v>12</v>
      </c>
      <c r="I1891" t="s">
        <v>363</v>
      </c>
      <c r="J1891" t="s">
        <v>45</v>
      </c>
      <c r="K1891">
        <v>76500</v>
      </c>
      <c r="L1891" t="s">
        <v>6408</v>
      </c>
      <c r="M1891" t="str" cm="1">
        <f t="array" ref="M1891">INDEX('Org List'!$A$2:$C$1005,MATCH(Consolidated!I1891&amp;Consolidated!J1891,'Org List'!$A$2:$A$1005&amp;'Org List'!$B$2:$B$1005,0),3)</f>
        <v>NGOs: International</v>
      </c>
    </row>
    <row r="1892" spans="1:13" x14ac:dyDescent="0.25">
      <c r="A1892" t="s">
        <v>710</v>
      </c>
      <c r="B1892" t="s">
        <v>377</v>
      </c>
      <c r="C1892" t="s">
        <v>378</v>
      </c>
      <c r="D1892" t="s">
        <v>30</v>
      </c>
      <c r="E1892" t="s">
        <v>261</v>
      </c>
      <c r="F1892">
        <v>4500480329</v>
      </c>
      <c r="H1892" t="s">
        <v>12</v>
      </c>
      <c r="I1892" t="s">
        <v>379</v>
      </c>
      <c r="J1892" t="s">
        <v>261</v>
      </c>
      <c r="K1892">
        <v>186567.85</v>
      </c>
      <c r="L1892" t="s">
        <v>6408</v>
      </c>
      <c r="M1892" t="str" cm="1">
        <f t="array" ref="M1892">INDEX('Org List'!$A$2:$C$1005,MATCH(Consolidated!I1892&amp;Consolidated!J1892,'Org List'!$A$2:$A$1005&amp;'Org List'!$B$2:$B$1005,0),3)</f>
        <v>NGOs: International</v>
      </c>
    </row>
    <row r="1893" spans="1:13" x14ac:dyDescent="0.25">
      <c r="A1893" t="s">
        <v>710</v>
      </c>
      <c r="B1893" t="s">
        <v>380</v>
      </c>
      <c r="C1893" t="s">
        <v>381</v>
      </c>
      <c r="D1893" t="s">
        <v>30</v>
      </c>
      <c r="E1893" t="s">
        <v>175</v>
      </c>
      <c r="F1893">
        <v>4500482260</v>
      </c>
      <c r="H1893" t="s">
        <v>12</v>
      </c>
      <c r="I1893" t="s">
        <v>182</v>
      </c>
      <c r="J1893" t="s">
        <v>175</v>
      </c>
      <c r="K1893">
        <v>240594.98</v>
      </c>
      <c r="L1893" t="s">
        <v>6408</v>
      </c>
      <c r="M1893" t="str" cm="1">
        <f t="array" ref="M1893">INDEX('Org List'!$A$2:$C$1005,MATCH(Consolidated!I1893&amp;Consolidated!J1893,'Org List'!$A$2:$A$1005&amp;'Org List'!$B$2:$B$1005,0),3)</f>
        <v>NGOs: Local</v>
      </c>
    </row>
    <row r="1894" spans="1:13" x14ac:dyDescent="0.25">
      <c r="A1894" t="s">
        <v>710</v>
      </c>
      <c r="B1894" t="s">
        <v>382</v>
      </c>
      <c r="C1894" t="s">
        <v>383</v>
      </c>
      <c r="D1894" t="s">
        <v>30</v>
      </c>
      <c r="E1894" t="s">
        <v>150</v>
      </c>
      <c r="F1894">
        <v>4500468248</v>
      </c>
      <c r="H1894" t="s">
        <v>12</v>
      </c>
      <c r="I1894" t="s">
        <v>384</v>
      </c>
      <c r="J1894" t="s">
        <v>150</v>
      </c>
      <c r="K1894">
        <v>29523.759999999998</v>
      </c>
      <c r="L1894" t="s">
        <v>6408</v>
      </c>
      <c r="M1894" t="str" cm="1">
        <f t="array" ref="M1894">INDEX('Org List'!$A$2:$C$1005,MATCH(Consolidated!I1894&amp;Consolidated!J1894,'Org List'!$A$2:$A$1005&amp;'Org List'!$B$2:$B$1005,0),3)</f>
        <v>NGOs: National</v>
      </c>
    </row>
    <row r="1895" spans="1:13" x14ac:dyDescent="0.25">
      <c r="A1895" t="s">
        <v>710</v>
      </c>
      <c r="B1895" t="s">
        <v>385</v>
      </c>
      <c r="C1895" t="s">
        <v>386</v>
      </c>
      <c r="D1895" t="s">
        <v>9</v>
      </c>
      <c r="E1895" t="s">
        <v>356</v>
      </c>
      <c r="F1895">
        <v>4500473553</v>
      </c>
      <c r="H1895" t="s">
        <v>12</v>
      </c>
      <c r="I1895" t="s">
        <v>387</v>
      </c>
      <c r="J1895" t="s">
        <v>356</v>
      </c>
      <c r="K1895">
        <v>81775</v>
      </c>
      <c r="L1895" t="s">
        <v>6408</v>
      </c>
      <c r="M1895" t="str" cm="1">
        <f t="array" ref="M1895">INDEX('Org List'!$A$2:$C$1005,MATCH(Consolidated!I1895&amp;Consolidated!J1895,'Org List'!$A$2:$A$1005&amp;'Org List'!$B$2:$B$1005,0),3)</f>
        <v>Other: National</v>
      </c>
    </row>
    <row r="1896" spans="1:13" x14ac:dyDescent="0.25">
      <c r="A1896" t="s">
        <v>710</v>
      </c>
      <c r="B1896" t="s">
        <v>388</v>
      </c>
      <c r="C1896" t="s">
        <v>389</v>
      </c>
      <c r="D1896" t="s">
        <v>9</v>
      </c>
      <c r="E1896" t="s">
        <v>175</v>
      </c>
      <c r="F1896">
        <v>4500476657</v>
      </c>
      <c r="H1896" t="s">
        <v>12</v>
      </c>
      <c r="I1896" t="s">
        <v>390</v>
      </c>
      <c r="J1896" t="s">
        <v>175</v>
      </c>
      <c r="K1896">
        <v>131128.23000000001</v>
      </c>
      <c r="L1896" t="s">
        <v>6408</v>
      </c>
      <c r="M1896" t="str" cm="1">
        <f t="array" ref="M1896">INDEX('Org List'!$A$2:$C$1005,MATCH(Consolidated!I1896&amp;Consolidated!J1896,'Org List'!$A$2:$A$1005&amp;'Org List'!$B$2:$B$1005,0),3)</f>
        <v>NGOs: Local</v>
      </c>
    </row>
    <row r="1897" spans="1:13" x14ac:dyDescent="0.25">
      <c r="A1897" t="s">
        <v>710</v>
      </c>
      <c r="B1897" t="s">
        <v>391</v>
      </c>
      <c r="C1897" t="s">
        <v>392</v>
      </c>
      <c r="D1897" t="s">
        <v>9</v>
      </c>
      <c r="E1897" t="s">
        <v>68</v>
      </c>
      <c r="F1897">
        <v>4500455485</v>
      </c>
      <c r="H1897" t="s">
        <v>12</v>
      </c>
      <c r="I1897" t="s">
        <v>69</v>
      </c>
      <c r="J1897" t="s">
        <v>68</v>
      </c>
      <c r="K1897">
        <v>96170.4</v>
      </c>
      <c r="L1897" t="s">
        <v>6408</v>
      </c>
      <c r="M1897" t="str" cm="1">
        <f t="array" ref="M1897">INDEX('Org List'!$A$2:$C$1005,MATCH(Consolidated!I1897&amp;Consolidated!J1897,'Org List'!$A$2:$A$1005&amp;'Org List'!$B$2:$B$1005,0),3)</f>
        <v>Red Cross: National</v>
      </c>
    </row>
    <row r="1898" spans="1:13" x14ac:dyDescent="0.25">
      <c r="A1898" t="s">
        <v>710</v>
      </c>
      <c r="B1898" t="s">
        <v>393</v>
      </c>
      <c r="C1898" t="s">
        <v>394</v>
      </c>
      <c r="D1898" t="s">
        <v>9</v>
      </c>
      <c r="E1898" t="s">
        <v>175</v>
      </c>
      <c r="F1898">
        <v>4500481924</v>
      </c>
      <c r="H1898" t="s">
        <v>12</v>
      </c>
      <c r="I1898" t="s">
        <v>395</v>
      </c>
      <c r="J1898" t="s">
        <v>175</v>
      </c>
      <c r="K1898">
        <v>203221.76000000001</v>
      </c>
      <c r="L1898" t="s">
        <v>6408</v>
      </c>
      <c r="M1898" t="str" cm="1">
        <f t="array" ref="M1898">INDEX('Org List'!$A$2:$C$1005,MATCH(Consolidated!I1898&amp;Consolidated!J1898,'Org List'!$A$2:$A$1005&amp;'Org List'!$B$2:$B$1005,0),3)</f>
        <v>NGOs: National</v>
      </c>
    </row>
    <row r="1899" spans="1:13" x14ac:dyDescent="0.25">
      <c r="A1899" t="s">
        <v>710</v>
      </c>
      <c r="B1899" t="s">
        <v>443</v>
      </c>
      <c r="C1899" t="s">
        <v>444</v>
      </c>
      <c r="D1899" t="s">
        <v>30</v>
      </c>
      <c r="E1899" t="s">
        <v>155</v>
      </c>
      <c r="F1899">
        <v>4500469054</v>
      </c>
      <c r="H1899" t="s">
        <v>12</v>
      </c>
      <c r="I1899" t="s">
        <v>335</v>
      </c>
      <c r="J1899" t="s">
        <v>155</v>
      </c>
      <c r="K1899">
        <v>72000</v>
      </c>
      <c r="L1899" t="s">
        <v>6408</v>
      </c>
      <c r="M1899" t="str" cm="1">
        <f t="array" ref="M1899">INDEX('Org List'!$A$2:$C$1005,MATCH(Consolidated!I1899&amp;Consolidated!J1899,'Org List'!$A$2:$A$1005&amp;'Org List'!$B$2:$B$1005,0),3)</f>
        <v>NGOs: Local</v>
      </c>
    </row>
    <row r="1900" spans="1:13" x14ac:dyDescent="0.25">
      <c r="A1900" t="s">
        <v>710</v>
      </c>
      <c r="B1900" t="s">
        <v>445</v>
      </c>
      <c r="C1900" t="s">
        <v>446</v>
      </c>
      <c r="D1900" t="s">
        <v>30</v>
      </c>
      <c r="E1900" t="s">
        <v>257</v>
      </c>
      <c r="F1900">
        <v>4500454872</v>
      </c>
      <c r="H1900" t="s">
        <v>12</v>
      </c>
      <c r="I1900" t="s">
        <v>421</v>
      </c>
      <c r="J1900" t="s">
        <v>257</v>
      </c>
      <c r="K1900">
        <v>124039.03999999999</v>
      </c>
      <c r="L1900" t="s">
        <v>6408</v>
      </c>
      <c r="M1900" t="str" cm="1">
        <f t="array" ref="M1900">INDEX('Org List'!$A$2:$C$1005,MATCH(Consolidated!I1900&amp;Consolidated!J1900,'Org List'!$A$2:$A$1005&amp;'Org List'!$B$2:$B$1005,0),3)</f>
        <v>NGOs: National</v>
      </c>
    </row>
    <row r="1901" spans="1:13" x14ac:dyDescent="0.25">
      <c r="A1901" t="s">
        <v>710</v>
      </c>
      <c r="B1901" t="s">
        <v>445</v>
      </c>
      <c r="C1901" t="s">
        <v>446</v>
      </c>
      <c r="D1901" t="s">
        <v>30</v>
      </c>
      <c r="E1901" t="s">
        <v>257</v>
      </c>
      <c r="F1901">
        <v>4500454882</v>
      </c>
      <c r="H1901" t="s">
        <v>12</v>
      </c>
      <c r="I1901" t="s">
        <v>422</v>
      </c>
      <c r="J1901" t="s">
        <v>257</v>
      </c>
      <c r="K1901">
        <v>122020.96</v>
      </c>
      <c r="L1901" t="s">
        <v>6408</v>
      </c>
      <c r="M1901" t="str" cm="1">
        <f t="array" ref="M1901">INDEX('Org List'!$A$2:$C$1005,MATCH(Consolidated!I1901&amp;Consolidated!J1901,'Org List'!$A$2:$A$1005&amp;'Org List'!$B$2:$B$1005,0),3)</f>
        <v>NGOs: Internationally affiliated</v>
      </c>
    </row>
    <row r="1902" spans="1:13" x14ac:dyDescent="0.25">
      <c r="A1902" t="s">
        <v>710</v>
      </c>
      <c r="B1902" t="s">
        <v>447</v>
      </c>
      <c r="C1902" t="s">
        <v>448</v>
      </c>
      <c r="D1902" t="s">
        <v>30</v>
      </c>
      <c r="E1902" t="s">
        <v>449</v>
      </c>
      <c r="F1902">
        <v>4500468631</v>
      </c>
      <c r="H1902" t="s">
        <v>12</v>
      </c>
      <c r="I1902" t="s">
        <v>450</v>
      </c>
      <c r="J1902" t="s">
        <v>449</v>
      </c>
      <c r="K1902">
        <v>837376.72</v>
      </c>
      <c r="L1902" t="s">
        <v>6408</v>
      </c>
      <c r="M1902" t="str" cm="1">
        <f t="array" ref="M1902">INDEX('Org List'!$A$2:$C$1005,MATCH(Consolidated!I1902&amp;Consolidated!J1902,'Org List'!$A$2:$A$1005&amp;'Org List'!$B$2:$B$1005,0),3)</f>
        <v>Multilateral: UN</v>
      </c>
    </row>
    <row r="1903" spans="1:13" x14ac:dyDescent="0.25">
      <c r="A1903" t="s">
        <v>710</v>
      </c>
      <c r="B1903" t="s">
        <v>447</v>
      </c>
      <c r="C1903" t="s">
        <v>448</v>
      </c>
      <c r="D1903" t="s">
        <v>30</v>
      </c>
      <c r="E1903" t="s">
        <v>449</v>
      </c>
      <c r="F1903">
        <v>4500469096</v>
      </c>
      <c r="H1903" t="s">
        <v>12</v>
      </c>
      <c r="I1903" t="s">
        <v>451</v>
      </c>
      <c r="J1903" t="s">
        <v>449</v>
      </c>
      <c r="K1903">
        <v>211717.47</v>
      </c>
      <c r="L1903" t="s">
        <v>6408</v>
      </c>
      <c r="M1903" t="str" cm="1">
        <f t="array" ref="M1903">INDEX('Org List'!$A$2:$C$1005,MATCH(Consolidated!I1903&amp;Consolidated!J1903,'Org List'!$A$2:$A$1005&amp;'Org List'!$B$2:$B$1005,0),3)</f>
        <v>Multilateral: UN</v>
      </c>
    </row>
    <row r="1904" spans="1:13" x14ac:dyDescent="0.25">
      <c r="A1904" t="s">
        <v>710</v>
      </c>
      <c r="B1904" t="s">
        <v>447</v>
      </c>
      <c r="C1904" t="s">
        <v>448</v>
      </c>
      <c r="D1904" t="s">
        <v>30</v>
      </c>
      <c r="E1904" t="s">
        <v>449</v>
      </c>
      <c r="F1904">
        <v>4500480765</v>
      </c>
      <c r="H1904" t="s">
        <v>12</v>
      </c>
      <c r="I1904" t="s">
        <v>452</v>
      </c>
      <c r="J1904" t="s">
        <v>449</v>
      </c>
      <c r="K1904">
        <v>579279.72</v>
      </c>
      <c r="L1904" t="s">
        <v>6408</v>
      </c>
      <c r="M1904" t="str" cm="1">
        <f t="array" ref="M1904">INDEX('Org List'!$A$2:$C$1005,MATCH(Consolidated!I1904&amp;Consolidated!J1904,'Org List'!$A$2:$A$1005&amp;'Org List'!$B$2:$B$1005,0),3)</f>
        <v>Multilateral: UN</v>
      </c>
    </row>
    <row r="1905" spans="1:13" x14ac:dyDescent="0.25">
      <c r="A1905" t="s">
        <v>710</v>
      </c>
      <c r="B1905" t="s">
        <v>536</v>
      </c>
      <c r="C1905" t="s">
        <v>537</v>
      </c>
      <c r="D1905" t="s">
        <v>512</v>
      </c>
      <c r="E1905" t="s">
        <v>243</v>
      </c>
      <c r="F1905">
        <v>4500467133</v>
      </c>
      <c r="H1905" t="s">
        <v>12</v>
      </c>
      <c r="I1905" t="s">
        <v>538</v>
      </c>
      <c r="J1905" t="s">
        <v>243</v>
      </c>
      <c r="K1905">
        <v>150000</v>
      </c>
      <c r="L1905" t="s">
        <v>6408</v>
      </c>
      <c r="M1905" t="str" cm="1">
        <f t="array" ref="M1905">INDEX('Org List'!$A$2:$C$1005,MATCH(Consolidated!I1905&amp;Consolidated!J1905,'Org List'!$A$2:$A$1005&amp;'Org List'!$B$2:$B$1005,0),3)</f>
        <v>NGOs: National</v>
      </c>
    </row>
    <row r="1906" spans="1:13" x14ac:dyDescent="0.25">
      <c r="A1906" t="s">
        <v>710</v>
      </c>
      <c r="B1906" t="s">
        <v>539</v>
      </c>
      <c r="C1906" t="s">
        <v>540</v>
      </c>
      <c r="D1906" t="s">
        <v>512</v>
      </c>
      <c r="E1906" t="s">
        <v>45</v>
      </c>
      <c r="F1906">
        <v>4500471888</v>
      </c>
      <c r="H1906" t="s">
        <v>12</v>
      </c>
      <c r="I1906" t="s">
        <v>541</v>
      </c>
      <c r="J1906" t="s">
        <v>45</v>
      </c>
      <c r="K1906">
        <v>100000</v>
      </c>
      <c r="L1906" t="s">
        <v>6408</v>
      </c>
      <c r="M1906" t="str" cm="1">
        <f t="array" ref="M1906">INDEX('Org List'!$A$2:$C$1005,MATCH(Consolidated!I1906&amp;Consolidated!J1906,'Org List'!$A$2:$A$1005&amp;'Org List'!$B$2:$B$1005,0),3)</f>
        <v>NGOs: National</v>
      </c>
    </row>
    <row r="1907" spans="1:13" x14ac:dyDescent="0.25">
      <c r="A1907" t="s">
        <v>710</v>
      </c>
      <c r="B1907" t="s">
        <v>696</v>
      </c>
      <c r="C1907" t="s">
        <v>697</v>
      </c>
      <c r="D1907" t="s">
        <v>30</v>
      </c>
      <c r="E1907" t="s">
        <v>159</v>
      </c>
      <c r="F1907">
        <v>4500456750</v>
      </c>
      <c r="H1907" t="s">
        <v>12</v>
      </c>
      <c r="I1907" t="s">
        <v>160</v>
      </c>
      <c r="J1907" t="s">
        <v>72</v>
      </c>
      <c r="K1907">
        <v>135000</v>
      </c>
      <c r="L1907" t="s">
        <v>6408</v>
      </c>
      <c r="M1907" t="str" cm="1">
        <f t="array" ref="M1907">INDEX('Org List'!$A$2:$C$1005,MATCH(Consolidated!I1907&amp;Consolidated!J1907,'Org List'!$A$2:$A$1005&amp;'Org List'!$B$2:$B$1005,0),3)</f>
        <v>NGOs: International</v>
      </c>
    </row>
    <row r="1908" spans="1:13" x14ac:dyDescent="0.25">
      <c r="A1908" t="s">
        <v>710</v>
      </c>
      <c r="B1908" t="s">
        <v>696</v>
      </c>
      <c r="C1908" t="s">
        <v>697</v>
      </c>
      <c r="D1908" t="s">
        <v>30</v>
      </c>
      <c r="E1908" t="s">
        <v>159</v>
      </c>
      <c r="F1908">
        <v>4500458605</v>
      </c>
      <c r="H1908" t="s">
        <v>12</v>
      </c>
      <c r="I1908" t="s">
        <v>698</v>
      </c>
      <c r="J1908" t="s">
        <v>54</v>
      </c>
      <c r="K1908">
        <v>200000</v>
      </c>
      <c r="L1908" t="s">
        <v>6408</v>
      </c>
      <c r="M1908" t="str" cm="1">
        <f t="array" ref="M1908">INDEX('Org List'!$A$2:$C$1005,MATCH(Consolidated!I1908&amp;Consolidated!J1908,'Org List'!$A$2:$A$1005&amp;'Org List'!$B$2:$B$1005,0),3)</f>
        <v>NGOs: International</v>
      </c>
    </row>
    <row r="1909" spans="1:13" x14ac:dyDescent="0.25">
      <c r="A1909" t="s">
        <v>710</v>
      </c>
      <c r="B1909" t="s">
        <v>696</v>
      </c>
      <c r="C1909" t="s">
        <v>697</v>
      </c>
      <c r="D1909" t="s">
        <v>30</v>
      </c>
      <c r="E1909" t="s">
        <v>159</v>
      </c>
      <c r="F1909">
        <v>4500477531</v>
      </c>
      <c r="H1909" t="s">
        <v>12</v>
      </c>
      <c r="I1909" t="s">
        <v>699</v>
      </c>
      <c r="J1909" t="s">
        <v>159</v>
      </c>
      <c r="K1909">
        <v>350000</v>
      </c>
      <c r="L1909" t="s">
        <v>6408</v>
      </c>
      <c r="M1909" t="str" cm="1">
        <f t="array" ref="M1909">INDEX('Org List'!$A$2:$C$1005,MATCH(Consolidated!I1909&amp;Consolidated!J1909,'Org List'!$A$2:$A$1005&amp;'Org List'!$B$2:$B$1005,0),3)</f>
        <v>NGOs: National</v>
      </c>
    </row>
    <row r="1910" spans="1:13" x14ac:dyDescent="0.25">
      <c r="A1910" t="s">
        <v>710</v>
      </c>
      <c r="B1910" t="s">
        <v>700</v>
      </c>
      <c r="C1910" t="s">
        <v>701</v>
      </c>
      <c r="D1910" t="s">
        <v>30</v>
      </c>
      <c r="E1910" t="s">
        <v>257</v>
      </c>
      <c r="F1910">
        <v>4500454893</v>
      </c>
      <c r="H1910" t="s">
        <v>12</v>
      </c>
      <c r="I1910" t="s">
        <v>422</v>
      </c>
      <c r="J1910" t="s">
        <v>257</v>
      </c>
      <c r="K1910">
        <v>78167.09</v>
      </c>
      <c r="L1910" t="s">
        <v>6408</v>
      </c>
      <c r="M1910" t="str" cm="1">
        <f t="array" ref="M1910">INDEX('Org List'!$A$2:$C$1005,MATCH(Consolidated!I1910&amp;Consolidated!J1910,'Org List'!$A$2:$A$1005&amp;'Org List'!$B$2:$B$1005,0),3)</f>
        <v>NGOs: Internationally affiliated</v>
      </c>
    </row>
    <row r="1911" spans="1:13" x14ac:dyDescent="0.25">
      <c r="A1911" t="s">
        <v>710</v>
      </c>
      <c r="B1911" t="s">
        <v>722</v>
      </c>
      <c r="C1911" t="s">
        <v>723</v>
      </c>
      <c r="D1911" t="s">
        <v>30</v>
      </c>
      <c r="E1911" t="s">
        <v>717</v>
      </c>
      <c r="F1911">
        <v>4500464186</v>
      </c>
      <c r="H1911" t="s">
        <v>713</v>
      </c>
      <c r="I1911" t="s">
        <v>724</v>
      </c>
      <c r="J1911" t="s">
        <v>717</v>
      </c>
      <c r="K1911">
        <v>356808.85</v>
      </c>
      <c r="L1911" t="s">
        <v>6408</v>
      </c>
      <c r="M1911" t="str" cm="1">
        <f t="array" ref="M1911">INDEX('Org List'!$A$2:$C$1005,MATCH(Consolidated!I1911&amp;Consolidated!J1911,'Org List'!$A$2:$A$1005&amp;'Org List'!$B$2:$B$1005,0),3)</f>
        <v>NGOs: National</v>
      </c>
    </row>
    <row r="1912" spans="1:13" x14ac:dyDescent="0.25">
      <c r="A1912" t="s">
        <v>710</v>
      </c>
      <c r="B1912" t="s">
        <v>722</v>
      </c>
      <c r="C1912" t="s">
        <v>723</v>
      </c>
      <c r="D1912" t="s">
        <v>30</v>
      </c>
      <c r="E1912" t="s">
        <v>717</v>
      </c>
      <c r="F1912">
        <v>4500464192</v>
      </c>
      <c r="H1912" t="s">
        <v>713</v>
      </c>
      <c r="I1912" t="s">
        <v>725</v>
      </c>
      <c r="J1912" t="s">
        <v>717</v>
      </c>
      <c r="K1912">
        <v>369324.12</v>
      </c>
      <c r="L1912" t="s">
        <v>6408</v>
      </c>
      <c r="M1912" t="str" cm="1">
        <f t="array" ref="M1912">INDEX('Org List'!$A$2:$C$1005,MATCH(Consolidated!I1912&amp;Consolidated!J1912,'Org List'!$A$2:$A$1005&amp;'Org List'!$B$2:$B$1005,0),3)</f>
        <v>NGOs: National</v>
      </c>
    </row>
    <row r="1913" spans="1:13" x14ac:dyDescent="0.25">
      <c r="A1913" t="s">
        <v>710</v>
      </c>
      <c r="B1913" t="s">
        <v>722</v>
      </c>
      <c r="C1913" t="s">
        <v>723</v>
      </c>
      <c r="D1913" t="s">
        <v>30</v>
      </c>
      <c r="E1913" t="s">
        <v>717</v>
      </c>
      <c r="F1913">
        <v>4500464196</v>
      </c>
      <c r="H1913" t="s">
        <v>713</v>
      </c>
      <c r="I1913" t="s">
        <v>726</v>
      </c>
      <c r="J1913" t="s">
        <v>717</v>
      </c>
      <c r="K1913">
        <v>387806.86</v>
      </c>
      <c r="L1913" t="s">
        <v>6408</v>
      </c>
      <c r="M1913" t="str" cm="1">
        <f t="array" ref="M1913">INDEX('Org List'!$A$2:$C$1005,MATCH(Consolidated!I1913&amp;Consolidated!J1913,'Org List'!$A$2:$A$1005&amp;'Org List'!$B$2:$B$1005,0),3)</f>
        <v>NGOs: National</v>
      </c>
    </row>
    <row r="1914" spans="1:13" x14ac:dyDescent="0.25">
      <c r="A1914" t="s">
        <v>710</v>
      </c>
      <c r="B1914" t="s">
        <v>722</v>
      </c>
      <c r="C1914" t="s">
        <v>723</v>
      </c>
      <c r="D1914" t="s">
        <v>30</v>
      </c>
      <c r="E1914" t="s">
        <v>717</v>
      </c>
      <c r="F1914">
        <v>4500465860</v>
      </c>
      <c r="H1914" t="s">
        <v>713</v>
      </c>
      <c r="I1914" t="s">
        <v>727</v>
      </c>
      <c r="J1914" t="s">
        <v>717</v>
      </c>
      <c r="K1914">
        <v>388340.67</v>
      </c>
      <c r="L1914" t="s">
        <v>6408</v>
      </c>
      <c r="M1914" t="str" cm="1">
        <f t="array" ref="M1914">INDEX('Org List'!$A$2:$C$1005,MATCH(Consolidated!I1914&amp;Consolidated!J1914,'Org List'!$A$2:$A$1005&amp;'Org List'!$B$2:$B$1005,0),3)</f>
        <v>NGOs: International</v>
      </c>
    </row>
    <row r="1915" spans="1:13" x14ac:dyDescent="0.25">
      <c r="A1915" t="s">
        <v>710</v>
      </c>
      <c r="B1915" t="s">
        <v>722</v>
      </c>
      <c r="C1915" t="s">
        <v>723</v>
      </c>
      <c r="D1915" t="s">
        <v>30</v>
      </c>
      <c r="E1915" t="s">
        <v>717</v>
      </c>
      <c r="F1915">
        <v>4500468775</v>
      </c>
      <c r="H1915" t="s">
        <v>713</v>
      </c>
      <c r="I1915" t="s">
        <v>728</v>
      </c>
      <c r="J1915" t="s">
        <v>717</v>
      </c>
      <c r="K1915">
        <v>232009.99</v>
      </c>
      <c r="L1915" t="s">
        <v>6408</v>
      </c>
      <c r="M1915" t="str" cm="1">
        <f t="array" ref="M1915">INDEX('Org List'!$A$2:$C$1005,MATCH(Consolidated!I1915&amp;Consolidated!J1915,'Org List'!$A$2:$A$1005&amp;'Org List'!$B$2:$B$1005,0),3)</f>
        <v>NGOs: National</v>
      </c>
    </row>
    <row r="1916" spans="1:13" x14ac:dyDescent="0.25">
      <c r="A1916" t="s">
        <v>1152</v>
      </c>
      <c r="B1916" t="s">
        <v>74</v>
      </c>
      <c r="C1916" t="s">
        <v>30</v>
      </c>
      <c r="D1916" t="s">
        <v>75</v>
      </c>
      <c r="E1916" t="s">
        <v>54</v>
      </c>
      <c r="F1916">
        <v>4500439194</v>
      </c>
      <c r="H1916" t="s">
        <v>12</v>
      </c>
      <c r="I1916" t="s">
        <v>269</v>
      </c>
      <c r="J1916" t="s">
        <v>54</v>
      </c>
      <c r="K1916">
        <v>39278.67</v>
      </c>
      <c r="L1916" t="s">
        <v>6408</v>
      </c>
      <c r="M1916" t="str" cm="1">
        <f t="array" ref="M1916">INDEX('Org List'!$A$2:$C$1005,MATCH(Consolidated!I1916&amp;Consolidated!J1916,'Org List'!$A$2:$A$1005&amp;'Org List'!$B$2:$B$1005,0),3)</f>
        <v>NGOs: National</v>
      </c>
    </row>
    <row r="1917" spans="1:13" x14ac:dyDescent="0.25">
      <c r="A1917" t="s">
        <v>1152</v>
      </c>
      <c r="B1917" t="s">
        <v>74</v>
      </c>
      <c r="C1917" t="s">
        <v>30</v>
      </c>
      <c r="D1917" t="s">
        <v>75</v>
      </c>
      <c r="E1917" t="s">
        <v>54</v>
      </c>
      <c r="F1917">
        <v>4500439423</v>
      </c>
      <c r="H1917" t="s">
        <v>12</v>
      </c>
      <c r="I1917" t="s">
        <v>278</v>
      </c>
      <c r="J1917" t="s">
        <v>54</v>
      </c>
      <c r="K1917">
        <v>43529.36</v>
      </c>
      <c r="L1917" t="s">
        <v>6408</v>
      </c>
      <c r="M1917" t="str" cm="1">
        <f t="array" ref="M1917">INDEX('Org List'!$A$2:$C$1005,MATCH(Consolidated!I1917&amp;Consolidated!J1917,'Org List'!$A$2:$A$1005&amp;'Org List'!$B$2:$B$1005,0),3)</f>
        <v>NGOs: Internationally affiliated</v>
      </c>
    </row>
    <row r="1918" spans="1:13" x14ac:dyDescent="0.25">
      <c r="A1918" t="s">
        <v>1152</v>
      </c>
      <c r="B1918" t="s">
        <v>74</v>
      </c>
      <c r="C1918" t="s">
        <v>30</v>
      </c>
      <c r="D1918" t="s">
        <v>75</v>
      </c>
      <c r="E1918" t="s">
        <v>54</v>
      </c>
      <c r="F1918">
        <v>4500439428</v>
      </c>
      <c r="H1918" t="s">
        <v>12</v>
      </c>
      <c r="I1918" t="s">
        <v>273</v>
      </c>
      <c r="J1918" t="s">
        <v>54</v>
      </c>
      <c r="K1918">
        <v>42566.27</v>
      </c>
      <c r="L1918" t="s">
        <v>6408</v>
      </c>
      <c r="M1918" t="str" cm="1">
        <f t="array" ref="M1918">INDEX('Org List'!$A$2:$C$1005,MATCH(Consolidated!I1918&amp;Consolidated!J1918,'Org List'!$A$2:$A$1005&amp;'Org List'!$B$2:$B$1005,0),3)</f>
        <v>NGOs: National</v>
      </c>
    </row>
    <row r="1919" spans="1:13" x14ac:dyDescent="0.25">
      <c r="A1919" t="s">
        <v>1152</v>
      </c>
      <c r="B1919" t="s">
        <v>74</v>
      </c>
      <c r="C1919" t="s">
        <v>30</v>
      </c>
      <c r="D1919" t="s">
        <v>75</v>
      </c>
      <c r="E1919" t="s">
        <v>54</v>
      </c>
      <c r="F1919">
        <v>4500439430</v>
      </c>
      <c r="H1919" t="s">
        <v>12</v>
      </c>
      <c r="I1919" t="s">
        <v>275</v>
      </c>
      <c r="J1919" t="s">
        <v>54</v>
      </c>
      <c r="K1919">
        <v>47287.03</v>
      </c>
      <c r="L1919" t="s">
        <v>6408</v>
      </c>
      <c r="M1919" t="str" cm="1">
        <f t="array" ref="M1919">INDEX('Org List'!$A$2:$C$1005,MATCH(Consolidated!I1919&amp;Consolidated!J1919,'Org List'!$A$2:$A$1005&amp;'Org List'!$B$2:$B$1005,0),3)</f>
        <v>NGOs: National</v>
      </c>
    </row>
    <row r="1920" spans="1:13" x14ac:dyDescent="0.25">
      <c r="A1920" t="s">
        <v>1152</v>
      </c>
      <c r="B1920" t="s">
        <v>74</v>
      </c>
      <c r="C1920" t="s">
        <v>30</v>
      </c>
      <c r="D1920" t="s">
        <v>75</v>
      </c>
      <c r="E1920" t="s">
        <v>54</v>
      </c>
      <c r="F1920">
        <v>4500439425</v>
      </c>
      <c r="H1920" t="s">
        <v>12</v>
      </c>
      <c r="I1920" t="s">
        <v>276</v>
      </c>
      <c r="J1920" t="s">
        <v>54</v>
      </c>
      <c r="K1920">
        <v>53000</v>
      </c>
      <c r="L1920" t="s">
        <v>6408</v>
      </c>
      <c r="M1920" t="str" cm="1">
        <f t="array" ref="M1920">INDEX('Org List'!$A$2:$C$1005,MATCH(Consolidated!I1920&amp;Consolidated!J1920,'Org List'!$A$2:$A$1005&amp;'Org List'!$B$2:$B$1005,0),3)</f>
        <v>NGOs: National</v>
      </c>
    </row>
    <row r="1921" spans="1:13" x14ac:dyDescent="0.25">
      <c r="A1921" t="s">
        <v>1152</v>
      </c>
      <c r="B1921" t="s">
        <v>70</v>
      </c>
      <c r="C1921" t="s">
        <v>30</v>
      </c>
      <c r="D1921" t="s">
        <v>71</v>
      </c>
      <c r="E1921" t="s">
        <v>72</v>
      </c>
      <c r="F1921">
        <v>4500436404</v>
      </c>
      <c r="H1921" t="s">
        <v>12</v>
      </c>
      <c r="I1921" t="s">
        <v>179</v>
      </c>
      <c r="J1921" t="s">
        <v>72</v>
      </c>
      <c r="K1921">
        <v>979635.58</v>
      </c>
      <c r="L1921" t="s">
        <v>6408</v>
      </c>
      <c r="M1921" t="str" cm="1">
        <f t="array" ref="M1921">INDEX('Org List'!$A$2:$C$1005,MATCH(Consolidated!I1921&amp;Consolidated!J1921,'Org List'!$A$2:$A$1005&amp;'Org List'!$B$2:$B$1005,0),3)</f>
        <v>NGOs: International</v>
      </c>
    </row>
    <row r="1922" spans="1:13" x14ac:dyDescent="0.25">
      <c r="A1922" t="s">
        <v>1152</v>
      </c>
      <c r="B1922" t="s">
        <v>74</v>
      </c>
      <c r="C1922" t="s">
        <v>30</v>
      </c>
      <c r="D1922" t="s">
        <v>75</v>
      </c>
      <c r="E1922" t="s">
        <v>54</v>
      </c>
      <c r="F1922">
        <v>4500439420</v>
      </c>
      <c r="H1922" t="s">
        <v>12</v>
      </c>
      <c r="I1922" t="s">
        <v>789</v>
      </c>
      <c r="J1922" t="s">
        <v>54</v>
      </c>
      <c r="K1922">
        <v>34204.82</v>
      </c>
      <c r="L1922" t="s">
        <v>6408</v>
      </c>
      <c r="M1922" t="str" cm="1">
        <f t="array" ref="M1922">INDEX('Org List'!$A$2:$C$1005,MATCH(Consolidated!I1922&amp;Consolidated!J1922,'Org List'!$A$2:$A$1005&amp;'Org List'!$B$2:$B$1005,0),3)</f>
        <v>NGOs: National</v>
      </c>
    </row>
    <row r="1923" spans="1:13" x14ac:dyDescent="0.25">
      <c r="A1923" t="s">
        <v>1152</v>
      </c>
      <c r="B1923" t="s">
        <v>74</v>
      </c>
      <c r="C1923" t="s">
        <v>30</v>
      </c>
      <c r="D1923" t="s">
        <v>75</v>
      </c>
      <c r="E1923" t="s">
        <v>54</v>
      </c>
      <c r="F1923">
        <v>4500439433</v>
      </c>
      <c r="H1923" t="s">
        <v>12</v>
      </c>
      <c r="I1923" t="s">
        <v>280</v>
      </c>
      <c r="J1923" t="s">
        <v>54</v>
      </c>
      <c r="K1923">
        <v>104384.58</v>
      </c>
      <c r="L1923" t="s">
        <v>6408</v>
      </c>
      <c r="M1923" t="str" cm="1">
        <f t="array" ref="M1923">INDEX('Org List'!$A$2:$C$1005,MATCH(Consolidated!I1923&amp;Consolidated!J1923,'Org List'!$A$2:$A$1005&amp;'Org List'!$B$2:$B$1005,0),3)</f>
        <v>NGOs: National</v>
      </c>
    </row>
    <row r="1924" spans="1:13" x14ac:dyDescent="0.25">
      <c r="A1924" t="s">
        <v>1152</v>
      </c>
      <c r="B1924" t="s">
        <v>74</v>
      </c>
      <c r="C1924" t="s">
        <v>30</v>
      </c>
      <c r="D1924" t="s">
        <v>75</v>
      </c>
      <c r="E1924" t="s">
        <v>54</v>
      </c>
      <c r="F1924">
        <v>4500440064</v>
      </c>
      <c r="H1924" t="s">
        <v>12</v>
      </c>
      <c r="I1924" t="s">
        <v>790</v>
      </c>
      <c r="J1924" t="s">
        <v>54</v>
      </c>
      <c r="K1924">
        <v>49709.64</v>
      </c>
      <c r="L1924" t="s">
        <v>6408</v>
      </c>
      <c r="M1924" t="str" cm="1">
        <f t="array" ref="M1924">INDEX('Org List'!$A$2:$C$1005,MATCH(Consolidated!I1924&amp;Consolidated!J1924,'Org List'!$A$2:$A$1005&amp;'Org List'!$B$2:$B$1005,0),3)</f>
        <v>NGOs: National</v>
      </c>
    </row>
    <row r="1925" spans="1:13" x14ac:dyDescent="0.25">
      <c r="A1925" t="s">
        <v>1152</v>
      </c>
      <c r="B1925" t="s">
        <v>791</v>
      </c>
      <c r="C1925" t="s">
        <v>30</v>
      </c>
      <c r="D1925" t="s">
        <v>792</v>
      </c>
      <c r="E1925" t="s">
        <v>793</v>
      </c>
      <c r="F1925">
        <v>4500444518</v>
      </c>
      <c r="H1925" t="s">
        <v>12</v>
      </c>
      <c r="I1925" t="s">
        <v>794</v>
      </c>
      <c r="J1925" t="s">
        <v>793</v>
      </c>
      <c r="K1925">
        <v>70000.210000000006</v>
      </c>
      <c r="L1925" t="s">
        <v>6408</v>
      </c>
      <c r="M1925" t="str" cm="1">
        <f t="array" ref="M1925">INDEX('Org List'!$A$2:$C$1005,MATCH(Consolidated!I1925&amp;Consolidated!J1925,'Org List'!$A$2:$A$1005&amp;'Org List'!$B$2:$B$1005,0),3)</f>
        <v>NGOs: National</v>
      </c>
    </row>
    <row r="1926" spans="1:13" x14ac:dyDescent="0.25">
      <c r="A1926" t="s">
        <v>1152</v>
      </c>
      <c r="B1926" t="s">
        <v>791</v>
      </c>
      <c r="C1926" t="s">
        <v>30</v>
      </c>
      <c r="D1926" t="s">
        <v>792</v>
      </c>
      <c r="E1926" t="s">
        <v>793</v>
      </c>
      <c r="F1926">
        <v>4500444523</v>
      </c>
      <c r="H1926" t="s">
        <v>12</v>
      </c>
      <c r="I1926" t="s">
        <v>795</v>
      </c>
      <c r="J1926" t="s">
        <v>793</v>
      </c>
      <c r="K1926">
        <v>55467.11</v>
      </c>
      <c r="L1926" t="s">
        <v>6408</v>
      </c>
      <c r="M1926" t="str" cm="1">
        <f t="array" ref="M1926">INDEX('Org List'!$A$2:$C$1005,MATCH(Consolidated!I1926&amp;Consolidated!J1926,'Org List'!$A$2:$A$1005&amp;'Org List'!$B$2:$B$1005,0),3)</f>
        <v>NGOs: National</v>
      </c>
    </row>
    <row r="1927" spans="1:13" x14ac:dyDescent="0.25">
      <c r="A1927" t="s">
        <v>1152</v>
      </c>
      <c r="B1927" t="s">
        <v>791</v>
      </c>
      <c r="C1927" t="s">
        <v>30</v>
      </c>
      <c r="D1927" t="s">
        <v>792</v>
      </c>
      <c r="E1927" t="s">
        <v>793</v>
      </c>
      <c r="F1927">
        <v>4500444522</v>
      </c>
      <c r="H1927" t="s">
        <v>12</v>
      </c>
      <c r="I1927" t="s">
        <v>796</v>
      </c>
      <c r="J1927" t="s">
        <v>793</v>
      </c>
      <c r="K1927">
        <v>66975.53</v>
      </c>
      <c r="L1927" t="s">
        <v>6408</v>
      </c>
      <c r="M1927" t="str" cm="1">
        <f t="array" ref="M1927">INDEX('Org List'!$A$2:$C$1005,MATCH(Consolidated!I1927&amp;Consolidated!J1927,'Org List'!$A$2:$A$1005&amp;'Org List'!$B$2:$B$1005,0),3)</f>
        <v>NGOs: National</v>
      </c>
    </row>
    <row r="1928" spans="1:13" x14ac:dyDescent="0.25">
      <c r="A1928" t="s">
        <v>1152</v>
      </c>
      <c r="B1928" t="s">
        <v>791</v>
      </c>
      <c r="C1928" t="s">
        <v>30</v>
      </c>
      <c r="D1928" t="s">
        <v>792</v>
      </c>
      <c r="E1928" t="s">
        <v>793</v>
      </c>
      <c r="F1928">
        <v>4500444524</v>
      </c>
      <c r="H1928" t="s">
        <v>12</v>
      </c>
      <c r="I1928" t="s">
        <v>797</v>
      </c>
      <c r="J1928" t="s">
        <v>798</v>
      </c>
      <c r="K1928">
        <v>66015.44</v>
      </c>
      <c r="L1928" t="s">
        <v>6408</v>
      </c>
      <c r="M1928" t="str" cm="1">
        <f t="array" ref="M1928">INDEX('Org List'!$A$2:$C$1005,MATCH(Consolidated!I1928&amp;Consolidated!J1928,'Org List'!$A$2:$A$1005&amp;'Org List'!$B$2:$B$1005,0),3)</f>
        <v>Unknown</v>
      </c>
    </row>
    <row r="1929" spans="1:13" x14ac:dyDescent="0.25">
      <c r="A1929" t="s">
        <v>1152</v>
      </c>
      <c r="B1929" t="s">
        <v>87</v>
      </c>
      <c r="C1929" t="s">
        <v>30</v>
      </c>
      <c r="D1929" t="s">
        <v>88</v>
      </c>
      <c r="E1929" t="s">
        <v>32</v>
      </c>
      <c r="F1929">
        <v>4500452143</v>
      </c>
      <c r="H1929" t="s">
        <v>12</v>
      </c>
      <c r="I1929" t="s">
        <v>799</v>
      </c>
      <c r="J1929" t="s">
        <v>32</v>
      </c>
      <c r="K1929">
        <v>211539</v>
      </c>
      <c r="L1929" t="s">
        <v>6408</v>
      </c>
      <c r="M1929" t="str" cm="1">
        <f t="array" ref="M1929">INDEX('Org List'!$A$2:$C$1005,MATCH(Consolidated!I1929&amp;Consolidated!J1929,'Org List'!$A$2:$A$1005&amp;'Org List'!$B$2:$B$1005,0),3)</f>
        <v>NGOs: International</v>
      </c>
    </row>
    <row r="1930" spans="1:13" x14ac:dyDescent="0.25">
      <c r="A1930" t="s">
        <v>1152</v>
      </c>
      <c r="B1930" t="s">
        <v>87</v>
      </c>
      <c r="C1930" t="s">
        <v>30</v>
      </c>
      <c r="D1930" t="s">
        <v>88</v>
      </c>
      <c r="E1930" t="s">
        <v>32</v>
      </c>
      <c r="F1930">
        <v>4500450860</v>
      </c>
      <c r="H1930" t="s">
        <v>12</v>
      </c>
      <c r="I1930" t="s">
        <v>800</v>
      </c>
      <c r="J1930" t="s">
        <v>32</v>
      </c>
      <c r="K1930">
        <v>226744</v>
      </c>
      <c r="L1930" t="s">
        <v>6408</v>
      </c>
      <c r="M1930" t="str" cm="1">
        <f t="array" ref="M1930">INDEX('Org List'!$A$2:$C$1005,MATCH(Consolidated!I1930&amp;Consolidated!J1930,'Org List'!$A$2:$A$1005&amp;'Org List'!$B$2:$B$1005,0),3)</f>
        <v>NGOs: International</v>
      </c>
    </row>
    <row r="1931" spans="1:13" x14ac:dyDescent="0.25">
      <c r="A1931" t="s">
        <v>1152</v>
      </c>
      <c r="B1931" t="s">
        <v>87</v>
      </c>
      <c r="C1931" t="s">
        <v>30</v>
      </c>
      <c r="D1931" t="s">
        <v>88</v>
      </c>
      <c r="E1931" t="s">
        <v>32</v>
      </c>
      <c r="F1931">
        <v>4500441422</v>
      </c>
      <c r="H1931" t="s">
        <v>12</v>
      </c>
      <c r="I1931" t="s">
        <v>801</v>
      </c>
      <c r="J1931" t="s">
        <v>32</v>
      </c>
      <c r="K1931">
        <v>222745</v>
      </c>
      <c r="L1931" t="s">
        <v>6408</v>
      </c>
      <c r="M1931" t="str" cm="1">
        <f t="array" ref="M1931">INDEX('Org List'!$A$2:$C$1005,MATCH(Consolidated!I1931&amp;Consolidated!J1931,'Org List'!$A$2:$A$1005&amp;'Org List'!$B$2:$B$1005,0),3)</f>
        <v>NGOs: National</v>
      </c>
    </row>
    <row r="1932" spans="1:13" x14ac:dyDescent="0.25">
      <c r="A1932" t="s">
        <v>1152</v>
      </c>
      <c r="B1932" t="s">
        <v>87</v>
      </c>
      <c r="C1932" t="s">
        <v>30</v>
      </c>
      <c r="D1932" t="s">
        <v>88</v>
      </c>
      <c r="E1932" t="s">
        <v>32</v>
      </c>
      <c r="F1932">
        <v>4500439099</v>
      </c>
      <c r="H1932" t="s">
        <v>12</v>
      </c>
      <c r="I1932" t="s">
        <v>33</v>
      </c>
      <c r="J1932" t="s">
        <v>32</v>
      </c>
      <c r="K1932">
        <v>50642</v>
      </c>
      <c r="L1932" t="s">
        <v>6408</v>
      </c>
      <c r="M1932" t="str" cm="1">
        <f t="array" ref="M1932">INDEX('Org List'!$A$2:$C$1005,MATCH(Consolidated!I1932&amp;Consolidated!J1932,'Org List'!$A$2:$A$1005&amp;'Org List'!$B$2:$B$1005,0),3)</f>
        <v>NGOs: National</v>
      </c>
    </row>
    <row r="1933" spans="1:13" x14ac:dyDescent="0.25">
      <c r="A1933" t="s">
        <v>1152</v>
      </c>
      <c r="B1933" t="s">
        <v>87</v>
      </c>
      <c r="C1933" t="s">
        <v>30</v>
      </c>
      <c r="D1933" t="s">
        <v>88</v>
      </c>
      <c r="E1933" t="s">
        <v>32</v>
      </c>
      <c r="F1933">
        <v>4500439967</v>
      </c>
      <c r="H1933" t="s">
        <v>12</v>
      </c>
      <c r="I1933" t="s">
        <v>802</v>
      </c>
      <c r="J1933" t="s">
        <v>32</v>
      </c>
      <c r="K1933">
        <v>78900</v>
      </c>
      <c r="L1933" t="s">
        <v>6408</v>
      </c>
      <c r="M1933" t="str" cm="1">
        <f t="array" ref="M1933">INDEX('Org List'!$A$2:$C$1005,MATCH(Consolidated!I1933&amp;Consolidated!J1933,'Org List'!$A$2:$A$1005&amp;'Org List'!$B$2:$B$1005,0),3)</f>
        <v>NGOs: National</v>
      </c>
    </row>
    <row r="1934" spans="1:13" x14ac:dyDescent="0.25">
      <c r="A1934" t="s">
        <v>1152</v>
      </c>
      <c r="B1934" t="s">
        <v>87</v>
      </c>
      <c r="C1934" t="s">
        <v>30</v>
      </c>
      <c r="D1934" t="s">
        <v>88</v>
      </c>
      <c r="E1934" t="s">
        <v>32</v>
      </c>
      <c r="F1934">
        <v>4500445842</v>
      </c>
      <c r="H1934" t="s">
        <v>12</v>
      </c>
      <c r="I1934" t="s">
        <v>803</v>
      </c>
      <c r="J1934" t="s">
        <v>32</v>
      </c>
      <c r="K1934">
        <v>85985</v>
      </c>
      <c r="L1934" t="s">
        <v>6408</v>
      </c>
      <c r="M1934" t="str" cm="1">
        <f t="array" ref="M1934">INDEX('Org List'!$A$2:$C$1005,MATCH(Consolidated!I1934&amp;Consolidated!J1934,'Org List'!$A$2:$A$1005&amp;'Org List'!$B$2:$B$1005,0),3)</f>
        <v>Unknown</v>
      </c>
    </row>
    <row r="1935" spans="1:13" x14ac:dyDescent="0.25">
      <c r="A1935" t="s">
        <v>1152</v>
      </c>
      <c r="B1935" t="s">
        <v>87</v>
      </c>
      <c r="C1935" t="s">
        <v>30</v>
      </c>
      <c r="D1935" t="s">
        <v>88</v>
      </c>
      <c r="E1935" t="s">
        <v>32</v>
      </c>
      <c r="F1935">
        <v>4500445835</v>
      </c>
      <c r="H1935" t="s">
        <v>12</v>
      </c>
      <c r="I1935" t="s">
        <v>804</v>
      </c>
      <c r="J1935" t="s">
        <v>32</v>
      </c>
      <c r="K1935">
        <v>218815</v>
      </c>
      <c r="L1935" t="s">
        <v>6408</v>
      </c>
      <c r="M1935" t="str" cm="1">
        <f t="array" ref="M1935">INDEX('Org List'!$A$2:$C$1005,MATCH(Consolidated!I1935&amp;Consolidated!J1935,'Org List'!$A$2:$A$1005&amp;'Org List'!$B$2:$B$1005,0),3)</f>
        <v>NGOs: International</v>
      </c>
    </row>
    <row r="1936" spans="1:13" x14ac:dyDescent="0.25">
      <c r="A1936" t="s">
        <v>1152</v>
      </c>
      <c r="B1936" t="s">
        <v>87</v>
      </c>
      <c r="C1936" t="s">
        <v>30</v>
      </c>
      <c r="D1936" t="s">
        <v>88</v>
      </c>
      <c r="E1936" t="s">
        <v>32</v>
      </c>
      <c r="F1936">
        <v>4500447746</v>
      </c>
      <c r="H1936" t="s">
        <v>12</v>
      </c>
      <c r="I1936" t="s">
        <v>805</v>
      </c>
      <c r="J1936" t="s">
        <v>32</v>
      </c>
      <c r="K1936">
        <v>144727</v>
      </c>
      <c r="L1936" t="s">
        <v>6408</v>
      </c>
      <c r="M1936" t="str" cm="1">
        <f t="array" ref="M1936">INDEX('Org List'!$A$2:$C$1005,MATCH(Consolidated!I1936&amp;Consolidated!J1936,'Org List'!$A$2:$A$1005&amp;'Org List'!$B$2:$B$1005,0),3)</f>
        <v>NGOs: National</v>
      </c>
    </row>
    <row r="1937" spans="1:13" x14ac:dyDescent="0.25">
      <c r="A1937" t="s">
        <v>1152</v>
      </c>
      <c r="B1937" t="s">
        <v>87</v>
      </c>
      <c r="C1937" t="s">
        <v>30</v>
      </c>
      <c r="D1937" t="s">
        <v>88</v>
      </c>
      <c r="E1937" t="s">
        <v>32</v>
      </c>
      <c r="F1937">
        <v>4500451612</v>
      </c>
      <c r="H1937" t="s">
        <v>12</v>
      </c>
      <c r="I1937" t="s">
        <v>806</v>
      </c>
      <c r="J1937" t="s">
        <v>32</v>
      </c>
      <c r="K1937">
        <v>163294</v>
      </c>
      <c r="L1937" t="s">
        <v>6408</v>
      </c>
      <c r="M1937" t="str" cm="1">
        <f t="array" ref="M1937">INDEX('Org List'!$A$2:$C$1005,MATCH(Consolidated!I1937&amp;Consolidated!J1937,'Org List'!$A$2:$A$1005&amp;'Org List'!$B$2:$B$1005,0),3)</f>
        <v>NGOs: National</v>
      </c>
    </row>
    <row r="1938" spans="1:13" x14ac:dyDescent="0.25">
      <c r="A1938" t="s">
        <v>1152</v>
      </c>
      <c r="B1938" t="s">
        <v>87</v>
      </c>
      <c r="C1938" t="s">
        <v>30</v>
      </c>
      <c r="D1938" t="s">
        <v>88</v>
      </c>
      <c r="E1938" t="s">
        <v>32</v>
      </c>
      <c r="F1938">
        <v>4500450866</v>
      </c>
      <c r="H1938" t="s">
        <v>12</v>
      </c>
      <c r="I1938" t="s">
        <v>99</v>
      </c>
      <c r="J1938" t="s">
        <v>32</v>
      </c>
      <c r="K1938">
        <v>89807</v>
      </c>
      <c r="L1938" t="s">
        <v>6408</v>
      </c>
      <c r="M1938" t="str" cm="1">
        <f t="array" ref="M1938">INDEX('Org List'!$A$2:$C$1005,MATCH(Consolidated!I1938&amp;Consolidated!J1938,'Org List'!$A$2:$A$1005&amp;'Org List'!$B$2:$B$1005,0),3)</f>
        <v>NGOs: National</v>
      </c>
    </row>
    <row r="1939" spans="1:13" x14ac:dyDescent="0.25">
      <c r="A1939" t="s">
        <v>1152</v>
      </c>
      <c r="B1939" t="s">
        <v>87</v>
      </c>
      <c r="C1939" t="s">
        <v>30</v>
      </c>
      <c r="D1939" t="s">
        <v>88</v>
      </c>
      <c r="E1939" t="s">
        <v>32</v>
      </c>
      <c r="F1939">
        <v>4500452126</v>
      </c>
      <c r="H1939" t="s">
        <v>12</v>
      </c>
      <c r="I1939" t="s">
        <v>807</v>
      </c>
      <c r="J1939" t="s">
        <v>32</v>
      </c>
      <c r="K1939">
        <v>249589</v>
      </c>
      <c r="L1939" t="s">
        <v>6408</v>
      </c>
      <c r="M1939" t="str" cm="1">
        <f t="array" ref="M1939">INDEX('Org List'!$A$2:$C$1005,MATCH(Consolidated!I1939&amp;Consolidated!J1939,'Org List'!$A$2:$A$1005&amp;'Org List'!$B$2:$B$1005,0),3)</f>
        <v>NGOs: National</v>
      </c>
    </row>
    <row r="1940" spans="1:13" x14ac:dyDescent="0.25">
      <c r="A1940" t="s">
        <v>1152</v>
      </c>
      <c r="B1940" t="s">
        <v>87</v>
      </c>
      <c r="C1940" t="s">
        <v>30</v>
      </c>
      <c r="D1940" t="s">
        <v>88</v>
      </c>
      <c r="E1940" t="s">
        <v>32</v>
      </c>
      <c r="F1940">
        <v>4500452166</v>
      </c>
      <c r="H1940" t="s">
        <v>12</v>
      </c>
      <c r="I1940" t="s">
        <v>808</v>
      </c>
      <c r="J1940" t="s">
        <v>32</v>
      </c>
      <c r="K1940">
        <v>155524</v>
      </c>
      <c r="L1940" t="s">
        <v>6408</v>
      </c>
      <c r="M1940" t="str" cm="1">
        <f t="array" ref="M1940">INDEX('Org List'!$A$2:$C$1005,MATCH(Consolidated!I1940&amp;Consolidated!J1940,'Org List'!$A$2:$A$1005&amp;'Org List'!$B$2:$B$1005,0),3)</f>
        <v>NGOs: National</v>
      </c>
    </row>
    <row r="1941" spans="1:13" x14ac:dyDescent="0.25">
      <c r="A1941" t="s">
        <v>1152</v>
      </c>
      <c r="B1941" t="s">
        <v>87</v>
      </c>
      <c r="C1941" t="s">
        <v>30</v>
      </c>
      <c r="D1941" t="s">
        <v>88</v>
      </c>
      <c r="E1941" t="s">
        <v>32</v>
      </c>
      <c r="F1941">
        <v>4500452246</v>
      </c>
      <c r="H1941" t="s">
        <v>12</v>
      </c>
      <c r="I1941" t="s">
        <v>809</v>
      </c>
      <c r="J1941" t="s">
        <v>32</v>
      </c>
      <c r="K1941">
        <v>249183</v>
      </c>
      <c r="L1941" t="s">
        <v>6408</v>
      </c>
      <c r="M1941" t="str" cm="1">
        <f t="array" ref="M1941">INDEX('Org List'!$A$2:$C$1005,MATCH(Consolidated!I1941&amp;Consolidated!J1941,'Org List'!$A$2:$A$1005&amp;'Org List'!$B$2:$B$1005,0),3)</f>
        <v>NGOs: National</v>
      </c>
    </row>
    <row r="1942" spans="1:13" x14ac:dyDescent="0.25">
      <c r="A1942" t="s">
        <v>1152</v>
      </c>
      <c r="B1942" t="s">
        <v>87</v>
      </c>
      <c r="C1942" t="s">
        <v>30</v>
      </c>
      <c r="D1942" t="s">
        <v>88</v>
      </c>
      <c r="E1942" t="s">
        <v>32</v>
      </c>
      <c r="F1942">
        <v>4500454225</v>
      </c>
      <c r="H1942" t="s">
        <v>12</v>
      </c>
      <c r="I1942" t="s">
        <v>810</v>
      </c>
      <c r="J1942" t="s">
        <v>32</v>
      </c>
      <c r="K1942">
        <v>249814</v>
      </c>
      <c r="L1942" t="s">
        <v>6408</v>
      </c>
      <c r="M1942" t="str" cm="1">
        <f t="array" ref="M1942">INDEX('Org List'!$A$2:$C$1005,MATCH(Consolidated!I1942&amp;Consolidated!J1942,'Org List'!$A$2:$A$1005&amp;'Org List'!$B$2:$B$1005,0),3)</f>
        <v>NGOs: International</v>
      </c>
    </row>
    <row r="1943" spans="1:13" x14ac:dyDescent="0.25">
      <c r="A1943" t="s">
        <v>1152</v>
      </c>
      <c r="B1943" t="s">
        <v>811</v>
      </c>
      <c r="C1943" t="s">
        <v>30</v>
      </c>
      <c r="D1943" t="s">
        <v>812</v>
      </c>
      <c r="E1943" t="s">
        <v>123</v>
      </c>
      <c r="F1943">
        <v>4500433481</v>
      </c>
      <c r="H1943" t="s">
        <v>12</v>
      </c>
      <c r="I1943" t="s">
        <v>367</v>
      </c>
      <c r="J1943" t="s">
        <v>123</v>
      </c>
      <c r="K1943">
        <v>54844</v>
      </c>
      <c r="L1943" t="s">
        <v>6408</v>
      </c>
      <c r="M1943" t="str" cm="1">
        <f t="array" ref="M1943">INDEX('Org List'!$A$2:$C$1005,MATCH(Consolidated!I1943&amp;Consolidated!J1943,'Org List'!$A$2:$A$1005&amp;'Org List'!$B$2:$B$1005,0),3)</f>
        <v>NGOs: Local</v>
      </c>
    </row>
    <row r="1944" spans="1:13" x14ac:dyDescent="0.25">
      <c r="A1944" t="s">
        <v>1152</v>
      </c>
      <c r="B1944" t="s">
        <v>811</v>
      </c>
      <c r="C1944" t="s">
        <v>30</v>
      </c>
      <c r="D1944" t="s">
        <v>812</v>
      </c>
      <c r="E1944" t="s">
        <v>123</v>
      </c>
      <c r="F1944">
        <v>4500433682</v>
      </c>
      <c r="H1944" t="s">
        <v>12</v>
      </c>
      <c r="I1944" t="s">
        <v>813</v>
      </c>
      <c r="J1944" t="s">
        <v>123</v>
      </c>
      <c r="K1944">
        <v>729938.07</v>
      </c>
      <c r="L1944" t="s">
        <v>6408</v>
      </c>
      <c r="M1944" t="str" cm="1">
        <f t="array" ref="M1944">INDEX('Org List'!$A$2:$C$1005,MATCH(Consolidated!I1944&amp;Consolidated!J1944,'Org List'!$A$2:$A$1005&amp;'Org List'!$B$2:$B$1005,0),3)</f>
        <v>NGOs: National</v>
      </c>
    </row>
    <row r="1945" spans="1:13" x14ac:dyDescent="0.25">
      <c r="A1945" t="s">
        <v>1152</v>
      </c>
      <c r="B1945" t="s">
        <v>811</v>
      </c>
      <c r="C1945" t="s">
        <v>30</v>
      </c>
      <c r="D1945" t="s">
        <v>812</v>
      </c>
      <c r="E1945" t="s">
        <v>123</v>
      </c>
      <c r="F1945">
        <v>4500448340</v>
      </c>
      <c r="H1945" t="s">
        <v>12</v>
      </c>
      <c r="I1945" t="s">
        <v>366</v>
      </c>
      <c r="J1945" t="s">
        <v>123</v>
      </c>
      <c r="K1945">
        <v>867326.46</v>
      </c>
      <c r="L1945" t="s">
        <v>6408</v>
      </c>
      <c r="M1945" t="str" cm="1">
        <f t="array" ref="M1945">INDEX('Org List'!$A$2:$C$1005,MATCH(Consolidated!I1945&amp;Consolidated!J1945,'Org List'!$A$2:$A$1005&amp;'Org List'!$B$2:$B$1005,0),3)</f>
        <v>NGOs: National</v>
      </c>
    </row>
    <row r="1946" spans="1:13" x14ac:dyDescent="0.25">
      <c r="A1946" t="s">
        <v>1152</v>
      </c>
      <c r="B1946" t="s">
        <v>811</v>
      </c>
      <c r="C1946" t="s">
        <v>30</v>
      </c>
      <c r="D1946" t="s">
        <v>812</v>
      </c>
      <c r="E1946" t="s">
        <v>123</v>
      </c>
      <c r="F1946">
        <v>4500454335</v>
      </c>
      <c r="H1946" t="s">
        <v>12</v>
      </c>
      <c r="I1946" t="s">
        <v>366</v>
      </c>
      <c r="J1946" t="s">
        <v>123</v>
      </c>
      <c r="K1946">
        <v>1023959.31</v>
      </c>
      <c r="L1946" t="s">
        <v>6408</v>
      </c>
      <c r="M1946" t="str" cm="1">
        <f t="array" ref="M1946">INDEX('Org List'!$A$2:$C$1005,MATCH(Consolidated!I1946&amp;Consolidated!J1946,'Org List'!$A$2:$A$1005&amp;'Org List'!$B$2:$B$1005,0),3)</f>
        <v>NGOs: National</v>
      </c>
    </row>
    <row r="1947" spans="1:13" x14ac:dyDescent="0.25">
      <c r="A1947" t="s">
        <v>1152</v>
      </c>
      <c r="B1947" t="s">
        <v>107</v>
      </c>
      <c r="C1947" t="s">
        <v>30</v>
      </c>
      <c r="D1947" t="s">
        <v>108</v>
      </c>
      <c r="E1947" t="s">
        <v>814</v>
      </c>
      <c r="F1947">
        <v>4500430177</v>
      </c>
      <c r="H1947" t="s">
        <v>12</v>
      </c>
      <c r="I1947" t="s">
        <v>119</v>
      </c>
      <c r="J1947" t="s">
        <v>814</v>
      </c>
      <c r="K1947">
        <v>19782.86</v>
      </c>
      <c r="L1947" t="s">
        <v>6408</v>
      </c>
      <c r="M1947" t="str" cm="1">
        <f t="array" ref="M1947">INDEX('Org List'!$A$2:$C$1005,MATCH(Consolidated!I1947&amp;Consolidated!J1947,'Org List'!$A$2:$A$1005&amp;'Org List'!$B$2:$B$1005,0),3)</f>
        <v>NGOs: National</v>
      </c>
    </row>
    <row r="1948" spans="1:13" x14ac:dyDescent="0.25">
      <c r="A1948" t="s">
        <v>1152</v>
      </c>
      <c r="B1948" t="s">
        <v>107</v>
      </c>
      <c r="C1948" t="s">
        <v>30</v>
      </c>
      <c r="D1948" t="s">
        <v>108</v>
      </c>
      <c r="E1948" t="s">
        <v>814</v>
      </c>
      <c r="F1948">
        <v>4500440406</v>
      </c>
      <c r="H1948" t="s">
        <v>12</v>
      </c>
      <c r="I1948" t="s">
        <v>119</v>
      </c>
      <c r="J1948" t="s">
        <v>814</v>
      </c>
      <c r="K1948">
        <v>15581.41</v>
      </c>
      <c r="L1948" t="s">
        <v>6408</v>
      </c>
      <c r="M1948" t="str" cm="1">
        <f t="array" ref="M1948">INDEX('Org List'!$A$2:$C$1005,MATCH(Consolidated!I1948&amp;Consolidated!J1948,'Org List'!$A$2:$A$1005&amp;'Org List'!$B$2:$B$1005,0),3)</f>
        <v>NGOs: National</v>
      </c>
    </row>
    <row r="1949" spans="1:13" x14ac:dyDescent="0.25">
      <c r="A1949" t="s">
        <v>1152</v>
      </c>
      <c r="B1949" t="s">
        <v>107</v>
      </c>
      <c r="C1949" t="s">
        <v>30</v>
      </c>
      <c r="D1949" t="s">
        <v>108</v>
      </c>
      <c r="E1949" t="s">
        <v>814</v>
      </c>
      <c r="F1949">
        <v>4500441161</v>
      </c>
      <c r="H1949" t="s">
        <v>12</v>
      </c>
      <c r="I1949" t="s">
        <v>115</v>
      </c>
      <c r="J1949" t="s">
        <v>814</v>
      </c>
      <c r="K1949">
        <v>10670.79</v>
      </c>
      <c r="L1949" t="s">
        <v>6408</v>
      </c>
      <c r="M1949" t="str" cm="1">
        <f t="array" ref="M1949">INDEX('Org List'!$A$2:$C$1005,MATCH(Consolidated!I1949&amp;Consolidated!J1949,'Org List'!$A$2:$A$1005&amp;'Org List'!$B$2:$B$1005,0),3)</f>
        <v>NGOs: National</v>
      </c>
    </row>
    <row r="1950" spans="1:13" x14ac:dyDescent="0.25">
      <c r="A1950" t="s">
        <v>1152</v>
      </c>
      <c r="B1950" t="s">
        <v>121</v>
      </c>
      <c r="C1950" t="s">
        <v>30</v>
      </c>
      <c r="D1950" t="s">
        <v>122</v>
      </c>
      <c r="E1950" t="s">
        <v>123</v>
      </c>
      <c r="F1950">
        <v>4500433481</v>
      </c>
      <c r="H1950" t="s">
        <v>12</v>
      </c>
      <c r="I1950" t="s">
        <v>367</v>
      </c>
      <c r="J1950" t="s">
        <v>123</v>
      </c>
      <c r="K1950">
        <v>11656</v>
      </c>
      <c r="L1950" t="s">
        <v>6408</v>
      </c>
      <c r="M1950" t="str" cm="1">
        <f t="array" ref="M1950">INDEX('Org List'!$A$2:$C$1005,MATCH(Consolidated!I1950&amp;Consolidated!J1950,'Org List'!$A$2:$A$1005&amp;'Org List'!$B$2:$B$1005,0),3)</f>
        <v>NGOs: Local</v>
      </c>
    </row>
    <row r="1951" spans="1:13" x14ac:dyDescent="0.25">
      <c r="A1951" t="s">
        <v>1152</v>
      </c>
      <c r="B1951" t="s">
        <v>815</v>
      </c>
      <c r="C1951" t="s">
        <v>30</v>
      </c>
      <c r="D1951" t="s">
        <v>816</v>
      </c>
      <c r="E1951" t="s">
        <v>123</v>
      </c>
      <c r="F1951">
        <v>4500437603</v>
      </c>
      <c r="H1951" t="s">
        <v>12</v>
      </c>
      <c r="I1951" t="s">
        <v>125</v>
      </c>
      <c r="J1951" t="s">
        <v>123</v>
      </c>
      <c r="K1951">
        <v>727927.71</v>
      </c>
      <c r="L1951" t="s">
        <v>6408</v>
      </c>
      <c r="M1951" t="str" cm="1">
        <f t="array" ref="M1951">INDEX('Org List'!$A$2:$C$1005,MATCH(Consolidated!I1951&amp;Consolidated!J1951,'Org List'!$A$2:$A$1005&amp;'Org List'!$B$2:$B$1005,0),3)</f>
        <v>NGOs: National</v>
      </c>
    </row>
    <row r="1952" spans="1:13" x14ac:dyDescent="0.25">
      <c r="A1952" t="s">
        <v>1152</v>
      </c>
      <c r="B1952" t="s">
        <v>130</v>
      </c>
      <c r="C1952" t="s">
        <v>30</v>
      </c>
      <c r="D1952" t="s">
        <v>131</v>
      </c>
      <c r="E1952" t="s">
        <v>132</v>
      </c>
      <c r="F1952">
        <v>4500433530</v>
      </c>
      <c r="H1952" t="s">
        <v>12</v>
      </c>
      <c r="I1952" t="s">
        <v>817</v>
      </c>
      <c r="J1952" t="s">
        <v>132</v>
      </c>
      <c r="K1952">
        <v>149484.4</v>
      </c>
      <c r="L1952" t="s">
        <v>6408</v>
      </c>
      <c r="M1952" t="str" cm="1">
        <f t="array" ref="M1952">INDEX('Org List'!$A$2:$C$1005,MATCH(Consolidated!I1952&amp;Consolidated!J1952,'Org List'!$A$2:$A$1005&amp;'Org List'!$B$2:$B$1005,0),3)</f>
        <v>NGOs: National</v>
      </c>
    </row>
    <row r="1953" spans="1:13" x14ac:dyDescent="0.25">
      <c r="A1953" t="s">
        <v>1152</v>
      </c>
      <c r="B1953" t="s">
        <v>130</v>
      </c>
      <c r="C1953" t="s">
        <v>30</v>
      </c>
      <c r="D1953" t="s">
        <v>131</v>
      </c>
      <c r="E1953" t="s">
        <v>132</v>
      </c>
      <c r="F1953">
        <v>4500437714</v>
      </c>
      <c r="H1953" t="s">
        <v>12</v>
      </c>
      <c r="I1953" t="s">
        <v>818</v>
      </c>
      <c r="J1953" t="s">
        <v>132</v>
      </c>
      <c r="K1953">
        <v>109018.97</v>
      </c>
      <c r="L1953" t="s">
        <v>6408</v>
      </c>
      <c r="M1953" t="str" cm="1">
        <f t="array" ref="M1953">INDEX('Org List'!$A$2:$C$1005,MATCH(Consolidated!I1953&amp;Consolidated!J1953,'Org List'!$A$2:$A$1005&amp;'Org List'!$B$2:$B$1005,0),3)</f>
        <v>NGOs: Local</v>
      </c>
    </row>
    <row r="1954" spans="1:13" x14ac:dyDescent="0.25">
      <c r="A1954" t="s">
        <v>1152</v>
      </c>
      <c r="B1954" t="s">
        <v>130</v>
      </c>
      <c r="C1954" t="s">
        <v>30</v>
      </c>
      <c r="D1954" t="s">
        <v>131</v>
      </c>
      <c r="E1954" t="s">
        <v>132</v>
      </c>
      <c r="F1954">
        <v>4500442204</v>
      </c>
      <c r="H1954" t="s">
        <v>12</v>
      </c>
      <c r="I1954" t="s">
        <v>819</v>
      </c>
      <c r="J1954" t="s">
        <v>132</v>
      </c>
      <c r="K1954">
        <v>152150.35</v>
      </c>
      <c r="L1954" t="s">
        <v>6408</v>
      </c>
      <c r="M1954" t="str" cm="1">
        <f t="array" ref="M1954">INDEX('Org List'!$A$2:$C$1005,MATCH(Consolidated!I1954&amp;Consolidated!J1954,'Org List'!$A$2:$A$1005&amp;'Org List'!$B$2:$B$1005,0),3)</f>
        <v>NGOs: National</v>
      </c>
    </row>
    <row r="1955" spans="1:13" x14ac:dyDescent="0.25">
      <c r="A1955" t="s">
        <v>1152</v>
      </c>
      <c r="B1955" t="s">
        <v>130</v>
      </c>
      <c r="C1955" t="s">
        <v>30</v>
      </c>
      <c r="D1955" t="s">
        <v>131</v>
      </c>
      <c r="E1955" t="s">
        <v>132</v>
      </c>
      <c r="F1955">
        <v>4500453841</v>
      </c>
      <c r="H1955" t="s">
        <v>12</v>
      </c>
      <c r="I1955" t="s">
        <v>820</v>
      </c>
      <c r="J1955" t="s">
        <v>132</v>
      </c>
      <c r="K1955">
        <v>289710.73</v>
      </c>
      <c r="L1955" t="s">
        <v>6408</v>
      </c>
      <c r="M1955" t="str" cm="1">
        <f t="array" ref="M1955">INDEX('Org List'!$A$2:$C$1005,MATCH(Consolidated!I1955&amp;Consolidated!J1955,'Org List'!$A$2:$A$1005&amp;'Org List'!$B$2:$B$1005,0),3)</f>
        <v>NGOs: International</v>
      </c>
    </row>
    <row r="1956" spans="1:13" x14ac:dyDescent="0.25">
      <c r="A1956" t="s">
        <v>1152</v>
      </c>
      <c r="B1956" t="s">
        <v>130</v>
      </c>
      <c r="C1956" t="s">
        <v>30</v>
      </c>
      <c r="D1956" t="s">
        <v>131</v>
      </c>
      <c r="E1956" t="s">
        <v>132</v>
      </c>
      <c r="F1956">
        <v>4500454377</v>
      </c>
      <c r="H1956" t="s">
        <v>12</v>
      </c>
      <c r="I1956" t="s">
        <v>821</v>
      </c>
      <c r="J1956" t="s">
        <v>132</v>
      </c>
      <c r="K1956">
        <v>68146.070000000007</v>
      </c>
      <c r="L1956" t="s">
        <v>6408</v>
      </c>
      <c r="M1956" t="str" cm="1">
        <f t="array" ref="M1956">INDEX('Org List'!$A$2:$C$1005,MATCH(Consolidated!I1956&amp;Consolidated!J1956,'Org List'!$A$2:$A$1005&amp;'Org List'!$B$2:$B$1005,0),3)</f>
        <v>NGOs: Local</v>
      </c>
    </row>
    <row r="1957" spans="1:13" x14ac:dyDescent="0.25">
      <c r="A1957" t="s">
        <v>1152</v>
      </c>
      <c r="B1957" t="s">
        <v>822</v>
      </c>
      <c r="C1957" t="s">
        <v>30</v>
      </c>
      <c r="D1957" t="s">
        <v>823</v>
      </c>
      <c r="E1957" t="s">
        <v>356</v>
      </c>
      <c r="F1957">
        <v>4500436841</v>
      </c>
      <c r="H1957" t="s">
        <v>12</v>
      </c>
      <c r="I1957" t="s">
        <v>824</v>
      </c>
      <c r="J1957" t="s">
        <v>356</v>
      </c>
      <c r="K1957">
        <v>228317</v>
      </c>
      <c r="L1957" t="s">
        <v>6408</v>
      </c>
      <c r="M1957" t="str" cm="1">
        <f t="array" ref="M1957">INDEX('Org List'!$A$2:$C$1005,MATCH(Consolidated!I1957&amp;Consolidated!J1957,'Org List'!$A$2:$A$1005&amp;'Org List'!$B$2:$B$1005,0),3)</f>
        <v>NGOs: National</v>
      </c>
    </row>
    <row r="1958" spans="1:13" x14ac:dyDescent="0.25">
      <c r="A1958" t="s">
        <v>1152</v>
      </c>
      <c r="B1958" t="s">
        <v>822</v>
      </c>
      <c r="C1958" t="s">
        <v>30</v>
      </c>
      <c r="D1958" t="s">
        <v>823</v>
      </c>
      <c r="E1958" t="s">
        <v>356</v>
      </c>
      <c r="F1958">
        <v>4500441549</v>
      </c>
      <c r="H1958" t="s">
        <v>12</v>
      </c>
      <c r="I1958" t="s">
        <v>825</v>
      </c>
      <c r="J1958" t="s">
        <v>356</v>
      </c>
      <c r="K1958">
        <v>198405</v>
      </c>
      <c r="L1958" t="s">
        <v>6408</v>
      </c>
      <c r="M1958" t="str" cm="1">
        <f t="array" ref="M1958">INDEX('Org List'!$A$2:$C$1005,MATCH(Consolidated!I1958&amp;Consolidated!J1958,'Org List'!$A$2:$A$1005&amp;'Org List'!$B$2:$B$1005,0),3)</f>
        <v>NGOs: Local</v>
      </c>
    </row>
    <row r="1959" spans="1:13" x14ac:dyDescent="0.25">
      <c r="A1959" t="s">
        <v>1152</v>
      </c>
      <c r="B1959" t="s">
        <v>822</v>
      </c>
      <c r="C1959" t="s">
        <v>30</v>
      </c>
      <c r="D1959" t="s">
        <v>823</v>
      </c>
      <c r="E1959" t="s">
        <v>356</v>
      </c>
      <c r="F1959">
        <v>4500441566</v>
      </c>
      <c r="H1959" t="s">
        <v>12</v>
      </c>
      <c r="I1959" t="s">
        <v>826</v>
      </c>
      <c r="J1959" t="s">
        <v>356</v>
      </c>
      <c r="K1959">
        <v>178821</v>
      </c>
      <c r="L1959" t="s">
        <v>6408</v>
      </c>
      <c r="M1959" t="str" cm="1">
        <f t="array" ref="M1959">INDEX('Org List'!$A$2:$C$1005,MATCH(Consolidated!I1959&amp;Consolidated!J1959,'Org List'!$A$2:$A$1005&amp;'Org List'!$B$2:$B$1005,0),3)</f>
        <v>NGOs: National</v>
      </c>
    </row>
    <row r="1960" spans="1:13" x14ac:dyDescent="0.25">
      <c r="A1960" t="s">
        <v>1152</v>
      </c>
      <c r="B1960" t="s">
        <v>822</v>
      </c>
      <c r="C1960" t="s">
        <v>30</v>
      </c>
      <c r="D1960" t="s">
        <v>823</v>
      </c>
      <c r="E1960" t="s">
        <v>356</v>
      </c>
      <c r="F1960">
        <v>4500441707</v>
      </c>
      <c r="H1960" t="s">
        <v>12</v>
      </c>
      <c r="I1960" t="s">
        <v>827</v>
      </c>
      <c r="J1960" t="s">
        <v>356</v>
      </c>
      <c r="K1960">
        <v>200000</v>
      </c>
      <c r="L1960" t="s">
        <v>6408</v>
      </c>
      <c r="M1960" t="str" cm="1">
        <f t="array" ref="M1960">INDEX('Org List'!$A$2:$C$1005,MATCH(Consolidated!I1960&amp;Consolidated!J1960,'Org List'!$A$2:$A$1005&amp;'Org List'!$B$2:$B$1005,0),3)</f>
        <v>NGOs: National</v>
      </c>
    </row>
    <row r="1961" spans="1:13" x14ac:dyDescent="0.25">
      <c r="A1961" t="s">
        <v>1152</v>
      </c>
      <c r="B1961" t="s">
        <v>144</v>
      </c>
      <c r="C1961" t="s">
        <v>30</v>
      </c>
      <c r="D1961" t="s">
        <v>145</v>
      </c>
      <c r="E1961" t="s">
        <v>146</v>
      </c>
      <c r="F1961">
        <v>4500444468</v>
      </c>
      <c r="H1961" t="s">
        <v>12</v>
      </c>
      <c r="I1961" t="s">
        <v>828</v>
      </c>
      <c r="J1961" t="s">
        <v>155</v>
      </c>
      <c r="K1961">
        <v>17150</v>
      </c>
      <c r="L1961" t="s">
        <v>6408</v>
      </c>
      <c r="M1961" t="str" cm="1">
        <f t="array" ref="M1961">INDEX('Org List'!$A$2:$C$1005,MATCH(Consolidated!I1961&amp;Consolidated!J1961,'Org List'!$A$2:$A$1005&amp;'Org List'!$B$2:$B$1005,0),3)</f>
        <v>Multilateral: UN</v>
      </c>
    </row>
    <row r="1962" spans="1:13" x14ac:dyDescent="0.25">
      <c r="A1962" t="s">
        <v>1152</v>
      </c>
      <c r="B1962" t="s">
        <v>144</v>
      </c>
      <c r="C1962" t="s">
        <v>30</v>
      </c>
      <c r="D1962" t="s">
        <v>145</v>
      </c>
      <c r="E1962" t="s">
        <v>146</v>
      </c>
      <c r="F1962">
        <v>4500435095</v>
      </c>
      <c r="H1962" t="s">
        <v>12</v>
      </c>
      <c r="I1962" t="s">
        <v>439</v>
      </c>
      <c r="J1962" t="s">
        <v>146</v>
      </c>
      <c r="K1962">
        <v>30600</v>
      </c>
      <c r="L1962" t="s">
        <v>6408</v>
      </c>
      <c r="M1962" t="str" cm="1">
        <f t="array" ref="M1962">INDEX('Org List'!$A$2:$C$1005,MATCH(Consolidated!I1962&amp;Consolidated!J1962,'Org List'!$A$2:$A$1005&amp;'Org List'!$B$2:$B$1005,0),3)</f>
        <v>NGOs: National</v>
      </c>
    </row>
    <row r="1963" spans="1:13" x14ac:dyDescent="0.25">
      <c r="A1963" t="s">
        <v>1152</v>
      </c>
      <c r="B1963" t="s">
        <v>829</v>
      </c>
      <c r="C1963" t="s">
        <v>30</v>
      </c>
      <c r="D1963" t="s">
        <v>830</v>
      </c>
      <c r="E1963" t="s">
        <v>831</v>
      </c>
      <c r="F1963">
        <v>4500449663</v>
      </c>
      <c r="H1963" t="s">
        <v>12</v>
      </c>
      <c r="I1963" t="s">
        <v>351</v>
      </c>
      <c r="J1963" t="s">
        <v>831</v>
      </c>
      <c r="K1963">
        <v>14089.01</v>
      </c>
      <c r="L1963" t="s">
        <v>6408</v>
      </c>
      <c r="M1963" t="str" cm="1">
        <f t="array" ref="M1963">INDEX('Org List'!$A$2:$C$1005,MATCH(Consolidated!I1963&amp;Consolidated!J1963,'Org List'!$A$2:$A$1005&amp;'Org List'!$B$2:$B$1005,0),3)</f>
        <v>NGOs: National</v>
      </c>
    </row>
    <row r="1964" spans="1:13" x14ac:dyDescent="0.25">
      <c r="A1964" t="s">
        <v>1152</v>
      </c>
      <c r="B1964" t="s">
        <v>148</v>
      </c>
      <c r="C1964" t="s">
        <v>30</v>
      </c>
      <c r="D1964" t="s">
        <v>149</v>
      </c>
      <c r="E1964" t="s">
        <v>150</v>
      </c>
      <c r="F1964">
        <v>4500432241</v>
      </c>
      <c r="H1964" t="s">
        <v>12</v>
      </c>
      <c r="I1964" t="s">
        <v>832</v>
      </c>
      <c r="J1964" t="s">
        <v>150</v>
      </c>
      <c r="K1964">
        <v>243899.54</v>
      </c>
      <c r="L1964" t="s">
        <v>6408</v>
      </c>
      <c r="M1964" t="str" cm="1">
        <f t="array" ref="M1964">INDEX('Org List'!$A$2:$C$1005,MATCH(Consolidated!I1964&amp;Consolidated!J1964,'Org List'!$A$2:$A$1005&amp;'Org List'!$B$2:$B$1005,0),3)</f>
        <v>NGOs: National</v>
      </c>
    </row>
    <row r="1965" spans="1:13" x14ac:dyDescent="0.25">
      <c r="A1965" t="s">
        <v>1152</v>
      </c>
      <c r="B1965" t="s">
        <v>833</v>
      </c>
      <c r="C1965" t="s">
        <v>30</v>
      </c>
      <c r="D1965" t="s">
        <v>834</v>
      </c>
      <c r="E1965" t="s">
        <v>261</v>
      </c>
      <c r="F1965">
        <v>4500453024</v>
      </c>
      <c r="H1965" t="s">
        <v>12</v>
      </c>
      <c r="I1965" t="s">
        <v>835</v>
      </c>
      <c r="J1965" t="s">
        <v>261</v>
      </c>
      <c r="K1965">
        <v>6358.3</v>
      </c>
      <c r="L1965" t="s">
        <v>6408</v>
      </c>
      <c r="M1965" t="str" cm="1">
        <f t="array" ref="M1965">INDEX('Org List'!$A$2:$C$1005,MATCH(Consolidated!I1965&amp;Consolidated!J1965,'Org List'!$A$2:$A$1005&amp;'Org List'!$B$2:$B$1005,0),3)</f>
        <v>Other: Local</v>
      </c>
    </row>
    <row r="1966" spans="1:13" x14ac:dyDescent="0.25">
      <c r="A1966" t="s">
        <v>1152</v>
      </c>
      <c r="B1966" t="s">
        <v>153</v>
      </c>
      <c r="C1966" t="s">
        <v>30</v>
      </c>
      <c r="D1966" t="s">
        <v>154</v>
      </c>
      <c r="E1966" t="s">
        <v>163</v>
      </c>
      <c r="F1966">
        <v>4500440347</v>
      </c>
      <c r="H1966" t="s">
        <v>12</v>
      </c>
      <c r="I1966" t="s">
        <v>836</v>
      </c>
      <c r="J1966" t="s">
        <v>163</v>
      </c>
      <c r="K1966">
        <v>26086.26</v>
      </c>
      <c r="L1966" t="s">
        <v>6408</v>
      </c>
      <c r="M1966" t="str" cm="1">
        <f t="array" ref="M1966">INDEX('Org List'!$A$2:$C$1005,MATCH(Consolidated!I1966&amp;Consolidated!J1966,'Org List'!$A$2:$A$1005&amp;'Org List'!$B$2:$B$1005,0),3)</f>
        <v>NGOs: Internationally affiliated</v>
      </c>
    </row>
    <row r="1967" spans="1:13" x14ac:dyDescent="0.25">
      <c r="A1967" t="s">
        <v>1152</v>
      </c>
      <c r="B1967" t="s">
        <v>837</v>
      </c>
      <c r="C1967" t="s">
        <v>30</v>
      </c>
      <c r="D1967" t="s">
        <v>838</v>
      </c>
      <c r="E1967" t="s">
        <v>32</v>
      </c>
      <c r="F1967">
        <v>4500448248</v>
      </c>
      <c r="H1967" t="s">
        <v>12</v>
      </c>
      <c r="I1967" t="s">
        <v>810</v>
      </c>
      <c r="J1967" t="s">
        <v>32</v>
      </c>
      <c r="K1967">
        <v>313815.78000000003</v>
      </c>
      <c r="L1967" t="s">
        <v>6408</v>
      </c>
      <c r="M1967" t="str" cm="1">
        <f t="array" ref="M1967">INDEX('Org List'!$A$2:$C$1005,MATCH(Consolidated!I1967&amp;Consolidated!J1967,'Org List'!$A$2:$A$1005&amp;'Org List'!$B$2:$B$1005,0),3)</f>
        <v>NGOs: International</v>
      </c>
    </row>
    <row r="1968" spans="1:13" x14ac:dyDescent="0.25">
      <c r="A1968" t="s">
        <v>1152</v>
      </c>
      <c r="B1968" t="s">
        <v>839</v>
      </c>
      <c r="C1968" t="s">
        <v>30</v>
      </c>
      <c r="D1968" t="s">
        <v>840</v>
      </c>
      <c r="E1968" t="s">
        <v>226</v>
      </c>
      <c r="F1968">
        <v>4500432819</v>
      </c>
      <c r="H1968" t="s">
        <v>12</v>
      </c>
      <c r="I1968" t="s">
        <v>841</v>
      </c>
      <c r="J1968" t="s">
        <v>226</v>
      </c>
      <c r="K1968">
        <v>44047.25</v>
      </c>
      <c r="L1968" t="s">
        <v>6408</v>
      </c>
      <c r="M1968" t="str" cm="1">
        <f t="array" ref="M1968">INDEX('Org List'!$A$2:$C$1005,MATCH(Consolidated!I1968&amp;Consolidated!J1968,'Org List'!$A$2:$A$1005&amp;'Org List'!$B$2:$B$1005,0),3)</f>
        <v>NGOs: National</v>
      </c>
    </row>
    <row r="1969" spans="1:13" x14ac:dyDescent="0.25">
      <c r="A1969" t="s">
        <v>1152</v>
      </c>
      <c r="B1969" t="s">
        <v>839</v>
      </c>
      <c r="C1969" t="s">
        <v>30</v>
      </c>
      <c r="D1969" t="s">
        <v>840</v>
      </c>
      <c r="E1969" t="s">
        <v>226</v>
      </c>
      <c r="F1969">
        <v>4500439289</v>
      </c>
      <c r="H1969" t="s">
        <v>12</v>
      </c>
      <c r="I1969" t="s">
        <v>842</v>
      </c>
      <c r="J1969" t="s">
        <v>226</v>
      </c>
      <c r="K1969">
        <v>122373.3</v>
      </c>
      <c r="L1969" t="s">
        <v>6408</v>
      </c>
      <c r="M1969" t="str" cm="1">
        <f t="array" ref="M1969">INDEX('Org List'!$A$2:$C$1005,MATCH(Consolidated!I1969&amp;Consolidated!J1969,'Org List'!$A$2:$A$1005&amp;'Org List'!$B$2:$B$1005,0),3)</f>
        <v>NGOs: National</v>
      </c>
    </row>
    <row r="1970" spans="1:13" x14ac:dyDescent="0.25">
      <c r="A1970" t="s">
        <v>1152</v>
      </c>
      <c r="B1970" t="s">
        <v>843</v>
      </c>
      <c r="C1970" t="s">
        <v>30</v>
      </c>
      <c r="D1970" t="s">
        <v>844</v>
      </c>
      <c r="E1970" t="s">
        <v>534</v>
      </c>
      <c r="F1970">
        <v>4500430617</v>
      </c>
      <c r="H1970" t="s">
        <v>12</v>
      </c>
      <c r="I1970" t="s">
        <v>845</v>
      </c>
      <c r="J1970" t="s">
        <v>534</v>
      </c>
      <c r="K1970">
        <v>2435</v>
      </c>
      <c r="L1970" t="s">
        <v>6408</v>
      </c>
      <c r="M1970" t="str" cm="1">
        <f t="array" ref="M1970">INDEX('Org List'!$A$2:$C$1005,MATCH(Consolidated!I1970&amp;Consolidated!J1970,'Org List'!$A$2:$A$1005&amp;'Org List'!$B$2:$B$1005,0),3)</f>
        <v>Multilateral: UN</v>
      </c>
    </row>
    <row r="1971" spans="1:13" x14ac:dyDescent="0.25">
      <c r="A1971" t="s">
        <v>1152</v>
      </c>
      <c r="B1971" t="s">
        <v>846</v>
      </c>
      <c r="C1971" t="s">
        <v>30</v>
      </c>
      <c r="D1971" t="s">
        <v>847</v>
      </c>
      <c r="E1971" t="s">
        <v>305</v>
      </c>
      <c r="F1971">
        <v>4500432095</v>
      </c>
      <c r="H1971" t="s">
        <v>12</v>
      </c>
      <c r="I1971" t="s">
        <v>310</v>
      </c>
      <c r="J1971" t="s">
        <v>305</v>
      </c>
      <c r="K1971">
        <v>44720.5</v>
      </c>
      <c r="L1971" t="s">
        <v>6408</v>
      </c>
      <c r="M1971" t="str" cm="1">
        <f t="array" ref="M1971">INDEX('Org List'!$A$2:$C$1005,MATCH(Consolidated!I1971&amp;Consolidated!J1971,'Org List'!$A$2:$A$1005&amp;'Org List'!$B$2:$B$1005,0),3)</f>
        <v>NGOs: National</v>
      </c>
    </row>
    <row r="1972" spans="1:13" x14ac:dyDescent="0.25">
      <c r="A1972" t="s">
        <v>1152</v>
      </c>
      <c r="B1972" t="s">
        <v>846</v>
      </c>
      <c r="C1972" t="s">
        <v>30</v>
      </c>
      <c r="D1972" t="s">
        <v>847</v>
      </c>
      <c r="E1972" t="s">
        <v>305</v>
      </c>
      <c r="F1972">
        <v>4500446503</v>
      </c>
      <c r="H1972" t="s">
        <v>12</v>
      </c>
      <c r="I1972" t="s">
        <v>848</v>
      </c>
      <c r="J1972" t="s">
        <v>305</v>
      </c>
      <c r="K1972">
        <v>14237.73</v>
      </c>
      <c r="L1972" t="s">
        <v>6408</v>
      </c>
      <c r="M1972" t="str" cm="1">
        <f t="array" ref="M1972">INDEX('Org List'!$A$2:$C$1005,MATCH(Consolidated!I1972&amp;Consolidated!J1972,'Org List'!$A$2:$A$1005&amp;'Org List'!$B$2:$B$1005,0),3)</f>
        <v>NGOs: National</v>
      </c>
    </row>
    <row r="1973" spans="1:13" x14ac:dyDescent="0.25">
      <c r="A1973" t="s">
        <v>1152</v>
      </c>
      <c r="B1973" t="s">
        <v>849</v>
      </c>
      <c r="C1973" t="s">
        <v>30</v>
      </c>
      <c r="D1973" t="s">
        <v>850</v>
      </c>
      <c r="E1973" t="s">
        <v>320</v>
      </c>
      <c r="F1973">
        <v>4500441035</v>
      </c>
      <c r="H1973" t="s">
        <v>12</v>
      </c>
      <c r="I1973" t="s">
        <v>851</v>
      </c>
      <c r="J1973" t="s">
        <v>320</v>
      </c>
      <c r="K1973">
        <v>2664</v>
      </c>
      <c r="L1973" t="s">
        <v>6408</v>
      </c>
      <c r="M1973" t="str" cm="1">
        <f t="array" ref="M1973">INDEX('Org List'!$A$2:$C$1005,MATCH(Consolidated!I1973&amp;Consolidated!J1973,'Org List'!$A$2:$A$1005&amp;'Org List'!$B$2:$B$1005,0),3)</f>
        <v>NGOs: National</v>
      </c>
    </row>
    <row r="1974" spans="1:13" x14ac:dyDescent="0.25">
      <c r="A1974" t="s">
        <v>1152</v>
      </c>
      <c r="B1974" t="s">
        <v>169</v>
      </c>
      <c r="C1974" t="s">
        <v>30</v>
      </c>
      <c r="D1974" t="s">
        <v>170</v>
      </c>
      <c r="E1974" t="s">
        <v>20</v>
      </c>
      <c r="F1974">
        <v>4500432355</v>
      </c>
      <c r="H1974" t="s">
        <v>12</v>
      </c>
      <c r="I1974" t="s">
        <v>171</v>
      </c>
      <c r="J1974" t="s">
        <v>20</v>
      </c>
      <c r="K1974">
        <v>5393.54</v>
      </c>
      <c r="L1974" t="s">
        <v>6408</v>
      </c>
      <c r="M1974" t="str" cm="1">
        <f t="array" ref="M1974">INDEX('Org List'!$A$2:$C$1005,MATCH(Consolidated!I1974&amp;Consolidated!J1974,'Org List'!$A$2:$A$1005&amp;'Org List'!$B$2:$B$1005,0),3)</f>
        <v>Governments: National</v>
      </c>
    </row>
    <row r="1975" spans="1:13" x14ac:dyDescent="0.25">
      <c r="A1975" t="s">
        <v>1152</v>
      </c>
      <c r="B1975" t="s">
        <v>169</v>
      </c>
      <c r="C1975" t="s">
        <v>30</v>
      </c>
      <c r="D1975" t="s">
        <v>170</v>
      </c>
      <c r="E1975" t="s">
        <v>20</v>
      </c>
      <c r="F1975">
        <v>4500452984</v>
      </c>
      <c r="H1975" t="s">
        <v>12</v>
      </c>
      <c r="I1975" t="s">
        <v>852</v>
      </c>
      <c r="J1975" t="s">
        <v>20</v>
      </c>
      <c r="K1975">
        <v>94059.54</v>
      </c>
      <c r="L1975" t="s">
        <v>6408</v>
      </c>
      <c r="M1975" t="str" cm="1">
        <f t="array" ref="M1975">INDEX('Org List'!$A$2:$C$1005,MATCH(Consolidated!I1975&amp;Consolidated!J1975,'Org List'!$A$2:$A$1005&amp;'Org List'!$B$2:$B$1005,0),3)</f>
        <v>NGOs: National</v>
      </c>
    </row>
    <row r="1976" spans="1:13" x14ac:dyDescent="0.25">
      <c r="A1976" t="s">
        <v>1152</v>
      </c>
      <c r="B1976" t="s">
        <v>173</v>
      </c>
      <c r="C1976" t="s">
        <v>30</v>
      </c>
      <c r="D1976" t="s">
        <v>174</v>
      </c>
      <c r="E1976" t="s">
        <v>175</v>
      </c>
      <c r="F1976">
        <v>4500444654</v>
      </c>
      <c r="H1976" t="s">
        <v>12</v>
      </c>
      <c r="I1976" t="s">
        <v>185</v>
      </c>
      <c r="J1976" t="s">
        <v>175</v>
      </c>
      <c r="K1976">
        <v>45000.35</v>
      </c>
      <c r="L1976" t="s">
        <v>6408</v>
      </c>
      <c r="M1976" t="str" cm="1">
        <f t="array" ref="M1976">INDEX('Org List'!$A$2:$C$1005,MATCH(Consolidated!I1976&amp;Consolidated!J1976,'Org List'!$A$2:$A$1005&amp;'Org List'!$B$2:$B$1005,0),3)</f>
        <v>NGOs: National</v>
      </c>
    </row>
    <row r="1977" spans="1:13" x14ac:dyDescent="0.25">
      <c r="A1977" t="s">
        <v>1152</v>
      </c>
      <c r="B1977" t="s">
        <v>180</v>
      </c>
      <c r="C1977" t="s">
        <v>30</v>
      </c>
      <c r="D1977" t="s">
        <v>181</v>
      </c>
      <c r="E1977" t="s">
        <v>175</v>
      </c>
      <c r="F1977">
        <v>4500432643</v>
      </c>
      <c r="H1977" t="s">
        <v>12</v>
      </c>
      <c r="I1977" t="s">
        <v>183</v>
      </c>
      <c r="J1977" t="s">
        <v>184</v>
      </c>
      <c r="K1977">
        <v>60084.62</v>
      </c>
      <c r="L1977" t="s">
        <v>6408</v>
      </c>
      <c r="M1977" t="str" cm="1">
        <f t="array" ref="M1977">INDEX('Org List'!$A$2:$C$1005,MATCH(Consolidated!I1977&amp;Consolidated!J1977,'Org List'!$A$2:$A$1005&amp;'Org List'!$B$2:$B$1005,0),3)</f>
        <v>NGOs: International</v>
      </c>
    </row>
    <row r="1978" spans="1:13" x14ac:dyDescent="0.25">
      <c r="A1978" t="s">
        <v>1152</v>
      </c>
      <c r="B1978" t="s">
        <v>180</v>
      </c>
      <c r="C1978" t="s">
        <v>30</v>
      </c>
      <c r="D1978" t="s">
        <v>181</v>
      </c>
      <c r="E1978" t="s">
        <v>175</v>
      </c>
      <c r="F1978">
        <v>4500451501</v>
      </c>
      <c r="H1978" t="s">
        <v>12</v>
      </c>
      <c r="I1978" t="s">
        <v>233</v>
      </c>
      <c r="J1978" t="s">
        <v>175</v>
      </c>
      <c r="K1978">
        <v>168135.55</v>
      </c>
      <c r="L1978" t="s">
        <v>6408</v>
      </c>
      <c r="M1978" t="str" cm="1">
        <f t="array" ref="M1978">INDEX('Org List'!$A$2:$C$1005,MATCH(Consolidated!I1978&amp;Consolidated!J1978,'Org List'!$A$2:$A$1005&amp;'Org List'!$B$2:$B$1005,0),3)</f>
        <v>NGOs: National</v>
      </c>
    </row>
    <row r="1979" spans="1:13" x14ac:dyDescent="0.25">
      <c r="A1979" t="s">
        <v>1152</v>
      </c>
      <c r="B1979" t="s">
        <v>853</v>
      </c>
      <c r="C1979" t="s">
        <v>30</v>
      </c>
      <c r="D1979" t="s">
        <v>854</v>
      </c>
      <c r="E1979" t="s">
        <v>330</v>
      </c>
      <c r="F1979">
        <v>4500453704</v>
      </c>
      <c r="H1979" t="s">
        <v>12</v>
      </c>
      <c r="I1979" t="s">
        <v>855</v>
      </c>
      <c r="J1979" t="s">
        <v>330</v>
      </c>
      <c r="K1979">
        <v>231548.98</v>
      </c>
      <c r="L1979" t="s">
        <v>6408</v>
      </c>
      <c r="M1979" t="str" cm="1">
        <f t="array" ref="M1979">INDEX('Org List'!$A$2:$C$1005,MATCH(Consolidated!I1979&amp;Consolidated!J1979,'Org List'!$A$2:$A$1005&amp;'Org List'!$B$2:$B$1005,0),3)</f>
        <v>NGOs: National</v>
      </c>
    </row>
    <row r="1980" spans="1:13" x14ac:dyDescent="0.25">
      <c r="A1980" t="s">
        <v>1152</v>
      </c>
      <c r="B1980" t="s">
        <v>188</v>
      </c>
      <c r="C1980" t="s">
        <v>30</v>
      </c>
      <c r="D1980" t="s">
        <v>189</v>
      </c>
      <c r="E1980" t="s">
        <v>175</v>
      </c>
      <c r="F1980">
        <v>4500437581</v>
      </c>
      <c r="H1980" t="s">
        <v>12</v>
      </c>
      <c r="I1980" t="s">
        <v>856</v>
      </c>
      <c r="J1980" t="s">
        <v>175</v>
      </c>
      <c r="K1980">
        <v>1403846.14</v>
      </c>
      <c r="L1980" t="s">
        <v>6408</v>
      </c>
      <c r="M1980" t="str" cm="1">
        <f t="array" ref="M1980">INDEX('Org List'!$A$2:$C$1005,MATCH(Consolidated!I1980&amp;Consolidated!J1980,'Org List'!$A$2:$A$1005&amp;'Org List'!$B$2:$B$1005,0),3)</f>
        <v>NGOs: National</v>
      </c>
    </row>
    <row r="1981" spans="1:13" x14ac:dyDescent="0.25">
      <c r="A1981" t="s">
        <v>1152</v>
      </c>
      <c r="B1981" t="s">
        <v>188</v>
      </c>
      <c r="C1981" t="s">
        <v>30</v>
      </c>
      <c r="D1981" t="s">
        <v>189</v>
      </c>
      <c r="E1981" t="s">
        <v>175</v>
      </c>
      <c r="F1981">
        <v>4500451351</v>
      </c>
      <c r="H1981" t="s">
        <v>12</v>
      </c>
      <c r="I1981" t="s">
        <v>176</v>
      </c>
      <c r="J1981" t="s">
        <v>175</v>
      </c>
      <c r="K1981">
        <v>14999.54</v>
      </c>
      <c r="L1981" t="s">
        <v>6408</v>
      </c>
      <c r="M1981" t="str" cm="1">
        <f t="array" ref="M1981">INDEX('Org List'!$A$2:$C$1005,MATCH(Consolidated!I1981&amp;Consolidated!J1981,'Org List'!$A$2:$A$1005&amp;'Org List'!$B$2:$B$1005,0),3)</f>
        <v>NGOs: National</v>
      </c>
    </row>
    <row r="1982" spans="1:13" x14ac:dyDescent="0.25">
      <c r="A1982" t="s">
        <v>1152</v>
      </c>
      <c r="B1982" t="s">
        <v>857</v>
      </c>
      <c r="C1982" t="s">
        <v>30</v>
      </c>
      <c r="D1982" t="s">
        <v>858</v>
      </c>
      <c r="E1982" t="s">
        <v>54</v>
      </c>
      <c r="F1982">
        <v>4500435416</v>
      </c>
      <c r="H1982" t="s">
        <v>12</v>
      </c>
      <c r="I1982" t="s">
        <v>859</v>
      </c>
      <c r="J1982" t="s">
        <v>54</v>
      </c>
      <c r="K1982">
        <v>225276.17</v>
      </c>
      <c r="L1982" t="s">
        <v>6408</v>
      </c>
      <c r="M1982" t="str" cm="1">
        <f t="array" ref="M1982">INDEX('Org List'!$A$2:$C$1005,MATCH(Consolidated!I1982&amp;Consolidated!J1982,'Org List'!$A$2:$A$1005&amp;'Org List'!$B$2:$B$1005,0),3)</f>
        <v>NGOs: National</v>
      </c>
    </row>
    <row r="1983" spans="1:13" x14ac:dyDescent="0.25">
      <c r="A1983" t="s">
        <v>1152</v>
      </c>
      <c r="B1983" t="s">
        <v>195</v>
      </c>
      <c r="C1983" t="s">
        <v>30</v>
      </c>
      <c r="D1983" t="s">
        <v>196</v>
      </c>
      <c r="E1983" t="s">
        <v>197</v>
      </c>
      <c r="F1983">
        <v>4500437787</v>
      </c>
      <c r="H1983" t="s">
        <v>12</v>
      </c>
      <c r="I1983" t="s">
        <v>860</v>
      </c>
      <c r="J1983" t="s">
        <v>197</v>
      </c>
      <c r="K1983">
        <v>72919.11</v>
      </c>
      <c r="L1983" t="s">
        <v>6408</v>
      </c>
      <c r="M1983" t="str" cm="1">
        <f t="array" ref="M1983">INDEX('Org List'!$A$2:$C$1005,MATCH(Consolidated!I1983&amp;Consolidated!J1983,'Org List'!$A$2:$A$1005&amp;'Org List'!$B$2:$B$1005,0),3)</f>
        <v>NGOs: National</v>
      </c>
    </row>
    <row r="1984" spans="1:13" x14ac:dyDescent="0.25">
      <c r="A1984" t="s">
        <v>1152</v>
      </c>
      <c r="B1984" t="s">
        <v>195</v>
      </c>
      <c r="C1984" t="s">
        <v>30</v>
      </c>
      <c r="D1984" t="s">
        <v>196</v>
      </c>
      <c r="E1984" t="s">
        <v>197</v>
      </c>
      <c r="F1984">
        <v>4500437794</v>
      </c>
      <c r="H1984" t="s">
        <v>12</v>
      </c>
      <c r="I1984" t="s">
        <v>861</v>
      </c>
      <c r="J1984" t="s">
        <v>197</v>
      </c>
      <c r="K1984">
        <v>57497.45</v>
      </c>
      <c r="L1984" t="s">
        <v>6408</v>
      </c>
      <c r="M1984" t="str" cm="1">
        <f t="array" ref="M1984">INDEX('Org List'!$A$2:$C$1005,MATCH(Consolidated!I1984&amp;Consolidated!J1984,'Org List'!$A$2:$A$1005&amp;'Org List'!$B$2:$B$1005,0),3)</f>
        <v>NGOs: National</v>
      </c>
    </row>
    <row r="1985" spans="1:13" x14ac:dyDescent="0.25">
      <c r="A1985" t="s">
        <v>1152</v>
      </c>
      <c r="B1985" t="s">
        <v>195</v>
      </c>
      <c r="C1985" t="s">
        <v>30</v>
      </c>
      <c r="D1985" t="s">
        <v>196</v>
      </c>
      <c r="E1985" t="s">
        <v>197</v>
      </c>
      <c r="F1985">
        <v>4500453286</v>
      </c>
      <c r="H1985" t="s">
        <v>12</v>
      </c>
      <c r="I1985" t="s">
        <v>862</v>
      </c>
      <c r="J1985" t="s">
        <v>197</v>
      </c>
      <c r="K1985">
        <v>11399.22</v>
      </c>
      <c r="L1985" t="s">
        <v>6408</v>
      </c>
      <c r="M1985" t="str" cm="1">
        <f t="array" ref="M1985">INDEX('Org List'!$A$2:$C$1005,MATCH(Consolidated!I1985&amp;Consolidated!J1985,'Org List'!$A$2:$A$1005&amp;'Org List'!$B$2:$B$1005,0),3)</f>
        <v>NGOs: National</v>
      </c>
    </row>
    <row r="1986" spans="1:13" x14ac:dyDescent="0.25">
      <c r="A1986" t="s">
        <v>1152</v>
      </c>
      <c r="B1986" t="s">
        <v>195</v>
      </c>
      <c r="C1986" t="s">
        <v>30</v>
      </c>
      <c r="D1986" t="s">
        <v>196</v>
      </c>
      <c r="E1986" t="s">
        <v>197</v>
      </c>
      <c r="F1986">
        <v>4500439467</v>
      </c>
      <c r="H1986" t="s">
        <v>12</v>
      </c>
      <c r="I1986" t="s">
        <v>863</v>
      </c>
      <c r="J1986" t="s">
        <v>197</v>
      </c>
      <c r="K1986">
        <v>33025.01</v>
      </c>
      <c r="L1986" t="s">
        <v>6408</v>
      </c>
      <c r="M1986" t="str" cm="1">
        <f t="array" ref="M1986">INDEX('Org List'!$A$2:$C$1005,MATCH(Consolidated!I1986&amp;Consolidated!J1986,'Org List'!$A$2:$A$1005&amp;'Org List'!$B$2:$B$1005,0),3)</f>
        <v>NGOs: National</v>
      </c>
    </row>
    <row r="1987" spans="1:13" x14ac:dyDescent="0.25">
      <c r="A1987" t="s">
        <v>1152</v>
      </c>
      <c r="B1987" t="s">
        <v>195</v>
      </c>
      <c r="C1987" t="s">
        <v>30</v>
      </c>
      <c r="D1987" t="s">
        <v>196</v>
      </c>
      <c r="E1987" t="s">
        <v>864</v>
      </c>
      <c r="F1987">
        <v>4500434361</v>
      </c>
      <c r="H1987" t="s">
        <v>12</v>
      </c>
      <c r="I1987" t="s">
        <v>865</v>
      </c>
      <c r="J1987" t="s">
        <v>864</v>
      </c>
      <c r="K1987">
        <v>69927.44</v>
      </c>
      <c r="L1987" t="s">
        <v>6408</v>
      </c>
      <c r="M1987" t="str" cm="1">
        <f t="array" ref="M1987">INDEX('Org List'!$A$2:$C$1005,MATCH(Consolidated!I1987&amp;Consolidated!J1987,'Org List'!$A$2:$A$1005&amp;'Org List'!$B$2:$B$1005,0),3)</f>
        <v>NGOs: Internationally affiliated</v>
      </c>
    </row>
    <row r="1988" spans="1:13" x14ac:dyDescent="0.25">
      <c r="A1988" t="s">
        <v>1152</v>
      </c>
      <c r="B1988" t="s">
        <v>195</v>
      </c>
      <c r="C1988" t="s">
        <v>30</v>
      </c>
      <c r="D1988" t="s">
        <v>196</v>
      </c>
      <c r="E1988" t="s">
        <v>864</v>
      </c>
      <c r="F1988">
        <v>4500440602</v>
      </c>
      <c r="H1988" t="s">
        <v>12</v>
      </c>
      <c r="I1988" t="s">
        <v>866</v>
      </c>
      <c r="J1988" t="s">
        <v>864</v>
      </c>
      <c r="K1988">
        <v>30067.11</v>
      </c>
      <c r="L1988" t="s">
        <v>6408</v>
      </c>
      <c r="M1988" t="str" cm="1">
        <f t="array" ref="M1988">INDEX('Org List'!$A$2:$C$1005,MATCH(Consolidated!I1988&amp;Consolidated!J1988,'Org List'!$A$2:$A$1005&amp;'Org List'!$B$2:$B$1005,0),3)</f>
        <v>NGOs: Internationally affiliated</v>
      </c>
    </row>
    <row r="1989" spans="1:13" x14ac:dyDescent="0.25">
      <c r="A1989" t="s">
        <v>1152</v>
      </c>
      <c r="B1989" t="s">
        <v>195</v>
      </c>
      <c r="C1989" t="s">
        <v>30</v>
      </c>
      <c r="D1989" t="s">
        <v>196</v>
      </c>
      <c r="E1989" t="s">
        <v>864</v>
      </c>
      <c r="F1989">
        <v>4500434717</v>
      </c>
      <c r="H1989" t="s">
        <v>12</v>
      </c>
      <c r="I1989" t="s">
        <v>867</v>
      </c>
      <c r="J1989" t="s">
        <v>864</v>
      </c>
      <c r="K1989">
        <v>23311.94</v>
      </c>
      <c r="L1989" t="s">
        <v>6408</v>
      </c>
      <c r="M1989" t="str" cm="1">
        <f t="array" ref="M1989">INDEX('Org List'!$A$2:$C$1005,MATCH(Consolidated!I1989&amp;Consolidated!J1989,'Org List'!$A$2:$A$1005&amp;'Org List'!$B$2:$B$1005,0),3)</f>
        <v>NGOs: National</v>
      </c>
    </row>
    <row r="1990" spans="1:13" x14ac:dyDescent="0.25">
      <c r="A1990" t="s">
        <v>1152</v>
      </c>
      <c r="B1990" t="s">
        <v>195</v>
      </c>
      <c r="C1990" t="s">
        <v>30</v>
      </c>
      <c r="D1990" t="s">
        <v>196</v>
      </c>
      <c r="E1990" t="s">
        <v>831</v>
      </c>
      <c r="F1990">
        <v>4500447114</v>
      </c>
      <c r="H1990" t="s">
        <v>12</v>
      </c>
      <c r="I1990" t="s">
        <v>868</v>
      </c>
      <c r="J1990" t="s">
        <v>831</v>
      </c>
      <c r="K1990">
        <v>43196.95</v>
      </c>
      <c r="L1990" t="s">
        <v>6408</v>
      </c>
      <c r="M1990" t="str" cm="1">
        <f t="array" ref="M1990">INDEX('Org List'!$A$2:$C$1005,MATCH(Consolidated!I1990&amp;Consolidated!J1990,'Org List'!$A$2:$A$1005&amp;'Org List'!$B$2:$B$1005,0),3)</f>
        <v>NGOs: National</v>
      </c>
    </row>
    <row r="1991" spans="1:13" x14ac:dyDescent="0.25">
      <c r="A1991" t="s">
        <v>1152</v>
      </c>
      <c r="B1991" t="s">
        <v>195</v>
      </c>
      <c r="C1991" t="s">
        <v>30</v>
      </c>
      <c r="D1991" t="s">
        <v>196</v>
      </c>
      <c r="E1991" t="s">
        <v>205</v>
      </c>
      <c r="F1991">
        <v>4500434718</v>
      </c>
      <c r="H1991" t="s">
        <v>12</v>
      </c>
      <c r="I1991" t="s">
        <v>869</v>
      </c>
      <c r="J1991" t="s">
        <v>205</v>
      </c>
      <c r="K1991">
        <v>950867.19</v>
      </c>
      <c r="L1991" t="s">
        <v>6408</v>
      </c>
      <c r="M1991" t="str" cm="1">
        <f t="array" ref="M1991">INDEX('Org List'!$A$2:$C$1005,MATCH(Consolidated!I1991&amp;Consolidated!J1991,'Org List'!$A$2:$A$1005&amp;'Org List'!$B$2:$B$1005,0),3)</f>
        <v>NGOs: International</v>
      </c>
    </row>
    <row r="1992" spans="1:13" x14ac:dyDescent="0.25">
      <c r="A1992" t="s">
        <v>1152</v>
      </c>
      <c r="B1992" t="s">
        <v>195</v>
      </c>
      <c r="C1992" t="s">
        <v>30</v>
      </c>
      <c r="D1992" t="s">
        <v>196</v>
      </c>
      <c r="E1992" t="s">
        <v>831</v>
      </c>
      <c r="F1992">
        <v>4500447790</v>
      </c>
      <c r="H1992" t="s">
        <v>12</v>
      </c>
      <c r="I1992" t="s">
        <v>870</v>
      </c>
      <c r="J1992" t="s">
        <v>831</v>
      </c>
      <c r="K1992">
        <v>65143.35</v>
      </c>
      <c r="L1992" t="s">
        <v>6408</v>
      </c>
      <c r="M1992" t="str" cm="1">
        <f t="array" ref="M1992">INDEX('Org List'!$A$2:$C$1005,MATCH(Consolidated!I1992&amp;Consolidated!J1992,'Org List'!$A$2:$A$1005&amp;'Org List'!$B$2:$B$1005,0),3)</f>
        <v>NGOs: National</v>
      </c>
    </row>
    <row r="1993" spans="1:13" x14ac:dyDescent="0.25">
      <c r="A1993" t="s">
        <v>1152</v>
      </c>
      <c r="B1993" t="s">
        <v>195</v>
      </c>
      <c r="C1993" t="s">
        <v>30</v>
      </c>
      <c r="D1993" t="s">
        <v>196</v>
      </c>
      <c r="E1993" t="s">
        <v>205</v>
      </c>
      <c r="F1993">
        <v>4500439483</v>
      </c>
      <c r="H1993" t="s">
        <v>12</v>
      </c>
      <c r="I1993" t="s">
        <v>871</v>
      </c>
      <c r="J1993" t="s">
        <v>205</v>
      </c>
      <c r="K1993">
        <v>31245.5</v>
      </c>
      <c r="L1993" t="s">
        <v>6408</v>
      </c>
      <c r="M1993" t="str" cm="1">
        <f t="array" ref="M1993">INDEX('Org List'!$A$2:$C$1005,MATCH(Consolidated!I1993&amp;Consolidated!J1993,'Org List'!$A$2:$A$1005&amp;'Org List'!$B$2:$B$1005,0),3)</f>
        <v>NGOs: National</v>
      </c>
    </row>
    <row r="1994" spans="1:13" x14ac:dyDescent="0.25">
      <c r="A1994" t="s">
        <v>1152</v>
      </c>
      <c r="B1994" t="s">
        <v>195</v>
      </c>
      <c r="C1994" t="s">
        <v>30</v>
      </c>
      <c r="D1994" t="s">
        <v>196</v>
      </c>
      <c r="E1994" t="s">
        <v>205</v>
      </c>
      <c r="F1994">
        <v>4500441274</v>
      </c>
      <c r="H1994" t="s">
        <v>12</v>
      </c>
      <c r="I1994" t="s">
        <v>872</v>
      </c>
      <c r="J1994" t="s">
        <v>205</v>
      </c>
      <c r="K1994">
        <v>100000</v>
      </c>
      <c r="L1994" t="s">
        <v>6408</v>
      </c>
      <c r="M1994" t="str" cm="1">
        <f t="array" ref="M1994">INDEX('Org List'!$A$2:$C$1005,MATCH(Consolidated!I1994&amp;Consolidated!J1994,'Org List'!$A$2:$A$1005&amp;'Org List'!$B$2:$B$1005,0),3)</f>
        <v>NGOs: National</v>
      </c>
    </row>
    <row r="1995" spans="1:13" x14ac:dyDescent="0.25">
      <c r="A1995" t="s">
        <v>1152</v>
      </c>
      <c r="B1995" t="s">
        <v>195</v>
      </c>
      <c r="C1995" t="s">
        <v>30</v>
      </c>
      <c r="D1995" t="s">
        <v>196</v>
      </c>
      <c r="E1995" t="s">
        <v>205</v>
      </c>
      <c r="F1995">
        <v>4500443387</v>
      </c>
      <c r="H1995" t="s">
        <v>12</v>
      </c>
      <c r="I1995" t="s">
        <v>873</v>
      </c>
      <c r="J1995" t="s">
        <v>205</v>
      </c>
      <c r="K1995">
        <v>70000</v>
      </c>
      <c r="L1995" t="s">
        <v>6408</v>
      </c>
      <c r="M1995" t="str" cm="1">
        <f t="array" ref="M1995">INDEX('Org List'!$A$2:$C$1005,MATCH(Consolidated!I1995&amp;Consolidated!J1995,'Org List'!$A$2:$A$1005&amp;'Org List'!$B$2:$B$1005,0),3)</f>
        <v>NGOs: National</v>
      </c>
    </row>
    <row r="1996" spans="1:13" x14ac:dyDescent="0.25">
      <c r="A1996" t="s">
        <v>1152</v>
      </c>
      <c r="B1996" t="s">
        <v>195</v>
      </c>
      <c r="C1996" t="s">
        <v>30</v>
      </c>
      <c r="D1996" t="s">
        <v>196</v>
      </c>
      <c r="E1996" t="s">
        <v>205</v>
      </c>
      <c r="F1996">
        <v>4500444828</v>
      </c>
      <c r="H1996" t="s">
        <v>12</v>
      </c>
      <c r="I1996" t="s">
        <v>874</v>
      </c>
      <c r="J1996" t="s">
        <v>205</v>
      </c>
      <c r="K1996">
        <v>44250</v>
      </c>
      <c r="L1996" t="s">
        <v>6408</v>
      </c>
      <c r="M1996" t="str" cm="1">
        <f t="array" ref="M1996">INDEX('Org List'!$A$2:$C$1005,MATCH(Consolidated!I1996&amp;Consolidated!J1996,'Org List'!$A$2:$A$1005&amp;'Org List'!$B$2:$B$1005,0),3)</f>
        <v>NGOs: National</v>
      </c>
    </row>
    <row r="1997" spans="1:13" x14ac:dyDescent="0.25">
      <c r="A1997" t="s">
        <v>1152</v>
      </c>
      <c r="B1997" t="s">
        <v>195</v>
      </c>
      <c r="C1997" t="s">
        <v>30</v>
      </c>
      <c r="D1997" t="s">
        <v>196</v>
      </c>
      <c r="E1997" t="s">
        <v>205</v>
      </c>
      <c r="F1997">
        <v>4500444839</v>
      </c>
      <c r="H1997" t="s">
        <v>12</v>
      </c>
      <c r="I1997" t="s">
        <v>875</v>
      </c>
      <c r="J1997" t="s">
        <v>205</v>
      </c>
      <c r="K1997">
        <v>246834</v>
      </c>
      <c r="L1997" t="s">
        <v>6408</v>
      </c>
      <c r="M1997" t="str" cm="1">
        <f t="array" ref="M1997">INDEX('Org List'!$A$2:$C$1005,MATCH(Consolidated!I1997&amp;Consolidated!J1997,'Org List'!$A$2:$A$1005&amp;'Org List'!$B$2:$B$1005,0),3)</f>
        <v>NGOs: National</v>
      </c>
    </row>
    <row r="1998" spans="1:13" x14ac:dyDescent="0.25">
      <c r="A1998" t="s">
        <v>1152</v>
      </c>
      <c r="B1998" t="s">
        <v>195</v>
      </c>
      <c r="C1998" t="s">
        <v>30</v>
      </c>
      <c r="D1998" t="s">
        <v>196</v>
      </c>
      <c r="E1998" t="s">
        <v>205</v>
      </c>
      <c r="F1998">
        <v>4500447788</v>
      </c>
      <c r="H1998" t="s">
        <v>12</v>
      </c>
      <c r="I1998" t="s">
        <v>876</v>
      </c>
      <c r="J1998" t="s">
        <v>205</v>
      </c>
      <c r="K1998">
        <v>45000</v>
      </c>
      <c r="L1998" t="s">
        <v>6408</v>
      </c>
      <c r="M1998" t="str" cm="1">
        <f t="array" ref="M1998">INDEX('Org List'!$A$2:$C$1005,MATCH(Consolidated!I1998&amp;Consolidated!J1998,'Org List'!$A$2:$A$1005&amp;'Org List'!$B$2:$B$1005,0),3)</f>
        <v>Unknown</v>
      </c>
    </row>
    <row r="1999" spans="1:13" x14ac:dyDescent="0.25">
      <c r="A1999" t="s">
        <v>1152</v>
      </c>
      <c r="B1999" t="s">
        <v>195</v>
      </c>
      <c r="C1999" t="s">
        <v>30</v>
      </c>
      <c r="D1999" t="s">
        <v>196</v>
      </c>
      <c r="E1999" t="s">
        <v>205</v>
      </c>
      <c r="F1999">
        <v>4500452947</v>
      </c>
      <c r="H1999" t="s">
        <v>12</v>
      </c>
      <c r="I1999" t="s">
        <v>209</v>
      </c>
      <c r="J1999" t="s">
        <v>205</v>
      </c>
      <c r="K1999">
        <v>80000</v>
      </c>
      <c r="L1999" t="s">
        <v>6408</v>
      </c>
      <c r="M1999" t="str" cm="1">
        <f t="array" ref="M1999">INDEX('Org List'!$A$2:$C$1005,MATCH(Consolidated!I1999&amp;Consolidated!J1999,'Org List'!$A$2:$A$1005&amp;'Org List'!$B$2:$B$1005,0),3)</f>
        <v>NGOs: International</v>
      </c>
    </row>
    <row r="2000" spans="1:13" x14ac:dyDescent="0.25">
      <c r="A2000" t="s">
        <v>1152</v>
      </c>
      <c r="B2000" t="s">
        <v>195</v>
      </c>
      <c r="C2000" t="s">
        <v>30</v>
      </c>
      <c r="D2000" t="s">
        <v>196</v>
      </c>
      <c r="E2000" t="s">
        <v>205</v>
      </c>
      <c r="F2000">
        <v>4500449798</v>
      </c>
      <c r="H2000" t="s">
        <v>12</v>
      </c>
      <c r="I2000" t="s">
        <v>877</v>
      </c>
      <c r="J2000" t="s">
        <v>205</v>
      </c>
      <c r="K2000">
        <v>125250</v>
      </c>
      <c r="L2000" t="s">
        <v>6408</v>
      </c>
      <c r="M2000" t="str" cm="1">
        <f t="array" ref="M2000">INDEX('Org List'!$A$2:$C$1005,MATCH(Consolidated!I2000&amp;Consolidated!J2000,'Org List'!$A$2:$A$1005&amp;'Org List'!$B$2:$B$1005,0),3)</f>
        <v>NGOs: National</v>
      </c>
    </row>
    <row r="2001" spans="1:13" x14ac:dyDescent="0.25">
      <c r="A2001" t="s">
        <v>1152</v>
      </c>
      <c r="B2001" t="s">
        <v>195</v>
      </c>
      <c r="C2001" t="s">
        <v>30</v>
      </c>
      <c r="D2001" t="s">
        <v>196</v>
      </c>
      <c r="E2001" t="s">
        <v>205</v>
      </c>
      <c r="F2001">
        <v>4500452962</v>
      </c>
      <c r="H2001" t="s">
        <v>12</v>
      </c>
      <c r="I2001" t="s">
        <v>878</v>
      </c>
      <c r="J2001" t="s">
        <v>205</v>
      </c>
      <c r="K2001">
        <v>178000</v>
      </c>
      <c r="L2001" t="s">
        <v>6408</v>
      </c>
      <c r="M2001" t="str" cm="1">
        <f t="array" ref="M2001">INDEX('Org List'!$A$2:$C$1005,MATCH(Consolidated!I2001&amp;Consolidated!J2001,'Org List'!$A$2:$A$1005&amp;'Org List'!$B$2:$B$1005,0),3)</f>
        <v>NGOs: National</v>
      </c>
    </row>
    <row r="2002" spans="1:13" x14ac:dyDescent="0.25">
      <c r="A2002" t="s">
        <v>1152</v>
      </c>
      <c r="B2002" t="s">
        <v>195</v>
      </c>
      <c r="C2002" t="s">
        <v>30</v>
      </c>
      <c r="D2002" t="s">
        <v>196</v>
      </c>
      <c r="E2002" t="s">
        <v>205</v>
      </c>
      <c r="F2002">
        <v>4500454594</v>
      </c>
      <c r="H2002" t="s">
        <v>12</v>
      </c>
      <c r="I2002" t="s">
        <v>879</v>
      </c>
      <c r="J2002" t="s">
        <v>205</v>
      </c>
      <c r="K2002">
        <v>5954.73</v>
      </c>
      <c r="L2002" t="s">
        <v>6408</v>
      </c>
      <c r="M2002" t="str" cm="1">
        <f t="array" ref="M2002">INDEX('Org List'!$A$2:$C$1005,MATCH(Consolidated!I2002&amp;Consolidated!J2002,'Org List'!$A$2:$A$1005&amp;'Org List'!$B$2:$B$1005,0),3)</f>
        <v>Governments: National</v>
      </c>
    </row>
    <row r="2003" spans="1:13" x14ac:dyDescent="0.25">
      <c r="A2003" t="s">
        <v>1152</v>
      </c>
      <c r="B2003" t="s">
        <v>195</v>
      </c>
      <c r="C2003" t="s">
        <v>30</v>
      </c>
      <c r="D2003" t="s">
        <v>196</v>
      </c>
      <c r="E2003" t="s">
        <v>210</v>
      </c>
      <c r="F2003">
        <v>4500430794</v>
      </c>
      <c r="H2003" t="s">
        <v>12</v>
      </c>
      <c r="I2003" t="s">
        <v>468</v>
      </c>
      <c r="J2003" t="s">
        <v>210</v>
      </c>
      <c r="K2003">
        <v>265891.44</v>
      </c>
      <c r="L2003" t="s">
        <v>6408</v>
      </c>
      <c r="M2003" t="str" cm="1">
        <f t="array" ref="M2003">INDEX('Org List'!$A$2:$C$1005,MATCH(Consolidated!I2003&amp;Consolidated!J2003,'Org List'!$A$2:$A$1005&amp;'Org List'!$B$2:$B$1005,0),3)</f>
        <v>NGOs: National</v>
      </c>
    </row>
    <row r="2004" spans="1:13" x14ac:dyDescent="0.25">
      <c r="A2004" t="s">
        <v>1152</v>
      </c>
      <c r="B2004" t="s">
        <v>195</v>
      </c>
      <c r="C2004" t="s">
        <v>30</v>
      </c>
      <c r="D2004" t="s">
        <v>196</v>
      </c>
      <c r="E2004" t="s">
        <v>210</v>
      </c>
      <c r="F2004">
        <v>4500435890</v>
      </c>
      <c r="H2004" t="s">
        <v>12</v>
      </c>
      <c r="I2004" t="s">
        <v>880</v>
      </c>
      <c r="J2004" t="s">
        <v>210</v>
      </c>
      <c r="K2004">
        <v>39328.79</v>
      </c>
      <c r="L2004" t="s">
        <v>6408</v>
      </c>
      <c r="M2004" t="str" cm="1">
        <f t="array" ref="M2004">INDEX('Org List'!$A$2:$C$1005,MATCH(Consolidated!I2004&amp;Consolidated!J2004,'Org List'!$A$2:$A$1005&amp;'Org List'!$B$2:$B$1005,0),3)</f>
        <v>NGOs: National</v>
      </c>
    </row>
    <row r="2005" spans="1:13" x14ac:dyDescent="0.25">
      <c r="A2005" t="s">
        <v>1152</v>
      </c>
      <c r="B2005" t="s">
        <v>195</v>
      </c>
      <c r="C2005" t="s">
        <v>30</v>
      </c>
      <c r="D2005" t="s">
        <v>196</v>
      </c>
      <c r="E2005" t="s">
        <v>210</v>
      </c>
      <c r="F2005">
        <v>4500435900</v>
      </c>
      <c r="H2005" t="s">
        <v>12</v>
      </c>
      <c r="I2005" t="s">
        <v>217</v>
      </c>
      <c r="J2005" t="s">
        <v>210</v>
      </c>
      <c r="K2005">
        <v>79968.52</v>
      </c>
      <c r="L2005" t="s">
        <v>6408</v>
      </c>
      <c r="M2005" t="str" cm="1">
        <f t="array" ref="M2005">INDEX('Org List'!$A$2:$C$1005,MATCH(Consolidated!I2005&amp;Consolidated!J2005,'Org List'!$A$2:$A$1005&amp;'Org List'!$B$2:$B$1005,0),3)</f>
        <v>NGOs: Internationally affiliated</v>
      </c>
    </row>
    <row r="2006" spans="1:13" x14ac:dyDescent="0.25">
      <c r="A2006" t="s">
        <v>1152</v>
      </c>
      <c r="B2006" t="s">
        <v>195</v>
      </c>
      <c r="C2006" t="s">
        <v>30</v>
      </c>
      <c r="D2006" t="s">
        <v>196</v>
      </c>
      <c r="E2006" t="s">
        <v>210</v>
      </c>
      <c r="F2006">
        <v>4500435904</v>
      </c>
      <c r="H2006" t="s">
        <v>12</v>
      </c>
      <c r="I2006" t="s">
        <v>881</v>
      </c>
      <c r="J2006" t="s">
        <v>210</v>
      </c>
      <c r="K2006">
        <v>237231.25</v>
      </c>
      <c r="L2006" t="s">
        <v>6408</v>
      </c>
      <c r="M2006" t="str" cm="1">
        <f t="array" ref="M2006">INDEX('Org List'!$A$2:$C$1005,MATCH(Consolidated!I2006&amp;Consolidated!J2006,'Org List'!$A$2:$A$1005&amp;'Org List'!$B$2:$B$1005,0),3)</f>
        <v>NGOs: International</v>
      </c>
    </row>
    <row r="2007" spans="1:13" x14ac:dyDescent="0.25">
      <c r="A2007" t="s">
        <v>1152</v>
      </c>
      <c r="B2007" t="s">
        <v>195</v>
      </c>
      <c r="C2007" t="s">
        <v>30</v>
      </c>
      <c r="D2007" t="s">
        <v>196</v>
      </c>
      <c r="E2007" t="s">
        <v>210</v>
      </c>
      <c r="F2007">
        <v>4500435906</v>
      </c>
      <c r="H2007" t="s">
        <v>12</v>
      </c>
      <c r="I2007" t="s">
        <v>882</v>
      </c>
      <c r="J2007" t="s">
        <v>210</v>
      </c>
      <c r="K2007">
        <v>109334.04</v>
      </c>
      <c r="L2007" t="s">
        <v>6408</v>
      </c>
      <c r="M2007" t="str" cm="1">
        <f t="array" ref="M2007">INDEX('Org List'!$A$2:$C$1005,MATCH(Consolidated!I2007&amp;Consolidated!J2007,'Org List'!$A$2:$A$1005&amp;'Org List'!$B$2:$B$1005,0),3)</f>
        <v>NGOs: International</v>
      </c>
    </row>
    <row r="2008" spans="1:13" x14ac:dyDescent="0.25">
      <c r="A2008" t="s">
        <v>1152</v>
      </c>
      <c r="B2008" t="s">
        <v>195</v>
      </c>
      <c r="C2008" t="s">
        <v>30</v>
      </c>
      <c r="D2008" t="s">
        <v>196</v>
      </c>
      <c r="E2008" t="s">
        <v>210</v>
      </c>
      <c r="F2008">
        <v>4500435921</v>
      </c>
      <c r="H2008" t="s">
        <v>12</v>
      </c>
      <c r="I2008" t="s">
        <v>216</v>
      </c>
      <c r="J2008" t="s">
        <v>210</v>
      </c>
      <c r="K2008">
        <v>238131.08</v>
      </c>
      <c r="L2008" t="s">
        <v>6408</v>
      </c>
      <c r="M2008" t="str" cm="1">
        <f t="array" ref="M2008">INDEX('Org List'!$A$2:$C$1005,MATCH(Consolidated!I2008&amp;Consolidated!J2008,'Org List'!$A$2:$A$1005&amp;'Org List'!$B$2:$B$1005,0),3)</f>
        <v>NGOs: International</v>
      </c>
    </row>
    <row r="2009" spans="1:13" x14ac:dyDescent="0.25">
      <c r="A2009" t="s">
        <v>1152</v>
      </c>
      <c r="B2009" t="s">
        <v>195</v>
      </c>
      <c r="C2009" t="s">
        <v>30</v>
      </c>
      <c r="D2009" t="s">
        <v>196</v>
      </c>
      <c r="E2009" t="s">
        <v>210</v>
      </c>
      <c r="F2009">
        <v>4500436682</v>
      </c>
      <c r="H2009" t="s">
        <v>12</v>
      </c>
      <c r="I2009" t="s">
        <v>218</v>
      </c>
      <c r="J2009" t="s">
        <v>210</v>
      </c>
      <c r="K2009">
        <v>183534.34</v>
      </c>
      <c r="L2009" t="s">
        <v>6408</v>
      </c>
      <c r="M2009" t="str" cm="1">
        <f t="array" ref="M2009">INDEX('Org List'!$A$2:$C$1005,MATCH(Consolidated!I2009&amp;Consolidated!J2009,'Org List'!$A$2:$A$1005&amp;'Org List'!$B$2:$B$1005,0),3)</f>
        <v>NGOs: International</v>
      </c>
    </row>
    <row r="2010" spans="1:13" x14ac:dyDescent="0.25">
      <c r="A2010" t="s">
        <v>1152</v>
      </c>
      <c r="B2010" t="s">
        <v>195</v>
      </c>
      <c r="C2010" t="s">
        <v>30</v>
      </c>
      <c r="D2010" t="s">
        <v>196</v>
      </c>
      <c r="E2010" t="s">
        <v>210</v>
      </c>
      <c r="F2010">
        <v>4500436696</v>
      </c>
      <c r="H2010" t="s">
        <v>12</v>
      </c>
      <c r="I2010" t="s">
        <v>213</v>
      </c>
      <c r="J2010" t="s">
        <v>210</v>
      </c>
      <c r="K2010">
        <v>455820.65</v>
      </c>
      <c r="L2010" t="s">
        <v>6408</v>
      </c>
      <c r="M2010" t="str" cm="1">
        <f t="array" ref="M2010">INDEX('Org List'!$A$2:$C$1005,MATCH(Consolidated!I2010&amp;Consolidated!J2010,'Org List'!$A$2:$A$1005&amp;'Org List'!$B$2:$B$1005,0),3)</f>
        <v>Governments: National</v>
      </c>
    </row>
    <row r="2011" spans="1:13" x14ac:dyDescent="0.25">
      <c r="A2011" t="s">
        <v>1152</v>
      </c>
      <c r="B2011" t="s">
        <v>195</v>
      </c>
      <c r="C2011" t="s">
        <v>30</v>
      </c>
      <c r="D2011" t="s">
        <v>196</v>
      </c>
      <c r="E2011" t="s">
        <v>210</v>
      </c>
      <c r="F2011">
        <v>4500438339</v>
      </c>
      <c r="H2011" t="s">
        <v>12</v>
      </c>
      <c r="I2011" t="s">
        <v>216</v>
      </c>
      <c r="J2011" t="s">
        <v>210</v>
      </c>
      <c r="K2011">
        <v>64000</v>
      </c>
      <c r="L2011" t="s">
        <v>6408</v>
      </c>
      <c r="M2011" t="str" cm="1">
        <f t="array" ref="M2011">INDEX('Org List'!$A$2:$C$1005,MATCH(Consolidated!I2011&amp;Consolidated!J2011,'Org List'!$A$2:$A$1005&amp;'Org List'!$B$2:$B$1005,0),3)</f>
        <v>NGOs: International</v>
      </c>
    </row>
    <row r="2012" spans="1:13" x14ac:dyDescent="0.25">
      <c r="A2012" t="s">
        <v>1152</v>
      </c>
      <c r="B2012" t="s">
        <v>195</v>
      </c>
      <c r="C2012" t="s">
        <v>30</v>
      </c>
      <c r="D2012" t="s">
        <v>196</v>
      </c>
      <c r="E2012" t="s">
        <v>210</v>
      </c>
      <c r="F2012">
        <v>4500438627</v>
      </c>
      <c r="H2012" t="s">
        <v>12</v>
      </c>
      <c r="I2012" t="s">
        <v>214</v>
      </c>
      <c r="J2012" t="s">
        <v>210</v>
      </c>
      <c r="K2012">
        <v>62648.11</v>
      </c>
      <c r="L2012" t="s">
        <v>6408</v>
      </c>
      <c r="M2012" t="str" cm="1">
        <f t="array" ref="M2012">INDEX('Org List'!$A$2:$C$1005,MATCH(Consolidated!I2012&amp;Consolidated!J2012,'Org List'!$A$2:$A$1005&amp;'Org List'!$B$2:$B$1005,0),3)</f>
        <v>NGOs: National</v>
      </c>
    </row>
    <row r="2013" spans="1:13" x14ac:dyDescent="0.25">
      <c r="A2013" t="s">
        <v>1152</v>
      </c>
      <c r="B2013" t="s">
        <v>195</v>
      </c>
      <c r="C2013" t="s">
        <v>30</v>
      </c>
      <c r="D2013" t="s">
        <v>196</v>
      </c>
      <c r="E2013" t="s">
        <v>210</v>
      </c>
      <c r="F2013">
        <v>4500441571</v>
      </c>
      <c r="H2013" t="s">
        <v>12</v>
      </c>
      <c r="I2013" t="s">
        <v>215</v>
      </c>
      <c r="J2013" t="s">
        <v>210</v>
      </c>
      <c r="K2013">
        <v>90324.32</v>
      </c>
      <c r="L2013" t="s">
        <v>6408</v>
      </c>
      <c r="M2013" t="str" cm="1">
        <f t="array" ref="M2013">INDEX('Org List'!$A$2:$C$1005,MATCH(Consolidated!I2013&amp;Consolidated!J2013,'Org List'!$A$2:$A$1005&amp;'Org List'!$B$2:$B$1005,0),3)</f>
        <v>NGOs: National</v>
      </c>
    </row>
    <row r="2014" spans="1:13" x14ac:dyDescent="0.25">
      <c r="A2014" t="s">
        <v>1152</v>
      </c>
      <c r="B2014" t="s">
        <v>195</v>
      </c>
      <c r="C2014" t="s">
        <v>30</v>
      </c>
      <c r="D2014" t="s">
        <v>196</v>
      </c>
      <c r="E2014" t="s">
        <v>210</v>
      </c>
      <c r="F2014">
        <v>4500443063</v>
      </c>
      <c r="H2014" t="s">
        <v>12</v>
      </c>
      <c r="I2014" t="s">
        <v>883</v>
      </c>
      <c r="J2014" t="s">
        <v>210</v>
      </c>
      <c r="K2014">
        <v>115786.69</v>
      </c>
      <c r="L2014" t="s">
        <v>6408</v>
      </c>
      <c r="M2014" t="str" cm="1">
        <f t="array" ref="M2014">INDEX('Org List'!$A$2:$C$1005,MATCH(Consolidated!I2014&amp;Consolidated!J2014,'Org List'!$A$2:$A$1005&amp;'Org List'!$B$2:$B$1005,0),3)</f>
        <v>NGOs: National</v>
      </c>
    </row>
    <row r="2015" spans="1:13" x14ac:dyDescent="0.25">
      <c r="A2015" t="s">
        <v>1152</v>
      </c>
      <c r="B2015" t="s">
        <v>195</v>
      </c>
      <c r="C2015" t="s">
        <v>30</v>
      </c>
      <c r="D2015" t="s">
        <v>196</v>
      </c>
      <c r="E2015" t="s">
        <v>210</v>
      </c>
      <c r="F2015">
        <v>4500451733</v>
      </c>
      <c r="H2015" t="s">
        <v>12</v>
      </c>
      <c r="I2015" t="s">
        <v>884</v>
      </c>
      <c r="J2015" t="s">
        <v>210</v>
      </c>
      <c r="K2015">
        <v>63085.37</v>
      </c>
      <c r="L2015" t="s">
        <v>6408</v>
      </c>
      <c r="M2015" t="str" cm="1">
        <f t="array" ref="M2015">INDEX('Org List'!$A$2:$C$1005,MATCH(Consolidated!I2015&amp;Consolidated!J2015,'Org List'!$A$2:$A$1005&amp;'Org List'!$B$2:$B$1005,0),3)</f>
        <v>NGOs: National</v>
      </c>
    </row>
    <row r="2016" spans="1:13" x14ac:dyDescent="0.25">
      <c r="A2016" t="s">
        <v>1152</v>
      </c>
      <c r="B2016" t="s">
        <v>195</v>
      </c>
      <c r="C2016" t="s">
        <v>30</v>
      </c>
      <c r="D2016" t="s">
        <v>196</v>
      </c>
      <c r="E2016" t="s">
        <v>885</v>
      </c>
      <c r="F2016">
        <v>4500450055</v>
      </c>
      <c r="H2016" t="s">
        <v>12</v>
      </c>
      <c r="I2016" t="s">
        <v>886</v>
      </c>
      <c r="J2016" t="s">
        <v>885</v>
      </c>
      <c r="K2016">
        <v>92941.91</v>
      </c>
      <c r="L2016" t="s">
        <v>6408</v>
      </c>
      <c r="M2016" t="str" cm="1">
        <f t="array" ref="M2016">INDEX('Org List'!$A$2:$C$1005,MATCH(Consolidated!I2016&amp;Consolidated!J2016,'Org List'!$A$2:$A$1005&amp;'Org List'!$B$2:$B$1005,0),3)</f>
        <v>NGOs: International</v>
      </c>
    </row>
    <row r="2017" spans="1:13" x14ac:dyDescent="0.25">
      <c r="A2017" t="s">
        <v>1152</v>
      </c>
      <c r="B2017" t="s">
        <v>224</v>
      </c>
      <c r="C2017" t="s">
        <v>30</v>
      </c>
      <c r="D2017" t="s">
        <v>225</v>
      </c>
      <c r="E2017" t="s">
        <v>226</v>
      </c>
      <c r="F2017">
        <v>4500439289</v>
      </c>
      <c r="H2017" t="s">
        <v>12</v>
      </c>
      <c r="I2017" t="s">
        <v>842</v>
      </c>
      <c r="J2017" t="s">
        <v>226</v>
      </c>
      <c r="K2017">
        <v>149567.37</v>
      </c>
      <c r="L2017" t="s">
        <v>6408</v>
      </c>
      <c r="M2017" t="str" cm="1">
        <f t="array" ref="M2017">INDEX('Org List'!$A$2:$C$1005,MATCH(Consolidated!I2017&amp;Consolidated!J2017,'Org List'!$A$2:$A$1005&amp;'Org List'!$B$2:$B$1005,0),3)</f>
        <v>NGOs: National</v>
      </c>
    </row>
    <row r="2018" spans="1:13" x14ac:dyDescent="0.25">
      <c r="A2018" t="s">
        <v>1152</v>
      </c>
      <c r="B2018" t="s">
        <v>224</v>
      </c>
      <c r="C2018" t="s">
        <v>30</v>
      </c>
      <c r="D2018" t="s">
        <v>225</v>
      </c>
      <c r="E2018" t="s">
        <v>226</v>
      </c>
      <c r="F2018">
        <v>4500439298</v>
      </c>
      <c r="H2018" t="s">
        <v>12</v>
      </c>
      <c r="I2018" t="s">
        <v>842</v>
      </c>
      <c r="J2018" t="s">
        <v>226</v>
      </c>
      <c r="K2018">
        <v>214256.26</v>
      </c>
      <c r="L2018" t="s">
        <v>6408</v>
      </c>
      <c r="M2018" t="str" cm="1">
        <f t="array" ref="M2018">INDEX('Org List'!$A$2:$C$1005,MATCH(Consolidated!I2018&amp;Consolidated!J2018,'Org List'!$A$2:$A$1005&amp;'Org List'!$B$2:$B$1005,0),3)</f>
        <v>NGOs: National</v>
      </c>
    </row>
    <row r="2019" spans="1:13" x14ac:dyDescent="0.25">
      <c r="A2019" t="s">
        <v>1152</v>
      </c>
      <c r="B2019" t="s">
        <v>230</v>
      </c>
      <c r="C2019" t="s">
        <v>30</v>
      </c>
      <c r="D2019" t="s">
        <v>231</v>
      </c>
      <c r="E2019" t="s">
        <v>175</v>
      </c>
      <c r="F2019">
        <v>4500430930</v>
      </c>
      <c r="H2019" t="s">
        <v>12</v>
      </c>
      <c r="I2019" t="s">
        <v>232</v>
      </c>
      <c r="J2019" t="s">
        <v>175</v>
      </c>
      <c r="K2019">
        <v>235664.87</v>
      </c>
      <c r="L2019" t="s">
        <v>6408</v>
      </c>
      <c r="M2019" t="str" cm="1">
        <f t="array" ref="M2019">INDEX('Org List'!$A$2:$C$1005,MATCH(Consolidated!I2019&amp;Consolidated!J2019,'Org List'!$A$2:$A$1005&amp;'Org List'!$B$2:$B$1005,0),3)</f>
        <v>NGOs: International</v>
      </c>
    </row>
    <row r="2020" spans="1:13" x14ac:dyDescent="0.25">
      <c r="A2020" t="s">
        <v>1152</v>
      </c>
      <c r="B2020" t="s">
        <v>230</v>
      </c>
      <c r="C2020" t="s">
        <v>30</v>
      </c>
      <c r="D2020" t="s">
        <v>231</v>
      </c>
      <c r="E2020" t="s">
        <v>175</v>
      </c>
      <c r="F2020">
        <v>4500432638</v>
      </c>
      <c r="H2020" t="s">
        <v>12</v>
      </c>
      <c r="I2020" t="s">
        <v>183</v>
      </c>
      <c r="J2020" t="s">
        <v>184</v>
      </c>
      <c r="K2020">
        <v>74795.649999999994</v>
      </c>
      <c r="L2020" t="s">
        <v>6408</v>
      </c>
      <c r="M2020" t="str" cm="1">
        <f t="array" ref="M2020">INDEX('Org List'!$A$2:$C$1005,MATCH(Consolidated!I2020&amp;Consolidated!J2020,'Org List'!$A$2:$A$1005&amp;'Org List'!$B$2:$B$1005,0),3)</f>
        <v>NGOs: International</v>
      </c>
    </row>
    <row r="2021" spans="1:13" x14ac:dyDescent="0.25">
      <c r="A2021" t="s">
        <v>1152</v>
      </c>
      <c r="B2021" t="s">
        <v>230</v>
      </c>
      <c r="C2021" t="s">
        <v>30</v>
      </c>
      <c r="D2021" t="s">
        <v>231</v>
      </c>
      <c r="E2021" t="s">
        <v>175</v>
      </c>
      <c r="F2021">
        <v>4500437075</v>
      </c>
      <c r="H2021" t="s">
        <v>12</v>
      </c>
      <c r="I2021" t="s">
        <v>887</v>
      </c>
      <c r="J2021" t="s">
        <v>175</v>
      </c>
      <c r="K2021">
        <v>177820.9</v>
      </c>
      <c r="L2021" t="s">
        <v>6408</v>
      </c>
      <c r="M2021" t="str" cm="1">
        <f t="array" ref="M2021">INDEX('Org List'!$A$2:$C$1005,MATCH(Consolidated!I2021&amp;Consolidated!J2021,'Org List'!$A$2:$A$1005&amp;'Org List'!$B$2:$B$1005,0),3)</f>
        <v>NGOs: International</v>
      </c>
    </row>
    <row r="2022" spans="1:13" x14ac:dyDescent="0.25">
      <c r="A2022" t="s">
        <v>1152</v>
      </c>
      <c r="B2022" t="s">
        <v>230</v>
      </c>
      <c r="C2022" t="s">
        <v>30</v>
      </c>
      <c r="D2022" t="s">
        <v>231</v>
      </c>
      <c r="E2022" t="s">
        <v>175</v>
      </c>
      <c r="F2022">
        <v>4500444429</v>
      </c>
      <c r="H2022" t="s">
        <v>12</v>
      </c>
      <c r="I2022" t="s">
        <v>186</v>
      </c>
      <c r="J2022" t="s">
        <v>175</v>
      </c>
      <c r="K2022">
        <v>64181.2</v>
      </c>
      <c r="L2022" t="s">
        <v>6408</v>
      </c>
      <c r="M2022" t="str" cm="1">
        <f t="array" ref="M2022">INDEX('Org List'!$A$2:$C$1005,MATCH(Consolidated!I2022&amp;Consolidated!J2022,'Org List'!$A$2:$A$1005&amp;'Org List'!$B$2:$B$1005,0),3)</f>
        <v>NGOs: National</v>
      </c>
    </row>
    <row r="2023" spans="1:13" x14ac:dyDescent="0.25">
      <c r="A2023" t="s">
        <v>1152</v>
      </c>
      <c r="B2023" t="s">
        <v>230</v>
      </c>
      <c r="C2023" t="s">
        <v>30</v>
      </c>
      <c r="D2023" t="s">
        <v>231</v>
      </c>
      <c r="E2023" t="s">
        <v>175</v>
      </c>
      <c r="F2023">
        <v>4500444502</v>
      </c>
      <c r="H2023" t="s">
        <v>12</v>
      </c>
      <c r="I2023" t="s">
        <v>395</v>
      </c>
      <c r="J2023" t="s">
        <v>175</v>
      </c>
      <c r="K2023">
        <v>62369.17</v>
      </c>
      <c r="L2023" t="s">
        <v>6408</v>
      </c>
      <c r="M2023" t="str" cm="1">
        <f t="array" ref="M2023">INDEX('Org List'!$A$2:$C$1005,MATCH(Consolidated!I2023&amp;Consolidated!J2023,'Org List'!$A$2:$A$1005&amp;'Org List'!$B$2:$B$1005,0),3)</f>
        <v>NGOs: National</v>
      </c>
    </row>
    <row r="2024" spans="1:13" x14ac:dyDescent="0.25">
      <c r="A2024" t="s">
        <v>1152</v>
      </c>
      <c r="B2024" t="s">
        <v>230</v>
      </c>
      <c r="C2024" t="s">
        <v>30</v>
      </c>
      <c r="D2024" t="s">
        <v>231</v>
      </c>
      <c r="E2024" t="s">
        <v>175</v>
      </c>
      <c r="F2024">
        <v>4500448325</v>
      </c>
      <c r="H2024" t="s">
        <v>12</v>
      </c>
      <c r="I2024" t="s">
        <v>183</v>
      </c>
      <c r="J2024" t="s">
        <v>184</v>
      </c>
      <c r="K2024">
        <v>191883.94</v>
      </c>
      <c r="L2024" t="s">
        <v>6408</v>
      </c>
      <c r="M2024" t="str" cm="1">
        <f t="array" ref="M2024">INDEX('Org List'!$A$2:$C$1005,MATCH(Consolidated!I2024&amp;Consolidated!J2024,'Org List'!$A$2:$A$1005&amp;'Org List'!$B$2:$B$1005,0),3)</f>
        <v>NGOs: International</v>
      </c>
    </row>
    <row r="2025" spans="1:13" x14ac:dyDescent="0.25">
      <c r="A2025" t="s">
        <v>1152</v>
      </c>
      <c r="B2025" t="s">
        <v>230</v>
      </c>
      <c r="C2025" t="s">
        <v>30</v>
      </c>
      <c r="D2025" t="s">
        <v>231</v>
      </c>
      <c r="E2025" t="s">
        <v>175</v>
      </c>
      <c r="F2025">
        <v>4500451351</v>
      </c>
      <c r="H2025" t="s">
        <v>12</v>
      </c>
      <c r="I2025" t="s">
        <v>176</v>
      </c>
      <c r="J2025" t="s">
        <v>175</v>
      </c>
      <c r="K2025">
        <v>92140.07</v>
      </c>
      <c r="L2025" t="s">
        <v>6408</v>
      </c>
      <c r="M2025" t="str" cm="1">
        <f t="array" ref="M2025">INDEX('Org List'!$A$2:$C$1005,MATCH(Consolidated!I2025&amp;Consolidated!J2025,'Org List'!$A$2:$A$1005&amp;'Org List'!$B$2:$B$1005,0),3)</f>
        <v>NGOs: National</v>
      </c>
    </row>
    <row r="2026" spans="1:13" x14ac:dyDescent="0.25">
      <c r="A2026" t="s">
        <v>1152</v>
      </c>
      <c r="B2026" t="s">
        <v>237</v>
      </c>
      <c r="C2026" t="s">
        <v>30</v>
      </c>
      <c r="D2026" t="s">
        <v>238</v>
      </c>
      <c r="E2026" t="s">
        <v>239</v>
      </c>
      <c r="F2026">
        <v>4500438684</v>
      </c>
      <c r="H2026" t="s">
        <v>12</v>
      </c>
      <c r="I2026" t="s">
        <v>888</v>
      </c>
      <c r="J2026" t="s">
        <v>239</v>
      </c>
      <c r="K2026">
        <v>294943.84999999998</v>
      </c>
      <c r="L2026" t="s">
        <v>6408</v>
      </c>
      <c r="M2026" t="str" cm="1">
        <f t="array" ref="M2026">INDEX('Org List'!$A$2:$C$1005,MATCH(Consolidated!I2026&amp;Consolidated!J2026,'Org List'!$A$2:$A$1005&amp;'Org List'!$B$2:$B$1005,0),3)</f>
        <v>NGOs: National</v>
      </c>
    </row>
    <row r="2027" spans="1:13" x14ac:dyDescent="0.25">
      <c r="A2027" t="s">
        <v>1152</v>
      </c>
      <c r="B2027" t="s">
        <v>237</v>
      </c>
      <c r="C2027" t="s">
        <v>30</v>
      </c>
      <c r="D2027" t="s">
        <v>238</v>
      </c>
      <c r="E2027" t="s">
        <v>239</v>
      </c>
      <c r="F2027">
        <v>4500439009</v>
      </c>
      <c r="H2027" t="s">
        <v>12</v>
      </c>
      <c r="I2027" t="s">
        <v>889</v>
      </c>
      <c r="J2027" t="s">
        <v>239</v>
      </c>
      <c r="K2027">
        <v>154654.79</v>
      </c>
      <c r="L2027" t="s">
        <v>6408</v>
      </c>
      <c r="M2027" t="str" cm="1">
        <f t="array" ref="M2027">INDEX('Org List'!$A$2:$C$1005,MATCH(Consolidated!I2027&amp;Consolidated!J2027,'Org List'!$A$2:$A$1005&amp;'Org List'!$B$2:$B$1005,0),3)</f>
        <v>NGOs: Internationally affiliated</v>
      </c>
    </row>
    <row r="2028" spans="1:13" x14ac:dyDescent="0.25">
      <c r="A2028" t="s">
        <v>1152</v>
      </c>
      <c r="B2028" t="s">
        <v>241</v>
      </c>
      <c r="C2028" t="s">
        <v>30</v>
      </c>
      <c r="D2028" t="s">
        <v>242</v>
      </c>
      <c r="E2028" t="s">
        <v>890</v>
      </c>
      <c r="F2028">
        <v>4500438286</v>
      </c>
      <c r="H2028" t="s">
        <v>12</v>
      </c>
      <c r="I2028" t="s">
        <v>247</v>
      </c>
      <c r="J2028" t="s">
        <v>890</v>
      </c>
      <c r="K2028">
        <v>48648.65</v>
      </c>
      <c r="L2028" t="s">
        <v>6408</v>
      </c>
      <c r="M2028" t="str" cm="1">
        <f t="array" ref="M2028">INDEX('Org List'!$A$2:$C$1005,MATCH(Consolidated!I2028&amp;Consolidated!J2028,'Org List'!$A$2:$A$1005&amp;'Org List'!$B$2:$B$1005,0),3)</f>
        <v>Other: Local</v>
      </c>
    </row>
    <row r="2029" spans="1:13" x14ac:dyDescent="0.25">
      <c r="A2029" t="s">
        <v>1152</v>
      </c>
      <c r="B2029" t="s">
        <v>241</v>
      </c>
      <c r="C2029" t="s">
        <v>30</v>
      </c>
      <c r="D2029" t="s">
        <v>242</v>
      </c>
      <c r="E2029" t="s">
        <v>890</v>
      </c>
      <c r="F2029">
        <v>4500438287</v>
      </c>
      <c r="H2029" t="s">
        <v>12</v>
      </c>
      <c r="I2029" t="s">
        <v>246</v>
      </c>
      <c r="J2029" t="s">
        <v>890</v>
      </c>
      <c r="K2029">
        <v>18865.34</v>
      </c>
      <c r="L2029" t="s">
        <v>6408</v>
      </c>
      <c r="M2029" t="str" cm="1">
        <f t="array" ref="M2029">INDEX('Org List'!$A$2:$C$1005,MATCH(Consolidated!I2029&amp;Consolidated!J2029,'Org List'!$A$2:$A$1005&amp;'Org List'!$B$2:$B$1005,0),3)</f>
        <v>NGOs: National</v>
      </c>
    </row>
    <row r="2030" spans="1:13" x14ac:dyDescent="0.25">
      <c r="A2030" t="s">
        <v>1152</v>
      </c>
      <c r="B2030" t="s">
        <v>241</v>
      </c>
      <c r="C2030" t="s">
        <v>30</v>
      </c>
      <c r="D2030" t="s">
        <v>242</v>
      </c>
      <c r="E2030" t="s">
        <v>890</v>
      </c>
      <c r="F2030">
        <v>4500438292</v>
      </c>
      <c r="H2030" t="s">
        <v>12</v>
      </c>
      <c r="I2030" t="s">
        <v>891</v>
      </c>
      <c r="J2030" t="s">
        <v>890</v>
      </c>
      <c r="K2030">
        <v>58846.38</v>
      </c>
      <c r="L2030" t="s">
        <v>6408</v>
      </c>
      <c r="M2030" t="str" cm="1">
        <f t="array" ref="M2030">INDEX('Org List'!$A$2:$C$1005,MATCH(Consolidated!I2030&amp;Consolidated!J2030,'Org List'!$A$2:$A$1005&amp;'Org List'!$B$2:$B$1005,0),3)</f>
        <v>NGOs: Internationally affiliated</v>
      </c>
    </row>
    <row r="2031" spans="1:13" x14ac:dyDescent="0.25">
      <c r="A2031" t="s">
        <v>1152</v>
      </c>
      <c r="B2031" t="s">
        <v>241</v>
      </c>
      <c r="C2031" t="s">
        <v>30</v>
      </c>
      <c r="D2031" t="s">
        <v>242</v>
      </c>
      <c r="E2031" t="s">
        <v>890</v>
      </c>
      <c r="F2031">
        <v>4500438298</v>
      </c>
      <c r="H2031" t="s">
        <v>12</v>
      </c>
      <c r="I2031" t="s">
        <v>244</v>
      </c>
      <c r="J2031" t="s">
        <v>890</v>
      </c>
      <c r="K2031">
        <v>13248.63</v>
      </c>
      <c r="L2031" t="s">
        <v>6408</v>
      </c>
      <c r="M2031" t="str" cm="1">
        <f t="array" ref="M2031">INDEX('Org List'!$A$2:$C$1005,MATCH(Consolidated!I2031&amp;Consolidated!J2031,'Org List'!$A$2:$A$1005&amp;'Org List'!$B$2:$B$1005,0),3)</f>
        <v>Red Cross: National</v>
      </c>
    </row>
    <row r="2032" spans="1:13" x14ac:dyDescent="0.25">
      <c r="A2032" t="s">
        <v>1152</v>
      </c>
      <c r="B2032" t="s">
        <v>241</v>
      </c>
      <c r="C2032" t="s">
        <v>30</v>
      </c>
      <c r="D2032" t="s">
        <v>242</v>
      </c>
      <c r="E2032" t="s">
        <v>890</v>
      </c>
      <c r="F2032">
        <v>4500438307</v>
      </c>
      <c r="H2032" t="s">
        <v>12</v>
      </c>
      <c r="I2032" t="s">
        <v>245</v>
      </c>
      <c r="J2032" t="s">
        <v>890</v>
      </c>
      <c r="K2032">
        <v>14664.86</v>
      </c>
      <c r="L2032" t="s">
        <v>6408</v>
      </c>
      <c r="M2032" t="str" cm="1">
        <f t="array" ref="M2032">INDEX('Org List'!$A$2:$C$1005,MATCH(Consolidated!I2032&amp;Consolidated!J2032,'Org List'!$A$2:$A$1005&amp;'Org List'!$B$2:$B$1005,0),3)</f>
        <v>Red Cross: National</v>
      </c>
    </row>
    <row r="2033" spans="1:13" x14ac:dyDescent="0.25">
      <c r="A2033" t="s">
        <v>1152</v>
      </c>
      <c r="B2033" t="s">
        <v>241</v>
      </c>
      <c r="C2033" t="s">
        <v>30</v>
      </c>
      <c r="D2033" t="s">
        <v>242</v>
      </c>
      <c r="E2033" t="s">
        <v>890</v>
      </c>
      <c r="F2033">
        <v>4500438310</v>
      </c>
      <c r="H2033" t="s">
        <v>12</v>
      </c>
      <c r="I2033" t="s">
        <v>892</v>
      </c>
      <c r="J2033" t="s">
        <v>890</v>
      </c>
      <c r="K2033">
        <v>27335.87</v>
      </c>
      <c r="L2033" t="s">
        <v>6408</v>
      </c>
      <c r="M2033" t="str" cm="1">
        <f t="array" ref="M2033">INDEX('Org List'!$A$2:$C$1005,MATCH(Consolidated!I2033&amp;Consolidated!J2033,'Org List'!$A$2:$A$1005&amp;'Org List'!$B$2:$B$1005,0),3)</f>
        <v>NGOs: National</v>
      </c>
    </row>
    <row r="2034" spans="1:13" x14ac:dyDescent="0.25">
      <c r="A2034" t="s">
        <v>1152</v>
      </c>
      <c r="B2034" t="s">
        <v>241</v>
      </c>
      <c r="C2034" t="s">
        <v>30</v>
      </c>
      <c r="D2034" t="s">
        <v>242</v>
      </c>
      <c r="E2034" t="s">
        <v>890</v>
      </c>
      <c r="F2034">
        <v>4500438313</v>
      </c>
      <c r="H2034" t="s">
        <v>12</v>
      </c>
      <c r="I2034" t="s">
        <v>893</v>
      </c>
      <c r="J2034" t="s">
        <v>890</v>
      </c>
      <c r="K2034">
        <v>15405.4</v>
      </c>
      <c r="L2034" t="s">
        <v>6408</v>
      </c>
      <c r="M2034" t="str" cm="1">
        <f t="array" ref="M2034">INDEX('Org List'!$A$2:$C$1005,MATCH(Consolidated!I2034&amp;Consolidated!J2034,'Org List'!$A$2:$A$1005&amp;'Org List'!$B$2:$B$1005,0),3)</f>
        <v>Other: Local</v>
      </c>
    </row>
    <row r="2035" spans="1:13" x14ac:dyDescent="0.25">
      <c r="A2035" t="s">
        <v>1152</v>
      </c>
      <c r="B2035" t="s">
        <v>241</v>
      </c>
      <c r="C2035" t="s">
        <v>30</v>
      </c>
      <c r="D2035" t="s">
        <v>242</v>
      </c>
      <c r="E2035" t="s">
        <v>890</v>
      </c>
      <c r="F2035">
        <v>4500438696</v>
      </c>
      <c r="H2035" t="s">
        <v>12</v>
      </c>
      <c r="I2035" t="s">
        <v>894</v>
      </c>
      <c r="J2035" t="s">
        <v>890</v>
      </c>
      <c r="K2035">
        <v>27465.94</v>
      </c>
      <c r="L2035" t="s">
        <v>6408</v>
      </c>
      <c r="M2035" t="str" cm="1">
        <f t="array" ref="M2035">INDEX('Org List'!$A$2:$C$1005,MATCH(Consolidated!I2035&amp;Consolidated!J2035,'Org List'!$A$2:$A$1005&amp;'Org List'!$B$2:$B$1005,0),3)</f>
        <v>NGOs: International</v>
      </c>
    </row>
    <row r="2036" spans="1:13" x14ac:dyDescent="0.25">
      <c r="A2036" t="s">
        <v>1152</v>
      </c>
      <c r="B2036" t="s">
        <v>895</v>
      </c>
      <c r="C2036" t="s">
        <v>30</v>
      </c>
      <c r="D2036" t="s">
        <v>896</v>
      </c>
      <c r="E2036" t="s">
        <v>320</v>
      </c>
      <c r="F2036">
        <v>4500441035</v>
      </c>
      <c r="H2036" t="s">
        <v>12</v>
      </c>
      <c r="I2036" t="s">
        <v>851</v>
      </c>
      <c r="J2036" t="s">
        <v>320</v>
      </c>
      <c r="K2036">
        <v>3336</v>
      </c>
      <c r="L2036" t="s">
        <v>6408</v>
      </c>
      <c r="M2036" t="str" cm="1">
        <f t="array" ref="M2036">INDEX('Org List'!$A$2:$C$1005,MATCH(Consolidated!I2036&amp;Consolidated!J2036,'Org List'!$A$2:$A$1005&amp;'Org List'!$B$2:$B$1005,0),3)</f>
        <v>NGOs: National</v>
      </c>
    </row>
    <row r="2037" spans="1:13" x14ac:dyDescent="0.25">
      <c r="A2037" t="s">
        <v>1152</v>
      </c>
      <c r="B2037" t="s">
        <v>259</v>
      </c>
      <c r="C2037" t="s">
        <v>30</v>
      </c>
      <c r="D2037" t="s">
        <v>260</v>
      </c>
      <c r="E2037" t="s">
        <v>261</v>
      </c>
      <c r="F2037">
        <v>4500432504</v>
      </c>
      <c r="H2037" t="s">
        <v>12</v>
      </c>
      <c r="I2037" t="s">
        <v>897</v>
      </c>
      <c r="J2037" t="s">
        <v>261</v>
      </c>
      <c r="K2037">
        <v>197847.36</v>
      </c>
      <c r="L2037" t="s">
        <v>6408</v>
      </c>
      <c r="M2037" t="str" cm="1">
        <f t="array" ref="M2037">INDEX('Org List'!$A$2:$C$1005,MATCH(Consolidated!I2037&amp;Consolidated!J2037,'Org List'!$A$2:$A$1005&amp;'Org List'!$B$2:$B$1005,0),3)</f>
        <v>NGOs: International</v>
      </c>
    </row>
    <row r="2038" spans="1:13" x14ac:dyDescent="0.25">
      <c r="A2038" t="s">
        <v>1152</v>
      </c>
      <c r="B2038" t="s">
        <v>259</v>
      </c>
      <c r="C2038" t="s">
        <v>30</v>
      </c>
      <c r="D2038" t="s">
        <v>260</v>
      </c>
      <c r="E2038" t="s">
        <v>261</v>
      </c>
      <c r="F2038">
        <v>4500438932</v>
      </c>
      <c r="H2038" t="s">
        <v>12</v>
      </c>
      <c r="I2038" t="s">
        <v>262</v>
      </c>
      <c r="J2038" t="s">
        <v>261</v>
      </c>
      <c r="K2038">
        <v>68393.55</v>
      </c>
      <c r="L2038" t="s">
        <v>6408</v>
      </c>
      <c r="M2038" t="str" cm="1">
        <f t="array" ref="M2038">INDEX('Org List'!$A$2:$C$1005,MATCH(Consolidated!I2038&amp;Consolidated!J2038,'Org List'!$A$2:$A$1005&amp;'Org List'!$B$2:$B$1005,0),3)</f>
        <v>Red Cross: National</v>
      </c>
    </row>
    <row r="2039" spans="1:13" x14ac:dyDescent="0.25">
      <c r="A2039" t="s">
        <v>1152</v>
      </c>
      <c r="B2039" t="s">
        <v>259</v>
      </c>
      <c r="C2039" t="s">
        <v>30</v>
      </c>
      <c r="D2039" t="s">
        <v>260</v>
      </c>
      <c r="E2039" t="s">
        <v>261</v>
      </c>
      <c r="F2039">
        <v>4500449320</v>
      </c>
      <c r="H2039" t="s">
        <v>12</v>
      </c>
      <c r="I2039" t="s">
        <v>264</v>
      </c>
      <c r="J2039" t="s">
        <v>261</v>
      </c>
      <c r="K2039">
        <v>170385.02</v>
      </c>
      <c r="L2039" t="s">
        <v>6408</v>
      </c>
      <c r="M2039" t="str" cm="1">
        <f t="array" ref="M2039">INDEX('Org List'!$A$2:$C$1005,MATCH(Consolidated!I2039&amp;Consolidated!J2039,'Org List'!$A$2:$A$1005&amp;'Org List'!$B$2:$B$1005,0),3)</f>
        <v>NGOs: International</v>
      </c>
    </row>
    <row r="2040" spans="1:13" x14ac:dyDescent="0.25">
      <c r="A2040" t="s">
        <v>1152</v>
      </c>
      <c r="B2040" t="s">
        <v>259</v>
      </c>
      <c r="C2040" t="s">
        <v>30</v>
      </c>
      <c r="D2040" t="s">
        <v>260</v>
      </c>
      <c r="E2040" t="s">
        <v>261</v>
      </c>
      <c r="F2040">
        <v>4500453024</v>
      </c>
      <c r="H2040" t="s">
        <v>12</v>
      </c>
      <c r="I2040" t="s">
        <v>835</v>
      </c>
      <c r="J2040" t="s">
        <v>261</v>
      </c>
      <c r="K2040">
        <v>175277.21</v>
      </c>
      <c r="L2040" t="s">
        <v>6408</v>
      </c>
      <c r="M2040" t="str" cm="1">
        <f t="array" ref="M2040">INDEX('Org List'!$A$2:$C$1005,MATCH(Consolidated!I2040&amp;Consolidated!J2040,'Org List'!$A$2:$A$1005&amp;'Org List'!$B$2:$B$1005,0),3)</f>
        <v>Other: Local</v>
      </c>
    </row>
    <row r="2041" spans="1:13" x14ac:dyDescent="0.25">
      <c r="A2041" t="s">
        <v>1152</v>
      </c>
      <c r="B2041" t="s">
        <v>282</v>
      </c>
      <c r="C2041" t="s">
        <v>30</v>
      </c>
      <c r="D2041" t="s">
        <v>283</v>
      </c>
      <c r="E2041" t="s">
        <v>146</v>
      </c>
      <c r="F2041">
        <v>4500450158</v>
      </c>
      <c r="H2041" t="s">
        <v>12</v>
      </c>
      <c r="I2041" t="s">
        <v>898</v>
      </c>
      <c r="J2041" t="s">
        <v>146</v>
      </c>
      <c r="K2041">
        <v>27819</v>
      </c>
      <c r="L2041" t="s">
        <v>6408</v>
      </c>
      <c r="M2041" t="str" cm="1">
        <f t="array" ref="M2041">INDEX('Org List'!$A$2:$C$1005,MATCH(Consolidated!I2041&amp;Consolidated!J2041,'Org List'!$A$2:$A$1005&amp;'Org List'!$B$2:$B$1005,0),3)</f>
        <v>NGOs: Local</v>
      </c>
    </row>
    <row r="2042" spans="1:13" x14ac:dyDescent="0.25">
      <c r="A2042" t="s">
        <v>1152</v>
      </c>
      <c r="B2042" t="s">
        <v>899</v>
      </c>
      <c r="C2042" t="s">
        <v>30</v>
      </c>
      <c r="D2042" t="s">
        <v>900</v>
      </c>
      <c r="E2042" t="s">
        <v>20</v>
      </c>
      <c r="F2042">
        <v>4500448576</v>
      </c>
      <c r="H2042" t="s">
        <v>12</v>
      </c>
      <c r="I2042" t="s">
        <v>901</v>
      </c>
      <c r="J2042" t="s">
        <v>20</v>
      </c>
      <c r="K2042">
        <v>276452.53999999998</v>
      </c>
      <c r="L2042" t="s">
        <v>6408</v>
      </c>
      <c r="M2042" t="str" cm="1">
        <f t="array" ref="M2042">INDEX('Org List'!$A$2:$C$1005,MATCH(Consolidated!I2042&amp;Consolidated!J2042,'Org List'!$A$2:$A$1005&amp;'Org List'!$B$2:$B$1005,0),3)</f>
        <v>NGOs: National</v>
      </c>
    </row>
    <row r="2043" spans="1:13" x14ac:dyDescent="0.25">
      <c r="A2043" t="s">
        <v>1152</v>
      </c>
      <c r="B2043" t="s">
        <v>899</v>
      </c>
      <c r="C2043" t="s">
        <v>30</v>
      </c>
      <c r="D2043" t="s">
        <v>900</v>
      </c>
      <c r="E2043" t="s">
        <v>20</v>
      </c>
      <c r="F2043">
        <v>4500448577</v>
      </c>
      <c r="H2043" t="s">
        <v>12</v>
      </c>
      <c r="I2043" t="s">
        <v>172</v>
      </c>
      <c r="J2043" t="s">
        <v>20</v>
      </c>
      <c r="K2043">
        <v>611234.06000000006</v>
      </c>
      <c r="L2043" t="s">
        <v>6408</v>
      </c>
      <c r="M2043" t="str" cm="1">
        <f t="array" ref="M2043">INDEX('Org List'!$A$2:$C$1005,MATCH(Consolidated!I2043&amp;Consolidated!J2043,'Org List'!$A$2:$A$1005&amp;'Org List'!$B$2:$B$1005,0),3)</f>
        <v>NGOs: National</v>
      </c>
    </row>
    <row r="2044" spans="1:13" x14ac:dyDescent="0.25">
      <c r="A2044" t="s">
        <v>1152</v>
      </c>
      <c r="B2044" t="s">
        <v>287</v>
      </c>
      <c r="C2044" t="s">
        <v>30</v>
      </c>
      <c r="D2044" t="s">
        <v>288</v>
      </c>
      <c r="E2044" t="s">
        <v>289</v>
      </c>
      <c r="F2044">
        <v>4500442858</v>
      </c>
      <c r="H2044" t="s">
        <v>12</v>
      </c>
      <c r="I2044" t="s">
        <v>373</v>
      </c>
      <c r="J2044" t="s">
        <v>289</v>
      </c>
      <c r="K2044">
        <v>32432.43</v>
      </c>
      <c r="L2044" t="s">
        <v>6408</v>
      </c>
      <c r="M2044" t="str" cm="1">
        <f t="array" ref="M2044">INDEX('Org List'!$A$2:$C$1005,MATCH(Consolidated!I2044&amp;Consolidated!J2044,'Org List'!$A$2:$A$1005&amp;'Org List'!$B$2:$B$1005,0),3)</f>
        <v>NGOs: International</v>
      </c>
    </row>
    <row r="2045" spans="1:13" x14ac:dyDescent="0.25">
      <c r="A2045" t="s">
        <v>1152</v>
      </c>
      <c r="B2045" t="s">
        <v>287</v>
      </c>
      <c r="C2045" t="s">
        <v>30</v>
      </c>
      <c r="D2045" t="s">
        <v>288</v>
      </c>
      <c r="E2045" t="s">
        <v>289</v>
      </c>
      <c r="F2045">
        <v>4500448916</v>
      </c>
      <c r="H2045" t="s">
        <v>12</v>
      </c>
      <c r="I2045" t="s">
        <v>902</v>
      </c>
      <c r="J2045" t="s">
        <v>289</v>
      </c>
      <c r="K2045">
        <v>100000</v>
      </c>
      <c r="L2045" t="s">
        <v>6408</v>
      </c>
      <c r="M2045" t="str" cm="1">
        <f t="array" ref="M2045">INDEX('Org List'!$A$2:$C$1005,MATCH(Consolidated!I2045&amp;Consolidated!J2045,'Org List'!$A$2:$A$1005&amp;'Org List'!$B$2:$B$1005,0),3)</f>
        <v>NGOs: National</v>
      </c>
    </row>
    <row r="2046" spans="1:13" x14ac:dyDescent="0.25">
      <c r="A2046" t="s">
        <v>1152</v>
      </c>
      <c r="B2046" t="s">
        <v>287</v>
      </c>
      <c r="C2046" t="s">
        <v>30</v>
      </c>
      <c r="D2046" t="s">
        <v>288</v>
      </c>
      <c r="E2046" t="s">
        <v>903</v>
      </c>
      <c r="F2046">
        <v>4500450280</v>
      </c>
      <c r="H2046" t="s">
        <v>12</v>
      </c>
      <c r="I2046" t="s">
        <v>80</v>
      </c>
      <c r="J2046" t="s">
        <v>903</v>
      </c>
      <c r="K2046">
        <v>51126.19</v>
      </c>
      <c r="L2046" t="s">
        <v>6408</v>
      </c>
      <c r="M2046" t="str" cm="1">
        <f t="array" ref="M2046">INDEX('Org List'!$A$2:$C$1005,MATCH(Consolidated!I2046&amp;Consolidated!J2046,'Org List'!$A$2:$A$1005&amp;'Org List'!$B$2:$B$1005,0),3)</f>
        <v>NGOs: National</v>
      </c>
    </row>
    <row r="2047" spans="1:13" x14ac:dyDescent="0.25">
      <c r="A2047" t="s">
        <v>1152</v>
      </c>
      <c r="B2047" t="s">
        <v>287</v>
      </c>
      <c r="C2047" t="s">
        <v>30</v>
      </c>
      <c r="D2047" t="s">
        <v>288</v>
      </c>
      <c r="E2047" t="s">
        <v>305</v>
      </c>
      <c r="F2047">
        <v>4500442533</v>
      </c>
      <c r="H2047" t="s">
        <v>12</v>
      </c>
      <c r="I2047" t="s">
        <v>308</v>
      </c>
      <c r="J2047" t="s">
        <v>305</v>
      </c>
      <c r="K2047">
        <v>18915.509999999998</v>
      </c>
      <c r="L2047" t="s">
        <v>6408</v>
      </c>
      <c r="M2047" t="str" cm="1">
        <f t="array" ref="M2047">INDEX('Org List'!$A$2:$C$1005,MATCH(Consolidated!I2047&amp;Consolidated!J2047,'Org List'!$A$2:$A$1005&amp;'Org List'!$B$2:$B$1005,0),3)</f>
        <v>NGOs: National</v>
      </c>
    </row>
    <row r="2048" spans="1:13" x14ac:dyDescent="0.25">
      <c r="A2048" t="s">
        <v>1152</v>
      </c>
      <c r="B2048" t="s">
        <v>287</v>
      </c>
      <c r="C2048" t="s">
        <v>30</v>
      </c>
      <c r="D2048" t="s">
        <v>288</v>
      </c>
      <c r="E2048" t="s">
        <v>305</v>
      </c>
      <c r="F2048">
        <v>4500446083</v>
      </c>
      <c r="H2048" t="s">
        <v>12</v>
      </c>
      <c r="I2048" t="s">
        <v>310</v>
      </c>
      <c r="J2048" t="s">
        <v>305</v>
      </c>
      <c r="K2048">
        <v>110971</v>
      </c>
      <c r="L2048" t="s">
        <v>6408</v>
      </c>
      <c r="M2048" t="str" cm="1">
        <f t="array" ref="M2048">INDEX('Org List'!$A$2:$C$1005,MATCH(Consolidated!I2048&amp;Consolidated!J2048,'Org List'!$A$2:$A$1005&amp;'Org List'!$B$2:$B$1005,0),3)</f>
        <v>NGOs: National</v>
      </c>
    </row>
    <row r="2049" spans="1:13" x14ac:dyDescent="0.25">
      <c r="A2049" t="s">
        <v>1152</v>
      </c>
      <c r="B2049" t="s">
        <v>287</v>
      </c>
      <c r="C2049" t="s">
        <v>30</v>
      </c>
      <c r="D2049" t="s">
        <v>288</v>
      </c>
      <c r="E2049" t="s">
        <v>305</v>
      </c>
      <c r="F2049">
        <v>4500446188</v>
      </c>
      <c r="H2049" t="s">
        <v>12</v>
      </c>
      <c r="I2049" t="s">
        <v>904</v>
      </c>
      <c r="J2049" t="s">
        <v>305</v>
      </c>
      <c r="K2049">
        <v>139960.65</v>
      </c>
      <c r="L2049" t="s">
        <v>6408</v>
      </c>
      <c r="M2049" t="str" cm="1">
        <f t="array" ref="M2049">INDEX('Org List'!$A$2:$C$1005,MATCH(Consolidated!I2049&amp;Consolidated!J2049,'Org List'!$A$2:$A$1005&amp;'Org List'!$B$2:$B$1005,0),3)</f>
        <v>NGOs: National</v>
      </c>
    </row>
    <row r="2050" spans="1:13" x14ac:dyDescent="0.25">
      <c r="A2050" t="s">
        <v>1152</v>
      </c>
      <c r="B2050" t="s">
        <v>287</v>
      </c>
      <c r="C2050" t="s">
        <v>30</v>
      </c>
      <c r="D2050" t="s">
        <v>288</v>
      </c>
      <c r="E2050" t="s">
        <v>305</v>
      </c>
      <c r="F2050">
        <v>4500447363</v>
      </c>
      <c r="H2050" t="s">
        <v>12</v>
      </c>
      <c r="I2050" t="s">
        <v>905</v>
      </c>
      <c r="J2050" t="s">
        <v>305</v>
      </c>
      <c r="K2050">
        <v>300000</v>
      </c>
      <c r="L2050" t="s">
        <v>6408</v>
      </c>
      <c r="M2050" t="str" cm="1">
        <f t="array" ref="M2050">INDEX('Org List'!$A$2:$C$1005,MATCH(Consolidated!I2050&amp;Consolidated!J2050,'Org List'!$A$2:$A$1005&amp;'Org List'!$B$2:$B$1005,0),3)</f>
        <v>NGOs: International</v>
      </c>
    </row>
    <row r="2051" spans="1:13" x14ac:dyDescent="0.25">
      <c r="A2051" t="s">
        <v>1152</v>
      </c>
      <c r="B2051" t="s">
        <v>287</v>
      </c>
      <c r="C2051" t="s">
        <v>30</v>
      </c>
      <c r="D2051" t="s">
        <v>288</v>
      </c>
      <c r="E2051" t="s">
        <v>305</v>
      </c>
      <c r="F2051">
        <v>4500447673</v>
      </c>
      <c r="H2051" t="s">
        <v>12</v>
      </c>
      <c r="I2051" t="s">
        <v>906</v>
      </c>
      <c r="J2051" t="s">
        <v>305</v>
      </c>
      <c r="K2051">
        <v>179514.2</v>
      </c>
      <c r="L2051" t="s">
        <v>6408</v>
      </c>
      <c r="M2051" t="str" cm="1">
        <f t="array" ref="M2051">INDEX('Org List'!$A$2:$C$1005,MATCH(Consolidated!I2051&amp;Consolidated!J2051,'Org List'!$A$2:$A$1005&amp;'Org List'!$B$2:$B$1005,0),3)</f>
        <v>NGOs: Local</v>
      </c>
    </row>
    <row r="2052" spans="1:13" x14ac:dyDescent="0.25">
      <c r="A2052" t="s">
        <v>1152</v>
      </c>
      <c r="B2052" t="s">
        <v>287</v>
      </c>
      <c r="C2052" t="s">
        <v>30</v>
      </c>
      <c r="D2052" t="s">
        <v>288</v>
      </c>
      <c r="E2052" t="s">
        <v>305</v>
      </c>
      <c r="F2052">
        <v>4500450353</v>
      </c>
      <c r="H2052" t="s">
        <v>12</v>
      </c>
      <c r="I2052" t="s">
        <v>907</v>
      </c>
      <c r="J2052" t="s">
        <v>305</v>
      </c>
      <c r="K2052">
        <v>83617.58</v>
      </c>
      <c r="L2052" t="s">
        <v>6408</v>
      </c>
      <c r="M2052" t="str" cm="1">
        <f t="array" ref="M2052">INDEX('Org List'!$A$2:$C$1005,MATCH(Consolidated!I2052&amp;Consolidated!J2052,'Org List'!$A$2:$A$1005&amp;'Org List'!$B$2:$B$1005,0),3)</f>
        <v>NGOs: National</v>
      </c>
    </row>
    <row r="2053" spans="1:13" x14ac:dyDescent="0.25">
      <c r="A2053" t="s">
        <v>1152</v>
      </c>
      <c r="B2053" t="s">
        <v>287</v>
      </c>
      <c r="C2053" t="s">
        <v>30</v>
      </c>
      <c r="D2053" t="s">
        <v>288</v>
      </c>
      <c r="E2053" t="s">
        <v>305</v>
      </c>
      <c r="F2053">
        <v>4500450734</v>
      </c>
      <c r="H2053" t="s">
        <v>12</v>
      </c>
      <c r="I2053" t="s">
        <v>908</v>
      </c>
      <c r="J2053" t="s">
        <v>305</v>
      </c>
      <c r="K2053">
        <v>163720.93</v>
      </c>
      <c r="L2053" t="s">
        <v>6408</v>
      </c>
      <c r="M2053" t="str" cm="1">
        <f t="array" ref="M2053">INDEX('Org List'!$A$2:$C$1005,MATCH(Consolidated!I2053&amp;Consolidated!J2053,'Org List'!$A$2:$A$1005&amp;'Org List'!$B$2:$B$1005,0),3)</f>
        <v>NGOs: National</v>
      </c>
    </row>
    <row r="2054" spans="1:13" x14ac:dyDescent="0.25">
      <c r="A2054" t="s">
        <v>1152</v>
      </c>
      <c r="B2054" t="s">
        <v>287</v>
      </c>
      <c r="C2054" t="s">
        <v>30</v>
      </c>
      <c r="D2054" t="s">
        <v>288</v>
      </c>
      <c r="E2054" t="s">
        <v>909</v>
      </c>
      <c r="F2054">
        <v>4500448742</v>
      </c>
      <c r="H2054" t="s">
        <v>12</v>
      </c>
      <c r="I2054" t="s">
        <v>910</v>
      </c>
      <c r="J2054" t="s">
        <v>909</v>
      </c>
      <c r="K2054">
        <v>50000</v>
      </c>
      <c r="L2054" t="s">
        <v>6408</v>
      </c>
      <c r="M2054" t="str" cm="1">
        <f t="array" ref="M2054">INDEX('Org List'!$A$2:$C$1005,MATCH(Consolidated!I2054&amp;Consolidated!J2054,'Org List'!$A$2:$A$1005&amp;'Org List'!$B$2:$B$1005,0),3)</f>
        <v>NGOs: National</v>
      </c>
    </row>
    <row r="2055" spans="1:13" x14ac:dyDescent="0.25">
      <c r="A2055" t="s">
        <v>1152</v>
      </c>
      <c r="B2055" t="s">
        <v>287</v>
      </c>
      <c r="C2055" t="s">
        <v>30</v>
      </c>
      <c r="D2055" t="s">
        <v>288</v>
      </c>
      <c r="E2055" t="s">
        <v>911</v>
      </c>
      <c r="F2055">
        <v>4500453285</v>
      </c>
      <c r="H2055" t="s">
        <v>12</v>
      </c>
      <c r="I2055" t="s">
        <v>912</v>
      </c>
      <c r="J2055" t="s">
        <v>911</v>
      </c>
      <c r="K2055">
        <v>70465.63</v>
      </c>
      <c r="L2055" t="s">
        <v>6408</v>
      </c>
      <c r="M2055" t="str" cm="1">
        <f t="array" ref="M2055">INDEX('Org List'!$A$2:$C$1005,MATCH(Consolidated!I2055&amp;Consolidated!J2055,'Org List'!$A$2:$A$1005&amp;'Org List'!$B$2:$B$1005,0),3)</f>
        <v>NGOs: National</v>
      </c>
    </row>
    <row r="2056" spans="1:13" x14ac:dyDescent="0.25">
      <c r="A2056" t="s">
        <v>1152</v>
      </c>
      <c r="B2056" t="s">
        <v>325</v>
      </c>
      <c r="C2056" t="s">
        <v>30</v>
      </c>
      <c r="D2056" t="s">
        <v>326</v>
      </c>
      <c r="E2056" t="s">
        <v>45</v>
      </c>
      <c r="F2056">
        <v>4500454447</v>
      </c>
      <c r="H2056" t="s">
        <v>12</v>
      </c>
      <c r="I2056" t="s">
        <v>668</v>
      </c>
      <c r="J2056" t="s">
        <v>45</v>
      </c>
      <c r="K2056">
        <v>30000</v>
      </c>
      <c r="L2056" t="s">
        <v>6408</v>
      </c>
      <c r="M2056" t="str" cm="1">
        <f t="array" ref="M2056">INDEX('Org List'!$A$2:$C$1005,MATCH(Consolidated!I2056&amp;Consolidated!J2056,'Org List'!$A$2:$A$1005&amp;'Org List'!$B$2:$B$1005,0),3)</f>
        <v>NGOs: National</v>
      </c>
    </row>
    <row r="2057" spans="1:13" x14ac:dyDescent="0.25">
      <c r="A2057" t="s">
        <v>1152</v>
      </c>
      <c r="B2057" t="s">
        <v>913</v>
      </c>
      <c r="C2057" t="s">
        <v>30</v>
      </c>
      <c r="D2057" t="s">
        <v>914</v>
      </c>
      <c r="E2057" t="s">
        <v>320</v>
      </c>
      <c r="F2057">
        <v>4500441035</v>
      </c>
      <c r="H2057" t="s">
        <v>12</v>
      </c>
      <c r="I2057" t="s">
        <v>851</v>
      </c>
      <c r="J2057" t="s">
        <v>320</v>
      </c>
      <c r="K2057">
        <v>8460</v>
      </c>
      <c r="L2057" t="s">
        <v>6408</v>
      </c>
      <c r="M2057" t="str" cm="1">
        <f t="array" ref="M2057">INDEX('Org List'!$A$2:$C$1005,MATCH(Consolidated!I2057&amp;Consolidated!J2057,'Org List'!$A$2:$A$1005&amp;'Org List'!$B$2:$B$1005,0),3)</f>
        <v>NGOs: National</v>
      </c>
    </row>
    <row r="2058" spans="1:13" x14ac:dyDescent="0.25">
      <c r="A2058" t="s">
        <v>1152</v>
      </c>
      <c r="B2058" t="s">
        <v>333</v>
      </c>
      <c r="C2058" t="s">
        <v>30</v>
      </c>
      <c r="D2058" t="s">
        <v>915</v>
      </c>
      <c r="E2058" t="s">
        <v>146</v>
      </c>
      <c r="F2058">
        <v>4500451487</v>
      </c>
      <c r="H2058" t="s">
        <v>12</v>
      </c>
      <c r="I2058" t="s">
        <v>916</v>
      </c>
      <c r="J2058" t="s">
        <v>146</v>
      </c>
      <c r="K2058">
        <v>1330543.22</v>
      </c>
      <c r="L2058" t="s">
        <v>6408</v>
      </c>
      <c r="M2058" t="str" cm="1">
        <f t="array" ref="M2058">INDEX('Org List'!$A$2:$C$1005,MATCH(Consolidated!I2058&amp;Consolidated!J2058,'Org List'!$A$2:$A$1005&amp;'Org List'!$B$2:$B$1005,0),3)</f>
        <v>Multilateral: Other</v>
      </c>
    </row>
    <row r="2059" spans="1:13" x14ac:dyDescent="0.25">
      <c r="A2059" t="s">
        <v>1152</v>
      </c>
      <c r="B2059" t="s">
        <v>917</v>
      </c>
      <c r="C2059" t="s">
        <v>30</v>
      </c>
      <c r="D2059" t="s">
        <v>918</v>
      </c>
      <c r="E2059" t="s">
        <v>45</v>
      </c>
      <c r="F2059">
        <v>4500454447</v>
      </c>
      <c r="H2059" t="s">
        <v>12</v>
      </c>
      <c r="I2059" t="s">
        <v>668</v>
      </c>
      <c r="J2059" t="s">
        <v>45</v>
      </c>
      <c r="K2059">
        <v>167000</v>
      </c>
      <c r="L2059" t="s">
        <v>6408</v>
      </c>
      <c r="M2059" t="str" cm="1">
        <f t="array" ref="M2059">INDEX('Org List'!$A$2:$C$1005,MATCH(Consolidated!I2059&amp;Consolidated!J2059,'Org List'!$A$2:$A$1005&amp;'Org List'!$B$2:$B$1005,0),3)</f>
        <v>NGOs: National</v>
      </c>
    </row>
    <row r="2060" spans="1:13" x14ac:dyDescent="0.25">
      <c r="A2060" t="s">
        <v>1152</v>
      </c>
      <c r="B2060" t="s">
        <v>922</v>
      </c>
      <c r="C2060" t="s">
        <v>9</v>
      </c>
      <c r="D2060" t="s">
        <v>923</v>
      </c>
      <c r="E2060" t="s">
        <v>924</v>
      </c>
      <c r="F2060">
        <v>4500433655</v>
      </c>
      <c r="H2060" t="s">
        <v>12</v>
      </c>
      <c r="I2060" t="s">
        <v>925</v>
      </c>
      <c r="J2060" t="s">
        <v>924</v>
      </c>
      <c r="K2060">
        <v>32000</v>
      </c>
      <c r="L2060" t="s">
        <v>6408</v>
      </c>
      <c r="M2060" t="str" cm="1">
        <f t="array" ref="M2060">INDEX('Org List'!$A$2:$C$1005,MATCH(Consolidated!I2060&amp;Consolidated!J2060,'Org List'!$A$2:$A$1005&amp;'Org List'!$B$2:$B$1005,0),3)</f>
        <v>NGOs: Local</v>
      </c>
    </row>
    <row r="2061" spans="1:13" x14ac:dyDescent="0.25">
      <c r="A2061" t="s">
        <v>1152</v>
      </c>
      <c r="B2061" t="s">
        <v>934</v>
      </c>
      <c r="C2061" t="s">
        <v>30</v>
      </c>
      <c r="D2061" t="s">
        <v>935</v>
      </c>
      <c r="E2061" t="s">
        <v>936</v>
      </c>
      <c r="F2061">
        <v>4500431885</v>
      </c>
      <c r="H2061" t="s">
        <v>12</v>
      </c>
      <c r="I2061" t="s">
        <v>937</v>
      </c>
      <c r="J2061" t="s">
        <v>936</v>
      </c>
      <c r="K2061">
        <v>50000</v>
      </c>
      <c r="L2061" t="s">
        <v>6408</v>
      </c>
      <c r="M2061" t="str" cm="1">
        <f t="array" ref="M2061">INDEX('Org List'!$A$2:$C$1005,MATCH(Consolidated!I2061&amp;Consolidated!J2061,'Org List'!$A$2:$A$1005&amp;'Org List'!$B$2:$B$1005,0),3)</f>
        <v>NGOs: National</v>
      </c>
    </row>
    <row r="2062" spans="1:13" x14ac:dyDescent="0.25">
      <c r="A2062" t="s">
        <v>1152</v>
      </c>
      <c r="B2062" t="s">
        <v>1002</v>
      </c>
      <c r="C2062" t="s">
        <v>512</v>
      </c>
      <c r="D2062" t="s">
        <v>1003</v>
      </c>
      <c r="E2062" t="s">
        <v>175</v>
      </c>
      <c r="F2062">
        <v>4500454345</v>
      </c>
      <c r="H2062" t="s">
        <v>12</v>
      </c>
      <c r="I2062" t="s">
        <v>1004</v>
      </c>
      <c r="J2062" t="s">
        <v>175</v>
      </c>
      <c r="K2062">
        <v>554672.96</v>
      </c>
      <c r="L2062" t="s">
        <v>6408</v>
      </c>
      <c r="M2062" t="str" cm="1">
        <f t="array" ref="M2062">INDEX('Org List'!$A$2:$C$1005,MATCH(Consolidated!I2062&amp;Consolidated!J2062,'Org List'!$A$2:$A$1005&amp;'Org List'!$B$2:$B$1005,0),3)</f>
        <v>Private Organisations: Local/National</v>
      </c>
    </row>
    <row r="2063" spans="1:13" x14ac:dyDescent="0.25">
      <c r="A2063" t="s">
        <v>1152</v>
      </c>
      <c r="B2063" t="s">
        <v>1141</v>
      </c>
      <c r="C2063" t="s">
        <v>30</v>
      </c>
      <c r="D2063" t="s">
        <v>1142</v>
      </c>
      <c r="E2063" t="s">
        <v>123</v>
      </c>
      <c r="F2063">
        <v>4500433481</v>
      </c>
      <c r="H2063" t="s">
        <v>12</v>
      </c>
      <c r="I2063" t="s">
        <v>367</v>
      </c>
      <c r="J2063" t="s">
        <v>123</v>
      </c>
      <c r="K2063">
        <v>3500</v>
      </c>
      <c r="L2063" t="s">
        <v>6408</v>
      </c>
      <c r="M2063" t="str" cm="1">
        <f t="array" ref="M2063">INDEX('Org List'!$A$2:$C$1005,MATCH(Consolidated!I2063&amp;Consolidated!J2063,'Org List'!$A$2:$A$1005&amp;'Org List'!$B$2:$B$1005,0),3)</f>
        <v>NGOs: Local</v>
      </c>
    </row>
    <row r="2064" spans="1:13" x14ac:dyDescent="0.25">
      <c r="A2064" t="s">
        <v>1152</v>
      </c>
      <c r="B2064" t="s">
        <v>1143</v>
      </c>
      <c r="C2064" t="s">
        <v>30</v>
      </c>
      <c r="D2064" t="s">
        <v>1144</v>
      </c>
      <c r="E2064" t="s">
        <v>54</v>
      </c>
      <c r="F2064">
        <v>4500430914</v>
      </c>
      <c r="H2064" t="s">
        <v>12</v>
      </c>
      <c r="I2064" t="s">
        <v>277</v>
      </c>
      <c r="J2064" t="s">
        <v>54</v>
      </c>
      <c r="K2064">
        <v>58131.83</v>
      </c>
      <c r="L2064" t="s">
        <v>6408</v>
      </c>
      <c r="M2064" t="str" cm="1">
        <f t="array" ref="M2064">INDEX('Org List'!$A$2:$C$1005,MATCH(Consolidated!I2064&amp;Consolidated!J2064,'Org List'!$A$2:$A$1005&amp;'Org List'!$B$2:$B$1005,0),3)</f>
        <v>NGOs: National</v>
      </c>
    </row>
    <row r="2065" spans="1:13" x14ac:dyDescent="0.25">
      <c r="A2065" t="s">
        <v>1152</v>
      </c>
      <c r="B2065" t="s">
        <v>1145</v>
      </c>
      <c r="C2065" t="s">
        <v>30</v>
      </c>
      <c r="D2065" t="s">
        <v>1146</v>
      </c>
      <c r="E2065" t="s">
        <v>146</v>
      </c>
      <c r="F2065">
        <v>4500433463</v>
      </c>
      <c r="H2065" t="s">
        <v>12</v>
      </c>
      <c r="I2065" t="s">
        <v>1147</v>
      </c>
      <c r="J2065" t="s">
        <v>146</v>
      </c>
      <c r="K2065">
        <v>31740</v>
      </c>
      <c r="L2065" t="s">
        <v>6408</v>
      </c>
      <c r="M2065" t="str" cm="1">
        <f t="array" ref="M2065">INDEX('Org List'!$A$2:$C$1005,MATCH(Consolidated!I2065&amp;Consolidated!J2065,'Org List'!$A$2:$A$1005&amp;'Org List'!$B$2:$B$1005,0),3)</f>
        <v>NGOs: National</v>
      </c>
    </row>
    <row r="2066" spans="1:13" x14ac:dyDescent="0.25">
      <c r="A2066" t="s">
        <v>1152</v>
      </c>
      <c r="B2066" t="s">
        <v>722</v>
      </c>
      <c r="C2066" t="s">
        <v>30</v>
      </c>
      <c r="D2066" t="s">
        <v>723</v>
      </c>
      <c r="E2066" t="s">
        <v>717</v>
      </c>
      <c r="F2066">
        <v>4500430528</v>
      </c>
      <c r="H2066" t="s">
        <v>713</v>
      </c>
      <c r="I2066" t="s">
        <v>1154</v>
      </c>
      <c r="J2066" t="s">
        <v>717</v>
      </c>
      <c r="K2066">
        <v>135127.5</v>
      </c>
      <c r="L2066" t="s">
        <v>6408</v>
      </c>
      <c r="M2066" t="str" cm="1">
        <f t="array" ref="M2066">INDEX('Org List'!$A$2:$C$1005,MATCH(Consolidated!I2066&amp;Consolidated!J2066,'Org List'!$A$2:$A$1005&amp;'Org List'!$B$2:$B$1005,0),3)</f>
        <v>NGOs: National</v>
      </c>
    </row>
    <row r="2067" spans="1:13" x14ac:dyDescent="0.25">
      <c r="A2067" t="s">
        <v>1152</v>
      </c>
      <c r="B2067" t="s">
        <v>722</v>
      </c>
      <c r="C2067" t="s">
        <v>30</v>
      </c>
      <c r="D2067" t="s">
        <v>723</v>
      </c>
      <c r="E2067" t="s">
        <v>717</v>
      </c>
      <c r="F2067">
        <v>4500440304</v>
      </c>
      <c r="H2067" t="s">
        <v>713</v>
      </c>
      <c r="I2067" t="s">
        <v>1155</v>
      </c>
      <c r="J2067" t="s">
        <v>717</v>
      </c>
      <c r="K2067">
        <v>100094.45</v>
      </c>
      <c r="L2067" t="s">
        <v>6408</v>
      </c>
      <c r="M2067" t="str" cm="1">
        <f t="array" ref="M2067">INDEX('Org List'!$A$2:$C$1005,MATCH(Consolidated!I2067&amp;Consolidated!J2067,'Org List'!$A$2:$A$1005&amp;'Org List'!$B$2:$B$1005,0),3)</f>
        <v>NGOs: National</v>
      </c>
    </row>
    <row r="2068" spans="1:13" x14ac:dyDescent="0.25">
      <c r="A2068" t="s">
        <v>1152</v>
      </c>
      <c r="B2068" t="s">
        <v>722</v>
      </c>
      <c r="C2068" t="s">
        <v>30</v>
      </c>
      <c r="D2068" t="s">
        <v>723</v>
      </c>
      <c r="E2068" t="s">
        <v>717</v>
      </c>
      <c r="F2068">
        <v>4500441711</v>
      </c>
      <c r="H2068" t="s">
        <v>713</v>
      </c>
      <c r="I2068" t="s">
        <v>1156</v>
      </c>
      <c r="J2068" t="s">
        <v>717</v>
      </c>
      <c r="K2068">
        <v>113677</v>
      </c>
      <c r="L2068" t="s">
        <v>6408</v>
      </c>
      <c r="M2068" t="str" cm="1">
        <f t="array" ref="M2068">INDEX('Org List'!$A$2:$C$1005,MATCH(Consolidated!I2068&amp;Consolidated!J2068,'Org List'!$A$2:$A$1005&amp;'Org List'!$B$2:$B$1005,0),3)</f>
        <v>NGOs: National</v>
      </c>
    </row>
    <row r="2069" spans="1:13" x14ac:dyDescent="0.25">
      <c r="A2069" t="s">
        <v>1152</v>
      </c>
      <c r="B2069" t="s">
        <v>722</v>
      </c>
      <c r="C2069" t="s">
        <v>30</v>
      </c>
      <c r="D2069" t="s">
        <v>723</v>
      </c>
      <c r="E2069" t="s">
        <v>717</v>
      </c>
      <c r="F2069">
        <v>4500441713</v>
      </c>
      <c r="H2069" t="s">
        <v>713</v>
      </c>
      <c r="I2069" t="s">
        <v>728</v>
      </c>
      <c r="J2069" t="s">
        <v>717</v>
      </c>
      <c r="K2069">
        <v>538500</v>
      </c>
      <c r="L2069" t="s">
        <v>6408</v>
      </c>
      <c r="M2069" t="str" cm="1">
        <f t="array" ref="M2069">INDEX('Org List'!$A$2:$C$1005,MATCH(Consolidated!I2069&amp;Consolidated!J2069,'Org List'!$A$2:$A$1005&amp;'Org List'!$B$2:$B$1005,0),3)</f>
        <v>NGOs: National</v>
      </c>
    </row>
    <row r="2070" spans="1:13" x14ac:dyDescent="0.25">
      <c r="A2070" t="s">
        <v>1152</v>
      </c>
      <c r="B2070" t="s">
        <v>722</v>
      </c>
      <c r="C2070" t="s">
        <v>30</v>
      </c>
      <c r="D2070" t="s">
        <v>723</v>
      </c>
      <c r="E2070" t="s">
        <v>717</v>
      </c>
      <c r="F2070">
        <v>4500441716</v>
      </c>
      <c r="H2070" t="s">
        <v>713</v>
      </c>
      <c r="I2070" t="s">
        <v>1157</v>
      </c>
      <c r="J2070" t="s">
        <v>717</v>
      </c>
      <c r="K2070">
        <v>368993.67</v>
      </c>
      <c r="L2070" t="s">
        <v>6408</v>
      </c>
      <c r="M2070" t="str" cm="1">
        <f t="array" ref="M2070">INDEX('Org List'!$A$2:$C$1005,MATCH(Consolidated!I2070&amp;Consolidated!J2070,'Org List'!$A$2:$A$1005&amp;'Org List'!$B$2:$B$1005,0),3)</f>
        <v>NGOs: International</v>
      </c>
    </row>
    <row r="2071" spans="1:13" x14ac:dyDescent="0.25">
      <c r="A2071" t="s">
        <v>1152</v>
      </c>
      <c r="B2071" t="s">
        <v>722</v>
      </c>
      <c r="C2071" t="s">
        <v>30</v>
      </c>
      <c r="D2071" t="s">
        <v>723</v>
      </c>
      <c r="E2071" t="s">
        <v>717</v>
      </c>
      <c r="F2071">
        <v>4500444943</v>
      </c>
      <c r="H2071" t="s">
        <v>713</v>
      </c>
      <c r="I2071" t="s">
        <v>1158</v>
      </c>
      <c r="J2071" t="s">
        <v>717</v>
      </c>
      <c r="K2071">
        <v>152791.4</v>
      </c>
      <c r="L2071" t="s">
        <v>6408</v>
      </c>
      <c r="M2071" t="str" cm="1">
        <f t="array" ref="M2071">INDEX('Org List'!$A$2:$C$1005,MATCH(Consolidated!I2071&amp;Consolidated!J2071,'Org List'!$A$2:$A$1005&amp;'Org List'!$B$2:$B$1005,0),3)</f>
        <v>NGOs: National</v>
      </c>
    </row>
    <row r="2072" spans="1:13" x14ac:dyDescent="0.25">
      <c r="A2072" t="s">
        <v>1152</v>
      </c>
      <c r="B2072" t="s">
        <v>722</v>
      </c>
      <c r="C2072" t="s">
        <v>30</v>
      </c>
      <c r="D2072" t="s">
        <v>723</v>
      </c>
      <c r="E2072" t="s">
        <v>717</v>
      </c>
      <c r="F2072">
        <v>4500444963</v>
      </c>
      <c r="H2072" t="s">
        <v>713</v>
      </c>
      <c r="I2072" t="s">
        <v>1159</v>
      </c>
      <c r="J2072" t="s">
        <v>717</v>
      </c>
      <c r="K2072">
        <v>271926.67</v>
      </c>
      <c r="L2072" t="s">
        <v>6408</v>
      </c>
      <c r="M2072" t="str" cm="1">
        <f t="array" ref="M2072">INDEX('Org List'!$A$2:$C$1005,MATCH(Consolidated!I2072&amp;Consolidated!J2072,'Org List'!$A$2:$A$1005&amp;'Org List'!$B$2:$B$1005,0),3)</f>
        <v>NGOs: International</v>
      </c>
    </row>
    <row r="2073" spans="1:13" x14ac:dyDescent="0.25">
      <c r="A2073" t="s">
        <v>1152</v>
      </c>
      <c r="B2073" t="s">
        <v>722</v>
      </c>
      <c r="C2073" t="s">
        <v>30</v>
      </c>
      <c r="D2073" t="s">
        <v>723</v>
      </c>
      <c r="E2073" t="s">
        <v>717</v>
      </c>
      <c r="F2073">
        <v>4500445308</v>
      </c>
      <c r="H2073" t="s">
        <v>713</v>
      </c>
      <c r="I2073" t="s">
        <v>1160</v>
      </c>
      <c r="J2073" t="s">
        <v>717</v>
      </c>
      <c r="K2073">
        <v>193335.44</v>
      </c>
      <c r="L2073" t="s">
        <v>6408</v>
      </c>
      <c r="M2073" t="str" cm="1">
        <f t="array" ref="M2073">INDEX('Org List'!$A$2:$C$1005,MATCH(Consolidated!I2073&amp;Consolidated!J2073,'Org List'!$A$2:$A$1005&amp;'Org List'!$B$2:$B$1005,0),3)</f>
        <v>NGOs: National</v>
      </c>
    </row>
    <row r="2074" spans="1:13" x14ac:dyDescent="0.25">
      <c r="A2074" t="s">
        <v>1152</v>
      </c>
      <c r="B2074" t="s">
        <v>722</v>
      </c>
      <c r="C2074" t="s">
        <v>30</v>
      </c>
      <c r="D2074" t="s">
        <v>723</v>
      </c>
      <c r="E2074" t="s">
        <v>717</v>
      </c>
      <c r="F2074">
        <v>4500446963</v>
      </c>
      <c r="H2074" t="s">
        <v>713</v>
      </c>
      <c r="I2074" t="s">
        <v>1161</v>
      </c>
      <c r="J2074" t="s">
        <v>717</v>
      </c>
      <c r="K2074">
        <v>49654</v>
      </c>
      <c r="L2074" t="s">
        <v>6408</v>
      </c>
      <c r="M2074" t="str" cm="1">
        <f t="array" ref="M2074">INDEX('Org List'!$A$2:$C$1005,MATCH(Consolidated!I2074&amp;Consolidated!J2074,'Org List'!$A$2:$A$1005&amp;'Org List'!$B$2:$B$1005,0),3)</f>
        <v>NGOs: National</v>
      </c>
    </row>
    <row r="2075" spans="1:13" x14ac:dyDescent="0.25">
      <c r="A2075" t="s">
        <v>1152</v>
      </c>
      <c r="B2075" t="s">
        <v>722</v>
      </c>
      <c r="C2075" t="s">
        <v>30</v>
      </c>
      <c r="D2075" t="s">
        <v>723</v>
      </c>
      <c r="E2075" t="s">
        <v>717</v>
      </c>
      <c r="F2075">
        <v>4500447221</v>
      </c>
      <c r="H2075" t="s">
        <v>713</v>
      </c>
      <c r="I2075" t="s">
        <v>1162</v>
      </c>
      <c r="J2075" t="s">
        <v>717</v>
      </c>
      <c r="K2075">
        <v>417503</v>
      </c>
      <c r="L2075" t="s">
        <v>6408</v>
      </c>
      <c r="M2075" t="str" cm="1">
        <f t="array" ref="M2075">INDEX('Org List'!$A$2:$C$1005,MATCH(Consolidated!I2075&amp;Consolidated!J2075,'Org List'!$A$2:$A$1005&amp;'Org List'!$B$2:$B$1005,0),3)</f>
        <v>NGOs: International</v>
      </c>
    </row>
    <row r="2076" spans="1:13" x14ac:dyDescent="0.25">
      <c r="A2076" t="s">
        <v>1152</v>
      </c>
      <c r="B2076" t="s">
        <v>265</v>
      </c>
      <c r="C2076" t="s">
        <v>30</v>
      </c>
      <c r="D2076" t="s">
        <v>266</v>
      </c>
      <c r="E2076" t="s">
        <v>54</v>
      </c>
      <c r="F2076">
        <v>4500449380</v>
      </c>
      <c r="H2076" t="s">
        <v>713</v>
      </c>
      <c r="I2076" t="s">
        <v>1163</v>
      </c>
      <c r="J2076" t="s">
        <v>54</v>
      </c>
      <c r="K2076">
        <v>49620.72</v>
      </c>
      <c r="L2076" t="s">
        <v>6408</v>
      </c>
      <c r="M2076" t="str" cm="1">
        <f t="array" ref="M2076">INDEX('Org List'!$A$2:$C$1005,MATCH(Consolidated!I2076&amp;Consolidated!J2076,'Org List'!$A$2:$A$1005&amp;'Org List'!$B$2:$B$1005,0),3)</f>
        <v>Governments: National</v>
      </c>
    </row>
    <row r="2077" spans="1:13" x14ac:dyDescent="0.25">
      <c r="A2077" t="s">
        <v>1658</v>
      </c>
      <c r="B2077" t="s">
        <v>1171</v>
      </c>
      <c r="C2077" t="s">
        <v>30</v>
      </c>
      <c r="D2077" t="s">
        <v>1172</v>
      </c>
      <c r="E2077" t="s">
        <v>83</v>
      </c>
      <c r="F2077">
        <v>4500422524</v>
      </c>
      <c r="H2077" t="s">
        <v>12</v>
      </c>
      <c r="I2077" t="s">
        <v>1173</v>
      </c>
      <c r="J2077" t="s">
        <v>83</v>
      </c>
      <c r="K2077">
        <v>120000</v>
      </c>
      <c r="L2077" t="s">
        <v>6408</v>
      </c>
      <c r="M2077" t="str" cm="1">
        <f t="array" ref="M2077">INDEX('Org List'!$A$2:$C$1005,MATCH(Consolidated!I2077&amp;Consolidated!J2077,'Org List'!$A$2:$A$1005&amp;'Org List'!$B$2:$B$1005,0),3)</f>
        <v>NGOs: National</v>
      </c>
    </row>
    <row r="2078" spans="1:13" x14ac:dyDescent="0.25">
      <c r="A2078" t="s">
        <v>1658</v>
      </c>
      <c r="B2078" t="s">
        <v>1238</v>
      </c>
      <c r="C2078" t="s">
        <v>30</v>
      </c>
      <c r="D2078" t="s">
        <v>1239</v>
      </c>
      <c r="E2078" t="s">
        <v>561</v>
      </c>
      <c r="F2078">
        <v>4500424714</v>
      </c>
      <c r="H2078" t="s">
        <v>12</v>
      </c>
      <c r="I2078" t="s">
        <v>1240</v>
      </c>
      <c r="J2078" t="s">
        <v>561</v>
      </c>
      <c r="K2078">
        <v>9994.1</v>
      </c>
      <c r="L2078" t="s">
        <v>6408</v>
      </c>
      <c r="M2078" t="str" cm="1">
        <f t="array" ref="M2078">INDEX('Org List'!$A$2:$C$1005,MATCH(Consolidated!I2078&amp;Consolidated!J2078,'Org List'!$A$2:$A$1005&amp;'Org List'!$B$2:$B$1005,0),3)</f>
        <v>NGOs: National</v>
      </c>
    </row>
    <row r="2079" spans="1:13" x14ac:dyDescent="0.25">
      <c r="A2079" t="s">
        <v>1658</v>
      </c>
      <c r="B2079" t="s">
        <v>1238</v>
      </c>
      <c r="C2079" t="s">
        <v>30</v>
      </c>
      <c r="D2079" t="s">
        <v>1239</v>
      </c>
      <c r="E2079" t="s">
        <v>561</v>
      </c>
      <c r="F2079">
        <v>4500425163</v>
      </c>
      <c r="H2079" t="s">
        <v>12</v>
      </c>
      <c r="I2079" t="s">
        <v>1241</v>
      </c>
      <c r="J2079" t="s">
        <v>561</v>
      </c>
      <c r="K2079">
        <v>6553.66</v>
      </c>
      <c r="L2079" t="s">
        <v>6408</v>
      </c>
      <c r="M2079" t="str" cm="1">
        <f t="array" ref="M2079">INDEX('Org List'!$A$2:$C$1005,MATCH(Consolidated!I2079&amp;Consolidated!J2079,'Org List'!$A$2:$A$1005&amp;'Org List'!$B$2:$B$1005,0),3)</f>
        <v>NGOs: National</v>
      </c>
    </row>
    <row r="2080" spans="1:13" x14ac:dyDescent="0.25">
      <c r="A2080" t="s">
        <v>1658</v>
      </c>
      <c r="B2080" t="s">
        <v>1246</v>
      </c>
      <c r="C2080" t="s">
        <v>30</v>
      </c>
      <c r="D2080" t="s">
        <v>1247</v>
      </c>
      <c r="E2080" t="s">
        <v>54</v>
      </c>
      <c r="F2080">
        <v>4500387996</v>
      </c>
      <c r="H2080" t="s">
        <v>12</v>
      </c>
      <c r="I2080" t="s">
        <v>1248</v>
      </c>
      <c r="J2080" t="s">
        <v>54</v>
      </c>
      <c r="K2080">
        <v>23040.45</v>
      </c>
      <c r="L2080" t="s">
        <v>6408</v>
      </c>
      <c r="M2080" t="str" cm="1">
        <f t="array" ref="M2080">INDEX('Org List'!$A$2:$C$1005,MATCH(Consolidated!I2080&amp;Consolidated!J2080,'Org List'!$A$2:$A$1005&amp;'Org List'!$B$2:$B$1005,0),3)</f>
        <v>NGOs: National</v>
      </c>
    </row>
    <row r="2081" spans="1:13" x14ac:dyDescent="0.25">
      <c r="A2081" t="s">
        <v>1658</v>
      </c>
      <c r="B2081" t="s">
        <v>1249</v>
      </c>
      <c r="C2081" t="s">
        <v>30</v>
      </c>
      <c r="D2081" t="s">
        <v>1250</v>
      </c>
      <c r="E2081" t="s">
        <v>717</v>
      </c>
      <c r="F2081">
        <v>4500420023</v>
      </c>
      <c r="H2081" t="s">
        <v>12</v>
      </c>
      <c r="I2081" t="s">
        <v>1251</v>
      </c>
      <c r="J2081" t="s">
        <v>717</v>
      </c>
      <c r="K2081">
        <v>51723</v>
      </c>
      <c r="L2081" t="s">
        <v>6408</v>
      </c>
      <c r="M2081" t="str" cm="1">
        <f t="array" ref="M2081">INDEX('Org List'!$A$2:$C$1005,MATCH(Consolidated!I2081&amp;Consolidated!J2081,'Org List'!$A$2:$A$1005&amp;'Org List'!$B$2:$B$1005,0),3)</f>
        <v>NGOs: International</v>
      </c>
    </row>
    <row r="2082" spans="1:13" x14ac:dyDescent="0.25">
      <c r="A2082" t="s">
        <v>1658</v>
      </c>
      <c r="B2082" t="s">
        <v>1249</v>
      </c>
      <c r="C2082" t="s">
        <v>30</v>
      </c>
      <c r="D2082" t="s">
        <v>1250</v>
      </c>
      <c r="E2082" t="s">
        <v>717</v>
      </c>
      <c r="F2082">
        <v>4500420382</v>
      </c>
      <c r="H2082" t="s">
        <v>12</v>
      </c>
      <c r="I2082" t="s">
        <v>1252</v>
      </c>
      <c r="J2082" t="s">
        <v>155</v>
      </c>
      <c r="K2082">
        <v>125170</v>
      </c>
      <c r="L2082" t="s">
        <v>6408</v>
      </c>
      <c r="M2082" t="str" cm="1">
        <f t="array" ref="M2082">INDEX('Org List'!$A$2:$C$1005,MATCH(Consolidated!I2082&amp;Consolidated!J2082,'Org List'!$A$2:$A$1005&amp;'Org List'!$B$2:$B$1005,0),3)</f>
        <v>Private Organisations: Local/National</v>
      </c>
    </row>
    <row r="2083" spans="1:13" x14ac:dyDescent="0.25">
      <c r="A2083" t="s">
        <v>1658</v>
      </c>
      <c r="B2083" t="s">
        <v>1249</v>
      </c>
      <c r="C2083" t="s">
        <v>30</v>
      </c>
      <c r="D2083" t="s">
        <v>1250</v>
      </c>
      <c r="E2083" t="s">
        <v>717</v>
      </c>
      <c r="F2083">
        <v>4500420402</v>
      </c>
      <c r="H2083" t="s">
        <v>12</v>
      </c>
      <c r="I2083" t="s">
        <v>1253</v>
      </c>
      <c r="J2083" t="s">
        <v>717</v>
      </c>
      <c r="K2083">
        <v>30019</v>
      </c>
      <c r="L2083" t="s">
        <v>6408</v>
      </c>
      <c r="M2083" t="str" cm="1">
        <f t="array" ref="M2083">INDEX('Org List'!$A$2:$C$1005,MATCH(Consolidated!I2083&amp;Consolidated!J2083,'Org List'!$A$2:$A$1005&amp;'Org List'!$B$2:$B$1005,0),3)</f>
        <v>Private Organisations: National</v>
      </c>
    </row>
    <row r="2084" spans="1:13" x14ac:dyDescent="0.25">
      <c r="A2084" t="s">
        <v>1658</v>
      </c>
      <c r="B2084" t="s">
        <v>74</v>
      </c>
      <c r="C2084" t="s">
        <v>30</v>
      </c>
      <c r="D2084" t="s">
        <v>75</v>
      </c>
      <c r="E2084" t="s">
        <v>903</v>
      </c>
      <c r="F2084">
        <v>4500408744</v>
      </c>
      <c r="H2084" t="s">
        <v>12</v>
      </c>
      <c r="I2084" t="s">
        <v>314</v>
      </c>
      <c r="J2084" t="s">
        <v>903</v>
      </c>
      <c r="K2084">
        <v>49552.94</v>
      </c>
      <c r="L2084" t="s">
        <v>6408</v>
      </c>
      <c r="M2084" t="str" cm="1">
        <f t="array" ref="M2084">INDEX('Org List'!$A$2:$C$1005,MATCH(Consolidated!I2084&amp;Consolidated!J2084,'Org List'!$A$2:$A$1005&amp;'Org List'!$B$2:$B$1005,0),3)</f>
        <v>NGOs: National</v>
      </c>
    </row>
    <row r="2085" spans="1:13" x14ac:dyDescent="0.25">
      <c r="A2085" t="s">
        <v>1658</v>
      </c>
      <c r="B2085" t="s">
        <v>74</v>
      </c>
      <c r="C2085" t="s">
        <v>30</v>
      </c>
      <c r="D2085" t="s">
        <v>75</v>
      </c>
      <c r="E2085" t="s">
        <v>54</v>
      </c>
      <c r="F2085">
        <v>4500419717</v>
      </c>
      <c r="H2085" t="s">
        <v>12</v>
      </c>
      <c r="I2085" t="s">
        <v>1254</v>
      </c>
      <c r="J2085" t="s">
        <v>54</v>
      </c>
      <c r="K2085">
        <v>42827</v>
      </c>
      <c r="L2085" t="s">
        <v>6408</v>
      </c>
      <c r="M2085" t="str" cm="1">
        <f t="array" ref="M2085">INDEX('Org List'!$A$2:$C$1005,MATCH(Consolidated!I2085&amp;Consolidated!J2085,'Org List'!$A$2:$A$1005&amp;'Org List'!$B$2:$B$1005,0),3)</f>
        <v>NGOs: International</v>
      </c>
    </row>
    <row r="2086" spans="1:13" x14ac:dyDescent="0.25">
      <c r="A2086" t="s">
        <v>1658</v>
      </c>
      <c r="B2086" t="s">
        <v>74</v>
      </c>
      <c r="C2086" t="s">
        <v>30</v>
      </c>
      <c r="D2086" t="s">
        <v>75</v>
      </c>
      <c r="E2086" t="s">
        <v>54</v>
      </c>
      <c r="F2086">
        <v>4500421002</v>
      </c>
      <c r="H2086" t="s">
        <v>12</v>
      </c>
      <c r="I2086" t="s">
        <v>1254</v>
      </c>
      <c r="J2086" t="s">
        <v>54</v>
      </c>
      <c r="K2086">
        <v>47692</v>
      </c>
      <c r="L2086" t="s">
        <v>6408</v>
      </c>
      <c r="M2086" t="str" cm="1">
        <f t="array" ref="M2086">INDEX('Org List'!$A$2:$C$1005,MATCH(Consolidated!I2086&amp;Consolidated!J2086,'Org List'!$A$2:$A$1005&amp;'Org List'!$B$2:$B$1005,0),3)</f>
        <v>NGOs: International</v>
      </c>
    </row>
    <row r="2087" spans="1:13" x14ac:dyDescent="0.25">
      <c r="A2087" t="s">
        <v>1658</v>
      </c>
      <c r="B2087" t="s">
        <v>87</v>
      </c>
      <c r="C2087" t="s">
        <v>30</v>
      </c>
      <c r="D2087" t="s">
        <v>88</v>
      </c>
      <c r="E2087" t="s">
        <v>32</v>
      </c>
      <c r="F2087">
        <v>4500415884</v>
      </c>
      <c r="H2087" t="s">
        <v>12</v>
      </c>
      <c r="I2087" t="s">
        <v>807</v>
      </c>
      <c r="J2087" t="s">
        <v>32</v>
      </c>
      <c r="K2087">
        <v>106961</v>
      </c>
      <c r="L2087" t="s">
        <v>6408</v>
      </c>
      <c r="M2087" t="str" cm="1">
        <f t="array" ref="M2087">INDEX('Org List'!$A$2:$C$1005,MATCH(Consolidated!I2087&amp;Consolidated!J2087,'Org List'!$A$2:$A$1005&amp;'Org List'!$B$2:$B$1005,0),3)</f>
        <v>NGOs: National</v>
      </c>
    </row>
    <row r="2088" spans="1:13" x14ac:dyDescent="0.25">
      <c r="A2088" t="s">
        <v>1658</v>
      </c>
      <c r="B2088" t="s">
        <v>87</v>
      </c>
      <c r="C2088" t="s">
        <v>30</v>
      </c>
      <c r="D2088" t="s">
        <v>88</v>
      </c>
      <c r="E2088" t="s">
        <v>32</v>
      </c>
      <c r="F2088">
        <v>4500417795</v>
      </c>
      <c r="H2088" t="s">
        <v>12</v>
      </c>
      <c r="I2088" t="s">
        <v>101</v>
      </c>
      <c r="J2088" t="s">
        <v>32</v>
      </c>
      <c r="K2088">
        <v>219206</v>
      </c>
      <c r="L2088" t="s">
        <v>6408</v>
      </c>
      <c r="M2088" t="str" cm="1">
        <f t="array" ref="M2088">INDEX('Org List'!$A$2:$C$1005,MATCH(Consolidated!I2088&amp;Consolidated!J2088,'Org List'!$A$2:$A$1005&amp;'Org List'!$B$2:$B$1005,0),3)</f>
        <v>NGOs: International</v>
      </c>
    </row>
    <row r="2089" spans="1:13" x14ac:dyDescent="0.25">
      <c r="A2089" t="s">
        <v>1658</v>
      </c>
      <c r="B2089" t="s">
        <v>87</v>
      </c>
      <c r="C2089" t="s">
        <v>30</v>
      </c>
      <c r="D2089" t="s">
        <v>88</v>
      </c>
      <c r="E2089" t="s">
        <v>32</v>
      </c>
      <c r="F2089">
        <v>4500418669</v>
      </c>
      <c r="H2089" t="s">
        <v>12</v>
      </c>
      <c r="I2089" t="s">
        <v>37</v>
      </c>
      <c r="J2089" t="s">
        <v>32</v>
      </c>
      <c r="K2089">
        <v>179439</v>
      </c>
      <c r="L2089" t="s">
        <v>6408</v>
      </c>
      <c r="M2089" t="str" cm="1">
        <f t="array" ref="M2089">INDEX('Org List'!$A$2:$C$1005,MATCH(Consolidated!I2089&amp;Consolidated!J2089,'Org List'!$A$2:$A$1005&amp;'Org List'!$B$2:$B$1005,0),3)</f>
        <v>NGOs: National</v>
      </c>
    </row>
    <row r="2090" spans="1:13" x14ac:dyDescent="0.25">
      <c r="A2090" t="s">
        <v>1658</v>
      </c>
      <c r="B2090" t="s">
        <v>87</v>
      </c>
      <c r="C2090" t="s">
        <v>30</v>
      </c>
      <c r="D2090" t="s">
        <v>88</v>
      </c>
      <c r="E2090" t="s">
        <v>32</v>
      </c>
      <c r="F2090">
        <v>4500419664</v>
      </c>
      <c r="H2090" t="s">
        <v>12</v>
      </c>
      <c r="I2090" t="s">
        <v>1261</v>
      </c>
      <c r="J2090" t="s">
        <v>32</v>
      </c>
      <c r="K2090">
        <v>289976</v>
      </c>
      <c r="L2090" t="s">
        <v>6408</v>
      </c>
      <c r="M2090" t="str" cm="1">
        <f t="array" ref="M2090">INDEX('Org List'!$A$2:$C$1005,MATCH(Consolidated!I2090&amp;Consolidated!J2090,'Org List'!$A$2:$A$1005&amp;'Org List'!$B$2:$B$1005,0),3)</f>
        <v>NGOs: National</v>
      </c>
    </row>
    <row r="2091" spans="1:13" x14ac:dyDescent="0.25">
      <c r="A2091" t="s">
        <v>1658</v>
      </c>
      <c r="B2091" t="s">
        <v>87</v>
      </c>
      <c r="C2091" t="s">
        <v>30</v>
      </c>
      <c r="D2091" t="s">
        <v>88</v>
      </c>
      <c r="E2091" t="s">
        <v>32</v>
      </c>
      <c r="F2091">
        <v>4500421242</v>
      </c>
      <c r="H2091" t="s">
        <v>12</v>
      </c>
      <c r="I2091" t="s">
        <v>99</v>
      </c>
      <c r="J2091" t="s">
        <v>32</v>
      </c>
      <c r="K2091">
        <v>42614</v>
      </c>
      <c r="L2091" t="s">
        <v>6408</v>
      </c>
      <c r="M2091" t="str" cm="1">
        <f t="array" ref="M2091">INDEX('Org List'!$A$2:$C$1005,MATCH(Consolidated!I2091&amp;Consolidated!J2091,'Org List'!$A$2:$A$1005&amp;'Org List'!$B$2:$B$1005,0),3)</f>
        <v>NGOs: National</v>
      </c>
    </row>
    <row r="2092" spans="1:13" x14ac:dyDescent="0.25">
      <c r="A2092" t="s">
        <v>1658</v>
      </c>
      <c r="B2092" t="s">
        <v>87</v>
      </c>
      <c r="C2092" t="s">
        <v>30</v>
      </c>
      <c r="D2092" t="s">
        <v>88</v>
      </c>
      <c r="E2092" t="s">
        <v>32</v>
      </c>
      <c r="F2092">
        <v>4500426968</v>
      </c>
      <c r="H2092" t="s">
        <v>12</v>
      </c>
      <c r="I2092" t="s">
        <v>807</v>
      </c>
      <c r="J2092" t="s">
        <v>32</v>
      </c>
      <c r="K2092">
        <v>242168</v>
      </c>
      <c r="L2092" t="s">
        <v>6408</v>
      </c>
      <c r="M2092" t="str" cm="1">
        <f t="array" ref="M2092">INDEX('Org List'!$A$2:$C$1005,MATCH(Consolidated!I2092&amp;Consolidated!J2092,'Org List'!$A$2:$A$1005&amp;'Org List'!$B$2:$B$1005,0),3)</f>
        <v>NGOs: National</v>
      </c>
    </row>
    <row r="2093" spans="1:13" x14ac:dyDescent="0.25">
      <c r="A2093" t="s">
        <v>1658</v>
      </c>
      <c r="B2093" t="s">
        <v>1264</v>
      </c>
      <c r="C2093" t="s">
        <v>30</v>
      </c>
      <c r="D2093" t="s">
        <v>1265</v>
      </c>
      <c r="E2093" t="s">
        <v>175</v>
      </c>
      <c r="F2093">
        <v>4500425798</v>
      </c>
      <c r="H2093" t="s">
        <v>12</v>
      </c>
      <c r="I2093" t="s">
        <v>1004</v>
      </c>
      <c r="J2093" t="s">
        <v>175</v>
      </c>
      <c r="K2093">
        <v>39878.519999999997</v>
      </c>
      <c r="L2093" t="s">
        <v>6408</v>
      </c>
      <c r="M2093" t="str" cm="1">
        <f t="array" ref="M2093">INDEX('Org List'!$A$2:$C$1005,MATCH(Consolidated!I2093&amp;Consolidated!J2093,'Org List'!$A$2:$A$1005&amp;'Org List'!$B$2:$B$1005,0),3)</f>
        <v>Private Organisations: Local/National</v>
      </c>
    </row>
    <row r="2094" spans="1:13" x14ac:dyDescent="0.25">
      <c r="A2094" t="s">
        <v>1658</v>
      </c>
      <c r="B2094" t="s">
        <v>1268</v>
      </c>
      <c r="C2094" t="s">
        <v>30</v>
      </c>
      <c r="D2094" t="s">
        <v>1269</v>
      </c>
      <c r="E2094" t="s">
        <v>175</v>
      </c>
      <c r="F2094">
        <v>4500416740</v>
      </c>
      <c r="H2094" t="s">
        <v>12</v>
      </c>
      <c r="I2094" t="s">
        <v>185</v>
      </c>
      <c r="J2094" t="s">
        <v>175</v>
      </c>
      <c r="K2094">
        <v>30000.46</v>
      </c>
      <c r="L2094" t="s">
        <v>6408</v>
      </c>
      <c r="M2094" t="str" cm="1">
        <f t="array" ref="M2094">INDEX('Org List'!$A$2:$C$1005,MATCH(Consolidated!I2094&amp;Consolidated!J2094,'Org List'!$A$2:$A$1005&amp;'Org List'!$B$2:$B$1005,0),3)</f>
        <v>NGOs: National</v>
      </c>
    </row>
    <row r="2095" spans="1:13" x14ac:dyDescent="0.25">
      <c r="A2095" t="s">
        <v>1658</v>
      </c>
      <c r="B2095" t="s">
        <v>1270</v>
      </c>
      <c r="C2095" t="s">
        <v>30</v>
      </c>
      <c r="D2095" t="s">
        <v>1271</v>
      </c>
      <c r="E2095" t="s">
        <v>32</v>
      </c>
      <c r="F2095">
        <v>4500410917</v>
      </c>
      <c r="H2095" t="s">
        <v>12</v>
      </c>
      <c r="I2095" t="s">
        <v>1272</v>
      </c>
      <c r="J2095" t="s">
        <v>972</v>
      </c>
      <c r="K2095">
        <v>29659</v>
      </c>
      <c r="L2095" t="s">
        <v>6408</v>
      </c>
      <c r="M2095" t="str" cm="1">
        <f t="array" ref="M2095">INDEX('Org List'!$A$2:$C$1005,MATCH(Consolidated!I2095&amp;Consolidated!J2095,'Org List'!$A$2:$A$1005&amp;'Org List'!$B$2:$B$1005,0),3)</f>
        <v>NGOs: National</v>
      </c>
    </row>
    <row r="2096" spans="1:13" x14ac:dyDescent="0.25">
      <c r="A2096" t="s">
        <v>1658</v>
      </c>
      <c r="B2096" t="s">
        <v>1275</v>
      </c>
      <c r="C2096" t="s">
        <v>30</v>
      </c>
      <c r="D2096" t="s">
        <v>1276</v>
      </c>
      <c r="E2096" t="s">
        <v>197</v>
      </c>
      <c r="F2096">
        <v>4500381405</v>
      </c>
      <c r="H2096" t="s">
        <v>12</v>
      </c>
      <c r="I2096" t="s">
        <v>1277</v>
      </c>
      <c r="J2096" t="s">
        <v>197</v>
      </c>
      <c r="K2096">
        <v>3537.51</v>
      </c>
      <c r="L2096" t="s">
        <v>6408</v>
      </c>
      <c r="M2096" t="str" cm="1">
        <f t="array" ref="M2096">INDEX('Org List'!$A$2:$C$1005,MATCH(Consolidated!I2096&amp;Consolidated!J2096,'Org List'!$A$2:$A$1005&amp;'Org List'!$B$2:$B$1005,0),3)</f>
        <v>Red Cross: National</v>
      </c>
    </row>
    <row r="2097" spans="1:13" x14ac:dyDescent="0.25">
      <c r="A2097" t="s">
        <v>1658</v>
      </c>
      <c r="B2097" t="s">
        <v>1275</v>
      </c>
      <c r="C2097" t="s">
        <v>30</v>
      </c>
      <c r="D2097" t="s">
        <v>1276</v>
      </c>
      <c r="E2097" t="s">
        <v>831</v>
      </c>
      <c r="F2097">
        <v>4500403098</v>
      </c>
      <c r="H2097" t="s">
        <v>12</v>
      </c>
      <c r="I2097" t="s">
        <v>870</v>
      </c>
      <c r="J2097" t="s">
        <v>831</v>
      </c>
      <c r="K2097">
        <v>6290.17</v>
      </c>
      <c r="L2097" t="s">
        <v>6408</v>
      </c>
      <c r="M2097" t="str" cm="1">
        <f t="array" ref="M2097">INDEX('Org List'!$A$2:$C$1005,MATCH(Consolidated!I2097&amp;Consolidated!J2097,'Org List'!$A$2:$A$1005&amp;'Org List'!$B$2:$B$1005,0),3)</f>
        <v>NGOs: National</v>
      </c>
    </row>
    <row r="2098" spans="1:13" x14ac:dyDescent="0.25">
      <c r="A2098" t="s">
        <v>1658</v>
      </c>
      <c r="B2098" t="s">
        <v>1275</v>
      </c>
      <c r="C2098" t="s">
        <v>30</v>
      </c>
      <c r="D2098" t="s">
        <v>1276</v>
      </c>
      <c r="E2098" t="s">
        <v>831</v>
      </c>
      <c r="F2098">
        <v>4500417182</v>
      </c>
      <c r="H2098" t="s">
        <v>12</v>
      </c>
      <c r="I2098" t="s">
        <v>870</v>
      </c>
      <c r="J2098" t="s">
        <v>831</v>
      </c>
      <c r="K2098">
        <v>11725.03</v>
      </c>
      <c r="L2098" t="s">
        <v>6408</v>
      </c>
      <c r="M2098" t="str" cm="1">
        <f t="array" ref="M2098">INDEX('Org List'!$A$2:$C$1005,MATCH(Consolidated!I2098&amp;Consolidated!J2098,'Org List'!$A$2:$A$1005&amp;'Org List'!$B$2:$B$1005,0),3)</f>
        <v>NGOs: National</v>
      </c>
    </row>
    <row r="2099" spans="1:13" x14ac:dyDescent="0.25">
      <c r="A2099" t="s">
        <v>1658</v>
      </c>
      <c r="B2099" t="s">
        <v>1275</v>
      </c>
      <c r="C2099" t="s">
        <v>30</v>
      </c>
      <c r="D2099" t="s">
        <v>1276</v>
      </c>
      <c r="E2099" t="s">
        <v>210</v>
      </c>
      <c r="F2099">
        <v>4500385683</v>
      </c>
      <c r="H2099" t="s">
        <v>12</v>
      </c>
      <c r="I2099" t="s">
        <v>468</v>
      </c>
      <c r="J2099" t="s">
        <v>210</v>
      </c>
      <c r="K2099">
        <v>4997.3</v>
      </c>
      <c r="L2099" t="s">
        <v>6408</v>
      </c>
      <c r="M2099" t="str" cm="1">
        <f t="array" ref="M2099">INDEX('Org List'!$A$2:$C$1005,MATCH(Consolidated!I2099&amp;Consolidated!J2099,'Org List'!$A$2:$A$1005&amp;'Org List'!$B$2:$B$1005,0),3)</f>
        <v>NGOs: National</v>
      </c>
    </row>
    <row r="2100" spans="1:13" x14ac:dyDescent="0.25">
      <c r="A2100" t="s">
        <v>1658</v>
      </c>
      <c r="B2100" t="s">
        <v>1275</v>
      </c>
      <c r="C2100" t="s">
        <v>30</v>
      </c>
      <c r="D2100" t="s">
        <v>1276</v>
      </c>
      <c r="E2100" t="s">
        <v>1048</v>
      </c>
      <c r="F2100">
        <v>4500406180</v>
      </c>
      <c r="H2100" t="s">
        <v>12</v>
      </c>
      <c r="I2100" t="s">
        <v>220</v>
      </c>
      <c r="J2100" t="s">
        <v>1048</v>
      </c>
      <c r="K2100">
        <v>11105.99</v>
      </c>
      <c r="L2100" t="s">
        <v>6408</v>
      </c>
      <c r="M2100" t="str" cm="1">
        <f t="array" ref="M2100">INDEX('Org List'!$A$2:$C$1005,MATCH(Consolidated!I2100&amp;Consolidated!J2100,'Org List'!$A$2:$A$1005&amp;'Org List'!$B$2:$B$1005,0),3)</f>
        <v>NGOs: National</v>
      </c>
    </row>
    <row r="2101" spans="1:13" x14ac:dyDescent="0.25">
      <c r="A2101" t="s">
        <v>1658</v>
      </c>
      <c r="B2101" t="s">
        <v>107</v>
      </c>
      <c r="C2101" t="s">
        <v>30</v>
      </c>
      <c r="D2101" t="s">
        <v>1279</v>
      </c>
      <c r="E2101" t="s">
        <v>814</v>
      </c>
      <c r="F2101">
        <v>4500406481</v>
      </c>
      <c r="H2101" t="s">
        <v>12</v>
      </c>
      <c r="I2101" t="s">
        <v>120</v>
      </c>
      <c r="J2101" t="s">
        <v>814</v>
      </c>
      <c r="K2101">
        <v>45569.760000000002</v>
      </c>
      <c r="L2101" t="s">
        <v>6408</v>
      </c>
      <c r="M2101" t="str" cm="1">
        <f t="array" ref="M2101">INDEX('Org List'!$A$2:$C$1005,MATCH(Consolidated!I2101&amp;Consolidated!J2101,'Org List'!$A$2:$A$1005&amp;'Org List'!$B$2:$B$1005,0),3)</f>
        <v>NGOs: International</v>
      </c>
    </row>
    <row r="2102" spans="1:13" x14ac:dyDescent="0.25">
      <c r="A2102" t="s">
        <v>1658</v>
      </c>
      <c r="B2102" t="s">
        <v>107</v>
      </c>
      <c r="C2102" t="s">
        <v>30</v>
      </c>
      <c r="D2102" t="s">
        <v>1279</v>
      </c>
      <c r="E2102" t="s">
        <v>814</v>
      </c>
      <c r="F2102">
        <v>4500406501</v>
      </c>
      <c r="H2102" t="s">
        <v>12</v>
      </c>
      <c r="I2102" t="s">
        <v>116</v>
      </c>
      <c r="J2102" t="s">
        <v>814</v>
      </c>
      <c r="K2102">
        <v>17867.689999999999</v>
      </c>
      <c r="L2102" t="s">
        <v>6408</v>
      </c>
      <c r="M2102" t="str" cm="1">
        <f t="array" ref="M2102">INDEX('Org List'!$A$2:$C$1005,MATCH(Consolidated!I2102&amp;Consolidated!J2102,'Org List'!$A$2:$A$1005&amp;'Org List'!$B$2:$B$1005,0),3)</f>
        <v>NGOs: National</v>
      </c>
    </row>
    <row r="2103" spans="1:13" x14ac:dyDescent="0.25">
      <c r="A2103" t="s">
        <v>1658</v>
      </c>
      <c r="B2103" t="s">
        <v>107</v>
      </c>
      <c r="C2103" t="s">
        <v>30</v>
      </c>
      <c r="D2103" t="s">
        <v>1279</v>
      </c>
      <c r="E2103" t="s">
        <v>814</v>
      </c>
      <c r="F2103">
        <v>4500406517</v>
      </c>
      <c r="H2103" t="s">
        <v>12</v>
      </c>
      <c r="I2103" t="s">
        <v>116</v>
      </c>
      <c r="J2103" t="s">
        <v>814</v>
      </c>
      <c r="K2103">
        <v>21686.28</v>
      </c>
      <c r="L2103" t="s">
        <v>6408</v>
      </c>
      <c r="M2103" t="str" cm="1">
        <f t="array" ref="M2103">INDEX('Org List'!$A$2:$C$1005,MATCH(Consolidated!I2103&amp;Consolidated!J2103,'Org List'!$A$2:$A$1005&amp;'Org List'!$B$2:$B$1005,0),3)</f>
        <v>NGOs: National</v>
      </c>
    </row>
    <row r="2104" spans="1:13" x14ac:dyDescent="0.25">
      <c r="A2104" t="s">
        <v>1658</v>
      </c>
      <c r="B2104" t="s">
        <v>107</v>
      </c>
      <c r="C2104" t="s">
        <v>30</v>
      </c>
      <c r="D2104" t="s">
        <v>1279</v>
      </c>
      <c r="E2104" t="s">
        <v>814</v>
      </c>
      <c r="F2104">
        <v>4500408333</v>
      </c>
      <c r="H2104" t="s">
        <v>12</v>
      </c>
      <c r="I2104" t="s">
        <v>117</v>
      </c>
      <c r="J2104" t="s">
        <v>814</v>
      </c>
      <c r="K2104">
        <v>38464.53</v>
      </c>
      <c r="L2104" t="s">
        <v>6408</v>
      </c>
      <c r="M2104" t="str" cm="1">
        <f t="array" ref="M2104">INDEX('Org List'!$A$2:$C$1005,MATCH(Consolidated!I2104&amp;Consolidated!J2104,'Org List'!$A$2:$A$1005&amp;'Org List'!$B$2:$B$1005,0),3)</f>
        <v>NGOs: National</v>
      </c>
    </row>
    <row r="2105" spans="1:13" x14ac:dyDescent="0.25">
      <c r="A2105" t="s">
        <v>1658</v>
      </c>
      <c r="B2105" t="s">
        <v>107</v>
      </c>
      <c r="C2105" t="s">
        <v>30</v>
      </c>
      <c r="D2105" t="s">
        <v>1279</v>
      </c>
      <c r="E2105" t="s">
        <v>814</v>
      </c>
      <c r="F2105">
        <v>4500408380</v>
      </c>
      <c r="H2105" t="s">
        <v>12</v>
      </c>
      <c r="I2105" t="s">
        <v>112</v>
      </c>
      <c r="J2105" t="s">
        <v>814</v>
      </c>
      <c r="K2105">
        <v>28038.87</v>
      </c>
      <c r="L2105" t="s">
        <v>6408</v>
      </c>
      <c r="M2105" t="str" cm="1">
        <f t="array" ref="M2105">INDEX('Org List'!$A$2:$C$1005,MATCH(Consolidated!I2105&amp;Consolidated!J2105,'Org List'!$A$2:$A$1005&amp;'Org List'!$B$2:$B$1005,0),3)</f>
        <v>NGOs: National</v>
      </c>
    </row>
    <row r="2106" spans="1:13" x14ac:dyDescent="0.25">
      <c r="A2106" t="s">
        <v>1658</v>
      </c>
      <c r="B2106" t="s">
        <v>107</v>
      </c>
      <c r="C2106" t="s">
        <v>30</v>
      </c>
      <c r="D2106" t="s">
        <v>1279</v>
      </c>
      <c r="E2106" t="s">
        <v>814</v>
      </c>
      <c r="F2106">
        <v>4500408390</v>
      </c>
      <c r="H2106" t="s">
        <v>12</v>
      </c>
      <c r="I2106" t="s">
        <v>113</v>
      </c>
      <c r="J2106" t="s">
        <v>814</v>
      </c>
      <c r="K2106">
        <v>18973.89</v>
      </c>
      <c r="L2106" t="s">
        <v>6408</v>
      </c>
      <c r="M2106" t="str" cm="1">
        <f t="array" ref="M2106">INDEX('Org List'!$A$2:$C$1005,MATCH(Consolidated!I2106&amp;Consolidated!J2106,'Org List'!$A$2:$A$1005&amp;'Org List'!$B$2:$B$1005,0),3)</f>
        <v>NGOs: National</v>
      </c>
    </row>
    <row r="2107" spans="1:13" x14ac:dyDescent="0.25">
      <c r="A2107" t="s">
        <v>1658</v>
      </c>
      <c r="B2107" t="s">
        <v>121</v>
      </c>
      <c r="C2107" t="s">
        <v>30</v>
      </c>
      <c r="D2107" t="s">
        <v>122</v>
      </c>
      <c r="E2107" t="s">
        <v>123</v>
      </c>
      <c r="F2107">
        <v>4500414016</v>
      </c>
      <c r="H2107" t="s">
        <v>12</v>
      </c>
      <c r="I2107" t="s">
        <v>124</v>
      </c>
      <c r="J2107" t="s">
        <v>123</v>
      </c>
      <c r="K2107">
        <v>51971.5</v>
      </c>
      <c r="L2107" t="s">
        <v>6408</v>
      </c>
      <c r="M2107" t="str" cm="1">
        <f t="array" ref="M2107">INDEX('Org List'!$A$2:$C$1005,MATCH(Consolidated!I2107&amp;Consolidated!J2107,'Org List'!$A$2:$A$1005&amp;'Org List'!$B$2:$B$1005,0),3)</f>
        <v>NGOs: National</v>
      </c>
    </row>
    <row r="2108" spans="1:13" x14ac:dyDescent="0.25">
      <c r="A2108" t="s">
        <v>1658</v>
      </c>
      <c r="B2108" t="s">
        <v>121</v>
      </c>
      <c r="C2108" t="s">
        <v>30</v>
      </c>
      <c r="D2108" t="s">
        <v>122</v>
      </c>
      <c r="E2108" t="s">
        <v>123</v>
      </c>
      <c r="F2108">
        <v>4500417820</v>
      </c>
      <c r="H2108" t="s">
        <v>12</v>
      </c>
      <c r="I2108" t="s">
        <v>1280</v>
      </c>
      <c r="J2108" t="s">
        <v>123</v>
      </c>
      <c r="K2108">
        <v>32394.35</v>
      </c>
      <c r="L2108" t="s">
        <v>6408</v>
      </c>
      <c r="M2108" t="str" cm="1">
        <f t="array" ref="M2108">INDEX('Org List'!$A$2:$C$1005,MATCH(Consolidated!I2108&amp;Consolidated!J2108,'Org List'!$A$2:$A$1005&amp;'Org List'!$B$2:$B$1005,0),3)</f>
        <v>NGOs: International</v>
      </c>
    </row>
    <row r="2109" spans="1:13" x14ac:dyDescent="0.25">
      <c r="A2109" t="s">
        <v>1658</v>
      </c>
      <c r="B2109" t="s">
        <v>722</v>
      </c>
      <c r="C2109" t="s">
        <v>30</v>
      </c>
      <c r="D2109" t="s">
        <v>723</v>
      </c>
      <c r="E2109" t="s">
        <v>717</v>
      </c>
      <c r="F2109">
        <v>4500411900</v>
      </c>
      <c r="H2109" t="s">
        <v>713</v>
      </c>
      <c r="I2109" t="s">
        <v>1283</v>
      </c>
      <c r="J2109" t="s">
        <v>717</v>
      </c>
      <c r="K2109">
        <v>58806.61</v>
      </c>
      <c r="L2109" t="s">
        <v>6408</v>
      </c>
      <c r="M2109" t="str" cm="1">
        <f t="array" ref="M2109">INDEX('Org List'!$A$2:$C$1005,MATCH(Consolidated!I2109&amp;Consolidated!J2109,'Org List'!$A$2:$A$1005&amp;'Org List'!$B$2:$B$1005,0),3)</f>
        <v>NGOs: National</v>
      </c>
    </row>
    <row r="2110" spans="1:13" x14ac:dyDescent="0.25">
      <c r="A2110" t="s">
        <v>1658</v>
      </c>
      <c r="B2110" t="s">
        <v>1288</v>
      </c>
      <c r="C2110" t="s">
        <v>30</v>
      </c>
      <c r="D2110" t="s">
        <v>1289</v>
      </c>
      <c r="E2110" t="s">
        <v>54</v>
      </c>
      <c r="F2110">
        <v>4500384045</v>
      </c>
      <c r="H2110" t="s">
        <v>12</v>
      </c>
      <c r="I2110" t="s">
        <v>1290</v>
      </c>
      <c r="J2110" t="s">
        <v>54</v>
      </c>
      <c r="K2110">
        <v>117866.67</v>
      </c>
      <c r="L2110" t="s">
        <v>6408</v>
      </c>
      <c r="M2110" t="str" cm="1">
        <f t="array" ref="M2110">INDEX('Org List'!$A$2:$C$1005,MATCH(Consolidated!I2110&amp;Consolidated!J2110,'Org List'!$A$2:$A$1005&amp;'Org List'!$B$2:$B$1005,0),3)</f>
        <v>NGOs: National</v>
      </c>
    </row>
    <row r="2111" spans="1:13" x14ac:dyDescent="0.25">
      <c r="A2111" t="s">
        <v>1658</v>
      </c>
      <c r="B2111" t="s">
        <v>1288</v>
      </c>
      <c r="C2111" t="s">
        <v>30</v>
      </c>
      <c r="D2111" t="s">
        <v>1289</v>
      </c>
      <c r="E2111" t="s">
        <v>54</v>
      </c>
      <c r="F2111">
        <v>4500406562</v>
      </c>
      <c r="H2111" t="s">
        <v>12</v>
      </c>
      <c r="I2111" t="s">
        <v>1291</v>
      </c>
      <c r="J2111" t="s">
        <v>54</v>
      </c>
      <c r="K2111">
        <v>128490.41</v>
      </c>
      <c r="L2111" t="s">
        <v>6408</v>
      </c>
      <c r="M2111" t="str" cm="1">
        <f t="array" ref="M2111">INDEX('Org List'!$A$2:$C$1005,MATCH(Consolidated!I2111&amp;Consolidated!J2111,'Org List'!$A$2:$A$1005&amp;'Org List'!$B$2:$B$1005,0),3)</f>
        <v>NGOs: National</v>
      </c>
    </row>
    <row r="2112" spans="1:13" x14ac:dyDescent="0.25">
      <c r="A2112" t="s">
        <v>1658</v>
      </c>
      <c r="B2112" t="s">
        <v>1288</v>
      </c>
      <c r="C2112" t="s">
        <v>30</v>
      </c>
      <c r="D2112" t="s">
        <v>1289</v>
      </c>
      <c r="E2112" t="s">
        <v>54</v>
      </c>
      <c r="F2112">
        <v>4500406599</v>
      </c>
      <c r="H2112" t="s">
        <v>12</v>
      </c>
      <c r="I2112" t="s">
        <v>1292</v>
      </c>
      <c r="J2112" t="s">
        <v>54</v>
      </c>
      <c r="K2112">
        <v>84200.39</v>
      </c>
      <c r="L2112" t="s">
        <v>6408</v>
      </c>
      <c r="M2112" t="str" cm="1">
        <f t="array" ref="M2112">INDEX('Org List'!$A$2:$C$1005,MATCH(Consolidated!I2112&amp;Consolidated!J2112,'Org List'!$A$2:$A$1005&amp;'Org List'!$B$2:$B$1005,0),3)</f>
        <v>NGOs: National</v>
      </c>
    </row>
    <row r="2113" spans="1:13" x14ac:dyDescent="0.25">
      <c r="A2113" t="s">
        <v>1658</v>
      </c>
      <c r="B2113" t="s">
        <v>1288</v>
      </c>
      <c r="C2113" t="s">
        <v>30</v>
      </c>
      <c r="D2113" t="s">
        <v>1289</v>
      </c>
      <c r="E2113" t="s">
        <v>54</v>
      </c>
      <c r="F2113">
        <v>4500420524</v>
      </c>
      <c r="H2113" t="s">
        <v>12</v>
      </c>
      <c r="I2113" t="s">
        <v>277</v>
      </c>
      <c r="J2113" t="s">
        <v>54</v>
      </c>
      <c r="K2113">
        <v>89969.600000000006</v>
      </c>
      <c r="L2113" t="s">
        <v>6408</v>
      </c>
      <c r="M2113" t="str" cm="1">
        <f t="array" ref="M2113">INDEX('Org List'!$A$2:$C$1005,MATCH(Consolidated!I2113&amp;Consolidated!J2113,'Org List'!$A$2:$A$1005&amp;'Org List'!$B$2:$B$1005,0),3)</f>
        <v>NGOs: National</v>
      </c>
    </row>
    <row r="2114" spans="1:13" x14ac:dyDescent="0.25">
      <c r="A2114" t="s">
        <v>1658</v>
      </c>
      <c r="B2114" t="s">
        <v>1288</v>
      </c>
      <c r="C2114" t="s">
        <v>30</v>
      </c>
      <c r="D2114" t="s">
        <v>1289</v>
      </c>
      <c r="E2114" t="s">
        <v>54</v>
      </c>
      <c r="F2114">
        <v>4500421002</v>
      </c>
      <c r="H2114" t="s">
        <v>12</v>
      </c>
      <c r="I2114" t="s">
        <v>1254</v>
      </c>
      <c r="J2114" t="s">
        <v>54</v>
      </c>
      <c r="K2114">
        <v>47692</v>
      </c>
      <c r="L2114" t="s">
        <v>6408</v>
      </c>
      <c r="M2114" t="str" cm="1">
        <f t="array" ref="M2114">INDEX('Org List'!$A$2:$C$1005,MATCH(Consolidated!I2114&amp;Consolidated!J2114,'Org List'!$A$2:$A$1005&amp;'Org List'!$B$2:$B$1005,0),3)</f>
        <v>NGOs: International</v>
      </c>
    </row>
    <row r="2115" spans="1:13" x14ac:dyDescent="0.25">
      <c r="A2115" t="s">
        <v>1658</v>
      </c>
      <c r="B2115" t="s">
        <v>1293</v>
      </c>
      <c r="C2115" t="s">
        <v>30</v>
      </c>
      <c r="D2115" t="s">
        <v>1294</v>
      </c>
      <c r="E2115" t="s">
        <v>123</v>
      </c>
      <c r="F2115">
        <v>4500413877</v>
      </c>
      <c r="H2115" t="s">
        <v>12</v>
      </c>
      <c r="I2115" t="s">
        <v>1295</v>
      </c>
      <c r="J2115" t="s">
        <v>123</v>
      </c>
      <c r="K2115">
        <v>140000</v>
      </c>
      <c r="L2115" t="s">
        <v>6408</v>
      </c>
      <c r="M2115" t="str" cm="1">
        <f t="array" ref="M2115">INDEX('Org List'!$A$2:$C$1005,MATCH(Consolidated!I2115&amp;Consolidated!J2115,'Org List'!$A$2:$A$1005&amp;'Org List'!$B$2:$B$1005,0),3)</f>
        <v>NGOs: National</v>
      </c>
    </row>
    <row r="2116" spans="1:13" x14ac:dyDescent="0.25">
      <c r="A2116" t="s">
        <v>1658</v>
      </c>
      <c r="B2116" t="s">
        <v>1293</v>
      </c>
      <c r="C2116" t="s">
        <v>30</v>
      </c>
      <c r="D2116" t="s">
        <v>1294</v>
      </c>
      <c r="E2116" t="s">
        <v>123</v>
      </c>
      <c r="F2116">
        <v>4500413886</v>
      </c>
      <c r="H2116" t="s">
        <v>12</v>
      </c>
      <c r="I2116" t="s">
        <v>1296</v>
      </c>
      <c r="J2116" t="s">
        <v>123</v>
      </c>
      <c r="K2116">
        <v>140000</v>
      </c>
      <c r="L2116" t="s">
        <v>6408</v>
      </c>
      <c r="M2116" t="str" cm="1">
        <f t="array" ref="M2116">INDEX('Org List'!$A$2:$C$1005,MATCH(Consolidated!I2116&amp;Consolidated!J2116,'Org List'!$A$2:$A$1005&amp;'Org List'!$B$2:$B$1005,0),3)</f>
        <v>NGOs: National</v>
      </c>
    </row>
    <row r="2117" spans="1:13" x14ac:dyDescent="0.25">
      <c r="A2117" t="s">
        <v>1658</v>
      </c>
      <c r="B2117" t="s">
        <v>1297</v>
      </c>
      <c r="C2117" t="s">
        <v>30</v>
      </c>
      <c r="D2117" t="s">
        <v>1298</v>
      </c>
      <c r="E2117" t="s">
        <v>239</v>
      </c>
      <c r="F2117">
        <v>4500421106</v>
      </c>
      <c r="H2117" t="s">
        <v>12</v>
      </c>
      <c r="I2117" t="s">
        <v>888</v>
      </c>
      <c r="J2117" t="s">
        <v>239</v>
      </c>
      <c r="K2117">
        <v>50355.96</v>
      </c>
      <c r="L2117" t="s">
        <v>6408</v>
      </c>
      <c r="M2117" t="str" cm="1">
        <f t="array" ref="M2117">INDEX('Org List'!$A$2:$C$1005,MATCH(Consolidated!I2117&amp;Consolidated!J2117,'Org List'!$A$2:$A$1005&amp;'Org List'!$B$2:$B$1005,0),3)</f>
        <v>NGOs: National</v>
      </c>
    </row>
    <row r="2118" spans="1:13" x14ac:dyDescent="0.25">
      <c r="A2118" t="s">
        <v>1658</v>
      </c>
      <c r="B2118" t="s">
        <v>130</v>
      </c>
      <c r="C2118" t="s">
        <v>30</v>
      </c>
      <c r="D2118" t="s">
        <v>131</v>
      </c>
      <c r="E2118" t="s">
        <v>132</v>
      </c>
      <c r="F2118">
        <v>4500417477</v>
      </c>
      <c r="H2118" t="s">
        <v>12</v>
      </c>
      <c r="I2118" t="s">
        <v>1299</v>
      </c>
      <c r="J2118" t="s">
        <v>132</v>
      </c>
      <c r="K2118">
        <v>138985.57999999999</v>
      </c>
      <c r="L2118" t="s">
        <v>6408</v>
      </c>
      <c r="M2118" t="str" cm="1">
        <f t="array" ref="M2118">INDEX('Org List'!$A$2:$C$1005,MATCH(Consolidated!I2118&amp;Consolidated!J2118,'Org List'!$A$2:$A$1005&amp;'Org List'!$B$2:$B$1005,0),3)</f>
        <v>NGOs: Local</v>
      </c>
    </row>
    <row r="2119" spans="1:13" x14ac:dyDescent="0.25">
      <c r="A2119" t="s">
        <v>1658</v>
      </c>
      <c r="B2119" t="s">
        <v>130</v>
      </c>
      <c r="C2119" t="s">
        <v>30</v>
      </c>
      <c r="D2119" t="s">
        <v>131</v>
      </c>
      <c r="E2119" t="s">
        <v>132</v>
      </c>
      <c r="F2119">
        <v>4500424432</v>
      </c>
      <c r="H2119" t="s">
        <v>12</v>
      </c>
      <c r="I2119" t="s">
        <v>1300</v>
      </c>
      <c r="J2119" t="s">
        <v>132</v>
      </c>
      <c r="K2119">
        <v>293005.51</v>
      </c>
      <c r="L2119" t="s">
        <v>6408</v>
      </c>
      <c r="M2119" t="str" cm="1">
        <f t="array" ref="M2119">INDEX('Org List'!$A$2:$C$1005,MATCH(Consolidated!I2119&amp;Consolidated!J2119,'Org List'!$A$2:$A$1005&amp;'Org List'!$B$2:$B$1005,0),3)</f>
        <v>NGOs: Internationally affiliated</v>
      </c>
    </row>
    <row r="2120" spans="1:13" x14ac:dyDescent="0.25">
      <c r="A2120" t="s">
        <v>1658</v>
      </c>
      <c r="B2120" t="s">
        <v>130</v>
      </c>
      <c r="C2120" t="s">
        <v>30</v>
      </c>
      <c r="D2120" t="s">
        <v>131</v>
      </c>
      <c r="E2120" t="s">
        <v>132</v>
      </c>
      <c r="F2120">
        <v>4500426447</v>
      </c>
      <c r="H2120" t="s">
        <v>12</v>
      </c>
      <c r="I2120" t="s">
        <v>1301</v>
      </c>
      <c r="J2120" t="s">
        <v>132</v>
      </c>
      <c r="K2120">
        <v>115906.83</v>
      </c>
      <c r="L2120" t="s">
        <v>6408</v>
      </c>
      <c r="M2120" t="str" cm="1">
        <f t="array" ref="M2120">INDEX('Org List'!$A$2:$C$1005,MATCH(Consolidated!I2120&amp;Consolidated!J2120,'Org List'!$A$2:$A$1005&amp;'Org List'!$B$2:$B$1005,0),3)</f>
        <v>NGOs: National</v>
      </c>
    </row>
    <row r="2121" spans="1:13" x14ac:dyDescent="0.25">
      <c r="A2121" t="s">
        <v>1658</v>
      </c>
      <c r="B2121" t="s">
        <v>822</v>
      </c>
      <c r="C2121" t="s">
        <v>30</v>
      </c>
      <c r="D2121" t="s">
        <v>823</v>
      </c>
      <c r="E2121" t="s">
        <v>356</v>
      </c>
      <c r="F2121">
        <v>4500393814</v>
      </c>
      <c r="H2121" t="s">
        <v>12</v>
      </c>
      <c r="I2121" t="s">
        <v>1306</v>
      </c>
      <c r="J2121" t="s">
        <v>356</v>
      </c>
      <c r="K2121">
        <v>18500</v>
      </c>
      <c r="L2121" t="s">
        <v>6408</v>
      </c>
      <c r="M2121" t="str" cm="1">
        <f t="array" ref="M2121">INDEX('Org List'!$A$2:$C$1005,MATCH(Consolidated!I2121&amp;Consolidated!J2121,'Org List'!$A$2:$A$1005&amp;'Org List'!$B$2:$B$1005,0),3)</f>
        <v>NGOs: National</v>
      </c>
    </row>
    <row r="2122" spans="1:13" x14ac:dyDescent="0.25">
      <c r="A2122" t="s">
        <v>1658</v>
      </c>
      <c r="B2122" t="s">
        <v>822</v>
      </c>
      <c r="C2122" t="s">
        <v>30</v>
      </c>
      <c r="D2122" t="s">
        <v>823</v>
      </c>
      <c r="E2122" t="s">
        <v>356</v>
      </c>
      <c r="F2122">
        <v>4500409559</v>
      </c>
      <c r="H2122" t="s">
        <v>12</v>
      </c>
      <c r="I2122" t="s">
        <v>1307</v>
      </c>
      <c r="J2122" t="s">
        <v>356</v>
      </c>
      <c r="K2122">
        <v>150000</v>
      </c>
      <c r="L2122" t="s">
        <v>6408</v>
      </c>
      <c r="M2122" t="str" cm="1">
        <f t="array" ref="M2122">INDEX('Org List'!$A$2:$C$1005,MATCH(Consolidated!I2122&amp;Consolidated!J2122,'Org List'!$A$2:$A$1005&amp;'Org List'!$B$2:$B$1005,0),3)</f>
        <v>NGOs: National</v>
      </c>
    </row>
    <row r="2123" spans="1:13" x14ac:dyDescent="0.25">
      <c r="A2123" t="s">
        <v>1658</v>
      </c>
      <c r="B2123" t="s">
        <v>822</v>
      </c>
      <c r="C2123" t="s">
        <v>30</v>
      </c>
      <c r="D2123" t="s">
        <v>823</v>
      </c>
      <c r="E2123" t="s">
        <v>356</v>
      </c>
      <c r="F2123">
        <v>4500410412</v>
      </c>
      <c r="H2123" t="s">
        <v>12</v>
      </c>
      <c r="I2123" t="s">
        <v>357</v>
      </c>
      <c r="J2123" t="s">
        <v>356</v>
      </c>
      <c r="K2123">
        <v>133569</v>
      </c>
      <c r="L2123" t="s">
        <v>6408</v>
      </c>
      <c r="M2123" t="str" cm="1">
        <f t="array" ref="M2123">INDEX('Org List'!$A$2:$C$1005,MATCH(Consolidated!I2123&amp;Consolidated!J2123,'Org List'!$A$2:$A$1005&amp;'Org List'!$B$2:$B$1005,0),3)</f>
        <v>NGOs: National</v>
      </c>
    </row>
    <row r="2124" spans="1:13" x14ac:dyDescent="0.25">
      <c r="A2124" t="s">
        <v>1658</v>
      </c>
      <c r="B2124" t="s">
        <v>822</v>
      </c>
      <c r="C2124" t="s">
        <v>30</v>
      </c>
      <c r="D2124" t="s">
        <v>823</v>
      </c>
      <c r="E2124" t="s">
        <v>356</v>
      </c>
      <c r="F2124">
        <v>4500412643</v>
      </c>
      <c r="H2124" t="s">
        <v>12</v>
      </c>
      <c r="I2124" t="s">
        <v>1308</v>
      </c>
      <c r="J2124" t="s">
        <v>356</v>
      </c>
      <c r="K2124">
        <v>215351</v>
      </c>
      <c r="L2124" t="s">
        <v>6408</v>
      </c>
      <c r="M2124" t="str" cm="1">
        <f t="array" ref="M2124">INDEX('Org List'!$A$2:$C$1005,MATCH(Consolidated!I2124&amp;Consolidated!J2124,'Org List'!$A$2:$A$1005&amp;'Org List'!$B$2:$B$1005,0),3)</f>
        <v>NGOs: National</v>
      </c>
    </row>
    <row r="2125" spans="1:13" x14ac:dyDescent="0.25">
      <c r="A2125" t="s">
        <v>1658</v>
      </c>
      <c r="B2125" t="s">
        <v>822</v>
      </c>
      <c r="C2125" t="s">
        <v>30</v>
      </c>
      <c r="D2125" t="s">
        <v>823</v>
      </c>
      <c r="E2125" t="s">
        <v>356</v>
      </c>
      <c r="F2125">
        <v>4500413963</v>
      </c>
      <c r="H2125" t="s">
        <v>12</v>
      </c>
      <c r="I2125" t="s">
        <v>1309</v>
      </c>
      <c r="J2125" t="s">
        <v>356</v>
      </c>
      <c r="K2125">
        <v>178730</v>
      </c>
      <c r="L2125" t="s">
        <v>6408</v>
      </c>
      <c r="M2125" t="str" cm="1">
        <f t="array" ref="M2125">INDEX('Org List'!$A$2:$C$1005,MATCH(Consolidated!I2125&amp;Consolidated!J2125,'Org List'!$A$2:$A$1005&amp;'Org List'!$B$2:$B$1005,0),3)</f>
        <v>NGOs: National</v>
      </c>
    </row>
    <row r="2126" spans="1:13" x14ac:dyDescent="0.25">
      <c r="A2126" t="s">
        <v>1658</v>
      </c>
      <c r="B2126" t="s">
        <v>822</v>
      </c>
      <c r="C2126" t="s">
        <v>30</v>
      </c>
      <c r="D2126" t="s">
        <v>823</v>
      </c>
      <c r="E2126" t="s">
        <v>356</v>
      </c>
      <c r="F2126">
        <v>4500423239</v>
      </c>
      <c r="H2126" t="s">
        <v>12</v>
      </c>
      <c r="I2126" t="s">
        <v>1310</v>
      </c>
      <c r="J2126" t="s">
        <v>356</v>
      </c>
      <c r="K2126">
        <v>118748</v>
      </c>
      <c r="L2126" t="s">
        <v>6408</v>
      </c>
      <c r="M2126" t="str" cm="1">
        <f t="array" ref="M2126">INDEX('Org List'!$A$2:$C$1005,MATCH(Consolidated!I2126&amp;Consolidated!J2126,'Org List'!$A$2:$A$1005&amp;'Org List'!$B$2:$B$1005,0),3)</f>
        <v>NGOs: National</v>
      </c>
    </row>
    <row r="2127" spans="1:13" x14ac:dyDescent="0.25">
      <c r="A2127" t="s">
        <v>1658</v>
      </c>
      <c r="B2127" t="s">
        <v>822</v>
      </c>
      <c r="C2127" t="s">
        <v>30</v>
      </c>
      <c r="D2127" t="s">
        <v>823</v>
      </c>
      <c r="E2127" t="s">
        <v>356</v>
      </c>
      <c r="F2127">
        <v>4500424452</v>
      </c>
      <c r="H2127" t="s">
        <v>12</v>
      </c>
      <c r="I2127" t="s">
        <v>1311</v>
      </c>
      <c r="J2127" t="s">
        <v>356</v>
      </c>
      <c r="K2127">
        <v>97526</v>
      </c>
      <c r="L2127" t="s">
        <v>6408</v>
      </c>
      <c r="M2127" t="str" cm="1">
        <f t="array" ref="M2127">INDEX('Org List'!$A$2:$C$1005,MATCH(Consolidated!I2127&amp;Consolidated!J2127,'Org List'!$A$2:$A$1005&amp;'Org List'!$B$2:$B$1005,0),3)</f>
        <v>NGOs: International</v>
      </c>
    </row>
    <row r="2128" spans="1:13" x14ac:dyDescent="0.25">
      <c r="A2128" t="s">
        <v>1658</v>
      </c>
      <c r="B2128" t="s">
        <v>822</v>
      </c>
      <c r="C2128" t="s">
        <v>30</v>
      </c>
      <c r="D2128" t="s">
        <v>823</v>
      </c>
      <c r="E2128" t="s">
        <v>356</v>
      </c>
      <c r="F2128">
        <v>4500424457</v>
      </c>
      <c r="H2128" t="s">
        <v>12</v>
      </c>
      <c r="I2128" t="s">
        <v>1312</v>
      </c>
      <c r="J2128" t="s">
        <v>356</v>
      </c>
      <c r="K2128">
        <v>204203</v>
      </c>
      <c r="L2128" t="s">
        <v>6408</v>
      </c>
      <c r="M2128" t="str" cm="1">
        <f t="array" ref="M2128">INDEX('Org List'!$A$2:$C$1005,MATCH(Consolidated!I2128&amp;Consolidated!J2128,'Org List'!$A$2:$A$1005&amp;'Org List'!$B$2:$B$1005,0),3)</f>
        <v>NGOs: Local</v>
      </c>
    </row>
    <row r="2129" spans="1:13" x14ac:dyDescent="0.25">
      <c r="A2129" t="s">
        <v>1658</v>
      </c>
      <c r="B2129" t="s">
        <v>822</v>
      </c>
      <c r="C2129" t="s">
        <v>30</v>
      </c>
      <c r="D2129" t="s">
        <v>823</v>
      </c>
      <c r="E2129" t="s">
        <v>356</v>
      </c>
      <c r="F2129">
        <v>4500426794</v>
      </c>
      <c r="H2129" t="s">
        <v>12</v>
      </c>
      <c r="I2129" t="s">
        <v>1313</v>
      </c>
      <c r="J2129" t="s">
        <v>356</v>
      </c>
      <c r="K2129">
        <v>168647</v>
      </c>
      <c r="L2129" t="s">
        <v>6408</v>
      </c>
      <c r="M2129" t="str" cm="1">
        <f t="array" ref="M2129">INDEX('Org List'!$A$2:$C$1005,MATCH(Consolidated!I2129&amp;Consolidated!J2129,'Org List'!$A$2:$A$1005&amp;'Org List'!$B$2:$B$1005,0),3)</f>
        <v>NGOs: National</v>
      </c>
    </row>
    <row r="2130" spans="1:13" x14ac:dyDescent="0.25">
      <c r="A2130" t="s">
        <v>1658</v>
      </c>
      <c r="B2130" t="s">
        <v>822</v>
      </c>
      <c r="C2130" t="s">
        <v>30</v>
      </c>
      <c r="D2130" t="s">
        <v>823</v>
      </c>
      <c r="E2130" t="s">
        <v>356</v>
      </c>
      <c r="F2130">
        <v>4500426844</v>
      </c>
      <c r="H2130" t="s">
        <v>12</v>
      </c>
      <c r="I2130" t="s">
        <v>1306</v>
      </c>
      <c r="J2130" t="s">
        <v>356</v>
      </c>
      <c r="K2130">
        <v>148577</v>
      </c>
      <c r="L2130" t="s">
        <v>6408</v>
      </c>
      <c r="M2130" t="str" cm="1">
        <f t="array" ref="M2130">INDEX('Org List'!$A$2:$C$1005,MATCH(Consolidated!I2130&amp;Consolidated!J2130,'Org List'!$A$2:$A$1005&amp;'Org List'!$B$2:$B$1005,0),3)</f>
        <v>NGOs: National</v>
      </c>
    </row>
    <row r="2131" spans="1:13" x14ac:dyDescent="0.25">
      <c r="A2131" t="s">
        <v>1658</v>
      </c>
      <c r="B2131" t="s">
        <v>822</v>
      </c>
      <c r="C2131" t="s">
        <v>30</v>
      </c>
      <c r="D2131" t="s">
        <v>823</v>
      </c>
      <c r="E2131" t="s">
        <v>356</v>
      </c>
      <c r="F2131">
        <v>4500428785</v>
      </c>
      <c r="H2131" t="s">
        <v>12</v>
      </c>
      <c r="I2131" t="s">
        <v>1314</v>
      </c>
      <c r="J2131" t="s">
        <v>356</v>
      </c>
      <c r="K2131">
        <v>215406</v>
      </c>
      <c r="L2131" t="s">
        <v>6408</v>
      </c>
      <c r="M2131" t="str" cm="1">
        <f t="array" ref="M2131">INDEX('Org List'!$A$2:$C$1005,MATCH(Consolidated!I2131&amp;Consolidated!J2131,'Org List'!$A$2:$A$1005&amp;'Org List'!$B$2:$B$1005,0),3)</f>
        <v>NGOs: National</v>
      </c>
    </row>
    <row r="2132" spans="1:13" x14ac:dyDescent="0.25">
      <c r="A2132" t="s">
        <v>1658</v>
      </c>
      <c r="B2132" t="s">
        <v>822</v>
      </c>
      <c r="C2132" t="s">
        <v>30</v>
      </c>
      <c r="D2132" t="s">
        <v>823</v>
      </c>
      <c r="E2132" t="s">
        <v>356</v>
      </c>
      <c r="F2132">
        <v>4500429440</v>
      </c>
      <c r="H2132" t="s">
        <v>12</v>
      </c>
      <c r="I2132" t="s">
        <v>1315</v>
      </c>
      <c r="J2132" t="s">
        <v>356</v>
      </c>
      <c r="K2132">
        <v>144709</v>
      </c>
      <c r="L2132" t="s">
        <v>6408</v>
      </c>
      <c r="M2132" t="str" cm="1">
        <f t="array" ref="M2132">INDEX('Org List'!$A$2:$C$1005,MATCH(Consolidated!I2132&amp;Consolidated!J2132,'Org List'!$A$2:$A$1005&amp;'Org List'!$B$2:$B$1005,0),3)</f>
        <v>NGOs: National</v>
      </c>
    </row>
    <row r="2133" spans="1:13" x14ac:dyDescent="0.25">
      <c r="A2133" t="s">
        <v>1658</v>
      </c>
      <c r="B2133" t="s">
        <v>1316</v>
      </c>
      <c r="C2133" t="s">
        <v>30</v>
      </c>
      <c r="D2133" t="s">
        <v>1317</v>
      </c>
      <c r="E2133" t="s">
        <v>320</v>
      </c>
      <c r="F2133">
        <v>4500413002</v>
      </c>
      <c r="H2133" t="s">
        <v>12</v>
      </c>
      <c r="I2133" t="s">
        <v>851</v>
      </c>
      <c r="J2133" t="s">
        <v>320</v>
      </c>
      <c r="K2133">
        <v>6480</v>
      </c>
      <c r="L2133" t="s">
        <v>6408</v>
      </c>
      <c r="M2133" t="str" cm="1">
        <f t="array" ref="M2133">INDEX('Org List'!$A$2:$C$1005,MATCH(Consolidated!I2133&amp;Consolidated!J2133,'Org List'!$A$2:$A$1005&amp;'Org List'!$B$2:$B$1005,0),3)</f>
        <v>NGOs: National</v>
      </c>
    </row>
    <row r="2134" spans="1:13" x14ac:dyDescent="0.25">
      <c r="A2134" t="s">
        <v>1658</v>
      </c>
      <c r="B2134" t="s">
        <v>1318</v>
      </c>
      <c r="C2134" t="s">
        <v>30</v>
      </c>
      <c r="D2134" t="s">
        <v>1319</v>
      </c>
      <c r="E2134" t="s">
        <v>289</v>
      </c>
      <c r="F2134">
        <v>4500410765</v>
      </c>
      <c r="H2134" t="s">
        <v>12</v>
      </c>
      <c r="I2134" t="s">
        <v>1320</v>
      </c>
      <c r="J2134" t="s">
        <v>289</v>
      </c>
      <c r="K2134">
        <v>2776.6</v>
      </c>
      <c r="L2134" t="s">
        <v>6408</v>
      </c>
      <c r="M2134" t="str" cm="1">
        <f t="array" ref="M2134">INDEX('Org List'!$A$2:$C$1005,MATCH(Consolidated!I2134&amp;Consolidated!J2134,'Org List'!$A$2:$A$1005&amp;'Org List'!$B$2:$B$1005,0),3)</f>
        <v>Governments: Local</v>
      </c>
    </row>
    <row r="2135" spans="1:13" x14ac:dyDescent="0.25">
      <c r="A2135" t="s">
        <v>1658</v>
      </c>
      <c r="B2135" t="s">
        <v>1318</v>
      </c>
      <c r="C2135" t="s">
        <v>30</v>
      </c>
      <c r="D2135" t="s">
        <v>1319</v>
      </c>
      <c r="E2135" t="s">
        <v>289</v>
      </c>
      <c r="F2135">
        <v>4500420571</v>
      </c>
      <c r="H2135" t="s">
        <v>12</v>
      </c>
      <c r="I2135" t="s">
        <v>1321</v>
      </c>
      <c r="J2135" t="s">
        <v>289</v>
      </c>
      <c r="K2135">
        <v>1095.5</v>
      </c>
      <c r="L2135" t="s">
        <v>6408</v>
      </c>
      <c r="M2135" t="str" cm="1">
        <f t="array" ref="M2135">INDEX('Org List'!$A$2:$C$1005,MATCH(Consolidated!I2135&amp;Consolidated!J2135,'Org List'!$A$2:$A$1005&amp;'Org List'!$B$2:$B$1005,0),3)</f>
        <v>Governments: Local</v>
      </c>
    </row>
    <row r="2136" spans="1:13" x14ac:dyDescent="0.25">
      <c r="A2136" t="s">
        <v>1658</v>
      </c>
      <c r="B2136" t="s">
        <v>1318</v>
      </c>
      <c r="C2136" t="s">
        <v>30</v>
      </c>
      <c r="D2136" t="s">
        <v>1319</v>
      </c>
      <c r="E2136" t="s">
        <v>289</v>
      </c>
      <c r="F2136">
        <v>4500421289</v>
      </c>
      <c r="H2136" t="s">
        <v>12</v>
      </c>
      <c r="I2136" t="s">
        <v>1322</v>
      </c>
      <c r="J2136" t="s">
        <v>289</v>
      </c>
      <c r="K2136">
        <v>5030.7</v>
      </c>
      <c r="L2136" t="s">
        <v>6408</v>
      </c>
      <c r="M2136" t="str" cm="1">
        <f t="array" ref="M2136">INDEX('Org List'!$A$2:$C$1005,MATCH(Consolidated!I2136&amp;Consolidated!J2136,'Org List'!$A$2:$A$1005&amp;'Org List'!$B$2:$B$1005,0),3)</f>
        <v>Governments: Local</v>
      </c>
    </row>
    <row r="2137" spans="1:13" x14ac:dyDescent="0.25">
      <c r="A2137" t="s">
        <v>1658</v>
      </c>
      <c r="B2137" t="s">
        <v>1318</v>
      </c>
      <c r="C2137" t="s">
        <v>30</v>
      </c>
      <c r="D2137" t="s">
        <v>1319</v>
      </c>
      <c r="E2137" t="s">
        <v>303</v>
      </c>
      <c r="F2137">
        <v>4500384080</v>
      </c>
      <c r="H2137" t="s">
        <v>12</v>
      </c>
      <c r="I2137" t="s">
        <v>374</v>
      </c>
      <c r="J2137" t="s">
        <v>303</v>
      </c>
      <c r="K2137">
        <v>19882.23</v>
      </c>
      <c r="L2137" t="s">
        <v>6408</v>
      </c>
      <c r="M2137" t="str" cm="1">
        <f t="array" ref="M2137">INDEX('Org List'!$A$2:$C$1005,MATCH(Consolidated!I2137&amp;Consolidated!J2137,'Org List'!$A$2:$A$1005&amp;'Org List'!$B$2:$B$1005,0),3)</f>
        <v>NGOs: National</v>
      </c>
    </row>
    <row r="2138" spans="1:13" x14ac:dyDescent="0.25">
      <c r="A2138" t="s">
        <v>1658</v>
      </c>
      <c r="B2138" t="s">
        <v>1318</v>
      </c>
      <c r="C2138" t="s">
        <v>30</v>
      </c>
      <c r="D2138" t="s">
        <v>1319</v>
      </c>
      <c r="E2138" t="s">
        <v>303</v>
      </c>
      <c r="F2138">
        <v>4500415007</v>
      </c>
      <c r="H2138" t="s">
        <v>12</v>
      </c>
      <c r="I2138" t="s">
        <v>1323</v>
      </c>
      <c r="J2138" t="s">
        <v>303</v>
      </c>
      <c r="K2138">
        <v>81846.460000000006</v>
      </c>
      <c r="L2138" t="s">
        <v>6408</v>
      </c>
      <c r="M2138" t="str" cm="1">
        <f t="array" ref="M2138">INDEX('Org List'!$A$2:$C$1005,MATCH(Consolidated!I2138&amp;Consolidated!J2138,'Org List'!$A$2:$A$1005&amp;'Org List'!$B$2:$B$1005,0),3)</f>
        <v>NGOs: National</v>
      </c>
    </row>
    <row r="2139" spans="1:13" x14ac:dyDescent="0.25">
      <c r="A2139" t="s">
        <v>1658</v>
      </c>
      <c r="B2139" t="s">
        <v>1318</v>
      </c>
      <c r="C2139" t="s">
        <v>30</v>
      </c>
      <c r="D2139" t="s">
        <v>1319</v>
      </c>
      <c r="E2139" t="s">
        <v>303</v>
      </c>
      <c r="F2139">
        <v>4500424948</v>
      </c>
      <c r="H2139" t="s">
        <v>12</v>
      </c>
      <c r="I2139" t="s">
        <v>1324</v>
      </c>
      <c r="J2139" t="s">
        <v>303</v>
      </c>
      <c r="K2139">
        <v>69862.63</v>
      </c>
      <c r="L2139" t="s">
        <v>6408</v>
      </c>
      <c r="M2139" t="str" cm="1">
        <f t="array" ref="M2139">INDEX('Org List'!$A$2:$C$1005,MATCH(Consolidated!I2139&amp;Consolidated!J2139,'Org List'!$A$2:$A$1005&amp;'Org List'!$B$2:$B$1005,0),3)</f>
        <v>NGOs: National</v>
      </c>
    </row>
    <row r="2140" spans="1:13" x14ac:dyDescent="0.25">
      <c r="A2140" t="s">
        <v>1658</v>
      </c>
      <c r="B2140" t="s">
        <v>1318</v>
      </c>
      <c r="C2140" t="s">
        <v>30</v>
      </c>
      <c r="D2140" t="s">
        <v>1319</v>
      </c>
      <c r="E2140" t="s">
        <v>903</v>
      </c>
      <c r="F2140">
        <v>4500408744</v>
      </c>
      <c r="H2140" t="s">
        <v>12</v>
      </c>
      <c r="I2140" t="s">
        <v>314</v>
      </c>
      <c r="J2140" t="s">
        <v>903</v>
      </c>
      <c r="K2140">
        <v>59501.5</v>
      </c>
      <c r="L2140" t="s">
        <v>6408</v>
      </c>
      <c r="M2140" t="str" cm="1">
        <f t="array" ref="M2140">INDEX('Org List'!$A$2:$C$1005,MATCH(Consolidated!I2140&amp;Consolidated!J2140,'Org List'!$A$2:$A$1005&amp;'Org List'!$B$2:$B$1005,0),3)</f>
        <v>NGOs: National</v>
      </c>
    </row>
    <row r="2141" spans="1:13" x14ac:dyDescent="0.25">
      <c r="A2141" t="s">
        <v>1658</v>
      </c>
      <c r="B2141" t="s">
        <v>1318</v>
      </c>
      <c r="C2141" t="s">
        <v>30</v>
      </c>
      <c r="D2141" t="s">
        <v>1319</v>
      </c>
      <c r="E2141" t="s">
        <v>903</v>
      </c>
      <c r="F2141">
        <v>4500408749</v>
      </c>
      <c r="H2141" t="s">
        <v>12</v>
      </c>
      <c r="I2141" t="s">
        <v>950</v>
      </c>
      <c r="J2141" t="s">
        <v>903</v>
      </c>
      <c r="K2141">
        <v>67029.19</v>
      </c>
      <c r="L2141" t="s">
        <v>6408</v>
      </c>
      <c r="M2141" t="str" cm="1">
        <f t="array" ref="M2141">INDEX('Org List'!$A$2:$C$1005,MATCH(Consolidated!I2141&amp;Consolidated!J2141,'Org List'!$A$2:$A$1005&amp;'Org List'!$B$2:$B$1005,0),3)</f>
        <v>NGOs: National</v>
      </c>
    </row>
    <row r="2142" spans="1:13" x14ac:dyDescent="0.25">
      <c r="A2142" t="s">
        <v>1658</v>
      </c>
      <c r="B2142" t="s">
        <v>1318</v>
      </c>
      <c r="C2142" t="s">
        <v>30</v>
      </c>
      <c r="D2142" t="s">
        <v>1319</v>
      </c>
      <c r="E2142" t="s">
        <v>903</v>
      </c>
      <c r="F2142">
        <v>4500417054</v>
      </c>
      <c r="H2142" t="s">
        <v>12</v>
      </c>
      <c r="I2142" t="s">
        <v>1325</v>
      </c>
      <c r="J2142" t="s">
        <v>751</v>
      </c>
      <c r="K2142">
        <v>40000</v>
      </c>
      <c r="L2142" t="s">
        <v>6408</v>
      </c>
      <c r="M2142" t="str" cm="1">
        <f t="array" ref="M2142">INDEX('Org List'!$A$2:$C$1005,MATCH(Consolidated!I2142&amp;Consolidated!J2142,'Org List'!$A$2:$A$1005&amp;'Org List'!$B$2:$B$1005,0),3)</f>
        <v>NGOs: International</v>
      </c>
    </row>
    <row r="2143" spans="1:13" x14ac:dyDescent="0.25">
      <c r="A2143" t="s">
        <v>1658</v>
      </c>
      <c r="B2143" t="s">
        <v>1318</v>
      </c>
      <c r="C2143" t="s">
        <v>30</v>
      </c>
      <c r="D2143" t="s">
        <v>1319</v>
      </c>
      <c r="E2143" t="s">
        <v>305</v>
      </c>
      <c r="F2143">
        <v>4500382894</v>
      </c>
      <c r="H2143" t="s">
        <v>12</v>
      </c>
      <c r="I2143" t="s">
        <v>904</v>
      </c>
      <c r="J2143" t="s">
        <v>305</v>
      </c>
      <c r="K2143">
        <v>25570.66</v>
      </c>
      <c r="L2143" t="s">
        <v>6408</v>
      </c>
      <c r="M2143" t="str" cm="1">
        <f t="array" ref="M2143">INDEX('Org List'!$A$2:$C$1005,MATCH(Consolidated!I2143&amp;Consolidated!J2143,'Org List'!$A$2:$A$1005&amp;'Org List'!$B$2:$B$1005,0),3)</f>
        <v>NGOs: National</v>
      </c>
    </row>
    <row r="2144" spans="1:13" x14ac:dyDescent="0.25">
      <c r="A2144" t="s">
        <v>1658</v>
      </c>
      <c r="B2144" t="s">
        <v>1318</v>
      </c>
      <c r="C2144" t="s">
        <v>30</v>
      </c>
      <c r="D2144" t="s">
        <v>1319</v>
      </c>
      <c r="E2144" t="s">
        <v>305</v>
      </c>
      <c r="F2144">
        <v>4500393088</v>
      </c>
      <c r="H2144" t="s">
        <v>12</v>
      </c>
      <c r="I2144" t="s">
        <v>1326</v>
      </c>
      <c r="J2144" t="s">
        <v>305</v>
      </c>
      <c r="K2144">
        <v>6225.1</v>
      </c>
      <c r="L2144" t="s">
        <v>6408</v>
      </c>
      <c r="M2144" t="str" cm="1">
        <f t="array" ref="M2144">INDEX('Org List'!$A$2:$C$1005,MATCH(Consolidated!I2144&amp;Consolidated!J2144,'Org List'!$A$2:$A$1005&amp;'Org List'!$B$2:$B$1005,0),3)</f>
        <v>NGOs: National</v>
      </c>
    </row>
    <row r="2145" spans="1:13" x14ac:dyDescent="0.25">
      <c r="A2145" t="s">
        <v>1658</v>
      </c>
      <c r="B2145" t="s">
        <v>1318</v>
      </c>
      <c r="C2145" t="s">
        <v>30</v>
      </c>
      <c r="D2145" t="s">
        <v>1319</v>
      </c>
      <c r="E2145" t="s">
        <v>305</v>
      </c>
      <c r="F2145">
        <v>4500400060</v>
      </c>
      <c r="H2145" t="s">
        <v>12</v>
      </c>
      <c r="I2145" t="s">
        <v>310</v>
      </c>
      <c r="J2145" t="s">
        <v>305</v>
      </c>
      <c r="K2145">
        <v>77321.61</v>
      </c>
      <c r="L2145" t="s">
        <v>6408</v>
      </c>
      <c r="M2145" t="str" cm="1">
        <f t="array" ref="M2145">INDEX('Org List'!$A$2:$C$1005,MATCH(Consolidated!I2145&amp;Consolidated!J2145,'Org List'!$A$2:$A$1005&amp;'Org List'!$B$2:$B$1005,0),3)</f>
        <v>NGOs: National</v>
      </c>
    </row>
    <row r="2146" spans="1:13" x14ac:dyDescent="0.25">
      <c r="A2146" t="s">
        <v>1658</v>
      </c>
      <c r="B2146" t="s">
        <v>1318</v>
      </c>
      <c r="C2146" t="s">
        <v>30</v>
      </c>
      <c r="D2146" t="s">
        <v>1319</v>
      </c>
      <c r="E2146" t="s">
        <v>305</v>
      </c>
      <c r="F2146">
        <v>4500411630</v>
      </c>
      <c r="H2146" t="s">
        <v>12</v>
      </c>
      <c r="I2146" t="s">
        <v>907</v>
      </c>
      <c r="J2146" t="s">
        <v>305</v>
      </c>
      <c r="K2146">
        <v>75290.720000000001</v>
      </c>
      <c r="L2146" t="s">
        <v>6408</v>
      </c>
      <c r="M2146" t="str" cm="1">
        <f t="array" ref="M2146">INDEX('Org List'!$A$2:$C$1005,MATCH(Consolidated!I2146&amp;Consolidated!J2146,'Org List'!$A$2:$A$1005&amp;'Org List'!$B$2:$B$1005,0),3)</f>
        <v>NGOs: National</v>
      </c>
    </row>
    <row r="2147" spans="1:13" x14ac:dyDescent="0.25">
      <c r="A2147" t="s">
        <v>1658</v>
      </c>
      <c r="B2147" t="s">
        <v>1318</v>
      </c>
      <c r="C2147" t="s">
        <v>30</v>
      </c>
      <c r="D2147" t="s">
        <v>1319</v>
      </c>
      <c r="E2147" t="s">
        <v>305</v>
      </c>
      <c r="F2147">
        <v>4500415509</v>
      </c>
      <c r="H2147" t="s">
        <v>12</v>
      </c>
      <c r="I2147" t="s">
        <v>1327</v>
      </c>
      <c r="J2147" t="s">
        <v>305</v>
      </c>
      <c r="K2147">
        <v>23425.599999999999</v>
      </c>
      <c r="L2147" t="s">
        <v>6408</v>
      </c>
      <c r="M2147" t="str" cm="1">
        <f t="array" ref="M2147">INDEX('Org List'!$A$2:$C$1005,MATCH(Consolidated!I2147&amp;Consolidated!J2147,'Org List'!$A$2:$A$1005&amp;'Org List'!$B$2:$B$1005,0),3)</f>
        <v>NGOs: National</v>
      </c>
    </row>
    <row r="2148" spans="1:13" x14ac:dyDescent="0.25">
      <c r="A2148" t="s">
        <v>1658</v>
      </c>
      <c r="B2148" t="s">
        <v>1318</v>
      </c>
      <c r="C2148" t="s">
        <v>30</v>
      </c>
      <c r="D2148" t="s">
        <v>1319</v>
      </c>
      <c r="E2148" t="s">
        <v>305</v>
      </c>
      <c r="F2148">
        <v>4500416096</v>
      </c>
      <c r="H2148" t="s">
        <v>12</v>
      </c>
      <c r="I2148" t="s">
        <v>1328</v>
      </c>
      <c r="J2148" t="s">
        <v>305</v>
      </c>
      <c r="K2148">
        <v>22516.080000000002</v>
      </c>
      <c r="L2148" t="s">
        <v>6408</v>
      </c>
      <c r="M2148" t="str" cm="1">
        <f t="array" ref="M2148">INDEX('Org List'!$A$2:$C$1005,MATCH(Consolidated!I2148&amp;Consolidated!J2148,'Org List'!$A$2:$A$1005&amp;'Org List'!$B$2:$B$1005,0),3)</f>
        <v>NGOs: National</v>
      </c>
    </row>
    <row r="2149" spans="1:13" x14ac:dyDescent="0.25">
      <c r="A2149" t="s">
        <v>1658</v>
      </c>
      <c r="B2149" t="s">
        <v>1318</v>
      </c>
      <c r="C2149" t="s">
        <v>30</v>
      </c>
      <c r="D2149" t="s">
        <v>1319</v>
      </c>
      <c r="E2149" t="s">
        <v>305</v>
      </c>
      <c r="F2149">
        <v>4500416196</v>
      </c>
      <c r="H2149" t="s">
        <v>12</v>
      </c>
      <c r="I2149" t="s">
        <v>908</v>
      </c>
      <c r="J2149" t="s">
        <v>305</v>
      </c>
      <c r="K2149">
        <v>24908.55</v>
      </c>
      <c r="L2149" t="s">
        <v>6408</v>
      </c>
      <c r="M2149" t="str" cm="1">
        <f t="array" ref="M2149">INDEX('Org List'!$A$2:$C$1005,MATCH(Consolidated!I2149&amp;Consolidated!J2149,'Org List'!$A$2:$A$1005&amp;'Org List'!$B$2:$B$1005,0),3)</f>
        <v>NGOs: National</v>
      </c>
    </row>
    <row r="2150" spans="1:13" x14ac:dyDescent="0.25">
      <c r="A2150" t="s">
        <v>1658</v>
      </c>
      <c r="B2150" t="s">
        <v>1318</v>
      </c>
      <c r="C2150" t="s">
        <v>30</v>
      </c>
      <c r="D2150" t="s">
        <v>1319</v>
      </c>
      <c r="E2150" t="s">
        <v>305</v>
      </c>
      <c r="F2150">
        <v>4500416474</v>
      </c>
      <c r="H2150" t="s">
        <v>12</v>
      </c>
      <c r="I2150" t="s">
        <v>1329</v>
      </c>
      <c r="J2150" t="s">
        <v>305</v>
      </c>
      <c r="K2150">
        <v>53788.43</v>
      </c>
      <c r="L2150" t="s">
        <v>6408</v>
      </c>
      <c r="M2150" t="str" cm="1">
        <f t="array" ref="M2150">INDEX('Org List'!$A$2:$C$1005,MATCH(Consolidated!I2150&amp;Consolidated!J2150,'Org List'!$A$2:$A$1005&amp;'Org List'!$B$2:$B$1005,0),3)</f>
        <v>NGOs: National</v>
      </c>
    </row>
    <row r="2151" spans="1:13" x14ac:dyDescent="0.25">
      <c r="A2151" t="s">
        <v>1658</v>
      </c>
      <c r="B2151" t="s">
        <v>1318</v>
      </c>
      <c r="C2151" t="s">
        <v>30</v>
      </c>
      <c r="D2151" t="s">
        <v>1319</v>
      </c>
      <c r="E2151" t="s">
        <v>909</v>
      </c>
      <c r="F2151">
        <v>4500408584</v>
      </c>
      <c r="H2151" t="s">
        <v>12</v>
      </c>
      <c r="I2151" t="s">
        <v>1330</v>
      </c>
      <c r="J2151" t="s">
        <v>909</v>
      </c>
      <c r="K2151">
        <v>28745.48</v>
      </c>
      <c r="L2151" t="s">
        <v>6408</v>
      </c>
      <c r="M2151" t="str" cm="1">
        <f t="array" ref="M2151">INDEX('Org List'!$A$2:$C$1005,MATCH(Consolidated!I2151&amp;Consolidated!J2151,'Org List'!$A$2:$A$1005&amp;'Org List'!$B$2:$B$1005,0),3)</f>
        <v>NGOs: Local</v>
      </c>
    </row>
    <row r="2152" spans="1:13" x14ac:dyDescent="0.25">
      <c r="A2152" t="s">
        <v>1658</v>
      </c>
      <c r="B2152" t="s">
        <v>1318</v>
      </c>
      <c r="C2152" t="s">
        <v>30</v>
      </c>
      <c r="D2152" t="s">
        <v>1319</v>
      </c>
      <c r="E2152" t="s">
        <v>909</v>
      </c>
      <c r="F2152">
        <v>4500408591</v>
      </c>
      <c r="H2152" t="s">
        <v>12</v>
      </c>
      <c r="I2152" t="s">
        <v>1331</v>
      </c>
      <c r="J2152" t="s">
        <v>909</v>
      </c>
      <c r="K2152">
        <v>57848.55</v>
      </c>
      <c r="L2152" t="s">
        <v>6408</v>
      </c>
      <c r="M2152" t="str" cm="1">
        <f t="array" ref="M2152">INDEX('Org List'!$A$2:$C$1005,MATCH(Consolidated!I2152&amp;Consolidated!J2152,'Org List'!$A$2:$A$1005&amp;'Org List'!$B$2:$B$1005,0),3)</f>
        <v>NGOs: National</v>
      </c>
    </row>
    <row r="2153" spans="1:13" x14ac:dyDescent="0.25">
      <c r="A2153" t="s">
        <v>1658</v>
      </c>
      <c r="B2153" t="s">
        <v>1318</v>
      </c>
      <c r="C2153" t="s">
        <v>30</v>
      </c>
      <c r="D2153" t="s">
        <v>1319</v>
      </c>
      <c r="E2153" t="s">
        <v>909</v>
      </c>
      <c r="F2153">
        <v>4500411529</v>
      </c>
      <c r="H2153" t="s">
        <v>12</v>
      </c>
      <c r="I2153" t="s">
        <v>1332</v>
      </c>
      <c r="J2153" t="s">
        <v>909</v>
      </c>
      <c r="K2153">
        <v>57703.199999999997</v>
      </c>
      <c r="L2153" t="s">
        <v>6408</v>
      </c>
      <c r="M2153" t="str" cm="1">
        <f t="array" ref="M2153">INDEX('Org List'!$A$2:$C$1005,MATCH(Consolidated!I2153&amp;Consolidated!J2153,'Org List'!$A$2:$A$1005&amp;'Org List'!$B$2:$B$1005,0),3)</f>
        <v>NGOs: National</v>
      </c>
    </row>
    <row r="2154" spans="1:13" x14ac:dyDescent="0.25">
      <c r="A2154" t="s">
        <v>1658</v>
      </c>
      <c r="B2154" t="s">
        <v>829</v>
      </c>
      <c r="C2154" t="s">
        <v>30</v>
      </c>
      <c r="D2154" t="s">
        <v>830</v>
      </c>
      <c r="E2154" t="s">
        <v>831</v>
      </c>
      <c r="F2154">
        <v>4500428121</v>
      </c>
      <c r="H2154" t="s">
        <v>12</v>
      </c>
      <c r="I2154" t="s">
        <v>351</v>
      </c>
      <c r="J2154" t="s">
        <v>831</v>
      </c>
      <c r="K2154">
        <v>26096.83</v>
      </c>
      <c r="L2154" t="s">
        <v>6408</v>
      </c>
      <c r="M2154" t="str" cm="1">
        <f t="array" ref="M2154">INDEX('Org List'!$A$2:$C$1005,MATCH(Consolidated!I2154&amp;Consolidated!J2154,'Org List'!$A$2:$A$1005&amp;'Org List'!$B$2:$B$1005,0),3)</f>
        <v>NGOs: National</v>
      </c>
    </row>
    <row r="2155" spans="1:13" x14ac:dyDescent="0.25">
      <c r="A2155" t="s">
        <v>1658</v>
      </c>
      <c r="B2155" t="s">
        <v>1347</v>
      </c>
      <c r="C2155" t="s">
        <v>30</v>
      </c>
      <c r="D2155" t="s">
        <v>1348</v>
      </c>
      <c r="E2155" t="s">
        <v>155</v>
      </c>
      <c r="F2155">
        <v>4500417064</v>
      </c>
      <c r="H2155" t="s">
        <v>12</v>
      </c>
      <c r="I2155" t="s">
        <v>335</v>
      </c>
      <c r="J2155" t="s">
        <v>155</v>
      </c>
      <c r="K2155">
        <v>70947.34</v>
      </c>
      <c r="L2155" t="s">
        <v>6408</v>
      </c>
      <c r="M2155" t="str" cm="1">
        <f t="array" ref="M2155">INDEX('Org List'!$A$2:$C$1005,MATCH(Consolidated!I2155&amp;Consolidated!J2155,'Org List'!$A$2:$A$1005&amp;'Org List'!$B$2:$B$1005,0),3)</f>
        <v>NGOs: Local</v>
      </c>
    </row>
    <row r="2156" spans="1:13" x14ac:dyDescent="0.25">
      <c r="A2156" t="s">
        <v>1658</v>
      </c>
      <c r="B2156" t="s">
        <v>1349</v>
      </c>
      <c r="C2156" t="s">
        <v>30</v>
      </c>
      <c r="D2156" t="s">
        <v>1350</v>
      </c>
      <c r="E2156" t="s">
        <v>20</v>
      </c>
      <c r="F2156">
        <v>4500410514</v>
      </c>
      <c r="H2156" t="s">
        <v>12</v>
      </c>
      <c r="I2156" t="s">
        <v>172</v>
      </c>
      <c r="J2156" t="s">
        <v>20</v>
      </c>
      <c r="K2156">
        <v>215230.79</v>
      </c>
      <c r="L2156" t="s">
        <v>6408</v>
      </c>
      <c r="M2156" t="str" cm="1">
        <f t="array" ref="M2156">INDEX('Org List'!$A$2:$C$1005,MATCH(Consolidated!I2156&amp;Consolidated!J2156,'Org List'!$A$2:$A$1005&amp;'Org List'!$B$2:$B$1005,0),3)</f>
        <v>NGOs: National</v>
      </c>
    </row>
    <row r="2157" spans="1:13" x14ac:dyDescent="0.25">
      <c r="A2157" t="s">
        <v>1658</v>
      </c>
      <c r="B2157" t="s">
        <v>1349</v>
      </c>
      <c r="C2157" t="s">
        <v>30</v>
      </c>
      <c r="D2157" t="s">
        <v>1350</v>
      </c>
      <c r="E2157" t="s">
        <v>20</v>
      </c>
      <c r="F2157">
        <v>4500411991</v>
      </c>
      <c r="H2157" t="s">
        <v>12</v>
      </c>
      <c r="I2157" t="s">
        <v>852</v>
      </c>
      <c r="J2157" t="s">
        <v>20</v>
      </c>
      <c r="K2157">
        <v>80694.350000000006</v>
      </c>
      <c r="L2157" t="s">
        <v>6408</v>
      </c>
      <c r="M2157" t="str" cm="1">
        <f t="array" ref="M2157">INDEX('Org List'!$A$2:$C$1005,MATCH(Consolidated!I2157&amp;Consolidated!J2157,'Org List'!$A$2:$A$1005&amp;'Org List'!$B$2:$B$1005,0),3)</f>
        <v>NGOs: National</v>
      </c>
    </row>
    <row r="2158" spans="1:13" x14ac:dyDescent="0.25">
      <c r="A2158" t="s">
        <v>1658</v>
      </c>
      <c r="B2158" t="s">
        <v>1349</v>
      </c>
      <c r="C2158" t="s">
        <v>30</v>
      </c>
      <c r="D2158" t="s">
        <v>1350</v>
      </c>
      <c r="E2158" t="s">
        <v>20</v>
      </c>
      <c r="F2158">
        <v>4500422095</v>
      </c>
      <c r="H2158" t="s">
        <v>12</v>
      </c>
      <c r="I2158" t="s">
        <v>901</v>
      </c>
      <c r="J2158" t="s">
        <v>20</v>
      </c>
      <c r="K2158">
        <v>48691.26</v>
      </c>
      <c r="L2158" t="s">
        <v>6408</v>
      </c>
      <c r="M2158" t="str" cm="1">
        <f t="array" ref="M2158">INDEX('Org List'!$A$2:$C$1005,MATCH(Consolidated!I2158&amp;Consolidated!J2158,'Org List'!$A$2:$A$1005&amp;'Org List'!$B$2:$B$1005,0),3)</f>
        <v>NGOs: National</v>
      </c>
    </row>
    <row r="2159" spans="1:13" x14ac:dyDescent="0.25">
      <c r="A2159" t="s">
        <v>1658</v>
      </c>
      <c r="B2159" t="s">
        <v>1351</v>
      </c>
      <c r="C2159" t="s">
        <v>30</v>
      </c>
      <c r="D2159" t="s">
        <v>1352</v>
      </c>
      <c r="E2159" t="s">
        <v>150</v>
      </c>
      <c r="F2159">
        <v>4500406035</v>
      </c>
      <c r="H2159" t="s">
        <v>12</v>
      </c>
      <c r="I2159" t="s">
        <v>1353</v>
      </c>
      <c r="J2159" t="s">
        <v>150</v>
      </c>
      <c r="K2159">
        <v>81139.199999999997</v>
      </c>
      <c r="L2159" t="s">
        <v>6408</v>
      </c>
      <c r="M2159" t="str" cm="1">
        <f t="array" ref="M2159">INDEX('Org List'!$A$2:$C$1005,MATCH(Consolidated!I2159&amp;Consolidated!J2159,'Org List'!$A$2:$A$1005&amp;'Org List'!$B$2:$B$1005,0),3)</f>
        <v>Private Organisations: Local/National</v>
      </c>
    </row>
    <row r="2160" spans="1:13" x14ac:dyDescent="0.25">
      <c r="A2160" t="s">
        <v>1658</v>
      </c>
      <c r="B2160" t="s">
        <v>148</v>
      </c>
      <c r="C2160" t="s">
        <v>30</v>
      </c>
      <c r="D2160" t="s">
        <v>149</v>
      </c>
      <c r="E2160" t="s">
        <v>150</v>
      </c>
      <c r="F2160">
        <v>4500405982</v>
      </c>
      <c r="H2160" t="s">
        <v>12</v>
      </c>
      <c r="I2160" t="s">
        <v>1103</v>
      </c>
      <c r="J2160" t="s">
        <v>150</v>
      </c>
      <c r="K2160">
        <v>233795.29</v>
      </c>
      <c r="L2160" t="s">
        <v>6408</v>
      </c>
      <c r="M2160" t="str" cm="1">
        <f t="array" ref="M2160">INDEX('Org List'!$A$2:$C$1005,MATCH(Consolidated!I2160&amp;Consolidated!J2160,'Org List'!$A$2:$A$1005&amp;'Org List'!$B$2:$B$1005,0),3)</f>
        <v>NGOs: National</v>
      </c>
    </row>
    <row r="2161" spans="1:13" x14ac:dyDescent="0.25">
      <c r="A2161" t="s">
        <v>1658</v>
      </c>
      <c r="B2161" t="s">
        <v>157</v>
      </c>
      <c r="C2161" t="s">
        <v>30</v>
      </c>
      <c r="D2161" t="s">
        <v>158</v>
      </c>
      <c r="E2161" t="s">
        <v>159</v>
      </c>
      <c r="F2161">
        <v>4500426657</v>
      </c>
      <c r="H2161" t="s">
        <v>12</v>
      </c>
      <c r="I2161" t="s">
        <v>1358</v>
      </c>
      <c r="J2161" t="s">
        <v>159</v>
      </c>
      <c r="K2161">
        <v>102135</v>
      </c>
      <c r="L2161" t="s">
        <v>6408</v>
      </c>
      <c r="M2161" t="str" cm="1">
        <f t="array" ref="M2161">INDEX('Org List'!$A$2:$C$1005,MATCH(Consolidated!I2161&amp;Consolidated!J2161,'Org List'!$A$2:$A$1005&amp;'Org List'!$B$2:$B$1005,0),3)</f>
        <v>NGOs: International</v>
      </c>
    </row>
    <row r="2162" spans="1:13" x14ac:dyDescent="0.25">
      <c r="A2162" t="s">
        <v>1658</v>
      </c>
      <c r="B2162" t="s">
        <v>1359</v>
      </c>
      <c r="C2162" t="s">
        <v>30</v>
      </c>
      <c r="D2162" t="s">
        <v>1360</v>
      </c>
      <c r="E2162" t="s">
        <v>253</v>
      </c>
      <c r="F2162">
        <v>4500411916</v>
      </c>
      <c r="H2162" t="s">
        <v>12</v>
      </c>
      <c r="I2162" t="s">
        <v>1361</v>
      </c>
      <c r="J2162" t="s">
        <v>253</v>
      </c>
      <c r="K2162">
        <v>100000</v>
      </c>
      <c r="L2162" t="s">
        <v>6408</v>
      </c>
      <c r="M2162" t="str" cm="1">
        <f t="array" ref="M2162">INDEX('Org List'!$A$2:$C$1005,MATCH(Consolidated!I2162&amp;Consolidated!J2162,'Org List'!$A$2:$A$1005&amp;'Org List'!$B$2:$B$1005,0),3)</f>
        <v>NGOs: International</v>
      </c>
    </row>
    <row r="2163" spans="1:13" x14ac:dyDescent="0.25">
      <c r="A2163" t="s">
        <v>1658</v>
      </c>
      <c r="B2163" t="s">
        <v>1359</v>
      </c>
      <c r="C2163" t="s">
        <v>30</v>
      </c>
      <c r="D2163" t="s">
        <v>1360</v>
      </c>
      <c r="E2163" t="s">
        <v>253</v>
      </c>
      <c r="F2163">
        <v>4500418071</v>
      </c>
      <c r="H2163" t="s">
        <v>12</v>
      </c>
      <c r="I2163" t="s">
        <v>1362</v>
      </c>
      <c r="J2163" t="s">
        <v>253</v>
      </c>
      <c r="K2163">
        <v>26247.08</v>
      </c>
      <c r="L2163" t="s">
        <v>6408</v>
      </c>
      <c r="M2163" t="str" cm="1">
        <f t="array" ref="M2163">INDEX('Org List'!$A$2:$C$1005,MATCH(Consolidated!I2163&amp;Consolidated!J2163,'Org List'!$A$2:$A$1005&amp;'Org List'!$B$2:$B$1005,0),3)</f>
        <v>Red Cross: National</v>
      </c>
    </row>
    <row r="2164" spans="1:13" x14ac:dyDescent="0.25">
      <c r="A2164" t="s">
        <v>1658</v>
      </c>
      <c r="B2164" t="s">
        <v>1363</v>
      </c>
      <c r="C2164" t="s">
        <v>30</v>
      </c>
      <c r="D2164" t="s">
        <v>1364</v>
      </c>
      <c r="E2164" t="s">
        <v>253</v>
      </c>
      <c r="F2164">
        <v>4500418071</v>
      </c>
      <c r="H2164" t="s">
        <v>12</v>
      </c>
      <c r="I2164" t="s">
        <v>1362</v>
      </c>
      <c r="J2164" t="s">
        <v>253</v>
      </c>
      <c r="K2164">
        <v>11702.7</v>
      </c>
      <c r="L2164" t="s">
        <v>6408</v>
      </c>
      <c r="M2164" t="str" cm="1">
        <f t="array" ref="M2164">INDEX('Org List'!$A$2:$C$1005,MATCH(Consolidated!I2164&amp;Consolidated!J2164,'Org List'!$A$2:$A$1005&amp;'Org List'!$B$2:$B$1005,0),3)</f>
        <v>Red Cross: National</v>
      </c>
    </row>
    <row r="2165" spans="1:13" x14ac:dyDescent="0.25">
      <c r="A2165" t="s">
        <v>1658</v>
      </c>
      <c r="B2165" t="s">
        <v>833</v>
      </c>
      <c r="C2165" t="s">
        <v>30</v>
      </c>
      <c r="D2165" t="s">
        <v>834</v>
      </c>
      <c r="E2165" t="s">
        <v>261</v>
      </c>
      <c r="F2165">
        <v>4500413625</v>
      </c>
      <c r="H2165" t="s">
        <v>12</v>
      </c>
      <c r="I2165" t="s">
        <v>835</v>
      </c>
      <c r="J2165" t="s">
        <v>261</v>
      </c>
      <c r="K2165">
        <v>84951</v>
      </c>
      <c r="L2165" t="s">
        <v>6408</v>
      </c>
      <c r="M2165" t="str" cm="1">
        <f t="array" ref="M2165">INDEX('Org List'!$A$2:$C$1005,MATCH(Consolidated!I2165&amp;Consolidated!J2165,'Org List'!$A$2:$A$1005&amp;'Org List'!$B$2:$B$1005,0),3)</f>
        <v>Other: Local</v>
      </c>
    </row>
    <row r="2166" spans="1:13" x14ac:dyDescent="0.25">
      <c r="A2166" t="s">
        <v>1658</v>
      </c>
      <c r="B2166" t="s">
        <v>1365</v>
      </c>
      <c r="C2166" t="s">
        <v>30</v>
      </c>
      <c r="D2166" t="s">
        <v>1366</v>
      </c>
      <c r="E2166" t="s">
        <v>356</v>
      </c>
      <c r="F2166">
        <v>4500406743</v>
      </c>
      <c r="H2166" t="s">
        <v>12</v>
      </c>
      <c r="I2166" t="s">
        <v>1367</v>
      </c>
      <c r="J2166" t="s">
        <v>356</v>
      </c>
      <c r="K2166">
        <v>99000</v>
      </c>
      <c r="L2166" t="s">
        <v>6408</v>
      </c>
      <c r="M2166" t="str" cm="1">
        <f t="array" ref="M2166">INDEX('Org List'!$A$2:$C$1005,MATCH(Consolidated!I2166&amp;Consolidated!J2166,'Org List'!$A$2:$A$1005&amp;'Org List'!$B$2:$B$1005,0),3)</f>
        <v>NGOs: National</v>
      </c>
    </row>
    <row r="2167" spans="1:13" x14ac:dyDescent="0.25">
      <c r="A2167" t="s">
        <v>1658</v>
      </c>
      <c r="B2167" t="s">
        <v>1365</v>
      </c>
      <c r="C2167" t="s">
        <v>30</v>
      </c>
      <c r="D2167" t="s">
        <v>1366</v>
      </c>
      <c r="E2167" t="s">
        <v>356</v>
      </c>
      <c r="F2167">
        <v>4500408606</v>
      </c>
      <c r="H2167" t="s">
        <v>12</v>
      </c>
      <c r="I2167" t="s">
        <v>1368</v>
      </c>
      <c r="J2167" t="s">
        <v>356</v>
      </c>
      <c r="K2167">
        <v>10000</v>
      </c>
      <c r="L2167" t="s">
        <v>6408</v>
      </c>
      <c r="M2167" t="str" cm="1">
        <f t="array" ref="M2167">INDEX('Org List'!$A$2:$C$1005,MATCH(Consolidated!I2167&amp;Consolidated!J2167,'Org List'!$A$2:$A$1005&amp;'Org List'!$B$2:$B$1005,0),3)</f>
        <v>NGOs: National</v>
      </c>
    </row>
    <row r="2168" spans="1:13" x14ac:dyDescent="0.25">
      <c r="A2168" t="s">
        <v>1658</v>
      </c>
      <c r="B2168" t="s">
        <v>1369</v>
      </c>
      <c r="C2168" t="s">
        <v>30</v>
      </c>
      <c r="D2168" t="s">
        <v>1370</v>
      </c>
      <c r="E2168" t="s">
        <v>903</v>
      </c>
      <c r="F2168">
        <v>4500417054</v>
      </c>
      <c r="H2168" t="s">
        <v>12</v>
      </c>
      <c r="I2168" t="s">
        <v>1325</v>
      </c>
      <c r="J2168" t="s">
        <v>751</v>
      </c>
      <c r="K2168">
        <v>2311</v>
      </c>
      <c r="L2168" t="s">
        <v>6408</v>
      </c>
      <c r="M2168" t="str" cm="1">
        <f t="array" ref="M2168">INDEX('Org List'!$A$2:$C$1005,MATCH(Consolidated!I2168&amp;Consolidated!J2168,'Org List'!$A$2:$A$1005&amp;'Org List'!$B$2:$B$1005,0),3)</f>
        <v>NGOs: International</v>
      </c>
    </row>
    <row r="2169" spans="1:13" x14ac:dyDescent="0.25">
      <c r="A2169" t="s">
        <v>1658</v>
      </c>
      <c r="B2169" t="s">
        <v>173</v>
      </c>
      <c r="C2169" t="s">
        <v>30</v>
      </c>
      <c r="D2169" t="s">
        <v>174</v>
      </c>
      <c r="E2169" t="s">
        <v>175</v>
      </c>
      <c r="F2169">
        <v>4500416736</v>
      </c>
      <c r="H2169" t="s">
        <v>12</v>
      </c>
      <c r="I2169" t="s">
        <v>176</v>
      </c>
      <c r="J2169" t="s">
        <v>175</v>
      </c>
      <c r="K2169">
        <v>328201.26</v>
      </c>
      <c r="L2169" t="s">
        <v>6408</v>
      </c>
      <c r="M2169" t="str" cm="1">
        <f t="array" ref="M2169">INDEX('Org List'!$A$2:$C$1005,MATCH(Consolidated!I2169&amp;Consolidated!J2169,'Org List'!$A$2:$A$1005&amp;'Org List'!$B$2:$B$1005,0),3)</f>
        <v>NGOs: National</v>
      </c>
    </row>
    <row r="2170" spans="1:13" x14ac:dyDescent="0.25">
      <c r="A2170" t="s">
        <v>1658</v>
      </c>
      <c r="B2170" t="s">
        <v>173</v>
      </c>
      <c r="C2170" t="s">
        <v>30</v>
      </c>
      <c r="D2170" t="s">
        <v>174</v>
      </c>
      <c r="E2170" t="s">
        <v>175</v>
      </c>
      <c r="F2170">
        <v>4500428506</v>
      </c>
      <c r="H2170" t="s">
        <v>12</v>
      </c>
      <c r="I2170" t="s">
        <v>185</v>
      </c>
      <c r="J2170" t="s">
        <v>175</v>
      </c>
      <c r="K2170">
        <v>28124.6</v>
      </c>
      <c r="L2170" t="s">
        <v>6408</v>
      </c>
      <c r="M2170" t="str" cm="1">
        <f t="array" ref="M2170">INDEX('Org List'!$A$2:$C$1005,MATCH(Consolidated!I2170&amp;Consolidated!J2170,'Org List'!$A$2:$A$1005&amp;'Org List'!$B$2:$B$1005,0),3)</f>
        <v>NGOs: National</v>
      </c>
    </row>
    <row r="2171" spans="1:13" x14ac:dyDescent="0.25">
      <c r="A2171" t="s">
        <v>1658</v>
      </c>
      <c r="B2171" t="s">
        <v>1371</v>
      </c>
      <c r="C2171" t="s">
        <v>30</v>
      </c>
      <c r="D2171" t="s">
        <v>1372</v>
      </c>
      <c r="E2171" t="s">
        <v>175</v>
      </c>
      <c r="F2171">
        <v>4500424190</v>
      </c>
      <c r="H2171" t="s">
        <v>12</v>
      </c>
      <c r="I2171" t="s">
        <v>395</v>
      </c>
      <c r="J2171" t="s">
        <v>175</v>
      </c>
      <c r="K2171">
        <v>24160.36</v>
      </c>
      <c r="L2171" t="s">
        <v>6408</v>
      </c>
      <c r="M2171" t="str" cm="1">
        <f t="array" ref="M2171">INDEX('Org List'!$A$2:$C$1005,MATCH(Consolidated!I2171&amp;Consolidated!J2171,'Org List'!$A$2:$A$1005&amp;'Org List'!$B$2:$B$1005,0),3)</f>
        <v>NGOs: National</v>
      </c>
    </row>
    <row r="2172" spans="1:13" x14ac:dyDescent="0.25">
      <c r="A2172" t="s">
        <v>1658</v>
      </c>
      <c r="B2172" t="s">
        <v>180</v>
      </c>
      <c r="C2172" t="s">
        <v>30</v>
      </c>
      <c r="D2172" t="s">
        <v>181</v>
      </c>
      <c r="E2172" t="s">
        <v>175</v>
      </c>
      <c r="F2172">
        <v>4500423758</v>
      </c>
      <c r="H2172" t="s">
        <v>12</v>
      </c>
      <c r="I2172" t="s">
        <v>232</v>
      </c>
      <c r="J2172" t="s">
        <v>175</v>
      </c>
      <c r="K2172">
        <v>33724.06</v>
      </c>
      <c r="L2172" t="s">
        <v>6408</v>
      </c>
      <c r="M2172" t="str" cm="1">
        <f t="array" ref="M2172">INDEX('Org List'!$A$2:$C$1005,MATCH(Consolidated!I2172&amp;Consolidated!J2172,'Org List'!$A$2:$A$1005&amp;'Org List'!$B$2:$B$1005,0),3)</f>
        <v>NGOs: International</v>
      </c>
    </row>
    <row r="2173" spans="1:13" x14ac:dyDescent="0.25">
      <c r="A2173" t="s">
        <v>1658</v>
      </c>
      <c r="B2173" t="s">
        <v>180</v>
      </c>
      <c r="C2173" t="s">
        <v>30</v>
      </c>
      <c r="D2173" t="s">
        <v>181</v>
      </c>
      <c r="E2173" t="s">
        <v>175</v>
      </c>
      <c r="F2173">
        <v>4500423765</v>
      </c>
      <c r="H2173" t="s">
        <v>12</v>
      </c>
      <c r="I2173" t="s">
        <v>685</v>
      </c>
      <c r="J2173" t="s">
        <v>175</v>
      </c>
      <c r="K2173">
        <v>146497.49</v>
      </c>
      <c r="L2173" t="s">
        <v>6408</v>
      </c>
      <c r="M2173" t="str" cm="1">
        <f t="array" ref="M2173">INDEX('Org List'!$A$2:$C$1005,MATCH(Consolidated!I2173&amp;Consolidated!J2173,'Org List'!$A$2:$A$1005&amp;'Org List'!$B$2:$B$1005,0),3)</f>
        <v>NGOs: National</v>
      </c>
    </row>
    <row r="2174" spans="1:13" x14ac:dyDescent="0.25">
      <c r="A2174" t="s">
        <v>1658</v>
      </c>
      <c r="B2174" t="s">
        <v>180</v>
      </c>
      <c r="C2174" t="s">
        <v>30</v>
      </c>
      <c r="D2174" t="s">
        <v>181</v>
      </c>
      <c r="E2174" t="s">
        <v>175</v>
      </c>
      <c r="F2174">
        <v>4500424189</v>
      </c>
      <c r="H2174" t="s">
        <v>12</v>
      </c>
      <c r="I2174" t="s">
        <v>187</v>
      </c>
      <c r="J2174" t="s">
        <v>175</v>
      </c>
      <c r="K2174">
        <v>138361.53</v>
      </c>
      <c r="L2174" t="s">
        <v>6408</v>
      </c>
      <c r="M2174" t="str" cm="1">
        <f t="array" ref="M2174">INDEX('Org List'!$A$2:$C$1005,MATCH(Consolidated!I2174&amp;Consolidated!J2174,'Org List'!$A$2:$A$1005&amp;'Org List'!$B$2:$B$1005,0),3)</f>
        <v>NGOs: National</v>
      </c>
    </row>
    <row r="2175" spans="1:13" x14ac:dyDescent="0.25">
      <c r="A2175" t="s">
        <v>1658</v>
      </c>
      <c r="B2175" t="s">
        <v>188</v>
      </c>
      <c r="C2175" t="s">
        <v>30</v>
      </c>
      <c r="D2175" t="s">
        <v>189</v>
      </c>
      <c r="E2175" t="s">
        <v>175</v>
      </c>
      <c r="F2175">
        <v>4500425691</v>
      </c>
      <c r="H2175" t="s">
        <v>12</v>
      </c>
      <c r="I2175" t="s">
        <v>176</v>
      </c>
      <c r="J2175" t="s">
        <v>175</v>
      </c>
      <c r="K2175">
        <v>109065.92</v>
      </c>
      <c r="L2175" t="s">
        <v>6408</v>
      </c>
      <c r="M2175" t="str" cm="1">
        <f t="array" ref="M2175">INDEX('Org List'!$A$2:$C$1005,MATCH(Consolidated!I2175&amp;Consolidated!J2175,'Org List'!$A$2:$A$1005&amp;'Org List'!$B$2:$B$1005,0),3)</f>
        <v>NGOs: National</v>
      </c>
    </row>
    <row r="2176" spans="1:13" x14ac:dyDescent="0.25">
      <c r="A2176" t="s">
        <v>1658</v>
      </c>
      <c r="B2176" t="s">
        <v>188</v>
      </c>
      <c r="C2176" t="s">
        <v>30</v>
      </c>
      <c r="D2176" t="s">
        <v>189</v>
      </c>
      <c r="E2176" t="s">
        <v>175</v>
      </c>
      <c r="F2176">
        <v>4500428536</v>
      </c>
      <c r="H2176" t="s">
        <v>12</v>
      </c>
      <c r="I2176" t="s">
        <v>186</v>
      </c>
      <c r="J2176" t="s">
        <v>175</v>
      </c>
      <c r="K2176">
        <v>60169.69</v>
      </c>
      <c r="L2176" t="s">
        <v>6408</v>
      </c>
      <c r="M2176" t="str" cm="1">
        <f t="array" ref="M2176">INDEX('Org List'!$A$2:$C$1005,MATCH(Consolidated!I2176&amp;Consolidated!J2176,'Org List'!$A$2:$A$1005&amp;'Org List'!$B$2:$B$1005,0),3)</f>
        <v>NGOs: National</v>
      </c>
    </row>
    <row r="2177" spans="1:13" x14ac:dyDescent="0.25">
      <c r="A2177" t="s">
        <v>1658</v>
      </c>
      <c r="B2177" t="s">
        <v>195</v>
      </c>
      <c r="C2177" t="s">
        <v>30</v>
      </c>
      <c r="D2177" t="s">
        <v>196</v>
      </c>
      <c r="E2177" t="s">
        <v>197</v>
      </c>
      <c r="F2177">
        <v>4500429534</v>
      </c>
      <c r="H2177" t="s">
        <v>12</v>
      </c>
      <c r="I2177" t="s">
        <v>1373</v>
      </c>
      <c r="J2177" t="s">
        <v>197</v>
      </c>
      <c r="K2177">
        <v>44746.73</v>
      </c>
      <c r="L2177" t="s">
        <v>6408</v>
      </c>
      <c r="M2177" t="str" cm="1">
        <f t="array" ref="M2177">INDEX('Org List'!$A$2:$C$1005,MATCH(Consolidated!I2177&amp;Consolidated!J2177,'Org List'!$A$2:$A$1005&amp;'Org List'!$B$2:$B$1005,0),3)</f>
        <v>NGOs: National</v>
      </c>
    </row>
    <row r="2178" spans="1:13" x14ac:dyDescent="0.25">
      <c r="A2178" t="s">
        <v>1658</v>
      </c>
      <c r="B2178" t="s">
        <v>195</v>
      </c>
      <c r="C2178" t="s">
        <v>30</v>
      </c>
      <c r="D2178" t="s">
        <v>196</v>
      </c>
      <c r="E2178" t="s">
        <v>201</v>
      </c>
      <c r="F2178">
        <v>4500424722</v>
      </c>
      <c r="H2178" t="s">
        <v>12</v>
      </c>
      <c r="I2178" t="s">
        <v>1036</v>
      </c>
      <c r="J2178" t="s">
        <v>616</v>
      </c>
      <c r="K2178">
        <v>50000</v>
      </c>
      <c r="L2178" t="s">
        <v>6408</v>
      </c>
      <c r="M2178" t="str" cm="1">
        <f t="array" ref="M2178">INDEX('Org List'!$A$2:$C$1005,MATCH(Consolidated!I2178&amp;Consolidated!J2178,'Org List'!$A$2:$A$1005&amp;'Org List'!$B$2:$B$1005,0),3)</f>
        <v>Multilateral: UN</v>
      </c>
    </row>
    <row r="2179" spans="1:13" x14ac:dyDescent="0.25">
      <c r="A2179" t="s">
        <v>1658</v>
      </c>
      <c r="B2179" t="s">
        <v>1378</v>
      </c>
      <c r="C2179" t="s">
        <v>9</v>
      </c>
      <c r="D2179" t="s">
        <v>1379</v>
      </c>
      <c r="E2179" t="s">
        <v>500</v>
      </c>
      <c r="F2179">
        <v>4500420963</v>
      </c>
      <c r="H2179" t="s">
        <v>12</v>
      </c>
      <c r="I2179" t="s">
        <v>779</v>
      </c>
      <c r="J2179" t="s">
        <v>500</v>
      </c>
      <c r="K2179">
        <v>69478.36</v>
      </c>
      <c r="L2179" t="s">
        <v>6408</v>
      </c>
      <c r="M2179" t="str" cm="1">
        <f t="array" ref="M2179">INDEX('Org List'!$A$2:$C$1005,MATCH(Consolidated!I2179&amp;Consolidated!J2179,'Org List'!$A$2:$A$1005&amp;'Org List'!$B$2:$B$1005,0),3)</f>
        <v>Governments: Local</v>
      </c>
    </row>
    <row r="2180" spans="1:13" x14ac:dyDescent="0.25">
      <c r="A2180" t="s">
        <v>1658</v>
      </c>
      <c r="B2180" t="s">
        <v>1381</v>
      </c>
      <c r="C2180" t="s">
        <v>9</v>
      </c>
      <c r="D2180" t="s">
        <v>1382</v>
      </c>
      <c r="E2180" t="s">
        <v>175</v>
      </c>
      <c r="F2180">
        <v>4500423764</v>
      </c>
      <c r="H2180" t="s">
        <v>12</v>
      </c>
      <c r="I2180" t="s">
        <v>1383</v>
      </c>
      <c r="J2180" t="s">
        <v>175</v>
      </c>
      <c r="K2180">
        <v>74657.539999999994</v>
      </c>
      <c r="L2180" t="s">
        <v>6408</v>
      </c>
      <c r="M2180" t="str" cm="1">
        <f t="array" ref="M2180">INDEX('Org List'!$A$2:$C$1005,MATCH(Consolidated!I2180&amp;Consolidated!J2180,'Org List'!$A$2:$A$1005&amp;'Org List'!$B$2:$B$1005,0),3)</f>
        <v>Private Organisations: Local/National</v>
      </c>
    </row>
    <row r="2181" spans="1:13" x14ac:dyDescent="0.25">
      <c r="A2181" t="s">
        <v>1658</v>
      </c>
      <c r="B2181" t="s">
        <v>1411</v>
      </c>
      <c r="C2181" t="s">
        <v>30</v>
      </c>
      <c r="D2181" t="s">
        <v>1412</v>
      </c>
      <c r="E2181" t="s">
        <v>257</v>
      </c>
      <c r="F2181">
        <v>4500429499</v>
      </c>
      <c r="H2181" t="s">
        <v>12</v>
      </c>
      <c r="I2181" t="s">
        <v>1414</v>
      </c>
      <c r="J2181" t="s">
        <v>257</v>
      </c>
      <c r="K2181">
        <v>13217.94</v>
      </c>
      <c r="L2181" t="s">
        <v>6408</v>
      </c>
      <c r="M2181" t="str" cm="1">
        <f t="array" ref="M2181">INDEX('Org List'!$A$2:$C$1005,MATCH(Consolidated!I2181&amp;Consolidated!J2181,'Org List'!$A$2:$A$1005&amp;'Org List'!$B$2:$B$1005,0),3)</f>
        <v>NGOs: National</v>
      </c>
    </row>
    <row r="2182" spans="1:13" x14ac:dyDescent="0.25">
      <c r="A2182" t="s">
        <v>1658</v>
      </c>
      <c r="B2182" t="s">
        <v>1415</v>
      </c>
      <c r="C2182" t="s">
        <v>30</v>
      </c>
      <c r="D2182" t="s">
        <v>1416</v>
      </c>
      <c r="E2182" t="s">
        <v>814</v>
      </c>
      <c r="F2182">
        <v>4500406481</v>
      </c>
      <c r="H2182" t="s">
        <v>12</v>
      </c>
      <c r="I2182" t="s">
        <v>120</v>
      </c>
      <c r="J2182" t="s">
        <v>814</v>
      </c>
      <c r="K2182">
        <v>19529.900000000001</v>
      </c>
      <c r="L2182" t="s">
        <v>6408</v>
      </c>
      <c r="M2182" t="str" cm="1">
        <f t="array" ref="M2182">INDEX('Org List'!$A$2:$C$1005,MATCH(Consolidated!I2182&amp;Consolidated!J2182,'Org List'!$A$2:$A$1005&amp;'Org List'!$B$2:$B$1005,0),3)</f>
        <v>NGOs: International</v>
      </c>
    </row>
    <row r="2183" spans="1:13" x14ac:dyDescent="0.25">
      <c r="A2183" t="s">
        <v>1658</v>
      </c>
      <c r="B2183" t="s">
        <v>1415</v>
      </c>
      <c r="C2183" t="s">
        <v>30</v>
      </c>
      <c r="D2183" t="s">
        <v>1416</v>
      </c>
      <c r="E2183" t="s">
        <v>814</v>
      </c>
      <c r="F2183">
        <v>4500406501</v>
      </c>
      <c r="H2183" t="s">
        <v>12</v>
      </c>
      <c r="I2183" t="s">
        <v>116</v>
      </c>
      <c r="J2183" t="s">
        <v>814</v>
      </c>
      <c r="K2183">
        <v>7657.58</v>
      </c>
      <c r="L2183" t="s">
        <v>6408</v>
      </c>
      <c r="M2183" t="str" cm="1">
        <f t="array" ref="M2183">INDEX('Org List'!$A$2:$C$1005,MATCH(Consolidated!I2183&amp;Consolidated!J2183,'Org List'!$A$2:$A$1005&amp;'Org List'!$B$2:$B$1005,0),3)</f>
        <v>NGOs: National</v>
      </c>
    </row>
    <row r="2184" spans="1:13" x14ac:dyDescent="0.25">
      <c r="A2184" t="s">
        <v>1658</v>
      </c>
      <c r="B2184" t="s">
        <v>1415</v>
      </c>
      <c r="C2184" t="s">
        <v>30</v>
      </c>
      <c r="D2184" t="s">
        <v>1416</v>
      </c>
      <c r="E2184" t="s">
        <v>814</v>
      </c>
      <c r="F2184">
        <v>4500406517</v>
      </c>
      <c r="H2184" t="s">
        <v>12</v>
      </c>
      <c r="I2184" t="s">
        <v>116</v>
      </c>
      <c r="J2184" t="s">
        <v>814</v>
      </c>
      <c r="K2184">
        <v>9294.1200000000008</v>
      </c>
      <c r="L2184" t="s">
        <v>6408</v>
      </c>
      <c r="M2184" t="str" cm="1">
        <f t="array" ref="M2184">INDEX('Org List'!$A$2:$C$1005,MATCH(Consolidated!I2184&amp;Consolidated!J2184,'Org List'!$A$2:$A$1005&amp;'Org List'!$B$2:$B$1005,0),3)</f>
        <v>NGOs: National</v>
      </c>
    </row>
    <row r="2185" spans="1:13" x14ac:dyDescent="0.25">
      <c r="A2185" t="s">
        <v>1658</v>
      </c>
      <c r="B2185" t="s">
        <v>1415</v>
      </c>
      <c r="C2185" t="s">
        <v>30</v>
      </c>
      <c r="D2185" t="s">
        <v>1416</v>
      </c>
      <c r="E2185" t="s">
        <v>814</v>
      </c>
      <c r="F2185">
        <v>4500408390</v>
      </c>
      <c r="H2185" t="s">
        <v>12</v>
      </c>
      <c r="I2185" t="s">
        <v>113</v>
      </c>
      <c r="J2185" t="s">
        <v>814</v>
      </c>
      <c r="K2185">
        <v>8131.69</v>
      </c>
      <c r="L2185" t="s">
        <v>6408</v>
      </c>
      <c r="M2185" t="str" cm="1">
        <f t="array" ref="M2185">INDEX('Org List'!$A$2:$C$1005,MATCH(Consolidated!I2185&amp;Consolidated!J2185,'Org List'!$A$2:$A$1005&amp;'Org List'!$B$2:$B$1005,0),3)</f>
        <v>NGOs: National</v>
      </c>
    </row>
    <row r="2186" spans="1:13" x14ac:dyDescent="0.25">
      <c r="A2186" t="s">
        <v>1658</v>
      </c>
      <c r="B2186" t="s">
        <v>1417</v>
      </c>
      <c r="C2186" t="s">
        <v>30</v>
      </c>
      <c r="D2186" t="s">
        <v>1418</v>
      </c>
      <c r="E2186" t="s">
        <v>890</v>
      </c>
      <c r="F2186">
        <v>4500407696</v>
      </c>
      <c r="H2186" t="s">
        <v>12</v>
      </c>
      <c r="I2186" t="s">
        <v>892</v>
      </c>
      <c r="J2186" t="s">
        <v>890</v>
      </c>
      <c r="K2186">
        <v>7175.5</v>
      </c>
      <c r="L2186" t="s">
        <v>6408</v>
      </c>
      <c r="M2186" t="str" cm="1">
        <f t="array" ref="M2186">INDEX('Org List'!$A$2:$C$1005,MATCH(Consolidated!I2186&amp;Consolidated!J2186,'Org List'!$A$2:$A$1005&amp;'Org List'!$B$2:$B$1005,0),3)</f>
        <v>NGOs: National</v>
      </c>
    </row>
    <row r="2187" spans="1:13" x14ac:dyDescent="0.25">
      <c r="A2187" t="s">
        <v>1658</v>
      </c>
      <c r="B2187" t="s">
        <v>1417</v>
      </c>
      <c r="C2187" t="s">
        <v>30</v>
      </c>
      <c r="D2187" t="s">
        <v>1418</v>
      </c>
      <c r="E2187" t="s">
        <v>890</v>
      </c>
      <c r="F2187">
        <v>4500407975</v>
      </c>
      <c r="H2187" t="s">
        <v>12</v>
      </c>
      <c r="I2187" t="s">
        <v>1419</v>
      </c>
      <c r="J2187" t="s">
        <v>890</v>
      </c>
      <c r="K2187">
        <v>17564</v>
      </c>
      <c r="L2187" t="s">
        <v>6408</v>
      </c>
      <c r="M2187" t="str" cm="1">
        <f t="array" ref="M2187">INDEX('Org List'!$A$2:$C$1005,MATCH(Consolidated!I2187&amp;Consolidated!J2187,'Org List'!$A$2:$A$1005&amp;'Org List'!$B$2:$B$1005,0),3)</f>
        <v>NGOs: National</v>
      </c>
    </row>
    <row r="2188" spans="1:13" x14ac:dyDescent="0.25">
      <c r="A2188" t="s">
        <v>1658</v>
      </c>
      <c r="B2188" t="s">
        <v>1417</v>
      </c>
      <c r="C2188" t="s">
        <v>30</v>
      </c>
      <c r="D2188" t="s">
        <v>1418</v>
      </c>
      <c r="E2188" t="s">
        <v>890</v>
      </c>
      <c r="F2188">
        <v>4500414461</v>
      </c>
      <c r="H2188" t="s">
        <v>12</v>
      </c>
      <c r="I2188" t="s">
        <v>1420</v>
      </c>
      <c r="J2188" t="s">
        <v>890</v>
      </c>
      <c r="K2188">
        <v>2732</v>
      </c>
      <c r="L2188" t="s">
        <v>6408</v>
      </c>
      <c r="M2188" t="str" cm="1">
        <f t="array" ref="M2188">INDEX('Org List'!$A$2:$C$1005,MATCH(Consolidated!I2188&amp;Consolidated!J2188,'Org List'!$A$2:$A$1005&amp;'Org List'!$B$2:$B$1005,0),3)</f>
        <v>Red Cross: National</v>
      </c>
    </row>
    <row r="2189" spans="1:13" x14ac:dyDescent="0.25">
      <c r="A2189" t="s">
        <v>1658</v>
      </c>
      <c r="B2189" t="s">
        <v>1417</v>
      </c>
      <c r="C2189" t="s">
        <v>30</v>
      </c>
      <c r="D2189" t="s">
        <v>1418</v>
      </c>
      <c r="E2189" t="s">
        <v>890</v>
      </c>
      <c r="F2189">
        <v>4500417896</v>
      </c>
      <c r="H2189" t="s">
        <v>12</v>
      </c>
      <c r="I2189" t="s">
        <v>1421</v>
      </c>
      <c r="J2189" t="s">
        <v>890</v>
      </c>
      <c r="K2189">
        <v>4060</v>
      </c>
      <c r="L2189" t="s">
        <v>6408</v>
      </c>
      <c r="M2189" t="str" cm="1">
        <f t="array" ref="M2189">INDEX('Org List'!$A$2:$C$1005,MATCH(Consolidated!I2189&amp;Consolidated!J2189,'Org List'!$A$2:$A$1005&amp;'Org List'!$B$2:$B$1005,0),3)</f>
        <v>Unknown</v>
      </c>
    </row>
    <row r="2190" spans="1:13" x14ac:dyDescent="0.25">
      <c r="A2190" t="s">
        <v>1658</v>
      </c>
      <c r="B2190" t="s">
        <v>1417</v>
      </c>
      <c r="C2190" t="s">
        <v>30</v>
      </c>
      <c r="D2190" t="s">
        <v>1418</v>
      </c>
      <c r="E2190" t="s">
        <v>890</v>
      </c>
      <c r="F2190">
        <v>4500419042</v>
      </c>
      <c r="H2190" t="s">
        <v>12</v>
      </c>
      <c r="I2190" t="s">
        <v>1088</v>
      </c>
      <c r="J2190" t="s">
        <v>890</v>
      </c>
      <c r="K2190">
        <v>46088</v>
      </c>
      <c r="L2190" t="s">
        <v>6408</v>
      </c>
      <c r="M2190" t="str" cm="1">
        <f t="array" ref="M2190">INDEX('Org List'!$A$2:$C$1005,MATCH(Consolidated!I2190&amp;Consolidated!J2190,'Org List'!$A$2:$A$1005&amp;'Org List'!$B$2:$B$1005,0),3)</f>
        <v>NGOs: Internationally affiliated</v>
      </c>
    </row>
    <row r="2191" spans="1:13" x14ac:dyDescent="0.25">
      <c r="A2191" t="s">
        <v>1658</v>
      </c>
      <c r="B2191" t="s">
        <v>1517</v>
      </c>
      <c r="C2191" t="s">
        <v>512</v>
      </c>
      <c r="D2191" t="s">
        <v>1518</v>
      </c>
      <c r="E2191" t="s">
        <v>205</v>
      </c>
      <c r="F2191">
        <v>4500427423</v>
      </c>
      <c r="H2191" t="s">
        <v>12</v>
      </c>
      <c r="I2191" t="s">
        <v>1519</v>
      </c>
      <c r="J2191" t="s">
        <v>205</v>
      </c>
      <c r="K2191">
        <v>201562.5</v>
      </c>
      <c r="L2191" t="s">
        <v>6408</v>
      </c>
      <c r="M2191" t="str" cm="1">
        <f t="array" ref="M2191">INDEX('Org List'!$A$2:$C$1005,MATCH(Consolidated!I2191&amp;Consolidated!J2191,'Org List'!$A$2:$A$1005&amp;'Org List'!$B$2:$B$1005,0),3)</f>
        <v>NGOs: International</v>
      </c>
    </row>
    <row r="2192" spans="1:13" x14ac:dyDescent="0.25">
      <c r="A2192" t="s">
        <v>1658</v>
      </c>
      <c r="B2192" t="s">
        <v>1517</v>
      </c>
      <c r="C2192" t="s">
        <v>512</v>
      </c>
      <c r="D2192" t="s">
        <v>1518</v>
      </c>
      <c r="E2192" t="s">
        <v>210</v>
      </c>
      <c r="F2192">
        <v>4500423410</v>
      </c>
      <c r="H2192" t="s">
        <v>12</v>
      </c>
      <c r="I2192" t="s">
        <v>212</v>
      </c>
      <c r="J2192" t="s">
        <v>210</v>
      </c>
      <c r="K2192">
        <v>56763.12</v>
      </c>
      <c r="L2192" t="s">
        <v>6408</v>
      </c>
      <c r="M2192" t="str" cm="1">
        <f t="array" ref="M2192">INDEX('Org List'!$A$2:$C$1005,MATCH(Consolidated!I2192&amp;Consolidated!J2192,'Org List'!$A$2:$A$1005&amp;'Org List'!$B$2:$B$1005,0),3)</f>
        <v>NGOs: National</v>
      </c>
    </row>
    <row r="2193" spans="1:13" x14ac:dyDescent="0.25">
      <c r="A2193" t="s">
        <v>1658</v>
      </c>
      <c r="B2193" t="s">
        <v>1517</v>
      </c>
      <c r="C2193" t="s">
        <v>512</v>
      </c>
      <c r="D2193" t="s">
        <v>1518</v>
      </c>
      <c r="E2193" t="s">
        <v>890</v>
      </c>
      <c r="F2193">
        <v>4500417931</v>
      </c>
      <c r="H2193" t="s">
        <v>12</v>
      </c>
      <c r="I2193" t="s">
        <v>246</v>
      </c>
      <c r="J2193" t="s">
        <v>890</v>
      </c>
      <c r="K2193">
        <v>85959.33</v>
      </c>
      <c r="L2193" t="s">
        <v>6408</v>
      </c>
      <c r="M2193" t="str" cm="1">
        <f t="array" ref="M2193">INDEX('Org List'!$A$2:$C$1005,MATCH(Consolidated!I2193&amp;Consolidated!J2193,'Org List'!$A$2:$A$1005&amp;'Org List'!$B$2:$B$1005,0),3)</f>
        <v>NGOs: National</v>
      </c>
    </row>
    <row r="2194" spans="1:13" x14ac:dyDescent="0.25">
      <c r="A2194" t="s">
        <v>1658</v>
      </c>
      <c r="B2194" t="s">
        <v>1517</v>
      </c>
      <c r="C2194" t="s">
        <v>512</v>
      </c>
      <c r="D2194" t="s">
        <v>1518</v>
      </c>
      <c r="E2194" t="s">
        <v>890</v>
      </c>
      <c r="F2194">
        <v>4500417935</v>
      </c>
      <c r="H2194" t="s">
        <v>12</v>
      </c>
      <c r="I2194" t="s">
        <v>1419</v>
      </c>
      <c r="J2194" t="s">
        <v>890</v>
      </c>
      <c r="K2194">
        <v>85959.33</v>
      </c>
      <c r="L2194" t="s">
        <v>6408</v>
      </c>
      <c r="M2194" t="str" cm="1">
        <f t="array" ref="M2194">INDEX('Org List'!$A$2:$C$1005,MATCH(Consolidated!I2194&amp;Consolidated!J2194,'Org List'!$A$2:$A$1005&amp;'Org List'!$B$2:$B$1005,0),3)</f>
        <v>NGOs: National</v>
      </c>
    </row>
    <row r="2195" spans="1:13" x14ac:dyDescent="0.25">
      <c r="A2195" t="s">
        <v>1658</v>
      </c>
      <c r="B2195" t="s">
        <v>696</v>
      </c>
      <c r="C2195" t="s">
        <v>30</v>
      </c>
      <c r="D2195" t="s">
        <v>697</v>
      </c>
      <c r="E2195" t="s">
        <v>159</v>
      </c>
      <c r="F2195">
        <v>4500426657</v>
      </c>
      <c r="H2195" t="s">
        <v>12</v>
      </c>
      <c r="I2195" t="s">
        <v>1358</v>
      </c>
      <c r="J2195" t="s">
        <v>159</v>
      </c>
      <c r="K2195">
        <v>37140</v>
      </c>
      <c r="L2195" t="s">
        <v>6408</v>
      </c>
      <c r="M2195" t="str" cm="1">
        <f t="array" ref="M2195">INDEX('Org List'!$A$2:$C$1005,MATCH(Consolidated!I2195&amp;Consolidated!J2195,'Org List'!$A$2:$A$1005&amp;'Org List'!$B$2:$B$1005,0),3)</f>
        <v>NGOs: International</v>
      </c>
    </row>
    <row r="2196" spans="1:13" x14ac:dyDescent="0.25">
      <c r="A2196" t="s">
        <v>1658</v>
      </c>
      <c r="B2196" t="s">
        <v>1143</v>
      </c>
      <c r="C2196" t="s">
        <v>30</v>
      </c>
      <c r="D2196" t="s">
        <v>1144</v>
      </c>
      <c r="E2196" t="s">
        <v>54</v>
      </c>
      <c r="F2196">
        <v>4500421002</v>
      </c>
      <c r="H2196" t="s">
        <v>12</v>
      </c>
      <c r="I2196" t="s">
        <v>1254</v>
      </c>
      <c r="J2196" t="s">
        <v>54</v>
      </c>
      <c r="K2196">
        <v>47692</v>
      </c>
      <c r="L2196" t="s">
        <v>6408</v>
      </c>
      <c r="M2196" t="str" cm="1">
        <f t="array" ref="M2196">INDEX('Org List'!$A$2:$C$1005,MATCH(Consolidated!I2196&amp;Consolidated!J2196,'Org List'!$A$2:$A$1005&amp;'Org List'!$B$2:$B$1005,0),3)</f>
        <v>NGOs: International</v>
      </c>
    </row>
    <row r="2197" spans="1:13" x14ac:dyDescent="0.25">
      <c r="A2197" t="s">
        <v>1658</v>
      </c>
      <c r="B2197" t="s">
        <v>1644</v>
      </c>
      <c r="C2197" t="s">
        <v>30</v>
      </c>
      <c r="D2197" t="s">
        <v>1643</v>
      </c>
      <c r="E2197" t="s">
        <v>155</v>
      </c>
      <c r="F2197">
        <v>4500414034</v>
      </c>
      <c r="H2197" t="s">
        <v>12</v>
      </c>
      <c r="I2197" t="s">
        <v>1543</v>
      </c>
      <c r="J2197" t="s">
        <v>155</v>
      </c>
      <c r="K2197">
        <v>122262.46</v>
      </c>
      <c r="L2197" t="s">
        <v>6408</v>
      </c>
      <c r="M2197" t="str" cm="1">
        <f t="array" ref="M2197">INDEX('Org List'!$A$2:$C$1005,MATCH(Consolidated!I2197&amp;Consolidated!J2197,'Org List'!$A$2:$A$1005&amp;'Org List'!$B$2:$B$1005,0),3)</f>
        <v>Red Cross: National</v>
      </c>
    </row>
    <row r="2198" spans="1:13" x14ac:dyDescent="0.25">
      <c r="A2198" t="s">
        <v>1658</v>
      </c>
      <c r="B2198" t="s">
        <v>1645</v>
      </c>
      <c r="C2198" t="s">
        <v>30</v>
      </c>
      <c r="D2198" t="s">
        <v>1646</v>
      </c>
      <c r="E2198" t="s">
        <v>1554</v>
      </c>
      <c r="F2198">
        <v>4500425419</v>
      </c>
      <c r="H2198" t="s">
        <v>12</v>
      </c>
      <c r="I2198" t="s">
        <v>1647</v>
      </c>
      <c r="J2198" t="s">
        <v>1554</v>
      </c>
      <c r="K2198">
        <v>51840.35</v>
      </c>
      <c r="L2198" t="s">
        <v>6408</v>
      </c>
      <c r="M2198" t="str" cm="1">
        <f t="array" ref="M2198">INDEX('Org List'!$A$2:$C$1005,MATCH(Consolidated!I2198&amp;Consolidated!J2198,'Org List'!$A$2:$A$1005&amp;'Org List'!$B$2:$B$1005,0),3)</f>
        <v>NGOs: National</v>
      </c>
    </row>
    <row r="2199" spans="1:13" x14ac:dyDescent="0.25">
      <c r="A2199" t="s">
        <v>1658</v>
      </c>
      <c r="B2199" t="s">
        <v>1648</v>
      </c>
      <c r="C2199" t="s">
        <v>30</v>
      </c>
      <c r="D2199" t="s">
        <v>1649</v>
      </c>
      <c r="E2199" t="s">
        <v>1650</v>
      </c>
      <c r="F2199">
        <v>4500424789</v>
      </c>
      <c r="H2199" t="s">
        <v>12</v>
      </c>
      <c r="I2199" t="s">
        <v>1651</v>
      </c>
      <c r="J2199" t="s">
        <v>1650</v>
      </c>
      <c r="K2199">
        <v>150000</v>
      </c>
      <c r="L2199" t="s">
        <v>6408</v>
      </c>
      <c r="M2199" t="str" cm="1">
        <f t="array" ref="M2199">INDEX('Org List'!$A$2:$C$1005,MATCH(Consolidated!I2199&amp;Consolidated!J2199,'Org List'!$A$2:$A$1005&amp;'Org List'!$B$2:$B$1005,0),3)</f>
        <v>Red Cross: National</v>
      </c>
    </row>
    <row r="2200" spans="1:13" x14ac:dyDescent="0.25">
      <c r="A2200" t="s">
        <v>1658</v>
      </c>
      <c r="B2200" t="s">
        <v>1648</v>
      </c>
      <c r="C2200" t="s">
        <v>30</v>
      </c>
      <c r="D2200" t="s">
        <v>1649</v>
      </c>
      <c r="E2200" t="s">
        <v>1650</v>
      </c>
      <c r="F2200">
        <v>4500425210</v>
      </c>
      <c r="H2200" t="s">
        <v>12</v>
      </c>
      <c r="I2200" t="s">
        <v>1652</v>
      </c>
      <c r="J2200" t="s">
        <v>1650</v>
      </c>
      <c r="K2200">
        <v>549976</v>
      </c>
      <c r="L2200" t="s">
        <v>6408</v>
      </c>
      <c r="M2200" t="str" cm="1">
        <f t="array" ref="M2200">INDEX('Org List'!$A$2:$C$1005,MATCH(Consolidated!I2200&amp;Consolidated!J2200,'Org List'!$A$2:$A$1005&amp;'Org List'!$B$2:$B$1005,0),3)</f>
        <v>NGOs: National</v>
      </c>
    </row>
    <row r="2201" spans="1:13" x14ac:dyDescent="0.25">
      <c r="A2201" t="s">
        <v>1658</v>
      </c>
      <c r="B2201" t="s">
        <v>1648</v>
      </c>
      <c r="C2201" t="s">
        <v>30</v>
      </c>
      <c r="D2201" t="s">
        <v>1649</v>
      </c>
      <c r="E2201" t="s">
        <v>1650</v>
      </c>
      <c r="F2201">
        <v>4500425216</v>
      </c>
      <c r="H2201" t="s">
        <v>12</v>
      </c>
      <c r="I2201" t="s">
        <v>1653</v>
      </c>
      <c r="J2201" t="s">
        <v>1650</v>
      </c>
      <c r="K2201">
        <v>298556</v>
      </c>
      <c r="L2201" t="s">
        <v>6408</v>
      </c>
      <c r="M2201" t="str" cm="1">
        <f t="array" ref="M2201">INDEX('Org List'!$A$2:$C$1005,MATCH(Consolidated!I2201&amp;Consolidated!J2201,'Org List'!$A$2:$A$1005&amp;'Org List'!$B$2:$B$1005,0),3)</f>
        <v>NGOs: International</v>
      </c>
    </row>
    <row r="2202" spans="1:13" x14ac:dyDescent="0.25">
      <c r="A2202" t="s">
        <v>1658</v>
      </c>
      <c r="B2202" t="s">
        <v>1654</v>
      </c>
      <c r="C2202" t="s">
        <v>30</v>
      </c>
      <c r="D2202" t="s">
        <v>1655</v>
      </c>
      <c r="E2202" t="s">
        <v>155</v>
      </c>
      <c r="F2202">
        <v>4500429439</v>
      </c>
      <c r="H2202" t="s">
        <v>12</v>
      </c>
      <c r="I2202" t="s">
        <v>1656</v>
      </c>
      <c r="J2202" t="s">
        <v>155</v>
      </c>
      <c r="K2202">
        <v>86258.64</v>
      </c>
      <c r="L2202" t="s">
        <v>6408</v>
      </c>
      <c r="M2202" t="str" cm="1">
        <f t="array" ref="M2202">INDEX('Org List'!$A$2:$C$1005,MATCH(Consolidated!I2202&amp;Consolidated!J2202,'Org List'!$A$2:$A$1005&amp;'Org List'!$B$2:$B$1005,0),3)</f>
        <v>NGOs: International</v>
      </c>
    </row>
    <row r="2203" spans="1:13" x14ac:dyDescent="0.25">
      <c r="A2203" t="s">
        <v>1893</v>
      </c>
      <c r="B2203" t="s">
        <v>1238</v>
      </c>
      <c r="C2203" t="s">
        <v>30</v>
      </c>
      <c r="D2203" t="s">
        <v>1239</v>
      </c>
      <c r="E2203" t="s">
        <v>561</v>
      </c>
      <c r="F2203">
        <v>4500383875</v>
      </c>
      <c r="H2203" t="s">
        <v>12</v>
      </c>
      <c r="I2203" t="s">
        <v>1683</v>
      </c>
      <c r="J2203" t="s">
        <v>561</v>
      </c>
      <c r="K2203">
        <v>15665.59</v>
      </c>
      <c r="L2203" t="s">
        <v>6408</v>
      </c>
      <c r="M2203" t="str" cm="1">
        <f t="array" ref="M2203">INDEX('Org List'!$A$2:$C$1005,MATCH(Consolidated!I2203&amp;Consolidated!J2203,'Org List'!$A$2:$A$1005&amp;'Org List'!$B$2:$B$1005,0),3)</f>
        <v>Other: National</v>
      </c>
    </row>
    <row r="2204" spans="1:13" x14ac:dyDescent="0.25">
      <c r="A2204" t="s">
        <v>1893</v>
      </c>
      <c r="B2204" t="s">
        <v>66</v>
      </c>
      <c r="C2204" t="s">
        <v>30</v>
      </c>
      <c r="D2204" t="s">
        <v>67</v>
      </c>
      <c r="E2204" t="s">
        <v>1166</v>
      </c>
      <c r="F2204">
        <v>4500380995</v>
      </c>
      <c r="H2204" t="s">
        <v>12</v>
      </c>
      <c r="I2204" t="s">
        <v>1684</v>
      </c>
      <c r="J2204" t="s">
        <v>1166</v>
      </c>
      <c r="K2204">
        <v>45360.59</v>
      </c>
      <c r="L2204" t="s">
        <v>6408</v>
      </c>
      <c r="M2204" t="str" cm="1">
        <f t="array" ref="M2204">INDEX('Org List'!$A$2:$C$1005,MATCH(Consolidated!I2204&amp;Consolidated!J2204,'Org List'!$A$2:$A$1005&amp;'Org List'!$B$2:$B$1005,0),3)</f>
        <v>NGOs: National</v>
      </c>
    </row>
    <row r="2205" spans="1:13" x14ac:dyDescent="0.25">
      <c r="A2205" t="s">
        <v>1893</v>
      </c>
      <c r="B2205" t="s">
        <v>66</v>
      </c>
      <c r="C2205" t="s">
        <v>30</v>
      </c>
      <c r="D2205" t="s">
        <v>67</v>
      </c>
      <c r="E2205" t="s">
        <v>1166</v>
      </c>
      <c r="F2205">
        <v>4500381003</v>
      </c>
      <c r="H2205" t="s">
        <v>12</v>
      </c>
      <c r="I2205" t="s">
        <v>1685</v>
      </c>
      <c r="J2205" t="s">
        <v>1166</v>
      </c>
      <c r="K2205">
        <v>29880.75</v>
      </c>
      <c r="L2205" t="s">
        <v>6408</v>
      </c>
      <c r="M2205" t="str" cm="1">
        <f t="array" ref="M2205">INDEX('Org List'!$A$2:$C$1005,MATCH(Consolidated!I2205&amp;Consolidated!J2205,'Org List'!$A$2:$A$1005&amp;'Org List'!$B$2:$B$1005,0),3)</f>
        <v>NGOs: National</v>
      </c>
    </row>
    <row r="2206" spans="1:13" x14ac:dyDescent="0.25">
      <c r="A2206" t="s">
        <v>1893</v>
      </c>
      <c r="B2206" t="s">
        <v>66</v>
      </c>
      <c r="C2206" t="s">
        <v>30</v>
      </c>
      <c r="D2206" t="s">
        <v>67</v>
      </c>
      <c r="E2206" t="s">
        <v>1166</v>
      </c>
      <c r="F2206">
        <v>4500381009</v>
      </c>
      <c r="H2206" t="s">
        <v>12</v>
      </c>
      <c r="I2206" t="s">
        <v>1686</v>
      </c>
      <c r="J2206" t="s">
        <v>1166</v>
      </c>
      <c r="K2206">
        <v>28392.959999999999</v>
      </c>
      <c r="L2206" t="s">
        <v>6408</v>
      </c>
      <c r="M2206" t="str" cm="1">
        <f t="array" ref="M2206">INDEX('Org List'!$A$2:$C$1005,MATCH(Consolidated!I2206&amp;Consolidated!J2206,'Org List'!$A$2:$A$1005&amp;'Org List'!$B$2:$B$1005,0),3)</f>
        <v>NGOs: International</v>
      </c>
    </row>
    <row r="2207" spans="1:13" x14ac:dyDescent="0.25">
      <c r="A2207" t="s">
        <v>1893</v>
      </c>
      <c r="B2207" t="s">
        <v>66</v>
      </c>
      <c r="C2207" t="s">
        <v>30</v>
      </c>
      <c r="D2207" t="s">
        <v>67</v>
      </c>
      <c r="E2207" t="s">
        <v>1166</v>
      </c>
      <c r="F2207">
        <v>4500381988</v>
      </c>
      <c r="H2207" t="s">
        <v>12</v>
      </c>
      <c r="I2207" t="s">
        <v>1687</v>
      </c>
      <c r="J2207" t="s">
        <v>1166</v>
      </c>
      <c r="K2207">
        <v>33739.06</v>
      </c>
      <c r="L2207" t="s">
        <v>6408</v>
      </c>
      <c r="M2207" t="str" cm="1">
        <f t="array" ref="M2207">INDEX('Org List'!$A$2:$C$1005,MATCH(Consolidated!I2207&amp;Consolidated!J2207,'Org List'!$A$2:$A$1005&amp;'Org List'!$B$2:$B$1005,0),3)</f>
        <v>NGOs: International</v>
      </c>
    </row>
    <row r="2208" spans="1:13" x14ac:dyDescent="0.25">
      <c r="A2208" t="s">
        <v>1893</v>
      </c>
      <c r="B2208" t="s">
        <v>66</v>
      </c>
      <c r="C2208" t="s">
        <v>30</v>
      </c>
      <c r="D2208" t="s">
        <v>67</v>
      </c>
      <c r="E2208" t="s">
        <v>1166</v>
      </c>
      <c r="F2208">
        <v>4500382015</v>
      </c>
      <c r="H2208" t="s">
        <v>12</v>
      </c>
      <c r="I2208" t="s">
        <v>1688</v>
      </c>
      <c r="J2208" t="s">
        <v>1166</v>
      </c>
      <c r="K2208">
        <v>32617.83</v>
      </c>
      <c r="L2208" t="s">
        <v>6408</v>
      </c>
      <c r="M2208" t="str" cm="1">
        <f t="array" ref="M2208">INDEX('Org List'!$A$2:$C$1005,MATCH(Consolidated!I2208&amp;Consolidated!J2208,'Org List'!$A$2:$A$1005&amp;'Org List'!$B$2:$B$1005,0),3)</f>
        <v>NGOs: Local</v>
      </c>
    </row>
    <row r="2209" spans="1:13" x14ac:dyDescent="0.25">
      <c r="A2209" t="s">
        <v>1893</v>
      </c>
      <c r="B2209" t="s">
        <v>66</v>
      </c>
      <c r="C2209" t="s">
        <v>30</v>
      </c>
      <c r="D2209" t="s">
        <v>67</v>
      </c>
      <c r="E2209" t="s">
        <v>1166</v>
      </c>
      <c r="F2209">
        <v>4500382053</v>
      </c>
      <c r="H2209" t="s">
        <v>12</v>
      </c>
      <c r="I2209" t="s">
        <v>1689</v>
      </c>
      <c r="J2209" t="s">
        <v>1166</v>
      </c>
      <c r="K2209">
        <v>44747.3</v>
      </c>
      <c r="L2209" t="s">
        <v>6408</v>
      </c>
      <c r="M2209" t="str" cm="1">
        <f t="array" ref="M2209">INDEX('Org List'!$A$2:$C$1005,MATCH(Consolidated!I2209&amp;Consolidated!J2209,'Org List'!$A$2:$A$1005&amp;'Org List'!$B$2:$B$1005,0),3)</f>
        <v>NGOs: Local</v>
      </c>
    </row>
    <row r="2210" spans="1:13" x14ac:dyDescent="0.25">
      <c r="A2210" t="s">
        <v>1893</v>
      </c>
      <c r="B2210" t="s">
        <v>66</v>
      </c>
      <c r="C2210" t="s">
        <v>30</v>
      </c>
      <c r="D2210" t="s">
        <v>67</v>
      </c>
      <c r="E2210" t="s">
        <v>1166</v>
      </c>
      <c r="F2210">
        <v>4500388513</v>
      </c>
      <c r="H2210" t="s">
        <v>12</v>
      </c>
      <c r="I2210" t="s">
        <v>1690</v>
      </c>
      <c r="J2210" t="s">
        <v>1166</v>
      </c>
      <c r="K2210">
        <v>25845.81</v>
      </c>
      <c r="L2210" t="s">
        <v>6408</v>
      </c>
      <c r="M2210" t="str" cm="1">
        <f t="array" ref="M2210">INDEX('Org List'!$A$2:$C$1005,MATCH(Consolidated!I2210&amp;Consolidated!J2210,'Org List'!$A$2:$A$1005&amp;'Org List'!$B$2:$B$1005,0),3)</f>
        <v>NGOs: Local</v>
      </c>
    </row>
    <row r="2211" spans="1:13" x14ac:dyDescent="0.25">
      <c r="A2211" t="s">
        <v>1893</v>
      </c>
      <c r="B2211" t="s">
        <v>1243</v>
      </c>
      <c r="C2211" t="s">
        <v>30</v>
      </c>
      <c r="D2211" t="s">
        <v>1244</v>
      </c>
      <c r="E2211" t="s">
        <v>32</v>
      </c>
      <c r="F2211">
        <v>4500382227</v>
      </c>
      <c r="H2211" t="s">
        <v>12</v>
      </c>
      <c r="I2211" t="s">
        <v>577</v>
      </c>
      <c r="J2211" t="s">
        <v>32</v>
      </c>
      <c r="K2211">
        <v>150040</v>
      </c>
      <c r="L2211" t="s">
        <v>6408</v>
      </c>
      <c r="M2211" t="str" cm="1">
        <f t="array" ref="M2211">INDEX('Org List'!$A$2:$C$1005,MATCH(Consolidated!I2211&amp;Consolidated!J2211,'Org List'!$A$2:$A$1005&amp;'Org List'!$B$2:$B$1005,0),3)</f>
        <v>NGOs: National</v>
      </c>
    </row>
    <row r="2212" spans="1:13" x14ac:dyDescent="0.25">
      <c r="A2212" t="s">
        <v>1893</v>
      </c>
      <c r="B2212" t="s">
        <v>1243</v>
      </c>
      <c r="C2212" t="s">
        <v>30</v>
      </c>
      <c r="D2212" t="s">
        <v>1244</v>
      </c>
      <c r="E2212" t="s">
        <v>32</v>
      </c>
      <c r="F2212">
        <v>4500382249</v>
      </c>
      <c r="H2212" t="s">
        <v>12</v>
      </c>
      <c r="I2212" t="s">
        <v>104</v>
      </c>
      <c r="J2212" t="s">
        <v>32</v>
      </c>
      <c r="K2212">
        <v>150000</v>
      </c>
      <c r="L2212" t="s">
        <v>6408</v>
      </c>
      <c r="M2212" t="str" cm="1">
        <f t="array" ref="M2212">INDEX('Org List'!$A$2:$C$1005,MATCH(Consolidated!I2212&amp;Consolidated!J2212,'Org List'!$A$2:$A$1005&amp;'Org List'!$B$2:$B$1005,0),3)</f>
        <v>NGOs: Local</v>
      </c>
    </row>
    <row r="2213" spans="1:13" x14ac:dyDescent="0.25">
      <c r="A2213" t="s">
        <v>1893</v>
      </c>
      <c r="B2213" t="s">
        <v>1243</v>
      </c>
      <c r="C2213" t="s">
        <v>30</v>
      </c>
      <c r="D2213" t="s">
        <v>1244</v>
      </c>
      <c r="E2213" t="s">
        <v>32</v>
      </c>
      <c r="F2213">
        <v>4500396556</v>
      </c>
      <c r="H2213" t="s">
        <v>12</v>
      </c>
      <c r="I2213" t="s">
        <v>1691</v>
      </c>
      <c r="J2213" t="s">
        <v>32</v>
      </c>
      <c r="K2213">
        <v>19405</v>
      </c>
      <c r="L2213" t="s">
        <v>6408</v>
      </c>
      <c r="M2213" t="str" cm="1">
        <f t="array" ref="M2213">INDEX('Org List'!$A$2:$C$1005,MATCH(Consolidated!I2213&amp;Consolidated!J2213,'Org List'!$A$2:$A$1005&amp;'Org List'!$B$2:$B$1005,0),3)</f>
        <v>NGOs: National</v>
      </c>
    </row>
    <row r="2214" spans="1:13" x14ac:dyDescent="0.25">
      <c r="A2214" t="s">
        <v>1893</v>
      </c>
      <c r="B2214" t="s">
        <v>1243</v>
      </c>
      <c r="C2214" t="s">
        <v>30</v>
      </c>
      <c r="D2214" t="s">
        <v>1244</v>
      </c>
      <c r="E2214" t="s">
        <v>32</v>
      </c>
      <c r="F2214">
        <v>4500404085</v>
      </c>
      <c r="H2214" t="s">
        <v>12</v>
      </c>
      <c r="I2214" t="s">
        <v>1692</v>
      </c>
      <c r="J2214" t="s">
        <v>32</v>
      </c>
      <c r="K2214">
        <v>20089</v>
      </c>
      <c r="L2214" t="s">
        <v>6408</v>
      </c>
      <c r="M2214" t="str" cm="1">
        <f t="array" ref="M2214">INDEX('Org List'!$A$2:$C$1005,MATCH(Consolidated!I2214&amp;Consolidated!J2214,'Org List'!$A$2:$A$1005&amp;'Org List'!$B$2:$B$1005,0),3)</f>
        <v>NGOs: National</v>
      </c>
    </row>
    <row r="2215" spans="1:13" x14ac:dyDescent="0.25">
      <c r="A2215" t="s">
        <v>1893</v>
      </c>
      <c r="B2215" t="s">
        <v>74</v>
      </c>
      <c r="C2215" t="s">
        <v>30</v>
      </c>
      <c r="D2215" t="s">
        <v>75</v>
      </c>
      <c r="E2215" t="s">
        <v>903</v>
      </c>
      <c r="F2215">
        <v>4500398913</v>
      </c>
      <c r="H2215" t="s">
        <v>12</v>
      </c>
      <c r="I2215" t="s">
        <v>80</v>
      </c>
      <c r="J2215" t="s">
        <v>903</v>
      </c>
      <c r="K2215">
        <v>8457.85</v>
      </c>
      <c r="L2215" t="s">
        <v>6408</v>
      </c>
      <c r="M2215" t="str" cm="1">
        <f t="array" ref="M2215">INDEX('Org List'!$A$2:$C$1005,MATCH(Consolidated!I2215&amp;Consolidated!J2215,'Org List'!$A$2:$A$1005&amp;'Org List'!$B$2:$B$1005,0),3)</f>
        <v>NGOs: National</v>
      </c>
    </row>
    <row r="2216" spans="1:13" x14ac:dyDescent="0.25">
      <c r="A2216" t="s">
        <v>1893</v>
      </c>
      <c r="B2216" t="s">
        <v>74</v>
      </c>
      <c r="C2216" t="s">
        <v>30</v>
      </c>
      <c r="D2216" t="s">
        <v>75</v>
      </c>
      <c r="E2216" t="s">
        <v>903</v>
      </c>
      <c r="F2216">
        <v>4500403377</v>
      </c>
      <c r="H2216" t="s">
        <v>12</v>
      </c>
      <c r="I2216" t="s">
        <v>80</v>
      </c>
      <c r="J2216" t="s">
        <v>903</v>
      </c>
      <c r="K2216">
        <v>51419.34</v>
      </c>
      <c r="L2216" t="s">
        <v>6408</v>
      </c>
      <c r="M2216" t="str" cm="1">
        <f t="array" ref="M2216">INDEX('Org List'!$A$2:$C$1005,MATCH(Consolidated!I2216&amp;Consolidated!J2216,'Org List'!$A$2:$A$1005&amp;'Org List'!$B$2:$B$1005,0),3)</f>
        <v>NGOs: National</v>
      </c>
    </row>
    <row r="2217" spans="1:13" x14ac:dyDescent="0.25">
      <c r="A2217" t="s">
        <v>1893</v>
      </c>
      <c r="B2217" t="s">
        <v>74</v>
      </c>
      <c r="C2217" t="s">
        <v>30</v>
      </c>
      <c r="D2217" t="s">
        <v>75</v>
      </c>
      <c r="E2217" t="s">
        <v>54</v>
      </c>
      <c r="F2217">
        <v>4500385918</v>
      </c>
      <c r="H2217" t="s">
        <v>12</v>
      </c>
      <c r="I2217" t="s">
        <v>1693</v>
      </c>
      <c r="J2217" t="s">
        <v>54</v>
      </c>
      <c r="K2217">
        <v>100000</v>
      </c>
      <c r="L2217" t="s">
        <v>6408</v>
      </c>
      <c r="M2217" t="str" cm="1">
        <f t="array" ref="M2217">INDEX('Org List'!$A$2:$C$1005,MATCH(Consolidated!I2217&amp;Consolidated!J2217,'Org List'!$A$2:$A$1005&amp;'Org List'!$B$2:$B$1005,0),3)</f>
        <v>NGOs: International</v>
      </c>
    </row>
    <row r="2218" spans="1:13" x14ac:dyDescent="0.25">
      <c r="A2218" t="s">
        <v>1893</v>
      </c>
      <c r="B2218" t="s">
        <v>81</v>
      </c>
      <c r="C2218" t="s">
        <v>30</v>
      </c>
      <c r="D2218" t="s">
        <v>82</v>
      </c>
      <c r="E2218" t="s">
        <v>83</v>
      </c>
      <c r="F2218">
        <v>4500392535</v>
      </c>
      <c r="H2218" t="s">
        <v>12</v>
      </c>
      <c r="I2218" t="s">
        <v>85</v>
      </c>
      <c r="J2218" t="s">
        <v>83</v>
      </c>
      <c r="K2218">
        <v>123640</v>
      </c>
      <c r="L2218" t="s">
        <v>6408</v>
      </c>
      <c r="M2218" t="str" cm="1">
        <f t="array" ref="M2218">INDEX('Org List'!$A$2:$C$1005,MATCH(Consolidated!I2218&amp;Consolidated!J2218,'Org List'!$A$2:$A$1005&amp;'Org List'!$B$2:$B$1005,0),3)</f>
        <v>NGOs: International</v>
      </c>
    </row>
    <row r="2219" spans="1:13" x14ac:dyDescent="0.25">
      <c r="A2219" t="s">
        <v>1893</v>
      </c>
      <c r="B2219" t="s">
        <v>81</v>
      </c>
      <c r="C2219" t="s">
        <v>30</v>
      </c>
      <c r="D2219" t="s">
        <v>82</v>
      </c>
      <c r="E2219" t="s">
        <v>83</v>
      </c>
      <c r="F2219">
        <v>4500392880</v>
      </c>
      <c r="H2219" t="s">
        <v>12</v>
      </c>
      <c r="I2219" t="s">
        <v>86</v>
      </c>
      <c r="J2219" t="s">
        <v>83</v>
      </c>
      <c r="K2219">
        <v>16000</v>
      </c>
      <c r="L2219" t="s">
        <v>6408</v>
      </c>
      <c r="M2219" t="str" cm="1">
        <f t="array" ref="M2219">INDEX('Org List'!$A$2:$C$1005,MATCH(Consolidated!I2219&amp;Consolidated!J2219,'Org List'!$A$2:$A$1005&amp;'Org List'!$B$2:$B$1005,0),3)</f>
        <v>NGOs: International</v>
      </c>
    </row>
    <row r="2220" spans="1:13" x14ac:dyDescent="0.25">
      <c r="A2220" t="s">
        <v>1893</v>
      </c>
      <c r="B2220" t="s">
        <v>1694</v>
      </c>
      <c r="C2220" t="s">
        <v>30</v>
      </c>
      <c r="D2220" t="s">
        <v>1695</v>
      </c>
      <c r="E2220" t="s">
        <v>32</v>
      </c>
      <c r="F2220">
        <v>4500390111</v>
      </c>
      <c r="H2220" t="s">
        <v>12</v>
      </c>
      <c r="I2220" t="s">
        <v>33</v>
      </c>
      <c r="J2220" t="s">
        <v>32</v>
      </c>
      <c r="K2220">
        <v>17500</v>
      </c>
      <c r="L2220" t="s">
        <v>6408</v>
      </c>
      <c r="M2220" t="str" cm="1">
        <f t="array" ref="M2220">INDEX('Org List'!$A$2:$C$1005,MATCH(Consolidated!I2220&amp;Consolidated!J2220,'Org List'!$A$2:$A$1005&amp;'Org List'!$B$2:$B$1005,0),3)</f>
        <v>NGOs: National</v>
      </c>
    </row>
    <row r="2221" spans="1:13" x14ac:dyDescent="0.25">
      <c r="A2221" t="s">
        <v>1893</v>
      </c>
      <c r="B2221" t="s">
        <v>87</v>
      </c>
      <c r="C2221" t="s">
        <v>30</v>
      </c>
      <c r="D2221" t="s">
        <v>88</v>
      </c>
      <c r="E2221" t="s">
        <v>32</v>
      </c>
      <c r="F2221">
        <v>4500381521</v>
      </c>
      <c r="H2221" t="s">
        <v>12</v>
      </c>
      <c r="I2221" t="s">
        <v>1696</v>
      </c>
      <c r="J2221" t="s">
        <v>32</v>
      </c>
      <c r="K2221">
        <v>238075</v>
      </c>
      <c r="L2221" t="s">
        <v>6408</v>
      </c>
      <c r="M2221" t="str" cm="1">
        <f t="array" ref="M2221">INDEX('Org List'!$A$2:$C$1005,MATCH(Consolidated!I2221&amp;Consolidated!J2221,'Org List'!$A$2:$A$1005&amp;'Org List'!$B$2:$B$1005,0),3)</f>
        <v>NGOs: International</v>
      </c>
    </row>
    <row r="2222" spans="1:13" x14ac:dyDescent="0.25">
      <c r="A2222" t="s">
        <v>1893</v>
      </c>
      <c r="B2222" t="s">
        <v>87</v>
      </c>
      <c r="C2222" t="s">
        <v>30</v>
      </c>
      <c r="D2222" t="s">
        <v>88</v>
      </c>
      <c r="E2222" t="s">
        <v>32</v>
      </c>
      <c r="F2222">
        <v>4500384263</v>
      </c>
      <c r="H2222" t="s">
        <v>12</v>
      </c>
      <c r="I2222" t="s">
        <v>93</v>
      </c>
      <c r="J2222" t="s">
        <v>32</v>
      </c>
      <c r="K2222">
        <v>349988</v>
      </c>
      <c r="L2222" t="s">
        <v>6408</v>
      </c>
      <c r="M2222" t="str" cm="1">
        <f t="array" ref="M2222">INDEX('Org List'!$A$2:$C$1005,MATCH(Consolidated!I2222&amp;Consolidated!J2222,'Org List'!$A$2:$A$1005&amp;'Org List'!$B$2:$B$1005,0),3)</f>
        <v>NGOs: National</v>
      </c>
    </row>
    <row r="2223" spans="1:13" x14ac:dyDescent="0.25">
      <c r="A2223" t="s">
        <v>1893</v>
      </c>
      <c r="B2223" t="s">
        <v>87</v>
      </c>
      <c r="C2223" t="s">
        <v>30</v>
      </c>
      <c r="D2223" t="s">
        <v>88</v>
      </c>
      <c r="E2223" t="s">
        <v>32</v>
      </c>
      <c r="F2223">
        <v>4500385515</v>
      </c>
      <c r="H2223" t="s">
        <v>12</v>
      </c>
      <c r="I2223" t="s">
        <v>1697</v>
      </c>
      <c r="J2223" t="s">
        <v>751</v>
      </c>
      <c r="K2223">
        <v>250000</v>
      </c>
      <c r="L2223" t="s">
        <v>6408</v>
      </c>
      <c r="M2223" t="str" cm="1">
        <f t="array" ref="M2223">INDEX('Org List'!$A$2:$C$1005,MATCH(Consolidated!I2223&amp;Consolidated!J2223,'Org List'!$A$2:$A$1005&amp;'Org List'!$B$2:$B$1005,0),3)</f>
        <v>NGOs: International</v>
      </c>
    </row>
    <row r="2224" spans="1:13" x14ac:dyDescent="0.25">
      <c r="A2224" t="s">
        <v>1893</v>
      </c>
      <c r="B2224" t="s">
        <v>87</v>
      </c>
      <c r="C2224" t="s">
        <v>30</v>
      </c>
      <c r="D2224" t="s">
        <v>88</v>
      </c>
      <c r="E2224" t="s">
        <v>32</v>
      </c>
      <c r="F2224">
        <v>4500386001</v>
      </c>
      <c r="H2224" t="s">
        <v>12</v>
      </c>
      <c r="I2224" t="s">
        <v>1698</v>
      </c>
      <c r="J2224" t="s">
        <v>32</v>
      </c>
      <c r="K2224">
        <v>125298</v>
      </c>
      <c r="L2224" t="s">
        <v>6408</v>
      </c>
      <c r="M2224" t="str" cm="1">
        <f t="array" ref="M2224">INDEX('Org List'!$A$2:$C$1005,MATCH(Consolidated!I2224&amp;Consolidated!J2224,'Org List'!$A$2:$A$1005&amp;'Org List'!$B$2:$B$1005,0),3)</f>
        <v>NGOs: National</v>
      </c>
    </row>
    <row r="2225" spans="1:13" x14ac:dyDescent="0.25">
      <c r="A2225" t="s">
        <v>1893</v>
      </c>
      <c r="B2225" t="s">
        <v>87</v>
      </c>
      <c r="C2225" t="s">
        <v>30</v>
      </c>
      <c r="D2225" t="s">
        <v>88</v>
      </c>
      <c r="E2225" t="s">
        <v>32</v>
      </c>
      <c r="F2225">
        <v>4500388637</v>
      </c>
      <c r="H2225" t="s">
        <v>12</v>
      </c>
      <c r="I2225" t="s">
        <v>105</v>
      </c>
      <c r="J2225" t="s">
        <v>32</v>
      </c>
      <c r="K2225">
        <v>279455</v>
      </c>
      <c r="L2225" t="s">
        <v>6408</v>
      </c>
      <c r="M2225" t="str" cm="1">
        <f t="array" ref="M2225">INDEX('Org List'!$A$2:$C$1005,MATCH(Consolidated!I2225&amp;Consolidated!J2225,'Org List'!$A$2:$A$1005&amp;'Org List'!$B$2:$B$1005,0),3)</f>
        <v>NGOs: National</v>
      </c>
    </row>
    <row r="2226" spans="1:13" x14ac:dyDescent="0.25">
      <c r="A2226" t="s">
        <v>1893</v>
      </c>
      <c r="B2226" t="s">
        <v>87</v>
      </c>
      <c r="C2226" t="s">
        <v>30</v>
      </c>
      <c r="D2226" t="s">
        <v>88</v>
      </c>
      <c r="E2226" t="s">
        <v>32</v>
      </c>
      <c r="F2226">
        <v>4500388640</v>
      </c>
      <c r="H2226" t="s">
        <v>12</v>
      </c>
      <c r="I2226" t="s">
        <v>94</v>
      </c>
      <c r="J2226" t="s">
        <v>32</v>
      </c>
      <c r="K2226">
        <v>328460</v>
      </c>
      <c r="L2226" t="s">
        <v>6408</v>
      </c>
      <c r="M2226" t="str" cm="1">
        <f t="array" ref="M2226">INDEX('Org List'!$A$2:$C$1005,MATCH(Consolidated!I2226&amp;Consolidated!J2226,'Org List'!$A$2:$A$1005&amp;'Org List'!$B$2:$B$1005,0),3)</f>
        <v>NGOs: National</v>
      </c>
    </row>
    <row r="2227" spans="1:13" x14ac:dyDescent="0.25">
      <c r="A2227" t="s">
        <v>1893</v>
      </c>
      <c r="B2227" t="s">
        <v>87</v>
      </c>
      <c r="C2227" t="s">
        <v>30</v>
      </c>
      <c r="D2227" t="s">
        <v>88</v>
      </c>
      <c r="E2227" t="s">
        <v>32</v>
      </c>
      <c r="F2227">
        <v>4500390136</v>
      </c>
      <c r="H2227" t="s">
        <v>12</v>
      </c>
      <c r="I2227" t="s">
        <v>1261</v>
      </c>
      <c r="J2227" t="s">
        <v>32</v>
      </c>
      <c r="K2227">
        <v>19988</v>
      </c>
      <c r="L2227" t="s">
        <v>6408</v>
      </c>
      <c r="M2227" t="str" cm="1">
        <f t="array" ref="M2227">INDEX('Org List'!$A$2:$C$1005,MATCH(Consolidated!I2227&amp;Consolidated!J2227,'Org List'!$A$2:$A$1005&amp;'Org List'!$B$2:$B$1005,0),3)</f>
        <v>NGOs: National</v>
      </c>
    </row>
    <row r="2228" spans="1:13" x14ac:dyDescent="0.25">
      <c r="A2228" t="s">
        <v>1893</v>
      </c>
      <c r="B2228" t="s">
        <v>87</v>
      </c>
      <c r="C2228" t="s">
        <v>30</v>
      </c>
      <c r="D2228" t="s">
        <v>88</v>
      </c>
      <c r="E2228" t="s">
        <v>32</v>
      </c>
      <c r="F2228">
        <v>4500395213</v>
      </c>
      <c r="H2228" t="s">
        <v>12</v>
      </c>
      <c r="I2228" t="s">
        <v>90</v>
      </c>
      <c r="J2228" t="s">
        <v>1699</v>
      </c>
      <c r="K2228">
        <v>243688</v>
      </c>
      <c r="L2228" t="s">
        <v>6408</v>
      </c>
      <c r="M2228" t="str" cm="1">
        <f t="array" ref="M2228">INDEX('Org List'!$A$2:$C$1005,MATCH(Consolidated!I2228&amp;Consolidated!J2228,'Org List'!$A$2:$A$1005&amp;'Org List'!$B$2:$B$1005,0),3)</f>
        <v>NGOs: International</v>
      </c>
    </row>
    <row r="2229" spans="1:13" x14ac:dyDescent="0.25">
      <c r="A2229" t="s">
        <v>1893</v>
      </c>
      <c r="B2229" t="s">
        <v>87</v>
      </c>
      <c r="C2229" t="s">
        <v>30</v>
      </c>
      <c r="D2229" t="s">
        <v>88</v>
      </c>
      <c r="E2229" t="s">
        <v>32</v>
      </c>
      <c r="F2229">
        <v>4500401797</v>
      </c>
      <c r="H2229" t="s">
        <v>12</v>
      </c>
      <c r="I2229" t="s">
        <v>1700</v>
      </c>
      <c r="J2229" t="s">
        <v>32</v>
      </c>
      <c r="K2229">
        <v>20000</v>
      </c>
      <c r="L2229" t="s">
        <v>6408</v>
      </c>
      <c r="M2229" t="str" cm="1">
        <f t="array" ref="M2229">INDEX('Org List'!$A$2:$C$1005,MATCH(Consolidated!I2229&amp;Consolidated!J2229,'Org List'!$A$2:$A$1005&amp;'Org List'!$B$2:$B$1005,0),3)</f>
        <v>NGOs: National</v>
      </c>
    </row>
    <row r="2230" spans="1:13" x14ac:dyDescent="0.25">
      <c r="A2230" t="s">
        <v>1893</v>
      </c>
      <c r="B2230" t="s">
        <v>87</v>
      </c>
      <c r="C2230" t="s">
        <v>30</v>
      </c>
      <c r="D2230" t="s">
        <v>88</v>
      </c>
      <c r="E2230" t="s">
        <v>32</v>
      </c>
      <c r="F2230">
        <v>4500402940</v>
      </c>
      <c r="H2230" t="s">
        <v>12</v>
      </c>
      <c r="I2230" t="s">
        <v>1701</v>
      </c>
      <c r="J2230" t="s">
        <v>32</v>
      </c>
      <c r="K2230">
        <v>240647</v>
      </c>
      <c r="L2230" t="s">
        <v>6408</v>
      </c>
      <c r="M2230" t="str" cm="1">
        <f t="array" ref="M2230">INDEX('Org List'!$A$2:$C$1005,MATCH(Consolidated!I2230&amp;Consolidated!J2230,'Org List'!$A$2:$A$1005&amp;'Org List'!$B$2:$B$1005,0),3)</f>
        <v>NGOs: National</v>
      </c>
    </row>
    <row r="2231" spans="1:13" x14ac:dyDescent="0.25">
      <c r="A2231" t="s">
        <v>1893</v>
      </c>
      <c r="B2231" t="s">
        <v>1702</v>
      </c>
      <c r="C2231" t="s">
        <v>30</v>
      </c>
      <c r="D2231" t="s">
        <v>1703</v>
      </c>
      <c r="E2231" t="s">
        <v>257</v>
      </c>
      <c r="F2231">
        <v>4500383869</v>
      </c>
      <c r="H2231" t="s">
        <v>12</v>
      </c>
      <c r="I2231" t="s">
        <v>1704</v>
      </c>
      <c r="J2231" t="s">
        <v>257</v>
      </c>
      <c r="K2231">
        <v>4834.62</v>
      </c>
      <c r="L2231" t="s">
        <v>6408</v>
      </c>
      <c r="M2231" t="str" cm="1">
        <f t="array" ref="M2231">INDEX('Org List'!$A$2:$C$1005,MATCH(Consolidated!I2231&amp;Consolidated!J2231,'Org List'!$A$2:$A$1005&amp;'Org List'!$B$2:$B$1005,0),3)</f>
        <v>NGOs: National</v>
      </c>
    </row>
    <row r="2232" spans="1:13" x14ac:dyDescent="0.25">
      <c r="A2232" t="s">
        <v>1893</v>
      </c>
      <c r="B2232" t="s">
        <v>1702</v>
      </c>
      <c r="C2232" t="s">
        <v>30</v>
      </c>
      <c r="D2232" t="s">
        <v>1703</v>
      </c>
      <c r="E2232" t="s">
        <v>257</v>
      </c>
      <c r="F2232">
        <v>4500383870</v>
      </c>
      <c r="H2232" t="s">
        <v>12</v>
      </c>
      <c r="I2232" t="s">
        <v>1704</v>
      </c>
      <c r="J2232" t="s">
        <v>257</v>
      </c>
      <c r="K2232">
        <v>3385.59</v>
      </c>
      <c r="L2232" t="s">
        <v>6408</v>
      </c>
      <c r="M2232" t="str" cm="1">
        <f t="array" ref="M2232">INDEX('Org List'!$A$2:$C$1005,MATCH(Consolidated!I2232&amp;Consolidated!J2232,'Org List'!$A$2:$A$1005&amp;'Org List'!$B$2:$B$1005,0),3)</f>
        <v>NGOs: National</v>
      </c>
    </row>
    <row r="2233" spans="1:13" x14ac:dyDescent="0.25">
      <c r="A2233" t="s">
        <v>1893</v>
      </c>
      <c r="B2233" t="s">
        <v>1702</v>
      </c>
      <c r="C2233" t="s">
        <v>30</v>
      </c>
      <c r="D2233" t="s">
        <v>1703</v>
      </c>
      <c r="E2233" t="s">
        <v>257</v>
      </c>
      <c r="F2233">
        <v>4500388112</v>
      </c>
      <c r="H2233" t="s">
        <v>12</v>
      </c>
      <c r="I2233" t="s">
        <v>423</v>
      </c>
      <c r="J2233" t="s">
        <v>257</v>
      </c>
      <c r="K2233">
        <v>30416.94</v>
      </c>
      <c r="L2233" t="s">
        <v>6408</v>
      </c>
      <c r="M2233" t="str" cm="1">
        <f t="array" ref="M2233">INDEX('Org List'!$A$2:$C$1005,MATCH(Consolidated!I2233&amp;Consolidated!J2233,'Org List'!$A$2:$A$1005&amp;'Org List'!$B$2:$B$1005,0),3)</f>
        <v>NGOs: Local</v>
      </c>
    </row>
    <row r="2234" spans="1:13" x14ac:dyDescent="0.25">
      <c r="A2234" t="s">
        <v>1893</v>
      </c>
      <c r="B2234" t="s">
        <v>1702</v>
      </c>
      <c r="C2234" t="s">
        <v>30</v>
      </c>
      <c r="D2234" t="s">
        <v>1703</v>
      </c>
      <c r="E2234" t="s">
        <v>257</v>
      </c>
      <c r="F2234">
        <v>4500388114</v>
      </c>
      <c r="H2234" t="s">
        <v>12</v>
      </c>
      <c r="I2234" t="s">
        <v>424</v>
      </c>
      <c r="J2234" t="s">
        <v>257</v>
      </c>
      <c r="K2234">
        <v>30416.91</v>
      </c>
      <c r="L2234" t="s">
        <v>6408</v>
      </c>
      <c r="M2234" t="str" cm="1">
        <f t="array" ref="M2234">INDEX('Org List'!$A$2:$C$1005,MATCH(Consolidated!I2234&amp;Consolidated!J2234,'Org List'!$A$2:$A$1005&amp;'Org List'!$B$2:$B$1005,0),3)</f>
        <v>NGOs: National</v>
      </c>
    </row>
    <row r="2235" spans="1:13" x14ac:dyDescent="0.25">
      <c r="A2235" t="s">
        <v>1893</v>
      </c>
      <c r="B2235" t="s">
        <v>1705</v>
      </c>
      <c r="C2235" t="s">
        <v>30</v>
      </c>
      <c r="D2235" t="s">
        <v>1706</v>
      </c>
      <c r="E2235" t="s">
        <v>54</v>
      </c>
      <c r="F2235">
        <v>4500389252</v>
      </c>
      <c r="H2235" t="s">
        <v>12</v>
      </c>
      <c r="I2235" t="s">
        <v>1707</v>
      </c>
      <c r="J2235" t="s">
        <v>54</v>
      </c>
      <c r="K2235">
        <v>5789.47</v>
      </c>
      <c r="L2235" t="s">
        <v>6408</v>
      </c>
      <c r="M2235" t="str" cm="1">
        <f t="array" ref="M2235">INDEX('Org List'!$A$2:$C$1005,MATCH(Consolidated!I2235&amp;Consolidated!J2235,'Org List'!$A$2:$A$1005&amp;'Org List'!$B$2:$B$1005,0),3)</f>
        <v>NGOs: National</v>
      </c>
    </row>
    <row r="2236" spans="1:13" x14ac:dyDescent="0.25">
      <c r="A2236" t="s">
        <v>1893</v>
      </c>
      <c r="B2236" t="s">
        <v>1708</v>
      </c>
      <c r="C2236" t="s">
        <v>30</v>
      </c>
      <c r="D2236" t="s">
        <v>1709</v>
      </c>
      <c r="E2236" t="s">
        <v>289</v>
      </c>
      <c r="F2236">
        <v>4500383013</v>
      </c>
      <c r="H2236" t="s">
        <v>12</v>
      </c>
      <c r="I2236" t="s">
        <v>1710</v>
      </c>
      <c r="J2236" t="s">
        <v>289</v>
      </c>
      <c r="K2236">
        <v>24840</v>
      </c>
      <c r="L2236" t="s">
        <v>6408</v>
      </c>
      <c r="M2236" t="str" cm="1">
        <f t="array" ref="M2236">INDEX('Org List'!$A$2:$C$1005,MATCH(Consolidated!I2236&amp;Consolidated!J2236,'Org List'!$A$2:$A$1005&amp;'Org List'!$B$2:$B$1005,0),3)</f>
        <v>NGOs: International</v>
      </c>
    </row>
    <row r="2237" spans="1:13" x14ac:dyDescent="0.25">
      <c r="A2237" t="s">
        <v>1893</v>
      </c>
      <c r="B2237" t="s">
        <v>1270</v>
      </c>
      <c r="C2237" t="s">
        <v>30</v>
      </c>
      <c r="D2237" t="s">
        <v>1271</v>
      </c>
      <c r="E2237" t="s">
        <v>751</v>
      </c>
      <c r="F2237">
        <v>4500383061</v>
      </c>
      <c r="H2237" t="s">
        <v>12</v>
      </c>
      <c r="I2237" t="s">
        <v>347</v>
      </c>
      <c r="J2237" t="s">
        <v>751</v>
      </c>
      <c r="K2237">
        <v>19750</v>
      </c>
      <c r="L2237" t="s">
        <v>6408</v>
      </c>
      <c r="M2237" t="str" cm="1">
        <f t="array" ref="M2237">INDEX('Org List'!$A$2:$C$1005,MATCH(Consolidated!I2237&amp;Consolidated!J2237,'Org List'!$A$2:$A$1005&amp;'Org List'!$B$2:$B$1005,0),3)</f>
        <v>NGOs: International</v>
      </c>
    </row>
    <row r="2238" spans="1:13" x14ac:dyDescent="0.25">
      <c r="A2238" t="s">
        <v>1893</v>
      </c>
      <c r="B2238" t="s">
        <v>1273</v>
      </c>
      <c r="C2238" t="s">
        <v>30</v>
      </c>
      <c r="D2238" t="s">
        <v>1274</v>
      </c>
      <c r="E2238" t="s">
        <v>261</v>
      </c>
      <c r="F2238">
        <v>4500381729</v>
      </c>
      <c r="H2238" t="s">
        <v>12</v>
      </c>
      <c r="I2238" t="s">
        <v>897</v>
      </c>
      <c r="J2238" t="s">
        <v>261</v>
      </c>
      <c r="K2238">
        <v>58993.18</v>
      </c>
      <c r="L2238" t="s">
        <v>6408</v>
      </c>
      <c r="M2238" t="str" cm="1">
        <f t="array" ref="M2238">INDEX('Org List'!$A$2:$C$1005,MATCH(Consolidated!I2238&amp;Consolidated!J2238,'Org List'!$A$2:$A$1005&amp;'Org List'!$B$2:$B$1005,0),3)</f>
        <v>NGOs: International</v>
      </c>
    </row>
    <row r="2239" spans="1:13" x14ac:dyDescent="0.25">
      <c r="A2239" t="s">
        <v>1893</v>
      </c>
      <c r="B2239" t="s">
        <v>1275</v>
      </c>
      <c r="C2239" t="s">
        <v>30</v>
      </c>
      <c r="D2239" t="s">
        <v>1276</v>
      </c>
      <c r="E2239" t="s">
        <v>197</v>
      </c>
      <c r="F2239">
        <v>4500381405</v>
      </c>
      <c r="H2239" t="s">
        <v>12</v>
      </c>
      <c r="I2239" t="s">
        <v>1277</v>
      </c>
      <c r="J2239" t="s">
        <v>197</v>
      </c>
      <c r="K2239">
        <v>16213.67</v>
      </c>
      <c r="L2239" t="s">
        <v>6408</v>
      </c>
      <c r="M2239" t="str" cm="1">
        <f t="array" ref="M2239">INDEX('Org List'!$A$2:$C$1005,MATCH(Consolidated!I2239&amp;Consolidated!J2239,'Org List'!$A$2:$A$1005&amp;'Org List'!$B$2:$B$1005,0),3)</f>
        <v>Red Cross: National</v>
      </c>
    </row>
    <row r="2240" spans="1:13" x14ac:dyDescent="0.25">
      <c r="A2240" t="s">
        <v>1893</v>
      </c>
      <c r="B2240" t="s">
        <v>1275</v>
      </c>
      <c r="C2240" t="s">
        <v>30</v>
      </c>
      <c r="D2240" t="s">
        <v>1276</v>
      </c>
      <c r="E2240" t="s">
        <v>197</v>
      </c>
      <c r="F2240">
        <v>4500392827</v>
      </c>
      <c r="H2240" t="s">
        <v>12</v>
      </c>
      <c r="I2240" t="s">
        <v>860</v>
      </c>
      <c r="J2240" t="s">
        <v>197</v>
      </c>
      <c r="K2240">
        <v>27902.87</v>
      </c>
      <c r="L2240" t="s">
        <v>6408</v>
      </c>
      <c r="M2240" t="str" cm="1">
        <f t="array" ref="M2240">INDEX('Org List'!$A$2:$C$1005,MATCH(Consolidated!I2240&amp;Consolidated!J2240,'Org List'!$A$2:$A$1005&amp;'Org List'!$B$2:$B$1005,0),3)</f>
        <v>NGOs: National</v>
      </c>
    </row>
    <row r="2241" spans="1:13" x14ac:dyDescent="0.25">
      <c r="A2241" t="s">
        <v>1893</v>
      </c>
      <c r="B2241" t="s">
        <v>1275</v>
      </c>
      <c r="C2241" t="s">
        <v>30</v>
      </c>
      <c r="D2241" t="s">
        <v>1276</v>
      </c>
      <c r="E2241" t="s">
        <v>197</v>
      </c>
      <c r="F2241">
        <v>4500394449</v>
      </c>
      <c r="H2241" t="s">
        <v>12</v>
      </c>
      <c r="I2241" t="s">
        <v>1711</v>
      </c>
      <c r="J2241" t="s">
        <v>197</v>
      </c>
      <c r="K2241">
        <v>4391.96</v>
      </c>
      <c r="L2241" t="s">
        <v>6408</v>
      </c>
      <c r="M2241" t="str" cm="1">
        <f t="array" ref="M2241">INDEX('Org List'!$A$2:$C$1005,MATCH(Consolidated!I2241&amp;Consolidated!J2241,'Org List'!$A$2:$A$1005&amp;'Org List'!$B$2:$B$1005,0),3)</f>
        <v>NGOs: National</v>
      </c>
    </row>
    <row r="2242" spans="1:13" x14ac:dyDescent="0.25">
      <c r="A2242" t="s">
        <v>1893</v>
      </c>
      <c r="B2242" t="s">
        <v>1275</v>
      </c>
      <c r="C2242" t="s">
        <v>30</v>
      </c>
      <c r="D2242" t="s">
        <v>1276</v>
      </c>
      <c r="E2242" t="s">
        <v>197</v>
      </c>
      <c r="F2242">
        <v>4500396604</v>
      </c>
      <c r="H2242" t="s">
        <v>12</v>
      </c>
      <c r="I2242" t="s">
        <v>1712</v>
      </c>
      <c r="J2242" t="s">
        <v>197</v>
      </c>
      <c r="K2242">
        <v>5343.97</v>
      </c>
      <c r="L2242" t="s">
        <v>6408</v>
      </c>
      <c r="M2242" t="str" cm="1">
        <f t="array" ref="M2242">INDEX('Org List'!$A$2:$C$1005,MATCH(Consolidated!I2242&amp;Consolidated!J2242,'Org List'!$A$2:$A$1005&amp;'Org List'!$B$2:$B$1005,0),3)</f>
        <v>NGOs: National</v>
      </c>
    </row>
    <row r="2243" spans="1:13" x14ac:dyDescent="0.25">
      <c r="A2243" t="s">
        <v>1893</v>
      </c>
      <c r="B2243" t="s">
        <v>1275</v>
      </c>
      <c r="C2243" t="s">
        <v>30</v>
      </c>
      <c r="D2243" t="s">
        <v>1276</v>
      </c>
      <c r="E2243" t="s">
        <v>197</v>
      </c>
      <c r="F2243">
        <v>4500402036</v>
      </c>
      <c r="H2243" t="s">
        <v>12</v>
      </c>
      <c r="I2243" t="s">
        <v>1713</v>
      </c>
      <c r="J2243" t="s">
        <v>197</v>
      </c>
      <c r="K2243">
        <v>12481.72</v>
      </c>
      <c r="L2243" t="s">
        <v>6408</v>
      </c>
      <c r="M2243" t="str" cm="1">
        <f t="array" ref="M2243">INDEX('Org List'!$A$2:$C$1005,MATCH(Consolidated!I2243&amp;Consolidated!J2243,'Org List'!$A$2:$A$1005&amp;'Org List'!$B$2:$B$1005,0),3)</f>
        <v>NGOs: National</v>
      </c>
    </row>
    <row r="2244" spans="1:13" x14ac:dyDescent="0.25">
      <c r="A2244" t="s">
        <v>1893</v>
      </c>
      <c r="B2244" t="s">
        <v>1275</v>
      </c>
      <c r="C2244" t="s">
        <v>30</v>
      </c>
      <c r="D2244" t="s">
        <v>1276</v>
      </c>
      <c r="E2244" t="s">
        <v>201</v>
      </c>
      <c r="F2244">
        <v>4500383526</v>
      </c>
      <c r="H2244" t="s">
        <v>12</v>
      </c>
      <c r="I2244" t="s">
        <v>203</v>
      </c>
      <c r="J2244" t="s">
        <v>201</v>
      </c>
      <c r="K2244">
        <v>142734.47</v>
      </c>
      <c r="L2244" t="s">
        <v>6408</v>
      </c>
      <c r="M2244" t="str" cm="1">
        <f t="array" ref="M2244">INDEX('Org List'!$A$2:$C$1005,MATCH(Consolidated!I2244&amp;Consolidated!J2244,'Org List'!$A$2:$A$1005&amp;'Org List'!$B$2:$B$1005,0),3)</f>
        <v>NGOs: National</v>
      </c>
    </row>
    <row r="2245" spans="1:13" x14ac:dyDescent="0.25">
      <c r="A2245" t="s">
        <v>1893</v>
      </c>
      <c r="B2245" t="s">
        <v>1275</v>
      </c>
      <c r="C2245" t="s">
        <v>30</v>
      </c>
      <c r="D2245" t="s">
        <v>1276</v>
      </c>
      <c r="E2245" t="s">
        <v>201</v>
      </c>
      <c r="F2245">
        <v>4500383773</v>
      </c>
      <c r="H2245" t="s">
        <v>12</v>
      </c>
      <c r="I2245" t="s">
        <v>203</v>
      </c>
      <c r="J2245" t="s">
        <v>201</v>
      </c>
      <c r="K2245">
        <v>61960.46</v>
      </c>
      <c r="L2245" t="s">
        <v>6408</v>
      </c>
      <c r="M2245" t="str" cm="1">
        <f t="array" ref="M2245">INDEX('Org List'!$A$2:$C$1005,MATCH(Consolidated!I2245&amp;Consolidated!J2245,'Org List'!$A$2:$A$1005&amp;'Org List'!$B$2:$B$1005,0),3)</f>
        <v>NGOs: National</v>
      </c>
    </row>
    <row r="2246" spans="1:13" x14ac:dyDescent="0.25">
      <c r="A2246" t="s">
        <v>1893</v>
      </c>
      <c r="B2246" t="s">
        <v>1275</v>
      </c>
      <c r="C2246" t="s">
        <v>30</v>
      </c>
      <c r="D2246" t="s">
        <v>1276</v>
      </c>
      <c r="E2246" t="s">
        <v>201</v>
      </c>
      <c r="F2246">
        <v>4500391366</v>
      </c>
      <c r="H2246" t="s">
        <v>12</v>
      </c>
      <c r="I2246" t="s">
        <v>1714</v>
      </c>
      <c r="J2246" t="s">
        <v>201</v>
      </c>
      <c r="K2246">
        <v>25306.04</v>
      </c>
      <c r="L2246" t="s">
        <v>6408</v>
      </c>
      <c r="M2246" t="str" cm="1">
        <f t="array" ref="M2246">INDEX('Org List'!$A$2:$C$1005,MATCH(Consolidated!I2246&amp;Consolidated!J2246,'Org List'!$A$2:$A$1005&amp;'Org List'!$B$2:$B$1005,0),3)</f>
        <v>NGOs: International</v>
      </c>
    </row>
    <row r="2247" spans="1:13" x14ac:dyDescent="0.25">
      <c r="A2247" t="s">
        <v>1893</v>
      </c>
      <c r="B2247" t="s">
        <v>1275</v>
      </c>
      <c r="C2247" t="s">
        <v>30</v>
      </c>
      <c r="D2247" t="s">
        <v>1276</v>
      </c>
      <c r="E2247" t="s">
        <v>201</v>
      </c>
      <c r="F2247">
        <v>4500395343</v>
      </c>
      <c r="H2247" t="s">
        <v>12</v>
      </c>
      <c r="I2247" t="s">
        <v>202</v>
      </c>
      <c r="J2247" t="s">
        <v>201</v>
      </c>
      <c r="K2247">
        <v>68925.64</v>
      </c>
      <c r="L2247" t="s">
        <v>6408</v>
      </c>
      <c r="M2247" t="str" cm="1">
        <f t="array" ref="M2247">INDEX('Org List'!$A$2:$C$1005,MATCH(Consolidated!I2247&amp;Consolidated!J2247,'Org List'!$A$2:$A$1005&amp;'Org List'!$B$2:$B$1005,0),3)</f>
        <v>NGOs: National</v>
      </c>
    </row>
    <row r="2248" spans="1:13" x14ac:dyDescent="0.25">
      <c r="A2248" t="s">
        <v>1893</v>
      </c>
      <c r="B2248" t="s">
        <v>1275</v>
      </c>
      <c r="C2248" t="s">
        <v>30</v>
      </c>
      <c r="D2248" t="s">
        <v>1276</v>
      </c>
      <c r="E2248" t="s">
        <v>201</v>
      </c>
      <c r="F2248">
        <v>4500398319</v>
      </c>
      <c r="H2248" t="s">
        <v>12</v>
      </c>
      <c r="I2248" t="s">
        <v>1036</v>
      </c>
      <c r="J2248" t="s">
        <v>616</v>
      </c>
      <c r="K2248">
        <v>50000</v>
      </c>
      <c r="L2248" t="s">
        <v>6408</v>
      </c>
      <c r="M2248" t="str" cm="1">
        <f t="array" ref="M2248">INDEX('Org List'!$A$2:$C$1005,MATCH(Consolidated!I2248&amp;Consolidated!J2248,'Org List'!$A$2:$A$1005&amp;'Org List'!$B$2:$B$1005,0),3)</f>
        <v>Multilateral: UN</v>
      </c>
    </row>
    <row r="2249" spans="1:13" x14ac:dyDescent="0.25">
      <c r="A2249" t="s">
        <v>1893</v>
      </c>
      <c r="B2249" t="s">
        <v>1275</v>
      </c>
      <c r="C2249" t="s">
        <v>30</v>
      </c>
      <c r="D2249" t="s">
        <v>1276</v>
      </c>
      <c r="E2249" t="s">
        <v>831</v>
      </c>
      <c r="F2249">
        <v>4500400651</v>
      </c>
      <c r="H2249" t="s">
        <v>12</v>
      </c>
      <c r="I2249" t="s">
        <v>1715</v>
      </c>
      <c r="J2249" t="s">
        <v>831</v>
      </c>
      <c r="K2249">
        <v>86237.24</v>
      </c>
      <c r="L2249" t="s">
        <v>6408</v>
      </c>
      <c r="M2249" t="str" cm="1">
        <f t="array" ref="M2249">INDEX('Org List'!$A$2:$C$1005,MATCH(Consolidated!I2249&amp;Consolidated!J2249,'Org List'!$A$2:$A$1005&amp;'Org List'!$B$2:$B$1005,0),3)</f>
        <v>Private Organisations: Local/National</v>
      </c>
    </row>
    <row r="2250" spans="1:13" x14ac:dyDescent="0.25">
      <c r="A2250" t="s">
        <v>1893</v>
      </c>
      <c r="B2250" t="s">
        <v>1275</v>
      </c>
      <c r="C2250" t="s">
        <v>30</v>
      </c>
      <c r="D2250" t="s">
        <v>1276</v>
      </c>
      <c r="E2250" t="s">
        <v>831</v>
      </c>
      <c r="F2250">
        <v>4500402694</v>
      </c>
      <c r="H2250" t="s">
        <v>12</v>
      </c>
      <c r="I2250" t="s">
        <v>1716</v>
      </c>
      <c r="J2250" t="s">
        <v>831</v>
      </c>
      <c r="K2250">
        <v>4956.16</v>
      </c>
      <c r="L2250" t="s">
        <v>6408</v>
      </c>
      <c r="M2250" t="str" cm="1">
        <f t="array" ref="M2250">INDEX('Org List'!$A$2:$C$1005,MATCH(Consolidated!I2250&amp;Consolidated!J2250,'Org List'!$A$2:$A$1005&amp;'Org List'!$B$2:$B$1005,0),3)</f>
        <v>NGOs: National</v>
      </c>
    </row>
    <row r="2251" spans="1:13" x14ac:dyDescent="0.25">
      <c r="A2251" t="s">
        <v>1893</v>
      </c>
      <c r="B2251" t="s">
        <v>1275</v>
      </c>
      <c r="C2251" t="s">
        <v>30</v>
      </c>
      <c r="D2251" t="s">
        <v>1276</v>
      </c>
      <c r="E2251" t="s">
        <v>831</v>
      </c>
      <c r="F2251">
        <v>4500403090</v>
      </c>
      <c r="H2251" t="s">
        <v>12</v>
      </c>
      <c r="I2251" t="s">
        <v>868</v>
      </c>
      <c r="J2251" t="s">
        <v>831</v>
      </c>
      <c r="K2251">
        <v>6008.92</v>
      </c>
      <c r="L2251" t="s">
        <v>6408</v>
      </c>
      <c r="M2251" t="str" cm="1">
        <f t="array" ref="M2251">INDEX('Org List'!$A$2:$C$1005,MATCH(Consolidated!I2251&amp;Consolidated!J2251,'Org List'!$A$2:$A$1005&amp;'Org List'!$B$2:$B$1005,0),3)</f>
        <v>NGOs: National</v>
      </c>
    </row>
    <row r="2252" spans="1:13" x14ac:dyDescent="0.25">
      <c r="A2252" t="s">
        <v>1893</v>
      </c>
      <c r="B2252" t="s">
        <v>1275</v>
      </c>
      <c r="C2252" t="s">
        <v>30</v>
      </c>
      <c r="D2252" t="s">
        <v>1276</v>
      </c>
      <c r="E2252" t="s">
        <v>831</v>
      </c>
      <c r="F2252">
        <v>4500403098</v>
      </c>
      <c r="H2252" t="s">
        <v>12</v>
      </c>
      <c r="I2252" t="s">
        <v>870</v>
      </c>
      <c r="J2252" t="s">
        <v>831</v>
      </c>
      <c r="K2252">
        <v>20029.740000000002</v>
      </c>
      <c r="L2252" t="s">
        <v>6408</v>
      </c>
      <c r="M2252" t="str" cm="1">
        <f t="array" ref="M2252">INDEX('Org List'!$A$2:$C$1005,MATCH(Consolidated!I2252&amp;Consolidated!J2252,'Org List'!$A$2:$A$1005&amp;'Org List'!$B$2:$B$1005,0),3)</f>
        <v>NGOs: National</v>
      </c>
    </row>
    <row r="2253" spans="1:13" x14ac:dyDescent="0.25">
      <c r="A2253" t="s">
        <v>1893</v>
      </c>
      <c r="B2253" t="s">
        <v>1275</v>
      </c>
      <c r="C2253" t="s">
        <v>30</v>
      </c>
      <c r="D2253" t="s">
        <v>1276</v>
      </c>
      <c r="E2253" t="s">
        <v>210</v>
      </c>
      <c r="F2253">
        <v>4500383485</v>
      </c>
      <c r="H2253" t="s">
        <v>12</v>
      </c>
      <c r="I2253" t="s">
        <v>215</v>
      </c>
      <c r="J2253" t="s">
        <v>210</v>
      </c>
      <c r="K2253">
        <v>28984.33</v>
      </c>
      <c r="L2253" t="s">
        <v>6408</v>
      </c>
      <c r="M2253" t="str" cm="1">
        <f t="array" ref="M2253">INDEX('Org List'!$A$2:$C$1005,MATCH(Consolidated!I2253&amp;Consolidated!J2253,'Org List'!$A$2:$A$1005&amp;'Org List'!$B$2:$B$1005,0),3)</f>
        <v>NGOs: National</v>
      </c>
    </row>
    <row r="2254" spans="1:13" x14ac:dyDescent="0.25">
      <c r="A2254" t="s">
        <v>1893</v>
      </c>
      <c r="B2254" t="s">
        <v>1275</v>
      </c>
      <c r="C2254" t="s">
        <v>30</v>
      </c>
      <c r="D2254" t="s">
        <v>1276</v>
      </c>
      <c r="E2254" t="s">
        <v>210</v>
      </c>
      <c r="F2254">
        <v>4500384354</v>
      </c>
      <c r="H2254" t="s">
        <v>12</v>
      </c>
      <c r="I2254" t="s">
        <v>213</v>
      </c>
      <c r="J2254" t="s">
        <v>210</v>
      </c>
      <c r="K2254">
        <v>230037.82</v>
      </c>
      <c r="L2254" t="s">
        <v>6408</v>
      </c>
      <c r="M2254" t="str" cm="1">
        <f t="array" ref="M2254">INDEX('Org List'!$A$2:$C$1005,MATCH(Consolidated!I2254&amp;Consolidated!J2254,'Org List'!$A$2:$A$1005&amp;'Org List'!$B$2:$B$1005,0),3)</f>
        <v>Governments: National</v>
      </c>
    </row>
    <row r="2255" spans="1:13" x14ac:dyDescent="0.25">
      <c r="A2255" t="s">
        <v>1893</v>
      </c>
      <c r="B2255" t="s">
        <v>1275</v>
      </c>
      <c r="C2255" t="s">
        <v>30</v>
      </c>
      <c r="D2255" t="s">
        <v>1276</v>
      </c>
      <c r="E2255" t="s">
        <v>210</v>
      </c>
      <c r="F2255">
        <v>4500385683</v>
      </c>
      <c r="H2255" t="s">
        <v>12</v>
      </c>
      <c r="I2255" t="s">
        <v>468</v>
      </c>
      <c r="J2255" t="s">
        <v>210</v>
      </c>
      <c r="K2255">
        <v>19989.2</v>
      </c>
      <c r="L2255" t="s">
        <v>6408</v>
      </c>
      <c r="M2255" t="str" cm="1">
        <f t="array" ref="M2255">INDEX('Org List'!$A$2:$C$1005,MATCH(Consolidated!I2255&amp;Consolidated!J2255,'Org List'!$A$2:$A$1005&amp;'Org List'!$B$2:$B$1005,0),3)</f>
        <v>NGOs: National</v>
      </c>
    </row>
    <row r="2256" spans="1:13" x14ac:dyDescent="0.25">
      <c r="A2256" t="s">
        <v>1893</v>
      </c>
      <c r="B2256" t="s">
        <v>1275</v>
      </c>
      <c r="C2256" t="s">
        <v>30</v>
      </c>
      <c r="D2256" t="s">
        <v>1276</v>
      </c>
      <c r="E2256" t="s">
        <v>210</v>
      </c>
      <c r="F2256">
        <v>4500386067</v>
      </c>
      <c r="H2256" t="s">
        <v>12</v>
      </c>
      <c r="I2256" t="s">
        <v>883</v>
      </c>
      <c r="J2256" t="s">
        <v>210</v>
      </c>
      <c r="K2256">
        <v>49432.31</v>
      </c>
      <c r="L2256" t="s">
        <v>6408</v>
      </c>
      <c r="M2256" t="str" cm="1">
        <f t="array" ref="M2256">INDEX('Org List'!$A$2:$C$1005,MATCH(Consolidated!I2256&amp;Consolidated!J2256,'Org List'!$A$2:$A$1005&amp;'Org List'!$B$2:$B$1005,0),3)</f>
        <v>NGOs: National</v>
      </c>
    </row>
    <row r="2257" spans="1:13" x14ac:dyDescent="0.25">
      <c r="A2257" t="s">
        <v>1893</v>
      </c>
      <c r="B2257" t="s">
        <v>1275</v>
      </c>
      <c r="C2257" t="s">
        <v>30</v>
      </c>
      <c r="D2257" t="s">
        <v>1276</v>
      </c>
      <c r="E2257" t="s">
        <v>210</v>
      </c>
      <c r="F2257">
        <v>4500396597</v>
      </c>
      <c r="H2257" t="s">
        <v>12</v>
      </c>
      <c r="I2257" t="s">
        <v>213</v>
      </c>
      <c r="J2257" t="s">
        <v>210</v>
      </c>
      <c r="K2257">
        <v>62168.55</v>
      </c>
      <c r="L2257" t="s">
        <v>6408</v>
      </c>
      <c r="M2257" t="str" cm="1">
        <f t="array" ref="M2257">INDEX('Org List'!$A$2:$C$1005,MATCH(Consolidated!I2257&amp;Consolidated!J2257,'Org List'!$A$2:$A$1005&amp;'Org List'!$B$2:$B$1005,0),3)</f>
        <v>Governments: National</v>
      </c>
    </row>
    <row r="2258" spans="1:13" x14ac:dyDescent="0.25">
      <c r="A2258" t="s">
        <v>1893</v>
      </c>
      <c r="B2258" t="s">
        <v>1275</v>
      </c>
      <c r="C2258" t="s">
        <v>30</v>
      </c>
      <c r="D2258" t="s">
        <v>1276</v>
      </c>
      <c r="E2258" t="s">
        <v>210</v>
      </c>
      <c r="F2258">
        <v>4500397720</v>
      </c>
      <c r="H2258" t="s">
        <v>12</v>
      </c>
      <c r="I2258" t="s">
        <v>216</v>
      </c>
      <c r="J2258" t="s">
        <v>210</v>
      </c>
      <c r="K2258">
        <v>25105.46</v>
      </c>
      <c r="L2258" t="s">
        <v>6408</v>
      </c>
      <c r="M2258" t="str" cm="1">
        <f t="array" ref="M2258">INDEX('Org List'!$A$2:$C$1005,MATCH(Consolidated!I2258&amp;Consolidated!J2258,'Org List'!$A$2:$A$1005&amp;'Org List'!$B$2:$B$1005,0),3)</f>
        <v>NGOs: International</v>
      </c>
    </row>
    <row r="2259" spans="1:13" x14ac:dyDescent="0.25">
      <c r="A2259" t="s">
        <v>1893</v>
      </c>
      <c r="B2259" t="s">
        <v>1275</v>
      </c>
      <c r="C2259" t="s">
        <v>30</v>
      </c>
      <c r="D2259" t="s">
        <v>1276</v>
      </c>
      <c r="E2259" t="s">
        <v>1048</v>
      </c>
      <c r="F2259">
        <v>4500393030</v>
      </c>
      <c r="H2259" t="s">
        <v>12</v>
      </c>
      <c r="I2259" t="s">
        <v>1717</v>
      </c>
      <c r="J2259" t="s">
        <v>1048</v>
      </c>
      <c r="K2259">
        <v>40000</v>
      </c>
      <c r="L2259" t="s">
        <v>6408</v>
      </c>
      <c r="M2259" t="str" cm="1">
        <f t="array" ref="M2259">INDEX('Org List'!$A$2:$C$1005,MATCH(Consolidated!I2259&amp;Consolidated!J2259,'Org List'!$A$2:$A$1005&amp;'Org List'!$B$2:$B$1005,0),3)</f>
        <v>NGOs: National</v>
      </c>
    </row>
    <row r="2260" spans="1:13" x14ac:dyDescent="0.25">
      <c r="A2260" t="s">
        <v>1893</v>
      </c>
      <c r="B2260" t="s">
        <v>1275</v>
      </c>
      <c r="C2260" t="s">
        <v>30</v>
      </c>
      <c r="D2260" t="s">
        <v>1276</v>
      </c>
      <c r="E2260" t="s">
        <v>1048</v>
      </c>
      <c r="F2260">
        <v>4500393415</v>
      </c>
      <c r="H2260" t="s">
        <v>12</v>
      </c>
      <c r="I2260" t="s">
        <v>220</v>
      </c>
      <c r="J2260" t="s">
        <v>1048</v>
      </c>
      <c r="K2260">
        <v>25063.119999999999</v>
      </c>
      <c r="L2260" t="s">
        <v>6408</v>
      </c>
      <c r="M2260" t="str" cm="1">
        <f t="array" ref="M2260">INDEX('Org List'!$A$2:$C$1005,MATCH(Consolidated!I2260&amp;Consolidated!J2260,'Org List'!$A$2:$A$1005&amp;'Org List'!$B$2:$B$1005,0),3)</f>
        <v>NGOs: National</v>
      </c>
    </row>
    <row r="2261" spans="1:13" x14ac:dyDescent="0.25">
      <c r="A2261" t="s">
        <v>1893</v>
      </c>
      <c r="B2261" t="s">
        <v>1275</v>
      </c>
      <c r="C2261" t="s">
        <v>30</v>
      </c>
      <c r="D2261" t="s">
        <v>1276</v>
      </c>
      <c r="E2261" t="s">
        <v>1048</v>
      </c>
      <c r="F2261">
        <v>4500394422</v>
      </c>
      <c r="H2261" t="s">
        <v>12</v>
      </c>
      <c r="I2261" t="s">
        <v>1049</v>
      </c>
      <c r="J2261" t="s">
        <v>1048</v>
      </c>
      <c r="K2261">
        <v>75189.37</v>
      </c>
      <c r="L2261" t="s">
        <v>6408</v>
      </c>
      <c r="M2261" t="str" cm="1">
        <f t="array" ref="M2261">INDEX('Org List'!$A$2:$C$1005,MATCH(Consolidated!I2261&amp;Consolidated!J2261,'Org List'!$A$2:$A$1005&amp;'Org List'!$B$2:$B$1005,0),3)</f>
        <v>NGOs: Local</v>
      </c>
    </row>
    <row r="2262" spans="1:13" x14ac:dyDescent="0.25">
      <c r="A2262" t="s">
        <v>1893</v>
      </c>
      <c r="B2262" t="s">
        <v>1275</v>
      </c>
      <c r="C2262" t="s">
        <v>30</v>
      </c>
      <c r="D2262" t="s">
        <v>1276</v>
      </c>
      <c r="E2262" t="s">
        <v>1048</v>
      </c>
      <c r="F2262">
        <v>4500398294</v>
      </c>
      <c r="H2262" t="s">
        <v>12</v>
      </c>
      <c r="I2262" t="s">
        <v>221</v>
      </c>
      <c r="J2262" t="s">
        <v>1048</v>
      </c>
      <c r="K2262">
        <v>4988.16</v>
      </c>
      <c r="L2262" t="s">
        <v>6408</v>
      </c>
      <c r="M2262" t="str" cm="1">
        <f t="array" ref="M2262">INDEX('Org List'!$A$2:$C$1005,MATCH(Consolidated!I2262&amp;Consolidated!J2262,'Org List'!$A$2:$A$1005&amp;'Org List'!$B$2:$B$1005,0),3)</f>
        <v>NGOs: National</v>
      </c>
    </row>
    <row r="2263" spans="1:13" x14ac:dyDescent="0.25">
      <c r="A2263" t="s">
        <v>1893</v>
      </c>
      <c r="B2263" t="s">
        <v>1275</v>
      </c>
      <c r="C2263" t="s">
        <v>30</v>
      </c>
      <c r="D2263" t="s">
        <v>1276</v>
      </c>
      <c r="E2263" t="s">
        <v>1048</v>
      </c>
      <c r="F2263">
        <v>4500400115</v>
      </c>
      <c r="H2263" t="s">
        <v>12</v>
      </c>
      <c r="I2263" t="s">
        <v>1718</v>
      </c>
      <c r="J2263" t="s">
        <v>1048</v>
      </c>
      <c r="K2263">
        <v>9137.8799999999992</v>
      </c>
      <c r="L2263" t="s">
        <v>6408</v>
      </c>
      <c r="M2263" t="str" cm="1">
        <f t="array" ref="M2263">INDEX('Org List'!$A$2:$C$1005,MATCH(Consolidated!I2263&amp;Consolidated!J2263,'Org List'!$A$2:$A$1005&amp;'Org List'!$B$2:$B$1005,0),3)</f>
        <v>Other: National</v>
      </c>
    </row>
    <row r="2264" spans="1:13" x14ac:dyDescent="0.25">
      <c r="A2264" t="s">
        <v>1893</v>
      </c>
      <c r="B2264" t="s">
        <v>1275</v>
      </c>
      <c r="C2264" t="s">
        <v>30</v>
      </c>
      <c r="D2264" t="s">
        <v>1276</v>
      </c>
      <c r="E2264" t="s">
        <v>1048</v>
      </c>
      <c r="F2264">
        <v>4500404598</v>
      </c>
      <c r="H2264" t="s">
        <v>12</v>
      </c>
      <c r="I2264" t="s">
        <v>1719</v>
      </c>
      <c r="J2264" t="s">
        <v>1048</v>
      </c>
      <c r="K2264">
        <v>24996.3</v>
      </c>
      <c r="L2264" t="s">
        <v>6408</v>
      </c>
      <c r="M2264" t="str" cm="1">
        <f t="array" ref="M2264">INDEX('Org List'!$A$2:$C$1005,MATCH(Consolidated!I2264&amp;Consolidated!J2264,'Org List'!$A$2:$A$1005&amp;'Org List'!$B$2:$B$1005,0),3)</f>
        <v>NGOs: National</v>
      </c>
    </row>
    <row r="2265" spans="1:13" x14ac:dyDescent="0.25">
      <c r="A2265" t="s">
        <v>1893</v>
      </c>
      <c r="B2265" t="s">
        <v>1275</v>
      </c>
      <c r="C2265" t="s">
        <v>30</v>
      </c>
      <c r="D2265" t="s">
        <v>1276</v>
      </c>
      <c r="E2265" t="s">
        <v>1048</v>
      </c>
      <c r="F2265">
        <v>4500405012</v>
      </c>
      <c r="H2265" t="s">
        <v>12</v>
      </c>
      <c r="I2265" t="s">
        <v>1720</v>
      </c>
      <c r="J2265" t="s">
        <v>1048</v>
      </c>
      <c r="K2265">
        <v>24996.3</v>
      </c>
      <c r="L2265" t="s">
        <v>6408</v>
      </c>
      <c r="M2265" t="str" cm="1">
        <f t="array" ref="M2265">INDEX('Org List'!$A$2:$C$1005,MATCH(Consolidated!I2265&amp;Consolidated!J2265,'Org List'!$A$2:$A$1005&amp;'Org List'!$B$2:$B$1005,0),3)</f>
        <v>NGOs: National</v>
      </c>
    </row>
    <row r="2266" spans="1:13" x14ac:dyDescent="0.25">
      <c r="A2266" t="s">
        <v>1893</v>
      </c>
      <c r="B2266" t="s">
        <v>1275</v>
      </c>
      <c r="C2266" t="s">
        <v>30</v>
      </c>
      <c r="D2266" t="s">
        <v>1276</v>
      </c>
      <c r="E2266" t="s">
        <v>885</v>
      </c>
      <c r="F2266">
        <v>4500394368</v>
      </c>
      <c r="H2266" t="s">
        <v>12</v>
      </c>
      <c r="I2266" t="s">
        <v>886</v>
      </c>
      <c r="J2266" t="s">
        <v>885</v>
      </c>
      <c r="K2266">
        <v>71079</v>
      </c>
      <c r="L2266" t="s">
        <v>6408</v>
      </c>
      <c r="M2266" t="str" cm="1">
        <f t="array" ref="M2266">INDEX('Org List'!$A$2:$C$1005,MATCH(Consolidated!I2266&amp;Consolidated!J2266,'Org List'!$A$2:$A$1005&amp;'Org List'!$B$2:$B$1005,0),3)</f>
        <v>NGOs: International</v>
      </c>
    </row>
    <row r="2267" spans="1:13" x14ac:dyDescent="0.25">
      <c r="A2267" t="s">
        <v>1893</v>
      </c>
      <c r="B2267" t="s">
        <v>107</v>
      </c>
      <c r="C2267" t="s">
        <v>30</v>
      </c>
      <c r="D2267" t="s">
        <v>1279</v>
      </c>
      <c r="E2267" t="s">
        <v>814</v>
      </c>
      <c r="F2267">
        <v>4500405065</v>
      </c>
      <c r="H2267" t="s">
        <v>12</v>
      </c>
      <c r="I2267" t="s">
        <v>112</v>
      </c>
      <c r="J2267" t="s">
        <v>814</v>
      </c>
      <c r="K2267">
        <v>35687.129999999997</v>
      </c>
      <c r="L2267" t="s">
        <v>6408</v>
      </c>
      <c r="M2267" t="str" cm="1">
        <f t="array" ref="M2267">INDEX('Org List'!$A$2:$C$1005,MATCH(Consolidated!I2267&amp;Consolidated!J2267,'Org List'!$A$2:$A$1005&amp;'Org List'!$B$2:$B$1005,0),3)</f>
        <v>NGOs: National</v>
      </c>
    </row>
    <row r="2268" spans="1:13" x14ac:dyDescent="0.25">
      <c r="A2268" t="s">
        <v>1893</v>
      </c>
      <c r="B2268" t="s">
        <v>107</v>
      </c>
      <c r="C2268" t="s">
        <v>30</v>
      </c>
      <c r="D2268" t="s">
        <v>1279</v>
      </c>
      <c r="E2268" t="s">
        <v>814</v>
      </c>
      <c r="F2268">
        <v>4500405076</v>
      </c>
      <c r="H2268" t="s">
        <v>12</v>
      </c>
      <c r="I2268" t="s">
        <v>112</v>
      </c>
      <c r="J2268" t="s">
        <v>814</v>
      </c>
      <c r="K2268">
        <v>24255.41</v>
      </c>
      <c r="L2268" t="s">
        <v>6408</v>
      </c>
      <c r="M2268" t="str" cm="1">
        <f t="array" ref="M2268">INDEX('Org List'!$A$2:$C$1005,MATCH(Consolidated!I2268&amp;Consolidated!J2268,'Org List'!$A$2:$A$1005&amp;'Org List'!$B$2:$B$1005,0),3)</f>
        <v>NGOs: National</v>
      </c>
    </row>
    <row r="2269" spans="1:13" x14ac:dyDescent="0.25">
      <c r="A2269" t="s">
        <v>1893</v>
      </c>
      <c r="B2269" t="s">
        <v>107</v>
      </c>
      <c r="C2269" t="s">
        <v>30</v>
      </c>
      <c r="D2269" t="s">
        <v>1279</v>
      </c>
      <c r="E2269" t="s">
        <v>814</v>
      </c>
      <c r="F2269">
        <v>4500405208</v>
      </c>
      <c r="H2269" t="s">
        <v>12</v>
      </c>
      <c r="I2269" t="s">
        <v>115</v>
      </c>
      <c r="J2269" t="s">
        <v>814</v>
      </c>
      <c r="K2269">
        <v>20919.240000000002</v>
      </c>
      <c r="L2269" t="s">
        <v>6408</v>
      </c>
      <c r="M2269" t="str" cm="1">
        <f t="array" ref="M2269">INDEX('Org List'!$A$2:$C$1005,MATCH(Consolidated!I2269&amp;Consolidated!J2269,'Org List'!$A$2:$A$1005&amp;'Org List'!$B$2:$B$1005,0),3)</f>
        <v>NGOs: National</v>
      </c>
    </row>
    <row r="2270" spans="1:13" x14ac:dyDescent="0.25">
      <c r="A2270" t="s">
        <v>1893</v>
      </c>
      <c r="B2270" t="s">
        <v>107</v>
      </c>
      <c r="C2270" t="s">
        <v>30</v>
      </c>
      <c r="D2270" t="s">
        <v>1279</v>
      </c>
      <c r="E2270" t="s">
        <v>814</v>
      </c>
      <c r="F2270">
        <v>4500405213</v>
      </c>
      <c r="H2270" t="s">
        <v>12</v>
      </c>
      <c r="I2270" t="s">
        <v>119</v>
      </c>
      <c r="J2270" t="s">
        <v>814</v>
      </c>
      <c r="K2270">
        <v>8896.7199999999993</v>
      </c>
      <c r="L2270" t="s">
        <v>6408</v>
      </c>
      <c r="M2270" t="str" cm="1">
        <f t="array" ref="M2270">INDEX('Org List'!$A$2:$C$1005,MATCH(Consolidated!I2270&amp;Consolidated!J2270,'Org List'!$A$2:$A$1005&amp;'Org List'!$B$2:$B$1005,0),3)</f>
        <v>NGOs: National</v>
      </c>
    </row>
    <row r="2271" spans="1:13" x14ac:dyDescent="0.25">
      <c r="A2271" t="s">
        <v>1893</v>
      </c>
      <c r="B2271" t="s">
        <v>107</v>
      </c>
      <c r="C2271" t="s">
        <v>30</v>
      </c>
      <c r="D2271" t="s">
        <v>1279</v>
      </c>
      <c r="E2271" t="s">
        <v>814</v>
      </c>
      <c r="F2271">
        <v>4500405228</v>
      </c>
      <c r="H2271" t="s">
        <v>12</v>
      </c>
      <c r="I2271" t="s">
        <v>115</v>
      </c>
      <c r="J2271" t="s">
        <v>814</v>
      </c>
      <c r="K2271">
        <v>33404.35</v>
      </c>
      <c r="L2271" t="s">
        <v>6408</v>
      </c>
      <c r="M2271" t="str" cm="1">
        <f t="array" ref="M2271">INDEX('Org List'!$A$2:$C$1005,MATCH(Consolidated!I2271&amp;Consolidated!J2271,'Org List'!$A$2:$A$1005&amp;'Org List'!$B$2:$B$1005,0),3)</f>
        <v>NGOs: National</v>
      </c>
    </row>
    <row r="2272" spans="1:13" x14ac:dyDescent="0.25">
      <c r="A2272" t="s">
        <v>1893</v>
      </c>
      <c r="B2272" t="s">
        <v>107</v>
      </c>
      <c r="C2272" t="s">
        <v>30</v>
      </c>
      <c r="D2272" t="s">
        <v>1279</v>
      </c>
      <c r="E2272" t="s">
        <v>814</v>
      </c>
      <c r="F2272">
        <v>4500405236</v>
      </c>
      <c r="H2272" t="s">
        <v>12</v>
      </c>
      <c r="I2272" t="s">
        <v>114</v>
      </c>
      <c r="J2272" t="s">
        <v>814</v>
      </c>
      <c r="K2272">
        <v>21858.27</v>
      </c>
      <c r="L2272" t="s">
        <v>6408</v>
      </c>
      <c r="M2272" t="str" cm="1">
        <f t="array" ref="M2272">INDEX('Org List'!$A$2:$C$1005,MATCH(Consolidated!I2272&amp;Consolidated!J2272,'Org List'!$A$2:$A$1005&amp;'Org List'!$B$2:$B$1005,0),3)</f>
        <v>NGOs: National</v>
      </c>
    </row>
    <row r="2273" spans="1:13" x14ac:dyDescent="0.25">
      <c r="A2273" t="s">
        <v>1893</v>
      </c>
      <c r="B2273" t="s">
        <v>107</v>
      </c>
      <c r="C2273" t="s">
        <v>30</v>
      </c>
      <c r="D2273" t="s">
        <v>1279</v>
      </c>
      <c r="E2273" t="s">
        <v>814</v>
      </c>
      <c r="F2273">
        <v>4500405297</v>
      </c>
      <c r="H2273" t="s">
        <v>12</v>
      </c>
      <c r="I2273" t="s">
        <v>118</v>
      </c>
      <c r="J2273" t="s">
        <v>814</v>
      </c>
      <c r="K2273">
        <v>20586.259999999998</v>
      </c>
      <c r="L2273" t="s">
        <v>6408</v>
      </c>
      <c r="M2273" t="str" cm="1">
        <f t="array" ref="M2273">INDEX('Org List'!$A$2:$C$1005,MATCH(Consolidated!I2273&amp;Consolidated!J2273,'Org List'!$A$2:$A$1005&amp;'Org List'!$B$2:$B$1005,0),3)</f>
        <v>NGOs: National</v>
      </c>
    </row>
    <row r="2274" spans="1:13" x14ac:dyDescent="0.25">
      <c r="A2274" t="s">
        <v>1893</v>
      </c>
      <c r="B2274" t="s">
        <v>107</v>
      </c>
      <c r="C2274" t="s">
        <v>30</v>
      </c>
      <c r="D2274" t="s">
        <v>1279</v>
      </c>
      <c r="E2274" t="s">
        <v>814</v>
      </c>
      <c r="F2274">
        <v>4500405305</v>
      </c>
      <c r="H2274" t="s">
        <v>12</v>
      </c>
      <c r="I2274" t="s">
        <v>1721</v>
      </c>
      <c r="J2274" t="s">
        <v>814</v>
      </c>
      <c r="K2274">
        <v>8563.59</v>
      </c>
      <c r="L2274" t="s">
        <v>6408</v>
      </c>
      <c r="M2274" t="str" cm="1">
        <f t="array" ref="M2274">INDEX('Org List'!$A$2:$C$1005,MATCH(Consolidated!I2274&amp;Consolidated!J2274,'Org List'!$A$2:$A$1005&amp;'Org List'!$B$2:$B$1005,0),3)</f>
        <v>NGOs: National</v>
      </c>
    </row>
    <row r="2275" spans="1:13" x14ac:dyDescent="0.25">
      <c r="A2275" t="s">
        <v>1893</v>
      </c>
      <c r="B2275" t="s">
        <v>1281</v>
      </c>
      <c r="C2275" t="s">
        <v>30</v>
      </c>
      <c r="D2275" t="s">
        <v>1282</v>
      </c>
      <c r="E2275" t="s">
        <v>330</v>
      </c>
      <c r="F2275">
        <v>4500398574</v>
      </c>
      <c r="H2275" t="s">
        <v>12</v>
      </c>
      <c r="I2275" t="s">
        <v>1722</v>
      </c>
      <c r="J2275" t="s">
        <v>330</v>
      </c>
      <c r="K2275">
        <v>165845.38</v>
      </c>
      <c r="L2275" t="s">
        <v>6408</v>
      </c>
      <c r="M2275" t="str" cm="1">
        <f t="array" ref="M2275">INDEX('Org List'!$A$2:$C$1005,MATCH(Consolidated!I2275&amp;Consolidated!J2275,'Org List'!$A$2:$A$1005&amp;'Org List'!$B$2:$B$1005,0),3)</f>
        <v>Governments: National</v>
      </c>
    </row>
    <row r="2276" spans="1:13" x14ac:dyDescent="0.25">
      <c r="A2276" t="s">
        <v>1893</v>
      </c>
      <c r="B2276" t="s">
        <v>1281</v>
      </c>
      <c r="C2276" t="s">
        <v>30</v>
      </c>
      <c r="D2276" t="s">
        <v>1282</v>
      </c>
      <c r="E2276" t="s">
        <v>330</v>
      </c>
      <c r="F2276">
        <v>4500405110</v>
      </c>
      <c r="H2276" t="s">
        <v>12</v>
      </c>
      <c r="I2276" t="s">
        <v>1723</v>
      </c>
      <c r="J2276" t="s">
        <v>330</v>
      </c>
      <c r="K2276">
        <v>58038.83</v>
      </c>
      <c r="L2276" t="s">
        <v>6408</v>
      </c>
      <c r="M2276" t="str" cm="1">
        <f t="array" ref="M2276">INDEX('Org List'!$A$2:$C$1005,MATCH(Consolidated!I2276&amp;Consolidated!J2276,'Org List'!$A$2:$A$1005&amp;'Org List'!$B$2:$B$1005,0),3)</f>
        <v>Red Cross: National</v>
      </c>
    </row>
    <row r="2277" spans="1:13" x14ac:dyDescent="0.25">
      <c r="A2277" t="s">
        <v>1893</v>
      </c>
      <c r="B2277" t="s">
        <v>1724</v>
      </c>
      <c r="C2277" t="s">
        <v>30</v>
      </c>
      <c r="D2277" t="s">
        <v>1725</v>
      </c>
      <c r="E2277" t="s">
        <v>175</v>
      </c>
      <c r="F2277">
        <v>4500384412</v>
      </c>
      <c r="H2277" t="s">
        <v>12</v>
      </c>
      <c r="I2277" t="s">
        <v>183</v>
      </c>
      <c r="J2277" t="s">
        <v>184</v>
      </c>
      <c r="K2277">
        <v>281254.06</v>
      </c>
      <c r="L2277" t="s">
        <v>6408</v>
      </c>
      <c r="M2277" t="str" cm="1">
        <f t="array" ref="M2277">INDEX('Org List'!$A$2:$C$1005,MATCH(Consolidated!I2277&amp;Consolidated!J2277,'Org List'!$A$2:$A$1005&amp;'Org List'!$B$2:$B$1005,0),3)</f>
        <v>NGOs: International</v>
      </c>
    </row>
    <row r="2278" spans="1:13" x14ac:dyDescent="0.25">
      <c r="A2278" t="s">
        <v>1893</v>
      </c>
      <c r="B2278" t="s">
        <v>1724</v>
      </c>
      <c r="C2278" t="s">
        <v>30</v>
      </c>
      <c r="D2278" t="s">
        <v>1725</v>
      </c>
      <c r="E2278" t="s">
        <v>175</v>
      </c>
      <c r="F2278">
        <v>4500384416</v>
      </c>
      <c r="H2278" t="s">
        <v>12</v>
      </c>
      <c r="I2278" t="s">
        <v>176</v>
      </c>
      <c r="J2278" t="s">
        <v>175</v>
      </c>
      <c r="K2278">
        <v>109427.95</v>
      </c>
      <c r="L2278" t="s">
        <v>6408</v>
      </c>
      <c r="M2278" t="str" cm="1">
        <f t="array" ref="M2278">INDEX('Org List'!$A$2:$C$1005,MATCH(Consolidated!I2278&amp;Consolidated!J2278,'Org List'!$A$2:$A$1005&amp;'Org List'!$B$2:$B$1005,0),3)</f>
        <v>NGOs: National</v>
      </c>
    </row>
    <row r="2279" spans="1:13" x14ac:dyDescent="0.25">
      <c r="A2279" t="s">
        <v>1893</v>
      </c>
      <c r="B2279" t="s">
        <v>1724</v>
      </c>
      <c r="C2279" t="s">
        <v>30</v>
      </c>
      <c r="D2279" t="s">
        <v>1725</v>
      </c>
      <c r="E2279" t="s">
        <v>175</v>
      </c>
      <c r="F2279">
        <v>4500384427</v>
      </c>
      <c r="H2279" t="s">
        <v>12</v>
      </c>
      <c r="I2279" t="s">
        <v>176</v>
      </c>
      <c r="J2279" t="s">
        <v>175</v>
      </c>
      <c r="K2279">
        <v>124480.5</v>
      </c>
      <c r="L2279" t="s">
        <v>6408</v>
      </c>
      <c r="M2279" t="str" cm="1">
        <f t="array" ref="M2279">INDEX('Org List'!$A$2:$C$1005,MATCH(Consolidated!I2279&amp;Consolidated!J2279,'Org List'!$A$2:$A$1005&amp;'Org List'!$B$2:$B$1005,0),3)</f>
        <v>NGOs: National</v>
      </c>
    </row>
    <row r="2280" spans="1:13" x14ac:dyDescent="0.25">
      <c r="A2280" t="s">
        <v>1893</v>
      </c>
      <c r="B2280" t="s">
        <v>1724</v>
      </c>
      <c r="C2280" t="s">
        <v>30</v>
      </c>
      <c r="D2280" t="s">
        <v>1725</v>
      </c>
      <c r="E2280" t="s">
        <v>175</v>
      </c>
      <c r="F2280">
        <v>4500386613</v>
      </c>
      <c r="H2280" t="s">
        <v>12</v>
      </c>
      <c r="I2280" t="s">
        <v>887</v>
      </c>
      <c r="J2280" t="s">
        <v>175</v>
      </c>
      <c r="K2280">
        <v>272991.5</v>
      </c>
      <c r="L2280" t="s">
        <v>6408</v>
      </c>
      <c r="M2280" t="str" cm="1">
        <f t="array" ref="M2280">INDEX('Org List'!$A$2:$C$1005,MATCH(Consolidated!I2280&amp;Consolidated!J2280,'Org List'!$A$2:$A$1005&amp;'Org List'!$B$2:$B$1005,0),3)</f>
        <v>NGOs: International</v>
      </c>
    </row>
    <row r="2281" spans="1:13" x14ac:dyDescent="0.25">
      <c r="A2281" t="s">
        <v>1893</v>
      </c>
      <c r="B2281" t="s">
        <v>1724</v>
      </c>
      <c r="C2281" t="s">
        <v>30</v>
      </c>
      <c r="D2281" t="s">
        <v>1725</v>
      </c>
      <c r="E2281" t="s">
        <v>175</v>
      </c>
      <c r="F2281">
        <v>4500386619</v>
      </c>
      <c r="H2281" t="s">
        <v>12</v>
      </c>
      <c r="I2281" t="s">
        <v>685</v>
      </c>
      <c r="J2281" t="s">
        <v>175</v>
      </c>
      <c r="K2281">
        <v>71470.44</v>
      </c>
      <c r="L2281" t="s">
        <v>6408</v>
      </c>
      <c r="M2281" t="str" cm="1">
        <f t="array" ref="M2281">INDEX('Org List'!$A$2:$C$1005,MATCH(Consolidated!I2281&amp;Consolidated!J2281,'Org List'!$A$2:$A$1005&amp;'Org List'!$B$2:$B$1005,0),3)</f>
        <v>NGOs: National</v>
      </c>
    </row>
    <row r="2282" spans="1:13" x14ac:dyDescent="0.25">
      <c r="A2282" t="s">
        <v>1893</v>
      </c>
      <c r="B2282" t="s">
        <v>1724</v>
      </c>
      <c r="C2282" t="s">
        <v>30</v>
      </c>
      <c r="D2282" t="s">
        <v>1725</v>
      </c>
      <c r="E2282" t="s">
        <v>175</v>
      </c>
      <c r="F2282">
        <v>4500387391</v>
      </c>
      <c r="H2282" t="s">
        <v>12</v>
      </c>
      <c r="I2282" t="s">
        <v>187</v>
      </c>
      <c r="J2282" t="s">
        <v>175</v>
      </c>
      <c r="K2282">
        <v>56203.98</v>
      </c>
      <c r="L2282" t="s">
        <v>6408</v>
      </c>
      <c r="M2282" t="str" cm="1">
        <f t="array" ref="M2282">INDEX('Org List'!$A$2:$C$1005,MATCH(Consolidated!I2282&amp;Consolidated!J2282,'Org List'!$A$2:$A$1005&amp;'Org List'!$B$2:$B$1005,0),3)</f>
        <v>NGOs: National</v>
      </c>
    </row>
    <row r="2283" spans="1:13" x14ac:dyDescent="0.25">
      <c r="A2283" t="s">
        <v>1893</v>
      </c>
      <c r="B2283" t="s">
        <v>1724</v>
      </c>
      <c r="C2283" t="s">
        <v>30</v>
      </c>
      <c r="D2283" t="s">
        <v>1725</v>
      </c>
      <c r="E2283" t="s">
        <v>175</v>
      </c>
      <c r="F2283">
        <v>4500388042</v>
      </c>
      <c r="H2283" t="s">
        <v>12</v>
      </c>
      <c r="I2283" t="s">
        <v>232</v>
      </c>
      <c r="J2283" t="s">
        <v>175</v>
      </c>
      <c r="K2283">
        <v>109155.83</v>
      </c>
      <c r="L2283" t="s">
        <v>6408</v>
      </c>
      <c r="M2283" t="str" cm="1">
        <f t="array" ref="M2283">INDEX('Org List'!$A$2:$C$1005,MATCH(Consolidated!I2283&amp;Consolidated!J2283,'Org List'!$A$2:$A$1005&amp;'Org List'!$B$2:$B$1005,0),3)</f>
        <v>NGOs: International</v>
      </c>
    </row>
    <row r="2284" spans="1:13" x14ac:dyDescent="0.25">
      <c r="A2284" t="s">
        <v>1893</v>
      </c>
      <c r="B2284" t="s">
        <v>1724</v>
      </c>
      <c r="C2284" t="s">
        <v>30</v>
      </c>
      <c r="D2284" t="s">
        <v>1725</v>
      </c>
      <c r="E2284" t="s">
        <v>175</v>
      </c>
      <c r="F2284">
        <v>4500389426</v>
      </c>
      <c r="H2284" t="s">
        <v>12</v>
      </c>
      <c r="I2284" t="s">
        <v>186</v>
      </c>
      <c r="J2284" t="s">
        <v>175</v>
      </c>
      <c r="K2284">
        <v>104140.29</v>
      </c>
      <c r="L2284" t="s">
        <v>6408</v>
      </c>
      <c r="M2284" t="str" cm="1">
        <f t="array" ref="M2284">INDEX('Org List'!$A$2:$C$1005,MATCH(Consolidated!I2284&amp;Consolidated!J2284,'Org List'!$A$2:$A$1005&amp;'Org List'!$B$2:$B$1005,0),3)</f>
        <v>NGOs: National</v>
      </c>
    </row>
    <row r="2285" spans="1:13" x14ac:dyDescent="0.25">
      <c r="A2285" t="s">
        <v>1893</v>
      </c>
      <c r="B2285" t="s">
        <v>1724</v>
      </c>
      <c r="C2285" t="s">
        <v>30</v>
      </c>
      <c r="D2285" t="s">
        <v>1725</v>
      </c>
      <c r="E2285" t="s">
        <v>175</v>
      </c>
      <c r="F2285">
        <v>4500398170</v>
      </c>
      <c r="H2285" t="s">
        <v>12</v>
      </c>
      <c r="I2285" t="s">
        <v>395</v>
      </c>
      <c r="J2285" t="s">
        <v>175</v>
      </c>
      <c r="K2285">
        <v>30068.5</v>
      </c>
      <c r="L2285" t="s">
        <v>6408</v>
      </c>
      <c r="M2285" t="str" cm="1">
        <f t="array" ref="M2285">INDEX('Org List'!$A$2:$C$1005,MATCH(Consolidated!I2285&amp;Consolidated!J2285,'Org List'!$A$2:$A$1005&amp;'Org List'!$B$2:$B$1005,0),3)</f>
        <v>NGOs: National</v>
      </c>
    </row>
    <row r="2286" spans="1:13" x14ac:dyDescent="0.25">
      <c r="A2286" t="s">
        <v>1893</v>
      </c>
      <c r="B2286" t="s">
        <v>1726</v>
      </c>
      <c r="C2286" t="s">
        <v>30</v>
      </c>
      <c r="D2286" t="s">
        <v>1727</v>
      </c>
      <c r="E2286" t="s">
        <v>330</v>
      </c>
      <c r="F2286">
        <v>4500398574</v>
      </c>
      <c r="H2286" t="s">
        <v>12</v>
      </c>
      <c r="I2286" t="s">
        <v>1722</v>
      </c>
      <c r="J2286" t="s">
        <v>330</v>
      </c>
      <c r="K2286">
        <v>36405.07</v>
      </c>
      <c r="L2286" t="s">
        <v>6408</v>
      </c>
      <c r="M2286" t="str" cm="1">
        <f t="array" ref="M2286">INDEX('Org List'!$A$2:$C$1005,MATCH(Consolidated!I2286&amp;Consolidated!J2286,'Org List'!$A$2:$A$1005&amp;'Org List'!$B$2:$B$1005,0),3)</f>
        <v>Governments: National</v>
      </c>
    </row>
    <row r="2287" spans="1:13" x14ac:dyDescent="0.25">
      <c r="A2287" t="s">
        <v>1893</v>
      </c>
      <c r="B2287" t="s">
        <v>815</v>
      </c>
      <c r="C2287" t="s">
        <v>30</v>
      </c>
      <c r="D2287" t="s">
        <v>816</v>
      </c>
      <c r="E2287" t="s">
        <v>123</v>
      </c>
      <c r="F2287">
        <v>4500384024</v>
      </c>
      <c r="H2287" t="s">
        <v>12</v>
      </c>
      <c r="I2287" t="s">
        <v>125</v>
      </c>
      <c r="J2287" t="s">
        <v>123</v>
      </c>
      <c r="K2287">
        <v>2707559.12</v>
      </c>
      <c r="L2287" t="s">
        <v>6408</v>
      </c>
      <c r="M2287" t="str" cm="1">
        <f t="array" ref="M2287">INDEX('Org List'!$A$2:$C$1005,MATCH(Consolidated!I2287&amp;Consolidated!J2287,'Org List'!$A$2:$A$1005&amp;'Org List'!$B$2:$B$1005,0),3)</f>
        <v>NGOs: National</v>
      </c>
    </row>
    <row r="2288" spans="1:13" x14ac:dyDescent="0.25">
      <c r="A2288" t="s">
        <v>1893</v>
      </c>
      <c r="B2288" t="s">
        <v>815</v>
      </c>
      <c r="C2288" t="s">
        <v>30</v>
      </c>
      <c r="D2288" t="s">
        <v>816</v>
      </c>
      <c r="E2288" t="s">
        <v>123</v>
      </c>
      <c r="F2288">
        <v>4500388327</v>
      </c>
      <c r="H2288" t="s">
        <v>12</v>
      </c>
      <c r="I2288" t="s">
        <v>125</v>
      </c>
      <c r="J2288" t="s">
        <v>123</v>
      </c>
      <c r="K2288">
        <v>1341180.01</v>
      </c>
      <c r="L2288" t="s">
        <v>6408</v>
      </c>
      <c r="M2288" t="str" cm="1">
        <f t="array" ref="M2288">INDEX('Org List'!$A$2:$C$1005,MATCH(Consolidated!I2288&amp;Consolidated!J2288,'Org List'!$A$2:$A$1005&amp;'Org List'!$B$2:$B$1005,0),3)</f>
        <v>NGOs: National</v>
      </c>
    </row>
    <row r="2289" spans="1:13" x14ac:dyDescent="0.25">
      <c r="A2289" t="s">
        <v>1893</v>
      </c>
      <c r="B2289" t="s">
        <v>1288</v>
      </c>
      <c r="C2289" t="s">
        <v>30</v>
      </c>
      <c r="D2289" t="s">
        <v>1289</v>
      </c>
      <c r="E2289" t="s">
        <v>54</v>
      </c>
      <c r="F2289">
        <v>4500380871</v>
      </c>
      <c r="H2289" t="s">
        <v>12</v>
      </c>
      <c r="I2289" t="s">
        <v>277</v>
      </c>
      <c r="J2289" t="s">
        <v>54</v>
      </c>
      <c r="K2289">
        <v>118690.59</v>
      </c>
      <c r="L2289" t="s">
        <v>6408</v>
      </c>
      <c r="M2289" t="str" cm="1">
        <f t="array" ref="M2289">INDEX('Org List'!$A$2:$C$1005,MATCH(Consolidated!I2289&amp;Consolidated!J2289,'Org List'!$A$2:$A$1005&amp;'Org List'!$B$2:$B$1005,0),3)</f>
        <v>NGOs: National</v>
      </c>
    </row>
    <row r="2290" spans="1:13" x14ac:dyDescent="0.25">
      <c r="A2290" t="s">
        <v>1893</v>
      </c>
      <c r="B2290" t="s">
        <v>1288</v>
      </c>
      <c r="C2290" t="s">
        <v>30</v>
      </c>
      <c r="D2290" t="s">
        <v>1289</v>
      </c>
      <c r="E2290" t="s">
        <v>54</v>
      </c>
      <c r="F2290">
        <v>4500382064</v>
      </c>
      <c r="H2290" t="s">
        <v>12</v>
      </c>
      <c r="I2290" t="s">
        <v>1728</v>
      </c>
      <c r="J2290" t="s">
        <v>54</v>
      </c>
      <c r="K2290">
        <v>32292.48</v>
      </c>
      <c r="L2290" t="s">
        <v>6408</v>
      </c>
      <c r="M2290" t="str" cm="1">
        <f t="array" ref="M2290">INDEX('Org List'!$A$2:$C$1005,MATCH(Consolidated!I2290&amp;Consolidated!J2290,'Org List'!$A$2:$A$1005&amp;'Org List'!$B$2:$B$1005,0),3)</f>
        <v>NGOs: National</v>
      </c>
    </row>
    <row r="2291" spans="1:13" x14ac:dyDescent="0.25">
      <c r="A2291" t="s">
        <v>1893</v>
      </c>
      <c r="B2291" t="s">
        <v>1288</v>
      </c>
      <c r="C2291" t="s">
        <v>30</v>
      </c>
      <c r="D2291" t="s">
        <v>1289</v>
      </c>
      <c r="E2291" t="s">
        <v>54</v>
      </c>
      <c r="F2291">
        <v>4500389252</v>
      </c>
      <c r="H2291" t="s">
        <v>12</v>
      </c>
      <c r="I2291" t="s">
        <v>1707</v>
      </c>
      <c r="J2291" t="s">
        <v>54</v>
      </c>
      <c r="K2291">
        <v>25052.37</v>
      </c>
      <c r="L2291" t="s">
        <v>6408</v>
      </c>
      <c r="M2291" t="str" cm="1">
        <f t="array" ref="M2291">INDEX('Org List'!$A$2:$C$1005,MATCH(Consolidated!I2291&amp;Consolidated!J2291,'Org List'!$A$2:$A$1005&amp;'Org List'!$B$2:$B$1005,0),3)</f>
        <v>NGOs: National</v>
      </c>
    </row>
    <row r="2292" spans="1:13" x14ac:dyDescent="0.25">
      <c r="A2292" t="s">
        <v>1893</v>
      </c>
      <c r="B2292" t="s">
        <v>1288</v>
      </c>
      <c r="C2292" t="s">
        <v>30</v>
      </c>
      <c r="D2292" t="s">
        <v>1289</v>
      </c>
      <c r="E2292" t="s">
        <v>54</v>
      </c>
      <c r="F2292">
        <v>4500390017</v>
      </c>
      <c r="H2292" t="s">
        <v>12</v>
      </c>
      <c r="I2292" t="s">
        <v>1729</v>
      </c>
      <c r="J2292" t="s">
        <v>54</v>
      </c>
      <c r="K2292">
        <v>5729.05</v>
      </c>
      <c r="L2292" t="s">
        <v>6408</v>
      </c>
      <c r="M2292" t="str" cm="1">
        <f t="array" ref="M2292">INDEX('Org List'!$A$2:$C$1005,MATCH(Consolidated!I2292&amp;Consolidated!J2292,'Org List'!$A$2:$A$1005&amp;'Org List'!$B$2:$B$1005,0),3)</f>
        <v>NGOs: National</v>
      </c>
    </row>
    <row r="2293" spans="1:13" x14ac:dyDescent="0.25">
      <c r="A2293" t="s">
        <v>1893</v>
      </c>
      <c r="B2293" t="s">
        <v>1293</v>
      </c>
      <c r="C2293" t="s">
        <v>30</v>
      </c>
      <c r="D2293" t="s">
        <v>1294</v>
      </c>
      <c r="E2293" t="s">
        <v>123</v>
      </c>
      <c r="F2293">
        <v>4500396834</v>
      </c>
      <c r="H2293" t="s">
        <v>12</v>
      </c>
      <c r="I2293" t="s">
        <v>73</v>
      </c>
      <c r="J2293" t="s">
        <v>123</v>
      </c>
      <c r="K2293">
        <v>150000</v>
      </c>
      <c r="L2293" t="s">
        <v>6408</v>
      </c>
      <c r="M2293" t="str" cm="1">
        <f t="array" ref="M2293">INDEX('Org List'!$A$2:$C$1005,MATCH(Consolidated!I2293&amp;Consolidated!J2293,'Org List'!$A$2:$A$1005&amp;'Org List'!$B$2:$B$1005,0),3)</f>
        <v>NGOs: International</v>
      </c>
    </row>
    <row r="2294" spans="1:13" x14ac:dyDescent="0.25">
      <c r="A2294" t="s">
        <v>1893</v>
      </c>
      <c r="B2294" t="s">
        <v>1293</v>
      </c>
      <c r="C2294" t="s">
        <v>30</v>
      </c>
      <c r="D2294" t="s">
        <v>1294</v>
      </c>
      <c r="E2294" t="s">
        <v>123</v>
      </c>
      <c r="F2294">
        <v>4500396842</v>
      </c>
      <c r="H2294" t="s">
        <v>12</v>
      </c>
      <c r="I2294" t="s">
        <v>1295</v>
      </c>
      <c r="J2294" t="s">
        <v>123</v>
      </c>
      <c r="K2294">
        <v>150000</v>
      </c>
      <c r="L2294" t="s">
        <v>6408</v>
      </c>
      <c r="M2294" t="str" cm="1">
        <f t="array" ref="M2294">INDEX('Org List'!$A$2:$C$1005,MATCH(Consolidated!I2294&amp;Consolidated!J2294,'Org List'!$A$2:$A$1005&amp;'Org List'!$B$2:$B$1005,0),3)</f>
        <v>NGOs: National</v>
      </c>
    </row>
    <row r="2295" spans="1:13" x14ac:dyDescent="0.25">
      <c r="A2295" t="s">
        <v>1893</v>
      </c>
      <c r="B2295" t="s">
        <v>1293</v>
      </c>
      <c r="C2295" t="s">
        <v>30</v>
      </c>
      <c r="D2295" t="s">
        <v>1294</v>
      </c>
      <c r="E2295" t="s">
        <v>123</v>
      </c>
      <c r="F2295">
        <v>4500396847</v>
      </c>
      <c r="H2295" t="s">
        <v>12</v>
      </c>
      <c r="I2295" t="s">
        <v>1296</v>
      </c>
      <c r="J2295" t="s">
        <v>123</v>
      </c>
      <c r="K2295">
        <v>150000</v>
      </c>
      <c r="L2295" t="s">
        <v>6408</v>
      </c>
      <c r="M2295" t="str" cm="1">
        <f t="array" ref="M2295">INDEX('Org List'!$A$2:$C$1005,MATCH(Consolidated!I2295&amp;Consolidated!J2295,'Org List'!$A$2:$A$1005&amp;'Org List'!$B$2:$B$1005,0),3)</f>
        <v>NGOs: National</v>
      </c>
    </row>
    <row r="2296" spans="1:13" x14ac:dyDescent="0.25">
      <c r="A2296" t="s">
        <v>1893</v>
      </c>
      <c r="B2296" t="s">
        <v>1293</v>
      </c>
      <c r="C2296" t="s">
        <v>30</v>
      </c>
      <c r="D2296" t="s">
        <v>1294</v>
      </c>
      <c r="E2296" t="s">
        <v>123</v>
      </c>
      <c r="F2296">
        <v>4500400098</v>
      </c>
      <c r="H2296" t="s">
        <v>12</v>
      </c>
      <c r="I2296" t="s">
        <v>1730</v>
      </c>
      <c r="J2296" t="s">
        <v>123</v>
      </c>
      <c r="K2296">
        <v>131216.20000000001</v>
      </c>
      <c r="L2296" t="s">
        <v>6408</v>
      </c>
      <c r="M2296" t="str" cm="1">
        <f t="array" ref="M2296">INDEX('Org List'!$A$2:$C$1005,MATCH(Consolidated!I2296&amp;Consolidated!J2296,'Org List'!$A$2:$A$1005&amp;'Org List'!$B$2:$B$1005,0),3)</f>
        <v>NGOs: National</v>
      </c>
    </row>
    <row r="2297" spans="1:13" x14ac:dyDescent="0.25">
      <c r="A2297" t="s">
        <v>1893</v>
      </c>
      <c r="B2297" t="s">
        <v>1297</v>
      </c>
      <c r="C2297" t="s">
        <v>30</v>
      </c>
      <c r="D2297" t="s">
        <v>1298</v>
      </c>
      <c r="E2297" t="s">
        <v>239</v>
      </c>
      <c r="F2297">
        <v>4500402257</v>
      </c>
      <c r="H2297" t="s">
        <v>12</v>
      </c>
      <c r="I2297" t="s">
        <v>889</v>
      </c>
      <c r="J2297" t="s">
        <v>239</v>
      </c>
      <c r="K2297">
        <v>99963.33</v>
      </c>
      <c r="L2297" t="s">
        <v>6408</v>
      </c>
      <c r="M2297" t="str" cm="1">
        <f t="array" ref="M2297">INDEX('Org List'!$A$2:$C$1005,MATCH(Consolidated!I2297&amp;Consolidated!J2297,'Org List'!$A$2:$A$1005&amp;'Org List'!$B$2:$B$1005,0),3)</f>
        <v>NGOs: Internationally affiliated</v>
      </c>
    </row>
    <row r="2298" spans="1:13" x14ac:dyDescent="0.25">
      <c r="A2298" t="s">
        <v>1893</v>
      </c>
      <c r="B2298" t="s">
        <v>130</v>
      </c>
      <c r="C2298" t="s">
        <v>30</v>
      </c>
      <c r="D2298" t="s">
        <v>131</v>
      </c>
      <c r="E2298" t="s">
        <v>132</v>
      </c>
      <c r="F2298">
        <v>4500380771</v>
      </c>
      <c r="H2298" t="s">
        <v>12</v>
      </c>
      <c r="I2298" t="s">
        <v>1731</v>
      </c>
      <c r="J2298" t="s">
        <v>132</v>
      </c>
      <c r="K2298">
        <v>141237.76000000001</v>
      </c>
      <c r="L2298" t="s">
        <v>6408</v>
      </c>
      <c r="M2298" t="str" cm="1">
        <f t="array" ref="M2298">INDEX('Org List'!$A$2:$C$1005,MATCH(Consolidated!I2298&amp;Consolidated!J2298,'Org List'!$A$2:$A$1005&amp;'Org List'!$B$2:$B$1005,0),3)</f>
        <v>Other: National</v>
      </c>
    </row>
    <row r="2299" spans="1:13" x14ac:dyDescent="0.25">
      <c r="A2299" t="s">
        <v>1893</v>
      </c>
      <c r="B2299" t="s">
        <v>130</v>
      </c>
      <c r="C2299" t="s">
        <v>30</v>
      </c>
      <c r="D2299" t="s">
        <v>131</v>
      </c>
      <c r="E2299" t="s">
        <v>132</v>
      </c>
      <c r="F2299">
        <v>4500381637</v>
      </c>
      <c r="H2299" t="s">
        <v>12</v>
      </c>
      <c r="I2299" t="s">
        <v>1732</v>
      </c>
      <c r="J2299" t="s">
        <v>132</v>
      </c>
      <c r="K2299">
        <v>145337.04</v>
      </c>
      <c r="L2299" t="s">
        <v>6408</v>
      </c>
      <c r="M2299" t="str" cm="1">
        <f t="array" ref="M2299">INDEX('Org List'!$A$2:$C$1005,MATCH(Consolidated!I2299&amp;Consolidated!J2299,'Org List'!$A$2:$A$1005&amp;'Org List'!$B$2:$B$1005,0),3)</f>
        <v>NGOs: National</v>
      </c>
    </row>
    <row r="2300" spans="1:13" x14ac:dyDescent="0.25">
      <c r="A2300" t="s">
        <v>1893</v>
      </c>
      <c r="B2300" t="s">
        <v>130</v>
      </c>
      <c r="C2300" t="s">
        <v>30</v>
      </c>
      <c r="D2300" t="s">
        <v>131</v>
      </c>
      <c r="E2300" t="s">
        <v>132</v>
      </c>
      <c r="F2300">
        <v>4500394335</v>
      </c>
      <c r="H2300" t="s">
        <v>12</v>
      </c>
      <c r="I2300" t="s">
        <v>1733</v>
      </c>
      <c r="J2300" t="s">
        <v>132</v>
      </c>
      <c r="K2300">
        <v>207676.91</v>
      </c>
      <c r="L2300" t="s">
        <v>6408</v>
      </c>
      <c r="M2300" t="str" cm="1">
        <f t="array" ref="M2300">INDEX('Org List'!$A$2:$C$1005,MATCH(Consolidated!I2300&amp;Consolidated!J2300,'Org List'!$A$2:$A$1005&amp;'Org List'!$B$2:$B$1005,0),3)</f>
        <v>NGOs: Local</v>
      </c>
    </row>
    <row r="2301" spans="1:13" x14ac:dyDescent="0.25">
      <c r="A2301" t="s">
        <v>1893</v>
      </c>
      <c r="B2301" t="s">
        <v>130</v>
      </c>
      <c r="C2301" t="s">
        <v>30</v>
      </c>
      <c r="D2301" t="s">
        <v>131</v>
      </c>
      <c r="E2301" t="s">
        <v>132</v>
      </c>
      <c r="F2301">
        <v>4500403675</v>
      </c>
      <c r="H2301" t="s">
        <v>12</v>
      </c>
      <c r="I2301" t="s">
        <v>1734</v>
      </c>
      <c r="J2301" t="s">
        <v>132</v>
      </c>
      <c r="K2301">
        <v>50111.89</v>
      </c>
      <c r="L2301" t="s">
        <v>6408</v>
      </c>
      <c r="M2301" t="str" cm="1">
        <f t="array" ref="M2301">INDEX('Org List'!$A$2:$C$1005,MATCH(Consolidated!I2301&amp;Consolidated!J2301,'Org List'!$A$2:$A$1005&amp;'Org List'!$B$2:$B$1005,0),3)</f>
        <v>NGOs: National</v>
      </c>
    </row>
    <row r="2302" spans="1:13" x14ac:dyDescent="0.25">
      <c r="A2302" t="s">
        <v>1893</v>
      </c>
      <c r="B2302" t="s">
        <v>130</v>
      </c>
      <c r="C2302" t="s">
        <v>30</v>
      </c>
      <c r="D2302" t="s">
        <v>131</v>
      </c>
      <c r="E2302" t="s">
        <v>132</v>
      </c>
      <c r="F2302">
        <v>4500404153</v>
      </c>
      <c r="H2302" t="s">
        <v>12</v>
      </c>
      <c r="I2302" t="s">
        <v>1735</v>
      </c>
      <c r="J2302" t="s">
        <v>132</v>
      </c>
      <c r="K2302">
        <v>36929.39</v>
      </c>
      <c r="L2302" t="s">
        <v>6408</v>
      </c>
      <c r="M2302" t="str" cm="1">
        <f t="array" ref="M2302">INDEX('Org List'!$A$2:$C$1005,MATCH(Consolidated!I2302&amp;Consolidated!J2302,'Org List'!$A$2:$A$1005&amp;'Org List'!$B$2:$B$1005,0),3)</f>
        <v>NGOs: National</v>
      </c>
    </row>
    <row r="2303" spans="1:13" x14ac:dyDescent="0.25">
      <c r="A2303" t="s">
        <v>1893</v>
      </c>
      <c r="B2303" t="s">
        <v>1736</v>
      </c>
      <c r="C2303" t="s">
        <v>30</v>
      </c>
      <c r="D2303" t="s">
        <v>1737</v>
      </c>
      <c r="E2303" t="s">
        <v>83</v>
      </c>
      <c r="F2303">
        <v>4500392535</v>
      </c>
      <c r="H2303" t="s">
        <v>12</v>
      </c>
      <c r="I2303" t="s">
        <v>85</v>
      </c>
      <c r="J2303" t="s">
        <v>83</v>
      </c>
      <c r="K2303">
        <v>19880</v>
      </c>
      <c r="L2303" t="s">
        <v>6408</v>
      </c>
      <c r="M2303" t="str" cm="1">
        <f t="array" ref="M2303">INDEX('Org List'!$A$2:$C$1005,MATCH(Consolidated!I2303&amp;Consolidated!J2303,'Org List'!$A$2:$A$1005&amp;'Org List'!$B$2:$B$1005,0),3)</f>
        <v>NGOs: International</v>
      </c>
    </row>
    <row r="2304" spans="1:13" x14ac:dyDescent="0.25">
      <c r="A2304" t="s">
        <v>1893</v>
      </c>
      <c r="B2304" t="s">
        <v>1302</v>
      </c>
      <c r="C2304" t="s">
        <v>30</v>
      </c>
      <c r="D2304" t="s">
        <v>1303</v>
      </c>
      <c r="E2304" t="s">
        <v>814</v>
      </c>
      <c r="F2304">
        <v>4500392462</v>
      </c>
      <c r="H2304" t="s">
        <v>12</v>
      </c>
      <c r="I2304" t="s">
        <v>1721</v>
      </c>
      <c r="J2304" t="s">
        <v>814</v>
      </c>
      <c r="K2304">
        <v>8911.4500000000007</v>
      </c>
      <c r="L2304" t="s">
        <v>6408</v>
      </c>
      <c r="M2304" t="str" cm="1">
        <f t="array" ref="M2304">INDEX('Org List'!$A$2:$C$1005,MATCH(Consolidated!I2304&amp;Consolidated!J2304,'Org List'!$A$2:$A$1005&amp;'Org List'!$B$2:$B$1005,0),3)</f>
        <v>NGOs: National</v>
      </c>
    </row>
    <row r="2305" spans="1:13" x14ac:dyDescent="0.25">
      <c r="A2305" t="s">
        <v>1893</v>
      </c>
      <c r="B2305" t="s">
        <v>822</v>
      </c>
      <c r="C2305" t="s">
        <v>30</v>
      </c>
      <c r="D2305" t="s">
        <v>823</v>
      </c>
      <c r="E2305" t="s">
        <v>356</v>
      </c>
      <c r="F2305">
        <v>4500384565</v>
      </c>
      <c r="H2305" t="s">
        <v>12</v>
      </c>
      <c r="I2305" t="s">
        <v>1738</v>
      </c>
      <c r="J2305" t="s">
        <v>356</v>
      </c>
      <c r="K2305">
        <v>102397</v>
      </c>
      <c r="L2305" t="s">
        <v>6408</v>
      </c>
      <c r="M2305" t="str" cm="1">
        <f t="array" ref="M2305">INDEX('Org List'!$A$2:$C$1005,MATCH(Consolidated!I2305&amp;Consolidated!J2305,'Org List'!$A$2:$A$1005&amp;'Org List'!$B$2:$B$1005,0),3)</f>
        <v>NGOs: National</v>
      </c>
    </row>
    <row r="2306" spans="1:13" x14ac:dyDescent="0.25">
      <c r="A2306" t="s">
        <v>1893</v>
      </c>
      <c r="B2306" t="s">
        <v>822</v>
      </c>
      <c r="C2306" t="s">
        <v>30</v>
      </c>
      <c r="D2306" t="s">
        <v>823</v>
      </c>
      <c r="E2306" t="s">
        <v>356</v>
      </c>
      <c r="F2306">
        <v>4500385787</v>
      </c>
      <c r="H2306" t="s">
        <v>12</v>
      </c>
      <c r="I2306" t="s">
        <v>1739</v>
      </c>
      <c r="J2306" t="s">
        <v>356</v>
      </c>
      <c r="K2306">
        <v>170237</v>
      </c>
      <c r="L2306" t="s">
        <v>6408</v>
      </c>
      <c r="M2306" t="str" cm="1">
        <f t="array" ref="M2306">INDEX('Org List'!$A$2:$C$1005,MATCH(Consolidated!I2306&amp;Consolidated!J2306,'Org List'!$A$2:$A$1005&amp;'Org List'!$B$2:$B$1005,0),3)</f>
        <v>NGOs: Local</v>
      </c>
    </row>
    <row r="2307" spans="1:13" x14ac:dyDescent="0.25">
      <c r="A2307" t="s">
        <v>1893</v>
      </c>
      <c r="B2307" t="s">
        <v>822</v>
      </c>
      <c r="C2307" t="s">
        <v>30</v>
      </c>
      <c r="D2307" t="s">
        <v>823</v>
      </c>
      <c r="E2307" t="s">
        <v>356</v>
      </c>
      <c r="F2307">
        <v>4500386355</v>
      </c>
      <c r="H2307" t="s">
        <v>12</v>
      </c>
      <c r="I2307" t="s">
        <v>1740</v>
      </c>
      <c r="J2307" t="s">
        <v>356</v>
      </c>
      <c r="K2307">
        <v>95762</v>
      </c>
      <c r="L2307" t="s">
        <v>6408</v>
      </c>
      <c r="M2307" t="str" cm="1">
        <f t="array" ref="M2307">INDEX('Org List'!$A$2:$C$1005,MATCH(Consolidated!I2307&amp;Consolidated!J2307,'Org List'!$A$2:$A$1005&amp;'Org List'!$B$2:$B$1005,0),3)</f>
        <v>NGOs: National</v>
      </c>
    </row>
    <row r="2308" spans="1:13" x14ac:dyDescent="0.25">
      <c r="A2308" t="s">
        <v>1893</v>
      </c>
      <c r="B2308" t="s">
        <v>822</v>
      </c>
      <c r="C2308" t="s">
        <v>30</v>
      </c>
      <c r="D2308" t="s">
        <v>823</v>
      </c>
      <c r="E2308" t="s">
        <v>356</v>
      </c>
      <c r="F2308">
        <v>4500386363</v>
      </c>
      <c r="H2308" t="s">
        <v>12</v>
      </c>
      <c r="I2308" t="s">
        <v>1315</v>
      </c>
      <c r="J2308" t="s">
        <v>356</v>
      </c>
      <c r="K2308">
        <v>132228</v>
      </c>
      <c r="L2308" t="s">
        <v>6408</v>
      </c>
      <c r="M2308" t="str" cm="1">
        <f t="array" ref="M2308">INDEX('Org List'!$A$2:$C$1005,MATCH(Consolidated!I2308&amp;Consolidated!J2308,'Org List'!$A$2:$A$1005&amp;'Org List'!$B$2:$B$1005,0),3)</f>
        <v>NGOs: National</v>
      </c>
    </row>
    <row r="2309" spans="1:13" x14ac:dyDescent="0.25">
      <c r="A2309" t="s">
        <v>1893</v>
      </c>
      <c r="B2309" t="s">
        <v>822</v>
      </c>
      <c r="C2309" t="s">
        <v>30</v>
      </c>
      <c r="D2309" t="s">
        <v>823</v>
      </c>
      <c r="E2309" t="s">
        <v>356</v>
      </c>
      <c r="F2309">
        <v>4500388302</v>
      </c>
      <c r="H2309" t="s">
        <v>12</v>
      </c>
      <c r="I2309" t="s">
        <v>1741</v>
      </c>
      <c r="J2309" t="s">
        <v>356</v>
      </c>
      <c r="K2309">
        <v>89194</v>
      </c>
      <c r="L2309" t="s">
        <v>6408</v>
      </c>
      <c r="M2309" t="str" cm="1">
        <f t="array" ref="M2309">INDEX('Org List'!$A$2:$C$1005,MATCH(Consolidated!I2309&amp;Consolidated!J2309,'Org List'!$A$2:$A$1005&amp;'Org List'!$B$2:$B$1005,0),3)</f>
        <v>NGOs: National</v>
      </c>
    </row>
    <row r="2310" spans="1:13" x14ac:dyDescent="0.25">
      <c r="A2310" t="s">
        <v>1893</v>
      </c>
      <c r="B2310" t="s">
        <v>822</v>
      </c>
      <c r="C2310" t="s">
        <v>30</v>
      </c>
      <c r="D2310" t="s">
        <v>823</v>
      </c>
      <c r="E2310" t="s">
        <v>356</v>
      </c>
      <c r="F2310">
        <v>4500393814</v>
      </c>
      <c r="H2310" t="s">
        <v>12</v>
      </c>
      <c r="I2310" t="s">
        <v>1306</v>
      </c>
      <c r="J2310" t="s">
        <v>356</v>
      </c>
      <c r="K2310">
        <v>148265</v>
      </c>
      <c r="L2310" t="s">
        <v>6408</v>
      </c>
      <c r="M2310" t="str" cm="1">
        <f t="array" ref="M2310">INDEX('Org List'!$A$2:$C$1005,MATCH(Consolidated!I2310&amp;Consolidated!J2310,'Org List'!$A$2:$A$1005&amp;'Org List'!$B$2:$B$1005,0),3)</f>
        <v>NGOs: National</v>
      </c>
    </row>
    <row r="2311" spans="1:13" x14ac:dyDescent="0.25">
      <c r="A2311" t="s">
        <v>1893</v>
      </c>
      <c r="B2311" t="s">
        <v>822</v>
      </c>
      <c r="C2311" t="s">
        <v>30</v>
      </c>
      <c r="D2311" t="s">
        <v>823</v>
      </c>
      <c r="E2311" t="s">
        <v>356</v>
      </c>
      <c r="F2311">
        <v>4500394097</v>
      </c>
      <c r="H2311" t="s">
        <v>12</v>
      </c>
      <c r="I2311" t="s">
        <v>1742</v>
      </c>
      <c r="J2311" t="s">
        <v>356</v>
      </c>
      <c r="K2311">
        <v>148627</v>
      </c>
      <c r="L2311" t="s">
        <v>6408</v>
      </c>
      <c r="M2311" t="str" cm="1">
        <f t="array" ref="M2311">INDEX('Org List'!$A$2:$C$1005,MATCH(Consolidated!I2311&amp;Consolidated!J2311,'Org List'!$A$2:$A$1005&amp;'Org List'!$B$2:$B$1005,0),3)</f>
        <v>NGOs: National</v>
      </c>
    </row>
    <row r="2312" spans="1:13" x14ac:dyDescent="0.25">
      <c r="A2312" t="s">
        <v>1893</v>
      </c>
      <c r="B2312" t="s">
        <v>822</v>
      </c>
      <c r="C2312" t="s">
        <v>30</v>
      </c>
      <c r="D2312" t="s">
        <v>823</v>
      </c>
      <c r="E2312" t="s">
        <v>356</v>
      </c>
      <c r="F2312">
        <v>4500394098</v>
      </c>
      <c r="H2312" t="s">
        <v>12</v>
      </c>
      <c r="I2312" t="s">
        <v>1743</v>
      </c>
      <c r="J2312" t="s">
        <v>356</v>
      </c>
      <c r="K2312">
        <v>166988</v>
      </c>
      <c r="L2312" t="s">
        <v>6408</v>
      </c>
      <c r="M2312" t="str" cm="1">
        <f t="array" ref="M2312">INDEX('Org List'!$A$2:$C$1005,MATCH(Consolidated!I2312&amp;Consolidated!J2312,'Org List'!$A$2:$A$1005&amp;'Org List'!$B$2:$B$1005,0),3)</f>
        <v>NGOs: National</v>
      </c>
    </row>
    <row r="2313" spans="1:13" x14ac:dyDescent="0.25">
      <c r="A2313" t="s">
        <v>1893</v>
      </c>
      <c r="B2313" t="s">
        <v>822</v>
      </c>
      <c r="C2313" t="s">
        <v>30</v>
      </c>
      <c r="D2313" t="s">
        <v>823</v>
      </c>
      <c r="E2313" t="s">
        <v>356</v>
      </c>
      <c r="F2313">
        <v>4500394100</v>
      </c>
      <c r="H2313" t="s">
        <v>12</v>
      </c>
      <c r="I2313" t="s">
        <v>1744</v>
      </c>
      <c r="J2313" t="s">
        <v>356</v>
      </c>
      <c r="K2313">
        <v>100000</v>
      </c>
      <c r="L2313" t="s">
        <v>6408</v>
      </c>
      <c r="M2313" t="str" cm="1">
        <f t="array" ref="M2313">INDEX('Org List'!$A$2:$C$1005,MATCH(Consolidated!I2313&amp;Consolidated!J2313,'Org List'!$A$2:$A$1005&amp;'Org List'!$B$2:$B$1005,0),3)</f>
        <v>NGOs: National</v>
      </c>
    </row>
    <row r="2314" spans="1:13" x14ac:dyDescent="0.25">
      <c r="A2314" t="s">
        <v>1893</v>
      </c>
      <c r="B2314" t="s">
        <v>822</v>
      </c>
      <c r="C2314" t="s">
        <v>30</v>
      </c>
      <c r="D2314" t="s">
        <v>823</v>
      </c>
      <c r="E2314" t="s">
        <v>356</v>
      </c>
      <c r="F2314">
        <v>4500400347</v>
      </c>
      <c r="H2314" t="s">
        <v>12</v>
      </c>
      <c r="I2314" t="s">
        <v>1745</v>
      </c>
      <c r="J2314" t="s">
        <v>356</v>
      </c>
      <c r="K2314">
        <v>100000</v>
      </c>
      <c r="L2314" t="s">
        <v>6408</v>
      </c>
      <c r="M2314" t="str" cm="1">
        <f t="array" ref="M2314">INDEX('Org List'!$A$2:$C$1005,MATCH(Consolidated!I2314&amp;Consolidated!J2314,'Org List'!$A$2:$A$1005&amp;'Org List'!$B$2:$B$1005,0),3)</f>
        <v>NGOs: National</v>
      </c>
    </row>
    <row r="2315" spans="1:13" x14ac:dyDescent="0.25">
      <c r="A2315" t="s">
        <v>1893</v>
      </c>
      <c r="B2315" t="s">
        <v>822</v>
      </c>
      <c r="C2315" t="s">
        <v>30</v>
      </c>
      <c r="D2315" t="s">
        <v>823</v>
      </c>
      <c r="E2315" t="s">
        <v>356</v>
      </c>
      <c r="F2315">
        <v>4500400356</v>
      </c>
      <c r="H2315" t="s">
        <v>12</v>
      </c>
      <c r="I2315" t="s">
        <v>1746</v>
      </c>
      <c r="J2315" t="s">
        <v>356</v>
      </c>
      <c r="K2315">
        <v>98681</v>
      </c>
      <c r="L2315" t="s">
        <v>6408</v>
      </c>
      <c r="M2315" t="str" cm="1">
        <f t="array" ref="M2315">INDEX('Org List'!$A$2:$C$1005,MATCH(Consolidated!I2315&amp;Consolidated!J2315,'Org List'!$A$2:$A$1005&amp;'Org List'!$B$2:$B$1005,0),3)</f>
        <v>NGOs: National</v>
      </c>
    </row>
    <row r="2316" spans="1:13" x14ac:dyDescent="0.25">
      <c r="A2316" t="s">
        <v>1893</v>
      </c>
      <c r="B2316" t="s">
        <v>822</v>
      </c>
      <c r="C2316" t="s">
        <v>30</v>
      </c>
      <c r="D2316" t="s">
        <v>823</v>
      </c>
      <c r="E2316" t="s">
        <v>356</v>
      </c>
      <c r="F2316">
        <v>4500400360</v>
      </c>
      <c r="H2316" t="s">
        <v>12</v>
      </c>
      <c r="I2316" t="s">
        <v>826</v>
      </c>
      <c r="J2316" t="s">
        <v>356</v>
      </c>
      <c r="K2316">
        <v>253171</v>
      </c>
      <c r="L2316" t="s">
        <v>6408</v>
      </c>
      <c r="M2316" t="str" cm="1">
        <f t="array" ref="M2316">INDEX('Org List'!$A$2:$C$1005,MATCH(Consolidated!I2316&amp;Consolidated!J2316,'Org List'!$A$2:$A$1005&amp;'Org List'!$B$2:$B$1005,0),3)</f>
        <v>NGOs: National</v>
      </c>
    </row>
    <row r="2317" spans="1:13" x14ac:dyDescent="0.25">
      <c r="A2317" t="s">
        <v>1893</v>
      </c>
      <c r="B2317" t="s">
        <v>822</v>
      </c>
      <c r="C2317" t="s">
        <v>30</v>
      </c>
      <c r="D2317" t="s">
        <v>823</v>
      </c>
      <c r="E2317" t="s">
        <v>356</v>
      </c>
      <c r="F2317">
        <v>4500405573</v>
      </c>
      <c r="H2317" t="s">
        <v>12</v>
      </c>
      <c r="I2317" t="s">
        <v>1747</v>
      </c>
      <c r="J2317" t="s">
        <v>356</v>
      </c>
      <c r="K2317">
        <v>175373</v>
      </c>
      <c r="L2317" t="s">
        <v>6408</v>
      </c>
      <c r="M2317" t="str" cm="1">
        <f t="array" ref="M2317">INDEX('Org List'!$A$2:$C$1005,MATCH(Consolidated!I2317&amp;Consolidated!J2317,'Org List'!$A$2:$A$1005&amp;'Org List'!$B$2:$B$1005,0),3)</f>
        <v>NGOs: National</v>
      </c>
    </row>
    <row r="2318" spans="1:13" x14ac:dyDescent="0.25">
      <c r="A2318" t="s">
        <v>1893</v>
      </c>
      <c r="B2318" t="s">
        <v>1316</v>
      </c>
      <c r="C2318" t="s">
        <v>30</v>
      </c>
      <c r="D2318" t="s">
        <v>1317</v>
      </c>
      <c r="E2318" t="s">
        <v>320</v>
      </c>
      <c r="F2318">
        <v>4500387302</v>
      </c>
      <c r="H2318" t="s">
        <v>12</v>
      </c>
      <c r="I2318" t="s">
        <v>851</v>
      </c>
      <c r="J2318" t="s">
        <v>320</v>
      </c>
      <c r="K2318">
        <v>6480</v>
      </c>
      <c r="L2318" t="s">
        <v>6408</v>
      </c>
      <c r="M2318" t="str" cm="1">
        <f t="array" ref="M2318">INDEX('Org List'!$A$2:$C$1005,MATCH(Consolidated!I2318&amp;Consolidated!J2318,'Org List'!$A$2:$A$1005&amp;'Org List'!$B$2:$B$1005,0),3)</f>
        <v>NGOs: National</v>
      </c>
    </row>
    <row r="2319" spans="1:13" x14ac:dyDescent="0.25">
      <c r="A2319" t="s">
        <v>1893</v>
      </c>
      <c r="B2319" t="s">
        <v>1318</v>
      </c>
      <c r="C2319" t="s">
        <v>30</v>
      </c>
      <c r="D2319" t="s">
        <v>1319</v>
      </c>
      <c r="E2319" t="s">
        <v>289</v>
      </c>
      <c r="F2319">
        <v>4500382678</v>
      </c>
      <c r="H2319" t="s">
        <v>12</v>
      </c>
      <c r="I2319" t="s">
        <v>300</v>
      </c>
      <c r="J2319" t="s">
        <v>289</v>
      </c>
      <c r="K2319">
        <v>25000</v>
      </c>
      <c r="L2319" t="s">
        <v>6408</v>
      </c>
      <c r="M2319" t="str" cm="1">
        <f t="array" ref="M2319">INDEX('Org List'!$A$2:$C$1005,MATCH(Consolidated!I2319&amp;Consolidated!J2319,'Org List'!$A$2:$A$1005&amp;'Org List'!$B$2:$B$1005,0),3)</f>
        <v>NGOs: National</v>
      </c>
    </row>
    <row r="2320" spans="1:13" x14ac:dyDescent="0.25">
      <c r="A2320" t="s">
        <v>1893</v>
      </c>
      <c r="B2320" t="s">
        <v>1318</v>
      </c>
      <c r="C2320" t="s">
        <v>30</v>
      </c>
      <c r="D2320" t="s">
        <v>1319</v>
      </c>
      <c r="E2320" t="s">
        <v>289</v>
      </c>
      <c r="F2320">
        <v>4500382681</v>
      </c>
      <c r="H2320" t="s">
        <v>12</v>
      </c>
      <c r="I2320" t="s">
        <v>1748</v>
      </c>
      <c r="J2320" t="s">
        <v>289</v>
      </c>
      <c r="K2320">
        <v>38900</v>
      </c>
      <c r="L2320" t="s">
        <v>6408</v>
      </c>
      <c r="M2320" t="str" cm="1">
        <f t="array" ref="M2320">INDEX('Org List'!$A$2:$C$1005,MATCH(Consolidated!I2320&amp;Consolidated!J2320,'Org List'!$A$2:$A$1005&amp;'Org List'!$B$2:$B$1005,0),3)</f>
        <v>Private Organisations: Local/National</v>
      </c>
    </row>
    <row r="2321" spans="1:13" x14ac:dyDescent="0.25">
      <c r="A2321" t="s">
        <v>1893</v>
      </c>
      <c r="B2321" t="s">
        <v>1318</v>
      </c>
      <c r="C2321" t="s">
        <v>30</v>
      </c>
      <c r="D2321" t="s">
        <v>1319</v>
      </c>
      <c r="E2321" t="s">
        <v>289</v>
      </c>
      <c r="F2321">
        <v>4500384070</v>
      </c>
      <c r="H2321" t="s">
        <v>12</v>
      </c>
      <c r="I2321" t="s">
        <v>297</v>
      </c>
      <c r="J2321" t="s">
        <v>289</v>
      </c>
      <c r="K2321">
        <v>45000</v>
      </c>
      <c r="L2321" t="s">
        <v>6408</v>
      </c>
      <c r="M2321" t="str" cm="1">
        <f t="array" ref="M2321">INDEX('Org List'!$A$2:$C$1005,MATCH(Consolidated!I2321&amp;Consolidated!J2321,'Org List'!$A$2:$A$1005&amp;'Org List'!$B$2:$B$1005,0),3)</f>
        <v>NGOs: National</v>
      </c>
    </row>
    <row r="2322" spans="1:13" x14ac:dyDescent="0.25">
      <c r="A2322" t="s">
        <v>1893</v>
      </c>
      <c r="B2322" t="s">
        <v>1318</v>
      </c>
      <c r="C2322" t="s">
        <v>30</v>
      </c>
      <c r="D2322" t="s">
        <v>1319</v>
      </c>
      <c r="E2322" t="s">
        <v>289</v>
      </c>
      <c r="F2322">
        <v>4500386470</v>
      </c>
      <c r="H2322" t="s">
        <v>12</v>
      </c>
      <c r="I2322" t="s">
        <v>302</v>
      </c>
      <c r="J2322" t="s">
        <v>289</v>
      </c>
      <c r="K2322">
        <v>30000</v>
      </c>
      <c r="L2322" t="s">
        <v>6408</v>
      </c>
      <c r="M2322" t="str" cm="1">
        <f t="array" ref="M2322">INDEX('Org List'!$A$2:$C$1005,MATCH(Consolidated!I2322&amp;Consolidated!J2322,'Org List'!$A$2:$A$1005&amp;'Org List'!$B$2:$B$1005,0),3)</f>
        <v>Other: National</v>
      </c>
    </row>
    <row r="2323" spans="1:13" x14ac:dyDescent="0.25">
      <c r="A2323" t="s">
        <v>1893</v>
      </c>
      <c r="B2323" t="s">
        <v>1318</v>
      </c>
      <c r="C2323" t="s">
        <v>30</v>
      </c>
      <c r="D2323" t="s">
        <v>1319</v>
      </c>
      <c r="E2323" t="s">
        <v>289</v>
      </c>
      <c r="F2323">
        <v>4500386481</v>
      </c>
      <c r="H2323" t="s">
        <v>12</v>
      </c>
      <c r="I2323" t="s">
        <v>1749</v>
      </c>
      <c r="J2323" t="s">
        <v>289</v>
      </c>
      <c r="K2323">
        <v>30000</v>
      </c>
      <c r="L2323" t="s">
        <v>6408</v>
      </c>
      <c r="M2323" t="str" cm="1">
        <f t="array" ref="M2323">INDEX('Org List'!$A$2:$C$1005,MATCH(Consolidated!I2323&amp;Consolidated!J2323,'Org List'!$A$2:$A$1005&amp;'Org List'!$B$2:$B$1005,0),3)</f>
        <v>Private Organisations: Local/National</v>
      </c>
    </row>
    <row r="2324" spans="1:13" x14ac:dyDescent="0.25">
      <c r="A2324" t="s">
        <v>1893</v>
      </c>
      <c r="B2324" t="s">
        <v>1318</v>
      </c>
      <c r="C2324" t="s">
        <v>30</v>
      </c>
      <c r="D2324" t="s">
        <v>1319</v>
      </c>
      <c r="E2324" t="s">
        <v>289</v>
      </c>
      <c r="F2324">
        <v>4500387545</v>
      </c>
      <c r="H2324" t="s">
        <v>12</v>
      </c>
      <c r="I2324" t="s">
        <v>1750</v>
      </c>
      <c r="J2324" t="s">
        <v>289</v>
      </c>
      <c r="K2324">
        <v>40000</v>
      </c>
      <c r="L2324" t="s">
        <v>6408</v>
      </c>
      <c r="M2324" t="str" cm="1">
        <f t="array" ref="M2324">INDEX('Org List'!$A$2:$C$1005,MATCH(Consolidated!I2324&amp;Consolidated!J2324,'Org List'!$A$2:$A$1005&amp;'Org List'!$B$2:$B$1005,0),3)</f>
        <v>NGOs: National</v>
      </c>
    </row>
    <row r="2325" spans="1:13" x14ac:dyDescent="0.25">
      <c r="A2325" t="s">
        <v>1893</v>
      </c>
      <c r="B2325" t="s">
        <v>1318</v>
      </c>
      <c r="C2325" t="s">
        <v>30</v>
      </c>
      <c r="D2325" t="s">
        <v>1319</v>
      </c>
      <c r="E2325" t="s">
        <v>289</v>
      </c>
      <c r="F2325">
        <v>4500388432</v>
      </c>
      <c r="H2325" t="s">
        <v>12</v>
      </c>
      <c r="I2325" t="s">
        <v>1751</v>
      </c>
      <c r="J2325" t="s">
        <v>289</v>
      </c>
      <c r="K2325">
        <v>22000</v>
      </c>
      <c r="L2325" t="s">
        <v>6408</v>
      </c>
      <c r="M2325" t="str" cm="1">
        <f t="array" ref="M2325">INDEX('Org List'!$A$2:$C$1005,MATCH(Consolidated!I2325&amp;Consolidated!J2325,'Org List'!$A$2:$A$1005&amp;'Org List'!$B$2:$B$1005,0),3)</f>
        <v>NGOs: National</v>
      </c>
    </row>
    <row r="2326" spans="1:13" x14ac:dyDescent="0.25">
      <c r="A2326" t="s">
        <v>1893</v>
      </c>
      <c r="B2326" t="s">
        <v>1318</v>
      </c>
      <c r="C2326" t="s">
        <v>30</v>
      </c>
      <c r="D2326" t="s">
        <v>1319</v>
      </c>
      <c r="E2326" t="s">
        <v>289</v>
      </c>
      <c r="F2326">
        <v>4500389641</v>
      </c>
      <c r="H2326" t="s">
        <v>12</v>
      </c>
      <c r="I2326" t="s">
        <v>372</v>
      </c>
      <c r="J2326" t="s">
        <v>289</v>
      </c>
      <c r="K2326">
        <v>100000</v>
      </c>
      <c r="L2326" t="s">
        <v>6408</v>
      </c>
      <c r="M2326" t="str" cm="1">
        <f t="array" ref="M2326">INDEX('Org List'!$A$2:$C$1005,MATCH(Consolidated!I2326&amp;Consolidated!J2326,'Org List'!$A$2:$A$1005&amp;'Org List'!$B$2:$B$1005,0),3)</f>
        <v>NGOs: National</v>
      </c>
    </row>
    <row r="2327" spans="1:13" x14ac:dyDescent="0.25">
      <c r="A2327" t="s">
        <v>1893</v>
      </c>
      <c r="B2327" t="s">
        <v>1318</v>
      </c>
      <c r="C2327" t="s">
        <v>30</v>
      </c>
      <c r="D2327" t="s">
        <v>1319</v>
      </c>
      <c r="E2327" t="s">
        <v>289</v>
      </c>
      <c r="F2327">
        <v>4500389663</v>
      </c>
      <c r="H2327" t="s">
        <v>12</v>
      </c>
      <c r="I2327" t="s">
        <v>290</v>
      </c>
      <c r="J2327" t="s">
        <v>289</v>
      </c>
      <c r="K2327">
        <v>30000</v>
      </c>
      <c r="L2327" t="s">
        <v>6408</v>
      </c>
      <c r="M2327" t="str" cm="1">
        <f t="array" ref="M2327">INDEX('Org List'!$A$2:$C$1005,MATCH(Consolidated!I2327&amp;Consolidated!J2327,'Org List'!$A$2:$A$1005&amp;'Org List'!$B$2:$B$1005,0),3)</f>
        <v>NGOs: National</v>
      </c>
    </row>
    <row r="2328" spans="1:13" x14ac:dyDescent="0.25">
      <c r="A2328" t="s">
        <v>1893</v>
      </c>
      <c r="B2328" t="s">
        <v>1318</v>
      </c>
      <c r="C2328" t="s">
        <v>30</v>
      </c>
      <c r="D2328" t="s">
        <v>1319</v>
      </c>
      <c r="E2328" t="s">
        <v>289</v>
      </c>
      <c r="F2328">
        <v>4500389670</v>
      </c>
      <c r="H2328" t="s">
        <v>12</v>
      </c>
      <c r="I2328" t="s">
        <v>290</v>
      </c>
      <c r="J2328" t="s">
        <v>289</v>
      </c>
      <c r="K2328">
        <v>25000</v>
      </c>
      <c r="L2328" t="s">
        <v>6408</v>
      </c>
      <c r="M2328" t="str" cm="1">
        <f t="array" ref="M2328">INDEX('Org List'!$A$2:$C$1005,MATCH(Consolidated!I2328&amp;Consolidated!J2328,'Org List'!$A$2:$A$1005&amp;'Org List'!$B$2:$B$1005,0),3)</f>
        <v>NGOs: National</v>
      </c>
    </row>
    <row r="2329" spans="1:13" x14ac:dyDescent="0.25">
      <c r="A2329" t="s">
        <v>1893</v>
      </c>
      <c r="B2329" t="s">
        <v>1318</v>
      </c>
      <c r="C2329" t="s">
        <v>30</v>
      </c>
      <c r="D2329" t="s">
        <v>1319</v>
      </c>
      <c r="E2329" t="s">
        <v>289</v>
      </c>
      <c r="F2329">
        <v>4500390672</v>
      </c>
      <c r="H2329" t="s">
        <v>12</v>
      </c>
      <c r="I2329" t="s">
        <v>1752</v>
      </c>
      <c r="J2329" t="s">
        <v>289</v>
      </c>
      <c r="K2329">
        <v>14338</v>
      </c>
      <c r="L2329" t="s">
        <v>6408</v>
      </c>
      <c r="M2329" t="str" cm="1">
        <f t="array" ref="M2329">INDEX('Org List'!$A$2:$C$1005,MATCH(Consolidated!I2329&amp;Consolidated!J2329,'Org List'!$A$2:$A$1005&amp;'Org List'!$B$2:$B$1005,0),3)</f>
        <v>NGOs: National</v>
      </c>
    </row>
    <row r="2330" spans="1:13" x14ac:dyDescent="0.25">
      <c r="A2330" t="s">
        <v>1893</v>
      </c>
      <c r="B2330" t="s">
        <v>1318</v>
      </c>
      <c r="C2330" t="s">
        <v>30</v>
      </c>
      <c r="D2330" t="s">
        <v>1319</v>
      </c>
      <c r="E2330" t="s">
        <v>289</v>
      </c>
      <c r="F2330">
        <v>4500391155</v>
      </c>
      <c r="H2330" t="s">
        <v>12</v>
      </c>
      <c r="I2330" t="s">
        <v>1753</v>
      </c>
      <c r="J2330" t="s">
        <v>289</v>
      </c>
      <c r="K2330">
        <v>32000</v>
      </c>
      <c r="L2330" t="s">
        <v>6408</v>
      </c>
      <c r="M2330" t="str" cm="1">
        <f t="array" ref="M2330">INDEX('Org List'!$A$2:$C$1005,MATCH(Consolidated!I2330&amp;Consolidated!J2330,'Org List'!$A$2:$A$1005&amp;'Org List'!$B$2:$B$1005,0),3)</f>
        <v>NGOs: National</v>
      </c>
    </row>
    <row r="2331" spans="1:13" x14ac:dyDescent="0.25">
      <c r="A2331" t="s">
        <v>1893</v>
      </c>
      <c r="B2331" t="s">
        <v>1318</v>
      </c>
      <c r="C2331" t="s">
        <v>30</v>
      </c>
      <c r="D2331" t="s">
        <v>1319</v>
      </c>
      <c r="E2331" t="s">
        <v>289</v>
      </c>
      <c r="F2331">
        <v>4500393730</v>
      </c>
      <c r="H2331" t="s">
        <v>12</v>
      </c>
      <c r="I2331" t="s">
        <v>1754</v>
      </c>
      <c r="J2331" t="s">
        <v>289</v>
      </c>
      <c r="K2331">
        <v>11529</v>
      </c>
      <c r="L2331" t="s">
        <v>6408</v>
      </c>
      <c r="M2331" t="str" cm="1">
        <f t="array" ref="M2331">INDEX('Org List'!$A$2:$C$1005,MATCH(Consolidated!I2331&amp;Consolidated!J2331,'Org List'!$A$2:$A$1005&amp;'Org List'!$B$2:$B$1005,0),3)</f>
        <v>NGOs: Local</v>
      </c>
    </row>
    <row r="2332" spans="1:13" x14ac:dyDescent="0.25">
      <c r="A2332" t="s">
        <v>1893</v>
      </c>
      <c r="B2332" t="s">
        <v>1318</v>
      </c>
      <c r="C2332" t="s">
        <v>30</v>
      </c>
      <c r="D2332" t="s">
        <v>1319</v>
      </c>
      <c r="E2332" t="s">
        <v>289</v>
      </c>
      <c r="F2332">
        <v>4500396012</v>
      </c>
      <c r="H2332" t="s">
        <v>12</v>
      </c>
      <c r="I2332" t="s">
        <v>1755</v>
      </c>
      <c r="J2332" t="s">
        <v>289</v>
      </c>
      <c r="K2332">
        <v>3716.67</v>
      </c>
      <c r="L2332" t="s">
        <v>6408</v>
      </c>
      <c r="M2332" t="str" cm="1">
        <f t="array" ref="M2332">INDEX('Org List'!$A$2:$C$1005,MATCH(Consolidated!I2332&amp;Consolidated!J2332,'Org List'!$A$2:$A$1005&amp;'Org List'!$B$2:$B$1005,0),3)</f>
        <v>Governments: Local</v>
      </c>
    </row>
    <row r="2333" spans="1:13" x14ac:dyDescent="0.25">
      <c r="A2333" t="s">
        <v>1893</v>
      </c>
      <c r="B2333" t="s">
        <v>1318</v>
      </c>
      <c r="C2333" t="s">
        <v>30</v>
      </c>
      <c r="D2333" t="s">
        <v>1319</v>
      </c>
      <c r="E2333" t="s">
        <v>289</v>
      </c>
      <c r="F2333">
        <v>4500396018</v>
      </c>
      <c r="H2333" t="s">
        <v>12</v>
      </c>
      <c r="I2333" t="s">
        <v>1756</v>
      </c>
      <c r="J2333" t="s">
        <v>289</v>
      </c>
      <c r="K2333">
        <v>5728.03</v>
      </c>
      <c r="L2333" t="s">
        <v>6408</v>
      </c>
      <c r="M2333" t="str" cm="1">
        <f t="array" ref="M2333">INDEX('Org List'!$A$2:$C$1005,MATCH(Consolidated!I2333&amp;Consolidated!J2333,'Org List'!$A$2:$A$1005&amp;'Org List'!$B$2:$B$1005,0),3)</f>
        <v>Governments: Local</v>
      </c>
    </row>
    <row r="2334" spans="1:13" x14ac:dyDescent="0.25">
      <c r="A2334" t="s">
        <v>1893</v>
      </c>
      <c r="B2334" t="s">
        <v>1318</v>
      </c>
      <c r="C2334" t="s">
        <v>30</v>
      </c>
      <c r="D2334" t="s">
        <v>1319</v>
      </c>
      <c r="E2334" t="s">
        <v>289</v>
      </c>
      <c r="F2334">
        <v>4500396030</v>
      </c>
      <c r="H2334" t="s">
        <v>12</v>
      </c>
      <c r="I2334" t="s">
        <v>1757</v>
      </c>
      <c r="J2334" t="s">
        <v>289</v>
      </c>
      <c r="K2334">
        <v>3716.67</v>
      </c>
      <c r="L2334" t="s">
        <v>6408</v>
      </c>
      <c r="M2334" t="str" cm="1">
        <f t="array" ref="M2334">INDEX('Org List'!$A$2:$C$1005,MATCH(Consolidated!I2334&amp;Consolidated!J2334,'Org List'!$A$2:$A$1005&amp;'Org List'!$B$2:$B$1005,0),3)</f>
        <v>Governments: Local</v>
      </c>
    </row>
    <row r="2335" spans="1:13" x14ac:dyDescent="0.25">
      <c r="A2335" t="s">
        <v>1893</v>
      </c>
      <c r="B2335" t="s">
        <v>1318</v>
      </c>
      <c r="C2335" t="s">
        <v>30</v>
      </c>
      <c r="D2335" t="s">
        <v>1319</v>
      </c>
      <c r="E2335" t="s">
        <v>289</v>
      </c>
      <c r="F2335">
        <v>4500396784</v>
      </c>
      <c r="H2335" t="s">
        <v>12</v>
      </c>
      <c r="I2335" t="s">
        <v>301</v>
      </c>
      <c r="J2335" t="s">
        <v>289</v>
      </c>
      <c r="K2335">
        <v>110000</v>
      </c>
      <c r="L2335" t="s">
        <v>6408</v>
      </c>
      <c r="M2335" t="str" cm="1">
        <f t="array" ref="M2335">INDEX('Org List'!$A$2:$C$1005,MATCH(Consolidated!I2335&amp;Consolidated!J2335,'Org List'!$A$2:$A$1005&amp;'Org List'!$B$2:$B$1005,0),3)</f>
        <v>Other: National</v>
      </c>
    </row>
    <row r="2336" spans="1:13" x14ac:dyDescent="0.25">
      <c r="A2336" t="s">
        <v>1893</v>
      </c>
      <c r="B2336" t="s">
        <v>1318</v>
      </c>
      <c r="C2336" t="s">
        <v>30</v>
      </c>
      <c r="D2336" t="s">
        <v>1319</v>
      </c>
      <c r="E2336" t="s">
        <v>289</v>
      </c>
      <c r="F2336">
        <v>4500397282</v>
      </c>
      <c r="H2336" t="s">
        <v>12</v>
      </c>
      <c r="I2336" t="s">
        <v>1321</v>
      </c>
      <c r="J2336" t="s">
        <v>289</v>
      </c>
      <c r="K2336">
        <v>3627.83</v>
      </c>
      <c r="L2336" t="s">
        <v>6408</v>
      </c>
      <c r="M2336" t="str" cm="1">
        <f t="array" ref="M2336">INDEX('Org List'!$A$2:$C$1005,MATCH(Consolidated!I2336&amp;Consolidated!J2336,'Org List'!$A$2:$A$1005&amp;'Org List'!$B$2:$B$1005,0),3)</f>
        <v>Governments: Local</v>
      </c>
    </row>
    <row r="2337" spans="1:13" x14ac:dyDescent="0.25">
      <c r="A2337" t="s">
        <v>1893</v>
      </c>
      <c r="B2337" t="s">
        <v>1318</v>
      </c>
      <c r="C2337" t="s">
        <v>30</v>
      </c>
      <c r="D2337" t="s">
        <v>1319</v>
      </c>
      <c r="E2337" t="s">
        <v>289</v>
      </c>
      <c r="F2337">
        <v>4500398491</v>
      </c>
      <c r="H2337" t="s">
        <v>12</v>
      </c>
      <c r="I2337" t="s">
        <v>1758</v>
      </c>
      <c r="J2337" t="s">
        <v>289</v>
      </c>
      <c r="K2337">
        <v>15665</v>
      </c>
      <c r="L2337" t="s">
        <v>6408</v>
      </c>
      <c r="M2337" t="str" cm="1">
        <f t="array" ref="M2337">INDEX('Org List'!$A$2:$C$1005,MATCH(Consolidated!I2337&amp;Consolidated!J2337,'Org List'!$A$2:$A$1005&amp;'Org List'!$B$2:$B$1005,0),3)</f>
        <v>NGOs: National</v>
      </c>
    </row>
    <row r="2338" spans="1:13" x14ac:dyDescent="0.25">
      <c r="A2338" t="s">
        <v>1893</v>
      </c>
      <c r="B2338" t="s">
        <v>1318</v>
      </c>
      <c r="C2338" t="s">
        <v>30</v>
      </c>
      <c r="D2338" t="s">
        <v>1319</v>
      </c>
      <c r="E2338" t="s">
        <v>289</v>
      </c>
      <c r="F2338">
        <v>4500403749</v>
      </c>
      <c r="H2338" t="s">
        <v>12</v>
      </c>
      <c r="I2338" t="s">
        <v>1710</v>
      </c>
      <c r="J2338" t="s">
        <v>289</v>
      </c>
      <c r="K2338">
        <v>100000</v>
      </c>
      <c r="L2338" t="s">
        <v>6408</v>
      </c>
      <c r="M2338" t="str" cm="1">
        <f t="array" ref="M2338">INDEX('Org List'!$A$2:$C$1005,MATCH(Consolidated!I2338&amp;Consolidated!J2338,'Org List'!$A$2:$A$1005&amp;'Org List'!$B$2:$B$1005,0),3)</f>
        <v>NGOs: International</v>
      </c>
    </row>
    <row r="2339" spans="1:13" x14ac:dyDescent="0.25">
      <c r="A2339" t="s">
        <v>1893</v>
      </c>
      <c r="B2339" t="s">
        <v>1318</v>
      </c>
      <c r="C2339" t="s">
        <v>30</v>
      </c>
      <c r="D2339" t="s">
        <v>1319</v>
      </c>
      <c r="E2339" t="s">
        <v>903</v>
      </c>
      <c r="F2339">
        <v>4500388371</v>
      </c>
      <c r="H2339" t="s">
        <v>12</v>
      </c>
      <c r="I2339" t="s">
        <v>236</v>
      </c>
      <c r="J2339" t="s">
        <v>903</v>
      </c>
      <c r="K2339">
        <v>157851.14000000001</v>
      </c>
      <c r="L2339" t="s">
        <v>6408</v>
      </c>
      <c r="M2339" t="str" cm="1">
        <f t="array" ref="M2339">INDEX('Org List'!$A$2:$C$1005,MATCH(Consolidated!I2339&amp;Consolidated!J2339,'Org List'!$A$2:$A$1005&amp;'Org List'!$B$2:$B$1005,0),3)</f>
        <v>NGOs: International</v>
      </c>
    </row>
    <row r="2340" spans="1:13" x14ac:dyDescent="0.25">
      <c r="A2340" t="s">
        <v>1893</v>
      </c>
      <c r="B2340" t="s">
        <v>1318</v>
      </c>
      <c r="C2340" t="s">
        <v>30</v>
      </c>
      <c r="D2340" t="s">
        <v>1319</v>
      </c>
      <c r="E2340" t="s">
        <v>903</v>
      </c>
      <c r="F2340">
        <v>4500398878</v>
      </c>
      <c r="H2340" t="s">
        <v>12</v>
      </c>
      <c r="I2340" t="s">
        <v>1759</v>
      </c>
      <c r="J2340" t="s">
        <v>903</v>
      </c>
      <c r="K2340">
        <v>50155.06</v>
      </c>
      <c r="L2340" t="s">
        <v>6408</v>
      </c>
      <c r="M2340" t="str" cm="1">
        <f t="array" ref="M2340">INDEX('Org List'!$A$2:$C$1005,MATCH(Consolidated!I2340&amp;Consolidated!J2340,'Org List'!$A$2:$A$1005&amp;'Org List'!$B$2:$B$1005,0),3)</f>
        <v>NGOs: Local</v>
      </c>
    </row>
    <row r="2341" spans="1:13" x14ac:dyDescent="0.25">
      <c r="A2341" t="s">
        <v>1893</v>
      </c>
      <c r="B2341" t="s">
        <v>1318</v>
      </c>
      <c r="C2341" t="s">
        <v>30</v>
      </c>
      <c r="D2341" t="s">
        <v>1319</v>
      </c>
      <c r="E2341" t="s">
        <v>903</v>
      </c>
      <c r="F2341">
        <v>4500398880</v>
      </c>
      <c r="H2341" t="s">
        <v>12</v>
      </c>
      <c r="I2341" t="s">
        <v>1760</v>
      </c>
      <c r="J2341" t="s">
        <v>903</v>
      </c>
      <c r="K2341">
        <v>49337.47</v>
      </c>
      <c r="L2341" t="s">
        <v>6408</v>
      </c>
      <c r="M2341" t="str" cm="1">
        <f t="array" ref="M2341">INDEX('Org List'!$A$2:$C$1005,MATCH(Consolidated!I2341&amp;Consolidated!J2341,'Org List'!$A$2:$A$1005&amp;'Org List'!$B$2:$B$1005,0),3)</f>
        <v>NGOs: National</v>
      </c>
    </row>
    <row r="2342" spans="1:13" x14ac:dyDescent="0.25">
      <c r="A2342" t="s">
        <v>1893</v>
      </c>
      <c r="B2342" t="s">
        <v>1318</v>
      </c>
      <c r="C2342" t="s">
        <v>30</v>
      </c>
      <c r="D2342" t="s">
        <v>1319</v>
      </c>
      <c r="E2342" t="s">
        <v>903</v>
      </c>
      <c r="F2342">
        <v>4500402139</v>
      </c>
      <c r="H2342" t="s">
        <v>12</v>
      </c>
      <c r="I2342" t="s">
        <v>79</v>
      </c>
      <c r="J2342" t="s">
        <v>903</v>
      </c>
      <c r="K2342">
        <v>59457.29</v>
      </c>
      <c r="L2342" t="s">
        <v>6408</v>
      </c>
      <c r="M2342" t="str" cm="1">
        <f t="array" ref="M2342">INDEX('Org List'!$A$2:$C$1005,MATCH(Consolidated!I2342&amp;Consolidated!J2342,'Org List'!$A$2:$A$1005&amp;'Org List'!$B$2:$B$1005,0),3)</f>
        <v>NGOs: National</v>
      </c>
    </row>
    <row r="2343" spans="1:13" x14ac:dyDescent="0.25">
      <c r="A2343" t="s">
        <v>1893</v>
      </c>
      <c r="B2343" t="s">
        <v>1318</v>
      </c>
      <c r="C2343" t="s">
        <v>30</v>
      </c>
      <c r="D2343" t="s">
        <v>1319</v>
      </c>
      <c r="E2343" t="s">
        <v>903</v>
      </c>
      <c r="F2343">
        <v>4500402418</v>
      </c>
      <c r="H2343" t="s">
        <v>12</v>
      </c>
      <c r="I2343" t="s">
        <v>1761</v>
      </c>
      <c r="J2343" t="s">
        <v>903</v>
      </c>
      <c r="K2343">
        <v>50641.11</v>
      </c>
      <c r="L2343" t="s">
        <v>6408</v>
      </c>
      <c r="M2343" t="str" cm="1">
        <f t="array" ref="M2343">INDEX('Org List'!$A$2:$C$1005,MATCH(Consolidated!I2343&amp;Consolidated!J2343,'Org List'!$A$2:$A$1005&amp;'Org List'!$B$2:$B$1005,0),3)</f>
        <v>NGOs: National</v>
      </c>
    </row>
    <row r="2344" spans="1:13" x14ac:dyDescent="0.25">
      <c r="A2344" t="s">
        <v>1893</v>
      </c>
      <c r="B2344" t="s">
        <v>1318</v>
      </c>
      <c r="C2344" t="s">
        <v>30</v>
      </c>
      <c r="D2344" t="s">
        <v>1319</v>
      </c>
      <c r="E2344" t="s">
        <v>903</v>
      </c>
      <c r="F2344">
        <v>4500402967</v>
      </c>
      <c r="H2344" t="s">
        <v>12</v>
      </c>
      <c r="I2344" t="s">
        <v>80</v>
      </c>
      <c r="J2344" t="s">
        <v>903</v>
      </c>
      <c r="K2344">
        <v>54667.61</v>
      </c>
      <c r="L2344" t="s">
        <v>6408</v>
      </c>
      <c r="M2344" t="str" cm="1">
        <f t="array" ref="M2344">INDEX('Org List'!$A$2:$C$1005,MATCH(Consolidated!I2344&amp;Consolidated!J2344,'Org List'!$A$2:$A$1005&amp;'Org List'!$B$2:$B$1005,0),3)</f>
        <v>NGOs: National</v>
      </c>
    </row>
    <row r="2345" spans="1:13" x14ac:dyDescent="0.25">
      <c r="A2345" t="s">
        <v>1893</v>
      </c>
      <c r="B2345" t="s">
        <v>1318</v>
      </c>
      <c r="C2345" t="s">
        <v>30</v>
      </c>
      <c r="D2345" t="s">
        <v>1319</v>
      </c>
      <c r="E2345" t="s">
        <v>305</v>
      </c>
      <c r="F2345">
        <v>4500382894</v>
      </c>
      <c r="H2345" t="s">
        <v>12</v>
      </c>
      <c r="I2345" t="s">
        <v>904</v>
      </c>
      <c r="J2345" t="s">
        <v>305</v>
      </c>
      <c r="K2345">
        <v>133341.88</v>
      </c>
      <c r="L2345" t="s">
        <v>6408</v>
      </c>
      <c r="M2345" t="str" cm="1">
        <f t="array" ref="M2345">INDEX('Org List'!$A$2:$C$1005,MATCH(Consolidated!I2345&amp;Consolidated!J2345,'Org List'!$A$2:$A$1005&amp;'Org List'!$B$2:$B$1005,0),3)</f>
        <v>NGOs: National</v>
      </c>
    </row>
    <row r="2346" spans="1:13" x14ac:dyDescent="0.25">
      <c r="A2346" t="s">
        <v>1893</v>
      </c>
      <c r="B2346" t="s">
        <v>1318</v>
      </c>
      <c r="C2346" t="s">
        <v>30</v>
      </c>
      <c r="D2346" t="s">
        <v>1319</v>
      </c>
      <c r="E2346" t="s">
        <v>305</v>
      </c>
      <c r="F2346">
        <v>4500391273</v>
      </c>
      <c r="H2346" t="s">
        <v>12</v>
      </c>
      <c r="I2346" t="s">
        <v>310</v>
      </c>
      <c r="J2346" t="s">
        <v>305</v>
      </c>
      <c r="K2346">
        <v>76059.27</v>
      </c>
      <c r="L2346" t="s">
        <v>6408</v>
      </c>
      <c r="M2346" t="str" cm="1">
        <f t="array" ref="M2346">INDEX('Org List'!$A$2:$C$1005,MATCH(Consolidated!I2346&amp;Consolidated!J2346,'Org List'!$A$2:$A$1005&amp;'Org List'!$B$2:$B$1005,0),3)</f>
        <v>NGOs: National</v>
      </c>
    </row>
    <row r="2347" spans="1:13" x14ac:dyDescent="0.25">
      <c r="A2347" t="s">
        <v>1893</v>
      </c>
      <c r="B2347" t="s">
        <v>1318</v>
      </c>
      <c r="C2347" t="s">
        <v>30</v>
      </c>
      <c r="D2347" t="s">
        <v>1319</v>
      </c>
      <c r="E2347" t="s">
        <v>305</v>
      </c>
      <c r="F2347">
        <v>4500393088</v>
      </c>
      <c r="H2347" t="s">
        <v>12</v>
      </c>
      <c r="I2347" t="s">
        <v>1326</v>
      </c>
      <c r="J2347" t="s">
        <v>305</v>
      </c>
      <c r="K2347">
        <v>49800.800000000003</v>
      </c>
      <c r="L2347" t="s">
        <v>6408</v>
      </c>
      <c r="M2347" t="str" cm="1">
        <f t="array" ref="M2347">INDEX('Org List'!$A$2:$C$1005,MATCH(Consolidated!I2347&amp;Consolidated!J2347,'Org List'!$A$2:$A$1005&amp;'Org List'!$B$2:$B$1005,0),3)</f>
        <v>NGOs: National</v>
      </c>
    </row>
    <row r="2348" spans="1:13" x14ac:dyDescent="0.25">
      <c r="A2348" t="s">
        <v>1893</v>
      </c>
      <c r="B2348" t="s">
        <v>1318</v>
      </c>
      <c r="C2348" t="s">
        <v>30</v>
      </c>
      <c r="D2348" t="s">
        <v>1319</v>
      </c>
      <c r="E2348" t="s">
        <v>305</v>
      </c>
      <c r="F2348">
        <v>4500399404</v>
      </c>
      <c r="H2348" t="s">
        <v>12</v>
      </c>
      <c r="I2348" t="s">
        <v>904</v>
      </c>
      <c r="J2348" t="s">
        <v>305</v>
      </c>
      <c r="K2348">
        <v>5271.08</v>
      </c>
      <c r="L2348" t="s">
        <v>6408</v>
      </c>
      <c r="M2348" t="str" cm="1">
        <f t="array" ref="M2348">INDEX('Org List'!$A$2:$C$1005,MATCH(Consolidated!I2348&amp;Consolidated!J2348,'Org List'!$A$2:$A$1005&amp;'Org List'!$B$2:$B$1005,0),3)</f>
        <v>NGOs: National</v>
      </c>
    </row>
    <row r="2349" spans="1:13" x14ac:dyDescent="0.25">
      <c r="A2349" t="s">
        <v>1893</v>
      </c>
      <c r="B2349" t="s">
        <v>1318</v>
      </c>
      <c r="C2349" t="s">
        <v>30</v>
      </c>
      <c r="D2349" t="s">
        <v>1319</v>
      </c>
      <c r="E2349" t="s">
        <v>305</v>
      </c>
      <c r="F2349">
        <v>4500400060</v>
      </c>
      <c r="H2349" t="s">
        <v>12</v>
      </c>
      <c r="I2349" t="s">
        <v>310</v>
      </c>
      <c r="J2349" t="s">
        <v>305</v>
      </c>
      <c r="K2349">
        <v>85912.9</v>
      </c>
      <c r="L2349" t="s">
        <v>6408</v>
      </c>
      <c r="M2349" t="str" cm="1">
        <f t="array" ref="M2349">INDEX('Org List'!$A$2:$C$1005,MATCH(Consolidated!I2349&amp;Consolidated!J2349,'Org List'!$A$2:$A$1005&amp;'Org List'!$B$2:$B$1005,0),3)</f>
        <v>NGOs: National</v>
      </c>
    </row>
    <row r="2350" spans="1:13" x14ac:dyDescent="0.25">
      <c r="A2350" t="s">
        <v>1893</v>
      </c>
      <c r="B2350" t="s">
        <v>1318</v>
      </c>
      <c r="C2350" t="s">
        <v>30</v>
      </c>
      <c r="D2350" t="s">
        <v>1319</v>
      </c>
      <c r="E2350" t="s">
        <v>909</v>
      </c>
      <c r="F2350">
        <v>4500390253</v>
      </c>
      <c r="H2350" t="s">
        <v>12</v>
      </c>
      <c r="I2350" t="s">
        <v>1762</v>
      </c>
      <c r="J2350" t="s">
        <v>909</v>
      </c>
      <c r="K2350">
        <v>40196.519999999997</v>
      </c>
      <c r="L2350" t="s">
        <v>6408</v>
      </c>
      <c r="M2350" t="str" cm="1">
        <f t="array" ref="M2350">INDEX('Org List'!$A$2:$C$1005,MATCH(Consolidated!I2350&amp;Consolidated!J2350,'Org List'!$A$2:$A$1005&amp;'Org List'!$B$2:$B$1005,0),3)</f>
        <v>NGOs: National</v>
      </c>
    </row>
    <row r="2351" spans="1:13" x14ac:dyDescent="0.25">
      <c r="A2351" t="s">
        <v>1893</v>
      </c>
      <c r="B2351" t="s">
        <v>1763</v>
      </c>
      <c r="C2351" t="s">
        <v>30</v>
      </c>
      <c r="D2351" t="s">
        <v>1764</v>
      </c>
      <c r="E2351" t="s">
        <v>175</v>
      </c>
      <c r="F2351">
        <v>4500402625</v>
      </c>
      <c r="H2351" t="s">
        <v>12</v>
      </c>
      <c r="I2351" t="s">
        <v>185</v>
      </c>
      <c r="J2351" t="s">
        <v>175</v>
      </c>
      <c r="K2351">
        <v>15086.51</v>
      </c>
      <c r="L2351" t="s">
        <v>6408</v>
      </c>
      <c r="M2351" t="str" cm="1">
        <f t="array" ref="M2351">INDEX('Org List'!$A$2:$C$1005,MATCH(Consolidated!I2351&amp;Consolidated!J2351,'Org List'!$A$2:$A$1005&amp;'Org List'!$B$2:$B$1005,0),3)</f>
        <v>NGOs: National</v>
      </c>
    </row>
    <row r="2352" spans="1:13" x14ac:dyDescent="0.25">
      <c r="A2352" t="s">
        <v>1893</v>
      </c>
      <c r="B2352" t="s">
        <v>1335</v>
      </c>
      <c r="C2352" t="s">
        <v>30</v>
      </c>
      <c r="D2352" t="s">
        <v>1336</v>
      </c>
      <c r="E2352" t="s">
        <v>83</v>
      </c>
      <c r="F2352">
        <v>4500392535</v>
      </c>
      <c r="H2352" t="s">
        <v>12</v>
      </c>
      <c r="I2352" t="s">
        <v>85</v>
      </c>
      <c r="J2352" t="s">
        <v>83</v>
      </c>
      <c r="K2352">
        <v>208080</v>
      </c>
      <c r="L2352" t="s">
        <v>6408</v>
      </c>
      <c r="M2352" t="str" cm="1">
        <f t="array" ref="M2352">INDEX('Org List'!$A$2:$C$1005,MATCH(Consolidated!I2352&amp;Consolidated!J2352,'Org List'!$A$2:$A$1005&amp;'Org List'!$B$2:$B$1005,0),3)</f>
        <v>NGOs: International</v>
      </c>
    </row>
    <row r="2353" spans="1:13" x14ac:dyDescent="0.25">
      <c r="A2353" t="s">
        <v>1893</v>
      </c>
      <c r="B2353" t="s">
        <v>1335</v>
      </c>
      <c r="C2353" t="s">
        <v>30</v>
      </c>
      <c r="D2353" t="s">
        <v>1336</v>
      </c>
      <c r="E2353" t="s">
        <v>83</v>
      </c>
      <c r="F2353">
        <v>4500392880</v>
      </c>
      <c r="H2353" t="s">
        <v>12</v>
      </c>
      <c r="I2353" t="s">
        <v>86</v>
      </c>
      <c r="J2353" t="s">
        <v>83</v>
      </c>
      <c r="K2353">
        <v>321662.21999999997</v>
      </c>
      <c r="L2353" t="s">
        <v>6408</v>
      </c>
      <c r="M2353" t="str" cm="1">
        <f t="array" ref="M2353">INDEX('Org List'!$A$2:$C$1005,MATCH(Consolidated!I2353&amp;Consolidated!J2353,'Org List'!$A$2:$A$1005&amp;'Org List'!$B$2:$B$1005,0),3)</f>
        <v>NGOs: International</v>
      </c>
    </row>
    <row r="2354" spans="1:13" x14ac:dyDescent="0.25">
      <c r="A2354" t="s">
        <v>1893</v>
      </c>
      <c r="B2354" t="s">
        <v>1765</v>
      </c>
      <c r="C2354" t="s">
        <v>30</v>
      </c>
      <c r="D2354" t="s">
        <v>1766</v>
      </c>
      <c r="E2354" t="s">
        <v>717</v>
      </c>
      <c r="F2354">
        <v>4500383379</v>
      </c>
      <c r="H2354" t="s">
        <v>12</v>
      </c>
      <c r="I2354" t="s">
        <v>1767</v>
      </c>
      <c r="J2354" t="s">
        <v>717</v>
      </c>
      <c r="K2354">
        <v>80188.05</v>
      </c>
      <c r="L2354" t="s">
        <v>6408</v>
      </c>
      <c r="M2354" t="str" cm="1">
        <f t="array" ref="M2354">INDEX('Org List'!$A$2:$C$1005,MATCH(Consolidated!I2354&amp;Consolidated!J2354,'Org List'!$A$2:$A$1005&amp;'Org List'!$B$2:$B$1005,0),3)</f>
        <v>NGOs: National</v>
      </c>
    </row>
    <row r="2355" spans="1:13" x14ac:dyDescent="0.25">
      <c r="A2355" t="s">
        <v>1893</v>
      </c>
      <c r="B2355" t="s">
        <v>1340</v>
      </c>
      <c r="C2355" t="s">
        <v>30</v>
      </c>
      <c r="D2355" t="s">
        <v>1341</v>
      </c>
      <c r="E2355" t="s">
        <v>54</v>
      </c>
      <c r="F2355">
        <v>4500380871</v>
      </c>
      <c r="H2355" t="s">
        <v>12</v>
      </c>
      <c r="I2355" t="s">
        <v>277</v>
      </c>
      <c r="J2355" t="s">
        <v>54</v>
      </c>
      <c r="K2355">
        <v>19486.509999999998</v>
      </c>
      <c r="L2355" t="s">
        <v>6408</v>
      </c>
      <c r="M2355" t="str" cm="1">
        <f t="array" ref="M2355">INDEX('Org List'!$A$2:$C$1005,MATCH(Consolidated!I2355&amp;Consolidated!J2355,'Org List'!$A$2:$A$1005&amp;'Org List'!$B$2:$B$1005,0),3)</f>
        <v>NGOs: National</v>
      </c>
    </row>
    <row r="2356" spans="1:13" x14ac:dyDescent="0.25">
      <c r="A2356" t="s">
        <v>1893</v>
      </c>
      <c r="B2356" t="s">
        <v>1340</v>
      </c>
      <c r="C2356" t="s">
        <v>30</v>
      </c>
      <c r="D2356" t="s">
        <v>1341</v>
      </c>
      <c r="E2356" t="s">
        <v>54</v>
      </c>
      <c r="F2356">
        <v>4500382064</v>
      </c>
      <c r="H2356" t="s">
        <v>12</v>
      </c>
      <c r="I2356" t="s">
        <v>1728</v>
      </c>
      <c r="J2356" t="s">
        <v>54</v>
      </c>
      <c r="K2356">
        <v>21528.32</v>
      </c>
      <c r="L2356" t="s">
        <v>6408</v>
      </c>
      <c r="M2356" t="str" cm="1">
        <f t="array" ref="M2356">INDEX('Org List'!$A$2:$C$1005,MATCH(Consolidated!I2356&amp;Consolidated!J2356,'Org List'!$A$2:$A$1005&amp;'Org List'!$B$2:$B$1005,0),3)</f>
        <v>NGOs: National</v>
      </c>
    </row>
    <row r="2357" spans="1:13" x14ac:dyDescent="0.25">
      <c r="A2357" t="s">
        <v>1893</v>
      </c>
      <c r="B2357" t="s">
        <v>1342</v>
      </c>
      <c r="C2357" t="s">
        <v>30</v>
      </c>
      <c r="D2357" t="s">
        <v>1343</v>
      </c>
      <c r="E2357" t="s">
        <v>128</v>
      </c>
      <c r="F2357">
        <v>4500397007</v>
      </c>
      <c r="H2357" t="s">
        <v>12</v>
      </c>
      <c r="I2357" t="s">
        <v>1768</v>
      </c>
      <c r="J2357" t="s">
        <v>128</v>
      </c>
      <c r="K2357">
        <v>30000</v>
      </c>
      <c r="L2357" t="s">
        <v>6408</v>
      </c>
      <c r="M2357" t="str" cm="1">
        <f t="array" ref="M2357">INDEX('Org List'!$A$2:$C$1005,MATCH(Consolidated!I2357&amp;Consolidated!J2357,'Org List'!$A$2:$A$1005&amp;'Org List'!$B$2:$B$1005,0),3)</f>
        <v>NGOs: Local</v>
      </c>
    </row>
    <row r="2358" spans="1:13" x14ac:dyDescent="0.25">
      <c r="A2358" t="s">
        <v>1893</v>
      </c>
      <c r="B2358" t="s">
        <v>1769</v>
      </c>
      <c r="C2358" t="s">
        <v>30</v>
      </c>
      <c r="D2358" t="s">
        <v>1770</v>
      </c>
      <c r="E2358" t="s">
        <v>54</v>
      </c>
      <c r="F2358">
        <v>4500384045</v>
      </c>
      <c r="H2358" t="s">
        <v>12</v>
      </c>
      <c r="I2358" t="s">
        <v>1290</v>
      </c>
      <c r="J2358" t="s">
        <v>54</v>
      </c>
      <c r="K2358">
        <v>132375.20000000001</v>
      </c>
      <c r="L2358" t="s">
        <v>6408</v>
      </c>
      <c r="M2358" t="str" cm="1">
        <f t="array" ref="M2358">INDEX('Org List'!$A$2:$C$1005,MATCH(Consolidated!I2358&amp;Consolidated!J2358,'Org List'!$A$2:$A$1005&amp;'Org List'!$B$2:$B$1005,0),3)</f>
        <v>NGOs: National</v>
      </c>
    </row>
    <row r="2359" spans="1:13" x14ac:dyDescent="0.25">
      <c r="A2359" t="s">
        <v>1893</v>
      </c>
      <c r="B2359" t="s">
        <v>1769</v>
      </c>
      <c r="C2359" t="s">
        <v>30</v>
      </c>
      <c r="D2359" t="s">
        <v>1770</v>
      </c>
      <c r="E2359" t="s">
        <v>54</v>
      </c>
      <c r="F2359">
        <v>4500385918</v>
      </c>
      <c r="H2359" t="s">
        <v>12</v>
      </c>
      <c r="I2359" t="s">
        <v>1693</v>
      </c>
      <c r="J2359" t="s">
        <v>54</v>
      </c>
      <c r="K2359">
        <v>299974.53999999998</v>
      </c>
      <c r="L2359" t="s">
        <v>6408</v>
      </c>
      <c r="M2359" t="str" cm="1">
        <f t="array" ref="M2359">INDEX('Org List'!$A$2:$C$1005,MATCH(Consolidated!I2359&amp;Consolidated!J2359,'Org List'!$A$2:$A$1005&amp;'Org List'!$B$2:$B$1005,0),3)</f>
        <v>NGOs: International</v>
      </c>
    </row>
    <row r="2360" spans="1:13" x14ac:dyDescent="0.25">
      <c r="A2360" t="s">
        <v>1893</v>
      </c>
      <c r="B2360" t="s">
        <v>1769</v>
      </c>
      <c r="C2360" t="s">
        <v>30</v>
      </c>
      <c r="D2360" t="s">
        <v>1770</v>
      </c>
      <c r="E2360" t="s">
        <v>54</v>
      </c>
      <c r="F2360">
        <v>4500387921</v>
      </c>
      <c r="H2360" t="s">
        <v>12</v>
      </c>
      <c r="I2360" t="s">
        <v>1771</v>
      </c>
      <c r="J2360" t="s">
        <v>54</v>
      </c>
      <c r="K2360">
        <v>87035.96</v>
      </c>
      <c r="L2360" t="s">
        <v>6408</v>
      </c>
      <c r="M2360" t="str" cm="1">
        <f t="array" ref="M2360">INDEX('Org List'!$A$2:$C$1005,MATCH(Consolidated!I2360&amp;Consolidated!J2360,'Org List'!$A$2:$A$1005&amp;'Org List'!$B$2:$B$1005,0),3)</f>
        <v>NGOs: International</v>
      </c>
    </row>
    <row r="2361" spans="1:13" x14ac:dyDescent="0.25">
      <c r="A2361" t="s">
        <v>1893</v>
      </c>
      <c r="B2361" t="s">
        <v>1769</v>
      </c>
      <c r="C2361" t="s">
        <v>30</v>
      </c>
      <c r="D2361" t="s">
        <v>1770</v>
      </c>
      <c r="E2361" t="s">
        <v>54</v>
      </c>
      <c r="F2361">
        <v>4500387996</v>
      </c>
      <c r="H2361" t="s">
        <v>12</v>
      </c>
      <c r="I2361" t="s">
        <v>1248</v>
      </c>
      <c r="J2361" t="s">
        <v>54</v>
      </c>
      <c r="K2361">
        <v>69121.33</v>
      </c>
      <c r="L2361" t="s">
        <v>6408</v>
      </c>
      <c r="M2361" t="str" cm="1">
        <f t="array" ref="M2361">INDEX('Org List'!$A$2:$C$1005,MATCH(Consolidated!I2361&amp;Consolidated!J2361,'Org List'!$A$2:$A$1005&amp;'Org List'!$B$2:$B$1005,0),3)</f>
        <v>NGOs: National</v>
      </c>
    </row>
    <row r="2362" spans="1:13" x14ac:dyDescent="0.25">
      <c r="A2362" t="s">
        <v>1893</v>
      </c>
      <c r="B2362" t="s">
        <v>1769</v>
      </c>
      <c r="C2362" t="s">
        <v>30</v>
      </c>
      <c r="D2362" t="s">
        <v>1770</v>
      </c>
      <c r="E2362" t="s">
        <v>54</v>
      </c>
      <c r="F2362">
        <v>4500389252</v>
      </c>
      <c r="H2362" t="s">
        <v>12</v>
      </c>
      <c r="I2362" t="s">
        <v>1707</v>
      </c>
      <c r="J2362" t="s">
        <v>54</v>
      </c>
      <c r="K2362">
        <v>63727.37</v>
      </c>
      <c r="L2362" t="s">
        <v>6408</v>
      </c>
      <c r="M2362" t="str" cm="1">
        <f t="array" ref="M2362">INDEX('Org List'!$A$2:$C$1005,MATCH(Consolidated!I2362&amp;Consolidated!J2362,'Org List'!$A$2:$A$1005&amp;'Org List'!$B$2:$B$1005,0),3)</f>
        <v>NGOs: National</v>
      </c>
    </row>
    <row r="2363" spans="1:13" x14ac:dyDescent="0.25">
      <c r="A2363" t="s">
        <v>1893</v>
      </c>
      <c r="B2363" t="s">
        <v>1769</v>
      </c>
      <c r="C2363" t="s">
        <v>30</v>
      </c>
      <c r="D2363" t="s">
        <v>1770</v>
      </c>
      <c r="E2363" t="s">
        <v>54</v>
      </c>
      <c r="F2363">
        <v>4500390017</v>
      </c>
      <c r="H2363" t="s">
        <v>12</v>
      </c>
      <c r="I2363" t="s">
        <v>1729</v>
      </c>
      <c r="J2363" t="s">
        <v>54</v>
      </c>
      <c r="K2363">
        <v>51561.55</v>
      </c>
      <c r="L2363" t="s">
        <v>6408</v>
      </c>
      <c r="M2363" t="str" cm="1">
        <f t="array" ref="M2363">INDEX('Org List'!$A$2:$C$1005,MATCH(Consolidated!I2363&amp;Consolidated!J2363,'Org List'!$A$2:$A$1005&amp;'Org List'!$B$2:$B$1005,0),3)</f>
        <v>NGOs: National</v>
      </c>
    </row>
    <row r="2364" spans="1:13" x14ac:dyDescent="0.25">
      <c r="A2364" t="s">
        <v>1893</v>
      </c>
      <c r="B2364" t="s">
        <v>1347</v>
      </c>
      <c r="C2364" t="s">
        <v>30</v>
      </c>
      <c r="D2364" t="s">
        <v>1348</v>
      </c>
      <c r="E2364" t="s">
        <v>155</v>
      </c>
      <c r="F2364">
        <v>4500398460</v>
      </c>
      <c r="H2364" t="s">
        <v>12</v>
      </c>
      <c r="I2364" t="s">
        <v>1772</v>
      </c>
      <c r="J2364" t="s">
        <v>155</v>
      </c>
      <c r="K2364">
        <v>131999.99</v>
      </c>
      <c r="L2364" t="s">
        <v>6408</v>
      </c>
      <c r="M2364" t="str" cm="1">
        <f t="array" ref="M2364">INDEX('Org List'!$A$2:$C$1005,MATCH(Consolidated!I2364&amp;Consolidated!J2364,'Org List'!$A$2:$A$1005&amp;'Org List'!$B$2:$B$1005,0),3)</f>
        <v>NGOs: Local</v>
      </c>
    </row>
    <row r="2365" spans="1:13" x14ac:dyDescent="0.25">
      <c r="A2365" t="s">
        <v>1893</v>
      </c>
      <c r="B2365" t="s">
        <v>1773</v>
      </c>
      <c r="C2365" t="s">
        <v>30</v>
      </c>
      <c r="D2365" t="s">
        <v>1774</v>
      </c>
      <c r="E2365" t="s">
        <v>493</v>
      </c>
      <c r="F2365">
        <v>4500386845</v>
      </c>
      <c r="H2365" t="s">
        <v>12</v>
      </c>
      <c r="I2365" t="s">
        <v>1234</v>
      </c>
      <c r="J2365" t="s">
        <v>493</v>
      </c>
      <c r="K2365">
        <v>102000</v>
      </c>
      <c r="L2365" t="s">
        <v>6408</v>
      </c>
      <c r="M2365" t="str" cm="1">
        <f t="array" ref="M2365">INDEX('Org List'!$A$2:$C$1005,MATCH(Consolidated!I2365&amp;Consolidated!J2365,'Org List'!$A$2:$A$1005&amp;'Org List'!$B$2:$B$1005,0),3)</f>
        <v>Red Cross: National</v>
      </c>
    </row>
    <row r="2366" spans="1:13" x14ac:dyDescent="0.25">
      <c r="A2366" t="s">
        <v>1893</v>
      </c>
      <c r="B2366" t="s">
        <v>1773</v>
      </c>
      <c r="C2366" t="s">
        <v>30</v>
      </c>
      <c r="D2366" t="s">
        <v>1774</v>
      </c>
      <c r="E2366" t="s">
        <v>493</v>
      </c>
      <c r="F2366">
        <v>4500386850</v>
      </c>
      <c r="H2366" t="s">
        <v>12</v>
      </c>
      <c r="I2366" t="s">
        <v>1775</v>
      </c>
      <c r="J2366" t="s">
        <v>493</v>
      </c>
      <c r="K2366">
        <v>100000</v>
      </c>
      <c r="L2366" t="s">
        <v>6408</v>
      </c>
      <c r="M2366" t="str" cm="1">
        <f t="array" ref="M2366">INDEX('Org List'!$A$2:$C$1005,MATCH(Consolidated!I2366&amp;Consolidated!J2366,'Org List'!$A$2:$A$1005&amp;'Org List'!$B$2:$B$1005,0),3)</f>
        <v>NGOs: National</v>
      </c>
    </row>
    <row r="2367" spans="1:13" x14ac:dyDescent="0.25">
      <c r="A2367" t="s">
        <v>1893</v>
      </c>
      <c r="B2367" t="s">
        <v>1359</v>
      </c>
      <c r="C2367" t="s">
        <v>30</v>
      </c>
      <c r="D2367" t="s">
        <v>1360</v>
      </c>
      <c r="E2367" t="s">
        <v>253</v>
      </c>
      <c r="F2367">
        <v>4500398162</v>
      </c>
      <c r="H2367" t="s">
        <v>12</v>
      </c>
      <c r="I2367" t="s">
        <v>1362</v>
      </c>
      <c r="J2367" t="s">
        <v>253</v>
      </c>
      <c r="K2367">
        <v>28716.28</v>
      </c>
      <c r="L2367" t="s">
        <v>6408</v>
      </c>
      <c r="M2367" t="str" cm="1">
        <f t="array" ref="M2367">INDEX('Org List'!$A$2:$C$1005,MATCH(Consolidated!I2367&amp;Consolidated!J2367,'Org List'!$A$2:$A$1005&amp;'Org List'!$B$2:$B$1005,0),3)</f>
        <v>Red Cross: National</v>
      </c>
    </row>
    <row r="2368" spans="1:13" x14ac:dyDescent="0.25">
      <c r="A2368" t="s">
        <v>1893</v>
      </c>
      <c r="B2368" t="s">
        <v>1363</v>
      </c>
      <c r="C2368" t="s">
        <v>30</v>
      </c>
      <c r="D2368" t="s">
        <v>1364</v>
      </c>
      <c r="E2368" t="s">
        <v>253</v>
      </c>
      <c r="F2368">
        <v>4500398162</v>
      </c>
      <c r="H2368" t="s">
        <v>12</v>
      </c>
      <c r="I2368" t="s">
        <v>1362</v>
      </c>
      <c r="J2368" t="s">
        <v>253</v>
      </c>
      <c r="K2368">
        <v>7179.06</v>
      </c>
      <c r="L2368" t="s">
        <v>6408</v>
      </c>
      <c r="M2368" t="str" cm="1">
        <f t="array" ref="M2368">INDEX('Org List'!$A$2:$C$1005,MATCH(Consolidated!I2368&amp;Consolidated!J2368,'Org List'!$A$2:$A$1005&amp;'Org List'!$B$2:$B$1005,0),3)</f>
        <v>Red Cross: National</v>
      </c>
    </row>
    <row r="2369" spans="1:13" x14ac:dyDescent="0.25">
      <c r="A2369" t="s">
        <v>1893</v>
      </c>
      <c r="B2369" t="s">
        <v>1369</v>
      </c>
      <c r="C2369" t="s">
        <v>30</v>
      </c>
      <c r="E2369" t="s">
        <v>903</v>
      </c>
      <c r="F2369">
        <v>4500398913</v>
      </c>
      <c r="H2369" t="s">
        <v>12</v>
      </c>
      <c r="I2369" t="s">
        <v>80</v>
      </c>
      <c r="J2369" t="s">
        <v>903</v>
      </c>
      <c r="K2369">
        <v>21339.279999999999</v>
      </c>
      <c r="L2369" t="s">
        <v>6408</v>
      </c>
      <c r="M2369" t="str" cm="1">
        <f t="array" ref="M2369">INDEX('Org List'!$A$2:$C$1005,MATCH(Consolidated!I2369&amp;Consolidated!J2369,'Org List'!$A$2:$A$1005&amp;'Org List'!$B$2:$B$1005,0),3)</f>
        <v>NGOs: National</v>
      </c>
    </row>
    <row r="2370" spans="1:13" x14ac:dyDescent="0.25">
      <c r="A2370" t="s">
        <v>1893</v>
      </c>
      <c r="B2370" t="s">
        <v>385</v>
      </c>
      <c r="C2370" t="s">
        <v>9</v>
      </c>
      <c r="D2370" t="s">
        <v>386</v>
      </c>
      <c r="E2370" t="s">
        <v>356</v>
      </c>
      <c r="F2370">
        <v>4500404921</v>
      </c>
      <c r="H2370" t="s">
        <v>12</v>
      </c>
      <c r="I2370" t="s">
        <v>1776</v>
      </c>
      <c r="J2370" t="s">
        <v>356</v>
      </c>
      <c r="K2370">
        <v>225000</v>
      </c>
      <c r="L2370" t="s">
        <v>6408</v>
      </c>
      <c r="M2370" t="str" cm="1">
        <f t="array" ref="M2370">INDEX('Org List'!$A$2:$C$1005,MATCH(Consolidated!I2370&amp;Consolidated!J2370,'Org List'!$A$2:$A$1005&amp;'Org List'!$B$2:$B$1005,0),3)</f>
        <v>NGOs: International</v>
      </c>
    </row>
    <row r="2371" spans="1:13" x14ac:dyDescent="0.25">
      <c r="A2371" t="s">
        <v>1893</v>
      </c>
      <c r="B2371" t="s">
        <v>1378</v>
      </c>
      <c r="C2371" t="s">
        <v>9</v>
      </c>
      <c r="D2371" t="s">
        <v>1379</v>
      </c>
      <c r="E2371" t="s">
        <v>500</v>
      </c>
      <c r="F2371">
        <v>4500397599</v>
      </c>
      <c r="H2371" t="s">
        <v>12</v>
      </c>
      <c r="I2371" t="s">
        <v>1777</v>
      </c>
      <c r="J2371" t="s">
        <v>500</v>
      </c>
      <c r="K2371">
        <v>38934.949999999997</v>
      </c>
      <c r="L2371" t="s">
        <v>6408</v>
      </c>
      <c r="M2371" t="str" cm="1">
        <f t="array" ref="M2371">INDEX('Org List'!$A$2:$C$1005,MATCH(Consolidated!I2371&amp;Consolidated!J2371,'Org List'!$A$2:$A$1005&amp;'Org List'!$B$2:$B$1005,0),3)</f>
        <v>Governments: National</v>
      </c>
    </row>
    <row r="2372" spans="1:13" x14ac:dyDescent="0.25">
      <c r="A2372" t="s">
        <v>1893</v>
      </c>
      <c r="B2372" t="s">
        <v>1378</v>
      </c>
      <c r="C2372" t="s">
        <v>9</v>
      </c>
      <c r="D2372" t="s">
        <v>1379</v>
      </c>
      <c r="E2372" t="s">
        <v>500</v>
      </c>
      <c r="F2372">
        <v>4500400581</v>
      </c>
      <c r="H2372" t="s">
        <v>12</v>
      </c>
      <c r="I2372" t="s">
        <v>779</v>
      </c>
      <c r="J2372" t="s">
        <v>500</v>
      </c>
      <c r="K2372">
        <v>90477.26</v>
      </c>
      <c r="L2372" t="s">
        <v>6408</v>
      </c>
      <c r="M2372" t="str" cm="1">
        <f t="array" ref="M2372">INDEX('Org List'!$A$2:$C$1005,MATCH(Consolidated!I2372&amp;Consolidated!J2372,'Org List'!$A$2:$A$1005&amp;'Org List'!$B$2:$B$1005,0),3)</f>
        <v>Governments: Local</v>
      </c>
    </row>
    <row r="2373" spans="1:13" x14ac:dyDescent="0.25">
      <c r="A2373" t="s">
        <v>1893</v>
      </c>
      <c r="B2373" t="s">
        <v>388</v>
      </c>
      <c r="C2373" t="s">
        <v>9</v>
      </c>
      <c r="D2373" t="s">
        <v>389</v>
      </c>
      <c r="E2373" t="s">
        <v>175</v>
      </c>
      <c r="F2373">
        <v>4500387255</v>
      </c>
      <c r="H2373" t="s">
        <v>12</v>
      </c>
      <c r="I2373" t="s">
        <v>390</v>
      </c>
      <c r="J2373" t="s">
        <v>175</v>
      </c>
      <c r="K2373">
        <v>200402.38</v>
      </c>
      <c r="L2373" t="s">
        <v>6408</v>
      </c>
      <c r="M2373" t="str" cm="1">
        <f t="array" ref="M2373">INDEX('Org List'!$A$2:$C$1005,MATCH(Consolidated!I2373&amp;Consolidated!J2373,'Org List'!$A$2:$A$1005&amp;'Org List'!$B$2:$B$1005,0),3)</f>
        <v>NGOs: Local</v>
      </c>
    </row>
    <row r="2374" spans="1:13" x14ac:dyDescent="0.25">
      <c r="A2374" t="s">
        <v>1893</v>
      </c>
      <c r="B2374" t="s">
        <v>388</v>
      </c>
      <c r="C2374" t="s">
        <v>9</v>
      </c>
      <c r="D2374" t="s">
        <v>389</v>
      </c>
      <c r="E2374" t="s">
        <v>175</v>
      </c>
      <c r="F2374">
        <v>4500387258</v>
      </c>
      <c r="H2374" t="s">
        <v>12</v>
      </c>
      <c r="I2374" t="s">
        <v>187</v>
      </c>
      <c r="J2374" t="s">
        <v>175</v>
      </c>
      <c r="K2374">
        <v>174772.27</v>
      </c>
      <c r="L2374" t="s">
        <v>6408</v>
      </c>
      <c r="M2374" t="str" cm="1">
        <f t="array" ref="M2374">INDEX('Org List'!$A$2:$C$1005,MATCH(Consolidated!I2374&amp;Consolidated!J2374,'Org List'!$A$2:$A$1005&amp;'Org List'!$B$2:$B$1005,0),3)</f>
        <v>NGOs: National</v>
      </c>
    </row>
    <row r="2375" spans="1:13" x14ac:dyDescent="0.25">
      <c r="A2375" t="s">
        <v>1893</v>
      </c>
      <c r="B2375" t="s">
        <v>1381</v>
      </c>
      <c r="C2375" t="s">
        <v>9</v>
      </c>
      <c r="D2375" t="s">
        <v>1382</v>
      </c>
      <c r="E2375" t="s">
        <v>175</v>
      </c>
      <c r="F2375">
        <v>4500381097</v>
      </c>
      <c r="H2375" t="s">
        <v>12</v>
      </c>
      <c r="I2375" t="s">
        <v>682</v>
      </c>
      <c r="J2375" t="s">
        <v>175</v>
      </c>
      <c r="K2375">
        <v>75684.92</v>
      </c>
      <c r="L2375" t="s">
        <v>6408</v>
      </c>
      <c r="M2375" t="str" cm="1">
        <f t="array" ref="M2375">INDEX('Org List'!$A$2:$C$1005,MATCH(Consolidated!I2375&amp;Consolidated!J2375,'Org List'!$A$2:$A$1005&amp;'Org List'!$B$2:$B$1005,0),3)</f>
        <v>NGOs: National</v>
      </c>
    </row>
    <row r="2376" spans="1:13" x14ac:dyDescent="0.25">
      <c r="A2376" t="s">
        <v>1893</v>
      </c>
      <c r="B2376" t="s">
        <v>1415</v>
      </c>
      <c r="C2376" t="s">
        <v>30</v>
      </c>
      <c r="D2376" t="s">
        <v>1416</v>
      </c>
      <c r="E2376" t="s">
        <v>814</v>
      </c>
      <c r="F2376">
        <v>4500394108</v>
      </c>
      <c r="H2376" t="s">
        <v>12</v>
      </c>
      <c r="I2376" t="s">
        <v>115</v>
      </c>
      <c r="J2376" t="s">
        <v>814</v>
      </c>
      <c r="K2376">
        <v>694.58</v>
      </c>
      <c r="L2376" t="s">
        <v>6408</v>
      </c>
      <c r="M2376" t="str" cm="1">
        <f t="array" ref="M2376">INDEX('Org List'!$A$2:$C$1005,MATCH(Consolidated!I2376&amp;Consolidated!J2376,'Org List'!$A$2:$A$1005&amp;'Org List'!$B$2:$B$1005,0),3)</f>
        <v>NGOs: National</v>
      </c>
    </row>
    <row r="2377" spans="1:13" x14ac:dyDescent="0.25">
      <c r="A2377" t="s">
        <v>1893</v>
      </c>
      <c r="B2377" t="s">
        <v>1415</v>
      </c>
      <c r="C2377" t="s">
        <v>30</v>
      </c>
      <c r="D2377" t="s">
        <v>1416</v>
      </c>
      <c r="E2377" t="s">
        <v>814</v>
      </c>
      <c r="F2377">
        <v>4500398142</v>
      </c>
      <c r="H2377" t="s">
        <v>12</v>
      </c>
      <c r="I2377" t="s">
        <v>112</v>
      </c>
      <c r="J2377" t="s">
        <v>814</v>
      </c>
      <c r="K2377">
        <v>4636.09</v>
      </c>
      <c r="L2377" t="s">
        <v>6408</v>
      </c>
      <c r="M2377" t="str" cm="1">
        <f t="array" ref="M2377">INDEX('Org List'!$A$2:$C$1005,MATCH(Consolidated!I2377&amp;Consolidated!J2377,'Org List'!$A$2:$A$1005&amp;'Org List'!$B$2:$B$1005,0),3)</f>
        <v>NGOs: National</v>
      </c>
    </row>
    <row r="2378" spans="1:13" x14ac:dyDescent="0.25">
      <c r="A2378" t="s">
        <v>1893</v>
      </c>
      <c r="B2378" t="s">
        <v>1415</v>
      </c>
      <c r="C2378" t="s">
        <v>30</v>
      </c>
      <c r="D2378" t="s">
        <v>1416</v>
      </c>
      <c r="E2378" t="s">
        <v>814</v>
      </c>
      <c r="F2378">
        <v>4500405076</v>
      </c>
      <c r="H2378" t="s">
        <v>12</v>
      </c>
      <c r="I2378" t="s">
        <v>112</v>
      </c>
      <c r="J2378" t="s">
        <v>814</v>
      </c>
      <c r="K2378">
        <v>10395.18</v>
      </c>
      <c r="L2378" t="s">
        <v>6408</v>
      </c>
      <c r="M2378" t="str" cm="1">
        <f t="array" ref="M2378">INDEX('Org List'!$A$2:$C$1005,MATCH(Consolidated!I2378&amp;Consolidated!J2378,'Org List'!$A$2:$A$1005&amp;'Org List'!$B$2:$B$1005,0),3)</f>
        <v>NGOs: National</v>
      </c>
    </row>
    <row r="2379" spans="1:13" x14ac:dyDescent="0.25">
      <c r="A2379" t="s">
        <v>1893</v>
      </c>
      <c r="B2379" t="s">
        <v>1415</v>
      </c>
      <c r="C2379" t="s">
        <v>30</v>
      </c>
      <c r="D2379" t="s">
        <v>1416</v>
      </c>
      <c r="E2379" t="s">
        <v>814</v>
      </c>
      <c r="F2379">
        <v>4500405208</v>
      </c>
      <c r="H2379" t="s">
        <v>12</v>
      </c>
      <c r="I2379" t="s">
        <v>115</v>
      </c>
      <c r="J2379" t="s">
        <v>814</v>
      </c>
      <c r="K2379">
        <v>8965.39</v>
      </c>
      <c r="L2379" t="s">
        <v>6408</v>
      </c>
      <c r="M2379" t="str" cm="1">
        <f t="array" ref="M2379">INDEX('Org List'!$A$2:$C$1005,MATCH(Consolidated!I2379&amp;Consolidated!J2379,'Org List'!$A$2:$A$1005&amp;'Org List'!$B$2:$B$1005,0),3)</f>
        <v>NGOs: National</v>
      </c>
    </row>
    <row r="2380" spans="1:13" x14ac:dyDescent="0.25">
      <c r="A2380" t="s">
        <v>1893</v>
      </c>
      <c r="B2380" t="s">
        <v>1415</v>
      </c>
      <c r="C2380" t="s">
        <v>30</v>
      </c>
      <c r="D2380" t="s">
        <v>1416</v>
      </c>
      <c r="E2380" t="s">
        <v>814</v>
      </c>
      <c r="F2380">
        <v>4500405213</v>
      </c>
      <c r="H2380" t="s">
        <v>12</v>
      </c>
      <c r="I2380" t="s">
        <v>119</v>
      </c>
      <c r="J2380" t="s">
        <v>814</v>
      </c>
      <c r="K2380">
        <v>3812.88</v>
      </c>
      <c r="L2380" t="s">
        <v>6408</v>
      </c>
      <c r="M2380" t="str" cm="1">
        <f t="array" ref="M2380">INDEX('Org List'!$A$2:$C$1005,MATCH(Consolidated!I2380&amp;Consolidated!J2380,'Org List'!$A$2:$A$1005&amp;'Org List'!$B$2:$B$1005,0),3)</f>
        <v>NGOs: National</v>
      </c>
    </row>
    <row r="2381" spans="1:13" x14ac:dyDescent="0.25">
      <c r="A2381" t="s">
        <v>1893</v>
      </c>
      <c r="B2381" t="s">
        <v>1415</v>
      </c>
      <c r="C2381" t="s">
        <v>30</v>
      </c>
      <c r="D2381" t="s">
        <v>1416</v>
      </c>
      <c r="E2381" t="s">
        <v>814</v>
      </c>
      <c r="F2381">
        <v>4500405228</v>
      </c>
      <c r="H2381" t="s">
        <v>12</v>
      </c>
      <c r="I2381" t="s">
        <v>115</v>
      </c>
      <c r="J2381" t="s">
        <v>814</v>
      </c>
      <c r="K2381">
        <v>14316.15</v>
      </c>
      <c r="L2381" t="s">
        <v>6408</v>
      </c>
      <c r="M2381" t="str" cm="1">
        <f t="array" ref="M2381">INDEX('Org List'!$A$2:$C$1005,MATCH(Consolidated!I2381&amp;Consolidated!J2381,'Org List'!$A$2:$A$1005&amp;'Org List'!$B$2:$B$1005,0),3)</f>
        <v>NGOs: National</v>
      </c>
    </row>
    <row r="2382" spans="1:13" x14ac:dyDescent="0.25">
      <c r="A2382" t="s">
        <v>1893</v>
      </c>
      <c r="B2382" t="s">
        <v>1415</v>
      </c>
      <c r="C2382" t="s">
        <v>30</v>
      </c>
      <c r="D2382" t="s">
        <v>1416</v>
      </c>
      <c r="E2382" t="s">
        <v>814</v>
      </c>
      <c r="F2382">
        <v>4500405297</v>
      </c>
      <c r="H2382" t="s">
        <v>12</v>
      </c>
      <c r="I2382" t="s">
        <v>118</v>
      </c>
      <c r="J2382" t="s">
        <v>814</v>
      </c>
      <c r="K2382">
        <v>8822.68</v>
      </c>
      <c r="L2382" t="s">
        <v>6408</v>
      </c>
      <c r="M2382" t="str" cm="1">
        <f t="array" ref="M2382">INDEX('Org List'!$A$2:$C$1005,MATCH(Consolidated!I2382&amp;Consolidated!J2382,'Org List'!$A$2:$A$1005&amp;'Org List'!$B$2:$B$1005,0),3)</f>
        <v>NGOs: National</v>
      </c>
    </row>
    <row r="2383" spans="1:13" x14ac:dyDescent="0.25">
      <c r="A2383" t="s">
        <v>1893</v>
      </c>
      <c r="B2383" t="s">
        <v>1781</v>
      </c>
      <c r="C2383" t="s">
        <v>30</v>
      </c>
      <c r="D2383" t="s">
        <v>1782</v>
      </c>
      <c r="E2383" t="s">
        <v>128</v>
      </c>
      <c r="F2383">
        <v>4500383605</v>
      </c>
      <c r="H2383" t="s">
        <v>12</v>
      </c>
      <c r="I2383" t="s">
        <v>1783</v>
      </c>
      <c r="J2383" t="s">
        <v>128</v>
      </c>
      <c r="K2383">
        <v>29993.01</v>
      </c>
      <c r="L2383" t="s">
        <v>6408</v>
      </c>
      <c r="M2383" t="str" cm="1">
        <f t="array" ref="M2383">INDEX('Org List'!$A$2:$C$1005,MATCH(Consolidated!I2383&amp;Consolidated!J2383,'Org List'!$A$2:$A$1005&amp;'Org List'!$B$2:$B$1005,0),3)</f>
        <v>Private Organisations: Local/National</v>
      </c>
    </row>
    <row r="2384" spans="1:13" x14ac:dyDescent="0.25">
      <c r="A2384" t="s">
        <v>1893</v>
      </c>
      <c r="B2384" t="s">
        <v>1424</v>
      </c>
      <c r="C2384" t="s">
        <v>30</v>
      </c>
      <c r="D2384" t="s">
        <v>1425</v>
      </c>
      <c r="E2384" t="s">
        <v>793</v>
      </c>
      <c r="F2384">
        <v>4500392894</v>
      </c>
      <c r="H2384" t="s">
        <v>12</v>
      </c>
      <c r="I2384" t="s">
        <v>1784</v>
      </c>
      <c r="J2384" t="s">
        <v>798</v>
      </c>
      <c r="K2384">
        <v>150000</v>
      </c>
      <c r="L2384" t="s">
        <v>6408</v>
      </c>
      <c r="M2384" t="str" cm="1">
        <f t="array" ref="M2384">INDEX('Org List'!$A$2:$C$1005,MATCH(Consolidated!I2384&amp;Consolidated!J2384,'Org List'!$A$2:$A$1005&amp;'Org List'!$B$2:$B$1005,0),3)</f>
        <v>NGOs: International</v>
      </c>
    </row>
    <row r="2385" spans="1:13" x14ac:dyDescent="0.25">
      <c r="A2385" t="s">
        <v>1893</v>
      </c>
      <c r="B2385" t="s">
        <v>1515</v>
      </c>
      <c r="C2385" t="s">
        <v>512</v>
      </c>
      <c r="D2385" t="s">
        <v>1516</v>
      </c>
      <c r="E2385" t="s">
        <v>175</v>
      </c>
      <c r="F2385">
        <v>4500385299</v>
      </c>
      <c r="H2385" t="s">
        <v>12</v>
      </c>
      <c r="I2385" t="s">
        <v>1831</v>
      </c>
      <c r="J2385" t="s">
        <v>175</v>
      </c>
      <c r="K2385">
        <v>132438.35</v>
      </c>
      <c r="L2385" t="s">
        <v>6408</v>
      </c>
      <c r="M2385" t="str" cm="1">
        <f t="array" ref="M2385">INDEX('Org List'!$A$2:$C$1005,MATCH(Consolidated!I2385&amp;Consolidated!J2385,'Org List'!$A$2:$A$1005&amp;'Org List'!$B$2:$B$1005,0),3)</f>
        <v>NGOs: National</v>
      </c>
    </row>
    <row r="2386" spans="1:13" x14ac:dyDescent="0.25">
      <c r="A2386" t="s">
        <v>1893</v>
      </c>
      <c r="B2386" t="s">
        <v>1515</v>
      </c>
      <c r="C2386" t="s">
        <v>512</v>
      </c>
      <c r="D2386" t="s">
        <v>1516</v>
      </c>
      <c r="E2386" t="s">
        <v>175</v>
      </c>
      <c r="F2386">
        <v>4500386611</v>
      </c>
      <c r="H2386" t="s">
        <v>12</v>
      </c>
      <c r="I2386" t="s">
        <v>1832</v>
      </c>
      <c r="J2386" t="s">
        <v>175</v>
      </c>
      <c r="K2386">
        <v>182298.42</v>
      </c>
      <c r="L2386" t="s">
        <v>6408</v>
      </c>
      <c r="M2386" t="str" cm="1">
        <f t="array" ref="M2386">INDEX('Org List'!$A$2:$C$1005,MATCH(Consolidated!I2386&amp;Consolidated!J2386,'Org List'!$A$2:$A$1005&amp;'Org List'!$B$2:$B$1005,0),3)</f>
        <v>NGOs: National</v>
      </c>
    </row>
    <row r="2387" spans="1:13" x14ac:dyDescent="0.25">
      <c r="A2387" t="s">
        <v>1893</v>
      </c>
      <c r="B2387" t="s">
        <v>1515</v>
      </c>
      <c r="C2387" t="s">
        <v>512</v>
      </c>
      <c r="D2387" t="s">
        <v>1516</v>
      </c>
      <c r="E2387" t="s">
        <v>175</v>
      </c>
      <c r="F2387">
        <v>4500390090</v>
      </c>
      <c r="H2387" t="s">
        <v>12</v>
      </c>
      <c r="I2387" t="s">
        <v>1833</v>
      </c>
      <c r="J2387" t="s">
        <v>175</v>
      </c>
      <c r="K2387">
        <v>215069.19</v>
      </c>
      <c r="L2387" t="s">
        <v>6408</v>
      </c>
      <c r="M2387" t="str" cm="1">
        <f t="array" ref="M2387">INDEX('Org List'!$A$2:$C$1005,MATCH(Consolidated!I2387&amp;Consolidated!J2387,'Org List'!$A$2:$A$1005&amp;'Org List'!$B$2:$B$1005,0),3)</f>
        <v>NGOs: Local</v>
      </c>
    </row>
    <row r="2388" spans="1:13" x14ac:dyDescent="0.25">
      <c r="A2388" t="s">
        <v>1893</v>
      </c>
      <c r="B2388" t="s">
        <v>1517</v>
      </c>
      <c r="C2388" t="s">
        <v>512</v>
      </c>
      <c r="D2388" t="s">
        <v>1518</v>
      </c>
      <c r="E2388" t="s">
        <v>205</v>
      </c>
      <c r="F2388">
        <v>4500399703</v>
      </c>
      <c r="H2388" t="s">
        <v>12</v>
      </c>
      <c r="I2388" t="s">
        <v>209</v>
      </c>
      <c r="J2388" t="s">
        <v>205</v>
      </c>
      <c r="K2388">
        <v>113893.9</v>
      </c>
      <c r="L2388" t="s">
        <v>6408</v>
      </c>
      <c r="M2388" t="str" cm="1">
        <f t="array" ref="M2388">INDEX('Org List'!$A$2:$C$1005,MATCH(Consolidated!I2388&amp;Consolidated!J2388,'Org List'!$A$2:$A$1005&amp;'Org List'!$B$2:$B$1005,0),3)</f>
        <v>NGOs: International</v>
      </c>
    </row>
    <row r="2389" spans="1:13" x14ac:dyDescent="0.25">
      <c r="A2389" t="s">
        <v>1893</v>
      </c>
      <c r="B2389" t="s">
        <v>1517</v>
      </c>
      <c r="C2389" t="s">
        <v>512</v>
      </c>
      <c r="D2389" t="s">
        <v>1518</v>
      </c>
      <c r="E2389" t="s">
        <v>676</v>
      </c>
      <c r="F2389">
        <v>4500401028</v>
      </c>
      <c r="H2389" t="s">
        <v>12</v>
      </c>
      <c r="I2389" t="s">
        <v>1834</v>
      </c>
      <c r="J2389" t="s">
        <v>751</v>
      </c>
      <c r="K2389">
        <v>11000</v>
      </c>
      <c r="L2389" t="s">
        <v>6408</v>
      </c>
      <c r="M2389" t="str" cm="1">
        <f t="array" ref="M2389">INDEX('Org List'!$A$2:$C$1005,MATCH(Consolidated!I2389&amp;Consolidated!J2389,'Org List'!$A$2:$A$1005&amp;'Org List'!$B$2:$B$1005,0),3)</f>
        <v>NGOs: International</v>
      </c>
    </row>
    <row r="2390" spans="1:13" x14ac:dyDescent="0.25">
      <c r="A2390" t="s">
        <v>1893</v>
      </c>
      <c r="B2390" t="s">
        <v>1141</v>
      </c>
      <c r="C2390" t="s">
        <v>30</v>
      </c>
      <c r="D2390" t="s">
        <v>1142</v>
      </c>
      <c r="E2390" t="s">
        <v>123</v>
      </c>
      <c r="F2390">
        <v>4500388310</v>
      </c>
      <c r="H2390" t="s">
        <v>12</v>
      </c>
      <c r="I2390" t="s">
        <v>124</v>
      </c>
      <c r="J2390" t="s">
        <v>123</v>
      </c>
      <c r="K2390">
        <v>86922.02</v>
      </c>
      <c r="L2390" t="s">
        <v>6408</v>
      </c>
      <c r="M2390" t="str" cm="1">
        <f t="array" ref="M2390">INDEX('Org List'!$A$2:$C$1005,MATCH(Consolidated!I2390&amp;Consolidated!J2390,'Org List'!$A$2:$A$1005&amp;'Org List'!$B$2:$B$1005,0),3)</f>
        <v>NGOs: National</v>
      </c>
    </row>
    <row r="2391" spans="1:13" x14ac:dyDescent="0.25">
      <c r="A2391" t="s">
        <v>1893</v>
      </c>
      <c r="B2391" t="s">
        <v>1141</v>
      </c>
      <c r="C2391" t="s">
        <v>30</v>
      </c>
      <c r="D2391" t="s">
        <v>1142</v>
      </c>
      <c r="E2391" t="s">
        <v>123</v>
      </c>
      <c r="F2391">
        <v>4500396792</v>
      </c>
      <c r="H2391" t="s">
        <v>12</v>
      </c>
      <c r="I2391" t="s">
        <v>1280</v>
      </c>
      <c r="J2391" t="s">
        <v>123</v>
      </c>
      <c r="K2391">
        <v>35007.57</v>
      </c>
      <c r="L2391" t="s">
        <v>6408</v>
      </c>
      <c r="M2391" t="str" cm="1">
        <f t="array" ref="M2391">INDEX('Org List'!$A$2:$C$1005,MATCH(Consolidated!I2391&amp;Consolidated!J2391,'Org List'!$A$2:$A$1005&amp;'Org List'!$B$2:$B$1005,0),3)</f>
        <v>NGOs: International</v>
      </c>
    </row>
    <row r="2392" spans="1:13" x14ac:dyDescent="0.25">
      <c r="A2392" t="s">
        <v>1893</v>
      </c>
      <c r="B2392" t="s">
        <v>1884</v>
      </c>
      <c r="C2392" t="s">
        <v>30</v>
      </c>
      <c r="D2392" t="s">
        <v>1885</v>
      </c>
      <c r="E2392" t="s">
        <v>123</v>
      </c>
      <c r="F2392">
        <v>4500384231</v>
      </c>
      <c r="H2392" t="s">
        <v>12</v>
      </c>
      <c r="I2392" t="s">
        <v>1886</v>
      </c>
      <c r="J2392" t="s">
        <v>123</v>
      </c>
      <c r="K2392">
        <v>2227779.14</v>
      </c>
      <c r="L2392" t="s">
        <v>6408</v>
      </c>
      <c r="M2392" t="str" cm="1">
        <f t="array" ref="M2392">INDEX('Org List'!$A$2:$C$1005,MATCH(Consolidated!I2392&amp;Consolidated!J2392,'Org List'!$A$2:$A$1005&amp;'Org List'!$B$2:$B$1005,0),3)</f>
        <v>NGOs: National</v>
      </c>
    </row>
    <row r="2393" spans="1:13" x14ac:dyDescent="0.25">
      <c r="A2393" t="s">
        <v>1893</v>
      </c>
      <c r="B2393" t="s">
        <v>1143</v>
      </c>
      <c r="C2393" t="s">
        <v>30</v>
      </c>
      <c r="D2393" t="s">
        <v>1144</v>
      </c>
      <c r="E2393" t="s">
        <v>54</v>
      </c>
      <c r="F2393">
        <v>4500380871</v>
      </c>
      <c r="H2393" t="s">
        <v>12</v>
      </c>
      <c r="I2393" t="s">
        <v>277</v>
      </c>
      <c r="J2393" t="s">
        <v>54</v>
      </c>
      <c r="K2393">
        <v>38973.03</v>
      </c>
      <c r="L2393" t="s">
        <v>6408</v>
      </c>
      <c r="M2393" t="str" cm="1">
        <f t="array" ref="M2393">INDEX('Org List'!$A$2:$C$1005,MATCH(Consolidated!I2393&amp;Consolidated!J2393,'Org List'!$A$2:$A$1005&amp;'Org List'!$B$2:$B$1005,0),3)</f>
        <v>NGOs: National</v>
      </c>
    </row>
    <row r="2394" spans="1:13" x14ac:dyDescent="0.25">
      <c r="A2394" t="s">
        <v>1893</v>
      </c>
      <c r="B2394" t="s">
        <v>1143</v>
      </c>
      <c r="C2394" t="s">
        <v>30</v>
      </c>
      <c r="D2394" t="s">
        <v>1144</v>
      </c>
      <c r="E2394" t="s">
        <v>54</v>
      </c>
      <c r="F2394">
        <v>4500382064</v>
      </c>
      <c r="H2394" t="s">
        <v>12</v>
      </c>
      <c r="I2394" t="s">
        <v>1728</v>
      </c>
      <c r="J2394" t="s">
        <v>54</v>
      </c>
      <c r="K2394">
        <v>53820.800000000003</v>
      </c>
      <c r="L2394" t="s">
        <v>6408</v>
      </c>
      <c r="M2394" t="str" cm="1">
        <f t="array" ref="M2394">INDEX('Org List'!$A$2:$C$1005,MATCH(Consolidated!I2394&amp;Consolidated!J2394,'Org List'!$A$2:$A$1005&amp;'Org List'!$B$2:$B$1005,0),3)</f>
        <v>NGOs: National</v>
      </c>
    </row>
    <row r="2395" spans="1:13" x14ac:dyDescent="0.25">
      <c r="A2395" t="s">
        <v>1893</v>
      </c>
      <c r="B2395" t="s">
        <v>1143</v>
      </c>
      <c r="C2395" t="s">
        <v>30</v>
      </c>
      <c r="D2395" t="s">
        <v>1144</v>
      </c>
      <c r="E2395" t="s">
        <v>54</v>
      </c>
      <c r="F2395">
        <v>4500393259</v>
      </c>
      <c r="H2395" t="s">
        <v>12</v>
      </c>
      <c r="I2395" t="s">
        <v>418</v>
      </c>
      <c r="J2395" t="s">
        <v>54</v>
      </c>
      <c r="K2395">
        <v>68034.210000000006</v>
      </c>
      <c r="L2395" t="s">
        <v>6408</v>
      </c>
      <c r="M2395" t="str" cm="1">
        <f t="array" ref="M2395">INDEX('Org List'!$A$2:$C$1005,MATCH(Consolidated!I2395&amp;Consolidated!J2395,'Org List'!$A$2:$A$1005&amp;'Org List'!$B$2:$B$1005,0),3)</f>
        <v>NGOs: National</v>
      </c>
    </row>
    <row r="2396" spans="1:13" x14ac:dyDescent="0.25">
      <c r="A2396" t="s">
        <v>1893</v>
      </c>
      <c r="B2396" t="s">
        <v>1887</v>
      </c>
      <c r="C2396" t="s">
        <v>30</v>
      </c>
      <c r="D2396" t="s">
        <v>1888</v>
      </c>
      <c r="E2396" t="s">
        <v>1485</v>
      </c>
      <c r="F2396">
        <v>4500392008</v>
      </c>
      <c r="H2396" t="s">
        <v>12</v>
      </c>
      <c r="I2396" t="s">
        <v>1889</v>
      </c>
      <c r="J2396" t="s">
        <v>1485</v>
      </c>
      <c r="K2396">
        <v>288000</v>
      </c>
      <c r="L2396" t="s">
        <v>6408</v>
      </c>
      <c r="M2396" t="str" cm="1">
        <f t="array" ref="M2396">INDEX('Org List'!$A$2:$C$1005,MATCH(Consolidated!I2396&amp;Consolidated!J2396,'Org List'!$A$2:$A$1005&amp;'Org List'!$B$2:$B$1005,0),3)</f>
        <v>NGOs: International</v>
      </c>
    </row>
    <row r="2397" spans="1:13" x14ac:dyDescent="0.25">
      <c r="A2397" t="s">
        <v>1893</v>
      </c>
      <c r="B2397" t="s">
        <v>66</v>
      </c>
      <c r="C2397" t="s">
        <v>30</v>
      </c>
      <c r="D2397" t="s">
        <v>67</v>
      </c>
      <c r="E2397" t="s">
        <v>1166</v>
      </c>
      <c r="F2397">
        <v>4500397151</v>
      </c>
      <c r="H2397" t="s">
        <v>713</v>
      </c>
      <c r="I2397" t="s">
        <v>1894</v>
      </c>
      <c r="J2397" t="s">
        <v>1166</v>
      </c>
      <c r="K2397">
        <v>27734.13</v>
      </c>
      <c r="L2397" t="s">
        <v>6408</v>
      </c>
      <c r="M2397" t="str" cm="1">
        <f t="array" ref="M2397">INDEX('Org List'!$A$2:$C$1005,MATCH(Consolidated!I2397&amp;Consolidated!J2397,'Org List'!$A$2:$A$1005&amp;'Org List'!$B$2:$B$1005,0),3)</f>
        <v>NGOs: Local</v>
      </c>
    </row>
    <row r="2398" spans="1:13" x14ac:dyDescent="0.25">
      <c r="A2398" t="s">
        <v>1893</v>
      </c>
      <c r="B2398" t="s">
        <v>1262</v>
      </c>
      <c r="C2398" t="s">
        <v>30</v>
      </c>
      <c r="D2398" t="s">
        <v>1263</v>
      </c>
      <c r="E2398" t="s">
        <v>167</v>
      </c>
      <c r="F2398">
        <v>4500393575</v>
      </c>
      <c r="H2398" t="s">
        <v>713</v>
      </c>
      <c r="I2398" t="s">
        <v>521</v>
      </c>
      <c r="J2398" t="s">
        <v>167</v>
      </c>
      <c r="K2398">
        <v>69421.67</v>
      </c>
      <c r="L2398" t="s">
        <v>6408</v>
      </c>
      <c r="M2398" t="str" cm="1">
        <f t="array" ref="M2398">INDEX('Org List'!$A$2:$C$1005,MATCH(Consolidated!I2398&amp;Consolidated!J2398,'Org List'!$A$2:$A$1005&amp;'Org List'!$B$2:$B$1005,0),3)</f>
        <v>NGOs: National</v>
      </c>
    </row>
    <row r="2399" spans="1:13" x14ac:dyDescent="0.25">
      <c r="A2399" t="s">
        <v>1893</v>
      </c>
      <c r="B2399" t="s">
        <v>722</v>
      </c>
      <c r="C2399" t="s">
        <v>30</v>
      </c>
      <c r="D2399" t="s">
        <v>723</v>
      </c>
      <c r="E2399" t="s">
        <v>717</v>
      </c>
      <c r="F2399">
        <v>4500381896</v>
      </c>
      <c r="H2399" t="s">
        <v>713</v>
      </c>
      <c r="I2399" t="s">
        <v>1161</v>
      </c>
      <c r="J2399" t="s">
        <v>717</v>
      </c>
      <c r="K2399">
        <v>71849.25</v>
      </c>
      <c r="L2399" t="s">
        <v>6408</v>
      </c>
      <c r="M2399" t="str" cm="1">
        <f t="array" ref="M2399">INDEX('Org List'!$A$2:$C$1005,MATCH(Consolidated!I2399&amp;Consolidated!J2399,'Org List'!$A$2:$A$1005&amp;'Org List'!$B$2:$B$1005,0),3)</f>
        <v>NGOs: National</v>
      </c>
    </row>
    <row r="2400" spans="1:13" x14ac:dyDescent="0.25">
      <c r="A2400" t="s">
        <v>1893</v>
      </c>
      <c r="B2400" t="s">
        <v>722</v>
      </c>
      <c r="C2400" t="s">
        <v>30</v>
      </c>
      <c r="D2400" t="s">
        <v>723</v>
      </c>
      <c r="E2400" t="s">
        <v>717</v>
      </c>
      <c r="F2400">
        <v>4500384240</v>
      </c>
      <c r="H2400" t="s">
        <v>713</v>
      </c>
      <c r="I2400" t="s">
        <v>1155</v>
      </c>
      <c r="J2400" t="s">
        <v>717</v>
      </c>
      <c r="K2400">
        <v>88111.97</v>
      </c>
      <c r="L2400" t="s">
        <v>6408</v>
      </c>
      <c r="M2400" t="str" cm="1">
        <f t="array" ref="M2400">INDEX('Org List'!$A$2:$C$1005,MATCH(Consolidated!I2400&amp;Consolidated!J2400,'Org List'!$A$2:$A$1005&amp;'Org List'!$B$2:$B$1005,0),3)</f>
        <v>NGOs: National</v>
      </c>
    </row>
    <row r="2401" spans="1:13" x14ac:dyDescent="0.25">
      <c r="A2401" t="s">
        <v>1893</v>
      </c>
      <c r="B2401" t="s">
        <v>722</v>
      </c>
      <c r="C2401" t="s">
        <v>30</v>
      </c>
      <c r="D2401" t="s">
        <v>723</v>
      </c>
      <c r="E2401" t="s">
        <v>717</v>
      </c>
      <c r="F2401">
        <v>4500405372</v>
      </c>
      <c r="H2401" t="s">
        <v>713</v>
      </c>
      <c r="I2401" t="s">
        <v>728</v>
      </c>
      <c r="J2401" t="s">
        <v>717</v>
      </c>
      <c r="K2401">
        <v>117642.37</v>
      </c>
      <c r="L2401" t="s">
        <v>6408</v>
      </c>
      <c r="M2401" t="str" cm="1">
        <f t="array" ref="M2401">INDEX('Org List'!$A$2:$C$1005,MATCH(Consolidated!I2401&amp;Consolidated!J2401,'Org List'!$A$2:$A$1005&amp;'Org List'!$B$2:$B$1005,0),3)</f>
        <v>NGOs: National</v>
      </c>
    </row>
    <row r="2402" spans="1:13" x14ac:dyDescent="0.25">
      <c r="A2402" t="s">
        <v>1893</v>
      </c>
      <c r="B2402" t="s">
        <v>722</v>
      </c>
      <c r="C2402" t="s">
        <v>30</v>
      </c>
      <c r="D2402" t="s">
        <v>723</v>
      </c>
      <c r="E2402" t="s">
        <v>717</v>
      </c>
      <c r="F2402">
        <v>4500405386</v>
      </c>
      <c r="H2402" t="s">
        <v>713</v>
      </c>
      <c r="I2402" t="s">
        <v>724</v>
      </c>
      <c r="J2402" t="s">
        <v>717</v>
      </c>
      <c r="K2402">
        <v>95698.27</v>
      </c>
      <c r="L2402" t="s">
        <v>6408</v>
      </c>
      <c r="M2402" t="str" cm="1">
        <f t="array" ref="M2402">INDEX('Org List'!$A$2:$C$1005,MATCH(Consolidated!I2402&amp;Consolidated!J2402,'Org List'!$A$2:$A$1005&amp;'Org List'!$B$2:$B$1005,0),3)</f>
        <v>NGOs: National</v>
      </c>
    </row>
    <row r="2403" spans="1:13" x14ac:dyDescent="0.25">
      <c r="A2403" t="s">
        <v>1893</v>
      </c>
      <c r="B2403" t="s">
        <v>722</v>
      </c>
      <c r="C2403" t="s">
        <v>30</v>
      </c>
      <c r="D2403" t="s">
        <v>723</v>
      </c>
      <c r="E2403" t="s">
        <v>717</v>
      </c>
      <c r="F2403">
        <v>4500405403</v>
      </c>
      <c r="H2403" t="s">
        <v>713</v>
      </c>
      <c r="I2403" t="s">
        <v>1895</v>
      </c>
      <c r="J2403" t="s">
        <v>717</v>
      </c>
      <c r="K2403">
        <v>122119.02</v>
      </c>
      <c r="L2403" t="s">
        <v>6408</v>
      </c>
      <c r="M2403" t="str" cm="1">
        <f t="array" ref="M2403">INDEX('Org List'!$A$2:$C$1005,MATCH(Consolidated!I2403&amp;Consolidated!J2403,'Org List'!$A$2:$A$1005&amp;'Org List'!$B$2:$B$1005,0),3)</f>
        <v>NGOs: National</v>
      </c>
    </row>
    <row r="2404" spans="1:13" x14ac:dyDescent="0.25">
      <c r="A2404" t="s">
        <v>1893</v>
      </c>
      <c r="B2404" t="s">
        <v>722</v>
      </c>
      <c r="C2404" t="s">
        <v>30</v>
      </c>
      <c r="D2404" t="s">
        <v>723</v>
      </c>
      <c r="E2404" t="s">
        <v>717</v>
      </c>
      <c r="F2404">
        <v>4500405428</v>
      </c>
      <c r="H2404" t="s">
        <v>713</v>
      </c>
      <c r="I2404" t="s">
        <v>1156</v>
      </c>
      <c r="J2404" t="s">
        <v>717</v>
      </c>
      <c r="K2404">
        <v>98670</v>
      </c>
      <c r="L2404" t="s">
        <v>6408</v>
      </c>
      <c r="M2404" t="str" cm="1">
        <f t="array" ref="M2404">INDEX('Org List'!$A$2:$C$1005,MATCH(Consolidated!I2404&amp;Consolidated!J2404,'Org List'!$A$2:$A$1005&amp;'Org List'!$B$2:$B$1005,0),3)</f>
        <v>NGOs: National</v>
      </c>
    </row>
    <row r="2405" spans="1:13" x14ac:dyDescent="0.25">
      <c r="A2405" t="s">
        <v>1893</v>
      </c>
      <c r="B2405" t="s">
        <v>722</v>
      </c>
      <c r="C2405" t="s">
        <v>30</v>
      </c>
      <c r="D2405" t="s">
        <v>723</v>
      </c>
      <c r="E2405" t="s">
        <v>717</v>
      </c>
      <c r="F2405">
        <v>4500405434</v>
      </c>
      <c r="H2405" t="s">
        <v>713</v>
      </c>
      <c r="I2405" t="s">
        <v>720</v>
      </c>
      <c r="J2405" t="s">
        <v>717</v>
      </c>
      <c r="K2405">
        <v>134144.6</v>
      </c>
      <c r="L2405" t="s">
        <v>6408</v>
      </c>
      <c r="M2405" t="str" cm="1">
        <f t="array" ref="M2405">INDEX('Org List'!$A$2:$C$1005,MATCH(Consolidated!I2405&amp;Consolidated!J2405,'Org List'!$A$2:$A$1005&amp;'Org List'!$B$2:$B$1005,0),3)</f>
        <v>NGOs: National</v>
      </c>
    </row>
    <row r="2406" spans="1:13" x14ac:dyDescent="0.25">
      <c r="A2406" t="s">
        <v>1893</v>
      </c>
      <c r="B2406" t="s">
        <v>130</v>
      </c>
      <c r="C2406" t="s">
        <v>30</v>
      </c>
      <c r="D2406" t="s">
        <v>131</v>
      </c>
      <c r="E2406" t="s">
        <v>132</v>
      </c>
      <c r="F2406">
        <v>4500390760</v>
      </c>
      <c r="H2406" t="s">
        <v>713</v>
      </c>
      <c r="I2406" t="s">
        <v>133</v>
      </c>
      <c r="J2406" t="s">
        <v>132</v>
      </c>
      <c r="K2406">
        <v>37989.5</v>
      </c>
      <c r="L2406" t="s">
        <v>6408</v>
      </c>
      <c r="M2406" t="str" cm="1">
        <f t="array" ref="M2406">INDEX('Org List'!$A$2:$C$1005,MATCH(Consolidated!I2406&amp;Consolidated!J2406,'Org List'!$A$2:$A$1005&amp;'Org List'!$B$2:$B$1005,0),3)</f>
        <v>NGOs: National</v>
      </c>
    </row>
    <row r="2407" spans="1:13" x14ac:dyDescent="0.25">
      <c r="A2407" t="s">
        <v>1893</v>
      </c>
      <c r="B2407" t="s">
        <v>1356</v>
      </c>
      <c r="C2407" t="s">
        <v>30</v>
      </c>
      <c r="D2407" t="s">
        <v>1357</v>
      </c>
      <c r="E2407" t="s">
        <v>717</v>
      </c>
      <c r="F2407">
        <v>4500387850</v>
      </c>
      <c r="H2407" t="s">
        <v>713</v>
      </c>
      <c r="I2407" t="s">
        <v>1896</v>
      </c>
      <c r="J2407" t="s">
        <v>717</v>
      </c>
      <c r="K2407">
        <v>59993.88</v>
      </c>
      <c r="L2407" t="s">
        <v>6408</v>
      </c>
      <c r="M2407" t="str" cm="1">
        <f t="array" ref="M2407">INDEX('Org List'!$A$2:$C$1005,MATCH(Consolidated!I2407&amp;Consolidated!J2407,'Org List'!$A$2:$A$1005&amp;'Org List'!$B$2:$B$1005,0),3)</f>
        <v>NGOs: National</v>
      </c>
    </row>
    <row r="2408" spans="1:13" x14ac:dyDescent="0.25">
      <c r="A2408" t="s">
        <v>1893</v>
      </c>
      <c r="B2408" t="s">
        <v>1356</v>
      </c>
      <c r="C2408" t="s">
        <v>30</v>
      </c>
      <c r="D2408" t="s">
        <v>1357</v>
      </c>
      <c r="E2408" t="s">
        <v>717</v>
      </c>
      <c r="F2408">
        <v>4500387859</v>
      </c>
      <c r="H2408" t="s">
        <v>713</v>
      </c>
      <c r="I2408" t="s">
        <v>1897</v>
      </c>
      <c r="J2408" t="s">
        <v>717</v>
      </c>
      <c r="K2408">
        <v>60000</v>
      </c>
      <c r="L2408" t="s">
        <v>6408</v>
      </c>
      <c r="M2408" t="str" cm="1">
        <f t="array" ref="M2408">INDEX('Org List'!$A$2:$C$1005,MATCH(Consolidated!I2408&amp;Consolidated!J2408,'Org List'!$A$2:$A$1005&amp;'Org List'!$B$2:$B$1005,0),3)</f>
        <v>NGOs: National</v>
      </c>
    </row>
    <row r="2409" spans="1:13" x14ac:dyDescent="0.25">
      <c r="A2409" t="s">
        <v>1893</v>
      </c>
      <c r="B2409" t="s">
        <v>1356</v>
      </c>
      <c r="C2409" t="s">
        <v>30</v>
      </c>
      <c r="D2409" t="s">
        <v>1357</v>
      </c>
      <c r="E2409" t="s">
        <v>717</v>
      </c>
      <c r="F2409">
        <v>4500389675</v>
      </c>
      <c r="H2409" t="s">
        <v>713</v>
      </c>
      <c r="I2409" t="s">
        <v>1160</v>
      </c>
      <c r="J2409" t="s">
        <v>717</v>
      </c>
      <c r="K2409">
        <v>76000</v>
      </c>
      <c r="L2409" t="s">
        <v>6408</v>
      </c>
      <c r="M2409" t="str" cm="1">
        <f t="array" ref="M2409">INDEX('Org List'!$A$2:$C$1005,MATCH(Consolidated!I2409&amp;Consolidated!J2409,'Org List'!$A$2:$A$1005&amp;'Org List'!$B$2:$B$1005,0),3)</f>
        <v>NGOs: National</v>
      </c>
    </row>
    <row r="2410" spans="1:13" x14ac:dyDescent="0.25">
      <c r="A2410" t="s">
        <v>1893</v>
      </c>
      <c r="B2410" t="s">
        <v>1356</v>
      </c>
      <c r="C2410" t="s">
        <v>30</v>
      </c>
      <c r="D2410" t="s">
        <v>1357</v>
      </c>
      <c r="E2410" t="s">
        <v>717</v>
      </c>
      <c r="F2410">
        <v>4500392099</v>
      </c>
      <c r="H2410" t="s">
        <v>713</v>
      </c>
      <c r="I2410" t="s">
        <v>1898</v>
      </c>
      <c r="J2410" t="s">
        <v>717</v>
      </c>
      <c r="K2410">
        <v>187883.5</v>
      </c>
      <c r="L2410" t="s">
        <v>6408</v>
      </c>
      <c r="M2410" t="str" cm="1">
        <f t="array" ref="M2410">INDEX('Org List'!$A$2:$C$1005,MATCH(Consolidated!I2410&amp;Consolidated!J2410,'Org List'!$A$2:$A$1005&amp;'Org List'!$B$2:$B$1005,0),3)</f>
        <v>NGOs: National</v>
      </c>
    </row>
    <row r="2411" spans="1:13" x14ac:dyDescent="0.25">
      <c r="A2411" t="s">
        <v>1893</v>
      </c>
      <c r="B2411" t="s">
        <v>1356</v>
      </c>
      <c r="C2411" t="s">
        <v>30</v>
      </c>
      <c r="D2411" t="s">
        <v>1357</v>
      </c>
      <c r="E2411" t="s">
        <v>717</v>
      </c>
      <c r="F2411">
        <v>4500392121</v>
      </c>
      <c r="H2411" t="s">
        <v>713</v>
      </c>
      <c r="I2411" t="s">
        <v>725</v>
      </c>
      <c r="J2411" t="s">
        <v>717</v>
      </c>
      <c r="K2411">
        <v>195379.5</v>
      </c>
      <c r="L2411" t="s">
        <v>6408</v>
      </c>
      <c r="M2411" t="str" cm="1">
        <f t="array" ref="M2411">INDEX('Org List'!$A$2:$C$1005,MATCH(Consolidated!I2411&amp;Consolidated!J2411,'Org List'!$A$2:$A$1005&amp;'Org List'!$B$2:$B$1005,0),3)</f>
        <v>NGOs: National</v>
      </c>
    </row>
    <row r="2412" spans="1:13" x14ac:dyDescent="0.25">
      <c r="A2412" t="s">
        <v>1893</v>
      </c>
      <c r="B2412" t="s">
        <v>1642</v>
      </c>
      <c r="C2412" t="s">
        <v>30</v>
      </c>
      <c r="D2412" t="s">
        <v>1643</v>
      </c>
      <c r="E2412" t="s">
        <v>717</v>
      </c>
      <c r="F2412">
        <v>4500387850</v>
      </c>
      <c r="H2412" t="s">
        <v>713</v>
      </c>
      <c r="I2412" t="s">
        <v>1896</v>
      </c>
      <c r="J2412" t="s">
        <v>717</v>
      </c>
      <c r="K2412">
        <v>14000</v>
      </c>
      <c r="L2412" t="s">
        <v>6408</v>
      </c>
      <c r="M2412" t="str" cm="1">
        <f t="array" ref="M2412">INDEX('Org List'!$A$2:$C$1005,MATCH(Consolidated!I2412&amp;Consolidated!J2412,'Org List'!$A$2:$A$1005&amp;'Org List'!$B$2:$B$1005,0),3)</f>
        <v>NGOs: National</v>
      </c>
    </row>
    <row r="2413" spans="1:13" x14ac:dyDescent="0.25">
      <c r="A2413" t="s">
        <v>1893</v>
      </c>
      <c r="B2413" t="s">
        <v>1642</v>
      </c>
      <c r="C2413" t="s">
        <v>30</v>
      </c>
      <c r="D2413" t="s">
        <v>1643</v>
      </c>
      <c r="E2413" t="s">
        <v>717</v>
      </c>
      <c r="F2413">
        <v>4500387859</v>
      </c>
      <c r="H2413" t="s">
        <v>713</v>
      </c>
      <c r="I2413" t="s">
        <v>1897</v>
      </c>
      <c r="J2413" t="s">
        <v>717</v>
      </c>
      <c r="K2413">
        <v>14000</v>
      </c>
      <c r="L2413" t="s">
        <v>6408</v>
      </c>
      <c r="M2413" t="str" cm="1">
        <f t="array" ref="M2413">INDEX('Org List'!$A$2:$C$1005,MATCH(Consolidated!I2413&amp;Consolidated!J2413,'Org List'!$A$2:$A$1005&amp;'Org List'!$B$2:$B$1005,0),3)</f>
        <v>NGOs: National</v>
      </c>
    </row>
    <row r="2414" spans="1:13" x14ac:dyDescent="0.25">
      <c r="A2414" t="s">
        <v>1893</v>
      </c>
      <c r="B2414" t="s">
        <v>1642</v>
      </c>
      <c r="C2414" t="s">
        <v>30</v>
      </c>
      <c r="D2414" t="s">
        <v>1643</v>
      </c>
      <c r="E2414" t="s">
        <v>717</v>
      </c>
      <c r="F2414">
        <v>4500405380</v>
      </c>
      <c r="H2414" t="s">
        <v>713</v>
      </c>
      <c r="I2414" t="s">
        <v>728</v>
      </c>
      <c r="J2414" t="s">
        <v>717</v>
      </c>
      <c r="K2414">
        <v>75245</v>
      </c>
      <c r="L2414" t="s">
        <v>6408</v>
      </c>
      <c r="M2414" t="str" cm="1">
        <f t="array" ref="M2414">INDEX('Org List'!$A$2:$C$1005,MATCH(Consolidated!I2414&amp;Consolidated!J2414,'Org List'!$A$2:$A$1005&amp;'Org List'!$B$2:$B$1005,0),3)</f>
        <v>NGOs: National</v>
      </c>
    </row>
  </sheetData>
  <autoFilter ref="A1:M2414" xr:uid="{B5C20068-2816-416D-ADB4-5354663948CA}"/>
  <sortState xmlns:xlrd2="http://schemas.microsoft.com/office/spreadsheetml/2017/richdata2" ref="P2:Q1006">
    <sortCondition ref="Q2:Q1006"/>
    <sortCondition ref="P2:P1006"/>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0DB1D-4259-4F3E-A850-61EB8A61DA2B}">
  <dimension ref="A3:B24"/>
  <sheetViews>
    <sheetView workbookViewId="0">
      <selection activeCell="B15" sqref="B15"/>
    </sheetView>
  </sheetViews>
  <sheetFormatPr defaultRowHeight="15" x14ac:dyDescent="0.25"/>
  <cols>
    <col min="1" max="1" width="35" bestFit="1" customWidth="1"/>
    <col min="2" max="2" width="43.7109375" bestFit="1" customWidth="1"/>
  </cols>
  <sheetData>
    <row r="3" spans="1:2" x14ac:dyDescent="0.25">
      <c r="A3" s="4" t="s">
        <v>6440</v>
      </c>
      <c r="B3" t="s">
        <v>6442</v>
      </c>
    </row>
    <row r="4" spans="1:2" x14ac:dyDescent="0.25">
      <c r="A4" s="5" t="s">
        <v>6430</v>
      </c>
      <c r="B4" s="6">
        <v>197866.62</v>
      </c>
    </row>
    <row r="5" spans="1:2" x14ac:dyDescent="0.25">
      <c r="A5" s="5" t="s">
        <v>6415</v>
      </c>
      <c r="B5" s="6">
        <v>5385734.1300000018</v>
      </c>
    </row>
    <row r="6" spans="1:2" x14ac:dyDescent="0.25">
      <c r="A6" s="5" t="s">
        <v>6420</v>
      </c>
      <c r="B6" s="6">
        <v>1330543.22</v>
      </c>
    </row>
    <row r="7" spans="1:2" x14ac:dyDescent="0.25">
      <c r="A7" s="5" t="s">
        <v>6427</v>
      </c>
      <c r="B7" s="6">
        <v>17176814.34</v>
      </c>
    </row>
    <row r="8" spans="1:2" x14ac:dyDescent="0.25">
      <c r="A8" s="5" t="s">
        <v>6419</v>
      </c>
      <c r="B8" s="6">
        <v>95421791.900000051</v>
      </c>
    </row>
    <row r="9" spans="1:2" x14ac:dyDescent="0.25">
      <c r="A9" s="5" t="s">
        <v>6434</v>
      </c>
      <c r="B9" s="6">
        <v>8275156.0499999998</v>
      </c>
    </row>
    <row r="10" spans="1:2" x14ac:dyDescent="0.25">
      <c r="A10" s="5" t="s">
        <v>6418</v>
      </c>
      <c r="B10" s="6">
        <v>14670088.220000001</v>
      </c>
    </row>
    <row r="11" spans="1:2" x14ac:dyDescent="0.25">
      <c r="A11" s="5" t="s">
        <v>6417</v>
      </c>
      <c r="B11" s="6">
        <v>177236373.57999992</v>
      </c>
    </row>
    <row r="12" spans="1:2" x14ac:dyDescent="0.25">
      <c r="A12" s="5" t="s">
        <v>6439</v>
      </c>
      <c r="B12" s="6">
        <v>43050</v>
      </c>
    </row>
    <row r="13" spans="1:2" x14ac:dyDescent="0.25">
      <c r="A13" s="5" t="s">
        <v>6438</v>
      </c>
      <c r="B13" s="6">
        <v>3360792.57</v>
      </c>
    </row>
    <row r="14" spans="1:2" x14ac:dyDescent="0.25">
      <c r="A14" s="5" t="s">
        <v>6437</v>
      </c>
      <c r="B14" s="6">
        <v>1941673.21</v>
      </c>
    </row>
    <row r="15" spans="1:2" x14ac:dyDescent="0.25">
      <c r="A15" s="5" t="s">
        <v>6423</v>
      </c>
      <c r="B15" s="6">
        <v>1386360.47</v>
      </c>
    </row>
    <row r="16" spans="1:2" x14ac:dyDescent="0.25">
      <c r="A16" s="5" t="s">
        <v>6436</v>
      </c>
      <c r="B16" s="6">
        <v>30019</v>
      </c>
    </row>
    <row r="17" spans="1:2" x14ac:dyDescent="0.25">
      <c r="A17" s="5" t="s">
        <v>6429</v>
      </c>
      <c r="B17" s="6">
        <v>11706280.090000002</v>
      </c>
    </row>
    <row r="18" spans="1:2" x14ac:dyDescent="0.25">
      <c r="A18" s="5" t="s">
        <v>6435</v>
      </c>
      <c r="B18" s="6">
        <v>3997211.44</v>
      </c>
    </row>
    <row r="19" spans="1:2" x14ac:dyDescent="0.25">
      <c r="A19" s="5" t="s">
        <v>6441</v>
      </c>
      <c r="B19" s="6">
        <v>342159754.83999991</v>
      </c>
    </row>
    <row r="21" spans="1:2" x14ac:dyDescent="0.25">
      <c r="A21" s="7" t="s">
        <v>6443</v>
      </c>
      <c r="B21" s="8">
        <f>SUM(B4,B5,B10,B11,B13,B14,B15,B16,B17)</f>
        <v>215915187.88999993</v>
      </c>
    </row>
    <row r="22" spans="1:2" x14ac:dyDescent="0.25">
      <c r="A22" s="7" t="s">
        <v>6444</v>
      </c>
      <c r="B22" s="8">
        <f>SUM(B6:B9,B12)</f>
        <v>122247355.51000005</v>
      </c>
    </row>
    <row r="23" spans="1:2" x14ac:dyDescent="0.25">
      <c r="A23" s="7" t="s">
        <v>6435</v>
      </c>
      <c r="B23" s="8">
        <f>B18</f>
        <v>3997211.44</v>
      </c>
    </row>
    <row r="24" spans="1:2" x14ac:dyDescent="0.25">
      <c r="A24" s="7" t="s">
        <v>6445</v>
      </c>
      <c r="B24" s="8">
        <f>SUM(B21:B23)-B19</f>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2348ca6-5961-4d22-8883-3707acc72a99" xsi:nil="true"/>
    <lcf76f155ced4ddcb4097134ff3c332f xmlns="ce721c71-ae62-483b-8469-5a3cec2be75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DF94CB2B9E6FA4E8659376103DC6FBD" ma:contentTypeVersion="18" ma:contentTypeDescription="Create a new document." ma:contentTypeScope="" ma:versionID="119a2582f19b3b02c921273313c726b5">
  <xsd:schema xmlns:xsd="http://www.w3.org/2001/XMLSchema" xmlns:xs="http://www.w3.org/2001/XMLSchema" xmlns:p="http://schemas.microsoft.com/office/2006/metadata/properties" xmlns:ns2="ce721c71-ae62-483b-8469-5a3cec2be753" xmlns:ns3="52348ca6-5961-4d22-8883-3707acc72a99" targetNamespace="http://schemas.microsoft.com/office/2006/metadata/properties" ma:root="true" ma:fieldsID="3b0c596836f2ecb395d5a4f1d30d0db3" ns2:_="" ns3:_="">
    <xsd:import namespace="ce721c71-ae62-483b-8469-5a3cec2be753"/>
    <xsd:import namespace="52348ca6-5961-4d22-8883-3707acc72a9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721c71-ae62-483b-8469-5a3cec2be7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073f826-0b3c-4f0d-82d4-a4f8ceff9de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2348ca6-5961-4d22-8883-3707acc72a9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1e70a78b-c30c-4b33-8a70-5d53d13591ce}" ma:internalName="TaxCatchAll" ma:showField="CatchAllData" ma:web="52348ca6-5961-4d22-8883-3707acc72a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9410262-2B38-4C4F-89F5-1FE22FC4FED0}">
  <ds:schemaRefs>
    <ds:schemaRef ds:uri="http://purl.org/dc/elements/1.1/"/>
    <ds:schemaRef ds:uri="http://schemas.microsoft.com/office/infopath/2007/PartnerControls"/>
    <ds:schemaRef ds:uri="http://www.w3.org/XML/1998/namespace"/>
    <ds:schemaRef ds:uri="http://schemas.openxmlformats.org/package/2006/metadata/core-properties"/>
    <ds:schemaRef ds:uri="http://purl.org/dc/dcmitype/"/>
    <ds:schemaRef ds:uri="http://schemas.microsoft.com/office/2006/documentManagement/types"/>
    <ds:schemaRef ds:uri="ce721c71-ae62-483b-8469-5a3cec2be753"/>
    <ds:schemaRef ds:uri="52348ca6-5961-4d22-8883-3707acc72a99"/>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FA5A9B52-FCE7-4F01-8E72-9605AB808A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721c71-ae62-483b-8469-5a3cec2be753"/>
    <ds:schemaRef ds:uri="52348ca6-5961-4d22-8883-3707acc72a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725FB4A-D37F-4475-8507-C2107AF6841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Humanitarian codes</vt:lpstr>
      <vt:lpstr>Org List</vt:lpstr>
      <vt:lpstr>2022</vt:lpstr>
      <vt:lpstr>2023</vt:lpstr>
      <vt:lpstr>2024</vt:lpstr>
      <vt:lpstr>Consolidated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Pearson</dc:creator>
  <cp:lastModifiedBy>Mike Pearson</cp:lastModifiedBy>
  <dcterms:created xsi:type="dcterms:W3CDTF">2025-10-22T11:40:40Z</dcterms:created>
  <dcterms:modified xsi:type="dcterms:W3CDTF">2025-12-16T11:45:06Z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0x0101005DF94CB2B9E6FA4E8659376103DC6FBD</vt:lpwstr>
  </property>
  <property fmtid="{D5CDD505-2E9C-101B-9397-08002B2CF9AE}" pid="3" name="MediaServiceImageTags">
    <vt:lpwstr/>
  </property>
</Properties>
</file>