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514961bd36a257/Desktop/Work/ODI RA/PC/Localisation report/Data analysis/Repo master dataset/input/un_agencies/"/>
    </mc:Choice>
  </mc:AlternateContent>
  <xr:revisionPtr revIDLastSave="55" documentId="8_{089FCA00-BF48-47F1-A99A-9AD21296D3E8}" xr6:coauthVersionLast="47" xr6:coauthVersionMax="47" xr10:uidLastSave="{28FDAC63-89A8-4B59-AB82-29417F953CA4}"/>
  <bookViews>
    <workbookView xWindow="-98" yWindow="-98" windowWidth="21795" windowHeight="12975" activeTab="1" xr2:uid="{7913E496-5DFE-47F1-9926-C115F3AB4BF3}"/>
  </bookViews>
  <sheets>
    <sheet name="UN hum funding" sheetId="1" r:id="rId1"/>
    <sheet name="UN lnha percentages" sheetId="2" r:id="rId2"/>
  </sheets>
  <definedNames>
    <definedName name="_xlnm._FilterDatabase" localSheetId="0" hidden="1">'UN hum funding'!$A$1:$G$13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2" i="2"/>
  <c r="D10" i="1"/>
  <c r="D9" i="1"/>
  <c r="D8" i="1"/>
</calcChain>
</file>

<file path=xl/sharedStrings.xml><?xml version="1.0" encoding="utf-8"?>
<sst xmlns="http://schemas.openxmlformats.org/spreadsheetml/2006/main" count="58" uniqueCount="32">
  <si>
    <t>recipient_org</t>
  </si>
  <si>
    <t>donor_org</t>
  </si>
  <si>
    <t>UNICEF</t>
  </si>
  <si>
    <t>All humanitarian donors</t>
  </si>
  <si>
    <t>total_usd</t>
  </si>
  <si>
    <t>total_usd_defl</t>
  </si>
  <si>
    <t>year</t>
  </si>
  <si>
    <t>source_link</t>
  </si>
  <si>
    <t>source_comment</t>
  </si>
  <si>
    <t>WFP</t>
  </si>
  <si>
    <t>https://www.unicef.org/reports/global-annual-results-2022-humanitarian-action</t>
  </si>
  <si>
    <t>Humanitarian funding includes other resources – emergency along with other types of funding that support UNICEF humanitarian response from public sector resource partners. In 2022, UNICEF implemented a system to record funds dedicated to humanitarian response from non-emergency partners’ budgets, resulting in $433.2 million in other resources – regular dedicated to humanitarian responses.</t>
  </si>
  <si>
    <t>The $3.48 billion in humanitarian funding received in 2023 includes emergency funding as well as $513.8 million in other resources – regular that was dedicated to humanitarian responses. Also included is $3.98 million that was received in insurance payouts through the Today and Tomorrow Initiative for humanitarian responses to tropical cyclone-induced emergencies that occurred in Bangladesh, Fiji, Madagascar, Mozambique, Solomon Islands and Vanuatu.</t>
  </si>
  <si>
    <t>https://www.unicef.org/reports/global-annual-results-report-2023-humanitarian-action#:~:text=The%20report%20highlights%20the%20following%20results%20achieved,Violence%20*%20Climate%2Dinduced%20emergencies%20*%20Natural%20disasters</t>
  </si>
  <si>
    <t>Contributions received for 2024 Humanitarian Action for Children appeals encompass emergency (other resources – emergency) and development funds received for emergencies and recognized in fiscal year 2024. The $3.02 billion in humanitarian contributions received in 2024 includes emergency funding as well as $438.8 million in other resources – regular that was dedicated to humanitarian responses. Also included is $1.93 million that was received in insurance payouts through the Today and Tomorrow Initiative for humanitarian responses to tropical cyclone-induced emergencies that occurred in Bangladesh, the Comoros, Fiji, Haiti, Madagascar and Mozambique.</t>
  </si>
  <si>
    <t>https://www.unicef.org/reports/global-annual-results-report-2024-humanitarian-action</t>
  </si>
  <si>
    <t>https://www.unhcr.org/about-unhcr/planning-funding-and-results/contributions?dataset=CNT&amp;yearsMode=range&amp;selectedYears=%5B2022%2C2024%5D&amp;level=GLB&amp;category=EMK&amp;fundingSource=ALS&amp;compareBy=%5B%22category%22%5D&amp;viewType=table&amp;chartType=area&amp;tableDataView=absolute</t>
  </si>
  <si>
    <t>Accessed early Feb 2026 and comprises all funding to UNHCR that year</t>
  </si>
  <si>
    <t>All donors</t>
  </si>
  <si>
    <t>https://www.wfp.org/funding/2022; https://executiveboard.wfp.org/document_download/WFP-0000148942</t>
  </si>
  <si>
    <t>https://www.wfp.org/funding/2023; https://docs.wfp.org/api/documents/WFP-0000159843/download/</t>
  </si>
  <si>
    <t>https://www.wfp.org/funding/2024; https://docs.wfp.org/api/documents/WFP-0000167222/download/</t>
  </si>
  <si>
    <t>https://crisisresponse.iom.int/msite/operating-in-crisis-2024/achievements/index.html</t>
  </si>
  <si>
    <t>https://crisisresponse.iom.int/msite/operating-in-crisis/2023/index.html</t>
  </si>
  <si>
    <t>https://crisisresponse.iom.int/msite/global-activity-report/2022/index.html</t>
  </si>
  <si>
    <t>UNHCR</t>
  </si>
  <si>
    <t>IOM</t>
  </si>
  <si>
    <t>Total contributions to WFP that year multiplied by the percentage of total direct operational expenditures on the crisis response focus area (p. 21, second link)</t>
  </si>
  <si>
    <t>Total contributions to WFP that year multiplied by the percentage of total direct operational expenditures on the crisis response focus area (p. 20, second link)</t>
  </si>
  <si>
    <t>Total contributions to WFP that year multiplied by the percentage of total direct operational expenditures on the crisis response focus area (p. 71, second link)</t>
  </si>
  <si>
    <t>Total funding to LNHAs 2022 - 2024</t>
  </si>
  <si>
    <t>% of hum funding provided to LNHAs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</si>
</sst>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72D7-6C6B-4EC0-9C17-06A353C8967B}">
  <dimension ref="A1:G19"/>
  <sheetViews>
    <sheetView workbookViewId="0">
      <selection activeCell="C5" sqref="C5"/>
    </sheetView>
  </sheetViews>
  <sheetFormatPr defaultRowHeight="14.25" x14ac:dyDescent="0.45"/>
  <cols>
    <col min="2" max="2" width="19.3984375" bestFit="1" customWidth="1"/>
    <col min="3" max="3" width="10.9296875" bestFit="1" customWidth="1"/>
    <col min="4" max="5" width="13.3984375" bestFit="1" customWidth="1"/>
  </cols>
  <sheetData>
    <row r="1" spans="1:7" x14ac:dyDescent="0.45">
      <c r="A1" t="s">
        <v>6</v>
      </c>
      <c r="B1" t="s">
        <v>1</v>
      </c>
      <c r="C1" t="s">
        <v>0</v>
      </c>
      <c r="D1" t="s">
        <v>4</v>
      </c>
      <c r="E1" t="s">
        <v>5</v>
      </c>
      <c r="F1" t="s">
        <v>7</v>
      </c>
      <c r="G1" t="s">
        <v>8</v>
      </c>
    </row>
    <row r="2" spans="1:7" x14ac:dyDescent="0.45">
      <c r="A2">
        <v>2022</v>
      </c>
      <c r="B2" t="s">
        <v>3</v>
      </c>
      <c r="C2" t="s">
        <v>2</v>
      </c>
      <c r="D2" s="1">
        <v>4250000000</v>
      </c>
      <c r="E2" s="1">
        <v>4454292845.166873</v>
      </c>
      <c r="F2" t="s">
        <v>10</v>
      </c>
      <c r="G2" t="s">
        <v>11</v>
      </c>
    </row>
    <row r="3" spans="1:7" x14ac:dyDescent="0.45">
      <c r="A3">
        <v>2023</v>
      </c>
      <c r="B3" t="s">
        <v>3</v>
      </c>
      <c r="C3" t="s">
        <v>2</v>
      </c>
      <c r="D3" s="1">
        <v>3480000000</v>
      </c>
      <c r="E3" s="1">
        <v>3480000000</v>
      </c>
      <c r="F3" t="s">
        <v>13</v>
      </c>
      <c r="G3" t="s">
        <v>12</v>
      </c>
    </row>
    <row r="4" spans="1:7" x14ac:dyDescent="0.45">
      <c r="A4">
        <v>2024</v>
      </c>
      <c r="B4" t="s">
        <v>3</v>
      </c>
      <c r="C4" t="s">
        <v>2</v>
      </c>
      <c r="D4" s="1">
        <v>3020000000</v>
      </c>
      <c r="E4" s="1">
        <v>2955661630.5324306</v>
      </c>
      <c r="F4" t="s">
        <v>15</v>
      </c>
      <c r="G4" t="s">
        <v>14</v>
      </c>
    </row>
    <row r="5" spans="1:7" x14ac:dyDescent="0.45">
      <c r="A5">
        <v>2022</v>
      </c>
      <c r="B5" t="s">
        <v>18</v>
      </c>
      <c r="C5" t="s">
        <v>25</v>
      </c>
      <c r="D5" s="1">
        <v>5808997170</v>
      </c>
      <c r="E5" s="1">
        <v>6088229301.6295567</v>
      </c>
      <c r="F5" t="s">
        <v>16</v>
      </c>
      <c r="G5" t="s">
        <v>17</v>
      </c>
    </row>
    <row r="6" spans="1:7" x14ac:dyDescent="0.45">
      <c r="A6">
        <v>2023</v>
      </c>
      <c r="B6" t="s">
        <v>18</v>
      </c>
      <c r="C6" t="s">
        <v>25</v>
      </c>
      <c r="D6" s="1">
        <v>4835185990</v>
      </c>
      <c r="E6" s="1">
        <v>4835185990</v>
      </c>
      <c r="F6" t="s">
        <v>16</v>
      </c>
      <c r="G6" t="s">
        <v>17</v>
      </c>
    </row>
    <row r="7" spans="1:7" x14ac:dyDescent="0.45">
      <c r="A7">
        <v>2024</v>
      </c>
      <c r="B7" t="s">
        <v>18</v>
      </c>
      <c r="C7" t="s">
        <v>25</v>
      </c>
      <c r="D7" s="1">
        <v>4828726597</v>
      </c>
      <c r="E7" s="1">
        <v>4725854942.7431574</v>
      </c>
      <c r="F7" t="s">
        <v>16</v>
      </c>
      <c r="G7" t="s">
        <v>17</v>
      </c>
    </row>
    <row r="8" spans="1:7" x14ac:dyDescent="0.45">
      <c r="A8">
        <v>2022</v>
      </c>
      <c r="B8" t="s">
        <v>3</v>
      </c>
      <c r="C8" t="s">
        <v>9</v>
      </c>
      <c r="D8" s="1">
        <f>14180991443*(9525/11088)</f>
        <v>12181993460.910444</v>
      </c>
      <c r="E8" s="1">
        <v>12767568544.188948</v>
      </c>
      <c r="F8" t="s">
        <v>19</v>
      </c>
      <c r="G8" t="s">
        <v>29</v>
      </c>
    </row>
    <row r="9" spans="1:7" x14ac:dyDescent="0.45">
      <c r="A9">
        <v>2023</v>
      </c>
      <c r="B9" t="s">
        <v>3</v>
      </c>
      <c r="C9" t="s">
        <v>9</v>
      </c>
      <c r="D9" s="1">
        <f>8277504410*(7910/10026)</f>
        <v>6530526619.1003389</v>
      </c>
      <c r="E9" s="1">
        <v>6530526619.1003389</v>
      </c>
      <c r="F9" t="s">
        <v>20</v>
      </c>
      <c r="G9" t="s">
        <v>28</v>
      </c>
    </row>
    <row r="10" spans="1:7" x14ac:dyDescent="0.45">
      <c r="A10">
        <v>2024</v>
      </c>
      <c r="B10" t="s">
        <v>3</v>
      </c>
      <c r="C10" t="s">
        <v>9</v>
      </c>
      <c r="D10" s="1">
        <f>9759124151*(6536/8412)</f>
        <v>7582695607.5767946</v>
      </c>
      <c r="E10" s="1">
        <v>7421153133.5501747</v>
      </c>
      <c r="F10" t="s">
        <v>21</v>
      </c>
      <c r="G10" t="s">
        <v>27</v>
      </c>
    </row>
    <row r="11" spans="1:7" x14ac:dyDescent="0.45">
      <c r="A11">
        <v>2022</v>
      </c>
      <c r="B11" t="s">
        <v>3</v>
      </c>
      <c r="C11" t="s">
        <v>26</v>
      </c>
      <c r="D11" s="1">
        <v>2089936522</v>
      </c>
      <c r="E11" s="1">
        <v>2190397481.599421</v>
      </c>
      <c r="F11" t="s">
        <v>24</v>
      </c>
    </row>
    <row r="12" spans="1:7" x14ac:dyDescent="0.45">
      <c r="A12">
        <v>2023</v>
      </c>
      <c r="B12" t="s">
        <v>3</v>
      </c>
      <c r="C12" t="s">
        <v>26</v>
      </c>
      <c r="D12" s="1">
        <v>2500000000</v>
      </c>
      <c r="E12" s="1">
        <v>2500000000</v>
      </c>
      <c r="F12" t="s">
        <v>23</v>
      </c>
    </row>
    <row r="13" spans="1:7" x14ac:dyDescent="0.45">
      <c r="A13">
        <v>2024</v>
      </c>
      <c r="B13" t="s">
        <v>3</v>
      </c>
      <c r="C13" t="s">
        <v>26</v>
      </c>
      <c r="D13" s="1">
        <v>2600000000</v>
      </c>
      <c r="E13" s="1">
        <v>2544609350.7895098</v>
      </c>
      <c r="F13" t="s">
        <v>22</v>
      </c>
    </row>
    <row r="18" spans="5:5" x14ac:dyDescent="0.45">
      <c r="E18" s="1"/>
    </row>
    <row r="19" spans="5:5" x14ac:dyDescent="0.45">
      <c r="E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3EA5A-F793-47D7-B213-F493780B3BE2}">
  <dimension ref="A1:C5"/>
  <sheetViews>
    <sheetView tabSelected="1" workbookViewId="0">
      <selection activeCell="F8" sqref="F8"/>
    </sheetView>
  </sheetViews>
  <sheetFormatPr defaultRowHeight="14.25" x14ac:dyDescent="0.45"/>
  <cols>
    <col min="3" max="3" width="9.73046875" bestFit="1" customWidth="1"/>
    <col min="8" max="8" width="10.73046875" bestFit="1" customWidth="1"/>
  </cols>
  <sheetData>
    <row r="1" spans="1:3" x14ac:dyDescent="0.45">
      <c r="B1" t="s">
        <v>30</v>
      </c>
      <c r="C1" t="s">
        <v>31</v>
      </c>
    </row>
    <row r="2" spans="1:3" x14ac:dyDescent="0.45">
      <c r="A2" t="s">
        <v>25</v>
      </c>
      <c r="B2">
        <v>2067.2684092965442</v>
      </c>
      <c r="C2" s="3">
        <f>B2/(SUMIFS('UN hum funding'!$E$1:$E$13,'UN hum funding'!$C$1:$C$13,'UN lnha percentages'!A2)/1000000)</f>
        <v>0.13209998794422434</v>
      </c>
    </row>
    <row r="3" spans="1:3" x14ac:dyDescent="0.45">
      <c r="A3" t="s">
        <v>2</v>
      </c>
      <c r="B3">
        <v>1871.1950201839618</v>
      </c>
      <c r="C3" s="3">
        <f>B3/(SUMIFS('UN hum funding'!$E$1:$E$13,'UN hum funding'!$C$1:$C$13,'UN lnha percentages'!A3)/1000000)</f>
        <v>0.17182762557543221</v>
      </c>
    </row>
    <row r="4" spans="1:3" x14ac:dyDescent="0.45">
      <c r="A4" t="s">
        <v>9</v>
      </c>
      <c r="B4">
        <v>412.66474489129757</v>
      </c>
      <c r="C4" s="3">
        <f>B4/(SUMIFS('UN hum funding'!$E$1:$E$13,'UN hum funding'!$C$1:$C$13,'UN lnha percentages'!A4)/1000000)</f>
        <v>1.5444474346986417E-2</v>
      </c>
    </row>
    <row r="5" spans="1:3" x14ac:dyDescent="0.45">
      <c r="A5" t="s">
        <v>26</v>
      </c>
      <c r="B5">
        <v>218.2880374394735</v>
      </c>
      <c r="C5" s="3">
        <f>B5/(SUMIFS('UN hum funding'!$E$1:$E$13,'UN hum funding'!$C$1:$C$13,'UN lnha percentages'!A5)/1000000)</f>
        <v>3.0171089329489531E-2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 hum funding</vt:lpstr>
      <vt:lpstr>UN lnha percentages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Rieger</dc:creator>
  <cp:lastModifiedBy>Niklas Rieger</cp:lastModifiedBy>
  <dcterms:created xsi:type="dcterms:W3CDTF">2026-02-05T10:56:12Z</dcterms:created>
  <dcterms:modified xsi:type="dcterms:W3CDTF">2026-03-16T16:18:19Z</dcterms:modified>
</cp:coreProperties>
</file>